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2D68851-69BE-4F67-B615-CA80FD71ED6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116" i="5"/>
  <c r="C2" i="1" l="1"/>
  <c r="D2" i="1"/>
  <c r="C122" i="4"/>
  <c r="C133" i="4" s="1"/>
  <c r="C136" i="4" s="1"/>
  <c r="C116" i="4"/>
  <c r="C118" i="3"/>
  <c r="C122" i="3"/>
  <c r="C133" i="3" s="1"/>
  <c r="C136" i="3" s="1"/>
  <c r="D136" i="5"/>
  <c r="C136" i="5"/>
  <c r="R765" i="1"/>
  <c r="D136" i="4" l="1"/>
  <c r="C138" i="4" s="1"/>
  <c r="D136" i="3"/>
  <c r="C138" i="3" s="1"/>
  <c r="C138" i="5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S272" i="1" l="1"/>
  <c r="T272" i="1" s="1"/>
  <c r="R271" i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S260" i="1" l="1"/>
  <c r="T260" i="1" s="1"/>
  <c r="R259" i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S248" i="1" l="1"/>
  <c r="T248" i="1" s="1"/>
  <c r="R247" i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S200" i="1" l="1"/>
  <c r="T200" i="1" s="1"/>
  <c r="R199" i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S176" i="1" l="1"/>
  <c r="T176" i="1" s="1"/>
  <c r="R175" i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S152" i="1" l="1"/>
  <c r="T152" i="1" s="1"/>
  <c r="R151" i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S128" i="1" l="1"/>
  <c r="T128" i="1" s="1"/>
  <c r="R127" i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S116" i="1" l="1"/>
  <c r="T116" i="1" s="1"/>
  <c r="R115" i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S104" i="1" l="1"/>
  <c r="T104" i="1" s="1"/>
  <c r="R103" i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S80" i="1" l="1"/>
  <c r="T80" i="1" s="1"/>
  <c r="R79" i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<sst xmlns="http://schemas.openxmlformats.org/spreadsheetml/2006/main" count="9240" uniqueCount="34">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</sst>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1.8249999999999999E-2</c:v>
                </c:pt>
                <c:pt idx="1">
                  <c:v>1.857E-2</c:v>
                </c:pt>
                <c:pt idx="2">
                  <c:v>1.8270000000000002E-2</c:v>
                </c:pt>
                <c:pt idx="3">
                  <c:v>1.8460000000000001E-2</c:v>
                </c:pt>
                <c:pt idx="4">
                  <c:v>1.9349999999999999E-2</c:v>
                </c:pt>
                <c:pt idx="5">
                  <c:v>1.8010000000000002E-2</c:v>
                </c:pt>
                <c:pt idx="6">
                  <c:v>2.085E-2</c:v>
                </c:pt>
                <c:pt idx="7">
                  <c:v>2.5239999999999999E-2</c:v>
                </c:pt>
                <c:pt idx="8">
                  <c:v>2.5520000000000001E-2</c:v>
                </c:pt>
                <c:pt idx="9">
                  <c:v>2.5749999999999999E-2</c:v>
                </c:pt>
                <c:pt idx="10">
                  <c:v>2.6599999999999999E-2</c:v>
                </c:pt>
                <c:pt idx="11">
                  <c:v>2.8150000000000001E-2</c:v>
                </c:pt>
                <c:pt idx="12">
                  <c:v>2.9000000000000001E-2</c:v>
                </c:pt>
                <c:pt idx="13">
                  <c:v>2.8539999999999999E-2</c:v>
                </c:pt>
                <c:pt idx="14">
                  <c:v>2.811E-2</c:v>
                </c:pt>
                <c:pt idx="15">
                  <c:v>2.879E-2</c:v>
                </c:pt>
                <c:pt idx="16">
                  <c:v>2.7449999999999999E-2</c:v>
                </c:pt>
                <c:pt idx="17">
                  <c:v>2.6179999999999998E-2</c:v>
                </c:pt>
                <c:pt idx="18">
                  <c:v>2.8830000000000001E-2</c:v>
                </c:pt>
                <c:pt idx="19">
                  <c:v>2.7900000000000001E-2</c:v>
                </c:pt>
                <c:pt idx="20">
                  <c:v>2.8330000000000001E-2</c:v>
                </c:pt>
                <c:pt idx="21">
                  <c:v>3.1179999999999999E-2</c:v>
                </c:pt>
                <c:pt idx="22">
                  <c:v>3.2030000000000003E-2</c:v>
                </c:pt>
                <c:pt idx="23">
                  <c:v>3.5349999999999999E-2</c:v>
                </c:pt>
                <c:pt idx="24">
                  <c:v>3.576E-2</c:v>
                </c:pt>
                <c:pt idx="25">
                  <c:v>3.6229999999999998E-2</c:v>
                </c:pt>
                <c:pt idx="26">
                  <c:v>3.6760000000000001E-2</c:v>
                </c:pt>
                <c:pt idx="27">
                  <c:v>3.4459999999999998E-2</c:v>
                </c:pt>
                <c:pt idx="28">
                  <c:v>3.5779999999999999E-2</c:v>
                </c:pt>
                <c:pt idx="29">
                  <c:v>3.4860000000000002E-2</c:v>
                </c:pt>
                <c:pt idx="30">
                  <c:v>3.4700000000000002E-2</c:v>
                </c:pt>
                <c:pt idx="31">
                  <c:v>3.8399999999999997E-2</c:v>
                </c:pt>
                <c:pt idx="32">
                  <c:v>3.6220000000000002E-2</c:v>
                </c:pt>
                <c:pt idx="33">
                  <c:v>3.6110000000000003E-2</c:v>
                </c:pt>
                <c:pt idx="34">
                  <c:v>3.3759999999999998E-2</c:v>
                </c:pt>
                <c:pt idx="35">
                  <c:v>3.4110000000000001E-2</c:v>
                </c:pt>
                <c:pt idx="36">
                  <c:v>3.279E-2</c:v>
                </c:pt>
                <c:pt idx="37">
                  <c:v>3.3950000000000001E-2</c:v>
                </c:pt>
                <c:pt idx="38">
                  <c:v>3.483E-2</c:v>
                </c:pt>
                <c:pt idx="39">
                  <c:v>3.3079999999999998E-2</c:v>
                </c:pt>
                <c:pt idx="40">
                  <c:v>3.6260000000000001E-2</c:v>
                </c:pt>
                <c:pt idx="41">
                  <c:v>3.6380000000000003E-2</c:v>
                </c:pt>
                <c:pt idx="42">
                  <c:v>2.9669999999999998E-2</c:v>
                </c:pt>
                <c:pt idx="43">
                  <c:v>2.9649999999999999E-2</c:v>
                </c:pt>
                <c:pt idx="44">
                  <c:v>0.03</c:v>
                </c:pt>
                <c:pt idx="45">
                  <c:v>3.049E-2</c:v>
                </c:pt>
                <c:pt idx="46">
                  <c:v>3.49E-2</c:v>
                </c:pt>
                <c:pt idx="47">
                  <c:v>3.3239999999999999E-2</c:v>
                </c:pt>
                <c:pt idx="48">
                  <c:v>3.2809999999999999E-2</c:v>
                </c:pt>
                <c:pt idx="49">
                  <c:v>3.5659999999999997E-2</c:v>
                </c:pt>
                <c:pt idx="50">
                  <c:v>3.6880000000000003E-2</c:v>
                </c:pt>
                <c:pt idx="51">
                  <c:v>3.5880000000000002E-2</c:v>
                </c:pt>
                <c:pt idx="52">
                  <c:v>3.705E-2</c:v>
                </c:pt>
                <c:pt idx="53">
                  <c:v>3.5900000000000001E-2</c:v>
                </c:pt>
                <c:pt idx="54">
                  <c:v>3.5549999999999998E-2</c:v>
                </c:pt>
                <c:pt idx="55">
                  <c:v>4.2130000000000001E-2</c:v>
                </c:pt>
                <c:pt idx="56">
                  <c:v>3.8019999999999998E-2</c:v>
                </c:pt>
                <c:pt idx="57">
                  <c:v>3.5180000000000003E-2</c:v>
                </c:pt>
                <c:pt idx="58">
                  <c:v>3.4709999999999998E-2</c:v>
                </c:pt>
                <c:pt idx="59">
                  <c:v>3.5889999999999998E-2</c:v>
                </c:pt>
                <c:pt idx="60">
                  <c:v>3.6170000000000001E-2</c:v>
                </c:pt>
                <c:pt idx="61">
                  <c:v>3.7010000000000001E-2</c:v>
                </c:pt>
                <c:pt idx="62">
                  <c:v>3.6880000000000003E-2</c:v>
                </c:pt>
                <c:pt idx="63">
                  <c:v>4.351E-2</c:v>
                </c:pt>
                <c:pt idx="64">
                  <c:v>3.78E-2</c:v>
                </c:pt>
                <c:pt idx="65">
                  <c:v>3.7260000000000001E-2</c:v>
                </c:pt>
                <c:pt idx="66">
                  <c:v>3.5349999999999999E-2</c:v>
                </c:pt>
                <c:pt idx="67">
                  <c:v>3.7650000000000003E-2</c:v>
                </c:pt>
                <c:pt idx="68">
                  <c:v>4.1169999999999998E-2</c:v>
                </c:pt>
                <c:pt idx="69">
                  <c:v>3.1440000000000003E-2</c:v>
                </c:pt>
                <c:pt idx="70">
                  <c:v>2.9770000000000001E-2</c:v>
                </c:pt>
                <c:pt idx="71">
                  <c:v>3.3000000000000002E-2</c:v>
                </c:pt>
                <c:pt idx="72">
                  <c:v>3.2509999999999997E-2</c:v>
                </c:pt>
                <c:pt idx="73">
                  <c:v>3.5749999999999997E-2</c:v>
                </c:pt>
                <c:pt idx="74">
                  <c:v>3.85E-2</c:v>
                </c:pt>
                <c:pt idx="75">
                  <c:v>3.5860000000000003E-2</c:v>
                </c:pt>
                <c:pt idx="76">
                  <c:v>3.5180000000000003E-2</c:v>
                </c:pt>
                <c:pt idx="77">
                  <c:v>3.483E-2</c:v>
                </c:pt>
                <c:pt idx="78">
                  <c:v>3.4110000000000001E-2</c:v>
                </c:pt>
                <c:pt idx="79">
                  <c:v>3.551E-2</c:v>
                </c:pt>
                <c:pt idx="80">
                  <c:v>3.6319999999999998E-2</c:v>
                </c:pt>
                <c:pt idx="81">
                  <c:v>3.5830000000000001E-2</c:v>
                </c:pt>
                <c:pt idx="82">
                  <c:v>3.3869999999999997E-2</c:v>
                </c:pt>
                <c:pt idx="83">
                  <c:v>3.4099999999999998E-2</c:v>
                </c:pt>
                <c:pt idx="84">
                  <c:v>3.4009999999999999E-2</c:v>
                </c:pt>
                <c:pt idx="85">
                  <c:v>3.5970000000000002E-2</c:v>
                </c:pt>
                <c:pt idx="86">
                  <c:v>3.422E-2</c:v>
                </c:pt>
                <c:pt idx="87">
                  <c:v>3.3840000000000002E-2</c:v>
                </c:pt>
                <c:pt idx="88">
                  <c:v>3.4619999999999998E-2</c:v>
                </c:pt>
                <c:pt idx="89">
                  <c:v>3.4660000000000003E-2</c:v>
                </c:pt>
                <c:pt idx="90">
                  <c:v>3.3770000000000001E-2</c:v>
                </c:pt>
                <c:pt idx="91">
                  <c:v>3.2099999999999997E-2</c:v>
                </c:pt>
                <c:pt idx="92">
                  <c:v>3.023E-2</c:v>
                </c:pt>
                <c:pt idx="93">
                  <c:v>3.4689999999999999E-2</c:v>
                </c:pt>
                <c:pt idx="94">
                  <c:v>3.5029999999999999E-2</c:v>
                </c:pt>
                <c:pt idx="95">
                  <c:v>3.4639999999999997E-2</c:v>
                </c:pt>
                <c:pt idx="96">
                  <c:v>3.5790000000000002E-2</c:v>
                </c:pt>
                <c:pt idx="97">
                  <c:v>3.424E-2</c:v>
                </c:pt>
                <c:pt idx="98">
                  <c:v>3.4520000000000002E-2</c:v>
                </c:pt>
                <c:pt idx="99">
                  <c:v>3.5779999999999999E-2</c:v>
                </c:pt>
                <c:pt idx="100">
                  <c:v>3.567E-2</c:v>
                </c:pt>
                <c:pt idx="101">
                  <c:v>3.4520000000000002E-2</c:v>
                </c:pt>
                <c:pt idx="102">
                  <c:v>3.6409999999999998E-2</c:v>
                </c:pt>
                <c:pt idx="103">
                  <c:v>3.5180000000000003E-2</c:v>
                </c:pt>
                <c:pt idx="104">
                  <c:v>3.1829999999999997E-2</c:v>
                </c:pt>
                <c:pt idx="105">
                  <c:v>3.2190000000000003E-2</c:v>
                </c:pt>
                <c:pt idx="106">
                  <c:v>3.2300000000000002E-2</c:v>
                </c:pt>
                <c:pt idx="107">
                  <c:v>2.8670000000000001E-2</c:v>
                </c:pt>
                <c:pt idx="108">
                  <c:v>2.8899999999999999E-2</c:v>
                </c:pt>
                <c:pt idx="109">
                  <c:v>3.0159999999999999E-2</c:v>
                </c:pt>
                <c:pt idx="110">
                  <c:v>3.3480000000000003E-2</c:v>
                </c:pt>
                <c:pt idx="111">
                  <c:v>3.0790000000000001E-2</c:v>
                </c:pt>
                <c:pt idx="112">
                  <c:v>2.9510000000000002E-2</c:v>
                </c:pt>
                <c:pt idx="113">
                  <c:v>3.0280000000000001E-2</c:v>
                </c:pt>
                <c:pt idx="114">
                  <c:v>3.0519999999999999E-2</c:v>
                </c:pt>
                <c:pt idx="115">
                  <c:v>2.9159999999999998E-2</c:v>
                </c:pt>
                <c:pt idx="116">
                  <c:v>2.9399999999999999E-2</c:v>
                </c:pt>
                <c:pt idx="117">
                  <c:v>3.0800000000000001E-2</c:v>
                </c:pt>
                <c:pt idx="118">
                  <c:v>2.7099999999999999E-2</c:v>
                </c:pt>
                <c:pt idx="119">
                  <c:v>2.5020000000000001E-2</c:v>
                </c:pt>
                <c:pt idx="120">
                  <c:v>2.3810000000000001E-2</c:v>
                </c:pt>
                <c:pt idx="121">
                  <c:v>2.4080000000000001E-2</c:v>
                </c:pt>
                <c:pt idx="122">
                  <c:v>2.563E-2</c:v>
                </c:pt>
                <c:pt idx="123">
                  <c:v>2.6419999999999999E-2</c:v>
                </c:pt>
                <c:pt idx="124">
                  <c:v>2.75E-2</c:v>
                </c:pt>
                <c:pt idx="125">
                  <c:v>2.7859999999999999E-2</c:v>
                </c:pt>
                <c:pt idx="126">
                  <c:v>2.9319999999999999E-2</c:v>
                </c:pt>
                <c:pt idx="127">
                  <c:v>2.8819999999999998E-2</c:v>
                </c:pt>
                <c:pt idx="128">
                  <c:v>2.4420000000000001E-2</c:v>
                </c:pt>
                <c:pt idx="129">
                  <c:v>3.1220000000000001E-2</c:v>
                </c:pt>
                <c:pt idx="130">
                  <c:v>3.3529999999999997E-2</c:v>
                </c:pt>
                <c:pt idx="131">
                  <c:v>3.5220000000000001E-2</c:v>
                </c:pt>
                <c:pt idx="132">
                  <c:v>3.3820000000000003E-2</c:v>
                </c:pt>
                <c:pt idx="133">
                  <c:v>3.5529999999999999E-2</c:v>
                </c:pt>
                <c:pt idx="134">
                  <c:v>3.7670000000000002E-2</c:v>
                </c:pt>
                <c:pt idx="135">
                  <c:v>3.5490000000000001E-2</c:v>
                </c:pt>
                <c:pt idx="136">
                  <c:v>3.4860000000000002E-2</c:v>
                </c:pt>
                <c:pt idx="137">
                  <c:v>3.4959999999999998E-2</c:v>
                </c:pt>
                <c:pt idx="138">
                  <c:v>3.5389999999999998E-2</c:v>
                </c:pt>
                <c:pt idx="139">
                  <c:v>3.3849999999999998E-2</c:v>
                </c:pt>
                <c:pt idx="140">
                  <c:v>3.6159999999999998E-2</c:v>
                </c:pt>
                <c:pt idx="141">
                  <c:v>3.4950000000000002E-2</c:v>
                </c:pt>
                <c:pt idx="142">
                  <c:v>4.0099999999999997E-2</c:v>
                </c:pt>
                <c:pt idx="143">
                  <c:v>4.2900000000000001E-2</c:v>
                </c:pt>
                <c:pt idx="144">
                  <c:v>3.6069999999999998E-2</c:v>
                </c:pt>
                <c:pt idx="145">
                  <c:v>3.4299999999999997E-2</c:v>
                </c:pt>
                <c:pt idx="146">
                  <c:v>3.2800000000000003E-2</c:v>
                </c:pt>
                <c:pt idx="147">
                  <c:v>3.2349999999999997E-2</c:v>
                </c:pt>
                <c:pt idx="148">
                  <c:v>3.227E-2</c:v>
                </c:pt>
                <c:pt idx="149">
                  <c:v>3.1489999999999997E-2</c:v>
                </c:pt>
                <c:pt idx="150">
                  <c:v>3.1E-2</c:v>
                </c:pt>
                <c:pt idx="151">
                  <c:v>3.1370000000000002E-2</c:v>
                </c:pt>
                <c:pt idx="152">
                  <c:v>3.1399999999999997E-2</c:v>
                </c:pt>
                <c:pt idx="153">
                  <c:v>3.2530000000000003E-2</c:v>
                </c:pt>
                <c:pt idx="154">
                  <c:v>3.107E-2</c:v>
                </c:pt>
                <c:pt idx="155">
                  <c:v>3.2399999999999998E-2</c:v>
                </c:pt>
                <c:pt idx="156">
                  <c:v>3.1572999999999997E-2</c:v>
                </c:pt>
                <c:pt idx="157">
                  <c:v>3.3752999999999998E-2</c:v>
                </c:pt>
                <c:pt idx="158">
                  <c:v>3.3224999999999998E-2</c:v>
                </c:pt>
                <c:pt idx="159">
                  <c:v>3.2924000000000002E-2</c:v>
                </c:pt>
                <c:pt idx="160">
                  <c:v>3.2508000000000002E-2</c:v>
                </c:pt>
                <c:pt idx="161">
                  <c:v>3.1821000000000002E-2</c:v>
                </c:pt>
                <c:pt idx="162">
                  <c:v>2.9923999999999999E-2</c:v>
                </c:pt>
                <c:pt idx="163">
                  <c:v>2.9953E-2</c:v>
                </c:pt>
                <c:pt idx="164">
                  <c:v>3.2783E-2</c:v>
                </c:pt>
                <c:pt idx="165">
                  <c:v>3.3119999999999997E-2</c:v>
                </c:pt>
                <c:pt idx="166">
                  <c:v>3.2953999999999997E-2</c:v>
                </c:pt>
                <c:pt idx="167">
                  <c:v>3.4028000000000003E-2</c:v>
                </c:pt>
                <c:pt idx="168">
                  <c:v>3.0300000000000001E-2</c:v>
                </c:pt>
                <c:pt idx="169">
                  <c:v>3.0630000000000001E-2</c:v>
                </c:pt>
                <c:pt idx="170">
                  <c:v>2.9680000000000002E-2</c:v>
                </c:pt>
                <c:pt idx="171">
                  <c:v>3.0048999999999999E-2</c:v>
                </c:pt>
                <c:pt idx="172">
                  <c:v>2.8107E-2</c:v>
                </c:pt>
                <c:pt idx="173">
                  <c:v>3.0084E-2</c:v>
                </c:pt>
                <c:pt idx="174">
                  <c:v>2.5463E-2</c:v>
                </c:pt>
                <c:pt idx="175">
                  <c:v>2.6526000000000001E-2</c:v>
                </c:pt>
                <c:pt idx="176">
                  <c:v>2.5776E-2</c:v>
                </c:pt>
                <c:pt idx="177">
                  <c:v>2.4617E-2</c:v>
                </c:pt>
                <c:pt idx="178">
                  <c:v>2.6193999999999999E-2</c:v>
                </c:pt>
                <c:pt idx="179">
                  <c:v>2.2332000000000001E-2</c:v>
                </c:pt>
                <c:pt idx="180">
                  <c:v>2.2068999999999998E-2</c:v>
                </c:pt>
                <c:pt idx="181">
                  <c:v>2.2079999999999999E-2</c:v>
                </c:pt>
                <c:pt idx="182">
                  <c:v>2.1628000000000001E-2</c:v>
                </c:pt>
                <c:pt idx="183">
                  <c:v>2.1552000000000002E-2</c:v>
                </c:pt>
                <c:pt idx="184">
                  <c:v>2.2214000000000001E-2</c:v>
                </c:pt>
                <c:pt idx="185">
                  <c:v>2.1371000000000001E-2</c:v>
                </c:pt>
                <c:pt idx="186">
                  <c:v>2.0083E-2</c:v>
                </c:pt>
                <c:pt idx="187">
                  <c:v>2.0583000000000001E-2</c:v>
                </c:pt>
                <c:pt idx="188">
                  <c:v>2.069E-2</c:v>
                </c:pt>
                <c:pt idx="189">
                  <c:v>1.9678999999999999E-2</c:v>
                </c:pt>
                <c:pt idx="190">
                  <c:v>1.8762000000000001E-2</c:v>
                </c:pt>
                <c:pt idx="191">
                  <c:v>1.6361000000000001E-2</c:v>
                </c:pt>
                <c:pt idx="192">
                  <c:v>1.771E-2</c:v>
                </c:pt>
                <c:pt idx="193">
                  <c:v>1.9387000000000001E-2</c:v>
                </c:pt>
                <c:pt idx="194">
                  <c:v>1.9335999999999999E-2</c:v>
                </c:pt>
                <c:pt idx="195">
                  <c:v>1.9806000000000001E-2</c:v>
                </c:pt>
                <c:pt idx="196">
                  <c:v>2.0147999999999999E-2</c:v>
                </c:pt>
                <c:pt idx="197">
                  <c:v>2.1139000000000002E-2</c:v>
                </c:pt>
                <c:pt idx="198">
                  <c:v>2.1839999999999998E-2</c:v>
                </c:pt>
                <c:pt idx="199">
                  <c:v>2.2835000000000001E-2</c:v>
                </c:pt>
                <c:pt idx="200">
                  <c:v>2.3050999999999999E-2</c:v>
                </c:pt>
                <c:pt idx="201">
                  <c:v>2.2544000000000002E-2</c:v>
                </c:pt>
                <c:pt idx="202">
                  <c:v>2.2934E-2</c:v>
                </c:pt>
                <c:pt idx="203">
                  <c:v>2.2488000000000001E-2</c:v>
                </c:pt>
                <c:pt idx="204">
                  <c:v>2.4316999999999998E-2</c:v>
                </c:pt>
                <c:pt idx="205">
                  <c:v>2.3191E-2</c:v>
                </c:pt>
                <c:pt idx="206">
                  <c:v>2.2193000000000001E-2</c:v>
                </c:pt>
                <c:pt idx="207">
                  <c:v>2.3569E-2</c:v>
                </c:pt>
                <c:pt idx="208">
                  <c:v>2.3373000000000001E-2</c:v>
                </c:pt>
                <c:pt idx="209">
                  <c:v>2.2142999999999999E-2</c:v>
                </c:pt>
                <c:pt idx="210">
                  <c:v>2.273E-2</c:v>
                </c:pt>
                <c:pt idx="211">
                  <c:v>2.2249999999999999E-2</c:v>
                </c:pt>
                <c:pt idx="212">
                  <c:v>2.2506999999999999E-2</c:v>
                </c:pt>
                <c:pt idx="213">
                  <c:v>2.2221999999999999E-2</c:v>
                </c:pt>
                <c:pt idx="214">
                  <c:v>2.0865000000000002E-2</c:v>
                </c:pt>
                <c:pt idx="215">
                  <c:v>2.0004999999999998E-2</c:v>
                </c:pt>
                <c:pt idx="216">
                  <c:v>1.9705E-2</c:v>
                </c:pt>
                <c:pt idx="217">
                  <c:v>2.3566E-2</c:v>
                </c:pt>
                <c:pt idx="218">
                  <c:v>2.2391999999999999E-2</c:v>
                </c:pt>
                <c:pt idx="219">
                  <c:v>2.0892000000000001E-2</c:v>
                </c:pt>
                <c:pt idx="220">
                  <c:v>2.2197999999999999E-2</c:v>
                </c:pt>
                <c:pt idx="221">
                  <c:v>2.8365000000000001E-2</c:v>
                </c:pt>
                <c:pt idx="222">
                  <c:v>2.8679E-2</c:v>
                </c:pt>
                <c:pt idx="223">
                  <c:v>2.8601000000000001E-2</c:v>
                </c:pt>
                <c:pt idx="224">
                  <c:v>3.0818999999999999E-2</c:v>
                </c:pt>
                <c:pt idx="225">
                  <c:v>3.116E-2</c:v>
                </c:pt>
                <c:pt idx="226">
                  <c:v>3.4036999999999998E-2</c:v>
                </c:pt>
                <c:pt idx="227">
                  <c:v>3.2640000000000002E-2</c:v>
                </c:pt>
                <c:pt idx="228">
                  <c:v>3.2724999999999997E-2</c:v>
                </c:pt>
                <c:pt idx="229">
                  <c:v>3.0530000000000002E-2</c:v>
                </c:pt>
                <c:pt idx="230">
                  <c:v>3.1215E-2</c:v>
                </c:pt>
                <c:pt idx="231">
                  <c:v>3.7154E-2</c:v>
                </c:pt>
                <c:pt idx="232">
                  <c:v>3.5645000000000003E-2</c:v>
                </c:pt>
                <c:pt idx="233">
                  <c:v>2.9000000000000001E-2</c:v>
                </c:pt>
                <c:pt idx="234">
                  <c:v>2.7470000000000001E-2</c:v>
                </c:pt>
                <c:pt idx="235">
                  <c:v>3.2492E-2</c:v>
                </c:pt>
                <c:pt idx="236">
                  <c:v>2.9583000000000002E-2</c:v>
                </c:pt>
                <c:pt idx="237">
                  <c:v>2.8281000000000001E-2</c:v>
                </c:pt>
                <c:pt idx="238">
                  <c:v>3.3092999999999997E-2</c:v>
                </c:pt>
                <c:pt idx="239">
                  <c:v>2.8867E-2</c:v>
                </c:pt>
                <c:pt idx="240">
                  <c:v>2.7925999999999999E-2</c:v>
                </c:pt>
                <c:pt idx="241">
                  <c:v>2.9696E-2</c:v>
                </c:pt>
                <c:pt idx="242">
                  <c:v>2.8108000000000001E-2</c:v>
                </c:pt>
                <c:pt idx="243">
                  <c:v>2.6481000000000001E-2</c:v>
                </c:pt>
                <c:pt idx="244">
                  <c:v>2.8597999999999998E-2</c:v>
                </c:pt>
                <c:pt idx="245">
                  <c:v>3.3936000000000001E-2</c:v>
                </c:pt>
                <c:pt idx="246">
                  <c:v>3.5595000000000002E-2</c:v>
                </c:pt>
                <c:pt idx="247">
                  <c:v>3.0280999999999999E-2</c:v>
                </c:pt>
                <c:pt idx="248">
                  <c:v>2.8836000000000001E-2</c:v>
                </c:pt>
                <c:pt idx="249">
                  <c:v>2.1675E-2</c:v>
                </c:pt>
                <c:pt idx="250">
                  <c:v>2.6591E-2</c:v>
                </c:pt>
                <c:pt idx="251">
                  <c:v>2.8746000000000001E-2</c:v>
                </c:pt>
                <c:pt idx="252">
                  <c:v>3.6936999999999998E-2</c:v>
                </c:pt>
                <c:pt idx="253">
                  <c:v>3.2014000000000001E-2</c:v>
                </c:pt>
                <c:pt idx="254">
                  <c:v>4.8265000000000002E-2</c:v>
                </c:pt>
                <c:pt idx="255">
                  <c:v>4.8254999999999999E-2</c:v>
                </c:pt>
                <c:pt idx="256">
                  <c:v>5.2935999999999997E-2</c:v>
                </c:pt>
                <c:pt idx="257">
                  <c:v>5.5280000000000003E-2</c:v>
                </c:pt>
                <c:pt idx="258">
                  <c:v>5.9537E-2</c:v>
                </c:pt>
                <c:pt idx="259">
                  <c:v>5.9250999999999998E-2</c:v>
                </c:pt>
                <c:pt idx="260">
                  <c:v>5.7067E-2</c:v>
                </c:pt>
                <c:pt idx="261">
                  <c:v>7.6996999999999996E-2</c:v>
                </c:pt>
                <c:pt idx="262">
                  <c:v>7.2766999999999998E-2</c:v>
                </c:pt>
                <c:pt idx="263">
                  <c:v>8.7300000000000003E-2</c:v>
                </c:pt>
                <c:pt idx="264">
                  <c:v>9.6005999999999994E-2</c:v>
                </c:pt>
                <c:pt idx="265">
                  <c:v>6.8869E-2</c:v>
                </c:pt>
                <c:pt idx="266">
                  <c:v>7.3332999999999995E-2</c:v>
                </c:pt>
                <c:pt idx="267">
                  <c:v>7.3302000000000006E-2</c:v>
                </c:pt>
                <c:pt idx="268">
                  <c:v>6.1899999999999997E-2</c:v>
                </c:pt>
                <c:pt idx="269">
                  <c:v>6.8635000000000002E-2</c:v>
                </c:pt>
                <c:pt idx="270">
                  <c:v>6.5919000000000005E-2</c:v>
                </c:pt>
                <c:pt idx="271">
                  <c:v>5.7607999999999999E-2</c:v>
                </c:pt>
                <c:pt idx="272">
                  <c:v>5.3262999999999998E-2</c:v>
                </c:pt>
                <c:pt idx="273">
                  <c:v>4.7653000000000001E-2</c:v>
                </c:pt>
                <c:pt idx="274">
                  <c:v>4.5208999999999999E-2</c:v>
                </c:pt>
                <c:pt idx="275">
                  <c:v>4.8307000000000003E-2</c:v>
                </c:pt>
                <c:pt idx="276">
                  <c:v>4.0492E-2</c:v>
                </c:pt>
                <c:pt idx="277">
                  <c:v>3.3265000000000003E-2</c:v>
                </c:pt>
                <c:pt idx="278">
                  <c:v>3.4199E-2</c:v>
                </c:pt>
                <c:pt idx="279">
                  <c:v>3.7330000000000002E-2</c:v>
                </c:pt>
                <c:pt idx="280">
                  <c:v>3.7346999999999998E-2</c:v>
                </c:pt>
                <c:pt idx="281">
                  <c:v>4.3914000000000002E-2</c:v>
                </c:pt>
                <c:pt idx="282">
                  <c:v>4.5808000000000001E-2</c:v>
                </c:pt>
                <c:pt idx="283">
                  <c:v>4.6676000000000002E-2</c:v>
                </c:pt>
                <c:pt idx="284">
                  <c:v>5.3291999999999999E-2</c:v>
                </c:pt>
                <c:pt idx="285">
                  <c:v>6.1362E-2</c:v>
                </c:pt>
                <c:pt idx="286">
                  <c:v>6.1268000000000003E-2</c:v>
                </c:pt>
                <c:pt idx="287">
                  <c:v>6.3943E-2</c:v>
                </c:pt>
                <c:pt idx="288">
                  <c:v>6.3932000000000003E-2</c:v>
                </c:pt>
                <c:pt idx="289">
                  <c:v>6.4255000000000007E-2</c:v>
                </c:pt>
                <c:pt idx="290">
                  <c:v>6.5300999999999998E-2</c:v>
                </c:pt>
                <c:pt idx="291">
                  <c:v>6.7250000000000004E-2</c:v>
                </c:pt>
                <c:pt idx="292">
                  <c:v>6.9690000000000002E-2</c:v>
                </c:pt>
                <c:pt idx="293">
                  <c:v>7.4216000000000004E-2</c:v>
                </c:pt>
                <c:pt idx="294">
                  <c:v>7.2345999999999994E-2</c:v>
                </c:pt>
                <c:pt idx="295">
                  <c:v>6.1008E-2</c:v>
                </c:pt>
                <c:pt idx="296">
                  <c:v>6.2643000000000004E-2</c:v>
                </c:pt>
                <c:pt idx="297">
                  <c:v>7.0971999999999993E-2</c:v>
                </c:pt>
                <c:pt idx="298">
                  <c:v>5.2497000000000002E-2</c:v>
                </c:pt>
                <c:pt idx="299">
                  <c:v>4.6356000000000001E-2</c:v>
                </c:pt>
                <c:pt idx="300">
                  <c:v>5.1025000000000001E-2</c:v>
                </c:pt>
                <c:pt idx="301">
                  <c:v>5.4538000000000003E-2</c:v>
                </c:pt>
                <c:pt idx="302">
                  <c:v>5.4505999999999999E-2</c:v>
                </c:pt>
                <c:pt idx="303">
                  <c:v>5.6320000000000002E-2</c:v>
                </c:pt>
                <c:pt idx="304">
                  <c:v>5.6239999999999998E-2</c:v>
                </c:pt>
                <c:pt idx="305">
                  <c:v>5.1830000000000001E-2</c:v>
                </c:pt>
                <c:pt idx="306">
                  <c:v>5.4706999999999999E-2</c:v>
                </c:pt>
                <c:pt idx="307">
                  <c:v>4.9603000000000001E-2</c:v>
                </c:pt>
                <c:pt idx="308">
                  <c:v>4.7757000000000001E-2</c:v>
                </c:pt>
                <c:pt idx="309">
                  <c:v>5.1804000000000003E-2</c:v>
                </c:pt>
                <c:pt idx="310">
                  <c:v>4.5450999999999998E-2</c:v>
                </c:pt>
                <c:pt idx="311">
                  <c:v>4.6475000000000002E-2</c:v>
                </c:pt>
                <c:pt idx="312">
                  <c:v>4.3180999999999997E-2</c:v>
                </c:pt>
                <c:pt idx="313">
                  <c:v>3.8273000000000001E-2</c:v>
                </c:pt>
                <c:pt idx="314">
                  <c:v>3.6184000000000001E-2</c:v>
                </c:pt>
                <c:pt idx="315">
                  <c:v>3.5249999999999997E-2</c:v>
                </c:pt>
                <c:pt idx="316">
                  <c:v>3.5432999999999999E-2</c:v>
                </c:pt>
                <c:pt idx="317">
                  <c:v>3.7101000000000002E-2</c:v>
                </c:pt>
                <c:pt idx="318">
                  <c:v>3.5074000000000001E-2</c:v>
                </c:pt>
                <c:pt idx="319">
                  <c:v>3.1021E-2</c:v>
                </c:pt>
                <c:pt idx="320">
                  <c:v>3.4521000000000003E-2</c:v>
                </c:pt>
                <c:pt idx="321">
                  <c:v>3.2212999999999999E-2</c:v>
                </c:pt>
                <c:pt idx="322">
                  <c:v>3.3861000000000002E-2</c:v>
                </c:pt>
                <c:pt idx="323">
                  <c:v>2.9059000000000001E-2</c:v>
                </c:pt>
                <c:pt idx="324">
                  <c:v>2.6779000000000001E-2</c:v>
                </c:pt>
                <c:pt idx="325">
                  <c:v>2.4024E-2</c:v>
                </c:pt>
                <c:pt idx="326">
                  <c:v>2.452E-2</c:v>
                </c:pt>
                <c:pt idx="327">
                  <c:v>2.511E-2</c:v>
                </c:pt>
                <c:pt idx="328">
                  <c:v>2.4140000000000002E-2</c:v>
                </c:pt>
                <c:pt idx="329">
                  <c:v>2.1010999999999998E-2</c:v>
                </c:pt>
                <c:pt idx="330">
                  <c:v>2.0643999999999999E-2</c:v>
                </c:pt>
                <c:pt idx="331">
                  <c:v>1.8565000000000002E-2</c:v>
                </c:pt>
                <c:pt idx="332">
                  <c:v>1.9359000000000001E-2</c:v>
                </c:pt>
                <c:pt idx="333">
                  <c:v>1.7729999999999999E-2</c:v>
                </c:pt>
                <c:pt idx="334">
                  <c:v>1.9206999999999998E-2</c:v>
                </c:pt>
                <c:pt idx="335">
                  <c:v>1.8690999999999999E-2</c:v>
                </c:pt>
                <c:pt idx="336">
                  <c:v>1.9E-2</c:v>
                </c:pt>
                <c:pt idx="337">
                  <c:v>2.0653000000000001E-2</c:v>
                </c:pt>
                <c:pt idx="338">
                  <c:v>1.8408999999999998E-2</c:v>
                </c:pt>
                <c:pt idx="339">
                  <c:v>2.4247999999999999E-2</c:v>
                </c:pt>
                <c:pt idx="340">
                  <c:v>2.6502000000000001E-2</c:v>
                </c:pt>
                <c:pt idx="341">
                  <c:v>2.6436000000000001E-2</c:v>
                </c:pt>
                <c:pt idx="342">
                  <c:v>2.6768E-2</c:v>
                </c:pt>
                <c:pt idx="343">
                  <c:v>2.4969999999999999E-2</c:v>
                </c:pt>
                <c:pt idx="344">
                  <c:v>2.3637999999999999E-2</c:v>
                </c:pt>
                <c:pt idx="345">
                  <c:v>2.6709E-2</c:v>
                </c:pt>
                <c:pt idx="346">
                  <c:v>2.0899999999999998E-2</c:v>
                </c:pt>
                <c:pt idx="347">
                  <c:v>2.1857000000000001E-2</c:v>
                </c:pt>
                <c:pt idx="348">
                  <c:v>2.3542E-2</c:v>
                </c:pt>
                <c:pt idx="349">
                  <c:v>2.1728000000000001E-2</c:v>
                </c:pt>
                <c:pt idx="350">
                  <c:v>2.0714E-2</c:v>
                </c:pt>
                <c:pt idx="351">
                  <c:v>1.6961E-2</c:v>
                </c:pt>
                <c:pt idx="352">
                  <c:v>1.7434999999999999E-2</c:v>
                </c:pt>
                <c:pt idx="353">
                  <c:v>1.4999999999999999E-2</c:v>
                </c:pt>
                <c:pt idx="354">
                  <c:v>1.3885E-2</c:v>
                </c:pt>
                <c:pt idx="355">
                  <c:v>1.4336E-2</c:v>
                </c:pt>
                <c:pt idx="356">
                  <c:v>1.5833E-2</c:v>
                </c:pt>
                <c:pt idx="357">
                  <c:v>1.4787E-2</c:v>
                </c:pt>
                <c:pt idx="358">
                  <c:v>1.5131E-2</c:v>
                </c:pt>
                <c:pt idx="359">
                  <c:v>1.4094000000000001E-2</c:v>
                </c:pt>
                <c:pt idx="360">
                  <c:v>1.2741000000000001E-2</c:v>
                </c:pt>
                <c:pt idx="361">
                  <c:v>1.2888999999999999E-2</c:v>
                </c:pt>
                <c:pt idx="362">
                  <c:v>1.1984E-2</c:v>
                </c:pt>
                <c:pt idx="363">
                  <c:v>1.0957E-2</c:v>
                </c:pt>
                <c:pt idx="364">
                  <c:v>1.0626999999999999E-2</c:v>
                </c:pt>
                <c:pt idx="365">
                  <c:v>9.0139999999999994E-3</c:v>
                </c:pt>
                <c:pt idx="366">
                  <c:v>1.0226000000000001E-2</c:v>
                </c:pt>
                <c:pt idx="367">
                  <c:v>1.0506E-2</c:v>
                </c:pt>
                <c:pt idx="368">
                  <c:v>1.0708000000000001E-2</c:v>
                </c:pt>
                <c:pt idx="369">
                  <c:v>1.0204E-2</c:v>
                </c:pt>
                <c:pt idx="370">
                  <c:v>1.0068000000000001E-2</c:v>
                </c:pt>
                <c:pt idx="371">
                  <c:v>9.2999999999999992E-3</c:v>
                </c:pt>
                <c:pt idx="372">
                  <c:v>1.0187999999999999E-2</c:v>
                </c:pt>
                <c:pt idx="373">
                  <c:v>9.8759999999999994E-3</c:v>
                </c:pt>
                <c:pt idx="374">
                  <c:v>1.0038999999999999E-2</c:v>
                </c:pt>
                <c:pt idx="375">
                  <c:v>9.5440000000000004E-3</c:v>
                </c:pt>
                <c:pt idx="376">
                  <c:v>9.7940000000000006E-3</c:v>
                </c:pt>
                <c:pt idx="377">
                  <c:v>9.8420000000000001E-3</c:v>
                </c:pt>
                <c:pt idx="378">
                  <c:v>9.4269999999999996E-3</c:v>
                </c:pt>
                <c:pt idx="379">
                  <c:v>9.4889999999999992E-3</c:v>
                </c:pt>
                <c:pt idx="380">
                  <c:v>8.6099999999999996E-3</c:v>
                </c:pt>
                <c:pt idx="381">
                  <c:v>8.7989999999999995E-3</c:v>
                </c:pt>
                <c:pt idx="382">
                  <c:v>9.1039999999999992E-3</c:v>
                </c:pt>
                <c:pt idx="383">
                  <c:v>1.0104999999999999E-2</c:v>
                </c:pt>
                <c:pt idx="384">
                  <c:v>9.2040000000000004E-3</c:v>
                </c:pt>
                <c:pt idx="385">
                  <c:v>9.4649999999999995E-3</c:v>
                </c:pt>
                <c:pt idx="386">
                  <c:v>9.1839999999999995E-3</c:v>
                </c:pt>
                <c:pt idx="387">
                  <c:v>8.5880000000000001E-3</c:v>
                </c:pt>
                <c:pt idx="388">
                  <c:v>8.9999999999999993E-3</c:v>
                </c:pt>
                <c:pt idx="389">
                  <c:v>8.5520000000000006E-3</c:v>
                </c:pt>
                <c:pt idx="390">
                  <c:v>8.1700000000000002E-3</c:v>
                </c:pt>
                <c:pt idx="391">
                  <c:v>8.6470000000000002E-3</c:v>
                </c:pt>
                <c:pt idx="392">
                  <c:v>8.1349999999999999E-3</c:v>
                </c:pt>
                <c:pt idx="393">
                  <c:v>8.3040000000000006E-3</c:v>
                </c:pt>
                <c:pt idx="394">
                  <c:v>8.4790000000000004E-3</c:v>
                </c:pt>
                <c:pt idx="395">
                  <c:v>9.1500000000000001E-3</c:v>
                </c:pt>
                <c:pt idx="396">
                  <c:v>9.4210000000000006E-3</c:v>
                </c:pt>
                <c:pt idx="397">
                  <c:v>8.8920000000000006E-3</c:v>
                </c:pt>
                <c:pt idx="398">
                  <c:v>8.8880000000000001E-3</c:v>
                </c:pt>
                <c:pt idx="399">
                  <c:v>9.0460000000000002E-3</c:v>
                </c:pt>
                <c:pt idx="400">
                  <c:v>8.0269999999999994E-3</c:v>
                </c:pt>
                <c:pt idx="401">
                  <c:v>1.0423999999999999E-2</c:v>
                </c:pt>
                <c:pt idx="402">
                  <c:v>1.0713E-2</c:v>
                </c:pt>
                <c:pt idx="403">
                  <c:v>1.174E-2</c:v>
                </c:pt>
                <c:pt idx="404">
                  <c:v>7.9030000000000003E-3</c:v>
                </c:pt>
                <c:pt idx="405">
                  <c:v>7.8569999999999994E-3</c:v>
                </c:pt>
                <c:pt idx="406">
                  <c:v>8.0429999999999998E-3</c:v>
                </c:pt>
                <c:pt idx="407">
                  <c:v>7.5050000000000004E-3</c:v>
                </c:pt>
                <c:pt idx="408">
                  <c:v>7.7039999999999999E-3</c:v>
                </c:pt>
                <c:pt idx="409">
                  <c:v>8.0020000000000004E-3</c:v>
                </c:pt>
                <c:pt idx="410">
                  <c:v>7.6940000000000003E-3</c:v>
                </c:pt>
                <c:pt idx="411">
                  <c:v>7.731E-3</c:v>
                </c:pt>
                <c:pt idx="412">
                  <c:v>7.4510000000000002E-3</c:v>
                </c:pt>
                <c:pt idx="413">
                  <c:v>7.5789999999999998E-3</c:v>
                </c:pt>
                <c:pt idx="414">
                  <c:v>7.247E-3</c:v>
                </c:pt>
                <c:pt idx="415">
                  <c:v>6.9649999999999998E-3</c:v>
                </c:pt>
                <c:pt idx="416">
                  <c:v>7.6049999999999998E-3</c:v>
                </c:pt>
                <c:pt idx="417">
                  <c:v>7.6059999999999999E-3</c:v>
                </c:pt>
                <c:pt idx="418">
                  <c:v>7.7419999999999998E-3</c:v>
                </c:pt>
                <c:pt idx="419">
                  <c:v>7.5300000000000002E-3</c:v>
                </c:pt>
                <c:pt idx="420">
                  <c:v>8.0020000000000004E-3</c:v>
                </c:pt>
                <c:pt idx="421">
                  <c:v>7.8270000000000006E-3</c:v>
                </c:pt>
                <c:pt idx="422">
                  <c:v>7.737E-3</c:v>
                </c:pt>
                <c:pt idx="423">
                  <c:v>7.8750000000000001E-3</c:v>
                </c:pt>
                <c:pt idx="424">
                  <c:v>7.986E-3</c:v>
                </c:pt>
                <c:pt idx="425">
                  <c:v>7.8469999999999998E-3</c:v>
                </c:pt>
                <c:pt idx="426">
                  <c:v>7.4929999999999997E-3</c:v>
                </c:pt>
                <c:pt idx="427">
                  <c:v>7.4520000000000003E-3</c:v>
                </c:pt>
                <c:pt idx="428">
                  <c:v>8.5470000000000008E-3</c:v>
                </c:pt>
                <c:pt idx="429">
                  <c:v>8.5179999999999995E-3</c:v>
                </c:pt>
                <c:pt idx="430">
                  <c:v>8.3269999999999993E-3</c:v>
                </c:pt>
                <c:pt idx="431">
                  <c:v>8.1410000000000007E-3</c:v>
                </c:pt>
                <c:pt idx="432">
                  <c:v>8.9149999999999993E-3</c:v>
                </c:pt>
                <c:pt idx="433">
                  <c:v>7.2119999999999997E-3</c:v>
                </c:pt>
                <c:pt idx="434">
                  <c:v>6.9800000000000001E-3</c:v>
                </c:pt>
                <c:pt idx="435">
                  <c:v>7.2360000000000002E-3</c:v>
                </c:pt>
                <c:pt idx="436">
                  <c:v>7.7749999999999998E-3</c:v>
                </c:pt>
                <c:pt idx="437">
                  <c:v>7.7039999999999999E-3</c:v>
                </c:pt>
                <c:pt idx="438">
                  <c:v>7.5779999999999997E-3</c:v>
                </c:pt>
                <c:pt idx="439">
                  <c:v>8.1949999999999992E-3</c:v>
                </c:pt>
                <c:pt idx="440">
                  <c:v>7.953E-3</c:v>
                </c:pt>
                <c:pt idx="441">
                  <c:v>7.4999999999999997E-3</c:v>
                </c:pt>
                <c:pt idx="442">
                  <c:v>7.8359999999999992E-3</c:v>
                </c:pt>
                <c:pt idx="443">
                  <c:v>8.1639999999999994E-3</c:v>
                </c:pt>
                <c:pt idx="444">
                  <c:v>7.417E-3</c:v>
                </c:pt>
                <c:pt idx="445">
                  <c:v>7.8139999999999998E-3</c:v>
                </c:pt>
                <c:pt idx="446">
                  <c:v>7.2009999999999999E-3</c:v>
                </c:pt>
                <c:pt idx="447">
                  <c:v>8.2579999999999997E-3</c:v>
                </c:pt>
                <c:pt idx="448">
                  <c:v>6.0679999999999996E-3</c:v>
                </c:pt>
                <c:pt idx="449">
                  <c:v>5.6140000000000001E-3</c:v>
                </c:pt>
                <c:pt idx="450">
                  <c:v>5.5960000000000003E-3</c:v>
                </c:pt>
                <c:pt idx="451">
                  <c:v>6.1500000000000001E-3</c:v>
                </c:pt>
                <c:pt idx="452">
                  <c:v>6.5259999999999997E-3</c:v>
                </c:pt>
                <c:pt idx="453">
                  <c:v>6.6369999999999997E-3</c:v>
                </c:pt>
                <c:pt idx="454">
                  <c:v>6.3850000000000001E-3</c:v>
                </c:pt>
                <c:pt idx="455">
                  <c:v>6.7260000000000002E-3</c:v>
                </c:pt>
                <c:pt idx="456">
                  <c:v>6.6810000000000003E-3</c:v>
                </c:pt>
                <c:pt idx="457">
                  <c:v>7.3699999999999998E-3</c:v>
                </c:pt>
                <c:pt idx="458">
                  <c:v>7.1739999999999998E-3</c:v>
                </c:pt>
                <c:pt idx="459">
                  <c:v>7.3080000000000003E-3</c:v>
                </c:pt>
                <c:pt idx="460">
                  <c:v>7.685E-3</c:v>
                </c:pt>
                <c:pt idx="461">
                  <c:v>7.8410000000000007E-3</c:v>
                </c:pt>
                <c:pt idx="462">
                  <c:v>7.0330000000000002E-3</c:v>
                </c:pt>
                <c:pt idx="463">
                  <c:v>6.7330000000000003E-3</c:v>
                </c:pt>
                <c:pt idx="464">
                  <c:v>6.5890000000000002E-3</c:v>
                </c:pt>
                <c:pt idx="465">
                  <c:v>7.2160000000000002E-3</c:v>
                </c:pt>
                <c:pt idx="466">
                  <c:v>7.2500000000000004E-3</c:v>
                </c:pt>
                <c:pt idx="467">
                  <c:v>7.2300000000000003E-3</c:v>
                </c:pt>
                <c:pt idx="468">
                  <c:v>6.9480000000000002E-3</c:v>
                </c:pt>
                <c:pt idx="469">
                  <c:v>7.2719999999999998E-3</c:v>
                </c:pt>
                <c:pt idx="470">
                  <c:v>7.4879999999999999E-3</c:v>
                </c:pt>
                <c:pt idx="471">
                  <c:v>7.8200000000000006E-3</c:v>
                </c:pt>
                <c:pt idx="472">
                  <c:v>7.7840000000000001E-3</c:v>
                </c:pt>
                <c:pt idx="473">
                  <c:v>7.9979999999999999E-3</c:v>
                </c:pt>
                <c:pt idx="474">
                  <c:v>7.8440000000000003E-3</c:v>
                </c:pt>
                <c:pt idx="475">
                  <c:v>8.0700000000000008E-3</c:v>
                </c:pt>
                <c:pt idx="476">
                  <c:v>7.2979999999999998E-3</c:v>
                </c:pt>
                <c:pt idx="477">
                  <c:v>7.1609999999999998E-3</c:v>
                </c:pt>
                <c:pt idx="478">
                  <c:v>6.7660000000000003E-3</c:v>
                </c:pt>
                <c:pt idx="479">
                  <c:v>8.0000000000000002E-3</c:v>
                </c:pt>
                <c:pt idx="480">
                  <c:v>7.9120000000000006E-3</c:v>
                </c:pt>
                <c:pt idx="481">
                  <c:v>7.9869999999999993E-3</c:v>
                </c:pt>
                <c:pt idx="482">
                  <c:v>8.1840000000000003E-3</c:v>
                </c:pt>
                <c:pt idx="483">
                  <c:v>9.3369999999999998E-3</c:v>
                </c:pt>
                <c:pt idx="484">
                  <c:v>9.7850000000000003E-3</c:v>
                </c:pt>
                <c:pt idx="485">
                  <c:v>9.9799999999999993E-3</c:v>
                </c:pt>
                <c:pt idx="486">
                  <c:v>9.8580000000000004E-3</c:v>
                </c:pt>
                <c:pt idx="487">
                  <c:v>1.0108000000000001E-2</c:v>
                </c:pt>
                <c:pt idx="488">
                  <c:v>1.0531E-2</c:v>
                </c:pt>
                <c:pt idx="489">
                  <c:v>1.0775E-2</c:v>
                </c:pt>
                <c:pt idx="490">
                  <c:v>1.0718E-2</c:v>
                </c:pt>
                <c:pt idx="491">
                  <c:v>9.8309999999999995E-3</c:v>
                </c:pt>
                <c:pt idx="492">
                  <c:v>1.0004000000000001E-2</c:v>
                </c:pt>
                <c:pt idx="493">
                  <c:v>1.0002E-2</c:v>
                </c:pt>
                <c:pt idx="494">
                  <c:v>1.1573E-2</c:v>
                </c:pt>
                <c:pt idx="495">
                  <c:v>1.136E-2</c:v>
                </c:pt>
                <c:pt idx="496">
                  <c:v>1.162E-2</c:v>
                </c:pt>
                <c:pt idx="497">
                  <c:v>1.2351000000000001E-2</c:v>
                </c:pt>
                <c:pt idx="498">
                  <c:v>1.1868E-2</c:v>
                </c:pt>
                <c:pt idx="499">
                  <c:v>1.2082000000000001E-2</c:v>
                </c:pt>
                <c:pt idx="500">
                  <c:v>1.4253999999999999E-2</c:v>
                </c:pt>
                <c:pt idx="501">
                  <c:v>1.6043999999999999E-2</c:v>
                </c:pt>
                <c:pt idx="502">
                  <c:v>1.5278999999999999E-2</c:v>
                </c:pt>
                <c:pt idx="503">
                  <c:v>1.3672999999999999E-2</c:v>
                </c:pt>
                <c:pt idx="504">
                  <c:v>1.4050999999999999E-2</c:v>
                </c:pt>
                <c:pt idx="505">
                  <c:v>1.3143999999999999E-2</c:v>
                </c:pt>
                <c:pt idx="506">
                  <c:v>1.2629E-2</c:v>
                </c:pt>
                <c:pt idx="507">
                  <c:v>1.3381000000000001E-2</c:v>
                </c:pt>
                <c:pt idx="508">
                  <c:v>1.4333E-2</c:v>
                </c:pt>
                <c:pt idx="509">
                  <c:v>1.3759E-2</c:v>
                </c:pt>
                <c:pt idx="510">
                  <c:v>1.7448000000000002E-2</c:v>
                </c:pt>
                <c:pt idx="511">
                  <c:v>1.5800999999999999E-2</c:v>
                </c:pt>
                <c:pt idx="512">
                  <c:v>2.0199999999999999E-2</c:v>
                </c:pt>
                <c:pt idx="513">
                  <c:v>2.5999999999999999E-2</c:v>
                </c:pt>
                <c:pt idx="514">
                  <c:v>2.8324999999999999E-2</c:v>
                </c:pt>
                <c:pt idx="515">
                  <c:v>1.6199999999999999E-2</c:v>
                </c:pt>
                <c:pt idx="516">
                  <c:v>1.17E-2</c:v>
                </c:pt>
                <c:pt idx="517">
                  <c:v>1.0151E-2</c:v>
                </c:pt>
                <c:pt idx="518">
                  <c:v>9.5999999999999992E-3</c:v>
                </c:pt>
                <c:pt idx="519">
                  <c:v>1.0427000000000001E-2</c:v>
                </c:pt>
                <c:pt idx="520">
                  <c:v>9.188E-3</c:v>
                </c:pt>
                <c:pt idx="521">
                  <c:v>9.2200000000000008E-3</c:v>
                </c:pt>
                <c:pt idx="522">
                  <c:v>9.221E-3</c:v>
                </c:pt>
                <c:pt idx="523">
                  <c:v>8.9309999999999997E-3</c:v>
                </c:pt>
                <c:pt idx="524">
                  <c:v>8.8669999999999999E-3</c:v>
                </c:pt>
                <c:pt idx="525">
                  <c:v>9.4940000000000007E-3</c:v>
                </c:pt>
                <c:pt idx="526">
                  <c:v>8.914E-3</c:v>
                </c:pt>
                <c:pt idx="527">
                  <c:v>9.7050000000000001E-3</c:v>
                </c:pt>
                <c:pt idx="528">
                  <c:v>9.7109999999999991E-3</c:v>
                </c:pt>
                <c:pt idx="529">
                  <c:v>9.4780000000000003E-3</c:v>
                </c:pt>
                <c:pt idx="530">
                  <c:v>9.2460000000000007E-3</c:v>
                </c:pt>
                <c:pt idx="531">
                  <c:v>9.0989999999999994E-3</c:v>
                </c:pt>
                <c:pt idx="532">
                  <c:v>8.8959999999999994E-3</c:v>
                </c:pt>
                <c:pt idx="533">
                  <c:v>8.9599999999999992E-3</c:v>
                </c:pt>
                <c:pt idx="534">
                  <c:v>8.3479999999999995E-3</c:v>
                </c:pt>
                <c:pt idx="535">
                  <c:v>8.7989999999999995E-3</c:v>
                </c:pt>
                <c:pt idx="536">
                  <c:v>8.6379999999999998E-3</c:v>
                </c:pt>
                <c:pt idx="537">
                  <c:v>8.4370000000000001E-3</c:v>
                </c:pt>
                <c:pt idx="538">
                  <c:v>7.9979999999999999E-3</c:v>
                </c:pt>
                <c:pt idx="539">
                  <c:v>8.1290000000000008E-3</c:v>
                </c:pt>
                <c:pt idx="540">
                  <c:v>7.5760000000000003E-3</c:v>
                </c:pt>
                <c:pt idx="541">
                  <c:v>7.2700000000000004E-3</c:v>
                </c:pt>
                <c:pt idx="542">
                  <c:v>7.2379999999999996E-3</c:v>
                </c:pt>
                <c:pt idx="543">
                  <c:v>7.2259999999999998E-3</c:v>
                </c:pt>
                <c:pt idx="544">
                  <c:v>7.4970000000000002E-3</c:v>
                </c:pt>
                <c:pt idx="545">
                  <c:v>7.404E-3</c:v>
                </c:pt>
                <c:pt idx="546">
                  <c:v>7.6969999999999998E-3</c:v>
                </c:pt>
                <c:pt idx="547">
                  <c:v>7.4390000000000003E-3</c:v>
                </c:pt>
                <c:pt idx="548">
                  <c:v>7.5519999999999997E-3</c:v>
                </c:pt>
                <c:pt idx="549">
                  <c:v>7.1630000000000001E-3</c:v>
                </c:pt>
                <c:pt idx="550">
                  <c:v>8.3169999999999997E-3</c:v>
                </c:pt>
                <c:pt idx="551">
                  <c:v>8.6660000000000001E-3</c:v>
                </c:pt>
                <c:pt idx="552">
                  <c:v>8.6499999999999997E-3</c:v>
                </c:pt>
                <c:pt idx="553">
                  <c:v>8.2699999999999996E-3</c:v>
                </c:pt>
                <c:pt idx="554">
                  <c:v>8.4010000000000005E-3</c:v>
                </c:pt>
                <c:pt idx="555">
                  <c:v>7.8930000000000007E-3</c:v>
                </c:pt>
                <c:pt idx="556">
                  <c:v>7.7869999999999997E-3</c:v>
                </c:pt>
                <c:pt idx="557">
                  <c:v>7.8829999999999994E-3</c:v>
                </c:pt>
                <c:pt idx="558">
                  <c:v>7.9089999999999994E-3</c:v>
                </c:pt>
                <c:pt idx="559">
                  <c:v>7.7169999999999999E-3</c:v>
                </c:pt>
                <c:pt idx="560">
                  <c:v>7.1850000000000004E-3</c:v>
                </c:pt>
                <c:pt idx="561">
                  <c:v>7.4089999999999998E-3</c:v>
                </c:pt>
                <c:pt idx="562">
                  <c:v>7.319E-3</c:v>
                </c:pt>
                <c:pt idx="563">
                  <c:v>7.1000000000000004E-3</c:v>
                </c:pt>
                <c:pt idx="564">
                  <c:v>7.5329999999999998E-3</c:v>
                </c:pt>
                <c:pt idx="565">
                  <c:v>7.6010000000000001E-3</c:v>
                </c:pt>
                <c:pt idx="566">
                  <c:v>7.9220000000000002E-3</c:v>
                </c:pt>
                <c:pt idx="567">
                  <c:v>7.0889999999999998E-3</c:v>
                </c:pt>
                <c:pt idx="568">
                  <c:v>7.1999999999999998E-3</c:v>
                </c:pt>
                <c:pt idx="569">
                  <c:v>6.914E-3</c:v>
                </c:pt>
                <c:pt idx="570">
                  <c:v>6.9820000000000004E-3</c:v>
                </c:pt>
                <c:pt idx="571">
                  <c:v>6.6639999999999998E-3</c:v>
                </c:pt>
                <c:pt idx="572">
                  <c:v>7.0470000000000003E-3</c:v>
                </c:pt>
                <c:pt idx="573">
                  <c:v>6.8399999999999997E-3</c:v>
                </c:pt>
                <c:pt idx="574">
                  <c:v>6.8300000000000001E-3</c:v>
                </c:pt>
                <c:pt idx="575">
                  <c:v>6.5519999999999997E-3</c:v>
                </c:pt>
                <c:pt idx="576">
                  <c:v>6.3229999999999996E-3</c:v>
                </c:pt>
                <c:pt idx="577">
                  <c:v>6.4200000000000004E-3</c:v>
                </c:pt>
                <c:pt idx="578">
                  <c:v>6.4859999999999996E-3</c:v>
                </c:pt>
                <c:pt idx="579">
                  <c:v>6.3070000000000001E-3</c:v>
                </c:pt>
                <c:pt idx="580">
                  <c:v>6.8869999999999999E-3</c:v>
                </c:pt>
                <c:pt idx="581">
                  <c:v>7.3049999999999999E-3</c:v>
                </c:pt>
                <c:pt idx="582">
                  <c:v>7.0740000000000004E-3</c:v>
                </c:pt>
                <c:pt idx="583">
                  <c:v>7.5979999999999997E-3</c:v>
                </c:pt>
                <c:pt idx="584">
                  <c:v>7.6709999999999999E-3</c:v>
                </c:pt>
                <c:pt idx="585">
                  <c:v>7.7000000000000002E-3</c:v>
                </c:pt>
                <c:pt idx="586">
                  <c:v>7.6420000000000004E-3</c:v>
                </c:pt>
                <c:pt idx="587">
                  <c:v>7.548E-3</c:v>
                </c:pt>
                <c:pt idx="588">
                  <c:v>7.7999999999999996E-3</c:v>
                </c:pt>
                <c:pt idx="589">
                  <c:v>8.2430000000000003E-3</c:v>
                </c:pt>
                <c:pt idx="590">
                  <c:v>7.953E-3</c:v>
                </c:pt>
                <c:pt idx="591">
                  <c:v>7.77E-3</c:v>
                </c:pt>
                <c:pt idx="592">
                  <c:v>8.0000000000000002E-3</c:v>
                </c:pt>
                <c:pt idx="593">
                  <c:v>8.5500000000000003E-3</c:v>
                </c:pt>
                <c:pt idx="594">
                  <c:v>8.5730000000000008E-3</c:v>
                </c:pt>
                <c:pt idx="595">
                  <c:v>7.7000000000000002E-3</c:v>
                </c:pt>
                <c:pt idx="596">
                  <c:v>8.6049999999999998E-3</c:v>
                </c:pt>
                <c:pt idx="597">
                  <c:v>9.1940000000000008E-3</c:v>
                </c:pt>
                <c:pt idx="598">
                  <c:v>8.992E-3</c:v>
                </c:pt>
                <c:pt idx="599">
                  <c:v>9.0270000000000003E-3</c:v>
                </c:pt>
                <c:pt idx="600">
                  <c:v>8.5780000000000006E-3</c:v>
                </c:pt>
                <c:pt idx="601">
                  <c:v>8.8629999999999994E-3</c:v>
                </c:pt>
                <c:pt idx="602">
                  <c:v>8.8409999999999999E-3</c:v>
                </c:pt>
                <c:pt idx="603">
                  <c:v>7.4400000000000004E-3</c:v>
                </c:pt>
                <c:pt idx="604">
                  <c:v>6.757E-3</c:v>
                </c:pt>
                <c:pt idx="605">
                  <c:v>6.8469999999999998E-3</c:v>
                </c:pt>
                <c:pt idx="606">
                  <c:v>6.7299999999999999E-3</c:v>
                </c:pt>
                <c:pt idx="607">
                  <c:v>6.5909999999999996E-3</c:v>
                </c:pt>
                <c:pt idx="608">
                  <c:v>6.5380000000000004E-3</c:v>
                </c:pt>
                <c:pt idx="609">
                  <c:v>5.8700000000000002E-3</c:v>
                </c:pt>
                <c:pt idx="610">
                  <c:v>6.025E-3</c:v>
                </c:pt>
                <c:pt idx="611">
                  <c:v>6.535E-3</c:v>
                </c:pt>
                <c:pt idx="612">
                  <c:v>6.3790000000000001E-3</c:v>
                </c:pt>
                <c:pt idx="613">
                  <c:v>5.7879999999999997E-3</c:v>
                </c:pt>
                <c:pt idx="614">
                  <c:v>5.6800000000000002E-3</c:v>
                </c:pt>
                <c:pt idx="615">
                  <c:v>5.6490000000000004E-3</c:v>
                </c:pt>
                <c:pt idx="616">
                  <c:v>5.2719999999999998E-3</c:v>
                </c:pt>
                <c:pt idx="617">
                  <c:v>5.3930000000000002E-3</c:v>
                </c:pt>
                <c:pt idx="618">
                  <c:v>5.4869999999999997E-3</c:v>
                </c:pt>
                <c:pt idx="619">
                  <c:v>5.5770000000000004E-3</c:v>
                </c:pt>
                <c:pt idx="620">
                  <c:v>5.4599999999999996E-3</c:v>
                </c:pt>
                <c:pt idx="621">
                  <c:v>5.6039999999999996E-3</c:v>
                </c:pt>
                <c:pt idx="622">
                  <c:v>5.3740000000000003E-3</c:v>
                </c:pt>
                <c:pt idx="623">
                  <c:v>5.4440000000000001E-3</c:v>
                </c:pt>
                <c:pt idx="624">
                  <c:v>5.2969999999999996E-3</c:v>
                </c:pt>
                <c:pt idx="625">
                  <c:v>5.3769999999999998E-3</c:v>
                </c:pt>
                <c:pt idx="626">
                  <c:v>5.2750000000000002E-3</c:v>
                </c:pt>
                <c:pt idx="627">
                  <c:v>5.1929999999999997E-3</c:v>
                </c:pt>
                <c:pt idx="628">
                  <c:v>5.6270000000000001E-3</c:v>
                </c:pt>
                <c:pt idx="629">
                  <c:v>5.7990000000000003E-3</c:v>
                </c:pt>
                <c:pt idx="630">
                  <c:v>5.2909999999999997E-3</c:v>
                </c:pt>
                <c:pt idx="631">
                  <c:v>5.6369999999999996E-3</c:v>
                </c:pt>
                <c:pt idx="632">
                  <c:v>5.7660000000000003E-3</c:v>
                </c:pt>
                <c:pt idx="633">
                  <c:v>5.7829999999999999E-3</c:v>
                </c:pt>
                <c:pt idx="634">
                  <c:v>5.8910000000000004E-3</c:v>
                </c:pt>
                <c:pt idx="635">
                  <c:v>6.1110000000000001E-3</c:v>
                </c:pt>
                <c:pt idx="636">
                  <c:v>5.9449999999999998E-3</c:v>
                </c:pt>
                <c:pt idx="637">
                  <c:v>5.7479999999999996E-3</c:v>
                </c:pt>
                <c:pt idx="638">
                  <c:v>5.8789999999999997E-3</c:v>
                </c:pt>
                <c:pt idx="639">
                  <c:v>5.7609999999999996E-3</c:v>
                </c:pt>
                <c:pt idx="640">
                  <c:v>5.8149999999999999E-3</c:v>
                </c:pt>
                <c:pt idx="641">
                  <c:v>5.9059999999999998E-3</c:v>
                </c:pt>
                <c:pt idx="642">
                  <c:v>5.875E-3</c:v>
                </c:pt>
                <c:pt idx="643">
                  <c:v>5.9150000000000001E-3</c:v>
                </c:pt>
                <c:pt idx="644">
                  <c:v>5.7270000000000003E-3</c:v>
                </c:pt>
                <c:pt idx="645">
                  <c:v>5.64E-3</c:v>
                </c:pt>
                <c:pt idx="646">
                  <c:v>5.3049999999999998E-3</c:v>
                </c:pt>
                <c:pt idx="647">
                  <c:v>5.3470000000000002E-3</c:v>
                </c:pt>
                <c:pt idx="648">
                  <c:v>5.6179999999999997E-3</c:v>
                </c:pt>
                <c:pt idx="649">
                  <c:v>5.79E-3</c:v>
                </c:pt>
                <c:pt idx="650">
                  <c:v>5.5710000000000004E-3</c:v>
                </c:pt>
                <c:pt idx="651">
                  <c:v>5.5719999999999997E-3</c:v>
                </c:pt>
                <c:pt idx="652">
                  <c:v>5.4720000000000003E-3</c:v>
                </c:pt>
                <c:pt idx="653">
                  <c:v>5.4330000000000003E-3</c:v>
                </c:pt>
                <c:pt idx="654">
                  <c:v>5.2119999999999996E-3</c:v>
                </c:pt>
                <c:pt idx="655">
                  <c:v>5.489E-3</c:v>
                </c:pt>
                <c:pt idx="656">
                  <c:v>5.8409999999999998E-3</c:v>
                </c:pt>
                <c:pt idx="657">
                  <c:v>5.0070000000000002E-3</c:v>
                </c:pt>
                <c:pt idx="658">
                  <c:v>5.4209999999999996E-3</c:v>
                </c:pt>
                <c:pt idx="659">
                  <c:v>5.4320000000000002E-3</c:v>
                </c:pt>
                <c:pt idx="660">
                  <c:v>5.3870000000000003E-3</c:v>
                </c:pt>
                <c:pt idx="661">
                  <c:v>5.5399999999999998E-3</c:v>
                </c:pt>
                <c:pt idx="662">
                  <c:v>5.2589999999999998E-3</c:v>
                </c:pt>
                <c:pt idx="663">
                  <c:v>5.6080000000000001E-3</c:v>
                </c:pt>
                <c:pt idx="664">
                  <c:v>5.5180000000000003E-3</c:v>
                </c:pt>
                <c:pt idx="665">
                  <c:v>5.4180000000000001E-3</c:v>
                </c:pt>
                <c:pt idx="666">
                  <c:v>4.7910000000000001E-3</c:v>
                </c:pt>
                <c:pt idx="667">
                  <c:v>4.4409999999999996E-3</c:v>
                </c:pt>
                <c:pt idx="668">
                  <c:v>4.3819999999999996E-3</c:v>
                </c:pt>
                <c:pt idx="669">
                  <c:v>4.1570000000000001E-3</c:v>
                </c:pt>
                <c:pt idx="670">
                  <c:v>4.3169999999999997E-3</c:v>
                </c:pt>
                <c:pt idx="671">
                  <c:v>4.4010000000000004E-3</c:v>
                </c:pt>
                <c:pt idx="672">
                  <c:v>4.6299999999999996E-3</c:v>
                </c:pt>
                <c:pt idx="673">
                  <c:v>4.7070000000000002E-3</c:v>
                </c:pt>
                <c:pt idx="674">
                  <c:v>5.1570000000000001E-3</c:v>
                </c:pt>
                <c:pt idx="675">
                  <c:v>5.6100000000000004E-3</c:v>
                </c:pt>
                <c:pt idx="676">
                  <c:v>5.0870000000000004E-3</c:v>
                </c:pt>
                <c:pt idx="677">
                  <c:v>4.9940000000000002E-3</c:v>
                </c:pt>
                <c:pt idx="678">
                  <c:v>4.8960000000000002E-3</c:v>
                </c:pt>
                <c:pt idx="679">
                  <c:v>5.0000000000000001E-3</c:v>
                </c:pt>
                <c:pt idx="680">
                  <c:v>4.2199999999999998E-3</c:v>
                </c:pt>
                <c:pt idx="681">
                  <c:v>4.326E-3</c:v>
                </c:pt>
                <c:pt idx="682">
                  <c:v>4.1469999999999996E-3</c:v>
                </c:pt>
                <c:pt idx="683">
                  <c:v>4.7000000000000002E-3</c:v>
                </c:pt>
                <c:pt idx="684">
                  <c:v>4.7580000000000001E-3</c:v>
                </c:pt>
                <c:pt idx="685">
                  <c:v>4.4999999999999997E-3</c:v>
                </c:pt>
                <c:pt idx="686">
                  <c:v>3.483E-3</c:v>
                </c:pt>
                <c:pt idx="687">
                  <c:v>7.5969999999999996E-3</c:v>
                </c:pt>
                <c:pt idx="688">
                  <c:v>7.5950000000000002E-3</c:v>
                </c:pt>
                <c:pt idx="689">
                  <c:v>7.6E-3</c:v>
                </c:pt>
                <c:pt idx="690">
                  <c:v>7.7999999999999996E-3</c:v>
                </c:pt>
                <c:pt idx="691">
                  <c:v>9.0629999999999999E-3</c:v>
                </c:pt>
                <c:pt idx="692">
                  <c:v>9.7769999999999992E-3</c:v>
                </c:pt>
                <c:pt idx="693">
                  <c:v>9.1789999999999997E-3</c:v>
                </c:pt>
                <c:pt idx="694">
                  <c:v>8.6E-3</c:v>
                </c:pt>
                <c:pt idx="695">
                  <c:v>8.2660000000000008E-3</c:v>
                </c:pt>
                <c:pt idx="696">
                  <c:v>8.3009999999999994E-3</c:v>
                </c:pt>
                <c:pt idx="697">
                  <c:v>8.0630000000000007E-3</c:v>
                </c:pt>
                <c:pt idx="698">
                  <c:v>8.2030000000000002E-3</c:v>
                </c:pt>
                <c:pt idx="699">
                  <c:v>8.1980000000000004E-3</c:v>
                </c:pt>
                <c:pt idx="700">
                  <c:v>8.1209999999999997E-3</c:v>
                </c:pt>
                <c:pt idx="701">
                  <c:v>7.7190000000000002E-3</c:v>
                </c:pt>
                <c:pt idx="702">
                  <c:v>8.5959999999999995E-3</c:v>
                </c:pt>
                <c:pt idx="703">
                  <c:v>9.3790000000000002E-3</c:v>
                </c:pt>
                <c:pt idx="704">
                  <c:v>1.008E-2</c:v>
                </c:pt>
                <c:pt idx="705">
                  <c:v>9.5659999999999999E-3</c:v>
                </c:pt>
                <c:pt idx="706">
                  <c:v>9.7000000000000003E-3</c:v>
                </c:pt>
                <c:pt idx="707">
                  <c:v>9.6190000000000008E-3</c:v>
                </c:pt>
                <c:pt idx="708">
                  <c:v>9.3310000000000008E-3</c:v>
                </c:pt>
                <c:pt idx="709">
                  <c:v>1.0344000000000001E-2</c:v>
                </c:pt>
                <c:pt idx="710">
                  <c:v>1.021E-2</c:v>
                </c:pt>
                <c:pt idx="711">
                  <c:v>1.0460000000000001E-2</c:v>
                </c:pt>
                <c:pt idx="712">
                  <c:v>1.1069000000000001E-2</c:v>
                </c:pt>
                <c:pt idx="713">
                  <c:v>1.2640999999999999E-2</c:v>
                </c:pt>
                <c:pt idx="714">
                  <c:v>1.2045E-2</c:v>
                </c:pt>
                <c:pt idx="715">
                  <c:v>1.4147E-2</c:v>
                </c:pt>
                <c:pt idx="716">
                  <c:v>1.0838E-2</c:v>
                </c:pt>
                <c:pt idx="717">
                  <c:v>1.0286999999999999E-2</c:v>
                </c:pt>
                <c:pt idx="718">
                  <c:v>1.0204E-2</c:v>
                </c:pt>
                <c:pt idx="719">
                  <c:v>1.0399E-2</c:v>
                </c:pt>
                <c:pt idx="720">
                  <c:v>1.03E-2</c:v>
                </c:pt>
                <c:pt idx="721">
                  <c:v>0.01</c:v>
                </c:pt>
                <c:pt idx="722">
                  <c:v>8.6E-3</c:v>
                </c:pt>
                <c:pt idx="723">
                  <c:v>8.4290000000000007E-3</c:v>
                </c:pt>
                <c:pt idx="724">
                  <c:v>8.5009999999999999E-3</c:v>
                </c:pt>
                <c:pt idx="725">
                  <c:v>8.5360000000000002E-3</c:v>
                </c:pt>
                <c:pt idx="726">
                  <c:v>9.0699999999999999E-3</c:v>
                </c:pt>
                <c:pt idx="727">
                  <c:v>8.4989999999999996E-3</c:v>
                </c:pt>
                <c:pt idx="728">
                  <c:v>8.2279999999999992E-3</c:v>
                </c:pt>
                <c:pt idx="729">
                  <c:v>8.3999999999999995E-3</c:v>
                </c:pt>
                <c:pt idx="730">
                  <c:v>8.4130000000000003E-3</c:v>
                </c:pt>
                <c:pt idx="731">
                  <c:v>8.8280000000000008E-3</c:v>
                </c:pt>
                <c:pt idx="732">
                  <c:v>9.3939999999999996E-3</c:v>
                </c:pt>
                <c:pt idx="733">
                  <c:v>9.7800000000000005E-3</c:v>
                </c:pt>
                <c:pt idx="734">
                  <c:v>9.6659999999999992E-3</c:v>
                </c:pt>
                <c:pt idx="735">
                  <c:v>9.8899999999999995E-3</c:v>
                </c:pt>
                <c:pt idx="736">
                  <c:v>1.1440000000000001E-2</c:v>
                </c:pt>
                <c:pt idx="737">
                  <c:v>1.2E-2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73-4892-8830-0FD0A3C8BD2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-163.92759404546081</c:v>
                </c:pt>
                <c:pt idx="1">
                  <c:v>-163.91515214546081</c:v>
                </c:pt>
                <c:pt idx="2">
                  <c:v>-163.75714500262745</c:v>
                </c:pt>
                <c:pt idx="3">
                  <c:v>-163.67920561284646</c:v>
                </c:pt>
                <c:pt idx="4">
                  <c:v>-163.97232237605346</c:v>
                </c:pt>
                <c:pt idx="5">
                  <c:v>-164.10627206383126</c:v>
                </c:pt>
                <c:pt idx="6">
                  <c:v>-163.66356516883124</c:v>
                </c:pt>
                <c:pt idx="7">
                  <c:v>-163.11632661969543</c:v>
                </c:pt>
                <c:pt idx="8">
                  <c:v>-163.04854002302875</c:v>
                </c:pt>
                <c:pt idx="9">
                  <c:v>-162.8867097813793</c:v>
                </c:pt>
                <c:pt idx="10">
                  <c:v>-162.81488680067577</c:v>
                </c:pt>
                <c:pt idx="11">
                  <c:v>-162.66831924779771</c:v>
                </c:pt>
                <c:pt idx="12">
                  <c:v>-162.46954653779773</c:v>
                </c:pt>
                <c:pt idx="13">
                  <c:v>-162.55717949368008</c:v>
                </c:pt>
                <c:pt idx="14">
                  <c:v>-162.82318847254186</c:v>
                </c:pt>
                <c:pt idx="15">
                  <c:v>-162.89139918999206</c:v>
                </c:pt>
                <c:pt idx="16">
                  <c:v>-163.08409374444989</c:v>
                </c:pt>
                <c:pt idx="17">
                  <c:v>-163.2787124306499</c:v>
                </c:pt>
                <c:pt idx="18">
                  <c:v>-162.94024357793145</c:v>
                </c:pt>
                <c:pt idx="19">
                  <c:v>-162.89378715322101</c:v>
                </c:pt>
                <c:pt idx="20">
                  <c:v>-162.49735397380331</c:v>
                </c:pt>
                <c:pt idx="21">
                  <c:v>-161.97939210707256</c:v>
                </c:pt>
                <c:pt idx="22">
                  <c:v>-162.12403323427594</c:v>
                </c:pt>
                <c:pt idx="23">
                  <c:v>-161.60898951354571</c:v>
                </c:pt>
                <c:pt idx="24">
                  <c:v>-161.17837046672489</c:v>
                </c:pt>
                <c:pt idx="25">
                  <c:v>-160.65886490441144</c:v>
                </c:pt>
                <c:pt idx="26">
                  <c:v>-160.40989250312805</c:v>
                </c:pt>
                <c:pt idx="27">
                  <c:v>-160.98207749961455</c:v>
                </c:pt>
                <c:pt idx="28">
                  <c:v>-160.56442841143271</c:v>
                </c:pt>
                <c:pt idx="29">
                  <c:v>-160.55377113657116</c:v>
                </c:pt>
                <c:pt idx="30">
                  <c:v>-159.84904829087117</c:v>
                </c:pt>
                <c:pt idx="31">
                  <c:v>-158.62265939380822</c:v>
                </c:pt>
                <c:pt idx="32">
                  <c:v>-158.57303091345267</c:v>
                </c:pt>
                <c:pt idx="33">
                  <c:v>-158.76058180716998</c:v>
                </c:pt>
                <c:pt idx="34">
                  <c:v>-158.79510533146626</c:v>
                </c:pt>
                <c:pt idx="35">
                  <c:v>-157.6995946782676</c:v>
                </c:pt>
                <c:pt idx="36">
                  <c:v>-158.18809852174218</c:v>
                </c:pt>
                <c:pt idx="37">
                  <c:v>-157.11982607637634</c:v>
                </c:pt>
                <c:pt idx="38">
                  <c:v>-156.53563875358159</c:v>
                </c:pt>
                <c:pt idx="39">
                  <c:v>-158.35554932542698</c:v>
                </c:pt>
                <c:pt idx="40">
                  <c:v>-155.58049806627804</c:v>
                </c:pt>
                <c:pt idx="41">
                  <c:v>-139.63734420815305</c:v>
                </c:pt>
                <c:pt idx="42">
                  <c:v>-140.5799904716003</c:v>
                </c:pt>
                <c:pt idx="43">
                  <c:v>-139.84624430138751</c:v>
                </c:pt>
                <c:pt idx="44">
                  <c:v>-140.17780575585354</c:v>
                </c:pt>
                <c:pt idx="45">
                  <c:v>-140.29097101309259</c:v>
                </c:pt>
                <c:pt idx="46">
                  <c:v>-139.84587958622691</c:v>
                </c:pt>
                <c:pt idx="47">
                  <c:v>-139.55045968636207</c:v>
                </c:pt>
                <c:pt idx="48">
                  <c:v>-139.606930228431</c:v>
                </c:pt>
                <c:pt idx="49">
                  <c:v>-138.63498868431083</c:v>
                </c:pt>
                <c:pt idx="50">
                  <c:v>-133.88662571980751</c:v>
                </c:pt>
                <c:pt idx="51">
                  <c:v>-134.62408957656078</c:v>
                </c:pt>
                <c:pt idx="52">
                  <c:v>-133.6105573878213</c:v>
                </c:pt>
                <c:pt idx="53">
                  <c:v>-135.06825522323112</c:v>
                </c:pt>
                <c:pt idx="54">
                  <c:v>-133.07860196125156</c:v>
                </c:pt>
                <c:pt idx="55">
                  <c:v>-132.28721972930123</c:v>
                </c:pt>
                <c:pt idx="56">
                  <c:v>-115.51714955786866</c:v>
                </c:pt>
                <c:pt idx="57">
                  <c:v>-116.16473068706865</c:v>
                </c:pt>
                <c:pt idx="58">
                  <c:v>-115.98835810325224</c:v>
                </c:pt>
                <c:pt idx="59">
                  <c:v>-115.37991897928336</c:v>
                </c:pt>
                <c:pt idx="60">
                  <c:v>-114.99358884063473</c:v>
                </c:pt>
                <c:pt idx="61">
                  <c:v>-115.45234050502151</c:v>
                </c:pt>
                <c:pt idx="62">
                  <c:v>-115.0669757677488</c:v>
                </c:pt>
                <c:pt idx="63">
                  <c:v>-113.34386689821937</c:v>
                </c:pt>
                <c:pt idx="64">
                  <c:v>-114.98029652649716</c:v>
                </c:pt>
                <c:pt idx="65">
                  <c:v>-115.19536131432611</c:v>
                </c:pt>
                <c:pt idx="66">
                  <c:v>-115.39864361674601</c:v>
                </c:pt>
                <c:pt idx="67">
                  <c:v>-112.65198804495631</c:v>
                </c:pt>
                <c:pt idx="68">
                  <c:v>-95.734531906518569</c:v>
                </c:pt>
                <c:pt idx="69">
                  <c:v>-97.499027868009975</c:v>
                </c:pt>
                <c:pt idx="70">
                  <c:v>-97.832129105867125</c:v>
                </c:pt>
                <c:pt idx="71">
                  <c:v>-97.677352024855338</c:v>
                </c:pt>
                <c:pt idx="72">
                  <c:v>-97.933042414388069</c:v>
                </c:pt>
                <c:pt idx="73">
                  <c:v>-97.820953294715352</c:v>
                </c:pt>
                <c:pt idx="74">
                  <c:v>-97.008560721906136</c:v>
                </c:pt>
                <c:pt idx="75">
                  <c:v>-97.590249723895667</c:v>
                </c:pt>
                <c:pt idx="76">
                  <c:v>-97.467341622645662</c:v>
                </c:pt>
                <c:pt idx="77">
                  <c:v>-97.602300924110111</c:v>
                </c:pt>
                <c:pt idx="78">
                  <c:v>-97.83825159833232</c:v>
                </c:pt>
                <c:pt idx="79">
                  <c:v>-97.446567740046603</c:v>
                </c:pt>
                <c:pt idx="80">
                  <c:v>-97.282781243834492</c:v>
                </c:pt>
                <c:pt idx="81">
                  <c:v>-97.441127318600849</c:v>
                </c:pt>
                <c:pt idx="82">
                  <c:v>-97.588165754233032</c:v>
                </c:pt>
                <c:pt idx="83">
                  <c:v>-97.482799579088521</c:v>
                </c:pt>
                <c:pt idx="84">
                  <c:v>-97.219011578282831</c:v>
                </c:pt>
                <c:pt idx="85">
                  <c:v>-96.828177378482835</c:v>
                </c:pt>
                <c:pt idx="86">
                  <c:v>-97.151360662950921</c:v>
                </c:pt>
                <c:pt idx="87">
                  <c:v>-97.325302471458372</c:v>
                </c:pt>
                <c:pt idx="88">
                  <c:v>-97.022206381590536</c:v>
                </c:pt>
                <c:pt idx="89">
                  <c:v>-97.23044694093727</c:v>
                </c:pt>
                <c:pt idx="90">
                  <c:v>-97.437846577911429</c:v>
                </c:pt>
                <c:pt idx="91">
                  <c:v>-97.50785030711144</c:v>
                </c:pt>
                <c:pt idx="92">
                  <c:v>-97.463732382383469</c:v>
                </c:pt>
                <c:pt idx="93">
                  <c:v>-96.920710142383484</c:v>
                </c:pt>
                <c:pt idx="94">
                  <c:v>-96.461480907905866</c:v>
                </c:pt>
                <c:pt idx="95">
                  <c:v>-96.469056724698305</c:v>
                </c:pt>
                <c:pt idx="96">
                  <c:v>-96.147313371781649</c:v>
                </c:pt>
                <c:pt idx="97">
                  <c:v>-96.269526837293199</c:v>
                </c:pt>
                <c:pt idx="98">
                  <c:v>-96.029784181027111</c:v>
                </c:pt>
                <c:pt idx="99">
                  <c:v>-95.197734961362315</c:v>
                </c:pt>
                <c:pt idx="100">
                  <c:v>-95.49280061543638</c:v>
                </c:pt>
                <c:pt idx="101">
                  <c:v>-95.159572123534204</c:v>
                </c:pt>
                <c:pt idx="102">
                  <c:v>-94.523985607475808</c:v>
                </c:pt>
                <c:pt idx="103">
                  <c:v>-94.33311590276216</c:v>
                </c:pt>
                <c:pt idx="104">
                  <c:v>-89.760709436011112</c:v>
                </c:pt>
                <c:pt idx="105">
                  <c:v>-90.008216337187577</c:v>
                </c:pt>
                <c:pt idx="106">
                  <c:v>-89.477727377510163</c:v>
                </c:pt>
                <c:pt idx="107">
                  <c:v>-89.222504182573445</c:v>
                </c:pt>
                <c:pt idx="108">
                  <c:v>-89.48507122984617</c:v>
                </c:pt>
                <c:pt idx="109">
                  <c:v>-89.20570486060376</c:v>
                </c:pt>
                <c:pt idx="110">
                  <c:v>-88.329325115633324</c:v>
                </c:pt>
                <c:pt idx="111">
                  <c:v>-88.907141001448935</c:v>
                </c:pt>
                <c:pt idx="112">
                  <c:v>-88.74760878198947</c:v>
                </c:pt>
                <c:pt idx="113">
                  <c:v>-88.197393060625842</c:v>
                </c:pt>
                <c:pt idx="114">
                  <c:v>-89.047710087738125</c:v>
                </c:pt>
                <c:pt idx="115">
                  <c:v>-89.401367993266589</c:v>
                </c:pt>
                <c:pt idx="116">
                  <c:v>-89.637025629099924</c:v>
                </c:pt>
                <c:pt idx="117">
                  <c:v>-88.375138032433256</c:v>
                </c:pt>
                <c:pt idx="118">
                  <c:v>-88.991540575258128</c:v>
                </c:pt>
                <c:pt idx="119">
                  <c:v>-89.273313077480324</c:v>
                </c:pt>
                <c:pt idx="120">
                  <c:v>-89.45080479706796</c:v>
                </c:pt>
                <c:pt idx="121">
                  <c:v>-89.213144707067968</c:v>
                </c:pt>
                <c:pt idx="122">
                  <c:v>-88.75889923233953</c:v>
                </c:pt>
                <c:pt idx="123">
                  <c:v>-88.359918332211876</c:v>
                </c:pt>
                <c:pt idx="124">
                  <c:v>-88.254936946520829</c:v>
                </c:pt>
                <c:pt idx="125">
                  <c:v>-87.756295191249507</c:v>
                </c:pt>
                <c:pt idx="126">
                  <c:v>-87.941525845193823</c:v>
                </c:pt>
                <c:pt idx="127">
                  <c:v>-87.788683363154988</c:v>
                </c:pt>
                <c:pt idx="128">
                  <c:v>-88.421194357647337</c:v>
                </c:pt>
                <c:pt idx="129">
                  <c:v>-87.793903663262299</c:v>
                </c:pt>
                <c:pt idx="130">
                  <c:v>-87.255685464749305</c:v>
                </c:pt>
                <c:pt idx="131">
                  <c:v>-86.826192178373972</c:v>
                </c:pt>
                <c:pt idx="132">
                  <c:v>-86.9794451007144</c:v>
                </c:pt>
                <c:pt idx="133">
                  <c:v>-86.723217129381069</c:v>
                </c:pt>
                <c:pt idx="134">
                  <c:v>-86.527050449827996</c:v>
                </c:pt>
                <c:pt idx="135">
                  <c:v>-87.283515121324996</c:v>
                </c:pt>
                <c:pt idx="136">
                  <c:v>-86.780682156557205</c:v>
                </c:pt>
                <c:pt idx="137">
                  <c:v>-87.514677370601461</c:v>
                </c:pt>
                <c:pt idx="138">
                  <c:v>-87.274465899644014</c:v>
                </c:pt>
                <c:pt idx="139">
                  <c:v>-86.946852619347695</c:v>
                </c:pt>
                <c:pt idx="140">
                  <c:v>-86.412205625445281</c:v>
                </c:pt>
                <c:pt idx="141">
                  <c:v>-85.143658659102215</c:v>
                </c:pt>
                <c:pt idx="142">
                  <c:v>-84.121553501330325</c:v>
                </c:pt>
                <c:pt idx="143">
                  <c:v>-84.912308607953292</c:v>
                </c:pt>
                <c:pt idx="144">
                  <c:v>-84.236164322846903</c:v>
                </c:pt>
                <c:pt idx="145">
                  <c:v>-83.566307608947994</c:v>
                </c:pt>
                <c:pt idx="146">
                  <c:v>-83.763710305431502</c:v>
                </c:pt>
                <c:pt idx="147">
                  <c:v>-83.912049397050012</c:v>
                </c:pt>
                <c:pt idx="148">
                  <c:v>-83.546720766834184</c:v>
                </c:pt>
                <c:pt idx="149">
                  <c:v>-83.742830948277472</c:v>
                </c:pt>
                <c:pt idx="150">
                  <c:v>-83.830525099196393</c:v>
                </c:pt>
                <c:pt idx="151">
                  <c:v>-83.742114665464342</c:v>
                </c:pt>
                <c:pt idx="152">
                  <c:v>-83.728675010464329</c:v>
                </c:pt>
                <c:pt idx="153">
                  <c:v>-83.364678784012725</c:v>
                </c:pt>
                <c:pt idx="154">
                  <c:v>-83.619659725386768</c:v>
                </c:pt>
                <c:pt idx="155">
                  <c:v>-83.290692221801862</c:v>
                </c:pt>
                <c:pt idx="156">
                  <c:v>-83.569973906706821</c:v>
                </c:pt>
                <c:pt idx="157">
                  <c:v>-82.935347854813102</c:v>
                </c:pt>
                <c:pt idx="158">
                  <c:v>-83.077623093248263</c:v>
                </c:pt>
                <c:pt idx="159">
                  <c:v>-83.045688737536452</c:v>
                </c:pt>
                <c:pt idx="160">
                  <c:v>-83.301451594397946</c:v>
                </c:pt>
                <c:pt idx="161">
                  <c:v>-83.595399654982089</c:v>
                </c:pt>
                <c:pt idx="162">
                  <c:v>-84.13925552007008</c:v>
                </c:pt>
                <c:pt idx="163">
                  <c:v>-83.907381185939087</c:v>
                </c:pt>
                <c:pt idx="164">
                  <c:v>-83.386588817771283</c:v>
                </c:pt>
                <c:pt idx="165">
                  <c:v>-82.254958108984056</c:v>
                </c:pt>
                <c:pt idx="166">
                  <c:v>-82.93751987795352</c:v>
                </c:pt>
                <c:pt idx="167">
                  <c:v>-82.579701839696625</c:v>
                </c:pt>
                <c:pt idx="168">
                  <c:v>-83.196008635269237</c:v>
                </c:pt>
                <c:pt idx="169">
                  <c:v>-83.070966406137828</c:v>
                </c:pt>
                <c:pt idx="170">
                  <c:v>-82.508856062453006</c:v>
                </c:pt>
                <c:pt idx="171">
                  <c:v>-82.186456263781778</c:v>
                </c:pt>
                <c:pt idx="172">
                  <c:v>-82.852920425728044</c:v>
                </c:pt>
                <c:pt idx="173">
                  <c:v>-80.678874676329784</c:v>
                </c:pt>
                <c:pt idx="174">
                  <c:v>-82.367280016006518</c:v>
                </c:pt>
                <c:pt idx="175">
                  <c:v>-81.821630915126519</c:v>
                </c:pt>
                <c:pt idx="176">
                  <c:v>-82.53996220470809</c:v>
                </c:pt>
                <c:pt idx="177">
                  <c:v>-82.934715290708084</c:v>
                </c:pt>
                <c:pt idx="178">
                  <c:v>-81.78816869071423</c:v>
                </c:pt>
                <c:pt idx="179">
                  <c:v>-83.010189277029454</c:v>
                </c:pt>
                <c:pt idx="180">
                  <c:v>-82.500523690077571</c:v>
                </c:pt>
                <c:pt idx="181">
                  <c:v>-82.476180161761576</c:v>
                </c:pt>
                <c:pt idx="182">
                  <c:v>-82.951989319335723</c:v>
                </c:pt>
                <c:pt idx="183">
                  <c:v>-82.970775547555462</c:v>
                </c:pt>
                <c:pt idx="184">
                  <c:v>-82.694644777379509</c:v>
                </c:pt>
                <c:pt idx="185">
                  <c:v>-82.495924782606792</c:v>
                </c:pt>
                <c:pt idx="186">
                  <c:v>-82.074932021030321</c:v>
                </c:pt>
                <c:pt idx="187">
                  <c:v>-82.143219857980483</c:v>
                </c:pt>
                <c:pt idx="188">
                  <c:v>-82.414129137939781</c:v>
                </c:pt>
                <c:pt idx="189">
                  <c:v>-82.917525801228621</c:v>
                </c:pt>
                <c:pt idx="190">
                  <c:v>-83.235471529649885</c:v>
                </c:pt>
                <c:pt idx="191">
                  <c:v>-83.84611953712816</c:v>
                </c:pt>
                <c:pt idx="192">
                  <c:v>-83.652648409302785</c:v>
                </c:pt>
                <c:pt idx="193">
                  <c:v>-83.420768157566087</c:v>
                </c:pt>
                <c:pt idx="194">
                  <c:v>-83.428702143168763</c:v>
                </c:pt>
                <c:pt idx="195">
                  <c:v>-83.21165851426305</c:v>
                </c:pt>
                <c:pt idx="196">
                  <c:v>-83.012058668904558</c:v>
                </c:pt>
                <c:pt idx="197">
                  <c:v>-82.621874208314551</c:v>
                </c:pt>
                <c:pt idx="198">
                  <c:v>-82.749757134038987</c:v>
                </c:pt>
                <c:pt idx="199">
                  <c:v>-82.59466014939251</c:v>
                </c:pt>
                <c:pt idx="200">
                  <c:v>-82.249284752174617</c:v>
                </c:pt>
                <c:pt idx="201">
                  <c:v>-82.244838738349728</c:v>
                </c:pt>
                <c:pt idx="202">
                  <c:v>-82.144586936482966</c:v>
                </c:pt>
                <c:pt idx="203">
                  <c:v>-82.165760350315949</c:v>
                </c:pt>
                <c:pt idx="204">
                  <c:v>-81.921818241247024</c:v>
                </c:pt>
                <c:pt idx="205">
                  <c:v>-81.875810056781845</c:v>
                </c:pt>
                <c:pt idx="206">
                  <c:v>-81.880480097444433</c:v>
                </c:pt>
                <c:pt idx="207">
                  <c:v>-81.769083795851117</c:v>
                </c:pt>
                <c:pt idx="208">
                  <c:v>-81.702249931592291</c:v>
                </c:pt>
                <c:pt idx="209">
                  <c:v>-81.746326326036737</c:v>
                </c:pt>
                <c:pt idx="210">
                  <c:v>-81.74224792196415</c:v>
                </c:pt>
                <c:pt idx="211">
                  <c:v>-81.577850767904408</c:v>
                </c:pt>
                <c:pt idx="212">
                  <c:v>-81.809879215148683</c:v>
                </c:pt>
                <c:pt idx="213">
                  <c:v>-81.501805830439281</c:v>
                </c:pt>
                <c:pt idx="214">
                  <c:v>-81.840467562617931</c:v>
                </c:pt>
                <c:pt idx="215">
                  <c:v>-81.985718875087187</c:v>
                </c:pt>
                <c:pt idx="216">
                  <c:v>-82.195292104025071</c:v>
                </c:pt>
                <c:pt idx="217">
                  <c:v>-81.080612935685622</c:v>
                </c:pt>
                <c:pt idx="218">
                  <c:v>-80.808352979272115</c:v>
                </c:pt>
                <c:pt idx="219">
                  <c:v>-80.987222669492127</c:v>
                </c:pt>
                <c:pt idx="220">
                  <c:v>-81.419852494553382</c:v>
                </c:pt>
                <c:pt idx="221">
                  <c:v>-80.588543736394158</c:v>
                </c:pt>
                <c:pt idx="222">
                  <c:v>-80.813206573031337</c:v>
                </c:pt>
                <c:pt idx="223">
                  <c:v>-80.605112123831333</c:v>
                </c:pt>
                <c:pt idx="224">
                  <c:v>-80.263396298062545</c:v>
                </c:pt>
                <c:pt idx="225">
                  <c:v>-80.064107302260467</c:v>
                </c:pt>
                <c:pt idx="226">
                  <c:v>-79.558889156709526</c:v>
                </c:pt>
                <c:pt idx="227">
                  <c:v>-79.552811356275413</c:v>
                </c:pt>
                <c:pt idx="228">
                  <c:v>-79.327436171013545</c:v>
                </c:pt>
                <c:pt idx="229">
                  <c:v>-79.908139256303429</c:v>
                </c:pt>
                <c:pt idx="230">
                  <c:v>-80.051955155013104</c:v>
                </c:pt>
                <c:pt idx="231">
                  <c:v>-78.210718255086121</c:v>
                </c:pt>
                <c:pt idx="232">
                  <c:v>-76.967384163267653</c:v>
                </c:pt>
                <c:pt idx="233">
                  <c:v>-76.989718739422003</c:v>
                </c:pt>
                <c:pt idx="234">
                  <c:v>-77.291336642782497</c:v>
                </c:pt>
                <c:pt idx="235">
                  <c:v>-76.498803054238209</c:v>
                </c:pt>
                <c:pt idx="236">
                  <c:v>-75.614278595854046</c:v>
                </c:pt>
                <c:pt idx="237">
                  <c:v>-75.43216794284983</c:v>
                </c:pt>
                <c:pt idx="238">
                  <c:v>-74.957822154196265</c:v>
                </c:pt>
                <c:pt idx="239">
                  <c:v>-75.542258246721872</c:v>
                </c:pt>
                <c:pt idx="240">
                  <c:v>-75.611243166229116</c:v>
                </c:pt>
                <c:pt idx="241">
                  <c:v>-75.415515374358236</c:v>
                </c:pt>
                <c:pt idx="242">
                  <c:v>-75.52750336800375</c:v>
                </c:pt>
                <c:pt idx="243">
                  <c:v>-75.495866288715106</c:v>
                </c:pt>
                <c:pt idx="244">
                  <c:v>-75.303754695340373</c:v>
                </c:pt>
                <c:pt idx="245">
                  <c:v>-74.505748671556844</c:v>
                </c:pt>
                <c:pt idx="246">
                  <c:v>-74.544727062193559</c:v>
                </c:pt>
                <c:pt idx="247">
                  <c:v>-75.171103403828823</c:v>
                </c:pt>
                <c:pt idx="248">
                  <c:v>-75.643017082416193</c:v>
                </c:pt>
                <c:pt idx="249">
                  <c:v>-75.738972131855604</c:v>
                </c:pt>
                <c:pt idx="250">
                  <c:v>-75.569533816832106</c:v>
                </c:pt>
                <c:pt idx="251">
                  <c:v>-75.214589331944083</c:v>
                </c:pt>
                <c:pt idx="252">
                  <c:v>-74.792427266615363</c:v>
                </c:pt>
                <c:pt idx="253">
                  <c:v>-75.435732984730393</c:v>
                </c:pt>
                <c:pt idx="254">
                  <c:v>-74.929486394748338</c:v>
                </c:pt>
                <c:pt idx="255">
                  <c:v>-74.632642878819311</c:v>
                </c:pt>
                <c:pt idx="256">
                  <c:v>-74.394860898461999</c:v>
                </c:pt>
                <c:pt idx="257">
                  <c:v>-73.98941571444665</c:v>
                </c:pt>
                <c:pt idx="258">
                  <c:v>-73.36593999802983</c:v>
                </c:pt>
                <c:pt idx="259">
                  <c:v>-73.014882910883173</c:v>
                </c:pt>
                <c:pt idx="260">
                  <c:v>-72.99324508691987</c:v>
                </c:pt>
                <c:pt idx="261">
                  <c:v>-71.336924147670928</c:v>
                </c:pt>
                <c:pt idx="262">
                  <c:v>-71.488363448900884</c:v>
                </c:pt>
                <c:pt idx="263">
                  <c:v>-68.313020989967185</c:v>
                </c:pt>
                <c:pt idx="264">
                  <c:v>-47.632058654330763</c:v>
                </c:pt>
                <c:pt idx="265">
                  <c:v>-52.062354559780545</c:v>
                </c:pt>
                <c:pt idx="266">
                  <c:v>-51.558453586167282</c:v>
                </c:pt>
                <c:pt idx="267">
                  <c:v>-50.481259812462227</c:v>
                </c:pt>
                <c:pt idx="268">
                  <c:v>-52.107876517208979</c:v>
                </c:pt>
                <c:pt idx="269">
                  <c:v>-47.389913270080058</c:v>
                </c:pt>
                <c:pt idx="270">
                  <c:v>-47.878508859683976</c:v>
                </c:pt>
                <c:pt idx="271">
                  <c:v>-49.764852155342901</c:v>
                </c:pt>
                <c:pt idx="272">
                  <c:v>-50.718515566315276</c:v>
                </c:pt>
                <c:pt idx="273">
                  <c:v>-51.194533770626656</c:v>
                </c:pt>
                <c:pt idx="274">
                  <c:v>-51.593329749676876</c:v>
                </c:pt>
                <c:pt idx="275">
                  <c:v>-51.496118065685138</c:v>
                </c:pt>
                <c:pt idx="276">
                  <c:v>-52.231670176688233</c:v>
                </c:pt>
                <c:pt idx="277">
                  <c:v>-52.928646975653756</c:v>
                </c:pt>
                <c:pt idx="278">
                  <c:v>-52.724739426164902</c:v>
                </c:pt>
                <c:pt idx="279">
                  <c:v>-52.267665395073223</c:v>
                </c:pt>
                <c:pt idx="280">
                  <c:v>-52.968290472594525</c:v>
                </c:pt>
                <c:pt idx="281">
                  <c:v>-52.212953699178165</c:v>
                </c:pt>
                <c:pt idx="282">
                  <c:v>-51.734769310513059</c:v>
                </c:pt>
                <c:pt idx="283">
                  <c:v>-52.341972255028978</c:v>
                </c:pt>
                <c:pt idx="284">
                  <c:v>-51.284017847732763</c:v>
                </c:pt>
                <c:pt idx="285">
                  <c:v>-50.90636794407137</c:v>
                </c:pt>
                <c:pt idx="286">
                  <c:v>-49.860426867827634</c:v>
                </c:pt>
                <c:pt idx="287">
                  <c:v>-49.962703323967602</c:v>
                </c:pt>
                <c:pt idx="288">
                  <c:v>-49.747126190565602</c:v>
                </c:pt>
                <c:pt idx="289">
                  <c:v>-49.876522080647398</c:v>
                </c:pt>
                <c:pt idx="290">
                  <c:v>-49.798447415602951</c:v>
                </c:pt>
                <c:pt idx="291">
                  <c:v>-49.271559108706043</c:v>
                </c:pt>
                <c:pt idx="292">
                  <c:v>-48.401228020203163</c:v>
                </c:pt>
                <c:pt idx="293">
                  <c:v>-45.654017472644483</c:v>
                </c:pt>
                <c:pt idx="294">
                  <c:v>-40.374551235102992</c:v>
                </c:pt>
                <c:pt idx="295">
                  <c:v>-40.810113390051974</c:v>
                </c:pt>
                <c:pt idx="296">
                  <c:v>-39.94070005242196</c:v>
                </c:pt>
                <c:pt idx="297">
                  <c:v>-28.348532398186617</c:v>
                </c:pt>
                <c:pt idx="298">
                  <c:v>-32.602958225432488</c:v>
                </c:pt>
                <c:pt idx="299">
                  <c:v>-33.276943414407469</c:v>
                </c:pt>
                <c:pt idx="300">
                  <c:v>-32.40967797840004</c:v>
                </c:pt>
                <c:pt idx="301">
                  <c:v>-31.624457366412685</c:v>
                </c:pt>
                <c:pt idx="302">
                  <c:v>-31.162632702913818</c:v>
                </c:pt>
                <c:pt idx="303">
                  <c:v>-30.951318310740184</c:v>
                </c:pt>
                <c:pt idx="304">
                  <c:v>-30.834094986970555</c:v>
                </c:pt>
                <c:pt idx="305">
                  <c:v>-31.596719798871572</c:v>
                </c:pt>
                <c:pt idx="306">
                  <c:v>-31.124250100807803</c:v>
                </c:pt>
                <c:pt idx="307">
                  <c:v>-32.579497870100965</c:v>
                </c:pt>
                <c:pt idx="308">
                  <c:v>-32.243579788353841</c:v>
                </c:pt>
                <c:pt idx="309">
                  <c:v>-29.184988177484271</c:v>
                </c:pt>
                <c:pt idx="310">
                  <c:v>-28.201926143814511</c:v>
                </c:pt>
                <c:pt idx="311">
                  <c:v>-27.866813883154894</c:v>
                </c:pt>
                <c:pt idx="312">
                  <c:v>-27.275194345362259</c:v>
                </c:pt>
                <c:pt idx="313">
                  <c:v>-27.474162814779167</c:v>
                </c:pt>
                <c:pt idx="314">
                  <c:v>-27.605712133702173</c:v>
                </c:pt>
                <c:pt idx="315">
                  <c:v>-27.860838261379079</c:v>
                </c:pt>
                <c:pt idx="316">
                  <c:v>-27.593862282750315</c:v>
                </c:pt>
                <c:pt idx="317">
                  <c:v>-27.531666430624959</c:v>
                </c:pt>
                <c:pt idx="318">
                  <c:v>-27.830751534799102</c:v>
                </c:pt>
                <c:pt idx="319">
                  <c:v>-28.375659716822717</c:v>
                </c:pt>
                <c:pt idx="320">
                  <c:v>-27.650850336028867</c:v>
                </c:pt>
                <c:pt idx="321">
                  <c:v>-28.164360960099145</c:v>
                </c:pt>
                <c:pt idx="322">
                  <c:v>-28.132845172821551</c:v>
                </c:pt>
                <c:pt idx="323">
                  <c:v>-29.283100581866748</c:v>
                </c:pt>
                <c:pt idx="324">
                  <c:v>-29.779691268684044</c:v>
                </c:pt>
                <c:pt idx="325">
                  <c:v>-30.462109249327163</c:v>
                </c:pt>
                <c:pt idx="326">
                  <c:v>-30.395974598974224</c:v>
                </c:pt>
                <c:pt idx="327">
                  <c:v>-29.448452750099626</c:v>
                </c:pt>
                <c:pt idx="328">
                  <c:v>-25.088673480327781</c:v>
                </c:pt>
                <c:pt idx="329">
                  <c:v>-25.605615805909174</c:v>
                </c:pt>
                <c:pt idx="330">
                  <c:v>-25.542407974294772</c:v>
                </c:pt>
                <c:pt idx="331">
                  <c:v>-25.900558863858883</c:v>
                </c:pt>
                <c:pt idx="332">
                  <c:v>-25.815135146099447</c:v>
                </c:pt>
                <c:pt idx="333">
                  <c:v>-25.9078134038378</c:v>
                </c:pt>
                <c:pt idx="334">
                  <c:v>-25.898694018027687</c:v>
                </c:pt>
                <c:pt idx="335">
                  <c:v>-25.840254566057848</c:v>
                </c:pt>
                <c:pt idx="336">
                  <c:v>-25.923961983770852</c:v>
                </c:pt>
                <c:pt idx="337">
                  <c:v>-25.603334033770849</c:v>
                </c:pt>
                <c:pt idx="338">
                  <c:v>-25.727022974474149</c:v>
                </c:pt>
                <c:pt idx="339">
                  <c:v>-25.547940719648786</c:v>
                </c:pt>
                <c:pt idx="340">
                  <c:v>-25.712147962318884</c:v>
                </c:pt>
                <c:pt idx="341">
                  <c:v>-25.655563821481675</c:v>
                </c:pt>
                <c:pt idx="342">
                  <c:v>-25.322895487677993</c:v>
                </c:pt>
                <c:pt idx="343">
                  <c:v>-25.543206390957995</c:v>
                </c:pt>
                <c:pt idx="344">
                  <c:v>-25.198257119423111</c:v>
                </c:pt>
                <c:pt idx="345">
                  <c:v>-24.608251862717616</c:v>
                </c:pt>
                <c:pt idx="346">
                  <c:v>-25.212957335868346</c:v>
                </c:pt>
                <c:pt idx="347">
                  <c:v>-25.125792389232082</c:v>
                </c:pt>
                <c:pt idx="348">
                  <c:v>-24.858864793710126</c:v>
                </c:pt>
                <c:pt idx="349">
                  <c:v>-25.442891577489437</c:v>
                </c:pt>
                <c:pt idx="350">
                  <c:v>-26.050551333383478</c:v>
                </c:pt>
                <c:pt idx="351">
                  <c:v>-26.288572131414313</c:v>
                </c:pt>
                <c:pt idx="352">
                  <c:v>-26.71118982815192</c:v>
                </c:pt>
                <c:pt idx="353">
                  <c:v>-26.818267109846293</c:v>
                </c:pt>
                <c:pt idx="354">
                  <c:v>-27.063995028914089</c:v>
                </c:pt>
                <c:pt idx="355">
                  <c:v>-27.155469696868185</c:v>
                </c:pt>
                <c:pt idx="356">
                  <c:v>-26.807176798503065</c:v>
                </c:pt>
                <c:pt idx="357">
                  <c:v>-27.038748456464848</c:v>
                </c:pt>
                <c:pt idx="358">
                  <c:v>-26.876776977696053</c:v>
                </c:pt>
                <c:pt idx="359">
                  <c:v>-26.745816662054629</c:v>
                </c:pt>
                <c:pt idx="360">
                  <c:v>-26.973828046740891</c:v>
                </c:pt>
                <c:pt idx="361">
                  <c:v>-27.183545055125126</c:v>
                </c:pt>
                <c:pt idx="362">
                  <c:v>-27.39128423151784</c:v>
                </c:pt>
                <c:pt idx="363">
                  <c:v>-27.103965147020975</c:v>
                </c:pt>
                <c:pt idx="364">
                  <c:v>-26.853419117485164</c:v>
                </c:pt>
                <c:pt idx="365">
                  <c:v>-27.104287056516778</c:v>
                </c:pt>
                <c:pt idx="366">
                  <c:v>-26.870012003296441</c:v>
                </c:pt>
                <c:pt idx="367">
                  <c:v>-26.919563993696439</c:v>
                </c:pt>
                <c:pt idx="368">
                  <c:v>-25.413373786916782</c:v>
                </c:pt>
                <c:pt idx="369">
                  <c:v>-25.344245834219233</c:v>
                </c:pt>
                <c:pt idx="370">
                  <c:v>-25.324453434626168</c:v>
                </c:pt>
                <c:pt idx="371">
                  <c:v>-25.568174280543854</c:v>
                </c:pt>
                <c:pt idx="372">
                  <c:v>-23.203526730543857</c:v>
                </c:pt>
                <c:pt idx="373">
                  <c:v>-23.505078880543856</c:v>
                </c:pt>
                <c:pt idx="374">
                  <c:v>-23.252066599584552</c:v>
                </c:pt>
                <c:pt idx="375">
                  <c:v>-23.127474283095736</c:v>
                </c:pt>
                <c:pt idx="376">
                  <c:v>-23.009244506342494</c:v>
                </c:pt>
                <c:pt idx="377">
                  <c:v>-22.879963426934211</c:v>
                </c:pt>
                <c:pt idx="378">
                  <c:v>-23.0883145583248</c:v>
                </c:pt>
                <c:pt idx="379">
                  <c:v>-23.130234252673695</c:v>
                </c:pt>
                <c:pt idx="380">
                  <c:v>-23.236444286563184</c:v>
                </c:pt>
                <c:pt idx="381">
                  <c:v>-22.780755612945008</c:v>
                </c:pt>
                <c:pt idx="382">
                  <c:v>-22.890382894443647</c:v>
                </c:pt>
                <c:pt idx="383">
                  <c:v>-22.616440412571134</c:v>
                </c:pt>
                <c:pt idx="384">
                  <c:v>-22.889125231017079</c:v>
                </c:pt>
                <c:pt idx="385">
                  <c:v>-23.018937781647001</c:v>
                </c:pt>
                <c:pt idx="386">
                  <c:v>-23.065793036027163</c:v>
                </c:pt>
                <c:pt idx="387">
                  <c:v>-23.304892020446982</c:v>
                </c:pt>
                <c:pt idx="388">
                  <c:v>-23.198533067822979</c:v>
                </c:pt>
                <c:pt idx="389">
                  <c:v>-23.384218680191115</c:v>
                </c:pt>
                <c:pt idx="390">
                  <c:v>-23.459995078685235</c:v>
                </c:pt>
                <c:pt idx="391">
                  <c:v>-23.173306600625537</c:v>
                </c:pt>
                <c:pt idx="392">
                  <c:v>-22.363882876686038</c:v>
                </c:pt>
                <c:pt idx="393">
                  <c:v>-22.433940294956255</c:v>
                </c:pt>
                <c:pt idx="394">
                  <c:v>-22.720182051730838</c:v>
                </c:pt>
                <c:pt idx="395">
                  <c:v>-22.672716997647505</c:v>
                </c:pt>
                <c:pt idx="396">
                  <c:v>-22.453088573203061</c:v>
                </c:pt>
                <c:pt idx="397">
                  <c:v>-22.292649884626712</c:v>
                </c:pt>
                <c:pt idx="398">
                  <c:v>-22.35006606875783</c:v>
                </c:pt>
                <c:pt idx="399">
                  <c:v>-22.315597489299378</c:v>
                </c:pt>
                <c:pt idx="400">
                  <c:v>-22.645862336565003</c:v>
                </c:pt>
                <c:pt idx="401">
                  <c:v>-21.908538701927966</c:v>
                </c:pt>
                <c:pt idx="402">
                  <c:v>-20.312100801278614</c:v>
                </c:pt>
                <c:pt idx="403">
                  <c:v>-14.863173816397477</c:v>
                </c:pt>
                <c:pt idx="404">
                  <c:v>-14.902913936936899</c:v>
                </c:pt>
                <c:pt idx="405">
                  <c:v>-13.723528682730967</c:v>
                </c:pt>
                <c:pt idx="406">
                  <c:v>-13.745392899284253</c:v>
                </c:pt>
                <c:pt idx="407">
                  <c:v>-14.008084195418274</c:v>
                </c:pt>
                <c:pt idx="408">
                  <c:v>-13.950856930872821</c:v>
                </c:pt>
                <c:pt idx="409">
                  <c:v>-13.742492055578701</c:v>
                </c:pt>
                <c:pt idx="410">
                  <c:v>-13.873144029446438</c:v>
                </c:pt>
                <c:pt idx="411">
                  <c:v>-13.84055400302308</c:v>
                </c:pt>
                <c:pt idx="412">
                  <c:v>-13.702443595848441</c:v>
                </c:pt>
                <c:pt idx="413">
                  <c:v>-13.761024982816767</c:v>
                </c:pt>
                <c:pt idx="414">
                  <c:v>-13.926041254003209</c:v>
                </c:pt>
                <c:pt idx="415">
                  <c:v>-14.120981749994396</c:v>
                </c:pt>
                <c:pt idx="416">
                  <c:v>-13.963195191373709</c:v>
                </c:pt>
                <c:pt idx="417">
                  <c:v>-14.149953026212415</c:v>
                </c:pt>
                <c:pt idx="418">
                  <c:v>-13.80942255310584</c:v>
                </c:pt>
                <c:pt idx="419">
                  <c:v>-14.078470137370546</c:v>
                </c:pt>
                <c:pt idx="420">
                  <c:v>-13.906183457370545</c:v>
                </c:pt>
                <c:pt idx="421">
                  <c:v>-13.930667942029638</c:v>
                </c:pt>
                <c:pt idx="422">
                  <c:v>-13.950750896345427</c:v>
                </c:pt>
                <c:pt idx="423">
                  <c:v>-13.919198926457787</c:v>
                </c:pt>
                <c:pt idx="424">
                  <c:v>-13.864937310834376</c:v>
                </c:pt>
                <c:pt idx="425">
                  <c:v>-13.707357771223672</c:v>
                </c:pt>
                <c:pt idx="426">
                  <c:v>-13.781041790275054</c:v>
                </c:pt>
                <c:pt idx="427">
                  <c:v>-13.82397311410892</c:v>
                </c:pt>
                <c:pt idx="428">
                  <c:v>-13.68162807211108</c:v>
                </c:pt>
                <c:pt idx="429">
                  <c:v>-13.662413140760869</c:v>
                </c:pt>
                <c:pt idx="430">
                  <c:v>-13.592108040134841</c:v>
                </c:pt>
                <c:pt idx="431">
                  <c:v>-13.670811526964105</c:v>
                </c:pt>
                <c:pt idx="432">
                  <c:v>-13.642583837611589</c:v>
                </c:pt>
                <c:pt idx="433">
                  <c:v>-13.938668260286471</c:v>
                </c:pt>
                <c:pt idx="434">
                  <c:v>-13.907876942603075</c:v>
                </c:pt>
                <c:pt idx="435">
                  <c:v>-13.921619098833059</c:v>
                </c:pt>
                <c:pt idx="436">
                  <c:v>-13.945486696079184</c:v>
                </c:pt>
                <c:pt idx="437">
                  <c:v>-13.946899981557447</c:v>
                </c:pt>
                <c:pt idx="438">
                  <c:v>-13.851554505722255</c:v>
                </c:pt>
                <c:pt idx="439">
                  <c:v>-13.74810252138386</c:v>
                </c:pt>
                <c:pt idx="440">
                  <c:v>-13.873950100849635</c:v>
                </c:pt>
                <c:pt idx="441">
                  <c:v>-13.926948138088129</c:v>
                </c:pt>
                <c:pt idx="442">
                  <c:v>-13.720464018088128</c:v>
                </c:pt>
                <c:pt idx="443">
                  <c:v>-13.650269893262953</c:v>
                </c:pt>
                <c:pt idx="444">
                  <c:v>-13.84049122574049</c:v>
                </c:pt>
                <c:pt idx="445">
                  <c:v>-13.803113548629108</c:v>
                </c:pt>
                <c:pt idx="446">
                  <c:v>-14.024245976306604</c:v>
                </c:pt>
                <c:pt idx="447">
                  <c:v>-13.500670710558069</c:v>
                </c:pt>
                <c:pt idx="448">
                  <c:v>-14.126091681287399</c:v>
                </c:pt>
                <c:pt idx="449">
                  <c:v>-14.174234892997356</c:v>
                </c:pt>
                <c:pt idx="450">
                  <c:v>-14.204262105028302</c:v>
                </c:pt>
                <c:pt idx="451">
                  <c:v>-14.118509342642836</c:v>
                </c:pt>
                <c:pt idx="452">
                  <c:v>-13.953116645408054</c:v>
                </c:pt>
                <c:pt idx="453">
                  <c:v>-13.924970596789269</c:v>
                </c:pt>
                <c:pt idx="454">
                  <c:v>-13.994584844920583</c:v>
                </c:pt>
                <c:pt idx="455">
                  <c:v>-14.000056279500528</c:v>
                </c:pt>
                <c:pt idx="456">
                  <c:v>-13.952708479066688</c:v>
                </c:pt>
                <c:pt idx="457">
                  <c:v>-13.813933369691689</c:v>
                </c:pt>
                <c:pt idx="458">
                  <c:v>-13.69925499726028</c:v>
                </c:pt>
                <c:pt idx="459">
                  <c:v>-13.737002252547994</c:v>
                </c:pt>
                <c:pt idx="460">
                  <c:v>-13.623061826841187</c:v>
                </c:pt>
                <c:pt idx="461">
                  <c:v>-13.619322209401187</c:v>
                </c:pt>
                <c:pt idx="462">
                  <c:v>-13.703324311298209</c:v>
                </c:pt>
                <c:pt idx="463">
                  <c:v>-13.748144485062914</c:v>
                </c:pt>
                <c:pt idx="464">
                  <c:v>-13.716775990401898</c:v>
                </c:pt>
                <c:pt idx="465">
                  <c:v>-13.543787443653509</c:v>
                </c:pt>
                <c:pt idx="466">
                  <c:v>-13.519042073190548</c:v>
                </c:pt>
                <c:pt idx="467">
                  <c:v>-13.493525018323291</c:v>
                </c:pt>
                <c:pt idx="468">
                  <c:v>-13.451473658257139</c:v>
                </c:pt>
                <c:pt idx="469">
                  <c:v>-13.404488985353913</c:v>
                </c:pt>
                <c:pt idx="470">
                  <c:v>-13.368332335636397</c:v>
                </c:pt>
                <c:pt idx="471">
                  <c:v>-13.276122637444308</c:v>
                </c:pt>
                <c:pt idx="472">
                  <c:v>-13.22471571451748</c:v>
                </c:pt>
                <c:pt idx="473">
                  <c:v>-13.137459329026873</c:v>
                </c:pt>
                <c:pt idx="474">
                  <c:v>-13.126322358100355</c:v>
                </c:pt>
                <c:pt idx="475">
                  <c:v>-13.032045589157017</c:v>
                </c:pt>
                <c:pt idx="476">
                  <c:v>-13.176414558091029</c:v>
                </c:pt>
                <c:pt idx="477">
                  <c:v>-13.278748143845219</c:v>
                </c:pt>
                <c:pt idx="478">
                  <c:v>-13.462161553845217</c:v>
                </c:pt>
                <c:pt idx="479">
                  <c:v>-13.071025954930088</c:v>
                </c:pt>
                <c:pt idx="480">
                  <c:v>-13.113760017538784</c:v>
                </c:pt>
                <c:pt idx="481">
                  <c:v>-13.162165228139642</c:v>
                </c:pt>
                <c:pt idx="482">
                  <c:v>-13.068810039806307</c:v>
                </c:pt>
                <c:pt idx="483">
                  <c:v>-12.689553529806306</c:v>
                </c:pt>
                <c:pt idx="484">
                  <c:v>-12.482654218791714</c:v>
                </c:pt>
                <c:pt idx="485">
                  <c:v>-12.475444546030021</c:v>
                </c:pt>
                <c:pt idx="486">
                  <c:v>-12.494886882020241</c:v>
                </c:pt>
                <c:pt idx="487">
                  <c:v>-12.35864456202024</c:v>
                </c:pt>
                <c:pt idx="488">
                  <c:v>-12.277301213500062</c:v>
                </c:pt>
                <c:pt idx="489">
                  <c:v>-12.211626265101486</c:v>
                </c:pt>
                <c:pt idx="490">
                  <c:v>-12.321819933793074</c:v>
                </c:pt>
                <c:pt idx="491">
                  <c:v>-12.504311837641364</c:v>
                </c:pt>
                <c:pt idx="492">
                  <c:v>-12.075310500630252</c:v>
                </c:pt>
                <c:pt idx="493">
                  <c:v>-12.085582911142094</c:v>
                </c:pt>
                <c:pt idx="494">
                  <c:v>-11.666465436126556</c:v>
                </c:pt>
                <c:pt idx="495">
                  <c:v>-11.406090527735028</c:v>
                </c:pt>
                <c:pt idx="496">
                  <c:v>-11.341377175142435</c:v>
                </c:pt>
                <c:pt idx="497">
                  <c:v>-11.174964140338034</c:v>
                </c:pt>
                <c:pt idx="498">
                  <c:v>-11.150934260499625</c:v>
                </c:pt>
                <c:pt idx="499">
                  <c:v>-11.000510550390775</c:v>
                </c:pt>
                <c:pt idx="500">
                  <c:v>-10.243846996753685</c:v>
                </c:pt>
                <c:pt idx="501">
                  <c:v>-9.4583434418403911</c:v>
                </c:pt>
                <c:pt idx="502">
                  <c:v>-9.207558342688591</c:v>
                </c:pt>
                <c:pt idx="503">
                  <c:v>-9.6386184341453269</c:v>
                </c:pt>
                <c:pt idx="504">
                  <c:v>-9.6590417004075917</c:v>
                </c:pt>
                <c:pt idx="505">
                  <c:v>-9.6668562284287756</c:v>
                </c:pt>
                <c:pt idx="506">
                  <c:v>-9.7493595884287778</c:v>
                </c:pt>
                <c:pt idx="507">
                  <c:v>-9.5206789225157316</c:v>
                </c:pt>
                <c:pt idx="508">
                  <c:v>-9.7539180788587529</c:v>
                </c:pt>
                <c:pt idx="509">
                  <c:v>-9.7813177914164786</c:v>
                </c:pt>
                <c:pt idx="510">
                  <c:v>-8.9636006734193554</c:v>
                </c:pt>
                <c:pt idx="511">
                  <c:v>-9.7008867428495282</c:v>
                </c:pt>
                <c:pt idx="512">
                  <c:v>-7.953887984791514</c:v>
                </c:pt>
                <c:pt idx="513">
                  <c:v>-5.9887588229773021</c:v>
                </c:pt>
                <c:pt idx="514">
                  <c:v>-7.715210389977574E-2</c:v>
                </c:pt>
                <c:pt idx="515">
                  <c:v>-4.5373947577961751</c:v>
                </c:pt>
                <c:pt idx="516">
                  <c:v>-6.2325727468155412</c:v>
                </c:pt>
                <c:pt idx="517">
                  <c:v>-6.3481308416170776</c:v>
                </c:pt>
                <c:pt idx="518">
                  <c:v>-6.3875238243964478</c:v>
                </c:pt>
                <c:pt idx="519">
                  <c:v>-6.1111575849598276</c:v>
                </c:pt>
                <c:pt idx="520">
                  <c:v>-5.424986863542844</c:v>
                </c:pt>
                <c:pt idx="521">
                  <c:v>-5.4045750168125988</c:v>
                </c:pt>
                <c:pt idx="522">
                  <c:v>-5.4318150784630843</c:v>
                </c:pt>
                <c:pt idx="523">
                  <c:v>-5.4707906586964183</c:v>
                </c:pt>
                <c:pt idx="524">
                  <c:v>-5.5572520425939684</c:v>
                </c:pt>
                <c:pt idx="525">
                  <c:v>-5.466459114959898</c:v>
                </c:pt>
                <c:pt idx="526">
                  <c:v>-5.5443973727144993</c:v>
                </c:pt>
                <c:pt idx="527">
                  <c:v>-5.4430717105663513</c:v>
                </c:pt>
                <c:pt idx="528">
                  <c:v>-5.2606678840357386</c:v>
                </c:pt>
                <c:pt idx="529">
                  <c:v>-5.3253857176357391</c:v>
                </c:pt>
                <c:pt idx="530">
                  <c:v>-5.4125107010738951</c:v>
                </c:pt>
                <c:pt idx="531">
                  <c:v>-5.4048377163680126</c:v>
                </c:pt>
                <c:pt idx="532">
                  <c:v>-5.4346217539289885</c:v>
                </c:pt>
                <c:pt idx="533">
                  <c:v>-5.5279554987091011</c:v>
                </c:pt>
                <c:pt idx="534">
                  <c:v>-5.707905116012296</c:v>
                </c:pt>
                <c:pt idx="535">
                  <c:v>-5.6119404874082042</c:v>
                </c:pt>
                <c:pt idx="536">
                  <c:v>-5.8387086394633121</c:v>
                </c:pt>
                <c:pt idx="537">
                  <c:v>-5.9279098212862289</c:v>
                </c:pt>
                <c:pt idx="538">
                  <c:v>-5.9718348996800117</c:v>
                </c:pt>
                <c:pt idx="539">
                  <c:v>-5.9484153849985706</c:v>
                </c:pt>
                <c:pt idx="540">
                  <c:v>-5.971851442244664</c:v>
                </c:pt>
                <c:pt idx="541">
                  <c:v>-6.0209817812839663</c:v>
                </c:pt>
                <c:pt idx="542">
                  <c:v>-6.0454988328570005</c:v>
                </c:pt>
                <c:pt idx="543">
                  <c:v>-6.0132569631573007</c:v>
                </c:pt>
                <c:pt idx="544">
                  <c:v>-5.9968797050160374</c:v>
                </c:pt>
                <c:pt idx="545">
                  <c:v>-6.0235161887242441</c:v>
                </c:pt>
                <c:pt idx="546">
                  <c:v>-6.0039497713791103</c:v>
                </c:pt>
                <c:pt idx="547">
                  <c:v>-6.0613700913791106</c:v>
                </c:pt>
                <c:pt idx="548">
                  <c:v>-5.9793297415404014</c:v>
                </c:pt>
                <c:pt idx="549">
                  <c:v>-6.0446391530711825</c:v>
                </c:pt>
                <c:pt idx="550">
                  <c:v>-5.8010054206737882</c:v>
                </c:pt>
                <c:pt idx="551">
                  <c:v>-5.7634510219424451</c:v>
                </c:pt>
                <c:pt idx="552">
                  <c:v>-5.689997143947723</c:v>
                </c:pt>
                <c:pt idx="553">
                  <c:v>-5.6422318291316103</c:v>
                </c:pt>
                <c:pt idx="554">
                  <c:v>-5.5593927414393018</c:v>
                </c:pt>
                <c:pt idx="555">
                  <c:v>-5.5904376000807723</c:v>
                </c:pt>
                <c:pt idx="556">
                  <c:v>-5.6038687418936384</c:v>
                </c:pt>
                <c:pt idx="557">
                  <c:v>-5.5478221213424579</c:v>
                </c:pt>
                <c:pt idx="558">
                  <c:v>-5.584279066797003</c:v>
                </c:pt>
                <c:pt idx="559">
                  <c:v>-5.5317745327802657</c:v>
                </c:pt>
                <c:pt idx="560">
                  <c:v>-5.65861820966387</c:v>
                </c:pt>
                <c:pt idx="561">
                  <c:v>-5.6735229323724887</c:v>
                </c:pt>
                <c:pt idx="562">
                  <c:v>-5.6668878647086709</c:v>
                </c:pt>
                <c:pt idx="563">
                  <c:v>-5.6954235393936026</c:v>
                </c:pt>
                <c:pt idx="564">
                  <c:v>-5.5886742593936027</c:v>
                </c:pt>
                <c:pt idx="565">
                  <c:v>-5.5720466322845983</c:v>
                </c:pt>
                <c:pt idx="566">
                  <c:v>-5.5050094867417414</c:v>
                </c:pt>
                <c:pt idx="567">
                  <c:v>-5.8427460238667406</c:v>
                </c:pt>
                <c:pt idx="568">
                  <c:v>-5.8451070394590268</c:v>
                </c:pt>
                <c:pt idx="569">
                  <c:v>-5.9076588638035004</c:v>
                </c:pt>
                <c:pt idx="570">
                  <c:v>-5.898142595408439</c:v>
                </c:pt>
                <c:pt idx="571">
                  <c:v>-5.9831413902718271</c:v>
                </c:pt>
                <c:pt idx="572">
                  <c:v>-5.957541951786979</c:v>
                </c:pt>
                <c:pt idx="573">
                  <c:v>-6.0315372001351131</c:v>
                </c:pt>
                <c:pt idx="574">
                  <c:v>-5.9989077093171703</c:v>
                </c:pt>
                <c:pt idx="575">
                  <c:v>-5.9005642710297455</c:v>
                </c:pt>
                <c:pt idx="576">
                  <c:v>-5.9373234272308624</c:v>
                </c:pt>
                <c:pt idx="577">
                  <c:v>-5.922840458499155</c:v>
                </c:pt>
                <c:pt idx="578">
                  <c:v>-5.9267496304503746</c:v>
                </c:pt>
                <c:pt idx="579">
                  <c:v>-5.9843039734770809</c:v>
                </c:pt>
                <c:pt idx="580">
                  <c:v>-5.9240160805904836</c:v>
                </c:pt>
                <c:pt idx="581">
                  <c:v>-5.8947890850321389</c:v>
                </c:pt>
                <c:pt idx="582">
                  <c:v>-5.9783418795824028</c:v>
                </c:pt>
                <c:pt idx="583">
                  <c:v>-5.9048317272459547</c:v>
                </c:pt>
                <c:pt idx="584">
                  <c:v>-5.8569265583019545</c:v>
                </c:pt>
                <c:pt idx="585">
                  <c:v>-5.7733563889402522</c:v>
                </c:pt>
                <c:pt idx="586">
                  <c:v>-5.7356520321096518</c:v>
                </c:pt>
                <c:pt idx="587">
                  <c:v>-5.7383357843160567</c:v>
                </c:pt>
                <c:pt idx="588">
                  <c:v>-5.6624735154447245</c:v>
                </c:pt>
                <c:pt idx="589">
                  <c:v>-5.5609209447141303</c:v>
                </c:pt>
                <c:pt idx="590">
                  <c:v>-5.6094099708959479</c:v>
                </c:pt>
                <c:pt idx="591">
                  <c:v>-5.6323620473173532</c:v>
                </c:pt>
                <c:pt idx="592">
                  <c:v>-5.7079167338677896</c:v>
                </c:pt>
                <c:pt idx="593">
                  <c:v>-5.5993952021761411</c:v>
                </c:pt>
                <c:pt idx="594">
                  <c:v>-5.5855171695856116</c:v>
                </c:pt>
                <c:pt idx="595">
                  <c:v>-5.6989398148379289</c:v>
                </c:pt>
                <c:pt idx="596">
                  <c:v>-5.6293562727179927</c:v>
                </c:pt>
                <c:pt idx="597">
                  <c:v>-5.5448466979998914</c:v>
                </c:pt>
                <c:pt idx="598">
                  <c:v>-5.5845347625332264</c:v>
                </c:pt>
                <c:pt idx="599">
                  <c:v>-5.1519189661275764</c:v>
                </c:pt>
                <c:pt idx="600">
                  <c:v>-5.2875598632765142</c:v>
                </c:pt>
                <c:pt idx="601">
                  <c:v>-5.0879799183204293</c:v>
                </c:pt>
                <c:pt idx="602">
                  <c:v>-4.4545567096672789</c:v>
                </c:pt>
                <c:pt idx="603">
                  <c:v>-5.1481830400292967</c:v>
                </c:pt>
                <c:pt idx="604">
                  <c:v>-5.223033252275286</c:v>
                </c:pt>
                <c:pt idx="605">
                  <c:v>-5.1960518604269454</c:v>
                </c:pt>
                <c:pt idx="606">
                  <c:v>-5.188562552614445</c:v>
                </c:pt>
                <c:pt idx="607">
                  <c:v>-5.1401984088478274</c:v>
                </c:pt>
                <c:pt idx="608">
                  <c:v>-5.1340799099777703</c:v>
                </c:pt>
                <c:pt idx="609">
                  <c:v>-5.2480386578429394</c:v>
                </c:pt>
                <c:pt idx="610">
                  <c:v>-5.2284048382163837</c:v>
                </c:pt>
                <c:pt idx="611">
                  <c:v>-5.1083251067312352</c:v>
                </c:pt>
                <c:pt idx="612">
                  <c:v>-5.2489626732759511</c:v>
                </c:pt>
                <c:pt idx="613">
                  <c:v>-5.2961493380127926</c:v>
                </c:pt>
                <c:pt idx="614">
                  <c:v>-4.7291086982316921</c:v>
                </c:pt>
                <c:pt idx="615">
                  <c:v>-4.6776515113185084</c:v>
                </c:pt>
                <c:pt idx="616">
                  <c:v>-4.7156304701557179</c:v>
                </c:pt>
                <c:pt idx="617">
                  <c:v>-4.6747775593500309</c:v>
                </c:pt>
                <c:pt idx="618">
                  <c:v>-4.6768247141729198</c:v>
                </c:pt>
                <c:pt idx="619">
                  <c:v>-4.6752293389773882</c:v>
                </c:pt>
                <c:pt idx="620">
                  <c:v>-4.705366835139551</c:v>
                </c:pt>
                <c:pt idx="621">
                  <c:v>-4.6091267651395507</c:v>
                </c:pt>
                <c:pt idx="622">
                  <c:v>-4.632582780658419</c:v>
                </c:pt>
                <c:pt idx="623">
                  <c:v>-4.5978626715495086</c:v>
                </c:pt>
                <c:pt idx="624">
                  <c:v>-4.3946944978451601</c:v>
                </c:pt>
                <c:pt idx="625">
                  <c:v>-4.362920215739897</c:v>
                </c:pt>
                <c:pt idx="626">
                  <c:v>-4.3562824937196947</c:v>
                </c:pt>
                <c:pt idx="627">
                  <c:v>-4.3458358911109993</c:v>
                </c:pt>
                <c:pt idx="628">
                  <c:v>-4.2751777189380498</c:v>
                </c:pt>
                <c:pt idx="629">
                  <c:v>-4.2339377655005501</c:v>
                </c:pt>
                <c:pt idx="630">
                  <c:v>-4.2499299049225785</c:v>
                </c:pt>
                <c:pt idx="631">
                  <c:v>-4.1050598475386124</c:v>
                </c:pt>
                <c:pt idx="632">
                  <c:v>-4.0434800349394919</c:v>
                </c:pt>
                <c:pt idx="633">
                  <c:v>-3.9936739353427182</c:v>
                </c:pt>
                <c:pt idx="634">
                  <c:v>-3.9984908155504337</c:v>
                </c:pt>
                <c:pt idx="635">
                  <c:v>-3.8378001148607788</c:v>
                </c:pt>
                <c:pt idx="636">
                  <c:v>-3.8520654772607785</c:v>
                </c:pt>
                <c:pt idx="637">
                  <c:v>-3.8155991608232784</c:v>
                </c:pt>
                <c:pt idx="638">
                  <c:v>-3.6905990195534373</c:v>
                </c:pt>
                <c:pt idx="639">
                  <c:v>-3.6774210469003754</c:v>
                </c:pt>
                <c:pt idx="640">
                  <c:v>-3.6634773938315921</c:v>
                </c:pt>
                <c:pt idx="641">
                  <c:v>-3.6470125079323119</c:v>
                </c:pt>
                <c:pt idx="642">
                  <c:v>-3.7054730655310961</c:v>
                </c:pt>
                <c:pt idx="643">
                  <c:v>-3.5298147325812792</c:v>
                </c:pt>
                <c:pt idx="644">
                  <c:v>-3.5414561672008444</c:v>
                </c:pt>
                <c:pt idx="645">
                  <c:v>-3.5664525218947221</c:v>
                </c:pt>
                <c:pt idx="646">
                  <c:v>-3.6202224171998862</c:v>
                </c:pt>
                <c:pt idx="647">
                  <c:v>-3.6170150125447145</c:v>
                </c:pt>
                <c:pt idx="648">
                  <c:v>-3.5870233428092648</c:v>
                </c:pt>
                <c:pt idx="649">
                  <c:v>-3.575181070772901</c:v>
                </c:pt>
                <c:pt idx="650">
                  <c:v>-3.6596760307087988</c:v>
                </c:pt>
                <c:pt idx="651">
                  <c:v>-3.6785024277439748</c:v>
                </c:pt>
                <c:pt idx="652">
                  <c:v>-3.7079911481934134</c:v>
                </c:pt>
                <c:pt idx="653">
                  <c:v>-3.7054453295925898</c:v>
                </c:pt>
                <c:pt idx="654">
                  <c:v>-3.5072050344927717</c:v>
                </c:pt>
                <c:pt idx="655">
                  <c:v>-3.4343966794927714</c:v>
                </c:pt>
                <c:pt idx="656">
                  <c:v>-2.9626617067235408</c:v>
                </c:pt>
                <c:pt idx="657">
                  <c:v>-2.7030533524240234</c:v>
                </c:pt>
                <c:pt idx="658">
                  <c:v>-2.6919726675531752</c:v>
                </c:pt>
                <c:pt idx="659">
                  <c:v>-2.6719829664073411</c:v>
                </c:pt>
                <c:pt idx="660">
                  <c:v>-2.6313264335291127</c:v>
                </c:pt>
                <c:pt idx="661">
                  <c:v>-2.5844664898081828</c:v>
                </c:pt>
                <c:pt idx="662">
                  <c:v>-2.6145500468445775</c:v>
                </c:pt>
                <c:pt idx="663">
                  <c:v>-2.5417131677047924</c:v>
                </c:pt>
                <c:pt idx="664">
                  <c:v>-2.2863824162597055</c:v>
                </c:pt>
                <c:pt idx="665">
                  <c:v>-1.760869712062646</c:v>
                </c:pt>
                <c:pt idx="666">
                  <c:v>-1.8899006545234118</c:v>
                </c:pt>
                <c:pt idx="667">
                  <c:v>-1.9451929445234115</c:v>
                </c:pt>
                <c:pt idx="668">
                  <c:v>-1.9479750329234116</c:v>
                </c:pt>
                <c:pt idx="669">
                  <c:v>-1.9757755696597039</c:v>
                </c:pt>
                <c:pt idx="670">
                  <c:v>-1.9616420030217729</c:v>
                </c:pt>
                <c:pt idx="671">
                  <c:v>-1.9656402110271638</c:v>
                </c:pt>
                <c:pt idx="672">
                  <c:v>-1.9408105418604973</c:v>
                </c:pt>
                <c:pt idx="673">
                  <c:v>-1.9311998281662295</c:v>
                </c:pt>
                <c:pt idx="674">
                  <c:v>-1.8605011459799945</c:v>
                </c:pt>
                <c:pt idx="675">
                  <c:v>-1.7438014234919563</c:v>
                </c:pt>
                <c:pt idx="676">
                  <c:v>-1.509764761685042</c:v>
                </c:pt>
                <c:pt idx="677">
                  <c:v>-1.508796002585943</c:v>
                </c:pt>
                <c:pt idx="678">
                  <c:v>-1.4949363263459432</c:v>
                </c:pt>
                <c:pt idx="679">
                  <c:v>-1.4266545507928958</c:v>
                </c:pt>
                <c:pt idx="680">
                  <c:v>-1.4538893773964463</c:v>
                </c:pt>
                <c:pt idx="681">
                  <c:v>-1.4518932885729166</c:v>
                </c:pt>
                <c:pt idx="682">
                  <c:v>-1.4603896657098461</c:v>
                </c:pt>
                <c:pt idx="683">
                  <c:v>-1.4411386125059626</c:v>
                </c:pt>
                <c:pt idx="684">
                  <c:v>-1.3983345875059627</c:v>
                </c:pt>
                <c:pt idx="685">
                  <c:v>-1.4117383218966979</c:v>
                </c:pt>
                <c:pt idx="686">
                  <c:v>-1.5768292218966979</c:v>
                </c:pt>
                <c:pt idx="687">
                  <c:v>-1.5007196812275017</c:v>
                </c:pt>
                <c:pt idx="688">
                  <c:v>-1.5068186879276448</c:v>
                </c:pt>
                <c:pt idx="689">
                  <c:v>-1.5099180621211932</c:v>
                </c:pt>
                <c:pt idx="690">
                  <c:v>-1.5027588369259981</c:v>
                </c:pt>
                <c:pt idx="691">
                  <c:v>-1.4604879938435089</c:v>
                </c:pt>
                <c:pt idx="692">
                  <c:v>-1.5431715403530759</c:v>
                </c:pt>
                <c:pt idx="693">
                  <c:v>-1.5994875471608034</c:v>
                </c:pt>
                <c:pt idx="694">
                  <c:v>-1.6408403971869132</c:v>
                </c:pt>
                <c:pt idx="695">
                  <c:v>-1.6360002549766708</c:v>
                </c:pt>
                <c:pt idx="696">
                  <c:v>-1.6329298817807947</c:v>
                </c:pt>
                <c:pt idx="697">
                  <c:v>-1.6410492064286819</c:v>
                </c:pt>
                <c:pt idx="698">
                  <c:v>-1.641097414296814</c:v>
                </c:pt>
                <c:pt idx="699">
                  <c:v>-1.6350202804568139</c:v>
                </c:pt>
                <c:pt idx="700">
                  <c:v>-1.6448844931840867</c:v>
                </c:pt>
                <c:pt idx="701">
                  <c:v>-1.6492804401580345</c:v>
                </c:pt>
                <c:pt idx="702">
                  <c:v>-1.6305326625453862</c:v>
                </c:pt>
                <c:pt idx="703">
                  <c:v>-1.6086899445966683</c:v>
                </c:pt>
                <c:pt idx="704">
                  <c:v>-1.5876268239307414</c:v>
                </c:pt>
                <c:pt idx="705">
                  <c:v>-1.6113405329833732</c:v>
                </c:pt>
                <c:pt idx="706">
                  <c:v>-1.583463789654822</c:v>
                </c:pt>
                <c:pt idx="707">
                  <c:v>-1.5386034168574652</c:v>
                </c:pt>
                <c:pt idx="708">
                  <c:v>-1.5542359277236071</c:v>
                </c:pt>
                <c:pt idx="709">
                  <c:v>-1.5136534740743182</c:v>
                </c:pt>
                <c:pt idx="710">
                  <c:v>-1.5349639135082804</c:v>
                </c:pt>
                <c:pt idx="711">
                  <c:v>-1.5918292079620622</c:v>
                </c:pt>
                <c:pt idx="712">
                  <c:v>-1.5559548703018382</c:v>
                </c:pt>
                <c:pt idx="713">
                  <c:v>-1.4684215942637429</c:v>
                </c:pt>
                <c:pt idx="714">
                  <c:v>-1.4532759856683819</c:v>
                </c:pt>
                <c:pt idx="715">
                  <c:v>-1.2747528382333044</c:v>
                </c:pt>
                <c:pt idx="716">
                  <c:v>-1.8995086345388821</c:v>
                </c:pt>
                <c:pt idx="717">
                  <c:v>-1.9745005707225007</c:v>
                </c:pt>
                <c:pt idx="718">
                  <c:v>-2.0228965259879872</c:v>
                </c:pt>
                <c:pt idx="719">
                  <c:v>-2.0155096681629008</c:v>
                </c:pt>
                <c:pt idx="720">
                  <c:v>-2.0967495678129011</c:v>
                </c:pt>
                <c:pt idx="721">
                  <c:v>-1.5750884555906792</c:v>
                </c:pt>
                <c:pt idx="722">
                  <c:v>-1.6006746371611615</c:v>
                </c:pt>
                <c:pt idx="723">
                  <c:v>-1.6139754111234261</c:v>
                </c:pt>
                <c:pt idx="724">
                  <c:v>-1.5259633576484264</c:v>
                </c:pt>
                <c:pt idx="725">
                  <c:v>-1.522508829678664</c:v>
                </c:pt>
                <c:pt idx="726">
                  <c:v>-1.4880134658337025</c:v>
                </c:pt>
                <c:pt idx="727">
                  <c:v>-1.5198516925333727</c:v>
                </c:pt>
                <c:pt idx="728">
                  <c:v>-1.5699089584833723</c:v>
                </c:pt>
                <c:pt idx="729">
                  <c:v>-1.540296281719618</c:v>
                </c:pt>
                <c:pt idx="730">
                  <c:v>-1.4995742954856663</c:v>
                </c:pt>
                <c:pt idx="731">
                  <c:v>-1.4417239480868931</c:v>
                </c:pt>
                <c:pt idx="732">
                  <c:v>-1.3460051629266911</c:v>
                </c:pt>
                <c:pt idx="733">
                  <c:v>-1.2996685598558246</c:v>
                </c:pt>
                <c:pt idx="734">
                  <c:v>-1.284876729139407</c:v>
                </c:pt>
                <c:pt idx="735">
                  <c:v>-1.3298176345157509</c:v>
                </c:pt>
                <c:pt idx="736">
                  <c:v>-1.1402639750871792</c:v>
                </c:pt>
                <c:pt idx="737">
                  <c:v>-0.92032200615384585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73-4892-8830-0FD0A3C8B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5962912"/>
        <c:axId val="385965408"/>
      </c:lineChart>
      <c:dateAx>
        <c:axId val="385962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65408"/>
        <c:crosses val="autoZero"/>
        <c:auto val="1"/>
        <c:lblOffset val="100"/>
        <c:baseTimeUnit val="days"/>
      </c:dateAx>
      <c:valAx>
        <c:axId val="38596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962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36A4A9-470E-4446-8384-F1D75F96D99F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9A6A5A-4AA7-4554-890A-A46606C739E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0.1179</v>
      </c>
      <c r="D2" s="4">
        <f>MIN(D3:D1912)</f>
        <v>1.8E-3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1.8579999999999999E-2</v>
      </c>
      <c r="C5">
        <v>1.881E-2</v>
      </c>
      <c r="D5">
        <v>1.8249999999999999E-2</v>
      </c>
      <c r="E5">
        <v>1.8249999999999999E-2</v>
      </c>
      <c r="F5">
        <v>1244190</v>
      </c>
      <c r="G5">
        <v>1.8249999999999999E-2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-1244190</v>
      </c>
      <c r="R5">
        <f t="shared" ref="R5" si="2">R6+Q5</f>
        <v>-16392759404.54608</v>
      </c>
      <c r="S5">
        <f t="shared" ref="S5" si="3">R5/100000</f>
        <v>-163927.59404546081</v>
      </c>
      <c r="T5">
        <f t="shared" ref="T5" si="4">S5/1000</f>
        <v>-163.92759404546081</v>
      </c>
    </row>
    <row r="6" spans="1:20" x14ac:dyDescent="0.25">
      <c r="A6" s="5">
        <v>44587</v>
      </c>
      <c r="B6">
        <v>1.8259999999999998E-2</v>
      </c>
      <c r="C6">
        <v>2.035E-2</v>
      </c>
      <c r="D6">
        <v>1.7950000000000001E-2</v>
      </c>
      <c r="E6">
        <v>1.857E-2</v>
      </c>
      <c r="F6">
        <v>32691133</v>
      </c>
      <c r="G6">
        <v>1.857E-2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-0.483333333333334</v>
      </c>
      <c r="Q6">
        <f t="shared" ref="Q6" si="6">F6*P6</f>
        <v>-15800714.283333356</v>
      </c>
      <c r="R6">
        <f t="shared" ref="R6" si="7">R7+Q6</f>
        <v>-16391515214.54608</v>
      </c>
      <c r="S6">
        <f t="shared" ref="S6" si="8">R6/100000</f>
        <v>-163915.1521454608</v>
      </c>
      <c r="T6">
        <f t="shared" ref="T6" si="9">S6/1000</f>
        <v>-163.91515214546081</v>
      </c>
    </row>
    <row r="7" spans="1:20" x14ac:dyDescent="0.25">
      <c r="A7" s="5">
        <v>44586</v>
      </c>
      <c r="B7">
        <v>1.839E-2</v>
      </c>
      <c r="C7">
        <v>1.9130000000000001E-2</v>
      </c>
      <c r="D7">
        <v>1.7760000000000001E-2</v>
      </c>
      <c r="E7">
        <v>1.8270000000000002E-2</v>
      </c>
      <c r="F7">
        <v>30507704</v>
      </c>
      <c r="G7">
        <v>1.8270000000000002E-2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-0.25547445255474432</v>
      </c>
      <c r="Q7">
        <f t="shared" ref="Q7" si="11">F7*P7</f>
        <v>-7793938.9781021839</v>
      </c>
      <c r="R7">
        <f t="shared" ref="R7" si="12">R8+Q7</f>
        <v>-16375714500.262747</v>
      </c>
      <c r="S7">
        <f t="shared" ref="S7" si="13">R7/100000</f>
        <v>-163757.14500262745</v>
      </c>
      <c r="T7">
        <f t="shared" ref="T7" si="14">S7/1000</f>
        <v>-163.75714500262745</v>
      </c>
    </row>
    <row r="8" spans="1:20" x14ac:dyDescent="0.25">
      <c r="A8" s="5">
        <v>44585</v>
      </c>
      <c r="B8">
        <v>1.9310000000000001E-2</v>
      </c>
      <c r="C8">
        <v>1.933E-2</v>
      </c>
      <c r="D8">
        <v>1.5900000000000001E-2</v>
      </c>
      <c r="E8">
        <v>1.8460000000000001E-2</v>
      </c>
      <c r="F8">
        <v>59490562</v>
      </c>
      <c r="G8">
        <v>1.8460000000000001E-2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0.49271137026239098</v>
      </c>
      <c r="Q8">
        <f t="shared" ref="Q8" si="16">F8*P8</f>
        <v>29311676.320699725</v>
      </c>
      <c r="R8">
        <f t="shared" ref="R8" si="17">R9+Q8</f>
        <v>-16367920561.284645</v>
      </c>
      <c r="S8">
        <f t="shared" ref="S8" si="18">R8/100000</f>
        <v>-163679.20561284645</v>
      </c>
      <c r="T8">
        <f t="shared" ref="T8" si="19">S8/1000</f>
        <v>-163.67920561284646</v>
      </c>
    </row>
    <row r="9" spans="1:20" x14ac:dyDescent="0.25">
      <c r="A9" s="5">
        <v>44584</v>
      </c>
      <c r="B9">
        <v>1.8030000000000001E-2</v>
      </c>
      <c r="C9">
        <v>1.993E-2</v>
      </c>
      <c r="D9">
        <v>1.7950000000000001E-2</v>
      </c>
      <c r="E9">
        <v>1.9349999999999999E-2</v>
      </c>
      <c r="F9">
        <v>32343949</v>
      </c>
      <c r="G9">
        <v>1.9349999999999999E-2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0.4141414141414132</v>
      </c>
      <c r="Q9">
        <f t="shared" ref="Q9" si="21">F9*P9</f>
        <v>13394968.777777748</v>
      </c>
      <c r="R9">
        <f t="shared" ref="R9" si="22">R10+Q9</f>
        <v>-16397232237.605345</v>
      </c>
      <c r="S9">
        <f t="shared" ref="S9" si="23">R9/100000</f>
        <v>-163972.32237605346</v>
      </c>
      <c r="T9">
        <f t="shared" ref="T9" si="24">S9/1000</f>
        <v>-163.97232237605346</v>
      </c>
    </row>
    <row r="10" spans="1:20" x14ac:dyDescent="0.25">
      <c r="A10" s="5">
        <v>44583</v>
      </c>
      <c r="B10">
        <v>2.085E-2</v>
      </c>
      <c r="C10">
        <v>2.1329999999999998E-2</v>
      </c>
      <c r="D10">
        <v>1.7010000000000001E-2</v>
      </c>
      <c r="E10">
        <v>1.8010000000000002E-2</v>
      </c>
      <c r="F10">
        <v>82435077</v>
      </c>
      <c r="G10">
        <v>1.8010000000000002E-2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-0.53703703703703631</v>
      </c>
      <c r="Q10">
        <f t="shared" ref="Q10" si="26">F10*P10</f>
        <v>-44270689.49999994</v>
      </c>
      <c r="R10">
        <f t="shared" ref="R10" si="27">R11+Q10</f>
        <v>-16410627206.383123</v>
      </c>
      <c r="S10">
        <f t="shared" ref="S10" si="28">R10/100000</f>
        <v>-164106.27206383125</v>
      </c>
      <c r="T10">
        <f t="shared" ref="T10" si="29">S10/1000</f>
        <v>-164.10627206383126</v>
      </c>
    </row>
    <row r="11" spans="1:20" x14ac:dyDescent="0.25">
      <c r="A11" s="5">
        <v>44582</v>
      </c>
      <c r="B11">
        <v>2.528E-2</v>
      </c>
      <c r="C11">
        <v>2.53E-2</v>
      </c>
      <c r="D11">
        <v>2.044E-2</v>
      </c>
      <c r="E11">
        <v>2.085E-2</v>
      </c>
      <c r="F11">
        <v>65831172</v>
      </c>
      <c r="G11">
        <v>2.085E-2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-0.83127572016460882</v>
      </c>
      <c r="Q11">
        <f t="shared" ref="Q11" si="31">F11*P11</f>
        <v>-54723854.913580231</v>
      </c>
      <c r="R11">
        <f t="shared" ref="R11" si="32">R12+Q11</f>
        <v>-16366356516.883123</v>
      </c>
      <c r="S11">
        <f t="shared" ref="S11" si="33">R11/100000</f>
        <v>-163663.56516883124</v>
      </c>
      <c r="T11">
        <f t="shared" ref="T11" si="34">S11/1000</f>
        <v>-163.66356516883124</v>
      </c>
    </row>
    <row r="12" spans="1:20" x14ac:dyDescent="0.25">
      <c r="A12" s="5">
        <v>44581</v>
      </c>
      <c r="B12">
        <v>2.545E-2</v>
      </c>
      <c r="C12">
        <v>2.649E-2</v>
      </c>
      <c r="D12">
        <v>2.445E-2</v>
      </c>
      <c r="E12">
        <v>2.5239999999999999E-2</v>
      </c>
      <c r="F12">
        <v>30061882</v>
      </c>
      <c r="G12">
        <v>2.5239999999999999E-2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-0.22549019607843238</v>
      </c>
      <c r="Q12">
        <f t="shared" ref="Q12" si="36">F12*P12</f>
        <v>-6778659.6666666968</v>
      </c>
      <c r="R12">
        <f t="shared" ref="R12" si="37">R13+Q12</f>
        <v>-16311632661.969543</v>
      </c>
      <c r="S12">
        <f t="shared" ref="S12" si="38">R12/100000</f>
        <v>-163116.32661969544</v>
      </c>
      <c r="T12">
        <f t="shared" ref="T12" si="39">S12/1000</f>
        <v>-163.11632661969543</v>
      </c>
    </row>
    <row r="13" spans="1:20" x14ac:dyDescent="0.25">
      <c r="A13" s="5">
        <v>44580</v>
      </c>
      <c r="B13">
        <v>2.5760000000000002E-2</v>
      </c>
      <c r="C13">
        <v>2.751E-2</v>
      </c>
      <c r="D13">
        <v>2.46E-2</v>
      </c>
      <c r="E13">
        <v>2.5520000000000001E-2</v>
      </c>
      <c r="F13">
        <v>44011776</v>
      </c>
      <c r="G13">
        <v>2.5520000000000001E-2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-0.36769759450171763</v>
      </c>
      <c r="Q13">
        <f t="shared" ref="Q13" si="41">F13*P13</f>
        <v>-16183024.164948428</v>
      </c>
      <c r="R13">
        <f t="shared" ref="R13" si="42">R14+Q13</f>
        <v>-16304854002.302877</v>
      </c>
      <c r="S13">
        <f t="shared" ref="S13" si="43">R13/100000</f>
        <v>-163048.54002302876</v>
      </c>
      <c r="T13">
        <f t="shared" ref="T13" si="44">S13/1000</f>
        <v>-163.04854002302875</v>
      </c>
    </row>
    <row r="14" spans="1:20" x14ac:dyDescent="0.25">
      <c r="A14" s="5">
        <v>44579</v>
      </c>
      <c r="B14">
        <v>2.656E-2</v>
      </c>
      <c r="C14">
        <v>2.7089999999999999E-2</v>
      </c>
      <c r="D14">
        <v>2.5100000000000001E-2</v>
      </c>
      <c r="E14">
        <v>2.5749999999999999E-2</v>
      </c>
      <c r="F14">
        <v>20714164</v>
      </c>
      <c r="G14">
        <v>2.5749999999999999E-2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-0.34673366834171032</v>
      </c>
      <c r="Q14">
        <f t="shared" ref="Q14" si="46">F14*P14</f>
        <v>-7182298.0703517953</v>
      </c>
      <c r="R14">
        <f t="shared" ref="R14" si="47">R15+Q14</f>
        <v>-16288670978.13793</v>
      </c>
      <c r="S14">
        <f t="shared" ref="S14" si="48">R14/100000</f>
        <v>-162886.70978137929</v>
      </c>
      <c r="T14">
        <f t="shared" ref="T14" si="49">S14/1000</f>
        <v>-162.8867097813793</v>
      </c>
    </row>
    <row r="15" spans="1:20" x14ac:dyDescent="0.25">
      <c r="A15" s="5">
        <v>44578</v>
      </c>
      <c r="B15">
        <v>2.8150000000000001E-2</v>
      </c>
      <c r="C15">
        <v>2.826E-2</v>
      </c>
      <c r="D15">
        <v>2.6210000000000001E-2</v>
      </c>
      <c r="E15">
        <v>2.6599999999999999E-2</v>
      </c>
      <c r="F15">
        <v>23658542</v>
      </c>
      <c r="G15">
        <v>2.6599999999999999E-2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-0.6195121951219531</v>
      </c>
      <c r="Q15">
        <f t="shared" ref="Q15" si="51">F15*P15</f>
        <v>-14656755.287804922</v>
      </c>
      <c r="R15">
        <f t="shared" ref="R15" si="52">R16+Q15</f>
        <v>-16281488680.067577</v>
      </c>
      <c r="S15">
        <f t="shared" ref="S15" si="53">R15/100000</f>
        <v>-162814.88680067577</v>
      </c>
      <c r="T15">
        <f t="shared" ref="T15" si="54">S15/1000</f>
        <v>-162.81488680067577</v>
      </c>
    </row>
    <row r="16" spans="1:20" x14ac:dyDescent="0.25">
      <c r="A16" s="5">
        <v>44577</v>
      </c>
      <c r="B16">
        <v>2.9000000000000001E-2</v>
      </c>
      <c r="C16">
        <v>2.92E-2</v>
      </c>
      <c r="D16">
        <v>2.8000000000000001E-2</v>
      </c>
      <c r="E16">
        <v>2.8150000000000001E-2</v>
      </c>
      <c r="F16">
        <v>26503028</v>
      </c>
      <c r="G16">
        <v>2.8150000000000001E-2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-0.74999999999999856</v>
      </c>
      <c r="Q16">
        <f t="shared" ref="Q16" si="56">F16*P16</f>
        <v>-19877270.999999963</v>
      </c>
      <c r="R16">
        <f t="shared" ref="R16" si="57">R17+Q16</f>
        <v>-16266831924.779772</v>
      </c>
      <c r="S16">
        <f t="shared" ref="S16" si="58">R16/100000</f>
        <v>-162668.31924779771</v>
      </c>
      <c r="T16">
        <f t="shared" ref="T16" si="59">S16/1000</f>
        <v>-162.66831924779771</v>
      </c>
    </row>
    <row r="17" spans="1:20" x14ac:dyDescent="0.25">
      <c r="A17" s="5">
        <v>44576</v>
      </c>
      <c r="B17">
        <v>2.852E-2</v>
      </c>
      <c r="C17">
        <v>2.9600000000000001E-2</v>
      </c>
      <c r="D17">
        <v>2.7900000000000001E-2</v>
      </c>
      <c r="E17">
        <v>2.9000000000000001E-2</v>
      </c>
      <c r="F17">
        <v>29795205</v>
      </c>
      <c r="G17">
        <v>2.9000000000000001E-2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0.29411764705882376</v>
      </c>
      <c r="Q17">
        <f t="shared" ref="Q17" si="61">F17*P17</f>
        <v>8763295.5882353019</v>
      </c>
      <c r="R17">
        <f t="shared" ref="R17" si="62">R18+Q17</f>
        <v>-16246954653.779772</v>
      </c>
      <c r="S17">
        <f t="shared" ref="S17" si="63">R17/100000</f>
        <v>-162469.54653779772</v>
      </c>
      <c r="T17">
        <f t="shared" ref="T17" si="64">S17/1000</f>
        <v>-162.46954653779773</v>
      </c>
    </row>
    <row r="18" spans="1:20" x14ac:dyDescent="0.25">
      <c r="A18" s="5">
        <v>44575</v>
      </c>
      <c r="B18">
        <v>2.811E-2</v>
      </c>
      <c r="C18">
        <v>2.8729999999999999E-2</v>
      </c>
      <c r="D18">
        <v>2.75E-2</v>
      </c>
      <c r="E18">
        <v>2.8539999999999999E-2</v>
      </c>
      <c r="F18">
        <v>38493064</v>
      </c>
      <c r="G18">
        <v>2.8539999999999999E-2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0.69105691056910656</v>
      </c>
      <c r="Q18">
        <f t="shared" ref="Q18" si="66">F18*P18</f>
        <v>26600897.886178896</v>
      </c>
      <c r="R18">
        <f t="shared" ref="R18" si="67">R19+Q18</f>
        <v>-16255717949.368008</v>
      </c>
      <c r="S18">
        <f t="shared" ref="S18" si="68">R18/100000</f>
        <v>-162557.17949368007</v>
      </c>
      <c r="T18">
        <f t="shared" ref="T18" si="69">S18/1000</f>
        <v>-162.55717949368008</v>
      </c>
    </row>
    <row r="19" spans="1:20" x14ac:dyDescent="0.25">
      <c r="A19" s="5">
        <v>44574</v>
      </c>
      <c r="B19">
        <v>2.879E-2</v>
      </c>
      <c r="C19">
        <v>2.9219999999999999E-2</v>
      </c>
      <c r="D19">
        <v>2.6710000000000001E-2</v>
      </c>
      <c r="E19">
        <v>2.811E-2</v>
      </c>
      <c r="F19">
        <v>59037552</v>
      </c>
      <c r="G19">
        <v>2.811E-2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0.1155378486055772</v>
      </c>
      <c r="Q19">
        <f t="shared" ref="Q19" si="71">F19*P19</f>
        <v>6821071.7450198913</v>
      </c>
      <c r="R19">
        <f t="shared" ref="R19" si="72">R20+Q19</f>
        <v>-16282318847.254187</v>
      </c>
      <c r="S19">
        <f t="shared" ref="S19" si="73">R19/100000</f>
        <v>-162823.18847254186</v>
      </c>
      <c r="T19">
        <f t="shared" ref="T19" si="74">S19/1000</f>
        <v>-162.82318847254186</v>
      </c>
    </row>
    <row r="20" spans="1:20" x14ac:dyDescent="0.25">
      <c r="A20" s="5">
        <v>44573</v>
      </c>
      <c r="B20">
        <v>2.743E-2</v>
      </c>
      <c r="C20">
        <v>2.903E-2</v>
      </c>
      <c r="D20">
        <v>2.7369999999999998E-2</v>
      </c>
      <c r="E20">
        <v>2.879E-2</v>
      </c>
      <c r="F20">
        <v>27107878</v>
      </c>
      <c r="G20">
        <v>2.879E-2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0.71084337349397542</v>
      </c>
      <c r="Q20">
        <f t="shared" ref="Q20" si="76">F20*P20</f>
        <v>19269455.44578312</v>
      </c>
      <c r="R20">
        <f t="shared" ref="R20" si="77">R21+Q20</f>
        <v>-16289139918.999207</v>
      </c>
      <c r="S20">
        <f t="shared" ref="S20" si="78">R20/100000</f>
        <v>-162891.39918999205</v>
      </c>
      <c r="T20">
        <f t="shared" ref="T20" si="79">S20/1000</f>
        <v>-162.89139918999206</v>
      </c>
    </row>
    <row r="21" spans="1:20" x14ac:dyDescent="0.25">
      <c r="A21" s="5">
        <v>44572</v>
      </c>
      <c r="B21">
        <v>2.6159999999999999E-2</v>
      </c>
      <c r="C21">
        <v>2.7859999999999999E-2</v>
      </c>
      <c r="D21">
        <v>2.5860000000000001E-2</v>
      </c>
      <c r="E21">
        <v>2.7449999999999999E-2</v>
      </c>
      <c r="F21">
        <v>32986218</v>
      </c>
      <c r="G21">
        <v>2.7449999999999999E-2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0.58999999999999897</v>
      </c>
      <c r="Q21">
        <f t="shared" ref="Q21" si="81">F21*P21</f>
        <v>19461868.619999968</v>
      </c>
      <c r="R21">
        <f t="shared" ref="R21" si="82">R22+Q21</f>
        <v>-16308409374.44499</v>
      </c>
      <c r="S21">
        <f t="shared" ref="S21" si="83">R21/100000</f>
        <v>-163084.0937444499</v>
      </c>
      <c r="T21">
        <f t="shared" ref="T21" si="84">S21/1000</f>
        <v>-163.08409374444989</v>
      </c>
    </row>
    <row r="22" spans="1:20" x14ac:dyDescent="0.25">
      <c r="A22" s="5">
        <v>44571</v>
      </c>
      <c r="B22">
        <v>2.8819999999999998E-2</v>
      </c>
      <c r="C22">
        <v>2.9180000000000001E-2</v>
      </c>
      <c r="D22">
        <v>2.5059999999999999E-2</v>
      </c>
      <c r="E22">
        <v>2.6179999999999998E-2</v>
      </c>
      <c r="F22">
        <v>74175089</v>
      </c>
      <c r="G22">
        <v>2.6179999999999998E-2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-0.456310679611651</v>
      </c>
      <c r="Q22">
        <f t="shared" ref="Q22" si="86">F22*P22</f>
        <v>-33846885.2718447</v>
      </c>
      <c r="R22">
        <f t="shared" ref="R22" si="87">R23+Q22</f>
        <v>-16327871243.064991</v>
      </c>
      <c r="S22">
        <f t="shared" ref="S22" si="88">R22/100000</f>
        <v>-163278.7124306499</v>
      </c>
      <c r="T22">
        <f t="shared" ref="T22" si="89">S22/1000</f>
        <v>-163.2787124306499</v>
      </c>
    </row>
    <row r="23" spans="1:20" x14ac:dyDescent="0.25">
      <c r="A23" s="5">
        <v>44570</v>
      </c>
      <c r="B23">
        <v>2.7900000000000001E-2</v>
      </c>
      <c r="C23">
        <v>3.0249999999999999E-2</v>
      </c>
      <c r="D23">
        <v>2.7660000000000001E-2</v>
      </c>
      <c r="E23">
        <v>2.8830000000000001E-2</v>
      </c>
      <c r="F23">
        <v>48128856</v>
      </c>
      <c r="G23">
        <v>2.8830000000000001E-2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-9.6525096525095319E-2</v>
      </c>
      <c r="Q23">
        <f t="shared" ref="Q23" si="91">F23*P23</f>
        <v>-4645642.4710424133</v>
      </c>
      <c r="R23">
        <f t="shared" ref="R23" si="92">R24+Q23</f>
        <v>-16294024357.793146</v>
      </c>
      <c r="S23">
        <f t="shared" ref="S23" si="93">R23/100000</f>
        <v>-162940.24357793145</v>
      </c>
      <c r="T23">
        <f t="shared" ref="T23" si="94">S23/1000</f>
        <v>-162.94024357793145</v>
      </c>
    </row>
    <row r="24" spans="1:20" x14ac:dyDescent="0.25">
      <c r="A24" s="5">
        <v>44569</v>
      </c>
      <c r="B24">
        <v>2.8320000000000001E-2</v>
      </c>
      <c r="C24">
        <v>3.0859999999999999E-2</v>
      </c>
      <c r="D24">
        <v>2.691E-2</v>
      </c>
      <c r="E24">
        <v>2.7900000000000001E-2</v>
      </c>
      <c r="F24">
        <v>79487871</v>
      </c>
      <c r="G24">
        <v>2.7900000000000001E-2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-0.49873417721518903</v>
      </c>
      <c r="Q24">
        <f t="shared" ref="Q24" si="96">F24*P24</f>
        <v>-39643317.941772088</v>
      </c>
      <c r="R24">
        <f t="shared" ref="R24" si="97">R25+Q24</f>
        <v>-16289378715.322104</v>
      </c>
      <c r="S24">
        <f t="shared" ref="S24" si="98">R24/100000</f>
        <v>-162893.78715322103</v>
      </c>
      <c r="T24">
        <f t="shared" ref="T24" si="99">S24/1000</f>
        <v>-162.89378715322101</v>
      </c>
    </row>
    <row r="25" spans="1:20" x14ac:dyDescent="0.25">
      <c r="A25" s="5">
        <v>44568</v>
      </c>
      <c r="B25">
        <v>3.1179999999999999E-2</v>
      </c>
      <c r="C25">
        <v>3.1179999999999999E-2</v>
      </c>
      <c r="D25">
        <v>2.8060000000000002E-2</v>
      </c>
      <c r="E25">
        <v>2.8330000000000001E-2</v>
      </c>
      <c r="F25">
        <v>62637249</v>
      </c>
      <c r="G25">
        <v>2.8330000000000001E-2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-0.8269230769230772</v>
      </c>
      <c r="Q25">
        <f t="shared" ref="Q25" si="101">F25*P25</f>
        <v>-51796186.673076943</v>
      </c>
      <c r="R25">
        <f t="shared" ref="R25" si="102">R26+Q25</f>
        <v>-16249735397.380331</v>
      </c>
      <c r="S25">
        <f t="shared" ref="S25" si="103">R25/100000</f>
        <v>-162497.35397380331</v>
      </c>
      <c r="T25">
        <f t="shared" ref="T25" si="104">S25/1000</f>
        <v>-162.49735397380331</v>
      </c>
    </row>
    <row r="26" spans="1:20" x14ac:dyDescent="0.25">
      <c r="A26" s="5">
        <v>44567</v>
      </c>
      <c r="B26">
        <v>3.2000000000000001E-2</v>
      </c>
      <c r="C26">
        <v>3.2129999999999999E-2</v>
      </c>
      <c r="D26">
        <v>2.9770000000000001E-2</v>
      </c>
      <c r="E26">
        <v>3.1179999999999999E-2</v>
      </c>
      <c r="F26">
        <v>74207187</v>
      </c>
      <c r="G26">
        <v>3.1179999999999999E-2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0.19491525423728776</v>
      </c>
      <c r="Q26">
        <f t="shared" ref="Q26" si="106">F26*P26</f>
        <v>14464112.720338956</v>
      </c>
      <c r="R26">
        <f t="shared" ref="R26" si="107">R27+Q26</f>
        <v>-16197939210.707254</v>
      </c>
      <c r="S26">
        <f t="shared" ref="S26" si="108">R26/100000</f>
        <v>-161979.39210707255</v>
      </c>
      <c r="T26">
        <f t="shared" ref="T26" si="109">S26/1000</f>
        <v>-161.97939210707256</v>
      </c>
    </row>
    <row r="27" spans="1:20" x14ac:dyDescent="0.25">
      <c r="A27" s="5">
        <v>44566</v>
      </c>
      <c r="B27">
        <v>3.5340000000000003E-2</v>
      </c>
      <c r="C27">
        <v>3.6310000000000002E-2</v>
      </c>
      <c r="D27">
        <v>3.1379999999999998E-2</v>
      </c>
      <c r="E27">
        <v>3.2030000000000003E-2</v>
      </c>
      <c r="F27">
        <v>69949464</v>
      </c>
      <c r="G27">
        <v>3.2030000000000003E-2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-0.73630831643001859</v>
      </c>
      <c r="Q27">
        <f t="shared" ref="Q27" si="111">F27*P27</f>
        <v>-51504372.073022194</v>
      </c>
      <c r="R27">
        <f t="shared" ref="R27" si="112">R28+Q27</f>
        <v>-16212403323.427593</v>
      </c>
      <c r="S27">
        <f t="shared" ref="S27" si="113">R27/100000</f>
        <v>-162124.03323427594</v>
      </c>
      <c r="T27">
        <f t="shared" ref="T27" si="114">S27/1000</f>
        <v>-162.12403323427594</v>
      </c>
    </row>
    <row r="28" spans="1:20" x14ac:dyDescent="0.25">
      <c r="A28" s="5">
        <v>44565</v>
      </c>
      <c r="B28">
        <v>3.5810000000000002E-2</v>
      </c>
      <c r="C28">
        <v>3.6850000000000001E-2</v>
      </c>
      <c r="D28">
        <v>3.5119999999999998E-2</v>
      </c>
      <c r="E28">
        <v>3.5349999999999999E-2</v>
      </c>
      <c r="F28">
        <v>58659130</v>
      </c>
      <c r="G28">
        <v>3.5349999999999999E-2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-0.7341040462427737</v>
      </c>
      <c r="Q28">
        <f t="shared" ref="Q28" si="116">F28*P28</f>
        <v>-43061904.682080872</v>
      </c>
      <c r="R28">
        <f t="shared" ref="R28" si="117">R29+Q28</f>
        <v>-16160898951.35457</v>
      </c>
      <c r="S28">
        <f t="shared" ref="S28" si="118">R28/100000</f>
        <v>-161608.9895135457</v>
      </c>
      <c r="T28">
        <f t="shared" ref="T28" si="119">S28/1000</f>
        <v>-161.60898951354571</v>
      </c>
    </row>
    <row r="29" spans="1:20" x14ac:dyDescent="0.25">
      <c r="A29" s="5">
        <v>44564</v>
      </c>
      <c r="B29">
        <v>3.6229999999999998E-2</v>
      </c>
      <c r="C29">
        <v>3.7830000000000003E-2</v>
      </c>
      <c r="D29">
        <v>3.5150000000000001E-2</v>
      </c>
      <c r="E29">
        <v>3.576E-2</v>
      </c>
      <c r="F29">
        <v>95361295</v>
      </c>
      <c r="G29">
        <v>3.576E-2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-0.54477611940298576</v>
      </c>
      <c r="Q29">
        <f t="shared" ref="Q29" si="121">F29*P29</f>
        <v>-51950556.231343351</v>
      </c>
      <c r="R29">
        <f t="shared" ref="R29" si="122">R30+Q29</f>
        <v>-16117837046.672489</v>
      </c>
      <c r="S29">
        <f t="shared" ref="S29" si="123">R29/100000</f>
        <v>-161178.37046672488</v>
      </c>
      <c r="T29">
        <f t="shared" ref="T29" si="124">S29/1000</f>
        <v>-161.17837046672489</v>
      </c>
    </row>
    <row r="30" spans="1:20" x14ac:dyDescent="0.25">
      <c r="A30" s="5">
        <v>44563</v>
      </c>
      <c r="B30">
        <v>3.6839999999999998E-2</v>
      </c>
      <c r="C30">
        <v>3.7499999999999999E-2</v>
      </c>
      <c r="D30">
        <v>3.5630000000000002E-2</v>
      </c>
      <c r="E30">
        <v>3.6229999999999998E-2</v>
      </c>
      <c r="F30">
        <v>69489312</v>
      </c>
      <c r="G30">
        <v>3.6229999999999998E-2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-0.3582887700534787</v>
      </c>
      <c r="Q30">
        <f t="shared" ref="Q30" si="126">F30*P30</f>
        <v>-24897240.128342438</v>
      </c>
      <c r="R30">
        <f t="shared" ref="R30" si="127">R31+Q30</f>
        <v>-16065886490.441145</v>
      </c>
      <c r="S30">
        <f t="shared" ref="S30" si="128">R30/100000</f>
        <v>-160658.86490441146</v>
      </c>
      <c r="T30">
        <f t="shared" ref="T30" si="129">S30/1000</f>
        <v>-160.65886490441144</v>
      </c>
    </row>
    <row r="31" spans="1:20" x14ac:dyDescent="0.25">
      <c r="A31" s="5">
        <v>44562</v>
      </c>
      <c r="B31">
        <v>3.4470000000000001E-2</v>
      </c>
      <c r="C31">
        <v>3.7400000000000003E-2</v>
      </c>
      <c r="D31">
        <v>3.4439999999999998E-2</v>
      </c>
      <c r="E31">
        <v>3.6760000000000001E-2</v>
      </c>
      <c r="F31">
        <v>100813547</v>
      </c>
      <c r="G31">
        <v>3.6760000000000001E-2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0.5675675675675671</v>
      </c>
      <c r="Q31">
        <f t="shared" ref="Q31" si="131">F31*P31</f>
        <v>57218499.648648605</v>
      </c>
      <c r="R31">
        <f t="shared" ref="R31" si="132">R32+Q31</f>
        <v>-16040989250.312803</v>
      </c>
      <c r="S31">
        <f t="shared" ref="S31" si="133">R31/100000</f>
        <v>-160409.89250312804</v>
      </c>
      <c r="T31">
        <f t="shared" ref="T31" si="134">S31/1000</f>
        <v>-160.40989250312805</v>
      </c>
    </row>
    <row r="32" spans="1:20" x14ac:dyDescent="0.25">
      <c r="A32" s="5">
        <v>44561</v>
      </c>
      <c r="B32">
        <v>3.5779999999999999E-2</v>
      </c>
      <c r="C32">
        <v>3.653E-2</v>
      </c>
      <c r="D32">
        <v>3.4000000000000002E-2</v>
      </c>
      <c r="E32">
        <v>3.4459999999999998E-2</v>
      </c>
      <c r="F32">
        <v>65630571</v>
      </c>
      <c r="G32">
        <v>3.4459999999999998E-2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-0.63636363636363991</v>
      </c>
      <c r="Q32">
        <f t="shared" ref="Q32" si="136">F32*P32</f>
        <v>-41764908.818182051</v>
      </c>
      <c r="R32">
        <f t="shared" ref="R32" si="137">R33+Q32</f>
        <v>-16098207749.961452</v>
      </c>
      <c r="S32">
        <f t="shared" ref="S32" si="138">R32/100000</f>
        <v>-160982.07749961453</v>
      </c>
      <c r="T32">
        <f t="shared" ref="T32" si="139">S32/1000</f>
        <v>-160.98207749961455</v>
      </c>
    </row>
    <row r="33" spans="1:20" x14ac:dyDescent="0.25">
      <c r="A33" s="5">
        <v>44560</v>
      </c>
      <c r="B33">
        <v>3.4860000000000002E-2</v>
      </c>
      <c r="C33">
        <v>3.7420000000000002E-2</v>
      </c>
      <c r="D33">
        <v>3.4169999999999999E-2</v>
      </c>
      <c r="E33">
        <v>3.5779999999999999E-2</v>
      </c>
      <c r="F33">
        <v>115453811</v>
      </c>
      <c r="G33">
        <v>3.5779999999999999E-2</v>
      </c>
      <c r="L33" t="s">
        <v>8</v>
      </c>
      <c r="M33" t="s">
        <v>7</v>
      </c>
      <c r="N33" t="s">
        <v>7</v>
      </c>
      <c r="P33">
        <f t="shared" ref="P33" si="140">IF(C33=D33,0,((E33-D33)-(C33-E33))/(C33-D33))</f>
        <v>-9.2307692307699134E-3</v>
      </c>
      <c r="Q33">
        <f t="shared" ref="Q33" si="141">F33*P33</f>
        <v>-1065727.4861539251</v>
      </c>
      <c r="R33">
        <f t="shared" ref="R33" si="142">R34+Q33</f>
        <v>-16056442841.14327</v>
      </c>
      <c r="S33">
        <f t="shared" ref="S33" si="143">R33/100000</f>
        <v>-160564.42841143272</v>
      </c>
      <c r="T33">
        <f t="shared" ref="T33" si="144">S33/1000</f>
        <v>-160.56442841143271</v>
      </c>
    </row>
    <row r="34" spans="1:20" x14ac:dyDescent="0.25">
      <c r="A34" s="5">
        <v>44559</v>
      </c>
      <c r="B34">
        <v>3.4689999999999999E-2</v>
      </c>
      <c r="C34">
        <v>3.78E-2</v>
      </c>
      <c r="D34">
        <v>3.3799999999999997E-2</v>
      </c>
      <c r="E34">
        <v>3.4860000000000002E-2</v>
      </c>
      <c r="F34">
        <v>149941031</v>
      </c>
      <c r="G34">
        <v>3.4860000000000002E-2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-0.46999999999999775</v>
      </c>
      <c r="Q34">
        <f t="shared" ref="Q34" si="146">F34*P34</f>
        <v>-70472284.569999665</v>
      </c>
      <c r="R34">
        <f t="shared" ref="R34" si="147">R35+Q34</f>
        <v>-16055377113.657116</v>
      </c>
      <c r="S34">
        <f t="shared" ref="S34" si="148">R34/100000</f>
        <v>-160553.77113657116</v>
      </c>
      <c r="T34">
        <f t="shared" ref="T34" si="149">S34/1000</f>
        <v>-160.55377113657116</v>
      </c>
    </row>
    <row r="35" spans="1:20" x14ac:dyDescent="0.25">
      <c r="A35" s="5">
        <v>44558</v>
      </c>
      <c r="B35">
        <v>3.8399999999999997E-2</v>
      </c>
      <c r="C35">
        <v>3.8649999999999997E-2</v>
      </c>
      <c r="D35">
        <v>3.4360000000000002E-2</v>
      </c>
      <c r="E35">
        <v>3.4700000000000002E-2</v>
      </c>
      <c r="F35">
        <v>145739844</v>
      </c>
      <c r="G35">
        <v>3.4700000000000002E-2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-0.84149184149184131</v>
      </c>
      <c r="Q35">
        <f t="shared" ref="Q35" si="151">F35*P35</f>
        <v>-122638889.70629367</v>
      </c>
      <c r="R35">
        <f t="shared" ref="R35" si="152">R36+Q35</f>
        <v>-15984904829.087116</v>
      </c>
      <c r="S35">
        <f t="shared" ref="S35" si="153">R35/100000</f>
        <v>-159849.04829087117</v>
      </c>
      <c r="T35">
        <f t="shared" ref="T35" si="154">S35/1000</f>
        <v>-159.84904829087117</v>
      </c>
    </row>
    <row r="36" spans="1:20" x14ac:dyDescent="0.25">
      <c r="A36" s="5">
        <v>44557</v>
      </c>
      <c r="B36">
        <v>3.6249999999999998E-2</v>
      </c>
      <c r="C36">
        <v>4.0689999999999997E-2</v>
      </c>
      <c r="D36">
        <v>3.619E-2</v>
      </c>
      <c r="E36">
        <v>3.8399999999999997E-2</v>
      </c>
      <c r="F36">
        <v>279160202</v>
      </c>
      <c r="G36">
        <v>3.8399999999999997E-2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-1.7777777777778607E-2</v>
      </c>
      <c r="Q36">
        <f t="shared" ref="Q36" si="156">F36*P36</f>
        <v>-4962848.0355557874</v>
      </c>
      <c r="R36">
        <f t="shared" ref="R36" si="157">R37+Q36</f>
        <v>-15862265939.380823</v>
      </c>
      <c r="S36">
        <f t="shared" ref="S36" si="158">R36/100000</f>
        <v>-158622.65939380822</v>
      </c>
      <c r="T36">
        <f t="shared" ref="T36" si="159">S36/1000</f>
        <v>-158.62265939380822</v>
      </c>
    </row>
    <row r="37" spans="1:20" x14ac:dyDescent="0.25">
      <c r="A37" s="5">
        <v>44556</v>
      </c>
      <c r="B37">
        <v>3.601E-2</v>
      </c>
      <c r="C37">
        <v>3.6999999999999998E-2</v>
      </c>
      <c r="D37">
        <v>3.5090000000000003E-2</v>
      </c>
      <c r="E37">
        <v>3.6220000000000002E-2</v>
      </c>
      <c r="F37">
        <v>102349202</v>
      </c>
      <c r="G37">
        <v>3.6220000000000002E-2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0.1832460732984314</v>
      </c>
      <c r="Q37">
        <f t="shared" ref="Q37" si="161">F37*P37</f>
        <v>18755089.371727962</v>
      </c>
      <c r="R37">
        <f t="shared" ref="R37" si="162">R38+Q37</f>
        <v>-15857303091.345268</v>
      </c>
      <c r="S37">
        <f t="shared" ref="S37" si="163">R37/100000</f>
        <v>-158573.03091345268</v>
      </c>
      <c r="T37">
        <f t="shared" ref="T37" si="164">S37/1000</f>
        <v>-158.57303091345267</v>
      </c>
    </row>
    <row r="38" spans="1:20" x14ac:dyDescent="0.25">
      <c r="A38" s="5">
        <v>44555</v>
      </c>
      <c r="B38">
        <v>3.3759999999999998E-2</v>
      </c>
      <c r="C38">
        <v>3.8769999999999999E-2</v>
      </c>
      <c r="D38">
        <v>3.3369999999999997E-2</v>
      </c>
      <c r="E38">
        <v>3.6110000000000003E-2</v>
      </c>
      <c r="F38">
        <v>233033789</v>
      </c>
      <c r="G38">
        <v>3.6110000000000003E-2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1.4814814814816776E-2</v>
      </c>
      <c r="Q38">
        <f t="shared" ref="Q38" si="166">F38*P38</f>
        <v>3452352.4296300868</v>
      </c>
      <c r="R38">
        <f t="shared" ref="R38" si="167">R39+Q38</f>
        <v>-15876058180.716997</v>
      </c>
      <c r="S38">
        <f t="shared" ref="S38" si="168">R38/100000</f>
        <v>-158760.58180716998</v>
      </c>
      <c r="T38">
        <f t="shared" ref="T38" si="169">S38/1000</f>
        <v>-158.76058180716998</v>
      </c>
    </row>
    <row r="39" spans="1:20" x14ac:dyDescent="0.25">
      <c r="A39" s="5">
        <v>44554</v>
      </c>
      <c r="B39">
        <v>3.4189999999999998E-2</v>
      </c>
      <c r="C39">
        <v>3.6470000000000002E-2</v>
      </c>
      <c r="D39">
        <v>3.3500000000000002E-2</v>
      </c>
      <c r="E39">
        <v>3.3759999999999998E-2</v>
      </c>
      <c r="F39">
        <v>132802720</v>
      </c>
      <c r="G39">
        <v>3.3759999999999998E-2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-0.82491582491582738</v>
      </c>
      <c r="Q39">
        <f t="shared" ref="Q39" si="171">F39*P39</f>
        <v>-109551065.31986564</v>
      </c>
      <c r="R39">
        <f t="shared" ref="R39" si="172">R40+Q39</f>
        <v>-15879510533.146627</v>
      </c>
      <c r="S39">
        <f t="shared" ref="S39" si="173">R39/100000</f>
        <v>-158795.10533146627</v>
      </c>
      <c r="T39">
        <f t="shared" ref="T39" si="174">S39/1000</f>
        <v>-158.79510533146626</v>
      </c>
    </row>
    <row r="40" spans="1:20" x14ac:dyDescent="0.25">
      <c r="A40" s="5">
        <v>44553</v>
      </c>
      <c r="B40">
        <v>3.279E-2</v>
      </c>
      <c r="C40">
        <v>3.4599999999999999E-2</v>
      </c>
      <c r="D40">
        <v>3.2239999999999998E-2</v>
      </c>
      <c r="E40">
        <v>3.4110000000000001E-2</v>
      </c>
      <c r="F40">
        <v>83541237</v>
      </c>
      <c r="G40">
        <v>3.4110000000000001E-2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0.58474576271186685</v>
      </c>
      <c r="Q40">
        <f t="shared" ref="Q40" si="176">F40*P40</f>
        <v>48850384.347457834</v>
      </c>
      <c r="R40">
        <f t="shared" ref="R40" si="177">R41+Q40</f>
        <v>-15769959467.826761</v>
      </c>
      <c r="S40">
        <f t="shared" ref="S40" si="178">R40/100000</f>
        <v>-157699.5946782676</v>
      </c>
      <c r="T40">
        <f t="shared" ref="T40" si="179">S40/1000</f>
        <v>-157.6995946782676</v>
      </c>
    </row>
    <row r="41" spans="1:20" x14ac:dyDescent="0.25">
      <c r="A41" s="5">
        <v>44552</v>
      </c>
      <c r="B41">
        <v>3.3950000000000001E-2</v>
      </c>
      <c r="C41">
        <v>3.4590000000000003E-2</v>
      </c>
      <c r="D41">
        <v>3.2539999999999999E-2</v>
      </c>
      <c r="E41">
        <v>3.279E-2</v>
      </c>
      <c r="F41">
        <v>141287646</v>
      </c>
      <c r="G41">
        <v>3.279E-2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-0.75609756097560987</v>
      </c>
      <c r="Q41">
        <f t="shared" ref="Q41" si="181">F41*P41</f>
        <v>-106827244.53658538</v>
      </c>
      <c r="R41">
        <f t="shared" ref="R41" si="182">R42+Q41</f>
        <v>-15818809852.174219</v>
      </c>
      <c r="S41">
        <f t="shared" ref="S41" si="183">R41/100000</f>
        <v>-158188.09852174218</v>
      </c>
      <c r="T41">
        <f t="shared" ref="T41" si="184">S41/1000</f>
        <v>-158.18809852174218</v>
      </c>
    </row>
    <row r="42" spans="1:20" x14ac:dyDescent="0.25">
      <c r="A42" s="5">
        <v>44551</v>
      </c>
      <c r="B42">
        <v>3.483E-2</v>
      </c>
      <c r="C42">
        <v>3.5499999999999997E-2</v>
      </c>
      <c r="D42">
        <v>3.3210000000000003E-2</v>
      </c>
      <c r="E42">
        <v>3.3950000000000001E-2</v>
      </c>
      <c r="F42">
        <v>165159132</v>
      </c>
      <c r="G42">
        <v>3.3950000000000001E-2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-0.35371179039301331</v>
      </c>
      <c r="Q42">
        <f t="shared" ref="Q42" si="186">F42*P42</f>
        <v>-58418732.279476017</v>
      </c>
      <c r="R42">
        <f t="shared" ref="R42" si="187">R43+Q42</f>
        <v>-15711982607.637634</v>
      </c>
      <c r="S42">
        <f t="shared" ref="S42" si="188">R42/100000</f>
        <v>-157119.82607637634</v>
      </c>
      <c r="T42">
        <f t="shared" ref="T42" si="189">S42/1000</f>
        <v>-157.11982607637634</v>
      </c>
    </row>
    <row r="43" spans="1:20" x14ac:dyDescent="0.25">
      <c r="A43" s="5">
        <v>44550</v>
      </c>
      <c r="B43">
        <v>3.3119999999999997E-2</v>
      </c>
      <c r="C43">
        <v>3.5499999999999997E-2</v>
      </c>
      <c r="D43">
        <v>3.1489999999999997E-2</v>
      </c>
      <c r="E43">
        <v>3.483E-2</v>
      </c>
      <c r="F43">
        <v>273327393</v>
      </c>
      <c r="G43">
        <v>3.483E-2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0.66583541147132319</v>
      </c>
      <c r="Q43">
        <f t="shared" ref="Q43" si="191">F43*P43</f>
        <v>181991057.18453905</v>
      </c>
      <c r="R43">
        <f t="shared" ref="R43" si="192">R44+Q43</f>
        <v>-15653563875.358158</v>
      </c>
      <c r="S43">
        <f t="shared" ref="S43" si="193">R43/100000</f>
        <v>-156535.63875358159</v>
      </c>
      <c r="T43">
        <f t="shared" ref="T43" si="194">S43/1000</f>
        <v>-156.53563875358159</v>
      </c>
    </row>
    <row r="44" spans="1:20" x14ac:dyDescent="0.25">
      <c r="A44" s="5">
        <v>44549</v>
      </c>
      <c r="B44">
        <v>3.6229999999999998E-2</v>
      </c>
      <c r="C44">
        <v>3.6889999999999999E-2</v>
      </c>
      <c r="D44">
        <v>3.2660000000000002E-2</v>
      </c>
      <c r="E44">
        <v>3.3079999999999998E-2</v>
      </c>
      <c r="F44">
        <v>346267458</v>
      </c>
      <c r="G44">
        <v>3.3079999999999998E-2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-0.80141843971631344</v>
      </c>
      <c r="Q44">
        <f t="shared" ref="Q44" si="196">F44*P44</f>
        <v>-277505125.9148941</v>
      </c>
      <c r="R44">
        <f t="shared" ref="R44" si="197">R45+Q44</f>
        <v>-15835554932.542698</v>
      </c>
      <c r="S44">
        <f t="shared" ref="S44" si="198">R44/100000</f>
        <v>-158355.54932542698</v>
      </c>
      <c r="T44">
        <f t="shared" ref="T44" si="199">S44/1000</f>
        <v>-158.35554932542698</v>
      </c>
    </row>
    <row r="45" spans="1:20" x14ac:dyDescent="0.25">
      <c r="A45" s="5">
        <v>44548</v>
      </c>
      <c r="B45">
        <v>3.637E-2</v>
      </c>
      <c r="C45">
        <v>5.076E-2</v>
      </c>
      <c r="D45">
        <v>3.4759999999999999E-2</v>
      </c>
      <c r="E45">
        <v>3.6260000000000001E-2</v>
      </c>
      <c r="F45">
        <v>1962234321</v>
      </c>
      <c r="G45">
        <v>3.6260000000000001E-2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-0.81249999999999989</v>
      </c>
      <c r="Q45">
        <f t="shared" ref="Q45" si="201">F45*P45</f>
        <v>-1594315385.8124998</v>
      </c>
      <c r="R45">
        <f t="shared" ref="R45" si="202">R46+Q45</f>
        <v>-15558049806.627804</v>
      </c>
      <c r="S45">
        <f t="shared" ref="S45" si="203">R45/100000</f>
        <v>-155580.49806627803</v>
      </c>
      <c r="T45">
        <f t="shared" ref="T45" si="204">S45/1000</f>
        <v>-155.58049806627804</v>
      </c>
    </row>
    <row r="46" spans="1:20" x14ac:dyDescent="0.25">
      <c r="A46" s="5">
        <v>44547</v>
      </c>
      <c r="B46">
        <v>2.9680000000000002E-2</v>
      </c>
      <c r="C46">
        <v>4.2560000000000001E-2</v>
      </c>
      <c r="D46">
        <v>2.9100000000000001E-2</v>
      </c>
      <c r="E46">
        <v>3.6380000000000003E-2</v>
      </c>
      <c r="F46">
        <v>1153456246</v>
      </c>
      <c r="G46">
        <v>3.6380000000000003E-2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8.1723625557206817E-2</v>
      </c>
      <c r="Q46">
        <f t="shared" ref="Q46" si="206">F46*P46</f>
        <v>94264626.34472543</v>
      </c>
      <c r="R46">
        <f t="shared" ref="R46" si="207">R47+Q46</f>
        <v>-13963734420.815304</v>
      </c>
      <c r="S46">
        <f t="shared" ref="S46" si="208">R46/100000</f>
        <v>-139637.34420815305</v>
      </c>
      <c r="T46">
        <f t="shared" ref="T46" si="209">S46/1000</f>
        <v>-139.63734420815305</v>
      </c>
    </row>
    <row r="47" spans="1:20" x14ac:dyDescent="0.25">
      <c r="A47" s="5">
        <v>44546</v>
      </c>
      <c r="B47">
        <v>2.9649999999999999E-2</v>
      </c>
      <c r="C47">
        <v>3.2329999999999998E-2</v>
      </c>
      <c r="D47">
        <v>2.9510000000000002E-2</v>
      </c>
      <c r="E47">
        <v>2.9669999999999998E-2</v>
      </c>
      <c r="F47">
        <v>82766568</v>
      </c>
      <c r="G47">
        <v>2.9669999999999998E-2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-0.88652482269503752</v>
      </c>
      <c r="Q47">
        <f t="shared" ref="Q47" si="211">F47*P47</f>
        <v>-73374617.021276772</v>
      </c>
      <c r="R47">
        <f t="shared" ref="R47" si="212">R48+Q47</f>
        <v>-14057999047.160028</v>
      </c>
      <c r="S47">
        <f t="shared" ref="S47" si="213">R47/100000</f>
        <v>-140579.99047160029</v>
      </c>
      <c r="T47">
        <f t="shared" ref="T47" si="214">S47/1000</f>
        <v>-140.5799904716003</v>
      </c>
    </row>
    <row r="48" spans="1:20" x14ac:dyDescent="0.25">
      <c r="A48" s="5">
        <v>44545</v>
      </c>
      <c r="B48">
        <v>3.0009999999999998E-2</v>
      </c>
      <c r="C48">
        <v>3.0509999999999999E-2</v>
      </c>
      <c r="D48">
        <v>2.742E-2</v>
      </c>
      <c r="E48">
        <v>2.9649999999999999E-2</v>
      </c>
      <c r="F48">
        <v>74782839</v>
      </c>
      <c r="G48">
        <v>2.9649999999999999E-2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0.44336569579288032</v>
      </c>
      <c r="Q48">
        <f t="shared" ref="Q48" si="216">F48*P48</f>
        <v>33156145.446601946</v>
      </c>
      <c r="R48">
        <f t="shared" ref="R48" si="217">R49+Q48</f>
        <v>-13984624430.138752</v>
      </c>
      <c r="S48">
        <f t="shared" ref="S48" si="218">R48/100000</f>
        <v>-139846.24430138752</v>
      </c>
      <c r="T48">
        <f t="shared" ref="T48" si="219">S48/1000</f>
        <v>-139.84624430138751</v>
      </c>
    </row>
    <row r="49" spans="1:20" x14ac:dyDescent="0.25">
      <c r="A49" s="5">
        <v>44544</v>
      </c>
      <c r="B49">
        <v>3.0439999999999998E-2</v>
      </c>
      <c r="C49">
        <v>3.1309999999999998E-2</v>
      </c>
      <c r="D49">
        <v>2.8340000000000001E-2</v>
      </c>
      <c r="E49">
        <v>0.03</v>
      </c>
      <c r="F49">
        <v>96028804</v>
      </c>
      <c r="G49">
        <v>0.03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0.11784511784511784</v>
      </c>
      <c r="Q49">
        <f t="shared" ref="Q49" si="221">F49*P49</f>
        <v>11316525.723905724</v>
      </c>
      <c r="R49">
        <f t="shared" ref="R49" si="222">R50+Q49</f>
        <v>-14017780575.585354</v>
      </c>
      <c r="S49">
        <f t="shared" ref="S49" si="223">R49/100000</f>
        <v>-140177.80575585354</v>
      </c>
      <c r="T49">
        <f t="shared" ref="T49" si="224">S49/1000</f>
        <v>-140.17780575585354</v>
      </c>
    </row>
    <row r="50" spans="1:20" x14ac:dyDescent="0.25">
      <c r="A50" s="5">
        <v>44543</v>
      </c>
      <c r="B50">
        <v>3.4849999999999999E-2</v>
      </c>
      <c r="C50">
        <v>3.5090000000000003E-2</v>
      </c>
      <c r="D50">
        <v>2.9729999999999999E-2</v>
      </c>
      <c r="E50">
        <v>3.049E-2</v>
      </c>
      <c r="F50">
        <v>62127345</v>
      </c>
      <c r="G50">
        <v>3.049E-2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-0.71641791044776126</v>
      </c>
      <c r="Q50">
        <f t="shared" ref="Q50" si="226">F50*P50</f>
        <v>-44509142.686567165</v>
      </c>
      <c r="R50">
        <f t="shared" ref="R50" si="227">R51+Q50</f>
        <v>-14029097101.309259</v>
      </c>
      <c r="S50">
        <f t="shared" ref="S50" si="228">R50/100000</f>
        <v>-140290.97101309258</v>
      </c>
      <c r="T50">
        <f t="shared" ref="T50" si="229">S50/1000</f>
        <v>-140.29097101309259</v>
      </c>
    </row>
    <row r="51" spans="1:20" x14ac:dyDescent="0.25">
      <c r="A51" s="5">
        <v>44542</v>
      </c>
      <c r="B51">
        <v>3.5529999999999999E-2</v>
      </c>
      <c r="C51">
        <v>3.6999999999999998E-2</v>
      </c>
      <c r="D51">
        <v>3.4040000000000001E-2</v>
      </c>
      <c r="E51">
        <v>3.49E-2</v>
      </c>
      <c r="F51">
        <v>70519589</v>
      </c>
      <c r="G51">
        <v>3.49E-2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-0.41891891891891864</v>
      </c>
      <c r="Q51">
        <f t="shared" ref="Q51" si="231">F51*P51</f>
        <v>-29541989.986486465</v>
      </c>
      <c r="R51">
        <f t="shared" ref="R51" si="232">R52+Q51</f>
        <v>-13984587958.622692</v>
      </c>
      <c r="S51">
        <f t="shared" ref="S51" si="233">R51/100000</f>
        <v>-139845.87958622692</v>
      </c>
      <c r="T51">
        <f t="shared" ref="T51" si="234">S51/1000</f>
        <v>-139.84587958622691</v>
      </c>
    </row>
    <row r="52" spans="1:20" x14ac:dyDescent="0.25">
      <c r="A52" s="5">
        <v>44541</v>
      </c>
      <c r="B52">
        <v>3.279E-2</v>
      </c>
      <c r="C52">
        <v>3.3399999999999999E-2</v>
      </c>
      <c r="D52">
        <v>3.1949999999999999E-2</v>
      </c>
      <c r="E52">
        <v>3.3239999999999999E-2</v>
      </c>
      <c r="F52">
        <v>7246220</v>
      </c>
      <c r="G52">
        <v>3.3239999999999999E-2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0.77931034482758565</v>
      </c>
      <c r="Q52">
        <f t="shared" ref="Q52" si="236">F52*P52</f>
        <v>5647054.2068965482</v>
      </c>
      <c r="R52">
        <f t="shared" ref="R52" si="237">R53+Q52</f>
        <v>-13955045968.636206</v>
      </c>
      <c r="S52">
        <f t="shared" ref="S52" si="238">R52/100000</f>
        <v>-139550.45968636207</v>
      </c>
      <c r="T52">
        <f t="shared" ref="T52" si="239">S52/1000</f>
        <v>-139.55045968636207</v>
      </c>
    </row>
    <row r="53" spans="1:20" x14ac:dyDescent="0.25">
      <c r="A53" s="5">
        <v>44540</v>
      </c>
      <c r="B53">
        <v>3.567E-2</v>
      </c>
      <c r="C53">
        <v>3.7159999999999999E-2</v>
      </c>
      <c r="D53">
        <v>3.2500000000000001E-2</v>
      </c>
      <c r="E53">
        <v>3.2809999999999999E-2</v>
      </c>
      <c r="F53">
        <v>112110089</v>
      </c>
      <c r="G53">
        <v>3.2809999999999999E-2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-0.86695278969957168</v>
      </c>
      <c r="Q53">
        <f t="shared" ref="Q53" si="241">F53*P53</f>
        <v>-97194154.412017271</v>
      </c>
      <c r="R53">
        <f t="shared" ref="R53" si="242">R54+Q53</f>
        <v>-13960693022.843102</v>
      </c>
      <c r="S53">
        <f t="shared" ref="S53" si="243">R53/100000</f>
        <v>-139606.93022843101</v>
      </c>
      <c r="T53">
        <f t="shared" ref="T53" si="244">S53/1000</f>
        <v>-139.606930228431</v>
      </c>
    </row>
    <row r="54" spans="1:20" x14ac:dyDescent="0.25">
      <c r="A54" s="5">
        <v>44539</v>
      </c>
      <c r="B54">
        <v>3.6909999999999998E-2</v>
      </c>
      <c r="C54">
        <v>4.3110000000000002E-2</v>
      </c>
      <c r="D54">
        <v>3.5560000000000001E-2</v>
      </c>
      <c r="E54">
        <v>3.5659999999999997E-2</v>
      </c>
      <c r="F54">
        <v>487757012</v>
      </c>
      <c r="G54">
        <v>3.5659999999999997E-2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-0.97350993377483552</v>
      </c>
      <c r="Q54">
        <f t="shared" ref="Q54" si="246">F54*P54</f>
        <v>-474836296.45033163</v>
      </c>
      <c r="R54">
        <f t="shared" ref="R54" si="247">R55+Q54</f>
        <v>-13863498868.431084</v>
      </c>
      <c r="S54">
        <f t="shared" ref="S54" si="248">R54/100000</f>
        <v>-138634.98868431084</v>
      </c>
      <c r="T54">
        <f t="shared" ref="T54" si="249">S54/1000</f>
        <v>-138.63498868431083</v>
      </c>
    </row>
    <row r="55" spans="1:20" x14ac:dyDescent="0.25">
      <c r="A55" s="5">
        <v>44538</v>
      </c>
      <c r="B55">
        <v>3.585E-2</v>
      </c>
      <c r="C55">
        <v>3.7920000000000002E-2</v>
      </c>
      <c r="D55">
        <v>3.4070000000000003E-2</v>
      </c>
      <c r="E55">
        <v>3.6880000000000003E-2</v>
      </c>
      <c r="F55">
        <v>160408805</v>
      </c>
      <c r="G55">
        <v>3.6880000000000003E-2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0.45974025974026</v>
      </c>
      <c r="Q55">
        <f t="shared" ref="Q55" si="251">F55*P55</f>
        <v>73746385.675324723</v>
      </c>
      <c r="R55">
        <f t="shared" ref="R55" si="252">R56+Q55</f>
        <v>-13388662571.980753</v>
      </c>
      <c r="S55">
        <f t="shared" ref="S55" si="253">R55/100000</f>
        <v>-133886.62571980752</v>
      </c>
      <c r="T55">
        <f t="shared" ref="T55" si="254">S55/1000</f>
        <v>-133.88662571980751</v>
      </c>
    </row>
    <row r="56" spans="1:20" x14ac:dyDescent="0.25">
      <c r="A56" s="5">
        <v>44537</v>
      </c>
      <c r="B56">
        <v>3.705E-2</v>
      </c>
      <c r="C56">
        <v>3.8649999999999997E-2</v>
      </c>
      <c r="D56">
        <v>3.508E-2</v>
      </c>
      <c r="E56">
        <v>3.5880000000000002E-2</v>
      </c>
      <c r="F56">
        <v>183670554</v>
      </c>
      <c r="G56">
        <v>3.5880000000000002E-2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-0.5518207282913149</v>
      </c>
      <c r="Q56">
        <f t="shared" ref="Q56" si="256">F56*P56</f>
        <v>-101353218.87394927</v>
      </c>
      <c r="R56">
        <f t="shared" ref="R56" si="257">R57+Q56</f>
        <v>-13462408957.656078</v>
      </c>
      <c r="S56">
        <f t="shared" ref="S56" si="258">R56/100000</f>
        <v>-134624.08957656077</v>
      </c>
      <c r="T56">
        <f t="shared" ref="T56" si="259">S56/1000</f>
        <v>-134.62408957656078</v>
      </c>
    </row>
    <row r="57" spans="1:20" x14ac:dyDescent="0.25">
      <c r="A57" s="5">
        <v>44536</v>
      </c>
      <c r="B57">
        <v>3.5909999999999997E-2</v>
      </c>
      <c r="C57">
        <v>3.9469999999999998E-2</v>
      </c>
      <c r="D57">
        <v>3.2149999999999998E-2</v>
      </c>
      <c r="E57">
        <v>3.705E-2</v>
      </c>
      <c r="F57">
        <v>430255974</v>
      </c>
      <c r="G57">
        <v>3.705E-2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0.3387978142076507</v>
      </c>
      <c r="Q57">
        <f t="shared" ref="Q57" si="261">F57*P57</f>
        <v>145769783.5409838</v>
      </c>
      <c r="R57">
        <f t="shared" ref="R57" si="262">R58+Q57</f>
        <v>-13361055738.782129</v>
      </c>
      <c r="S57">
        <f t="shared" ref="S57" si="263">R57/100000</f>
        <v>-133610.55738782129</v>
      </c>
      <c r="T57">
        <f t="shared" ref="T57" si="264">S57/1000</f>
        <v>-133.6105573878213</v>
      </c>
    </row>
    <row r="58" spans="1:20" x14ac:dyDescent="0.25">
      <c r="A58" s="5">
        <v>44535</v>
      </c>
      <c r="B58">
        <v>3.5470000000000002E-2</v>
      </c>
      <c r="C58">
        <v>4.1579999999999999E-2</v>
      </c>
      <c r="D58">
        <v>3.3750000000000002E-2</v>
      </c>
      <c r="E58">
        <v>3.5900000000000001E-2</v>
      </c>
      <c r="F58">
        <v>441331021</v>
      </c>
      <c r="G58">
        <v>3.5900000000000001E-2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-0.45083014048531289</v>
      </c>
      <c r="Q58">
        <f t="shared" ref="Q58" si="266">F58*P58</f>
        <v>-198965326.19795656</v>
      </c>
      <c r="R58">
        <f t="shared" ref="R58" si="267">R59+Q58</f>
        <v>-13506825522.323112</v>
      </c>
      <c r="S58">
        <f t="shared" ref="S58" si="268">R58/100000</f>
        <v>-135068.25522323113</v>
      </c>
      <c r="T58">
        <f t="shared" ref="T58" si="269">S58/1000</f>
        <v>-135.06825522323112</v>
      </c>
    </row>
    <row r="59" spans="1:20" x14ac:dyDescent="0.25">
      <c r="A59" s="5">
        <v>44534</v>
      </c>
      <c r="B59">
        <v>4.2270000000000002E-2</v>
      </c>
      <c r="C59">
        <v>4.487E-2</v>
      </c>
      <c r="D59">
        <v>2.836E-2</v>
      </c>
      <c r="E59">
        <v>3.5549999999999998E-2</v>
      </c>
      <c r="F59">
        <v>613414115</v>
      </c>
      <c r="G59">
        <v>3.5549999999999998E-2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-0.12901271956390087</v>
      </c>
      <c r="Q59">
        <f t="shared" ref="Q59" si="271">F59*P59</f>
        <v>-79138223.195033431</v>
      </c>
      <c r="R59">
        <f t="shared" ref="R59" si="272">R60+Q59</f>
        <v>-13307860196.125156</v>
      </c>
      <c r="S59">
        <f t="shared" ref="S59" si="273">R59/100000</f>
        <v>-133078.60196125155</v>
      </c>
      <c r="T59">
        <f t="shared" ref="T59" si="274">S59/1000</f>
        <v>-133.07860196125156</v>
      </c>
    </row>
    <row r="60" spans="1:20" x14ac:dyDescent="0.25">
      <c r="A60" s="5">
        <v>44533</v>
      </c>
      <c r="B60">
        <v>3.807E-2</v>
      </c>
      <c r="C60">
        <v>6.59E-2</v>
      </c>
      <c r="D60">
        <v>3.7280000000000001E-2</v>
      </c>
      <c r="E60">
        <v>4.2130000000000001E-2</v>
      </c>
      <c r="F60">
        <v>2536783342</v>
      </c>
      <c r="G60">
        <v>4.2130000000000001E-2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-0.66107617051013279</v>
      </c>
      <c r="Q60">
        <f t="shared" ref="Q60" si="276">F60*P60</f>
        <v>-1677007017.1432564</v>
      </c>
      <c r="R60">
        <f t="shared" ref="R60" si="277">R61+Q60</f>
        <v>-13228721972.930122</v>
      </c>
      <c r="S60">
        <f t="shared" ref="S60" si="278">R60/100000</f>
        <v>-132287.21972930123</v>
      </c>
      <c r="T60">
        <f t="shared" ref="T60" si="279">S60/1000</f>
        <v>-132.28721972930123</v>
      </c>
    </row>
    <row r="61" spans="1:20" x14ac:dyDescent="0.25">
      <c r="A61" s="5">
        <v>44532</v>
      </c>
      <c r="B61">
        <v>3.5189999999999999E-2</v>
      </c>
      <c r="C61">
        <v>4.2000000000000003E-2</v>
      </c>
      <c r="D61">
        <v>3.2000000000000001E-2</v>
      </c>
      <c r="E61">
        <v>3.8019999999999998E-2</v>
      </c>
      <c r="F61">
        <v>317441730</v>
      </c>
      <c r="G61">
        <v>3.8019999999999998E-2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0.20399999999999929</v>
      </c>
      <c r="Q61">
        <f t="shared" ref="Q61" si="281">F61*P61</f>
        <v>64758112.919999778</v>
      </c>
      <c r="R61">
        <f t="shared" ref="R61" si="282">R62+Q61</f>
        <v>-11551714955.786865</v>
      </c>
      <c r="S61">
        <f t="shared" ref="S61" si="283">R61/100000</f>
        <v>-115517.14955786866</v>
      </c>
      <c r="T61">
        <f t="shared" ref="T61" si="284">S61/1000</f>
        <v>-115.51714955786866</v>
      </c>
    </row>
    <row r="62" spans="1:20" x14ac:dyDescent="0.25">
      <c r="A62" s="5">
        <v>44531</v>
      </c>
      <c r="B62">
        <v>3.4610000000000002E-2</v>
      </c>
      <c r="C62">
        <v>3.6490000000000002E-2</v>
      </c>
      <c r="D62">
        <v>3.4419999999999999E-2</v>
      </c>
      <c r="E62">
        <v>3.5180000000000003E-2</v>
      </c>
      <c r="F62">
        <v>66380227</v>
      </c>
      <c r="G62">
        <v>3.5180000000000003E-2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-0.26570048309178468</v>
      </c>
      <c r="Q62">
        <f t="shared" ref="Q62" si="286">F62*P62</f>
        <v>-17637258.38164233</v>
      </c>
      <c r="R62">
        <f t="shared" ref="R62" si="287">R63+Q62</f>
        <v>-11616473068.706865</v>
      </c>
      <c r="S62">
        <f t="shared" ref="S62" si="288">R62/100000</f>
        <v>-116164.73068706866</v>
      </c>
      <c r="T62">
        <f t="shared" ref="T62" si="289">S62/1000</f>
        <v>-116.16473068706865</v>
      </c>
    </row>
    <row r="63" spans="1:20" x14ac:dyDescent="0.25">
      <c r="A63" s="5">
        <v>44530</v>
      </c>
      <c r="B63">
        <v>3.5869999999999999E-2</v>
      </c>
      <c r="C63">
        <v>3.6990000000000002E-2</v>
      </c>
      <c r="D63">
        <v>3.4419999999999999E-2</v>
      </c>
      <c r="E63">
        <v>3.4709999999999998E-2</v>
      </c>
      <c r="F63">
        <v>78577314</v>
      </c>
      <c r="G63">
        <v>3.4709999999999998E-2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-0.77431906614786128</v>
      </c>
      <c r="Q63">
        <f t="shared" ref="Q63" si="291">F63*P63</f>
        <v>-60843912.396887265</v>
      </c>
      <c r="R63">
        <f t="shared" ref="R63" si="292">R64+Q63</f>
        <v>-11598835810.325224</v>
      </c>
      <c r="S63">
        <f t="shared" ref="S63" si="293">R63/100000</f>
        <v>-115988.35810325223</v>
      </c>
      <c r="T63">
        <f t="shared" ref="T63" si="294">S63/1000</f>
        <v>-115.98835810325224</v>
      </c>
    </row>
    <row r="64" spans="1:20" x14ac:dyDescent="0.25">
      <c r="A64" s="5">
        <v>44529</v>
      </c>
      <c r="B64">
        <v>3.6170000000000001E-2</v>
      </c>
      <c r="C64">
        <v>3.721E-2</v>
      </c>
      <c r="D64">
        <v>3.5729999999999998E-2</v>
      </c>
      <c r="E64">
        <v>3.5889999999999998E-2</v>
      </c>
      <c r="F64">
        <v>49290397</v>
      </c>
      <c r="G64">
        <v>3.5889999999999998E-2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-0.78378378378378355</v>
      </c>
      <c r="Q64">
        <f t="shared" ref="Q64" si="296">F64*P64</f>
        <v>-38633013.864864856</v>
      </c>
      <c r="R64">
        <f t="shared" ref="R64" si="297">R65+Q64</f>
        <v>-11537991897.928337</v>
      </c>
      <c r="S64">
        <f t="shared" ref="S64" si="298">R64/100000</f>
        <v>-115379.91897928336</v>
      </c>
      <c r="T64">
        <f t="shared" ref="T64" si="299">S64/1000</f>
        <v>-115.37991897928336</v>
      </c>
    </row>
    <row r="65" spans="1:20" x14ac:dyDescent="0.25">
      <c r="A65" s="5">
        <v>44528</v>
      </c>
      <c r="B65">
        <v>3.7069999999999999E-2</v>
      </c>
      <c r="C65">
        <v>3.7179999999999998E-2</v>
      </c>
      <c r="D65">
        <v>3.2939999999999997E-2</v>
      </c>
      <c r="E65">
        <v>3.6170000000000001E-2</v>
      </c>
      <c r="F65">
        <v>87617435</v>
      </c>
      <c r="G65">
        <v>3.6170000000000001E-2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0.52358490566037885</v>
      </c>
      <c r="Q65">
        <f t="shared" ref="Q65" si="301">F65*P65</f>
        <v>45875166.438679375</v>
      </c>
      <c r="R65">
        <f t="shared" ref="R65" si="302">R66+Q65</f>
        <v>-11499358884.063473</v>
      </c>
      <c r="S65">
        <f t="shared" ref="S65" si="303">R65/100000</f>
        <v>-114993.58884063472</v>
      </c>
      <c r="T65">
        <f t="shared" ref="T65" si="304">S65/1000</f>
        <v>-114.99358884063473</v>
      </c>
    </row>
    <row r="66" spans="1:20" x14ac:dyDescent="0.25">
      <c r="A66" s="5">
        <v>44527</v>
      </c>
      <c r="B66">
        <v>3.6790000000000003E-2</v>
      </c>
      <c r="C66">
        <v>3.9300000000000002E-2</v>
      </c>
      <c r="D66">
        <v>3.6110000000000003E-2</v>
      </c>
      <c r="E66">
        <v>3.7010000000000001E-2</v>
      </c>
      <c r="F66">
        <v>88439821</v>
      </c>
      <c r="G66">
        <v>3.7010000000000001E-2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-0.4357366771159884</v>
      </c>
      <c r="Q66">
        <f t="shared" ref="Q66" si="306">F66*P66</f>
        <v>-38536473.727272809</v>
      </c>
      <c r="R66">
        <f t="shared" ref="R66" si="307">R67+Q66</f>
        <v>-11545234050.502151</v>
      </c>
      <c r="S66">
        <f t="shared" ref="S66" si="308">R66/100000</f>
        <v>-115452.34050502151</v>
      </c>
      <c r="T66">
        <f t="shared" ref="T66" si="309">S66/1000</f>
        <v>-115.45234050502151</v>
      </c>
    </row>
    <row r="67" spans="1:20" x14ac:dyDescent="0.25">
      <c r="A67" s="5">
        <v>44526</v>
      </c>
      <c r="B67">
        <v>4.3490000000000001E-2</v>
      </c>
      <c r="C67">
        <v>4.7899999999999998E-2</v>
      </c>
      <c r="D67">
        <v>3.5999999999999997E-2</v>
      </c>
      <c r="E67">
        <v>3.6880000000000003E-2</v>
      </c>
      <c r="F67">
        <v>202218891</v>
      </c>
      <c r="G67">
        <v>3.6880000000000003E-2</v>
      </c>
      <c r="L67" t="s">
        <v>8</v>
      </c>
      <c r="M67" t="s">
        <v>7</v>
      </c>
      <c r="N67" t="s">
        <v>8</v>
      </c>
      <c r="P67">
        <f t="shared" ref="P67" si="310">IF(C67=D67,0,((E67-D67)-(C67-E67))/(C67-D67))</f>
        <v>-0.85210084033613354</v>
      </c>
      <c r="Q67">
        <f t="shared" ref="Q67" si="311">F67*P67</f>
        <v>-172310886.952941</v>
      </c>
      <c r="R67">
        <f t="shared" ref="R67" si="312">R68+Q67</f>
        <v>-11506697576.774879</v>
      </c>
      <c r="S67">
        <f t="shared" ref="S67" si="313">R67/100000</f>
        <v>-115066.97576774879</v>
      </c>
      <c r="T67">
        <f t="shared" ref="T67" si="314">S67/1000</f>
        <v>-115.0669757677488</v>
      </c>
    </row>
    <row r="68" spans="1:20" x14ac:dyDescent="0.25">
      <c r="A68" s="5">
        <v>44525</v>
      </c>
      <c r="B68">
        <v>3.6580000000000001E-2</v>
      </c>
      <c r="C68">
        <v>4.7E-2</v>
      </c>
      <c r="D68">
        <v>3.6200000000000003E-2</v>
      </c>
      <c r="E68">
        <v>4.351E-2</v>
      </c>
      <c r="F68">
        <v>462655497</v>
      </c>
      <c r="G68">
        <v>4.351E-2</v>
      </c>
      <c r="L68" t="s">
        <v>8</v>
      </c>
      <c r="M68" t="s">
        <v>8</v>
      </c>
      <c r="N68" t="s">
        <v>7</v>
      </c>
      <c r="P68">
        <f t="shared" ref="P68" si="315">IF(C68=D68,0,((E68-D68)-(C68-E68))/(C68-D68))</f>
        <v>0.35370370370370352</v>
      </c>
      <c r="Q68">
        <f t="shared" ref="Q68" si="316">F68*P68</f>
        <v>163642962.82777768</v>
      </c>
      <c r="R68">
        <f t="shared" ref="R68" si="317">R69+Q68</f>
        <v>-11334386689.821938</v>
      </c>
      <c r="S68">
        <f t="shared" ref="S68" si="318">R68/100000</f>
        <v>-113343.86689821938</v>
      </c>
      <c r="T68">
        <f t="shared" ref="T68" si="319">S68/1000</f>
        <v>-113.34386689821937</v>
      </c>
    </row>
    <row r="69" spans="1:20" x14ac:dyDescent="0.25">
      <c r="A69" s="5">
        <v>44524</v>
      </c>
      <c r="B69">
        <v>3.7289999999999997E-2</v>
      </c>
      <c r="C69">
        <v>3.8830000000000003E-2</v>
      </c>
      <c r="D69">
        <v>3.5790000000000002E-2</v>
      </c>
      <c r="E69">
        <v>3.78E-2</v>
      </c>
      <c r="F69">
        <v>66713975</v>
      </c>
      <c r="G69">
        <v>3.78E-2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0.32236842105262975</v>
      </c>
      <c r="Q69">
        <f t="shared" ref="Q69" si="321">F69*P69</f>
        <v>21506478.782894615</v>
      </c>
      <c r="R69">
        <f t="shared" ref="R69" si="322">R70+Q69</f>
        <v>-11498029652.649715</v>
      </c>
      <c r="S69">
        <f t="shared" ref="S69" si="323">R69/100000</f>
        <v>-114980.29652649716</v>
      </c>
      <c r="T69">
        <f t="shared" ref="T69" si="324">S69/1000</f>
        <v>-114.98029652649716</v>
      </c>
    </row>
    <row r="70" spans="1:20" x14ac:dyDescent="0.25">
      <c r="A70" s="5">
        <v>44523</v>
      </c>
      <c r="B70">
        <v>3.5299999999999998E-2</v>
      </c>
      <c r="C70">
        <v>3.9800000000000002E-2</v>
      </c>
      <c r="D70">
        <v>3.4180000000000002E-2</v>
      </c>
      <c r="E70">
        <v>3.7260000000000001E-2</v>
      </c>
      <c r="F70">
        <v>211564174</v>
      </c>
      <c r="G70">
        <v>3.7260000000000001E-2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9.6085409252668827E-2</v>
      </c>
      <c r="Q70">
        <f t="shared" ref="Q70" si="326">F70*P70</f>
        <v>20328230.241992839</v>
      </c>
      <c r="R70">
        <f t="shared" ref="R70" si="327">R71+Q70</f>
        <v>-11519536131.43261</v>
      </c>
      <c r="S70">
        <f t="shared" ref="S70" si="328">R70/100000</f>
        <v>-115195.3613143261</v>
      </c>
      <c r="T70">
        <f t="shared" ref="T70" si="329">S70/1000</f>
        <v>-115.19536131432611</v>
      </c>
    </row>
    <row r="71" spans="1:20" x14ac:dyDescent="0.25">
      <c r="A71" s="5">
        <v>44522</v>
      </c>
      <c r="B71">
        <v>3.7650000000000003E-2</v>
      </c>
      <c r="C71">
        <v>3.9469999999999998E-2</v>
      </c>
      <c r="D71">
        <v>3.5000000000000003E-2</v>
      </c>
      <c r="E71">
        <v>3.5349999999999999E-2</v>
      </c>
      <c r="F71">
        <v>325664467</v>
      </c>
      <c r="G71">
        <v>3.5349999999999999E-2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-0.84340044742729459</v>
      </c>
      <c r="Q71">
        <f t="shared" ref="Q71" si="331">F71*P71</f>
        <v>-274665557.17897141</v>
      </c>
      <c r="R71">
        <f t="shared" ref="R71" si="332">R72+Q71</f>
        <v>-11539864361.674603</v>
      </c>
      <c r="S71">
        <f t="shared" ref="S71" si="333">R71/100000</f>
        <v>-115398.64361674602</v>
      </c>
      <c r="T71">
        <f t="shared" ref="T71" si="334">S71/1000</f>
        <v>-115.39864361674601</v>
      </c>
    </row>
    <row r="72" spans="1:20" x14ac:dyDescent="0.25">
      <c r="A72" s="5">
        <v>44521</v>
      </c>
      <c r="B72">
        <v>4.1140000000000003E-2</v>
      </c>
      <c r="C72">
        <v>6.3850000000000004E-2</v>
      </c>
      <c r="D72">
        <v>3.671E-2</v>
      </c>
      <c r="E72">
        <v>3.7650000000000003E-2</v>
      </c>
      <c r="F72">
        <v>1817655422</v>
      </c>
      <c r="G72">
        <v>3.7650000000000003E-2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-0.93072955047899752</v>
      </c>
      <c r="Q72">
        <f t="shared" ref="Q72" si="336">F72*P72</f>
        <v>-1691745613.8437726</v>
      </c>
      <c r="R72">
        <f t="shared" ref="R72" si="337">R73+Q72</f>
        <v>-11265198804.49563</v>
      </c>
      <c r="S72">
        <f t="shared" ref="S72" si="338">R72/100000</f>
        <v>-112651.98804495631</v>
      </c>
      <c r="T72">
        <f t="shared" ref="T72" si="339">S72/1000</f>
        <v>-112.65198804495631</v>
      </c>
    </row>
    <row r="73" spans="1:20" x14ac:dyDescent="0.25">
      <c r="A73" s="5">
        <v>44520</v>
      </c>
      <c r="B73">
        <v>3.15E-2</v>
      </c>
      <c r="C73">
        <v>4.6899999999999997E-2</v>
      </c>
      <c r="D73">
        <v>3.1210000000000002E-2</v>
      </c>
      <c r="E73">
        <v>4.1169999999999998E-2</v>
      </c>
      <c r="F73">
        <v>654490346</v>
      </c>
      <c r="G73">
        <v>4.1169999999999998E-2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0.26959847036328866</v>
      </c>
      <c r="Q73">
        <f t="shared" ref="Q73" si="341">F73*P73</f>
        <v>176449596.14913952</v>
      </c>
      <c r="R73">
        <f t="shared" ref="R73" si="342">R74+Q73</f>
        <v>-9573453190.6518574</v>
      </c>
      <c r="S73">
        <f t="shared" ref="S73" si="343">R73/100000</f>
        <v>-95734.531906518576</v>
      </c>
      <c r="T73">
        <f t="shared" ref="T73" si="344">S73/1000</f>
        <v>-95.734531906518569</v>
      </c>
    </row>
    <row r="74" spans="1:20" x14ac:dyDescent="0.25">
      <c r="A74" s="5">
        <v>44519</v>
      </c>
      <c r="B74">
        <v>2.981E-2</v>
      </c>
      <c r="C74">
        <v>3.1739999999999997E-2</v>
      </c>
      <c r="D74">
        <v>2.894E-2</v>
      </c>
      <c r="E74">
        <v>3.1440000000000003E-2</v>
      </c>
      <c r="F74">
        <v>42394703</v>
      </c>
      <c r="G74">
        <v>3.1440000000000003E-2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0.78571428571428925</v>
      </c>
      <c r="Q74">
        <f t="shared" ref="Q74" si="346">F74*P74</f>
        <v>33310123.785714436</v>
      </c>
      <c r="R74">
        <f t="shared" ref="R74" si="347">R75+Q74</f>
        <v>-9749902786.8009968</v>
      </c>
      <c r="S74">
        <f t="shared" ref="S74" si="348">R74/100000</f>
        <v>-97499.027868009973</v>
      </c>
      <c r="T74">
        <f t="shared" ref="T74" si="349">S74/1000</f>
        <v>-97.499027868009975</v>
      </c>
    </row>
    <row r="75" spans="1:20" x14ac:dyDescent="0.25">
      <c r="A75" s="5">
        <v>44518</v>
      </c>
      <c r="B75">
        <v>3.3000000000000002E-2</v>
      </c>
      <c r="C75">
        <v>3.3059999999999999E-2</v>
      </c>
      <c r="D75">
        <v>2.8809999999999999E-2</v>
      </c>
      <c r="E75">
        <v>2.9770000000000001E-2</v>
      </c>
      <c r="F75">
        <v>28231871</v>
      </c>
      <c r="G75">
        <v>2.9770000000000001E-2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-0.54823529411764593</v>
      </c>
      <c r="Q75">
        <f t="shared" ref="Q75" si="351">F75*P75</f>
        <v>-15477708.101176439</v>
      </c>
      <c r="R75">
        <f t="shared" ref="R75" si="352">R76+Q75</f>
        <v>-9783212910.5867119</v>
      </c>
      <c r="S75">
        <f t="shared" ref="S75" si="353">R75/100000</f>
        <v>-97832.12910586712</v>
      </c>
      <c r="T75">
        <f t="shared" ref="T75" si="354">S75/1000</f>
        <v>-97.832129105867125</v>
      </c>
    </row>
    <row r="76" spans="1:20" x14ac:dyDescent="0.25">
      <c r="A76" s="5">
        <v>44517</v>
      </c>
      <c r="B76">
        <v>3.2509999999999997E-2</v>
      </c>
      <c r="C76">
        <v>3.3149999999999999E-2</v>
      </c>
      <c r="D76">
        <v>3.1009999999999999E-2</v>
      </c>
      <c r="E76">
        <v>3.3000000000000002E-2</v>
      </c>
      <c r="F76">
        <v>29737904</v>
      </c>
      <c r="G76">
        <v>3.3000000000000002E-2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0.85981308411215196</v>
      </c>
      <c r="Q76">
        <f t="shared" ref="Q76" si="356">F76*P76</f>
        <v>25569038.953271098</v>
      </c>
      <c r="R76">
        <f t="shared" ref="R76" si="357">R77+Q76</f>
        <v>-9767735202.4855347</v>
      </c>
      <c r="S76">
        <f t="shared" ref="S76" si="358">R76/100000</f>
        <v>-97677.35202485534</v>
      </c>
      <c r="T76">
        <f t="shared" ref="T76" si="359">S76/1000</f>
        <v>-97.677352024855338</v>
      </c>
    </row>
    <row r="77" spans="1:20" x14ac:dyDescent="0.25">
      <c r="A77" s="5">
        <v>44516</v>
      </c>
      <c r="B77">
        <v>3.5709999999999999E-2</v>
      </c>
      <c r="C77">
        <v>3.5749999999999997E-2</v>
      </c>
      <c r="D77">
        <v>3.0249999999999999E-2</v>
      </c>
      <c r="E77">
        <v>3.2509999999999997E-2</v>
      </c>
      <c r="F77">
        <v>62907159</v>
      </c>
      <c r="G77">
        <v>3.2509999999999997E-2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-0.17818181818181855</v>
      </c>
      <c r="Q77">
        <f t="shared" ref="Q77" si="361">F77*P77</f>
        <v>-11208911.967272751</v>
      </c>
      <c r="R77">
        <f t="shared" ref="R77" si="362">R78+Q77</f>
        <v>-9793304241.4388065</v>
      </c>
      <c r="S77">
        <f t="shared" ref="S77" si="363">R77/100000</f>
        <v>-97933.042414388066</v>
      </c>
      <c r="T77">
        <f t="shared" ref="T77" si="364">S77/1000</f>
        <v>-97.933042414388069</v>
      </c>
    </row>
    <row r="78" spans="1:20" x14ac:dyDescent="0.25">
      <c r="A78" s="5">
        <v>44515</v>
      </c>
      <c r="B78">
        <v>3.8550000000000001E-2</v>
      </c>
      <c r="C78">
        <v>4.0329999999999998E-2</v>
      </c>
      <c r="D78">
        <v>3.5560000000000001E-2</v>
      </c>
      <c r="E78">
        <v>3.5749999999999997E-2</v>
      </c>
      <c r="F78">
        <v>88271357</v>
      </c>
      <c r="G78">
        <v>3.5749999999999997E-2</v>
      </c>
      <c r="L78" t="s">
        <v>8</v>
      </c>
      <c r="M78" t="s">
        <v>8</v>
      </c>
      <c r="N78" t="s">
        <v>7</v>
      </c>
      <c r="P78">
        <f t="shared" ref="P78" si="365">IF(C78=D78,0,((E78-D78)-(C78-E78))/(C78-D78))</f>
        <v>-0.92033542976939375</v>
      </c>
      <c r="Q78">
        <f t="shared" ref="Q78" si="366">F78*P78</f>
        <v>-81239257.280922577</v>
      </c>
      <c r="R78">
        <f t="shared" ref="R78" si="367">R79+Q78</f>
        <v>-9782095329.4715347</v>
      </c>
      <c r="S78">
        <f t="shared" ref="S78" si="368">R78/100000</f>
        <v>-97820.953294715349</v>
      </c>
      <c r="T78">
        <f t="shared" ref="T78" si="369">S78/1000</f>
        <v>-97.820953294715352</v>
      </c>
    </row>
    <row r="79" spans="1:20" x14ac:dyDescent="0.25">
      <c r="A79" s="5">
        <v>44514</v>
      </c>
      <c r="B79">
        <v>3.5860000000000003E-2</v>
      </c>
      <c r="C79">
        <v>3.9350000000000003E-2</v>
      </c>
      <c r="D79">
        <v>3.5529999999999999E-2</v>
      </c>
      <c r="E79">
        <v>3.85E-2</v>
      </c>
      <c r="F79">
        <v>104813773</v>
      </c>
      <c r="G79">
        <v>3.85E-2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0.55497382198952738</v>
      </c>
      <c r="Q79">
        <f t="shared" ref="Q79" si="371">F79*P79</f>
        <v>58168900.198952734</v>
      </c>
      <c r="R79">
        <f t="shared" ref="R79" si="372">R80+Q79</f>
        <v>-9700856072.1906128</v>
      </c>
      <c r="S79">
        <f t="shared" ref="S79" si="373">R79/100000</f>
        <v>-97008.560721906135</v>
      </c>
      <c r="T79">
        <f t="shared" ref="T79" si="374">S79/1000</f>
        <v>-97.008560721906136</v>
      </c>
    </row>
    <row r="80" spans="1:20" x14ac:dyDescent="0.25">
      <c r="A80" s="5">
        <v>44513</v>
      </c>
      <c r="B80">
        <v>3.517E-2</v>
      </c>
      <c r="C80">
        <v>3.7999999999999999E-2</v>
      </c>
      <c r="D80">
        <v>3.4160000000000003E-2</v>
      </c>
      <c r="E80">
        <v>3.5860000000000003E-2</v>
      </c>
      <c r="F80">
        <v>107265252</v>
      </c>
      <c r="G80">
        <v>3.5860000000000003E-2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-0.1145833333333324</v>
      </c>
      <c r="Q80">
        <f t="shared" ref="Q80" si="376">F80*P80</f>
        <v>-12290810.124999899</v>
      </c>
      <c r="R80">
        <f t="shared" ref="R80" si="377">R81+Q80</f>
        <v>-9759024972.3895664</v>
      </c>
      <c r="S80">
        <f t="shared" ref="S80" si="378">R80/100000</f>
        <v>-97590.249723895671</v>
      </c>
      <c r="T80">
        <f t="shared" ref="T80" si="379">S80/1000</f>
        <v>-97.590249723895667</v>
      </c>
    </row>
    <row r="81" spans="1:20" x14ac:dyDescent="0.25">
      <c r="A81" s="5">
        <v>44512</v>
      </c>
      <c r="B81">
        <v>3.4770000000000002E-2</v>
      </c>
      <c r="C81">
        <v>3.5990000000000001E-2</v>
      </c>
      <c r="D81">
        <v>3.3599999999999998E-2</v>
      </c>
      <c r="E81">
        <v>3.5180000000000003E-2</v>
      </c>
      <c r="F81">
        <v>41889965</v>
      </c>
      <c r="G81">
        <v>3.5180000000000003E-2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0.32217573221757562</v>
      </c>
      <c r="Q81">
        <f t="shared" ref="Q81" si="381">F81*P81</f>
        <v>13495930.146443615</v>
      </c>
      <c r="R81">
        <f t="shared" ref="R81" si="382">R82+Q81</f>
        <v>-9746734162.2645664</v>
      </c>
      <c r="S81">
        <f t="shared" ref="S81" si="383">R81/100000</f>
        <v>-97467.341622645661</v>
      </c>
      <c r="T81">
        <f t="shared" ref="T81" si="384">S81/1000</f>
        <v>-97.467341622645662</v>
      </c>
    </row>
    <row r="82" spans="1:20" x14ac:dyDescent="0.25">
      <c r="A82" s="5">
        <v>44511</v>
      </c>
      <c r="B82">
        <v>3.4079999999999999E-2</v>
      </c>
      <c r="C82">
        <v>3.526E-2</v>
      </c>
      <c r="D82">
        <v>3.3459999999999997E-2</v>
      </c>
      <c r="E82">
        <v>3.483E-2</v>
      </c>
      <c r="F82">
        <v>45182044</v>
      </c>
      <c r="G82">
        <v>3.483E-2</v>
      </c>
      <c r="L82" t="s">
        <v>7</v>
      </c>
      <c r="M82" t="s">
        <v>8</v>
      </c>
      <c r="N82" t="s">
        <v>7</v>
      </c>
      <c r="P82">
        <f t="shared" ref="P82" si="385">IF(C82=D82,0,((E82-D82)-(C82-E82))/(C82-D82))</f>
        <v>0.52222222222222325</v>
      </c>
      <c r="Q82">
        <f t="shared" ref="Q82" si="386">F82*P82</f>
        <v>23595067.422222268</v>
      </c>
      <c r="R82">
        <f t="shared" ref="R82" si="387">R83+Q82</f>
        <v>-9760230092.4110107</v>
      </c>
      <c r="S82">
        <f t="shared" ref="S82" si="388">R82/100000</f>
        <v>-97602.30092411011</v>
      </c>
      <c r="T82">
        <f t="shared" ref="T82" si="389">S82/1000</f>
        <v>-97.602300924110111</v>
      </c>
    </row>
    <row r="83" spans="1:20" x14ac:dyDescent="0.25">
      <c r="A83" s="5">
        <v>44510</v>
      </c>
      <c r="B83">
        <v>3.5610000000000003E-2</v>
      </c>
      <c r="C83">
        <v>3.7490000000000002E-2</v>
      </c>
      <c r="D83">
        <v>3.329E-2</v>
      </c>
      <c r="E83">
        <v>3.4110000000000001E-2</v>
      </c>
      <c r="F83">
        <v>64260633</v>
      </c>
      <c r="G83">
        <v>3.4110000000000001E-2</v>
      </c>
      <c r="L83" t="s">
        <v>7</v>
      </c>
      <c r="M83" t="s">
        <v>8</v>
      </c>
      <c r="N83" t="s">
        <v>7</v>
      </c>
      <c r="P83">
        <f t="shared" ref="P83" si="390">IF(C83=D83,0,((E83-D83)-(C83-E83))/(C83-D83))</f>
        <v>-0.60952380952380913</v>
      </c>
      <c r="Q83">
        <f t="shared" ref="Q83" si="391">F83*P83</f>
        <v>-39168385.828571402</v>
      </c>
      <c r="R83">
        <f t="shared" ref="R83" si="392">R84+Q83</f>
        <v>-9783825159.8332329</v>
      </c>
      <c r="S83">
        <f t="shared" ref="S83" si="393">R83/100000</f>
        <v>-97838.251598332325</v>
      </c>
      <c r="T83">
        <f t="shared" ref="T83" si="394">S83/1000</f>
        <v>-97.83825159833232</v>
      </c>
    </row>
    <row r="84" spans="1:20" x14ac:dyDescent="0.25">
      <c r="A84" s="5">
        <v>44509</v>
      </c>
      <c r="B84">
        <v>3.6240000000000001E-2</v>
      </c>
      <c r="C84">
        <v>3.6420000000000001E-2</v>
      </c>
      <c r="D84">
        <v>3.5099999999999999E-2</v>
      </c>
      <c r="E84">
        <v>3.551E-2</v>
      </c>
      <c r="F84">
        <v>43239635</v>
      </c>
      <c r="G84">
        <v>3.551E-2</v>
      </c>
      <c r="L84" t="s">
        <v>7</v>
      </c>
      <c r="M84" t="s">
        <v>8</v>
      </c>
      <c r="N84" t="s">
        <v>7</v>
      </c>
      <c r="P84">
        <f t="shared" ref="P84" si="395">IF(C84=D84,0,((E84-D84)-(C84-E84))/(C84-D84))</f>
        <v>-0.37878787878787862</v>
      </c>
      <c r="Q84">
        <f t="shared" ref="Q84" si="396">F84*P84</f>
        <v>-16378649.621212114</v>
      </c>
      <c r="R84">
        <f t="shared" ref="R84" si="397">R85+Q84</f>
        <v>-9744656774.0046616</v>
      </c>
      <c r="S84">
        <f t="shared" ref="S84" si="398">R84/100000</f>
        <v>-97446.567740046608</v>
      </c>
      <c r="T84">
        <f t="shared" ref="T84" si="399">S84/1000</f>
        <v>-97.446567740046603</v>
      </c>
    </row>
    <row r="85" spans="1:20" x14ac:dyDescent="0.25">
      <c r="A85" s="5">
        <v>44508</v>
      </c>
      <c r="B85">
        <v>3.5920000000000001E-2</v>
      </c>
      <c r="C85">
        <v>3.7600000000000001E-2</v>
      </c>
      <c r="D85">
        <v>3.4389999999999997E-2</v>
      </c>
      <c r="E85">
        <v>3.6319999999999998E-2</v>
      </c>
      <c r="F85">
        <v>78198600</v>
      </c>
      <c r="G85">
        <v>3.6319999999999998E-2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0.20249221183800525</v>
      </c>
      <c r="Q85">
        <f t="shared" ref="Q85" si="401">F85*P85</f>
        <v>15834607.476635437</v>
      </c>
      <c r="R85">
        <f t="shared" ref="R85" si="402">R86+Q85</f>
        <v>-9728278124.3834496</v>
      </c>
      <c r="S85">
        <f t="shared" ref="S85" si="403">R85/100000</f>
        <v>-97282.781243834499</v>
      </c>
      <c r="T85">
        <f t="shared" ref="T85" si="404">S85/1000</f>
        <v>-97.282781243834492</v>
      </c>
    </row>
    <row r="86" spans="1:20" x14ac:dyDescent="0.25">
      <c r="A86" s="5">
        <v>44507</v>
      </c>
      <c r="B86">
        <v>3.3869999999999997E-2</v>
      </c>
      <c r="C86">
        <v>3.7289999999999997E-2</v>
      </c>
      <c r="D86">
        <v>3.381E-2</v>
      </c>
      <c r="E86">
        <v>3.5830000000000001E-2</v>
      </c>
      <c r="F86">
        <v>91373885</v>
      </c>
      <c r="G86">
        <v>3.5830000000000001E-2</v>
      </c>
      <c r="L86" t="s">
        <v>8</v>
      </c>
      <c r="M86" t="s">
        <v>8</v>
      </c>
      <c r="N86" t="s">
        <v>7</v>
      </c>
      <c r="P86">
        <f t="shared" ref="P86" si="405">IF(C86=D86,0,((E86-D86)-(C86-E86))/(C86-D86))</f>
        <v>0.16091954022988661</v>
      </c>
      <c r="Q86">
        <f t="shared" ref="Q86" si="406">F86*P86</f>
        <v>14703843.563218532</v>
      </c>
      <c r="R86">
        <f t="shared" ref="R86" si="407">R87+Q86</f>
        <v>-9744112731.8600845</v>
      </c>
      <c r="S86">
        <f t="shared" ref="S86" si="408">R86/100000</f>
        <v>-97441.127318600848</v>
      </c>
      <c r="T86">
        <f t="shared" ref="T86" si="409">S86/1000</f>
        <v>-97.441127318600849</v>
      </c>
    </row>
    <row r="87" spans="1:20" x14ac:dyDescent="0.25">
      <c r="A87" s="5">
        <v>44506</v>
      </c>
      <c r="B87">
        <v>3.4119999999999998E-2</v>
      </c>
      <c r="C87">
        <v>3.5000000000000003E-2</v>
      </c>
      <c r="D87">
        <v>3.3270000000000001E-2</v>
      </c>
      <c r="E87">
        <v>3.3869999999999997E-2</v>
      </c>
      <c r="F87">
        <v>34393110</v>
      </c>
      <c r="G87">
        <v>3.3869999999999997E-2</v>
      </c>
      <c r="L87" t="s">
        <v>8</v>
      </c>
      <c r="M87" t="s">
        <v>8</v>
      </c>
      <c r="N87" t="s">
        <v>7</v>
      </c>
      <c r="P87">
        <f t="shared" ref="P87" si="410">IF(C87=D87,0,((E87-D87)-(C87-E87))/(C87-D87))</f>
        <v>-0.30635838150289529</v>
      </c>
      <c r="Q87">
        <f t="shared" ref="Q87" si="411">F87*P87</f>
        <v>-10536617.514451044</v>
      </c>
      <c r="R87">
        <f t="shared" ref="R87" si="412">R88+Q87</f>
        <v>-9758816575.4233036</v>
      </c>
      <c r="S87">
        <f t="shared" ref="S87" si="413">R87/100000</f>
        <v>-97588.165754233036</v>
      </c>
      <c r="T87">
        <f t="shared" ref="T87" si="414">S87/1000</f>
        <v>-97.588165754233032</v>
      </c>
    </row>
    <row r="88" spans="1:20" x14ac:dyDescent="0.25">
      <c r="A88" s="5">
        <v>44505</v>
      </c>
      <c r="B88">
        <v>3.3989999999999999E-2</v>
      </c>
      <c r="C88">
        <v>3.5650000000000001E-2</v>
      </c>
      <c r="D88">
        <v>3.354E-2</v>
      </c>
      <c r="E88">
        <v>3.4099999999999998E-2</v>
      </c>
      <c r="F88">
        <v>56221483</v>
      </c>
      <c r="G88">
        <v>3.4099999999999998E-2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-0.4691943127962106</v>
      </c>
      <c r="Q88">
        <f t="shared" ref="Q88" si="416">F88*P88</f>
        <v>-26378800.080568835</v>
      </c>
      <c r="R88">
        <f t="shared" ref="R88" si="417">R89+Q88</f>
        <v>-9748279957.9088516</v>
      </c>
      <c r="S88">
        <f t="shared" ref="S88" si="418">R88/100000</f>
        <v>-97482.799579088518</v>
      </c>
      <c r="T88">
        <f t="shared" ref="T88" si="419">S88/1000</f>
        <v>-97.482799579088521</v>
      </c>
    </row>
    <row r="89" spans="1:20" x14ac:dyDescent="0.25">
      <c r="A89" s="5">
        <v>44504</v>
      </c>
      <c r="B89">
        <v>3.5979999999999998E-2</v>
      </c>
      <c r="C89">
        <v>3.6999999999999998E-2</v>
      </c>
      <c r="D89">
        <v>3.3000000000000002E-2</v>
      </c>
      <c r="E89">
        <v>3.4009999999999999E-2</v>
      </c>
      <c r="F89">
        <v>78956404</v>
      </c>
      <c r="G89">
        <v>3.4009999999999999E-2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-0.49500000000000105</v>
      </c>
      <c r="Q89">
        <f t="shared" ref="Q89" si="421">F89*P89</f>
        <v>-39083419.980000086</v>
      </c>
      <c r="R89">
        <f t="shared" ref="R89" si="422">R90+Q89</f>
        <v>-9721901157.8282833</v>
      </c>
      <c r="S89">
        <f t="shared" ref="S89" si="423">R89/100000</f>
        <v>-97219.011578282836</v>
      </c>
      <c r="T89">
        <f t="shared" ref="T89" si="424">S89/1000</f>
        <v>-97.219011578282831</v>
      </c>
    </row>
    <row r="90" spans="1:20" x14ac:dyDescent="0.25">
      <c r="A90" s="5">
        <v>44503</v>
      </c>
      <c r="B90">
        <v>3.4270000000000002E-2</v>
      </c>
      <c r="C90">
        <v>3.7819999999999999E-2</v>
      </c>
      <c r="D90">
        <v>3.2649999999999998E-2</v>
      </c>
      <c r="E90">
        <v>3.5970000000000002E-2</v>
      </c>
      <c r="F90">
        <v>113663781</v>
      </c>
      <c r="G90">
        <v>3.5970000000000002E-2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0.28433268858800886</v>
      </c>
      <c r="Q90">
        <f t="shared" ref="Q90" si="426">F90*P90</f>
        <v>32318328.44680864</v>
      </c>
      <c r="R90">
        <f t="shared" ref="R90" si="427">R91+Q90</f>
        <v>-9682817737.8482838</v>
      </c>
      <c r="S90">
        <f t="shared" ref="S90" si="428">R90/100000</f>
        <v>-96828.17737848284</v>
      </c>
      <c r="T90">
        <f t="shared" ref="T90" si="429">S90/1000</f>
        <v>-96.828177378482835</v>
      </c>
    </row>
    <row r="91" spans="1:20" x14ac:dyDescent="0.25">
      <c r="A91" s="5">
        <v>44502</v>
      </c>
      <c r="B91">
        <v>3.3840000000000002E-2</v>
      </c>
      <c r="C91">
        <v>3.4869999999999998E-2</v>
      </c>
      <c r="D91">
        <v>3.286E-2</v>
      </c>
      <c r="E91">
        <v>3.422E-2</v>
      </c>
      <c r="F91">
        <v>49242681</v>
      </c>
      <c r="G91">
        <v>3.422E-2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0.35323383084577265</v>
      </c>
      <c r="Q91">
        <f t="shared" ref="Q91" si="431">F91*P91</f>
        <v>17394180.850746341</v>
      </c>
      <c r="R91">
        <f t="shared" ref="R91" si="432">R92+Q91</f>
        <v>-9715136066.2950916</v>
      </c>
      <c r="S91">
        <f t="shared" ref="S91" si="433">R91/100000</f>
        <v>-97151.360662950916</v>
      </c>
      <c r="T91">
        <f t="shared" ref="T91" si="434">S91/1000</f>
        <v>-97.151360662950921</v>
      </c>
    </row>
    <row r="92" spans="1:20" x14ac:dyDescent="0.25">
      <c r="A92" s="5">
        <v>44501</v>
      </c>
      <c r="B92">
        <v>3.4619999999999998E-2</v>
      </c>
      <c r="C92">
        <v>3.5499999999999997E-2</v>
      </c>
      <c r="D92">
        <v>3.3230000000000003E-2</v>
      </c>
      <c r="E92">
        <v>3.3840000000000002E-2</v>
      </c>
      <c r="F92">
        <v>65526488</v>
      </c>
      <c r="G92">
        <v>3.3840000000000002E-2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-0.46255506607929431</v>
      </c>
      <c r="Q92">
        <f t="shared" ref="Q92" si="436">F92*P92</f>
        <v>-30309608.986784086</v>
      </c>
      <c r="R92">
        <f t="shared" ref="R92" si="437">R93+Q92</f>
        <v>-9732530247.1458378</v>
      </c>
      <c r="S92">
        <f t="shared" ref="S92" si="438">R92/100000</f>
        <v>-97325.302471458373</v>
      </c>
      <c r="T92">
        <f t="shared" ref="T92" si="439">S92/1000</f>
        <v>-97.325302471458372</v>
      </c>
    </row>
    <row r="93" spans="1:20" x14ac:dyDescent="0.25">
      <c r="A93" s="5">
        <v>44500</v>
      </c>
      <c r="B93">
        <v>3.4729999999999997E-2</v>
      </c>
      <c r="C93">
        <v>3.5249999999999997E-2</v>
      </c>
      <c r="D93">
        <v>3.3259999999999998E-2</v>
      </c>
      <c r="E93">
        <v>3.4619999999999998E-2</v>
      </c>
      <c r="F93">
        <v>56766947</v>
      </c>
      <c r="G93">
        <v>3.4619999999999998E-2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0.36683417085427233</v>
      </c>
      <c r="Q93">
        <f t="shared" ref="Q93" si="441">F93*P93</f>
        <v>20824055.934673421</v>
      </c>
      <c r="R93">
        <f t="shared" ref="R93" si="442">R94+Q93</f>
        <v>-9702220638.1590538</v>
      </c>
      <c r="S93">
        <f t="shared" ref="S93" si="443">R93/100000</f>
        <v>-97022.206381590542</v>
      </c>
      <c r="T93">
        <f t="shared" ref="T93" si="444">S93/1000</f>
        <v>-97.022206381590536</v>
      </c>
    </row>
    <row r="94" spans="1:20" x14ac:dyDescent="0.25">
      <c r="A94" s="5">
        <v>44499</v>
      </c>
      <c r="B94">
        <v>3.381E-2</v>
      </c>
      <c r="C94">
        <v>3.5499999999999997E-2</v>
      </c>
      <c r="D94">
        <v>3.279E-2</v>
      </c>
      <c r="E94">
        <v>3.4660000000000003E-2</v>
      </c>
      <c r="F94">
        <v>54568254</v>
      </c>
      <c r="G94">
        <v>3.4660000000000003E-2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0.3800738007380115</v>
      </c>
      <c r="Q94">
        <f t="shared" ref="Q94" si="446">F94*P94</f>
        <v>20739963.6974172</v>
      </c>
      <c r="R94">
        <f t="shared" ref="R94" si="447">R95+Q94</f>
        <v>-9723044694.0937271</v>
      </c>
      <c r="S94">
        <f t="shared" ref="S94" si="448">R94/100000</f>
        <v>-97230.446940937269</v>
      </c>
      <c r="T94">
        <f t="shared" ref="T94" si="449">S94/1000</f>
        <v>-97.23044694093727</v>
      </c>
    </row>
    <row r="95" spans="1:20" x14ac:dyDescent="0.25">
      <c r="A95" s="5">
        <v>44498</v>
      </c>
      <c r="B95">
        <v>3.2230000000000002E-2</v>
      </c>
      <c r="C95">
        <v>3.542E-2</v>
      </c>
      <c r="D95">
        <v>3.1669999999999997E-2</v>
      </c>
      <c r="E95">
        <v>3.3770000000000001E-2</v>
      </c>
      <c r="F95">
        <v>58336441</v>
      </c>
      <c r="G95">
        <v>3.3770000000000001E-2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0.12000000000000148</v>
      </c>
      <c r="Q95">
        <f t="shared" ref="Q95" si="451">F95*P95</f>
        <v>7000372.9200000865</v>
      </c>
      <c r="R95">
        <f t="shared" ref="R95" si="452">R96+Q95</f>
        <v>-9743784657.7911434</v>
      </c>
      <c r="S95">
        <f t="shared" ref="S95" si="453">R95/100000</f>
        <v>-97437.846577911434</v>
      </c>
      <c r="T95">
        <f t="shared" ref="T95" si="454">S95/1000</f>
        <v>-97.437846577911429</v>
      </c>
    </row>
    <row r="96" spans="1:20" x14ac:dyDescent="0.25">
      <c r="A96" s="5">
        <v>44497</v>
      </c>
      <c r="B96">
        <v>3.022E-2</v>
      </c>
      <c r="C96">
        <v>3.5000000000000003E-2</v>
      </c>
      <c r="D96">
        <v>2.9669999999999998E-2</v>
      </c>
      <c r="E96">
        <v>3.2099999999999997E-2</v>
      </c>
      <c r="F96">
        <v>50031604</v>
      </c>
      <c r="G96">
        <v>3.2099999999999997E-2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-8.8180112570358002E-2</v>
      </c>
      <c r="Q96">
        <f t="shared" ref="Q96" si="456">F96*P96</f>
        <v>-4411792.472795574</v>
      </c>
      <c r="R96">
        <f t="shared" ref="R96" si="457">R97+Q96</f>
        <v>-9750785030.7111435</v>
      </c>
      <c r="S96">
        <f t="shared" ref="S96" si="458">R96/100000</f>
        <v>-97507.850307111439</v>
      </c>
      <c r="T96">
        <f t="shared" ref="T96" si="459">S96/1000</f>
        <v>-97.50785030711144</v>
      </c>
    </row>
    <row r="97" spans="1:20" x14ac:dyDescent="0.25">
      <c r="A97" s="5">
        <v>44496</v>
      </c>
      <c r="B97">
        <v>3.4669999999999999E-2</v>
      </c>
      <c r="C97">
        <v>3.5049999999999998E-2</v>
      </c>
      <c r="D97">
        <v>3.023E-2</v>
      </c>
      <c r="E97">
        <v>3.023E-2</v>
      </c>
      <c r="F97">
        <v>54302224</v>
      </c>
      <c r="G97">
        <v>3.023E-2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-1</v>
      </c>
      <c r="Q97">
        <f t="shared" ref="Q97" si="461">F97*P97</f>
        <v>-54302224</v>
      </c>
      <c r="R97">
        <f t="shared" ref="R97" si="462">R98+Q97</f>
        <v>-9746373238.238348</v>
      </c>
      <c r="S97">
        <f t="shared" ref="S97" si="463">R97/100000</f>
        <v>-97463.732382383474</v>
      </c>
      <c r="T97">
        <f t="shared" ref="T97" si="464">S97/1000</f>
        <v>-97.463732382383469</v>
      </c>
    </row>
    <row r="98" spans="1:20" x14ac:dyDescent="0.25">
      <c r="A98" s="5">
        <v>44495</v>
      </c>
      <c r="B98">
        <v>3.5029999999999999E-2</v>
      </c>
      <c r="C98">
        <v>3.6490000000000002E-2</v>
      </c>
      <c r="D98">
        <v>3.4479999999999997E-2</v>
      </c>
      <c r="E98">
        <v>3.4689999999999999E-2</v>
      </c>
      <c r="F98">
        <v>58053507</v>
      </c>
      <c r="G98">
        <v>3.4689999999999999E-2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-0.7910447761194016</v>
      </c>
      <c r="Q98">
        <f t="shared" ref="Q98" si="466">F98*P98</f>
        <v>-45922923.447761111</v>
      </c>
      <c r="R98">
        <f t="shared" ref="R98" si="467">R99+Q98</f>
        <v>-9692071014.238348</v>
      </c>
      <c r="S98">
        <f t="shared" ref="S98" si="468">R98/100000</f>
        <v>-96920.710142383483</v>
      </c>
      <c r="T98">
        <f t="shared" ref="T98" si="469">S98/1000</f>
        <v>-96.920710142383484</v>
      </c>
    </row>
    <row r="99" spans="1:20" x14ac:dyDescent="0.25">
      <c r="A99" s="5">
        <v>44494</v>
      </c>
      <c r="B99">
        <v>3.4639999999999997E-2</v>
      </c>
      <c r="C99">
        <v>3.5549999999999998E-2</v>
      </c>
      <c r="D99">
        <v>3.449E-2</v>
      </c>
      <c r="E99">
        <v>3.5029999999999999E-2</v>
      </c>
      <c r="F99">
        <v>40151829</v>
      </c>
      <c r="G99">
        <v>3.5029999999999999E-2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1.8867924528301147E-2</v>
      </c>
      <c r="Q99">
        <f t="shared" ref="Q99" si="471">F99*P99</f>
        <v>757581.67924525333</v>
      </c>
      <c r="R99">
        <f t="shared" ref="R99" si="472">R100+Q99</f>
        <v>-9646148090.7905865</v>
      </c>
      <c r="S99">
        <f t="shared" ref="S99" si="473">R99/100000</f>
        <v>-96461.480907905861</v>
      </c>
      <c r="T99">
        <f t="shared" ref="T99" si="474">S99/1000</f>
        <v>-96.461480907905866</v>
      </c>
    </row>
    <row r="100" spans="1:20" x14ac:dyDescent="0.25">
      <c r="A100" s="5">
        <v>44493</v>
      </c>
      <c r="B100">
        <v>3.5790000000000002E-2</v>
      </c>
      <c r="C100">
        <v>3.669E-2</v>
      </c>
      <c r="D100">
        <v>3.4290000000000001E-2</v>
      </c>
      <c r="E100">
        <v>3.4639999999999997E-2</v>
      </c>
      <c r="F100">
        <v>45422591</v>
      </c>
      <c r="G100">
        <v>3.4639999999999997E-2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-0.70833333333333648</v>
      </c>
      <c r="Q100">
        <f t="shared" ref="Q100" si="476">F100*P100</f>
        <v>-32174335.291666809</v>
      </c>
      <c r="R100">
        <f t="shared" ref="R100" si="477">R101+Q100</f>
        <v>-9646905672.4698315</v>
      </c>
      <c r="S100">
        <f t="shared" ref="S100" si="478">R100/100000</f>
        <v>-96469.056724698312</v>
      </c>
      <c r="T100">
        <f t="shared" ref="T100" si="479">S100/1000</f>
        <v>-96.469056724698305</v>
      </c>
    </row>
    <row r="101" spans="1:20" x14ac:dyDescent="0.25">
      <c r="A101" s="5">
        <v>44492</v>
      </c>
      <c r="B101">
        <v>3.4200000000000001E-2</v>
      </c>
      <c r="C101">
        <v>3.6979999999999999E-2</v>
      </c>
      <c r="D101">
        <v>3.3950000000000001E-2</v>
      </c>
      <c r="E101">
        <v>3.5790000000000002E-2</v>
      </c>
      <c r="F101">
        <v>56970277</v>
      </c>
      <c r="G101">
        <v>3.5790000000000002E-2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0.21452145214521623</v>
      </c>
      <c r="Q101">
        <f t="shared" ref="Q101" si="481">F101*P101</f>
        <v>12221346.551155213</v>
      </c>
      <c r="R101">
        <f t="shared" ref="R101" si="482">R102+Q101</f>
        <v>-9614731337.1781654</v>
      </c>
      <c r="S101">
        <f t="shared" ref="S101" si="483">R101/100000</f>
        <v>-96147.313371781653</v>
      </c>
      <c r="T101">
        <f t="shared" ref="T101" si="484">S101/1000</f>
        <v>-96.147313371781649</v>
      </c>
    </row>
    <row r="102" spans="1:20" x14ac:dyDescent="0.25">
      <c r="A102" s="5">
        <v>44491</v>
      </c>
      <c r="B102">
        <v>3.4509999999999999E-2</v>
      </c>
      <c r="C102">
        <v>3.5990000000000001E-2</v>
      </c>
      <c r="D102">
        <v>3.3660000000000002E-2</v>
      </c>
      <c r="E102">
        <v>3.424E-2</v>
      </c>
      <c r="F102">
        <v>47743623</v>
      </c>
      <c r="G102">
        <v>3.424E-2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-0.50214592274678327</v>
      </c>
      <c r="Q102">
        <f t="shared" ref="Q102" si="486">F102*P102</f>
        <v>-23974265.626609545</v>
      </c>
      <c r="R102">
        <f t="shared" ref="R102" si="487">R103+Q102</f>
        <v>-9626952683.7293205</v>
      </c>
      <c r="S102">
        <f t="shared" ref="S102" si="488">R102/100000</f>
        <v>-96269.526837293204</v>
      </c>
      <c r="T102">
        <f t="shared" ref="T102" si="489">S102/1000</f>
        <v>-96.269526837293199</v>
      </c>
    </row>
    <row r="103" spans="1:20" x14ac:dyDescent="0.25">
      <c r="A103" s="5">
        <v>44490</v>
      </c>
      <c r="B103">
        <v>3.5770000000000003E-2</v>
      </c>
      <c r="C103">
        <v>3.789E-2</v>
      </c>
      <c r="D103">
        <v>3.431E-2</v>
      </c>
      <c r="E103">
        <v>3.4520000000000002E-2</v>
      </c>
      <c r="F103">
        <v>94263804</v>
      </c>
      <c r="G103">
        <v>3.4520000000000002E-2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-0.88268156424580901</v>
      </c>
      <c r="Q103">
        <f t="shared" ref="Q103" si="491">F103*P103</f>
        <v>-83204921.966480345</v>
      </c>
      <c r="R103">
        <f t="shared" ref="R103" si="492">R104+Q103</f>
        <v>-9602978418.1027107</v>
      </c>
      <c r="S103">
        <f t="shared" ref="S103" si="493">R103/100000</f>
        <v>-96029.784181027106</v>
      </c>
      <c r="T103">
        <f t="shared" ref="T103" si="494">S103/1000</f>
        <v>-96.029784181027111</v>
      </c>
    </row>
    <row r="104" spans="1:20" x14ac:dyDescent="0.25">
      <c r="A104" s="5">
        <v>44489</v>
      </c>
      <c r="B104">
        <v>3.5709999999999999E-2</v>
      </c>
      <c r="C104">
        <v>3.6179999999999997E-2</v>
      </c>
      <c r="D104">
        <v>3.483E-2</v>
      </c>
      <c r="E104">
        <v>3.5779999999999999E-2</v>
      </c>
      <c r="F104">
        <v>72425206</v>
      </c>
      <c r="G104">
        <v>3.5779999999999999E-2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0.40740740740740972</v>
      </c>
      <c r="Q104">
        <f t="shared" ref="Q104" si="496">F104*P104</f>
        <v>29506565.407407574</v>
      </c>
      <c r="R104">
        <f t="shared" ref="R104" si="497">R105+Q104</f>
        <v>-9519773496.1362305</v>
      </c>
      <c r="S104">
        <f t="shared" ref="S104" si="498">R104/100000</f>
        <v>-95197.734961362308</v>
      </c>
      <c r="T104">
        <f t="shared" ref="T104" si="499">S104/1000</f>
        <v>-95.197734961362315</v>
      </c>
    </row>
    <row r="105" spans="1:20" x14ac:dyDescent="0.25">
      <c r="A105" s="5">
        <v>44488</v>
      </c>
      <c r="B105">
        <v>3.4569999999999997E-2</v>
      </c>
      <c r="C105">
        <v>3.7999999999999999E-2</v>
      </c>
      <c r="D105">
        <v>3.4320000000000003E-2</v>
      </c>
      <c r="E105">
        <v>3.567E-2</v>
      </c>
      <c r="F105">
        <v>125130699</v>
      </c>
      <c r="G105">
        <v>3.567E-2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-0.26630434782608775</v>
      </c>
      <c r="Q105">
        <f t="shared" ref="Q105" si="501">F105*P105</f>
        <v>-33322849.190217491</v>
      </c>
      <c r="R105">
        <f t="shared" ref="R105" si="502">R106+Q105</f>
        <v>-9549280061.5436382</v>
      </c>
      <c r="S105">
        <f t="shared" ref="S105" si="503">R105/100000</f>
        <v>-95492.800615436383</v>
      </c>
      <c r="T105">
        <f t="shared" ref="T105" si="504">S105/1000</f>
        <v>-95.49280061543638</v>
      </c>
    </row>
    <row r="106" spans="1:20" x14ac:dyDescent="0.25">
      <c r="A106" s="5">
        <v>44487</v>
      </c>
      <c r="B106">
        <v>3.6060000000000002E-2</v>
      </c>
      <c r="C106">
        <v>3.7999999999999999E-2</v>
      </c>
      <c r="D106">
        <v>3.3890000000000003E-2</v>
      </c>
      <c r="E106">
        <v>3.4520000000000002E-2</v>
      </c>
      <c r="F106">
        <v>91658266</v>
      </c>
      <c r="G106">
        <v>3.4520000000000002E-2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-0.69343065693430694</v>
      </c>
      <c r="Q106">
        <f t="shared" ref="Q106" si="506">F106*P106</f>
        <v>-63558651.605839454</v>
      </c>
      <c r="R106">
        <f t="shared" ref="R106" si="507">R107+Q106</f>
        <v>-9515957212.3534203</v>
      </c>
      <c r="S106">
        <f t="shared" ref="S106" si="508">R106/100000</f>
        <v>-95159.572123534206</v>
      </c>
      <c r="T106">
        <f t="shared" ref="T106" si="509">S106/1000</f>
        <v>-95.159572123534204</v>
      </c>
    </row>
    <row r="107" spans="1:20" x14ac:dyDescent="0.25">
      <c r="A107" s="5">
        <v>44486</v>
      </c>
      <c r="B107">
        <v>3.5180000000000003E-2</v>
      </c>
      <c r="C107">
        <v>3.8809999999999997E-2</v>
      </c>
      <c r="D107">
        <v>3.4270000000000002E-2</v>
      </c>
      <c r="E107">
        <v>3.6409999999999998E-2</v>
      </c>
      <c r="F107">
        <v>333287869</v>
      </c>
      <c r="G107">
        <v>3.6409999999999998E-2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-5.7268722466961131E-2</v>
      </c>
      <c r="Q107">
        <f t="shared" ref="Q107" si="511">F107*P107</f>
        <v>-19086970.471365899</v>
      </c>
      <c r="R107">
        <f t="shared" ref="R107" si="512">R108+Q107</f>
        <v>-9452398560.7475815</v>
      </c>
      <c r="S107">
        <f t="shared" ref="S107" si="513">R107/100000</f>
        <v>-94523.985607475814</v>
      </c>
      <c r="T107">
        <f t="shared" ref="T107" si="514">S107/1000</f>
        <v>-94.523985607475808</v>
      </c>
    </row>
    <row r="108" spans="1:20" x14ac:dyDescent="0.25">
      <c r="A108" s="5">
        <v>44485</v>
      </c>
      <c r="B108">
        <v>3.1829999999999997E-2</v>
      </c>
      <c r="C108">
        <v>4.5499999999999999E-2</v>
      </c>
      <c r="D108">
        <v>3.1280000000000002E-2</v>
      </c>
      <c r="E108">
        <v>3.5180000000000003E-2</v>
      </c>
      <c r="F108">
        <v>1012766666</v>
      </c>
      <c r="G108">
        <v>3.5180000000000003E-2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-0.45147679324894491</v>
      </c>
      <c r="Q108">
        <f t="shared" ref="Q108" si="516">F108*P108</f>
        <v>-457240646.67510521</v>
      </c>
      <c r="R108">
        <f t="shared" ref="R108" si="517">R109+Q108</f>
        <v>-9433311590.2762165</v>
      </c>
      <c r="S108">
        <f t="shared" ref="S108" si="518">R108/100000</f>
        <v>-94333.115902762162</v>
      </c>
      <c r="T108">
        <f t="shared" ref="T108" si="519">S108/1000</f>
        <v>-94.33311590276216</v>
      </c>
    </row>
    <row r="109" spans="1:20" x14ac:dyDescent="0.25">
      <c r="A109" s="5">
        <v>44484</v>
      </c>
      <c r="B109">
        <v>3.2289999999999999E-2</v>
      </c>
      <c r="C109">
        <v>3.2870000000000003E-2</v>
      </c>
      <c r="D109">
        <v>3.015E-2</v>
      </c>
      <c r="E109">
        <v>3.1829999999999997E-2</v>
      </c>
      <c r="F109">
        <v>105190433</v>
      </c>
      <c r="G109">
        <v>3.1829999999999997E-2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0.2352941176470553</v>
      </c>
      <c r="Q109">
        <f t="shared" ref="Q109" si="521">F109*P109</f>
        <v>24750690.117646687</v>
      </c>
      <c r="R109">
        <f t="shared" ref="R109" si="522">R110+Q109</f>
        <v>-8976070943.6011105</v>
      </c>
      <c r="S109">
        <f t="shared" ref="S109" si="523">R109/100000</f>
        <v>-89760.709436011108</v>
      </c>
      <c r="T109">
        <f t="shared" ref="T109" si="524">S109/1000</f>
        <v>-89.760709436011112</v>
      </c>
    </row>
    <row r="110" spans="1:20" x14ac:dyDescent="0.25">
      <c r="A110" s="5">
        <v>44483</v>
      </c>
      <c r="B110">
        <v>3.2280000000000003E-2</v>
      </c>
      <c r="C110">
        <v>3.3649999999999999E-2</v>
      </c>
      <c r="D110">
        <v>3.1480000000000001E-2</v>
      </c>
      <c r="E110">
        <v>3.2190000000000003E-2</v>
      </c>
      <c r="F110">
        <v>153488139</v>
      </c>
      <c r="G110">
        <v>3.2190000000000003E-2</v>
      </c>
      <c r="L110" t="s">
        <v>7</v>
      </c>
      <c r="M110" t="s">
        <v>8</v>
      </c>
      <c r="N110" t="s">
        <v>8</v>
      </c>
      <c r="P110">
        <f t="shared" ref="P110" si="525">IF(C110=D110,0,((E110-D110)-(C110-E110))/(C110-D110))</f>
        <v>-0.3456221198156656</v>
      </c>
      <c r="Q110">
        <f t="shared" ref="Q110" si="526">F110*P110</f>
        <v>-53048895.967741534</v>
      </c>
      <c r="R110">
        <f t="shared" ref="R110" si="527">R111+Q110</f>
        <v>-9000821633.7187576</v>
      </c>
      <c r="S110">
        <f t="shared" ref="S110" si="528">R110/100000</f>
        <v>-90008.216337187579</v>
      </c>
      <c r="T110">
        <f t="shared" ref="T110" si="529">S110/1000</f>
        <v>-90.008216337187577</v>
      </c>
    </row>
    <row r="111" spans="1:20" x14ac:dyDescent="0.25">
      <c r="A111" s="5">
        <v>44482</v>
      </c>
      <c r="B111">
        <v>2.8680000000000001E-2</v>
      </c>
      <c r="C111">
        <v>3.6499999999999998E-2</v>
      </c>
      <c r="D111">
        <v>2.86E-2</v>
      </c>
      <c r="E111">
        <v>3.2300000000000002E-2</v>
      </c>
      <c r="F111">
        <v>403252648</v>
      </c>
      <c r="G111">
        <v>3.2300000000000002E-2</v>
      </c>
      <c r="L111" t="s">
        <v>8</v>
      </c>
      <c r="M111" t="s">
        <v>8</v>
      </c>
      <c r="N111" t="s">
        <v>8</v>
      </c>
      <c r="P111">
        <f t="shared" ref="P111" si="530">IF(C111=D111,0,((E111-D111)-(C111-E111))/(C111-D111))</f>
        <v>-6.3291139240505528E-2</v>
      </c>
      <c r="Q111">
        <f t="shared" ref="Q111" si="531">F111*P111</f>
        <v>-25522319.493670564</v>
      </c>
      <c r="R111">
        <f t="shared" ref="R111" si="532">R112+Q111</f>
        <v>-8947772737.7510166</v>
      </c>
      <c r="S111">
        <f t="shared" ref="S111" si="533">R111/100000</f>
        <v>-89477.727377510164</v>
      </c>
      <c r="T111">
        <f t="shared" ref="T111" si="534">S111/1000</f>
        <v>-89.477727377510163</v>
      </c>
    </row>
    <row r="112" spans="1:20" x14ac:dyDescent="0.25">
      <c r="A112" s="5">
        <v>44481</v>
      </c>
      <c r="B112">
        <v>2.887E-2</v>
      </c>
      <c r="C112">
        <v>2.903E-2</v>
      </c>
      <c r="D112">
        <v>2.7050000000000001E-2</v>
      </c>
      <c r="E112">
        <v>2.8670000000000001E-2</v>
      </c>
      <c r="F112">
        <v>41260536</v>
      </c>
      <c r="G112">
        <v>2.8670000000000001E-2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0.63636363636363702</v>
      </c>
      <c r="Q112">
        <f t="shared" ref="Q112" si="536">F112*P112</f>
        <v>26256704.727272753</v>
      </c>
      <c r="R112">
        <f t="shared" ref="R112" si="537">R113+Q112</f>
        <v>-8922250418.2573452</v>
      </c>
      <c r="S112">
        <f t="shared" ref="S112" si="538">R112/100000</f>
        <v>-89222.504182573452</v>
      </c>
      <c r="T112">
        <f t="shared" ref="T112" si="539">S112/1000</f>
        <v>-89.222504182573445</v>
      </c>
    </row>
    <row r="113" spans="1:20" x14ac:dyDescent="0.25">
      <c r="A113" s="5">
        <v>44480</v>
      </c>
      <c r="B113">
        <v>3.005E-2</v>
      </c>
      <c r="C113">
        <v>3.0689999999999999E-2</v>
      </c>
      <c r="D113">
        <v>2.8049999999999999E-2</v>
      </c>
      <c r="E113">
        <v>2.8899999999999999E-2</v>
      </c>
      <c r="F113">
        <v>78460342</v>
      </c>
      <c r="G113">
        <v>2.8899999999999999E-2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-0.35606060606060602</v>
      </c>
      <c r="Q113">
        <f t="shared" ref="Q113" si="541">F113*P113</f>
        <v>-27936636.924242422</v>
      </c>
      <c r="R113">
        <f t="shared" ref="R113" si="542">R114+Q113</f>
        <v>-8948507122.9846172</v>
      </c>
      <c r="S113">
        <f t="shared" ref="S113" si="543">R113/100000</f>
        <v>-89485.071229846173</v>
      </c>
      <c r="T113">
        <f t="shared" ref="T113" si="544">S113/1000</f>
        <v>-89.48507122984617</v>
      </c>
    </row>
    <row r="114" spans="1:20" x14ac:dyDescent="0.25">
      <c r="A114" s="5">
        <v>44479</v>
      </c>
      <c r="B114">
        <v>3.354E-2</v>
      </c>
      <c r="C114">
        <v>3.499E-2</v>
      </c>
      <c r="D114">
        <v>2.9919999999999999E-2</v>
      </c>
      <c r="E114">
        <v>3.0159999999999999E-2</v>
      </c>
      <c r="F114">
        <v>96802730</v>
      </c>
      <c r="G114">
        <v>3.0159999999999999E-2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-0.90532544378698199</v>
      </c>
      <c r="Q114">
        <f t="shared" ref="Q114" si="546">F114*P114</f>
        <v>-87637974.497041389</v>
      </c>
      <c r="R114">
        <f t="shared" ref="R114" si="547">R115+Q114</f>
        <v>-8920570486.0603752</v>
      </c>
      <c r="S114">
        <f t="shared" ref="S114" si="548">R114/100000</f>
        <v>-89205.704860603757</v>
      </c>
      <c r="T114">
        <f t="shared" ref="T114" si="549">S114/1000</f>
        <v>-89.20570486060376</v>
      </c>
    </row>
    <row r="115" spans="1:20" x14ac:dyDescent="0.25">
      <c r="A115" s="5">
        <v>44478</v>
      </c>
      <c r="B115">
        <v>3.0800000000000001E-2</v>
      </c>
      <c r="C115">
        <v>3.4799999999999998E-2</v>
      </c>
      <c r="D115">
        <v>3.057E-2</v>
      </c>
      <c r="E115">
        <v>3.3480000000000003E-2</v>
      </c>
      <c r="F115">
        <v>153720830</v>
      </c>
      <c r="G115">
        <v>3.3480000000000003E-2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0.37588652482269713</v>
      </c>
      <c r="Q115">
        <f t="shared" ref="Q115" si="551">F115*P115</f>
        <v>57781588.581560604</v>
      </c>
      <c r="R115">
        <f t="shared" ref="R115" si="552">R116+Q115</f>
        <v>-8832932511.5633335</v>
      </c>
      <c r="S115">
        <f t="shared" ref="S115" si="553">R115/100000</f>
        <v>-88329.325115633328</v>
      </c>
      <c r="T115">
        <f t="shared" ref="T115" si="554">S115/1000</f>
        <v>-88.329325115633324</v>
      </c>
    </row>
    <row r="116" spans="1:20" x14ac:dyDescent="0.25">
      <c r="A116" s="5">
        <v>44477</v>
      </c>
      <c r="B116">
        <v>2.9520000000000001E-2</v>
      </c>
      <c r="C116">
        <v>3.3000000000000002E-2</v>
      </c>
      <c r="D116">
        <v>2.93E-2</v>
      </c>
      <c r="E116">
        <v>3.0790000000000001E-2</v>
      </c>
      <c r="F116">
        <v>81981835</v>
      </c>
      <c r="G116">
        <v>3.0790000000000001E-2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-0.19459459459459408</v>
      </c>
      <c r="Q116">
        <f t="shared" ref="Q116" si="556">F116*P116</f>
        <v>-15953221.945945904</v>
      </c>
      <c r="R116">
        <f t="shared" ref="R116" si="557">R117+Q116</f>
        <v>-8890714100.1448936</v>
      </c>
      <c r="S116">
        <f t="shared" ref="S116" si="558">R116/100000</f>
        <v>-88907.141001448937</v>
      </c>
      <c r="T116">
        <f t="shared" ref="T116" si="559">S116/1000</f>
        <v>-88.907141001448935</v>
      </c>
    </row>
    <row r="117" spans="1:20" x14ac:dyDescent="0.25">
      <c r="A117" s="5">
        <v>44476</v>
      </c>
      <c r="B117">
        <v>3.0300000000000001E-2</v>
      </c>
      <c r="C117">
        <v>3.2960000000000003E-2</v>
      </c>
      <c r="D117">
        <v>2.9000000000000001E-2</v>
      </c>
      <c r="E117">
        <v>2.9510000000000002E-2</v>
      </c>
      <c r="F117">
        <v>74110689</v>
      </c>
      <c r="G117">
        <v>2.9510000000000002E-2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-0.74242424242424254</v>
      </c>
      <c r="Q117">
        <f t="shared" ref="Q117" si="561">F117*P117</f>
        <v>-55021572.136363648</v>
      </c>
      <c r="R117">
        <f t="shared" ref="R117" si="562">R118+Q117</f>
        <v>-8874760878.1989479</v>
      </c>
      <c r="S117">
        <f t="shared" ref="S117" si="563">R117/100000</f>
        <v>-88747.608781989475</v>
      </c>
      <c r="T117">
        <f t="shared" ref="T117" si="564">S117/1000</f>
        <v>-88.74760878198947</v>
      </c>
    </row>
    <row r="118" spans="1:20" x14ac:dyDescent="0.25">
      <c r="A118" s="5">
        <v>44475</v>
      </c>
      <c r="B118">
        <v>3.0540000000000001E-2</v>
      </c>
      <c r="C118">
        <v>3.0980000000000001E-2</v>
      </c>
      <c r="D118">
        <v>2.724E-2</v>
      </c>
      <c r="E118">
        <v>3.0280000000000001E-2</v>
      </c>
      <c r="F118">
        <v>135905371</v>
      </c>
      <c r="G118">
        <v>3.0280000000000001E-2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0.62566844919786135</v>
      </c>
      <c r="Q118">
        <f t="shared" ref="Q118" si="566">F118*P118</f>
        <v>85031702.711229995</v>
      </c>
      <c r="R118">
        <f t="shared" ref="R118" si="567">R119+Q118</f>
        <v>-8819739306.0625839</v>
      </c>
      <c r="S118">
        <f t="shared" ref="S118" si="568">R118/100000</f>
        <v>-88197.393060625836</v>
      </c>
      <c r="T118">
        <f t="shared" ref="T118" si="569">S118/1000</f>
        <v>-88.197393060625842</v>
      </c>
    </row>
    <row r="119" spans="1:20" x14ac:dyDescent="0.25">
      <c r="A119" s="5">
        <v>44474</v>
      </c>
      <c r="B119">
        <v>2.9010000000000001E-2</v>
      </c>
      <c r="C119">
        <v>3.116E-2</v>
      </c>
      <c r="D119">
        <v>2.87E-2</v>
      </c>
      <c r="E119">
        <v>3.0519999999999999E-2</v>
      </c>
      <c r="F119">
        <v>73728682</v>
      </c>
      <c r="G119">
        <v>3.0519999999999999E-2</v>
      </c>
      <c r="L119" t="s">
        <v>8</v>
      </c>
      <c r="M119" t="s">
        <v>7</v>
      </c>
      <c r="N119" t="s">
        <v>8</v>
      </c>
      <c r="P119">
        <f t="shared" ref="P119" si="570">IF(C119=D119,0,((E119-D119)-(C119-E119))/(C119-D119))</f>
        <v>0.4796747967479662</v>
      </c>
      <c r="Q119">
        <f t="shared" ref="Q119" si="571">F119*P119</f>
        <v>35365790.552845433</v>
      </c>
      <c r="R119">
        <f t="shared" ref="R119" si="572">R120+Q119</f>
        <v>-8904771008.7738132</v>
      </c>
      <c r="S119">
        <f t="shared" ref="S119" si="573">R119/100000</f>
        <v>-89047.710087738131</v>
      </c>
      <c r="T119">
        <f t="shared" ref="T119" si="574">S119/1000</f>
        <v>-89.047710087738125</v>
      </c>
    </row>
    <row r="120" spans="1:20" x14ac:dyDescent="0.25">
      <c r="A120" s="5">
        <v>44473</v>
      </c>
      <c r="B120">
        <v>2.962E-2</v>
      </c>
      <c r="C120">
        <v>2.9649999999999999E-2</v>
      </c>
      <c r="D120">
        <v>2.8209999999999999E-2</v>
      </c>
      <c r="E120">
        <v>2.9159999999999998E-2</v>
      </c>
      <c r="F120">
        <v>73771086</v>
      </c>
      <c r="G120">
        <v>2.9159999999999998E-2</v>
      </c>
      <c r="L120" t="s">
        <v>7</v>
      </c>
      <c r="M120" t="s">
        <v>7</v>
      </c>
      <c r="N120" t="s">
        <v>8</v>
      </c>
      <c r="P120">
        <f t="shared" ref="P120" si="575">IF(C120=D120,0,((E120-D120)-(C120-E120))/(C120-D120))</f>
        <v>0.31944444444444342</v>
      </c>
      <c r="Q120">
        <f t="shared" ref="Q120" si="576">F120*P120</f>
        <v>23565763.583333258</v>
      </c>
      <c r="R120">
        <f t="shared" ref="R120" si="577">R121+Q120</f>
        <v>-8940136799.3266582</v>
      </c>
      <c r="S120">
        <f t="shared" ref="S120" si="578">R120/100000</f>
        <v>-89401.367993266584</v>
      </c>
      <c r="T120">
        <f t="shared" ref="T120" si="579">S120/1000</f>
        <v>-89.401367993266589</v>
      </c>
    </row>
    <row r="121" spans="1:20" x14ac:dyDescent="0.25">
      <c r="A121" s="5">
        <v>44472</v>
      </c>
      <c r="B121">
        <v>3.0689999999999999E-2</v>
      </c>
      <c r="C121">
        <v>3.3000000000000002E-2</v>
      </c>
      <c r="D121">
        <v>2.895E-2</v>
      </c>
      <c r="E121">
        <v>2.9399999999999999E-2</v>
      </c>
      <c r="F121">
        <v>162242691</v>
      </c>
      <c r="G121">
        <v>2.9399999999999999E-2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-0.77777777777777835</v>
      </c>
      <c r="Q121">
        <f t="shared" ref="Q121" si="581">F121*P121</f>
        <v>-126188759.66666676</v>
      </c>
      <c r="R121">
        <f t="shared" ref="R121" si="582">R122+Q121</f>
        <v>-8963702562.9099922</v>
      </c>
      <c r="S121">
        <f t="shared" ref="S121" si="583">R121/100000</f>
        <v>-89637.025629099924</v>
      </c>
      <c r="T121">
        <f t="shared" ref="T121" si="584">S121/1000</f>
        <v>-89.637025629099924</v>
      </c>
    </row>
    <row r="122" spans="1:20" x14ac:dyDescent="0.25">
      <c r="A122" s="5">
        <v>44471</v>
      </c>
      <c r="B122">
        <v>2.708E-2</v>
      </c>
      <c r="C122">
        <v>3.184E-2</v>
      </c>
      <c r="D122">
        <v>2.6530000000000001E-2</v>
      </c>
      <c r="E122">
        <v>3.0800000000000001E-2</v>
      </c>
      <c r="F122">
        <v>101334288</v>
      </c>
      <c r="G122">
        <v>3.0800000000000001E-2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0.60828625235404921</v>
      </c>
      <c r="Q122">
        <f t="shared" ref="Q122" si="586">F122*P122</f>
        <v>61640254.282485902</v>
      </c>
      <c r="R122">
        <f t="shared" ref="R122" si="587">R123+Q122</f>
        <v>-8837513803.2433262</v>
      </c>
      <c r="S122">
        <f t="shared" ref="S122" si="588">R122/100000</f>
        <v>-88375.138032433257</v>
      </c>
      <c r="T122">
        <f t="shared" ref="T122" si="589">S122/1000</f>
        <v>-88.375138032433256</v>
      </c>
    </row>
    <row r="123" spans="1:20" x14ac:dyDescent="0.25">
      <c r="A123" s="5">
        <v>44470</v>
      </c>
      <c r="B123">
        <v>2.513E-2</v>
      </c>
      <c r="C123">
        <v>2.8000000000000001E-2</v>
      </c>
      <c r="D123">
        <v>2.4760000000000001E-2</v>
      </c>
      <c r="E123">
        <v>2.7099999999999999E-2</v>
      </c>
      <c r="F123">
        <v>63398813</v>
      </c>
      <c r="G123">
        <v>2.7099999999999999E-2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0.44444444444444348</v>
      </c>
      <c r="Q123">
        <f t="shared" ref="Q123" si="591">F123*P123</f>
        <v>28177250.222222161</v>
      </c>
      <c r="R123">
        <f t="shared" ref="R123" si="592">R124+Q123</f>
        <v>-8899154057.5258121</v>
      </c>
      <c r="S123">
        <f t="shared" ref="S123" si="593">R123/100000</f>
        <v>-88991.540575258128</v>
      </c>
      <c r="T123">
        <f t="shared" ref="T123" si="594">S123/1000</f>
        <v>-88.991540575258128</v>
      </c>
    </row>
    <row r="124" spans="1:20" x14ac:dyDescent="0.25">
      <c r="A124" s="5">
        <v>44469</v>
      </c>
      <c r="B124">
        <v>2.3769999999999999E-2</v>
      </c>
      <c r="C124">
        <v>2.5590000000000002E-2</v>
      </c>
      <c r="D124">
        <v>2.3650000000000001E-2</v>
      </c>
      <c r="E124">
        <v>2.5020000000000001E-2</v>
      </c>
      <c r="F124">
        <v>43041742</v>
      </c>
      <c r="G124">
        <v>2.5020000000000001E-2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0.4123711340206177</v>
      </c>
      <c r="Q124">
        <f t="shared" ref="Q124" si="596">F124*P124</f>
        <v>17749171.958762851</v>
      </c>
      <c r="R124">
        <f t="shared" ref="R124" si="597">R125+Q124</f>
        <v>-8927331307.7480335</v>
      </c>
      <c r="S124">
        <f t="shared" ref="S124" si="598">R124/100000</f>
        <v>-89273.313077480329</v>
      </c>
      <c r="T124">
        <f t="shared" ref="T124" si="599">S124/1000</f>
        <v>-89.273313077480324</v>
      </c>
    </row>
    <row r="125" spans="1:20" x14ac:dyDescent="0.25">
      <c r="A125" s="5">
        <v>44468</v>
      </c>
      <c r="B125">
        <v>2.4E-2</v>
      </c>
      <c r="C125">
        <v>2.5940000000000001E-2</v>
      </c>
      <c r="D125">
        <v>2.3470000000000001E-2</v>
      </c>
      <c r="E125">
        <v>2.3810000000000001E-2</v>
      </c>
      <c r="F125">
        <v>32794437</v>
      </c>
      <c r="G125">
        <v>2.3810000000000001E-2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-0.7246963562753036</v>
      </c>
      <c r="Q125">
        <f t="shared" ref="Q125" si="601">F125*P125</f>
        <v>-23766009</v>
      </c>
      <c r="R125">
        <f t="shared" ref="R125" si="602">R126+Q125</f>
        <v>-8945080479.7067966</v>
      </c>
      <c r="S125">
        <f t="shared" ref="S125" si="603">R125/100000</f>
        <v>-89450.804797067962</v>
      </c>
      <c r="T125">
        <f t="shared" ref="T125" si="604">S125/1000</f>
        <v>-89.45080479706796</v>
      </c>
    </row>
    <row r="126" spans="1:20" x14ac:dyDescent="0.25">
      <c r="A126" s="5">
        <v>44467</v>
      </c>
      <c r="B126">
        <v>2.5610000000000001E-2</v>
      </c>
      <c r="C126">
        <v>2.6960000000000001E-2</v>
      </c>
      <c r="D126">
        <v>2.383E-2</v>
      </c>
      <c r="E126">
        <v>2.4080000000000001E-2</v>
      </c>
      <c r="F126">
        <v>54060393</v>
      </c>
      <c r="G126">
        <v>2.4080000000000001E-2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-0.84025559105431302</v>
      </c>
      <c r="Q126">
        <f t="shared" ref="Q126" si="606">F126*P126</f>
        <v>-45424547.472843446</v>
      </c>
      <c r="R126">
        <f t="shared" ref="R126" si="607">R127+Q126</f>
        <v>-8921314470.7067966</v>
      </c>
      <c r="S126">
        <f t="shared" ref="S126" si="608">R126/100000</f>
        <v>-89213.144707067971</v>
      </c>
      <c r="T126">
        <f t="shared" ref="T126" si="609">S126/1000</f>
        <v>-89.213144707067968</v>
      </c>
    </row>
    <row r="127" spans="1:20" x14ac:dyDescent="0.25">
      <c r="A127" s="5">
        <v>44466</v>
      </c>
      <c r="B127">
        <v>2.6349999999999998E-2</v>
      </c>
      <c r="C127">
        <v>2.7890000000000002E-2</v>
      </c>
      <c r="D127">
        <v>2.554E-2</v>
      </c>
      <c r="E127">
        <v>2.563E-2</v>
      </c>
      <c r="F127">
        <v>43207609</v>
      </c>
      <c r="G127">
        <v>2.563E-2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-0.92340425531914916</v>
      </c>
      <c r="Q127">
        <f t="shared" ref="Q127" si="611">F127*P127</f>
        <v>-39898090.012765966</v>
      </c>
      <c r="R127">
        <f t="shared" ref="R127" si="612">R128+Q127</f>
        <v>-8875889923.2339535</v>
      </c>
      <c r="S127">
        <f t="shared" ref="S127" si="613">R127/100000</f>
        <v>-88758.899232339536</v>
      </c>
      <c r="T127">
        <f t="shared" ref="T127" si="614">S127/1000</f>
        <v>-88.75889923233953</v>
      </c>
    </row>
    <row r="128" spans="1:20" x14ac:dyDescent="0.25">
      <c r="A128" s="5">
        <v>44465</v>
      </c>
      <c r="B128">
        <v>2.7490000000000001E-2</v>
      </c>
      <c r="C128">
        <v>2.8500000000000001E-2</v>
      </c>
      <c r="D128">
        <v>2.4809999999999999E-2</v>
      </c>
      <c r="E128">
        <v>2.6419999999999999E-2</v>
      </c>
      <c r="F128">
        <v>82421556</v>
      </c>
      <c r="G128">
        <v>2.6419999999999999E-2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-0.12737127371273749</v>
      </c>
      <c r="Q128">
        <f t="shared" ref="Q128" si="616">F128*P128</f>
        <v>-10498138.56910572</v>
      </c>
      <c r="R128">
        <f t="shared" ref="R128" si="617">R129+Q128</f>
        <v>-8835991833.2211876</v>
      </c>
      <c r="S128">
        <f t="shared" ref="S128" si="618">R128/100000</f>
        <v>-88359.918332211877</v>
      </c>
      <c r="T128">
        <f t="shared" ref="T128" si="619">S128/1000</f>
        <v>-88.359918332211876</v>
      </c>
    </row>
    <row r="129" spans="1:20" x14ac:dyDescent="0.25">
      <c r="A129" s="5">
        <v>44464</v>
      </c>
      <c r="B129">
        <v>2.7949999999999999E-2</v>
      </c>
      <c r="C129">
        <v>2.92E-2</v>
      </c>
      <c r="D129">
        <v>2.6620000000000001E-2</v>
      </c>
      <c r="E129">
        <v>2.75E-2</v>
      </c>
      <c r="F129">
        <v>156889723</v>
      </c>
      <c r="G129">
        <v>2.75E-2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-0.31782945736434171</v>
      </c>
      <c r="Q129">
        <f t="shared" ref="Q129" si="621">F129*P129</f>
        <v>-49864175.527131878</v>
      </c>
      <c r="R129">
        <f t="shared" ref="R129" si="622">R130+Q129</f>
        <v>-8825493694.6520824</v>
      </c>
      <c r="S129">
        <f t="shared" ref="S129" si="623">R129/100000</f>
        <v>-88254.936946520829</v>
      </c>
      <c r="T129">
        <f t="shared" ref="T129" si="624">S129/1000</f>
        <v>-88.254936946520829</v>
      </c>
    </row>
    <row r="130" spans="1:20" x14ac:dyDescent="0.25">
      <c r="A130" s="5">
        <v>44463</v>
      </c>
      <c r="B130">
        <v>2.9329999999999998E-2</v>
      </c>
      <c r="C130">
        <v>2.954E-2</v>
      </c>
      <c r="D130">
        <v>2.5229999999999999E-2</v>
      </c>
      <c r="E130">
        <v>2.7859999999999999E-2</v>
      </c>
      <c r="F130">
        <v>84036223</v>
      </c>
      <c r="G130">
        <v>2.7859999999999999E-2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0.22041763341067266</v>
      </c>
      <c r="Q130">
        <f t="shared" ref="Q130" si="626">F130*P130</f>
        <v>18523065.394431539</v>
      </c>
      <c r="R130">
        <f t="shared" ref="R130" si="627">R131+Q130</f>
        <v>-8775629519.1249504</v>
      </c>
      <c r="S130">
        <f t="shared" ref="S130" si="628">R130/100000</f>
        <v>-87756.295191249505</v>
      </c>
      <c r="T130">
        <f t="shared" ref="T130" si="629">S130/1000</f>
        <v>-87.756295191249507</v>
      </c>
    </row>
    <row r="131" spans="1:20" x14ac:dyDescent="0.25">
      <c r="A131" s="5">
        <v>44462</v>
      </c>
      <c r="B131">
        <v>2.869E-2</v>
      </c>
      <c r="C131">
        <v>3.1040000000000002E-2</v>
      </c>
      <c r="D131">
        <v>2.7949999999999999E-2</v>
      </c>
      <c r="E131">
        <v>2.9319999999999999E-2</v>
      </c>
      <c r="F131">
        <v>134938077</v>
      </c>
      <c r="G131">
        <v>2.9319999999999999E-2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-0.11326860841424038</v>
      </c>
      <c r="Q131">
        <f t="shared" ref="Q131" si="631">F131*P131</f>
        <v>-15284248.203883616</v>
      </c>
      <c r="R131">
        <f t="shared" ref="R131" si="632">R132+Q131</f>
        <v>-8794152584.5193825</v>
      </c>
      <c r="S131">
        <f t="shared" ref="S131" si="633">R131/100000</f>
        <v>-87941.525845193828</v>
      </c>
      <c r="T131">
        <f t="shared" ref="T131" si="634">S131/1000</f>
        <v>-87.941525845193823</v>
      </c>
    </row>
    <row r="132" spans="1:20" x14ac:dyDescent="0.25">
      <c r="A132" s="5">
        <v>44461</v>
      </c>
      <c r="B132">
        <v>2.4580000000000001E-2</v>
      </c>
      <c r="C132">
        <v>3.0929999999999999E-2</v>
      </c>
      <c r="D132">
        <v>2.3740000000000001E-2</v>
      </c>
      <c r="E132">
        <v>2.8819999999999998E-2</v>
      </c>
      <c r="F132">
        <v>153123032</v>
      </c>
      <c r="G132">
        <v>2.8819999999999998E-2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0.41307371349095934</v>
      </c>
      <c r="Q132">
        <f t="shared" ref="Q132" si="636">F132*P132</f>
        <v>63251099.449235</v>
      </c>
      <c r="R132">
        <f t="shared" ref="R132" si="637">R133+Q132</f>
        <v>-8778868336.3154984</v>
      </c>
      <c r="S132">
        <f t="shared" ref="S132" si="638">R132/100000</f>
        <v>-87788.683363154982</v>
      </c>
      <c r="T132">
        <f t="shared" ref="T132" si="639">S132/1000</f>
        <v>-87.788683363154988</v>
      </c>
    </row>
    <row r="133" spans="1:20" x14ac:dyDescent="0.25">
      <c r="A133" s="5">
        <v>44460</v>
      </c>
      <c r="B133">
        <v>2.7980000000000001E-2</v>
      </c>
      <c r="C133">
        <v>2.955E-2</v>
      </c>
      <c r="D133">
        <v>2.3939999999999999E-2</v>
      </c>
      <c r="E133">
        <v>2.4420000000000001E-2</v>
      </c>
      <c r="F133">
        <v>75679587</v>
      </c>
      <c r="G133">
        <v>2.4420000000000001E-2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-0.82887700534759312</v>
      </c>
      <c r="Q133">
        <f t="shared" ref="Q133" si="641">F133*P133</f>
        <v>-62729069.43850264</v>
      </c>
      <c r="R133">
        <f t="shared" ref="R133" si="642">R134+Q133</f>
        <v>-8842119435.7647343</v>
      </c>
      <c r="S133">
        <f t="shared" ref="S133" si="643">R133/100000</f>
        <v>-88421.194357647342</v>
      </c>
      <c r="T133">
        <f t="shared" ref="T133" si="644">S133/1000</f>
        <v>-88.421194357647337</v>
      </c>
    </row>
    <row r="134" spans="1:20" x14ac:dyDescent="0.25">
      <c r="A134" s="5">
        <v>44459</v>
      </c>
      <c r="B134">
        <v>3.3599999999999998E-2</v>
      </c>
      <c r="C134">
        <v>3.5999999999999997E-2</v>
      </c>
      <c r="D134">
        <v>3.0620000000000001E-2</v>
      </c>
      <c r="E134">
        <v>3.1220000000000001E-2</v>
      </c>
      <c r="F134">
        <v>69273060</v>
      </c>
      <c r="G134">
        <v>3.1220000000000001E-2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-0.77695167286245337</v>
      </c>
      <c r="Q134">
        <f t="shared" ref="Q134" si="646">F134*P134</f>
        <v>-53821819.851301104</v>
      </c>
      <c r="R134">
        <f t="shared" ref="R134" si="647">R135+Q134</f>
        <v>-8779390366.326231</v>
      </c>
      <c r="S134">
        <f t="shared" ref="S134" si="648">R134/100000</f>
        <v>-87793.903663262303</v>
      </c>
      <c r="T134">
        <f t="shared" ref="T134" si="649">S134/1000</f>
        <v>-87.793903663262299</v>
      </c>
    </row>
    <row r="135" spans="1:20" x14ac:dyDescent="0.25">
      <c r="A135" s="5">
        <v>44458</v>
      </c>
      <c r="B135">
        <v>3.5340000000000003E-2</v>
      </c>
      <c r="C135">
        <v>3.6479999999999999E-2</v>
      </c>
      <c r="D135">
        <v>3.2590000000000001E-2</v>
      </c>
      <c r="E135">
        <v>3.3529999999999997E-2</v>
      </c>
      <c r="F135">
        <v>83120840</v>
      </c>
      <c r="G135">
        <v>3.3529999999999997E-2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-0.51670951156812495</v>
      </c>
      <c r="Q135">
        <f t="shared" ref="Q135" si="651">F135*P135</f>
        <v>-42949328.637532264</v>
      </c>
      <c r="R135">
        <f t="shared" ref="R135" si="652">R136+Q135</f>
        <v>-8725568546.4749298</v>
      </c>
      <c r="S135">
        <f t="shared" ref="S135" si="653">R135/100000</f>
        <v>-87255.685464749302</v>
      </c>
      <c r="T135">
        <f t="shared" ref="T135" si="654">S135/1000</f>
        <v>-87.255685464749305</v>
      </c>
    </row>
    <row r="136" spans="1:20" x14ac:dyDescent="0.25">
      <c r="A136" s="5">
        <v>44457</v>
      </c>
      <c r="B136">
        <v>3.3820000000000003E-2</v>
      </c>
      <c r="C136">
        <v>3.6179999999999997E-2</v>
      </c>
      <c r="D136">
        <v>3.3360000000000001E-2</v>
      </c>
      <c r="E136">
        <v>3.5220000000000001E-2</v>
      </c>
      <c r="F136">
        <v>48019249</v>
      </c>
      <c r="G136">
        <v>3.5220000000000001E-2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0.31914893617021495</v>
      </c>
      <c r="Q136">
        <f t="shared" ref="Q136" si="656">F136*P136</f>
        <v>15325292.234042658</v>
      </c>
      <c r="R136">
        <f t="shared" ref="R136" si="657">R137+Q136</f>
        <v>-8682619217.8373966</v>
      </c>
      <c r="S136">
        <f t="shared" ref="S136" si="658">R136/100000</f>
        <v>-86826.192178373967</v>
      </c>
      <c r="T136">
        <f t="shared" ref="T136" si="659">S136/1000</f>
        <v>-86.826192178373972</v>
      </c>
    </row>
    <row r="137" spans="1:20" x14ac:dyDescent="0.25">
      <c r="A137" s="5">
        <v>44456</v>
      </c>
      <c r="B137">
        <v>3.5340000000000003E-2</v>
      </c>
      <c r="C137">
        <v>3.5729999999999998E-2</v>
      </c>
      <c r="D137">
        <v>3.3329999999999999E-2</v>
      </c>
      <c r="E137">
        <v>3.3820000000000003E-2</v>
      </c>
      <c r="F137">
        <v>43306136</v>
      </c>
      <c r="G137">
        <v>3.3820000000000003E-2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-0.59166666666666301</v>
      </c>
      <c r="Q137">
        <f t="shared" ref="Q137" si="661">F137*P137</f>
        <v>-25622797.133333176</v>
      </c>
      <c r="R137">
        <f t="shared" ref="R137" si="662">R138+Q137</f>
        <v>-8697944510.0714397</v>
      </c>
      <c r="S137">
        <f t="shared" ref="S137" si="663">R137/100000</f>
        <v>-86979.445100714394</v>
      </c>
      <c r="T137">
        <f t="shared" ref="T137" si="664">S137/1000</f>
        <v>-86.9794451007144</v>
      </c>
    </row>
    <row r="138" spans="1:20" x14ac:dyDescent="0.25">
      <c r="A138" s="5">
        <v>44455</v>
      </c>
      <c r="B138">
        <v>3.7620000000000001E-2</v>
      </c>
      <c r="C138">
        <v>3.7839999999999999E-2</v>
      </c>
      <c r="D138">
        <v>3.4259999999999999E-2</v>
      </c>
      <c r="E138">
        <v>3.5529999999999999E-2</v>
      </c>
      <c r="F138">
        <v>67526607</v>
      </c>
      <c r="G138">
        <v>3.5529999999999999E-2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-0.29050279329608919</v>
      </c>
      <c r="Q138">
        <f t="shared" ref="Q138" si="666">F138*P138</f>
        <v>-19616667.955307249</v>
      </c>
      <c r="R138">
        <f t="shared" ref="R138" si="667">R139+Q138</f>
        <v>-8672321712.9381065</v>
      </c>
      <c r="S138">
        <f t="shared" ref="S138" si="668">R138/100000</f>
        <v>-86723.217129381068</v>
      </c>
      <c r="T138">
        <f t="shared" ref="T138" si="669">S138/1000</f>
        <v>-86.723217129381069</v>
      </c>
    </row>
    <row r="139" spans="1:20" x14ac:dyDescent="0.25">
      <c r="A139" s="5">
        <v>44454</v>
      </c>
      <c r="B139">
        <v>3.5490000000000001E-2</v>
      </c>
      <c r="C139">
        <v>3.7999999999999999E-2</v>
      </c>
      <c r="D139">
        <v>3.4660000000000003E-2</v>
      </c>
      <c r="E139">
        <v>3.7670000000000002E-2</v>
      </c>
      <c r="F139">
        <v>94275821</v>
      </c>
      <c r="G139">
        <v>3.7670000000000002E-2</v>
      </c>
      <c r="L139" t="s">
        <v>7</v>
      </c>
      <c r="M139" t="s">
        <v>8</v>
      </c>
      <c r="N139" t="s">
        <v>8</v>
      </c>
      <c r="P139">
        <f t="shared" ref="P139" si="670">IF(C139=D139,0,((E139-D139)-(C139-E139))/(C139-D139))</f>
        <v>0.80239520958083987</v>
      </c>
      <c r="Q139">
        <f t="shared" ref="Q139" si="671">F139*P139</f>
        <v>75646467.149700746</v>
      </c>
      <c r="R139">
        <f t="shared" ref="R139" si="672">R140+Q139</f>
        <v>-8652705044.9827995</v>
      </c>
      <c r="S139">
        <f t="shared" ref="S139" si="673">R139/100000</f>
        <v>-86527.050449827992</v>
      </c>
      <c r="T139">
        <f t="shared" ref="T139" si="674">S139/1000</f>
        <v>-86.527050449827996</v>
      </c>
    </row>
    <row r="140" spans="1:20" x14ac:dyDescent="0.25">
      <c r="A140" s="5">
        <v>44453</v>
      </c>
      <c r="B140">
        <v>3.4860000000000002E-2</v>
      </c>
      <c r="C140">
        <v>3.78E-2</v>
      </c>
      <c r="D140">
        <v>3.4569999999999997E-2</v>
      </c>
      <c r="E140">
        <v>3.5490000000000001E-2</v>
      </c>
      <c r="F140">
        <v>116845358</v>
      </c>
      <c r="G140">
        <v>3.5490000000000001E-2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-0.43034055727553988</v>
      </c>
      <c r="Q140">
        <f t="shared" ref="Q140" si="676">F140*P140</f>
        <v>-50283296.47677996</v>
      </c>
      <c r="R140">
        <f t="shared" ref="R140" si="677">R141+Q140</f>
        <v>-8728351512.1324997</v>
      </c>
      <c r="S140">
        <f t="shared" ref="S140" si="678">R140/100000</f>
        <v>-87283.515121324992</v>
      </c>
      <c r="T140">
        <f t="shared" ref="T140" si="679">S140/1000</f>
        <v>-87.283515121324996</v>
      </c>
    </row>
    <row r="141" spans="1:20" x14ac:dyDescent="0.25">
      <c r="A141" s="5">
        <v>44452</v>
      </c>
      <c r="B141">
        <v>3.4950000000000002E-2</v>
      </c>
      <c r="C141">
        <v>3.5709999999999999E-2</v>
      </c>
      <c r="D141">
        <v>3.074E-2</v>
      </c>
      <c r="E141">
        <v>3.4860000000000002E-2</v>
      </c>
      <c r="F141">
        <v>111558294</v>
      </c>
      <c r="G141">
        <v>3.4860000000000002E-2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0.65794768611670151</v>
      </c>
      <c r="Q141">
        <f t="shared" ref="Q141" si="681">F141*P141</f>
        <v>73399521.404426709</v>
      </c>
      <c r="R141">
        <f t="shared" ref="R141" si="682">R142+Q141</f>
        <v>-8678068215.6557198</v>
      </c>
      <c r="S141">
        <f t="shared" ref="S141" si="683">R141/100000</f>
        <v>-86780.682156557203</v>
      </c>
      <c r="T141">
        <f t="shared" ref="T141" si="684">S141/1000</f>
        <v>-86.780682156557205</v>
      </c>
    </row>
    <row r="142" spans="1:20" x14ac:dyDescent="0.25">
      <c r="A142" s="5">
        <v>44451</v>
      </c>
      <c r="B142">
        <v>3.5479999999999998E-2</v>
      </c>
      <c r="C142">
        <v>3.746E-2</v>
      </c>
      <c r="D142">
        <v>3.3700000000000001E-2</v>
      </c>
      <c r="E142">
        <v>3.4959999999999998E-2</v>
      </c>
      <c r="F142">
        <v>72838317</v>
      </c>
      <c r="G142">
        <v>3.4959999999999998E-2</v>
      </c>
      <c r="L142" t="s">
        <v>7</v>
      </c>
      <c r="M142" t="s">
        <v>8</v>
      </c>
      <c r="N142" t="s">
        <v>8</v>
      </c>
      <c r="P142">
        <f t="shared" ref="P142" si="685">IF(C142=D142,0,((E142-D142)-(C142-E142))/(C142-D142))</f>
        <v>-0.32978723404255456</v>
      </c>
      <c r="Q142">
        <f t="shared" ref="Q142" si="686">F142*P142</f>
        <v>-24021147.095744781</v>
      </c>
      <c r="R142">
        <f t="shared" ref="R142" si="687">R143+Q142</f>
        <v>-8751467737.0601463</v>
      </c>
      <c r="S142">
        <f t="shared" ref="S142" si="688">R142/100000</f>
        <v>-87514.677370601465</v>
      </c>
      <c r="T142">
        <f t="shared" ref="T142" si="689">S142/1000</f>
        <v>-87.514677370601461</v>
      </c>
    </row>
    <row r="143" spans="1:20" x14ac:dyDescent="0.25">
      <c r="A143" s="5">
        <v>44450</v>
      </c>
      <c r="B143">
        <v>3.3849999999999998E-2</v>
      </c>
      <c r="C143">
        <v>3.8969999999999998E-2</v>
      </c>
      <c r="D143">
        <v>3.3570000000000003E-2</v>
      </c>
      <c r="E143">
        <v>3.5389999999999998E-2</v>
      </c>
      <c r="F143">
        <v>100517711</v>
      </c>
      <c r="G143">
        <v>3.5389999999999998E-2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-0.32592592592592706</v>
      </c>
      <c r="Q143">
        <f t="shared" ref="Q143" si="691">F143*P143</f>
        <v>-32761328.029629745</v>
      </c>
      <c r="R143">
        <f t="shared" ref="R143" si="692">R144+Q143</f>
        <v>-8727446589.9644012</v>
      </c>
      <c r="S143">
        <f t="shared" ref="S143" si="693">R143/100000</f>
        <v>-87274.465899644012</v>
      </c>
      <c r="T143">
        <f t="shared" ref="T143" si="694">S143/1000</f>
        <v>-87.274465899644014</v>
      </c>
    </row>
    <row r="144" spans="1:20" x14ac:dyDescent="0.25">
      <c r="A144" s="5">
        <v>44449</v>
      </c>
      <c r="B144">
        <v>3.6110000000000003E-2</v>
      </c>
      <c r="C144">
        <v>3.7490000000000002E-2</v>
      </c>
      <c r="D144">
        <v>3.2160000000000001E-2</v>
      </c>
      <c r="E144">
        <v>3.3849999999999998E-2</v>
      </c>
      <c r="F144">
        <v>146136845</v>
      </c>
      <c r="G144">
        <v>3.3849999999999998E-2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-0.36585365853658663</v>
      </c>
      <c r="Q144">
        <f t="shared" ref="Q144" si="696">F144*P144</f>
        <v>-53464699.390244089</v>
      </c>
      <c r="R144">
        <f t="shared" ref="R144" si="697">R145+Q144</f>
        <v>-8694685261.9347706</v>
      </c>
      <c r="S144">
        <f t="shared" ref="S144" si="698">R144/100000</f>
        <v>-86946.852619347701</v>
      </c>
      <c r="T144">
        <f t="shared" ref="T144" si="699">S144/1000</f>
        <v>-86.946852619347695</v>
      </c>
    </row>
    <row r="145" spans="1:20" x14ac:dyDescent="0.25">
      <c r="A145" s="5">
        <v>44448</v>
      </c>
      <c r="B145">
        <v>3.4970000000000001E-2</v>
      </c>
      <c r="C145">
        <v>4.0980000000000003E-2</v>
      </c>
      <c r="D145">
        <v>3.4799999999999998E-2</v>
      </c>
      <c r="E145">
        <v>3.6159999999999998E-2</v>
      </c>
      <c r="F145">
        <v>226578620</v>
      </c>
      <c r="G145">
        <v>3.6159999999999998E-2</v>
      </c>
      <c r="L145" t="s">
        <v>7</v>
      </c>
      <c r="M145" t="s">
        <v>8</v>
      </c>
      <c r="N145" t="s">
        <v>8</v>
      </c>
      <c r="P145">
        <f t="shared" ref="P145" si="700">IF(C145=D145,0,((E145-D145)-(C145-E145))/(C145-D145))</f>
        <v>-0.55987055016181264</v>
      </c>
      <c r="Q145">
        <f t="shared" ref="Q145" si="701">F145*P145</f>
        <v>-126854696.63430429</v>
      </c>
      <c r="R145">
        <f t="shared" ref="R145" si="702">R146+Q145</f>
        <v>-8641220562.5445271</v>
      </c>
      <c r="S145">
        <f t="shared" ref="S145" si="703">R145/100000</f>
        <v>-86412.205625445276</v>
      </c>
      <c r="T145">
        <f t="shared" ref="T145" si="704">S145/1000</f>
        <v>-86.412205625445281</v>
      </c>
    </row>
    <row r="146" spans="1:20" x14ac:dyDescent="0.25">
      <c r="A146" s="5">
        <v>44447</v>
      </c>
      <c r="B146">
        <v>4.0320000000000002E-2</v>
      </c>
      <c r="C146">
        <v>4.0489999999999998E-2</v>
      </c>
      <c r="D146">
        <v>3.295E-2</v>
      </c>
      <c r="E146">
        <v>3.4950000000000002E-2</v>
      </c>
      <c r="F146">
        <v>217702624</v>
      </c>
      <c r="G146">
        <v>3.4950000000000002E-2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-0.46949602122015854</v>
      </c>
      <c r="Q146">
        <f t="shared" ref="Q146" si="706">F146*P146</f>
        <v>-102210515.7771882</v>
      </c>
      <c r="R146">
        <f t="shared" ref="R146" si="707">R147+Q146</f>
        <v>-8514365865.9102221</v>
      </c>
      <c r="S146">
        <f t="shared" ref="S146" si="708">R146/100000</f>
        <v>-85143.658659102221</v>
      </c>
      <c r="T146">
        <f t="shared" ref="T146" si="709">S146/1000</f>
        <v>-85.143658659102215</v>
      </c>
    </row>
    <row r="147" spans="1:20" x14ac:dyDescent="0.25">
      <c r="A147" s="5">
        <v>44446</v>
      </c>
      <c r="B147">
        <v>4.2909999999999997E-2</v>
      </c>
      <c r="C147">
        <v>4.7390000000000002E-2</v>
      </c>
      <c r="D147">
        <v>2.9090000000000001E-2</v>
      </c>
      <c r="E147">
        <v>4.0099999999999997E-2</v>
      </c>
      <c r="F147">
        <v>389000496</v>
      </c>
      <c r="G147">
        <v>4.0099999999999997E-2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0.20327868852458966</v>
      </c>
      <c r="Q147">
        <f t="shared" ref="Q147" si="711">F147*P147</f>
        <v>79075510.66229488</v>
      </c>
      <c r="R147">
        <f t="shared" ref="R147" si="712">R148+Q147</f>
        <v>-8412155350.1330338</v>
      </c>
      <c r="S147">
        <f t="shared" ref="S147" si="713">R147/100000</f>
        <v>-84121.553501330331</v>
      </c>
      <c r="T147">
        <f t="shared" ref="T147" si="714">S147/1000</f>
        <v>-84.121553501330325</v>
      </c>
    </row>
    <row r="148" spans="1:20" x14ac:dyDescent="0.25">
      <c r="A148" s="5">
        <v>44445</v>
      </c>
      <c r="B148">
        <v>3.6110000000000003E-2</v>
      </c>
      <c r="C148">
        <v>5.1999999999999998E-2</v>
      </c>
      <c r="D148">
        <v>3.5549999999999998E-2</v>
      </c>
      <c r="E148">
        <v>4.2900000000000001E-2</v>
      </c>
      <c r="F148">
        <v>635575628</v>
      </c>
      <c r="G148">
        <v>4.2900000000000001E-2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-0.10638297872340394</v>
      </c>
      <c r="Q148">
        <f t="shared" ref="Q148" si="716">F148*P148</f>
        <v>-67614428.510638103</v>
      </c>
      <c r="R148">
        <f t="shared" ref="R148" si="717">R149+Q148</f>
        <v>-8491230860.7953291</v>
      </c>
      <c r="S148">
        <f t="shared" ref="S148" si="718">R148/100000</f>
        <v>-84912.308607953295</v>
      </c>
      <c r="T148">
        <f t="shared" ref="T148" si="719">S148/1000</f>
        <v>-84.912308607953292</v>
      </c>
    </row>
    <row r="149" spans="1:20" x14ac:dyDescent="0.25">
      <c r="A149" s="5">
        <v>44444</v>
      </c>
      <c r="B149">
        <v>3.4299999999999997E-2</v>
      </c>
      <c r="C149">
        <v>3.959E-2</v>
      </c>
      <c r="D149">
        <v>3.4049999999999997E-2</v>
      </c>
      <c r="E149">
        <v>3.6069999999999998E-2</v>
      </c>
      <c r="F149">
        <v>247400413</v>
      </c>
      <c r="G149">
        <v>3.6069999999999998E-2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-0.27075812274368238</v>
      </c>
      <c r="Q149">
        <f t="shared" ref="Q149" si="721">F149*P149</f>
        <v>-66985671.389891714</v>
      </c>
      <c r="R149">
        <f t="shared" ref="R149" si="722">R150+Q149</f>
        <v>-8423616432.2846909</v>
      </c>
      <c r="S149">
        <f t="shared" ref="S149" si="723">R149/100000</f>
        <v>-84236.164322846904</v>
      </c>
      <c r="T149">
        <f t="shared" ref="T149" si="724">S149/1000</f>
        <v>-84.236164322846903</v>
      </c>
    </row>
    <row r="150" spans="1:20" x14ac:dyDescent="0.25">
      <c r="A150" s="5">
        <v>44443</v>
      </c>
      <c r="B150">
        <v>3.279E-2</v>
      </c>
      <c r="C150">
        <v>3.5319999999999997E-2</v>
      </c>
      <c r="D150">
        <v>3.2590000000000001E-2</v>
      </c>
      <c r="E150">
        <v>3.4299999999999997E-2</v>
      </c>
      <c r="F150">
        <v>78102806</v>
      </c>
      <c r="G150">
        <v>3.4299999999999997E-2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0.25274725274725168</v>
      </c>
      <c r="Q150">
        <f t="shared" ref="Q150" si="726">F150*P150</f>
        <v>19740269.648351565</v>
      </c>
      <c r="R150">
        <f t="shared" ref="R150" si="727">R151+Q150</f>
        <v>-8356630760.8947992</v>
      </c>
      <c r="S150">
        <f t="shared" ref="S150" si="728">R150/100000</f>
        <v>-83566.307608947987</v>
      </c>
      <c r="T150">
        <f t="shared" ref="T150" si="729">S150/1000</f>
        <v>-83.566307608947994</v>
      </c>
    </row>
    <row r="151" spans="1:20" x14ac:dyDescent="0.25">
      <c r="A151" s="5">
        <v>44442</v>
      </c>
      <c r="B151">
        <v>3.2349999999999997E-2</v>
      </c>
      <c r="C151">
        <v>3.3390000000000003E-2</v>
      </c>
      <c r="D151">
        <v>3.1660000000000001E-2</v>
      </c>
      <c r="E151">
        <v>3.2800000000000003E-2</v>
      </c>
      <c r="F151">
        <v>46659387</v>
      </c>
      <c r="G151">
        <v>3.2800000000000003E-2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0.31791907514450934</v>
      </c>
      <c r="Q151">
        <f t="shared" ref="Q151" si="731">F151*P151</f>
        <v>14833909.161849743</v>
      </c>
      <c r="R151">
        <f t="shared" ref="R151" si="732">R152+Q151</f>
        <v>-8376371030.5431509</v>
      </c>
      <c r="S151">
        <f t="shared" ref="S151" si="733">R151/100000</f>
        <v>-83763.710305431508</v>
      </c>
      <c r="T151">
        <f t="shared" ref="T151" si="734">S151/1000</f>
        <v>-83.763710305431502</v>
      </c>
    </row>
    <row r="152" spans="1:20" x14ac:dyDescent="0.25">
      <c r="A152" s="5">
        <v>44441</v>
      </c>
      <c r="B152">
        <v>3.227E-2</v>
      </c>
      <c r="C152">
        <v>3.347E-2</v>
      </c>
      <c r="D152">
        <v>3.2079999999999997E-2</v>
      </c>
      <c r="E152">
        <v>3.2349999999999997E-2</v>
      </c>
      <c r="F152">
        <v>59741976</v>
      </c>
      <c r="G152">
        <v>3.2349999999999997E-2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-0.611510791366908</v>
      </c>
      <c r="Q152">
        <f t="shared" ref="Q152" si="736">F152*P152</f>
        <v>-36532863.021582827</v>
      </c>
      <c r="R152">
        <f t="shared" ref="R152" si="737">R153+Q152</f>
        <v>-8391204939.7050009</v>
      </c>
      <c r="S152">
        <f t="shared" ref="S152" si="738">R152/100000</f>
        <v>-83912.04939705001</v>
      </c>
      <c r="T152">
        <f t="shared" ref="T152" si="739">S152/1000</f>
        <v>-83.912049397050012</v>
      </c>
    </row>
    <row r="153" spans="1:20" x14ac:dyDescent="0.25">
      <c r="A153" s="5">
        <v>44440</v>
      </c>
      <c r="B153">
        <v>3.1489999999999997E-2</v>
      </c>
      <c r="C153">
        <v>3.2840000000000001E-2</v>
      </c>
      <c r="D153">
        <v>3.09E-2</v>
      </c>
      <c r="E153">
        <v>3.227E-2</v>
      </c>
      <c r="F153">
        <v>47556719</v>
      </c>
      <c r="G153">
        <v>3.227E-2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0.4123711340206177</v>
      </c>
      <c r="Q153">
        <f t="shared" ref="Q153" si="741">F153*P153</f>
        <v>19611018.144329857</v>
      </c>
      <c r="R153">
        <f t="shared" ref="R153" si="742">R154+Q153</f>
        <v>-8354672076.6834183</v>
      </c>
      <c r="S153">
        <f t="shared" ref="S153" si="743">R153/100000</f>
        <v>-83546.720766834187</v>
      </c>
      <c r="T153">
        <f t="shared" ref="T153" si="744">S153/1000</f>
        <v>-83.546720766834184</v>
      </c>
    </row>
    <row r="154" spans="1:20" x14ac:dyDescent="0.25">
      <c r="A154" s="5">
        <v>44439</v>
      </c>
      <c r="B154">
        <v>3.108E-2</v>
      </c>
      <c r="C154">
        <v>3.2210000000000003E-2</v>
      </c>
      <c r="D154">
        <v>3.0360000000000002E-2</v>
      </c>
      <c r="E154">
        <v>3.1489999999999997E-2</v>
      </c>
      <c r="F154">
        <v>39569312</v>
      </c>
      <c r="G154">
        <v>3.1489999999999997E-2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0.22162162162161622</v>
      </c>
      <c r="Q154">
        <f t="shared" ref="Q154" si="746">F154*P154</f>
        <v>8769415.0918916781</v>
      </c>
      <c r="R154">
        <f t="shared" ref="R154" si="747">R155+Q154</f>
        <v>-8374283094.8277483</v>
      </c>
      <c r="S154">
        <f t="shared" ref="S154" si="748">R154/100000</f>
        <v>-83742.830948277478</v>
      </c>
      <c r="T154">
        <f t="shared" ref="T154" si="749">S154/1000</f>
        <v>-83.742830948277472</v>
      </c>
    </row>
    <row r="155" spans="1:20" x14ac:dyDescent="0.25">
      <c r="A155" s="5">
        <v>44438</v>
      </c>
      <c r="B155">
        <v>3.1359999999999999E-2</v>
      </c>
      <c r="C155">
        <v>3.2219999999999999E-2</v>
      </c>
      <c r="D155">
        <v>3.0130000000000001E-2</v>
      </c>
      <c r="E155">
        <v>3.1E-2</v>
      </c>
      <c r="F155">
        <v>52793659</v>
      </c>
      <c r="G155">
        <v>3.1E-2</v>
      </c>
      <c r="L155" t="s">
        <v>7</v>
      </c>
      <c r="M155" t="s">
        <v>8</v>
      </c>
      <c r="N155" t="s">
        <v>8</v>
      </c>
      <c r="P155">
        <f t="shared" ref="P155" si="750">IF(C155=D155,0,((E155-D155)-(C155-E155))/(C155-D155))</f>
        <v>-0.16746411483253584</v>
      </c>
      <c r="Q155">
        <f t="shared" ref="Q155" si="751">F155*P155</f>
        <v>-8841043.37320574</v>
      </c>
      <c r="R155">
        <f t="shared" ref="R155" si="752">R156+Q155</f>
        <v>-8383052509.9196396</v>
      </c>
      <c r="S155">
        <f t="shared" ref="S155" si="753">R155/100000</f>
        <v>-83830.525099196399</v>
      </c>
      <c r="T155">
        <f t="shared" ref="T155" si="754">S155/1000</f>
        <v>-83.830525099196393</v>
      </c>
    </row>
    <row r="156" spans="1:20" x14ac:dyDescent="0.25">
      <c r="A156" s="5">
        <v>44437</v>
      </c>
      <c r="B156">
        <v>3.143E-2</v>
      </c>
      <c r="C156">
        <v>3.2000000000000001E-2</v>
      </c>
      <c r="D156">
        <v>3.0800000000000001E-2</v>
      </c>
      <c r="E156">
        <v>3.1370000000000002E-2</v>
      </c>
      <c r="F156">
        <v>26879310</v>
      </c>
      <c r="G156">
        <v>3.1370000000000002E-2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-4.9999999999997977E-2</v>
      </c>
      <c r="Q156">
        <f t="shared" ref="Q156" si="756">F156*P156</f>
        <v>-1343965.4999999455</v>
      </c>
      <c r="R156">
        <f t="shared" ref="R156" si="757">R157+Q156</f>
        <v>-8374211466.5464334</v>
      </c>
      <c r="S156">
        <f t="shared" ref="S156" si="758">R156/100000</f>
        <v>-83742.114665464338</v>
      </c>
      <c r="T156">
        <f t="shared" ref="T156" si="759">S156/1000</f>
        <v>-83.742114665464342</v>
      </c>
    </row>
    <row r="157" spans="1:20" x14ac:dyDescent="0.25">
      <c r="A157" s="5">
        <v>44436</v>
      </c>
      <c r="B157">
        <v>3.2599999999999997E-2</v>
      </c>
      <c r="C157">
        <v>3.2899999999999999E-2</v>
      </c>
      <c r="D157">
        <v>3.1040000000000002E-2</v>
      </c>
      <c r="E157">
        <v>3.1399999999999997E-2</v>
      </c>
      <c r="F157">
        <v>59388858</v>
      </c>
      <c r="G157">
        <v>3.1399999999999997E-2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-0.61290322580645562</v>
      </c>
      <c r="Q157">
        <f t="shared" ref="Q157" si="761">F157*P157</f>
        <v>-36399622.645161532</v>
      </c>
      <c r="R157">
        <f t="shared" ref="R157" si="762">R158+Q157</f>
        <v>-8372867501.0464334</v>
      </c>
      <c r="S157">
        <f t="shared" ref="S157" si="763">R157/100000</f>
        <v>-83728.675010464329</v>
      </c>
      <c r="T157">
        <f t="shared" ref="T157" si="764">S157/1000</f>
        <v>-83.728675010464329</v>
      </c>
    </row>
    <row r="158" spans="1:20" x14ac:dyDescent="0.25">
      <c r="A158" s="5">
        <v>44435</v>
      </c>
      <c r="B158">
        <v>3.1050000000000001E-2</v>
      </c>
      <c r="C158">
        <v>3.2899999999999999E-2</v>
      </c>
      <c r="D158">
        <v>3.0280000000000001E-2</v>
      </c>
      <c r="E158">
        <v>3.2530000000000003E-2</v>
      </c>
      <c r="F158">
        <v>35534578</v>
      </c>
      <c r="G158">
        <v>3.2530000000000003E-2</v>
      </c>
      <c r="L158" t="s">
        <v>7</v>
      </c>
      <c r="M158" t="s">
        <v>8</v>
      </c>
      <c r="N158" t="s">
        <v>8</v>
      </c>
      <c r="P158">
        <f t="shared" ref="P158" si="765">IF(C158=D158,0,((E158-D158)-(C158-E158))/(C158-D158))</f>
        <v>0.71755725190840025</v>
      </c>
      <c r="Q158">
        <f t="shared" ref="Q158" si="766">F158*P158</f>
        <v>25498094.137404699</v>
      </c>
      <c r="R158">
        <f t="shared" ref="R158" si="767">R159+Q158</f>
        <v>-8336467878.4012718</v>
      </c>
      <c r="S158">
        <f t="shared" ref="S158" si="768">R158/100000</f>
        <v>-83364.678784012722</v>
      </c>
      <c r="T158">
        <f t="shared" ref="T158" si="769">S158/1000</f>
        <v>-83.364678784012725</v>
      </c>
    </row>
    <row r="159" spans="1:20" x14ac:dyDescent="0.25">
      <c r="A159" s="5">
        <v>44434</v>
      </c>
      <c r="B159">
        <v>3.2473000000000002E-2</v>
      </c>
      <c r="C159">
        <v>3.3267999999999999E-2</v>
      </c>
      <c r="D159">
        <v>3.0300000000000001E-2</v>
      </c>
      <c r="E159">
        <v>3.107E-2</v>
      </c>
      <c r="F159">
        <v>68373638</v>
      </c>
      <c r="G159">
        <v>3.107E-2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-0.48113207547169795</v>
      </c>
      <c r="Q159">
        <f t="shared" ref="Q159" si="771">F159*P159</f>
        <v>-32896750.358490556</v>
      </c>
      <c r="R159">
        <f t="shared" ref="R159" si="772">R160+Q159</f>
        <v>-8361965972.5386763</v>
      </c>
      <c r="S159">
        <f t="shared" ref="S159" si="773">R159/100000</f>
        <v>-83619.659725386766</v>
      </c>
      <c r="T159">
        <f t="shared" ref="T159" si="774">S159/1000</f>
        <v>-83.619659725386768</v>
      </c>
    </row>
    <row r="160" spans="1:20" x14ac:dyDescent="0.25">
      <c r="A160" s="5">
        <v>44433</v>
      </c>
      <c r="B160">
        <v>3.1754999999999999E-2</v>
      </c>
      <c r="C160">
        <v>3.3000000000000002E-2</v>
      </c>
      <c r="D160">
        <v>3.0001E-2</v>
      </c>
      <c r="E160">
        <v>3.2399999999999998E-2</v>
      </c>
      <c r="F160">
        <v>46557297</v>
      </c>
      <c r="G160">
        <v>3.2399999999999998E-2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0.5998666222074005</v>
      </c>
      <c r="Q160">
        <f t="shared" ref="Q160" si="776">F160*P160</f>
        <v>27928168.49049674</v>
      </c>
      <c r="R160">
        <f t="shared" ref="R160" si="777">R161+Q160</f>
        <v>-8329069222.1801853</v>
      </c>
      <c r="S160">
        <f t="shared" ref="S160" si="778">R160/100000</f>
        <v>-83290.692221801859</v>
      </c>
      <c r="T160">
        <f t="shared" ref="T160" si="779">S160/1000</f>
        <v>-83.290692221801862</v>
      </c>
    </row>
    <row r="161" spans="1:20" x14ac:dyDescent="0.25">
      <c r="A161" s="5">
        <v>44432</v>
      </c>
      <c r="B161">
        <v>3.3804000000000001E-2</v>
      </c>
      <c r="C161">
        <v>3.4847000000000003E-2</v>
      </c>
      <c r="D161">
        <v>3.1308999999999997E-2</v>
      </c>
      <c r="E161">
        <v>3.1572999999999997E-2</v>
      </c>
      <c r="F161">
        <v>74594916</v>
      </c>
      <c r="G161">
        <v>3.1572999999999997E-2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-0.85076314301865463</v>
      </c>
      <c r="Q161">
        <f t="shared" ref="Q161" si="781">F161*P161</f>
        <v>-63462605.189372532</v>
      </c>
      <c r="R161">
        <f t="shared" ref="R161" si="782">R162+Q161</f>
        <v>-8356997390.670682</v>
      </c>
      <c r="S161">
        <f t="shared" ref="S161" si="783">R161/100000</f>
        <v>-83569.973906706815</v>
      </c>
      <c r="T161">
        <f t="shared" ref="T161" si="784">S161/1000</f>
        <v>-83.569973906706821</v>
      </c>
    </row>
    <row r="162" spans="1:20" x14ac:dyDescent="0.25">
      <c r="A162" s="5">
        <v>44431</v>
      </c>
      <c r="B162">
        <v>3.2363999999999997E-2</v>
      </c>
      <c r="C162">
        <v>3.4898999999999999E-2</v>
      </c>
      <c r="D162">
        <v>3.2099999999999997E-2</v>
      </c>
      <c r="E162">
        <v>3.3752999999999998E-2</v>
      </c>
      <c r="F162">
        <v>78546034</v>
      </c>
      <c r="G162">
        <v>3.3752999999999998E-2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0.18113612004287244</v>
      </c>
      <c r="Q162">
        <f t="shared" ref="Q162" si="786">F162*P162</f>
        <v>14227523.84351554</v>
      </c>
      <c r="R162">
        <f t="shared" ref="R162" si="787">R163+Q162</f>
        <v>-8293534785.4813099</v>
      </c>
      <c r="S162">
        <f t="shared" ref="S162" si="788">R162/100000</f>
        <v>-82935.347854813095</v>
      </c>
      <c r="T162">
        <f t="shared" ref="T162" si="789">S162/1000</f>
        <v>-82.935347854813102</v>
      </c>
    </row>
    <row r="163" spans="1:20" x14ac:dyDescent="0.25">
      <c r="A163" s="5">
        <v>44430</v>
      </c>
      <c r="B163">
        <v>3.3066999999999999E-2</v>
      </c>
      <c r="C163">
        <v>3.4000000000000002E-2</v>
      </c>
      <c r="D163">
        <v>3.2848000000000002E-2</v>
      </c>
      <c r="E163">
        <v>3.3224999999999998E-2</v>
      </c>
      <c r="F163">
        <v>9243311</v>
      </c>
      <c r="G163">
        <v>3.3224999999999998E-2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-0.34548611111111927</v>
      </c>
      <c r="Q163">
        <f t="shared" ref="Q163" si="791">F163*P163</f>
        <v>-3193435.5711806309</v>
      </c>
      <c r="R163">
        <f t="shared" ref="R163" si="792">R164+Q163</f>
        <v>-8307762309.3248253</v>
      </c>
      <c r="S163">
        <f t="shared" ref="S163" si="793">R163/100000</f>
        <v>-83077.623093248258</v>
      </c>
      <c r="T163">
        <f t="shared" ref="T163" si="794">S163/1000</f>
        <v>-83.077623093248263</v>
      </c>
    </row>
    <row r="164" spans="1:20" x14ac:dyDescent="0.25">
      <c r="A164" s="5">
        <v>44429</v>
      </c>
      <c r="B164">
        <v>3.2578000000000003E-2</v>
      </c>
      <c r="C164">
        <v>3.415E-2</v>
      </c>
      <c r="D164">
        <v>3.0865E-2</v>
      </c>
      <c r="E164">
        <v>3.2924000000000002E-2</v>
      </c>
      <c r="F164">
        <v>100862063</v>
      </c>
      <c r="G164">
        <v>3.2924000000000002E-2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0.25357686453576983</v>
      </c>
      <c r="Q164">
        <f t="shared" ref="Q164" si="796">F164*P164</f>
        <v>25576285.686149281</v>
      </c>
      <c r="R164">
        <f t="shared" ref="R164" si="797">R165+Q164</f>
        <v>-8304568873.7536449</v>
      </c>
      <c r="S164">
        <f t="shared" ref="S164" si="798">R164/100000</f>
        <v>-83045.688737536446</v>
      </c>
      <c r="T164">
        <f t="shared" ref="T164" si="799">S164/1000</f>
        <v>-83.045688737536452</v>
      </c>
    </row>
    <row r="165" spans="1:20" x14ac:dyDescent="0.25">
      <c r="A165" s="5">
        <v>44428</v>
      </c>
      <c r="B165">
        <v>3.1695000000000001E-2</v>
      </c>
      <c r="C165">
        <v>3.2799000000000002E-2</v>
      </c>
      <c r="D165">
        <v>3.1361E-2</v>
      </c>
      <c r="E165">
        <v>3.2508000000000002E-2</v>
      </c>
      <c r="F165">
        <v>49380527</v>
      </c>
      <c r="G165">
        <v>3.2508000000000002E-2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0.59527121001390926</v>
      </c>
      <c r="Q165">
        <f t="shared" ref="Q165" si="801">F165*P165</f>
        <v>29394806.058414515</v>
      </c>
      <c r="R165">
        <f t="shared" ref="R165" si="802">R166+Q165</f>
        <v>-8330145159.4397945</v>
      </c>
      <c r="S165">
        <f t="shared" ref="S165" si="803">R165/100000</f>
        <v>-83301.45159439795</v>
      </c>
      <c r="T165">
        <f t="shared" ref="T165" si="804">S165/1000</f>
        <v>-83.301451594397946</v>
      </c>
    </row>
    <row r="166" spans="1:20" x14ac:dyDescent="0.25">
      <c r="A166" s="5">
        <v>44427</v>
      </c>
      <c r="B166">
        <v>2.9923999999999999E-2</v>
      </c>
      <c r="C166">
        <v>3.2356000000000003E-2</v>
      </c>
      <c r="D166">
        <v>2.9003000000000001E-2</v>
      </c>
      <c r="E166">
        <v>3.1821000000000002E-2</v>
      </c>
      <c r="F166">
        <v>79875108</v>
      </c>
      <c r="G166">
        <v>3.1821000000000002E-2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0.68088279152997289</v>
      </c>
      <c r="Q166">
        <f t="shared" ref="Q166" si="806">F166*P166</f>
        <v>54385586.50879807</v>
      </c>
      <c r="R166">
        <f t="shared" ref="R166" si="807">R167+Q166</f>
        <v>-8359539965.498209</v>
      </c>
      <c r="S166">
        <f t="shared" ref="S166" si="808">R166/100000</f>
        <v>-83595.399654982088</v>
      </c>
      <c r="T166">
        <f t="shared" ref="T166" si="809">S166/1000</f>
        <v>-83.595399654982089</v>
      </c>
    </row>
    <row r="167" spans="1:20" x14ac:dyDescent="0.25">
      <c r="A167" s="5">
        <v>44426</v>
      </c>
      <c r="B167">
        <v>2.9950999999999998E-2</v>
      </c>
      <c r="C167">
        <v>3.1382E-2</v>
      </c>
      <c r="D167">
        <v>2.9000000000000001E-2</v>
      </c>
      <c r="E167">
        <v>2.9923999999999999E-2</v>
      </c>
      <c r="F167">
        <v>103431585</v>
      </c>
      <c r="G167">
        <v>2.9923999999999999E-2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-0.2241813602015128</v>
      </c>
      <c r="Q167">
        <f t="shared" ref="Q167" si="811">F167*P167</f>
        <v>-23187433.413098387</v>
      </c>
      <c r="R167">
        <f t="shared" ref="R167" si="812">R168+Q167</f>
        <v>-8413925552.0070066</v>
      </c>
      <c r="S167">
        <f t="shared" ref="S167" si="813">R167/100000</f>
        <v>-84139.255520070074</v>
      </c>
      <c r="T167">
        <f t="shared" ref="T167" si="814">S167/1000</f>
        <v>-84.13925552007008</v>
      </c>
    </row>
    <row r="168" spans="1:20" x14ac:dyDescent="0.25">
      <c r="A168" s="5">
        <v>44425</v>
      </c>
      <c r="B168">
        <v>3.2870000000000003E-2</v>
      </c>
      <c r="C168">
        <v>3.3999000000000001E-2</v>
      </c>
      <c r="D168">
        <v>2.9780000000000001E-2</v>
      </c>
      <c r="E168">
        <v>2.9953E-2</v>
      </c>
      <c r="F168">
        <v>56731810</v>
      </c>
      <c r="G168">
        <v>2.9953E-2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-0.91799004503436854</v>
      </c>
      <c r="Q168">
        <f t="shared" ref="Q168" si="816">F168*P168</f>
        <v>-52079236.816781238</v>
      </c>
      <c r="R168">
        <f t="shared" ref="R168" si="817">R169+Q168</f>
        <v>-8390738118.5939083</v>
      </c>
      <c r="S168">
        <f t="shared" ref="S168" si="818">R168/100000</f>
        <v>-83907.381185939084</v>
      </c>
      <c r="T168">
        <f t="shared" ref="T168" si="819">S168/1000</f>
        <v>-83.907381185939087</v>
      </c>
    </row>
    <row r="169" spans="1:20" x14ac:dyDescent="0.25">
      <c r="A169" s="5">
        <v>44424</v>
      </c>
      <c r="B169">
        <v>3.3177999999999999E-2</v>
      </c>
      <c r="C169">
        <v>3.5400000000000001E-2</v>
      </c>
      <c r="D169">
        <v>3.2646000000000001E-2</v>
      </c>
      <c r="E169">
        <v>3.2783E-2</v>
      </c>
      <c r="F169">
        <v>125665765</v>
      </c>
      <c r="G169">
        <v>3.2783E-2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-0.90050835148874486</v>
      </c>
      <c r="Q169">
        <f t="shared" ref="Q169" si="821">F169*P169</f>
        <v>-113163070.87872201</v>
      </c>
      <c r="R169">
        <f t="shared" ref="R169" si="822">R170+Q169</f>
        <v>-8338658881.7771273</v>
      </c>
      <c r="S169">
        <f t="shared" ref="S169" si="823">R169/100000</f>
        <v>-83386.588817771277</v>
      </c>
      <c r="T169">
        <f t="shared" ref="T169" si="824">S169/1000</f>
        <v>-83.386588817771283</v>
      </c>
    </row>
    <row r="170" spans="1:20" x14ac:dyDescent="0.25">
      <c r="A170" s="5">
        <v>44423</v>
      </c>
      <c r="B170">
        <v>3.3012E-2</v>
      </c>
      <c r="C170">
        <v>3.3500000000000002E-2</v>
      </c>
      <c r="D170">
        <v>3.1404000000000001E-2</v>
      </c>
      <c r="E170">
        <v>3.3119999999999997E-2</v>
      </c>
      <c r="F170">
        <v>107084541</v>
      </c>
      <c r="G170">
        <v>3.3119999999999997E-2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0.63740458015266677</v>
      </c>
      <c r="Q170">
        <f t="shared" ref="Q170" si="826">F170*P170</f>
        <v>68256176.896946028</v>
      </c>
      <c r="R170">
        <f t="shared" ref="R170" si="827">R171+Q170</f>
        <v>-8225495810.8984051</v>
      </c>
      <c r="S170">
        <f t="shared" ref="S170" si="828">R170/100000</f>
        <v>-82254.95810898405</v>
      </c>
      <c r="T170">
        <f t="shared" ref="T170" si="829">S170/1000</f>
        <v>-82.254958108984056</v>
      </c>
    </row>
    <row r="171" spans="1:20" x14ac:dyDescent="0.25">
      <c r="A171" s="5">
        <v>44422</v>
      </c>
      <c r="B171">
        <v>3.3958000000000002E-2</v>
      </c>
      <c r="C171">
        <v>3.5497000000000001E-2</v>
      </c>
      <c r="D171">
        <v>3.1899999999999998E-2</v>
      </c>
      <c r="E171">
        <v>3.2953999999999997E-2</v>
      </c>
      <c r="F171">
        <v>86438649</v>
      </c>
      <c r="G171">
        <v>3.2953999999999997E-2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-0.41395607450653404</v>
      </c>
      <c r="Q171">
        <f t="shared" ref="Q171" si="831">F171*P171</f>
        <v>-35781803.825688146</v>
      </c>
      <c r="R171">
        <f t="shared" ref="R171" si="832">R172+Q171</f>
        <v>-8293751987.795351</v>
      </c>
      <c r="S171">
        <f t="shared" ref="S171" si="833">R171/100000</f>
        <v>-82937.519877953513</v>
      </c>
      <c r="T171">
        <f t="shared" ref="T171" si="834">S171/1000</f>
        <v>-82.93751987795352</v>
      </c>
    </row>
    <row r="172" spans="1:20" x14ac:dyDescent="0.25">
      <c r="A172" s="5">
        <v>44421</v>
      </c>
      <c r="B172">
        <v>3.0297999999999999E-2</v>
      </c>
      <c r="C172">
        <v>3.5499999999999997E-2</v>
      </c>
      <c r="D172">
        <v>2.9894E-2</v>
      </c>
      <c r="E172">
        <v>3.4028000000000003E-2</v>
      </c>
      <c r="F172">
        <v>129790229</v>
      </c>
      <c r="G172">
        <v>3.4028000000000003E-2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0.47484837673920977</v>
      </c>
      <c r="Q172">
        <f t="shared" ref="Q172" si="836">F172*P172</f>
        <v>61630679.557260312</v>
      </c>
      <c r="R172">
        <f t="shared" ref="R172" si="837">R173+Q172</f>
        <v>-8257970183.9696627</v>
      </c>
      <c r="S172">
        <f t="shared" ref="S172" si="838">R172/100000</f>
        <v>-82579.70183969663</v>
      </c>
      <c r="T172">
        <f t="shared" ref="T172" si="839">S172/1000</f>
        <v>-82.579701839696625</v>
      </c>
    </row>
    <row r="173" spans="1:20" x14ac:dyDescent="0.25">
      <c r="A173" s="5">
        <v>44420</v>
      </c>
      <c r="B173">
        <v>3.0599999999999999E-2</v>
      </c>
      <c r="C173">
        <v>3.2541E-2</v>
      </c>
      <c r="D173">
        <v>2.8500000000000001E-2</v>
      </c>
      <c r="E173">
        <v>3.0300000000000001E-2</v>
      </c>
      <c r="F173">
        <v>114579512</v>
      </c>
      <c r="G173">
        <v>3.0300000000000001E-2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-0.1091314031180402</v>
      </c>
      <c r="Q173">
        <f t="shared" ref="Q173" si="841">F173*P173</f>
        <v>-12504222.913140325</v>
      </c>
      <c r="R173">
        <f t="shared" ref="R173" si="842">R174+Q173</f>
        <v>-8319600863.5269232</v>
      </c>
      <c r="S173">
        <f t="shared" ref="S173" si="843">R173/100000</f>
        <v>-83196.008635269231</v>
      </c>
      <c r="T173">
        <f t="shared" ref="T173" si="844">S173/1000</f>
        <v>-83.196008635269237</v>
      </c>
    </row>
    <row r="174" spans="1:20" x14ac:dyDescent="0.25">
      <c r="A174" s="5">
        <v>44419</v>
      </c>
      <c r="B174">
        <v>2.9626E-2</v>
      </c>
      <c r="C174">
        <v>3.2932999999999997E-2</v>
      </c>
      <c r="D174">
        <v>2.9499999999999998E-2</v>
      </c>
      <c r="E174">
        <v>3.0630000000000001E-2</v>
      </c>
      <c r="F174">
        <v>164511919</v>
      </c>
      <c r="G174">
        <v>3.0630000000000001E-2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-0.34168365860763006</v>
      </c>
      <c r="Q174">
        <f t="shared" ref="Q174" si="846">F174*P174</f>
        <v>-56211034.368482091</v>
      </c>
      <c r="R174">
        <f t="shared" ref="R174" si="847">R175+Q174</f>
        <v>-8307096640.6137829</v>
      </c>
      <c r="S174">
        <f t="shared" ref="S174" si="848">R174/100000</f>
        <v>-83070.966406137828</v>
      </c>
      <c r="T174">
        <f t="shared" ref="T174" si="849">S174/1000</f>
        <v>-83.070966406137828</v>
      </c>
    </row>
    <row r="175" spans="1:20" x14ac:dyDescent="0.25">
      <c r="A175" s="5">
        <v>44418</v>
      </c>
      <c r="B175">
        <v>3.0071000000000001E-2</v>
      </c>
      <c r="C175">
        <v>3.1980000000000001E-2</v>
      </c>
      <c r="D175">
        <v>2.8487999999999999E-2</v>
      </c>
      <c r="E175">
        <v>2.9680000000000002E-2</v>
      </c>
      <c r="F175">
        <v>101608312</v>
      </c>
      <c r="G175">
        <v>2.9680000000000002E-2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-0.3172966781214196</v>
      </c>
      <c r="Q175">
        <f t="shared" ref="Q175" si="851">F175*P175</f>
        <v>-32239979.867124777</v>
      </c>
      <c r="R175">
        <f t="shared" ref="R175" si="852">R176+Q175</f>
        <v>-8250885606.2453012</v>
      </c>
      <c r="S175">
        <f t="shared" ref="S175" si="853">R175/100000</f>
        <v>-82508.856062453007</v>
      </c>
      <c r="T175">
        <f t="shared" ref="T175" si="854">S175/1000</f>
        <v>-82.508856062453006</v>
      </c>
    </row>
    <row r="176" spans="1:20" x14ac:dyDescent="0.25">
      <c r="A176" s="5">
        <v>44417</v>
      </c>
      <c r="B176">
        <v>2.8121E-2</v>
      </c>
      <c r="C176">
        <v>3.0849999999999999E-2</v>
      </c>
      <c r="D176">
        <v>2.6904000000000001E-2</v>
      </c>
      <c r="E176">
        <v>3.0048999999999999E-2</v>
      </c>
      <c r="F176">
        <v>112195716</v>
      </c>
      <c r="G176">
        <v>3.0048999999999999E-2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0.59401926001013683</v>
      </c>
      <c r="Q176">
        <f t="shared" ref="Q176" si="856">F176*P176</f>
        <v>66646416.194627471</v>
      </c>
      <c r="R176">
        <f t="shared" ref="R176" si="857">R177+Q176</f>
        <v>-8218645626.3781767</v>
      </c>
      <c r="S176">
        <f t="shared" ref="S176" si="858">R176/100000</f>
        <v>-82186.456263781773</v>
      </c>
      <c r="T176">
        <f t="shared" ref="T176" si="859">S176/1000</f>
        <v>-82.186456263781778</v>
      </c>
    </row>
    <row r="177" spans="1:20" x14ac:dyDescent="0.25">
      <c r="A177" s="5">
        <v>44416</v>
      </c>
      <c r="B177">
        <v>3.0155000000000001E-2</v>
      </c>
      <c r="C177">
        <v>3.3175000000000003E-2</v>
      </c>
      <c r="D177">
        <v>2.7774E-2</v>
      </c>
      <c r="E177">
        <v>2.8107E-2</v>
      </c>
      <c r="F177">
        <v>247983550</v>
      </c>
      <c r="G177">
        <v>2.8107E-2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-0.87668950194408446</v>
      </c>
      <c r="Q177">
        <f t="shared" ref="Q177" si="861">F177*P177</f>
        <v>-217404574.93982595</v>
      </c>
      <c r="R177">
        <f t="shared" ref="R177" si="862">R178+Q177</f>
        <v>-8285292042.5728045</v>
      </c>
      <c r="S177">
        <f t="shared" ref="S177" si="863">R177/100000</f>
        <v>-82852.920425728051</v>
      </c>
      <c r="T177">
        <f t="shared" ref="T177" si="864">S177/1000</f>
        <v>-82.852920425728044</v>
      </c>
    </row>
    <row r="178" spans="1:20" x14ac:dyDescent="0.25">
      <c r="A178" s="5">
        <v>44415</v>
      </c>
      <c r="B178">
        <v>2.5463E-2</v>
      </c>
      <c r="C178">
        <v>3.1708E-2</v>
      </c>
      <c r="D178">
        <v>2.5149999999999999E-2</v>
      </c>
      <c r="E178">
        <v>3.0084E-2</v>
      </c>
      <c r="F178">
        <v>334518496</v>
      </c>
      <c r="G178">
        <v>3.0084E-2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0.50472705093016157</v>
      </c>
      <c r="Q178">
        <f t="shared" ref="Q178" si="866">F178*P178</f>
        <v>168840533.96767306</v>
      </c>
      <c r="R178">
        <f t="shared" ref="R178" si="867">R179+Q178</f>
        <v>-8067887467.6329784</v>
      </c>
      <c r="S178">
        <f t="shared" ref="S178" si="868">R178/100000</f>
        <v>-80678.874676329782</v>
      </c>
      <c r="T178">
        <f t="shared" ref="T178" si="869">S178/1000</f>
        <v>-80.678874676329784</v>
      </c>
    </row>
    <row r="179" spans="1:20" x14ac:dyDescent="0.25">
      <c r="A179" s="5">
        <v>44414</v>
      </c>
      <c r="B179">
        <v>2.6526000000000001E-2</v>
      </c>
      <c r="C179">
        <v>2.6705E-2</v>
      </c>
      <c r="D179">
        <v>2.5080000000000002E-2</v>
      </c>
      <c r="E179">
        <v>2.5463E-2</v>
      </c>
      <c r="F179">
        <v>103222327</v>
      </c>
      <c r="G179">
        <v>2.5463E-2</v>
      </c>
      <c r="L179" t="s">
        <v>7</v>
      </c>
      <c r="M179" t="s">
        <v>7</v>
      </c>
      <c r="N179" t="s">
        <v>8</v>
      </c>
      <c r="P179">
        <f t="shared" ref="P179" si="870">IF(C179=D179,0,((E179-D179)-(C179-E179))/(C179-D179))</f>
        <v>-0.5286153846153866</v>
      </c>
      <c r="Q179">
        <f t="shared" ref="Q179" si="871">F179*P179</f>
        <v>-54564910.088000208</v>
      </c>
      <c r="R179">
        <f t="shared" ref="R179" si="872">R180+Q179</f>
        <v>-8236728001.6006517</v>
      </c>
      <c r="S179">
        <f t="shared" ref="S179" si="873">R179/100000</f>
        <v>-82367.280016006524</v>
      </c>
      <c r="T179">
        <f t="shared" ref="T179" si="874">S179/1000</f>
        <v>-82.367280016006518</v>
      </c>
    </row>
    <row r="180" spans="1:20" x14ac:dyDescent="0.25">
      <c r="A180" s="5">
        <v>44413</v>
      </c>
      <c r="B180">
        <v>2.5774999999999999E-2</v>
      </c>
      <c r="C180">
        <v>2.7199000000000001E-2</v>
      </c>
      <c r="D180">
        <v>2.4594000000000001E-2</v>
      </c>
      <c r="E180">
        <v>2.6526000000000001E-2</v>
      </c>
      <c r="F180">
        <v>148630104</v>
      </c>
      <c r="G180">
        <v>2.6526000000000001E-2</v>
      </c>
      <c r="L180" t="s">
        <v>8</v>
      </c>
      <c r="M180" t="s">
        <v>7</v>
      </c>
      <c r="N180" t="s">
        <v>8</v>
      </c>
      <c r="P180">
        <f t="shared" ref="P180" si="875">IF(C180=D180,0,((E180-D180)-(C180-E180))/(C180-D180))</f>
        <v>0.48330134357005755</v>
      </c>
      <c r="Q180">
        <f t="shared" ref="Q180" si="876">F180*P180</f>
        <v>71833128.95815739</v>
      </c>
      <c r="R180">
        <f t="shared" ref="R180" si="877">R181+Q180</f>
        <v>-8182163091.5126514</v>
      </c>
      <c r="S180">
        <f t="shared" ref="S180" si="878">R180/100000</f>
        <v>-81821.630915126516</v>
      </c>
      <c r="T180">
        <f t="shared" ref="T180" si="879">S180/1000</f>
        <v>-81.821630915126519</v>
      </c>
    </row>
    <row r="181" spans="1:20" x14ac:dyDescent="0.25">
      <c r="A181" s="5">
        <v>44412</v>
      </c>
      <c r="B181">
        <v>2.4653999999999999E-2</v>
      </c>
      <c r="C181">
        <v>2.7E-2</v>
      </c>
      <c r="D181">
        <v>2.3599999999999999E-2</v>
      </c>
      <c r="E181">
        <v>2.5776E-2</v>
      </c>
      <c r="F181">
        <v>140983245</v>
      </c>
      <c r="G181">
        <v>2.5776E-2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0.28000000000000042</v>
      </c>
      <c r="Q181">
        <f t="shared" ref="Q181" si="881">F181*P181</f>
        <v>39475308.600000061</v>
      </c>
      <c r="R181">
        <f t="shared" ref="R181" si="882">R182+Q181</f>
        <v>-8253996220.470809</v>
      </c>
      <c r="S181">
        <f t="shared" ref="S181" si="883">R181/100000</f>
        <v>-82539.962204708092</v>
      </c>
      <c r="T181">
        <f t="shared" ref="T181" si="884">S181/1000</f>
        <v>-82.53996220470809</v>
      </c>
    </row>
    <row r="182" spans="1:20" x14ac:dyDescent="0.25">
      <c r="A182" s="5">
        <v>44411</v>
      </c>
      <c r="B182">
        <v>2.6193999999999999E-2</v>
      </c>
      <c r="C182">
        <v>2.7199999999999998E-2</v>
      </c>
      <c r="D182">
        <v>2.3939999999999999E-2</v>
      </c>
      <c r="E182">
        <v>2.4617E-2</v>
      </c>
      <c r="F182">
        <v>196103983</v>
      </c>
      <c r="G182">
        <v>2.4617E-2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-0.58466257668711608</v>
      </c>
      <c r="Q182">
        <f t="shared" ref="Q182" si="886">F182*P182</f>
        <v>-114654659.9993864</v>
      </c>
      <c r="R182">
        <f t="shared" ref="R182" si="887">R183+Q182</f>
        <v>-8293471529.0708094</v>
      </c>
      <c r="S182">
        <f t="shared" ref="S182" si="888">R182/100000</f>
        <v>-82934.715290708089</v>
      </c>
      <c r="T182">
        <f t="shared" ref="T182" si="889">S182/1000</f>
        <v>-82.934715290708084</v>
      </c>
    </row>
    <row r="183" spans="1:20" x14ac:dyDescent="0.25">
      <c r="A183" s="5">
        <v>44410</v>
      </c>
      <c r="B183">
        <v>2.2369E-2</v>
      </c>
      <c r="C183">
        <v>2.8548E-2</v>
      </c>
      <c r="D183">
        <v>2.2013000000000001E-2</v>
      </c>
      <c r="E183">
        <v>2.6193999999999999E-2</v>
      </c>
      <c r="F183">
        <v>437104791</v>
      </c>
      <c r="G183">
        <v>2.6193999999999999E-2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0.27957153787299088</v>
      </c>
      <c r="Q183">
        <f t="shared" ref="Q183" si="891">F183*P183</f>
        <v>122202058.63152227</v>
      </c>
      <c r="R183">
        <f t="shared" ref="R183" si="892">R184+Q183</f>
        <v>-8178816869.0714226</v>
      </c>
      <c r="S183">
        <f t="shared" ref="S183" si="893">R183/100000</f>
        <v>-81788.168690714228</v>
      </c>
      <c r="T183">
        <f t="shared" ref="T183" si="894">S183/1000</f>
        <v>-81.78816869071423</v>
      </c>
    </row>
    <row r="184" spans="1:20" x14ac:dyDescent="0.25">
      <c r="A184" s="5">
        <v>44409</v>
      </c>
      <c r="B184">
        <v>2.2016000000000001E-2</v>
      </c>
      <c r="C184">
        <v>2.3998999999999999E-2</v>
      </c>
      <c r="D184">
        <v>2.1942E-2</v>
      </c>
      <c r="E184">
        <v>2.2332000000000001E-2</v>
      </c>
      <c r="F184">
        <v>82097268</v>
      </c>
      <c r="G184">
        <v>2.2332000000000001E-2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-0.62080700048614346</v>
      </c>
      <c r="Q184">
        <f t="shared" ref="Q184" si="896">F184*P184</f>
        <v>-50966558.695187047</v>
      </c>
      <c r="R184">
        <f t="shared" ref="R184" si="897">R185+Q184</f>
        <v>-8301018927.7029448</v>
      </c>
      <c r="S184">
        <f t="shared" ref="S184" si="898">R184/100000</f>
        <v>-83010.189277029451</v>
      </c>
      <c r="T184">
        <f t="shared" ref="T184" si="899">S184/1000</f>
        <v>-83.010189277029454</v>
      </c>
    </row>
    <row r="185" spans="1:20" x14ac:dyDescent="0.25">
      <c r="A185" s="5">
        <v>44408</v>
      </c>
      <c r="B185">
        <v>2.2020000000000001E-2</v>
      </c>
      <c r="C185">
        <v>2.2592000000000001E-2</v>
      </c>
      <c r="D185">
        <v>2.163E-2</v>
      </c>
      <c r="E185">
        <v>2.2068999999999998E-2</v>
      </c>
      <c r="F185">
        <v>27879136</v>
      </c>
      <c r="G185">
        <v>2.2068999999999998E-2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-8.7318087318091597E-2</v>
      </c>
      <c r="Q185">
        <f t="shared" ref="Q185" si="901">F185*P185</f>
        <v>-2434352.831600951</v>
      </c>
      <c r="R185">
        <f t="shared" ref="R185" si="902">R186+Q185</f>
        <v>-8250052369.0077581</v>
      </c>
      <c r="S185">
        <f t="shared" ref="S185" si="903">R185/100000</f>
        <v>-82500.523690077578</v>
      </c>
      <c r="T185">
        <f t="shared" ref="T185" si="904">S185/1000</f>
        <v>-82.500523690077571</v>
      </c>
    </row>
    <row r="186" spans="1:20" x14ac:dyDescent="0.25">
      <c r="A186" s="5">
        <v>44407</v>
      </c>
      <c r="B186">
        <v>2.1637E-2</v>
      </c>
      <c r="C186">
        <v>2.2082000000000001E-2</v>
      </c>
      <c r="D186">
        <v>2.0565E-2</v>
      </c>
      <c r="E186">
        <v>2.2079999999999999E-2</v>
      </c>
      <c r="F186">
        <v>47706708</v>
      </c>
      <c r="G186">
        <v>2.2079999999999999E-2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0.99736321687540941</v>
      </c>
      <c r="Q186">
        <f t="shared" ref="Q186" si="906">F186*P186</f>
        <v>47580915.757415831</v>
      </c>
      <c r="R186">
        <f t="shared" ref="R186" si="907">R187+Q186</f>
        <v>-8247618016.176157</v>
      </c>
      <c r="S186">
        <f t="shared" ref="S186" si="908">R186/100000</f>
        <v>-82476.180161761571</v>
      </c>
      <c r="T186">
        <f t="shared" ref="T186" si="909">S186/1000</f>
        <v>-82.476180161761576</v>
      </c>
    </row>
    <row r="187" spans="1:20" x14ac:dyDescent="0.25">
      <c r="A187" s="5">
        <v>44406</v>
      </c>
      <c r="B187">
        <v>2.1552000000000002E-2</v>
      </c>
      <c r="C187">
        <v>2.2093999999999999E-2</v>
      </c>
      <c r="D187">
        <v>2.1111000000000001E-2</v>
      </c>
      <c r="E187">
        <v>2.1628000000000001E-2</v>
      </c>
      <c r="F187">
        <v>36209534</v>
      </c>
      <c r="G187">
        <v>2.1628000000000001E-2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5.1881993896238605E-2</v>
      </c>
      <c r="Q187">
        <f t="shared" ref="Q187" si="911">F187*P187</f>
        <v>1878622.8219736442</v>
      </c>
      <c r="R187">
        <f t="shared" ref="R187" si="912">R188+Q187</f>
        <v>-8295198931.9335728</v>
      </c>
      <c r="S187">
        <f t="shared" ref="S187" si="913">R187/100000</f>
        <v>-82951.989319335727</v>
      </c>
      <c r="T187">
        <f t="shared" ref="T187" si="914">S187/1000</f>
        <v>-82.951989319335723</v>
      </c>
    </row>
    <row r="188" spans="1:20" x14ac:dyDescent="0.25">
      <c r="A188" s="5">
        <v>44405</v>
      </c>
      <c r="B188">
        <v>2.2214000000000001E-2</v>
      </c>
      <c r="C188">
        <v>2.2398000000000001E-2</v>
      </c>
      <c r="D188">
        <v>2.1375000000000002E-2</v>
      </c>
      <c r="E188">
        <v>2.1552000000000002E-2</v>
      </c>
      <c r="F188">
        <v>42224481</v>
      </c>
      <c r="G188">
        <v>2.1552000000000002E-2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-0.65395894428152468</v>
      </c>
      <c r="Q188">
        <f t="shared" ref="Q188" si="916">F188*P188</f>
        <v>-27613077.017595299</v>
      </c>
      <c r="R188">
        <f t="shared" ref="R188" si="917">R189+Q188</f>
        <v>-8297077554.7555466</v>
      </c>
      <c r="S188">
        <f t="shared" ref="S188" si="918">R188/100000</f>
        <v>-82970.775547555459</v>
      </c>
      <c r="T188">
        <f t="shared" ref="T188" si="919">S188/1000</f>
        <v>-82.970775547555462</v>
      </c>
    </row>
    <row r="189" spans="1:20" x14ac:dyDescent="0.25">
      <c r="A189" s="5">
        <v>44404</v>
      </c>
      <c r="B189">
        <v>2.1439E-2</v>
      </c>
      <c r="C189">
        <v>2.3969000000000001E-2</v>
      </c>
      <c r="D189">
        <v>2.0889000000000001E-2</v>
      </c>
      <c r="E189">
        <v>2.2214000000000001E-2</v>
      </c>
      <c r="F189">
        <v>142338973</v>
      </c>
      <c r="G189">
        <v>2.2214000000000001E-2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-0.13961038961038957</v>
      </c>
      <c r="Q189">
        <f t="shared" ref="Q189" si="921">F189*P189</f>
        <v>-19871999.477272723</v>
      </c>
      <c r="R189">
        <f t="shared" ref="R189" si="922">R190+Q189</f>
        <v>-8269464477.7379513</v>
      </c>
      <c r="S189">
        <f t="shared" ref="S189" si="923">R189/100000</f>
        <v>-82694.644777379508</v>
      </c>
      <c r="T189">
        <f t="shared" ref="T189" si="924">S189/1000</f>
        <v>-82.694644777379509</v>
      </c>
    </row>
    <row r="190" spans="1:20" x14ac:dyDescent="0.25">
      <c r="A190" s="5">
        <v>44403</v>
      </c>
      <c r="B190">
        <v>2.0159E-2</v>
      </c>
      <c r="C190">
        <v>2.3998999999999999E-2</v>
      </c>
      <c r="D190">
        <v>1.9990000000000001E-2</v>
      </c>
      <c r="E190">
        <v>2.1371000000000001E-2</v>
      </c>
      <c r="F190">
        <v>135345628</v>
      </c>
      <c r="G190">
        <v>2.1371000000000001E-2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-0.31105013719131919</v>
      </c>
      <c r="Q190">
        <f t="shared" ref="Q190" si="926">F190*P190</f>
        <v>-42099276.157645248</v>
      </c>
      <c r="R190">
        <f t="shared" ref="R190" si="927">R191+Q190</f>
        <v>-8249592478.2606783</v>
      </c>
      <c r="S190">
        <f t="shared" ref="S190" si="928">R190/100000</f>
        <v>-82495.924782606788</v>
      </c>
      <c r="T190">
        <f t="shared" ref="T190" si="929">S190/1000</f>
        <v>-82.495924782606792</v>
      </c>
    </row>
    <row r="191" spans="1:20" x14ac:dyDescent="0.25">
      <c r="A191" s="5">
        <v>44402</v>
      </c>
      <c r="B191">
        <v>2.0611000000000001E-2</v>
      </c>
      <c r="C191">
        <v>2.0660000000000001E-2</v>
      </c>
      <c r="D191">
        <v>1.9296000000000001E-2</v>
      </c>
      <c r="E191">
        <v>2.0083E-2</v>
      </c>
      <c r="F191">
        <v>44354576</v>
      </c>
      <c r="G191">
        <v>2.0083E-2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0.15395894428152368</v>
      </c>
      <c r="Q191">
        <f t="shared" ref="Q191" si="931">F191*P191</f>
        <v>6828783.6950146072</v>
      </c>
      <c r="R191">
        <f t="shared" ref="R191" si="932">R192+Q191</f>
        <v>-8207493202.1030331</v>
      </c>
      <c r="S191">
        <f t="shared" ref="S191" si="933">R191/100000</f>
        <v>-82074.932021030327</v>
      </c>
      <c r="T191">
        <f t="shared" ref="T191:T197" si="934">S191/1000</f>
        <v>-82.074932021030321</v>
      </c>
    </row>
    <row r="192" spans="1:20" x14ac:dyDescent="0.25">
      <c r="A192" s="5">
        <v>44401</v>
      </c>
      <c r="B192">
        <v>2.0573000000000001E-2</v>
      </c>
      <c r="C192">
        <v>2.0833999999999998E-2</v>
      </c>
      <c r="D192">
        <v>1.9851000000000001E-2</v>
      </c>
      <c r="E192">
        <v>2.0583000000000001E-2</v>
      </c>
      <c r="F192">
        <v>55364620</v>
      </c>
      <c r="G192">
        <v>2.0583000000000001E-2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0.48931841302136658</v>
      </c>
      <c r="Q192">
        <f t="shared" ref="Q192" si="936">F192*P192</f>
        <v>27090927.995931014</v>
      </c>
      <c r="R192">
        <f t="shared" ref="R192" si="937">R193+Q192</f>
        <v>-8214321985.798048</v>
      </c>
      <c r="S192">
        <f t="shared" ref="S192" si="938">R192/100000</f>
        <v>-82143.219857980483</v>
      </c>
      <c r="T192">
        <f t="shared" si="934"/>
        <v>-82.143219857980483</v>
      </c>
    </row>
    <row r="193" spans="1:20" x14ac:dyDescent="0.25">
      <c r="A193" s="5">
        <v>44400</v>
      </c>
      <c r="B193">
        <v>1.9674000000000001E-2</v>
      </c>
      <c r="C193">
        <v>2.0848999999999999E-2</v>
      </c>
      <c r="D193">
        <v>1.9200999999999999E-2</v>
      </c>
      <c r="E193">
        <v>2.069E-2</v>
      </c>
      <c r="F193">
        <v>62375767</v>
      </c>
      <c r="G193">
        <v>2.069E-2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0.80703883495145701</v>
      </c>
      <c r="Q193">
        <f t="shared" ref="Q193" si="940">F193*P193</f>
        <v>50339666.328883536</v>
      </c>
      <c r="R193">
        <f t="shared" ref="R193" si="941">R194+Q193</f>
        <v>-8241412913.7939787</v>
      </c>
      <c r="S193">
        <f t="shared" ref="S193" si="942">R193/100000</f>
        <v>-82414.129137939788</v>
      </c>
      <c r="T193">
        <f t="shared" si="934"/>
        <v>-82.414129137939781</v>
      </c>
    </row>
    <row r="194" spans="1:20" x14ac:dyDescent="0.25">
      <c r="A194" s="5">
        <v>44399</v>
      </c>
      <c r="B194">
        <v>1.8932000000000001E-2</v>
      </c>
      <c r="C194">
        <v>2.0497999999999999E-2</v>
      </c>
      <c r="D194">
        <v>1.8128999999999999E-2</v>
      </c>
      <c r="E194">
        <v>1.9678999999999999E-2</v>
      </c>
      <c r="F194">
        <v>103038773</v>
      </c>
      <c r="G194">
        <v>1.9678999999999999E-2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0.30856901646264212</v>
      </c>
      <c r="Q194">
        <f t="shared" ref="Q194" si="944">F194*P194</f>
        <v>31794572.842127446</v>
      </c>
      <c r="R194">
        <f t="shared" ref="R194" si="945">R195+Q194</f>
        <v>-8291752580.1228619</v>
      </c>
      <c r="S194">
        <f t="shared" ref="S194" si="946">R194/100000</f>
        <v>-82917.525801228621</v>
      </c>
      <c r="T194">
        <f t="shared" si="934"/>
        <v>-82.917525801228621</v>
      </c>
    </row>
    <row r="195" spans="1:20" x14ac:dyDescent="0.25">
      <c r="A195" s="5">
        <v>44398</v>
      </c>
      <c r="B195">
        <v>1.6395E-2</v>
      </c>
      <c r="C195">
        <v>1.8939999999999999E-2</v>
      </c>
      <c r="D195">
        <v>1.5949999999999999E-2</v>
      </c>
      <c r="E195">
        <v>1.8762000000000001E-2</v>
      </c>
      <c r="F195">
        <v>69318054</v>
      </c>
      <c r="G195">
        <v>1.8762000000000001E-2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0.88093645484949989</v>
      </c>
      <c r="Q195">
        <f t="shared" ref="Q195" si="948">F195*P195</f>
        <v>61064800.747826196</v>
      </c>
      <c r="R195">
        <f t="shared" ref="R195" si="949">R196+Q195</f>
        <v>-8323547152.9649897</v>
      </c>
      <c r="S195">
        <f t="shared" ref="S195" si="950">R195/100000</f>
        <v>-83235.471529649891</v>
      </c>
      <c r="T195">
        <f t="shared" si="934"/>
        <v>-83.235471529649885</v>
      </c>
    </row>
    <row r="196" spans="1:20" x14ac:dyDescent="0.25">
      <c r="A196" s="5">
        <v>44397</v>
      </c>
      <c r="B196">
        <v>1.7780000000000001E-2</v>
      </c>
      <c r="C196">
        <v>1.7989999999999999E-2</v>
      </c>
      <c r="D196">
        <v>1.5516E-2</v>
      </c>
      <c r="E196">
        <v>1.6361000000000001E-2</v>
      </c>
      <c r="F196">
        <v>61051986</v>
      </c>
      <c r="G196">
        <v>1.6361000000000001E-2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-0.31689571544058148</v>
      </c>
      <c r="Q196">
        <f t="shared" ref="Q196" si="952">F196*P196</f>
        <v>-19347112.782538366</v>
      </c>
      <c r="R196">
        <f t="shared" ref="R196" si="953">R197+Q196</f>
        <v>-8384611953.7128162</v>
      </c>
      <c r="S196">
        <f t="shared" ref="S196" si="954">R196/100000</f>
        <v>-83846.119537128165</v>
      </c>
      <c r="T196">
        <f t="shared" si="934"/>
        <v>-83.84611953712816</v>
      </c>
    </row>
    <row r="197" spans="1:20" x14ac:dyDescent="0.25">
      <c r="A197" s="5">
        <v>44396</v>
      </c>
      <c r="B197">
        <v>1.9455E-2</v>
      </c>
      <c r="C197">
        <v>1.9484999999999999E-2</v>
      </c>
      <c r="D197">
        <v>1.77E-2</v>
      </c>
      <c r="E197">
        <v>1.771E-2</v>
      </c>
      <c r="F197">
        <v>23450779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-0.9887955182072834</v>
      </c>
      <c r="Q197">
        <f t="shared" ref="Q197" si="956">F197*P197</f>
        <v>-23188025.17366948</v>
      </c>
      <c r="R197">
        <f t="shared" ref="R197" si="957">R198+Q197</f>
        <v>-8365264840.9302778</v>
      </c>
      <c r="S197">
        <f t="shared" ref="S197" si="958">R197/100000</f>
        <v>-83652.648409302783</v>
      </c>
      <c r="T197">
        <f t="shared" si="934"/>
        <v>-83.652648409302785</v>
      </c>
    </row>
    <row r="198" spans="1:20" x14ac:dyDescent="0.25">
      <c r="A198" s="5">
        <v>44395</v>
      </c>
      <c r="B198">
        <v>1.9415000000000002E-2</v>
      </c>
      <c r="C198">
        <v>1.9821999999999999E-2</v>
      </c>
      <c r="D198">
        <v>1.8925999999999998E-2</v>
      </c>
      <c r="E198">
        <v>1.9387000000000001E-2</v>
      </c>
      <c r="F198">
        <v>27341735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2.90178571428629E-2</v>
      </c>
      <c r="Q198">
        <f t="shared" ref="Q198:Q261" si="960">F198*P198</f>
        <v>793398.56026801455</v>
      </c>
      <c r="R198">
        <f t="shared" ref="R198:R261" si="961">R199+Q198</f>
        <v>-8342076815.756608</v>
      </c>
      <c r="S198">
        <f t="shared" ref="S198:S261" si="962">R198/100000</f>
        <v>-83420.768157566083</v>
      </c>
      <c r="T198">
        <f t="shared" ref="T198:T261" si="963">S198/1000</f>
        <v>-83.420768157566087</v>
      </c>
    </row>
    <row r="199" spans="1:20" x14ac:dyDescent="0.25">
      <c r="A199" s="5">
        <v>44394</v>
      </c>
      <c r="B199">
        <v>1.9869000000000001E-2</v>
      </c>
      <c r="C199">
        <v>2.0455000000000001E-2</v>
      </c>
      <c r="D199">
        <v>1.9002000000000002E-2</v>
      </c>
      <c r="E199">
        <v>1.9335999999999999E-2</v>
      </c>
      <c r="F199">
        <v>40173808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-0.54026152787336867</v>
      </c>
      <c r="Q199">
        <f t="shared" si="960"/>
        <v>-21704362.890571363</v>
      </c>
      <c r="R199">
        <f t="shared" si="961"/>
        <v>-8342870214.3168764</v>
      </c>
      <c r="S199">
        <f t="shared" si="962"/>
        <v>-83428.702143168761</v>
      </c>
      <c r="T199">
        <f t="shared" si="963"/>
        <v>-83.428702143168763</v>
      </c>
    </row>
    <row r="200" spans="1:20" x14ac:dyDescent="0.25">
      <c r="A200" s="5">
        <v>44393</v>
      </c>
      <c r="B200">
        <v>2.0213999999999999E-2</v>
      </c>
      <c r="C200">
        <v>2.1000000000000001E-2</v>
      </c>
      <c r="D200">
        <v>1.941E-2</v>
      </c>
      <c r="E200">
        <v>1.9806000000000001E-2</v>
      </c>
      <c r="F200">
        <v>39769894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-0.50188679245282986</v>
      </c>
      <c r="Q200">
        <f t="shared" si="960"/>
        <v>-19959984.535849042</v>
      </c>
      <c r="R200">
        <f t="shared" si="961"/>
        <v>-8321165851.4263048</v>
      </c>
      <c r="S200">
        <f t="shared" si="962"/>
        <v>-83211.65851426305</v>
      </c>
      <c r="T200">
        <f t="shared" si="963"/>
        <v>-83.21165851426305</v>
      </c>
    </row>
    <row r="201" spans="1:20" x14ac:dyDescent="0.25">
      <c r="A201" s="5">
        <v>44392</v>
      </c>
      <c r="B201">
        <v>2.1160999999999999E-2</v>
      </c>
      <c r="C201">
        <v>2.1944999999999999E-2</v>
      </c>
      <c r="D201">
        <v>1.9640000000000001E-2</v>
      </c>
      <c r="E201">
        <v>2.0147999999999999E-2</v>
      </c>
      <c r="F201">
        <v>69773094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-0.5592190889370946</v>
      </c>
      <c r="Q201">
        <f t="shared" si="960"/>
        <v>-39018446.059002258</v>
      </c>
      <c r="R201">
        <f t="shared" si="961"/>
        <v>-8301205866.8904562</v>
      </c>
      <c r="S201">
        <f t="shared" si="962"/>
        <v>-83012.058668904559</v>
      </c>
      <c r="T201">
        <f t="shared" si="963"/>
        <v>-83.012058668904558</v>
      </c>
    </row>
    <row r="202" spans="1:20" x14ac:dyDescent="0.25">
      <c r="A202" s="5">
        <v>44391</v>
      </c>
      <c r="B202">
        <v>2.1842E-2</v>
      </c>
      <c r="C202">
        <v>2.1842E-2</v>
      </c>
      <c r="D202">
        <v>2.0013E-2</v>
      </c>
      <c r="E202">
        <v>2.1139000000000002E-2</v>
      </c>
      <c r="F202">
        <v>55295005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0.23127392017496068</v>
      </c>
      <c r="Q202">
        <f t="shared" si="960"/>
        <v>12788292.572444052</v>
      </c>
      <c r="R202">
        <f t="shared" si="961"/>
        <v>-8262187420.8314543</v>
      </c>
      <c r="S202">
        <f t="shared" si="962"/>
        <v>-82621.874208314548</v>
      </c>
      <c r="T202">
        <f t="shared" si="963"/>
        <v>-82.621874208314551</v>
      </c>
    </row>
    <row r="203" spans="1:20" x14ac:dyDescent="0.25">
      <c r="A203" s="5">
        <v>44390</v>
      </c>
      <c r="B203">
        <v>2.283E-2</v>
      </c>
      <c r="C203">
        <v>2.3210000000000001E-2</v>
      </c>
      <c r="D203">
        <v>2.1229999999999999E-2</v>
      </c>
      <c r="E203">
        <v>2.1839999999999998E-2</v>
      </c>
      <c r="F203">
        <v>40406846</v>
      </c>
      <c r="G203">
        <v>0</v>
      </c>
      <c r="L203" t="s">
        <v>7</v>
      </c>
      <c r="M203" t="s">
        <v>8</v>
      </c>
      <c r="N203" t="s">
        <v>8</v>
      </c>
      <c r="P203">
        <f t="shared" si="959"/>
        <v>-0.3838383838383852</v>
      </c>
      <c r="Q203">
        <f t="shared" si="960"/>
        <v>-15509698.46464652</v>
      </c>
      <c r="R203">
        <f t="shared" si="961"/>
        <v>-8274975713.4038982</v>
      </c>
      <c r="S203">
        <f t="shared" si="962"/>
        <v>-82749.757134038984</v>
      </c>
      <c r="T203">
        <f t="shared" si="963"/>
        <v>-82.749757134038987</v>
      </c>
    </row>
    <row r="204" spans="1:20" x14ac:dyDescent="0.25">
      <c r="A204" s="5">
        <v>44389</v>
      </c>
      <c r="B204">
        <v>2.3050999999999999E-2</v>
      </c>
      <c r="C204">
        <v>2.5236000000000001E-2</v>
      </c>
      <c r="D204">
        <v>2.2019E-2</v>
      </c>
      <c r="E204">
        <v>2.2835000000000001E-2</v>
      </c>
      <c r="F204">
        <v>70099221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-0.49269505750699383</v>
      </c>
      <c r="Q204">
        <f t="shared" si="960"/>
        <v>-34537539.72179047</v>
      </c>
      <c r="R204">
        <f t="shared" si="961"/>
        <v>-8259466014.9392519</v>
      </c>
      <c r="S204">
        <f t="shared" si="962"/>
        <v>-82594.660149392512</v>
      </c>
      <c r="T204">
        <f t="shared" si="963"/>
        <v>-82.59466014939251</v>
      </c>
    </row>
    <row r="205" spans="1:20" x14ac:dyDescent="0.25">
      <c r="A205" s="5">
        <v>44388</v>
      </c>
      <c r="B205">
        <v>2.2544000000000002E-2</v>
      </c>
      <c r="C205">
        <v>2.4039999999999999E-2</v>
      </c>
      <c r="D205">
        <v>2.2086999999999999E-2</v>
      </c>
      <c r="E205">
        <v>2.3050999999999999E-2</v>
      </c>
      <c r="F205">
        <v>34732260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-1.2800819252432523E-2</v>
      </c>
      <c r="Q205">
        <f t="shared" si="960"/>
        <v>-444601.382488492</v>
      </c>
      <c r="R205">
        <f t="shared" si="961"/>
        <v>-8224928475.2174616</v>
      </c>
      <c r="S205">
        <f t="shared" si="962"/>
        <v>-82249.284752174615</v>
      </c>
      <c r="T205">
        <f t="shared" si="963"/>
        <v>-82.249284752174617</v>
      </c>
    </row>
    <row r="206" spans="1:20" x14ac:dyDescent="0.25">
      <c r="A206" s="5">
        <v>44387</v>
      </c>
      <c r="B206">
        <v>2.3011E-2</v>
      </c>
      <c r="C206">
        <v>2.3539999999999998E-2</v>
      </c>
      <c r="D206">
        <v>2.2249000000000001E-2</v>
      </c>
      <c r="E206">
        <v>2.2544000000000002E-2</v>
      </c>
      <c r="F206">
        <v>18462921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-0.54298993028659825</v>
      </c>
      <c r="Q206">
        <f t="shared" si="960"/>
        <v>-10025180.186676972</v>
      </c>
      <c r="R206">
        <f t="shared" si="961"/>
        <v>-8224483873.8349733</v>
      </c>
      <c r="S206">
        <f t="shared" si="962"/>
        <v>-82244.838738349732</v>
      </c>
      <c r="T206">
        <f t="shared" si="963"/>
        <v>-82.244838738349728</v>
      </c>
    </row>
    <row r="207" spans="1:20" x14ac:dyDescent="0.25">
      <c r="A207" s="5">
        <v>44386</v>
      </c>
      <c r="B207">
        <v>2.2487E-2</v>
      </c>
      <c r="C207">
        <v>2.4500000000000001E-2</v>
      </c>
      <c r="D207">
        <v>2.1170999999999999E-2</v>
      </c>
      <c r="E207">
        <v>2.2934E-2</v>
      </c>
      <c r="F207">
        <v>35779845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5.9176930009011454E-2</v>
      </c>
      <c r="Q207">
        <f t="shared" si="960"/>
        <v>2117341.3832982783</v>
      </c>
      <c r="R207">
        <f t="shared" si="961"/>
        <v>-8214458693.6482964</v>
      </c>
      <c r="S207">
        <f t="shared" si="962"/>
        <v>-82144.58693648297</v>
      </c>
      <c r="T207">
        <f t="shared" si="963"/>
        <v>-82.144586936482966</v>
      </c>
    </row>
    <row r="208" spans="1:20" x14ac:dyDescent="0.25">
      <c r="A208" s="5">
        <v>44385</v>
      </c>
      <c r="B208">
        <v>2.4261000000000001E-2</v>
      </c>
      <c r="C208">
        <v>2.4395E-2</v>
      </c>
      <c r="D208">
        <v>2.1666999999999999E-2</v>
      </c>
      <c r="E208">
        <v>2.2488000000000001E-2</v>
      </c>
      <c r="F208">
        <v>61277539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-0.39809384164222733</v>
      </c>
      <c r="Q208">
        <f t="shared" si="960"/>
        <v>-24394210.906891409</v>
      </c>
      <c r="R208">
        <f t="shared" si="961"/>
        <v>-8216576035.0315943</v>
      </c>
      <c r="S208">
        <f t="shared" si="962"/>
        <v>-82165.760350315948</v>
      </c>
      <c r="T208">
        <f t="shared" si="963"/>
        <v>-82.165760350315949</v>
      </c>
    </row>
    <row r="209" spans="1:20" x14ac:dyDescent="0.25">
      <c r="A209" s="5">
        <v>44384</v>
      </c>
      <c r="B209">
        <v>2.3210999999999999E-2</v>
      </c>
      <c r="C209">
        <v>2.5877000000000001E-2</v>
      </c>
      <c r="D209">
        <v>2.2876000000000001E-2</v>
      </c>
      <c r="E209">
        <v>2.4316999999999998E-2</v>
      </c>
      <c r="F209">
        <v>116025682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-3.9653448850384708E-2</v>
      </c>
      <c r="Q209">
        <f t="shared" si="960"/>
        <v>-4600818.4465180021</v>
      </c>
      <c r="R209">
        <f t="shared" si="961"/>
        <v>-8192181824.1247025</v>
      </c>
      <c r="S209">
        <f t="shared" si="962"/>
        <v>-81921.81824124702</v>
      </c>
      <c r="T209">
        <f t="shared" si="963"/>
        <v>-81.921818241247024</v>
      </c>
    </row>
    <row r="210" spans="1:20" x14ac:dyDescent="0.25">
      <c r="A210" s="5">
        <v>44383</v>
      </c>
      <c r="B210">
        <v>2.2093000000000002E-2</v>
      </c>
      <c r="C210">
        <v>2.4334000000000001E-2</v>
      </c>
      <c r="D210">
        <v>2.2040000000000001E-2</v>
      </c>
      <c r="E210">
        <v>2.3191E-2</v>
      </c>
      <c r="F210">
        <v>133913416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3.4873583260669524E-3</v>
      </c>
      <c r="Q210">
        <f t="shared" si="960"/>
        <v>467004.06625966745</v>
      </c>
      <c r="R210">
        <f t="shared" si="961"/>
        <v>-8187581005.6781845</v>
      </c>
      <c r="S210">
        <f t="shared" si="962"/>
        <v>-81875.810056781847</v>
      </c>
      <c r="T210">
        <f t="shared" si="963"/>
        <v>-81.875810056781845</v>
      </c>
    </row>
    <row r="211" spans="1:20" x14ac:dyDescent="0.25">
      <c r="A211" s="5">
        <v>44382</v>
      </c>
      <c r="B211">
        <v>2.3514E-2</v>
      </c>
      <c r="C211">
        <v>2.3519000000000002E-2</v>
      </c>
      <c r="D211">
        <v>2.1541999999999999E-2</v>
      </c>
      <c r="E211">
        <v>2.2193000000000001E-2</v>
      </c>
      <c r="F211">
        <v>32626739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-0.34142640364188037</v>
      </c>
      <c r="Q211">
        <f t="shared" si="960"/>
        <v>-11139630.159332281</v>
      </c>
      <c r="R211">
        <f t="shared" si="961"/>
        <v>-8188048009.7444439</v>
      </c>
      <c r="S211">
        <f t="shared" si="962"/>
        <v>-81880.480097444437</v>
      </c>
      <c r="T211">
        <f t="shared" si="963"/>
        <v>-81.880480097444433</v>
      </c>
    </row>
    <row r="212" spans="1:20" x14ac:dyDescent="0.25">
      <c r="A212" s="5">
        <v>44381</v>
      </c>
      <c r="B212">
        <v>2.3373000000000001E-2</v>
      </c>
      <c r="C212">
        <v>2.4500000000000001E-2</v>
      </c>
      <c r="D212">
        <v>2.2800000000000001E-2</v>
      </c>
      <c r="E212">
        <v>2.3569E-2</v>
      </c>
      <c r="F212">
        <v>70134302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-9.5294117647060236E-2</v>
      </c>
      <c r="Q212">
        <f t="shared" si="960"/>
        <v>-6683386.4258824522</v>
      </c>
      <c r="R212">
        <f t="shared" si="961"/>
        <v>-8176908379.5851116</v>
      </c>
      <c r="S212">
        <f t="shared" si="962"/>
        <v>-81769.083795851111</v>
      </c>
      <c r="T212">
        <f t="shared" si="963"/>
        <v>-81.769083795851117</v>
      </c>
    </row>
    <row r="213" spans="1:20" x14ac:dyDescent="0.25">
      <c r="A213" s="5">
        <v>44380</v>
      </c>
      <c r="B213">
        <v>2.2142999999999999E-2</v>
      </c>
      <c r="C213">
        <v>2.4868000000000001E-2</v>
      </c>
      <c r="D213">
        <v>2.1763000000000001E-2</v>
      </c>
      <c r="E213">
        <v>2.3373000000000001E-2</v>
      </c>
      <c r="F213">
        <v>119006265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3.7037037037037202E-2</v>
      </c>
      <c r="Q213">
        <f t="shared" si="960"/>
        <v>4407639.4444444636</v>
      </c>
      <c r="R213">
        <f t="shared" si="961"/>
        <v>-8170224993.1592293</v>
      </c>
      <c r="S213">
        <f t="shared" si="962"/>
        <v>-81702.249931592291</v>
      </c>
      <c r="T213">
        <f t="shared" si="963"/>
        <v>-81.702249931592291</v>
      </c>
    </row>
    <row r="214" spans="1:20" x14ac:dyDescent="0.25">
      <c r="A214" s="5">
        <v>44379</v>
      </c>
      <c r="B214">
        <v>2.2728999999999999E-2</v>
      </c>
      <c r="C214">
        <v>2.3141999999999999E-2</v>
      </c>
      <c r="D214">
        <v>2.1158E-2</v>
      </c>
      <c r="E214">
        <v>2.2142999999999999E-2</v>
      </c>
      <c r="F214">
        <v>57796812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-7.0564516129032889E-3</v>
      </c>
      <c r="Q214">
        <f t="shared" si="960"/>
        <v>-407840.40725806815</v>
      </c>
      <c r="R214">
        <f t="shared" si="961"/>
        <v>-8174632632.6036739</v>
      </c>
      <c r="S214">
        <f t="shared" si="962"/>
        <v>-81746.326326036738</v>
      </c>
      <c r="T214">
        <f t="shared" si="963"/>
        <v>-81.746326326036737</v>
      </c>
    </row>
    <row r="215" spans="1:20" x14ac:dyDescent="0.25">
      <c r="A215" s="5">
        <v>44378</v>
      </c>
      <c r="B215">
        <v>2.2232999999999999E-2</v>
      </c>
      <c r="C215">
        <v>2.4999E-2</v>
      </c>
      <c r="D215">
        <v>2.0915E-2</v>
      </c>
      <c r="E215">
        <v>2.273E-2</v>
      </c>
      <c r="F215">
        <v>147885017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-0.11116552399608214</v>
      </c>
      <c r="Q215">
        <f t="shared" si="960"/>
        <v>-16439715.405974515</v>
      </c>
      <c r="R215">
        <f t="shared" si="961"/>
        <v>-8174224792.1964159</v>
      </c>
      <c r="S215">
        <f t="shared" si="962"/>
        <v>-81742.247921964154</v>
      </c>
      <c r="T215">
        <f t="shared" si="963"/>
        <v>-81.74224792196415</v>
      </c>
    </row>
    <row r="216" spans="1:20" x14ac:dyDescent="0.25">
      <c r="A216" s="5">
        <v>44377</v>
      </c>
      <c r="B216">
        <v>2.2584E-2</v>
      </c>
      <c r="C216">
        <v>2.3074000000000001E-2</v>
      </c>
      <c r="D216">
        <v>2.0199999999999999E-2</v>
      </c>
      <c r="E216">
        <v>2.2249999999999999E-2</v>
      </c>
      <c r="F216">
        <v>54392313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0.42658315935977636</v>
      </c>
      <c r="Q216">
        <f t="shared" si="960"/>
        <v>23202844.724425837</v>
      </c>
      <c r="R216">
        <f t="shared" si="961"/>
        <v>-8157785076.7904415</v>
      </c>
      <c r="S216">
        <f t="shared" si="962"/>
        <v>-81577.850767904412</v>
      </c>
      <c r="T216">
        <f t="shared" si="963"/>
        <v>-81.577850767904408</v>
      </c>
    </row>
    <row r="217" spans="1:20" x14ac:dyDescent="0.25">
      <c r="A217" s="5">
        <v>44376</v>
      </c>
      <c r="B217">
        <v>2.2289E-2</v>
      </c>
      <c r="C217">
        <v>2.4398E-2</v>
      </c>
      <c r="D217">
        <v>2.2058000000000001E-2</v>
      </c>
      <c r="E217">
        <v>2.2506999999999999E-2</v>
      </c>
      <c r="F217">
        <v>49992491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-0.61623931623931771</v>
      </c>
      <c r="Q217">
        <f t="shared" si="960"/>
        <v>-30807338.470940243</v>
      </c>
      <c r="R217">
        <f t="shared" si="961"/>
        <v>-8180987921.5148678</v>
      </c>
      <c r="S217">
        <f t="shared" si="962"/>
        <v>-81809.879215148685</v>
      </c>
      <c r="T217">
        <f t="shared" si="963"/>
        <v>-81.809879215148683</v>
      </c>
    </row>
    <row r="218" spans="1:20" x14ac:dyDescent="0.25">
      <c r="A218" s="5">
        <v>44375</v>
      </c>
      <c r="B218">
        <v>2.0879999999999999E-2</v>
      </c>
      <c r="C218">
        <v>2.2474999999999998E-2</v>
      </c>
      <c r="D218">
        <v>2.0459999999999999E-2</v>
      </c>
      <c r="E218">
        <v>2.2221999999999999E-2</v>
      </c>
      <c r="F218">
        <v>45222226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0.74888337468982646</v>
      </c>
      <c r="Q218">
        <f t="shared" si="960"/>
        <v>33866173.217866011</v>
      </c>
      <c r="R218">
        <f t="shared" si="961"/>
        <v>-8150180583.0439272</v>
      </c>
      <c r="S218">
        <f t="shared" si="962"/>
        <v>-81501.805830439276</v>
      </c>
      <c r="T218">
        <f t="shared" si="963"/>
        <v>-81.501805830439281</v>
      </c>
    </row>
    <row r="219" spans="1:20" x14ac:dyDescent="0.25">
      <c r="A219" s="5">
        <v>44374</v>
      </c>
      <c r="B219">
        <v>2.0073000000000001E-2</v>
      </c>
      <c r="C219">
        <v>2.1847999999999999E-2</v>
      </c>
      <c r="D219">
        <v>1.9653E-2</v>
      </c>
      <c r="E219">
        <v>2.0865000000000002E-2</v>
      </c>
      <c r="F219">
        <v>139225603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0.10432801822323627</v>
      </c>
      <c r="Q219">
        <f t="shared" si="960"/>
        <v>14525131.246925058</v>
      </c>
      <c r="R219">
        <f t="shared" si="961"/>
        <v>-8184046756.2617931</v>
      </c>
      <c r="S219">
        <f t="shared" si="962"/>
        <v>-81840.467562617938</v>
      </c>
      <c r="T219">
        <f t="shared" si="963"/>
        <v>-81.840467562617931</v>
      </c>
    </row>
    <row r="220" spans="1:20" x14ac:dyDescent="0.25">
      <c r="A220" s="5">
        <v>44373</v>
      </c>
      <c r="B220">
        <v>1.9625E-2</v>
      </c>
      <c r="C220">
        <v>2.0826999999999998E-2</v>
      </c>
      <c r="D220">
        <v>1.8332000000000001E-2</v>
      </c>
      <c r="E220">
        <v>2.0004999999999998E-2</v>
      </c>
      <c r="F220">
        <v>61443620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0.34108216432865673</v>
      </c>
      <c r="Q220">
        <f t="shared" si="960"/>
        <v>20957322.89378754</v>
      </c>
      <c r="R220">
        <f t="shared" si="961"/>
        <v>-8198571887.5087185</v>
      </c>
      <c r="S220">
        <f t="shared" si="962"/>
        <v>-81985.718875087186</v>
      </c>
      <c r="T220">
        <f t="shared" si="963"/>
        <v>-81.985718875087187</v>
      </c>
    </row>
    <row r="221" spans="1:20" x14ac:dyDescent="0.25">
      <c r="A221" s="5">
        <v>44372</v>
      </c>
      <c r="B221">
        <v>2.3592999999999999E-2</v>
      </c>
      <c r="C221">
        <v>2.4053999999999999E-2</v>
      </c>
      <c r="D221">
        <v>1.9411000000000001E-2</v>
      </c>
      <c r="E221">
        <v>1.9705E-2</v>
      </c>
      <c r="F221">
        <v>127631452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-0.87335774283868217</v>
      </c>
      <c r="Q221">
        <f t="shared" si="960"/>
        <v>-111467916.83394361</v>
      </c>
      <c r="R221">
        <f t="shared" si="961"/>
        <v>-8219529210.4025059</v>
      </c>
      <c r="S221">
        <f t="shared" si="962"/>
        <v>-82195.292104025066</v>
      </c>
      <c r="T221">
        <f t="shared" si="963"/>
        <v>-82.195292104025071</v>
      </c>
    </row>
    <row r="222" spans="1:20" x14ac:dyDescent="0.25">
      <c r="A222" s="5">
        <v>44371</v>
      </c>
      <c r="B222">
        <v>2.2391999999999999E-2</v>
      </c>
      <c r="C222">
        <v>2.5770999999999999E-2</v>
      </c>
      <c r="D222">
        <v>2.1689E-2</v>
      </c>
      <c r="E222">
        <v>2.3566E-2</v>
      </c>
      <c r="F222">
        <v>338830836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-8.0352768250857062E-2</v>
      </c>
      <c r="Q222">
        <f t="shared" si="960"/>
        <v>-27225995.641352154</v>
      </c>
      <c r="R222">
        <f t="shared" si="961"/>
        <v>-8108061293.5685625</v>
      </c>
      <c r="S222">
        <f t="shared" si="962"/>
        <v>-81080.612935685625</v>
      </c>
      <c r="T222">
        <f t="shared" si="963"/>
        <v>-81.080612935685622</v>
      </c>
    </row>
    <row r="223" spans="1:20" x14ac:dyDescent="0.25">
      <c r="A223" s="5">
        <v>44370</v>
      </c>
      <c r="B223">
        <v>2.0989000000000001E-2</v>
      </c>
      <c r="C223">
        <v>2.3949000000000002E-2</v>
      </c>
      <c r="D223">
        <v>1.9722E-2</v>
      </c>
      <c r="E223">
        <v>2.2391999999999999E-2</v>
      </c>
      <c r="F223">
        <v>67931912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0.2633073101490408</v>
      </c>
      <c r="Q223">
        <f t="shared" si="960"/>
        <v>17886969.022001345</v>
      </c>
      <c r="R223">
        <f t="shared" si="961"/>
        <v>-8080835297.9272108</v>
      </c>
      <c r="S223">
        <f t="shared" si="962"/>
        <v>-80808.352979272109</v>
      </c>
      <c r="T223">
        <f t="shared" si="963"/>
        <v>-80.808352979272115</v>
      </c>
    </row>
    <row r="224" spans="1:20" x14ac:dyDescent="0.25">
      <c r="A224" s="5">
        <v>44369</v>
      </c>
      <c r="B224">
        <v>2.2155000000000001E-2</v>
      </c>
      <c r="C224">
        <v>2.3314000000000001E-2</v>
      </c>
      <c r="D224">
        <v>1.7193E-2</v>
      </c>
      <c r="E224">
        <v>2.0892000000000001E-2</v>
      </c>
      <c r="F224">
        <v>207370960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0.2086260414964875</v>
      </c>
      <c r="Q224">
        <f t="shared" si="960"/>
        <v>43262982.506126449</v>
      </c>
      <c r="R224">
        <f t="shared" si="961"/>
        <v>-8098722266.9492121</v>
      </c>
      <c r="S224">
        <f t="shared" si="962"/>
        <v>-80987.222669492126</v>
      </c>
      <c r="T224">
        <f t="shared" si="963"/>
        <v>-80.987222669492127</v>
      </c>
    </row>
    <row r="225" spans="1:20" x14ac:dyDescent="0.25">
      <c r="A225" s="5">
        <v>44368</v>
      </c>
      <c r="B225">
        <v>2.8462000000000001E-2</v>
      </c>
      <c r="C225">
        <v>2.8563999999999999E-2</v>
      </c>
      <c r="D225">
        <v>2.2006999999999999E-2</v>
      </c>
      <c r="E225">
        <v>2.2197999999999999E-2</v>
      </c>
      <c r="F225">
        <v>88273547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-0.94174165014488331</v>
      </c>
      <c r="Q225">
        <f t="shared" si="960"/>
        <v>-83130875.815921918</v>
      </c>
      <c r="R225">
        <f t="shared" si="961"/>
        <v>-8141985249.4553385</v>
      </c>
      <c r="S225">
        <f t="shared" si="962"/>
        <v>-81419.852494553386</v>
      </c>
      <c r="T225">
        <f t="shared" si="963"/>
        <v>-81.419852494553382</v>
      </c>
    </row>
    <row r="226" spans="1:20" x14ac:dyDescent="0.25">
      <c r="A226" s="5">
        <v>44367</v>
      </c>
      <c r="B226">
        <v>2.8771000000000001E-2</v>
      </c>
      <c r="C226">
        <v>2.9715999999999999E-2</v>
      </c>
      <c r="D226">
        <v>2.5760999999999999E-2</v>
      </c>
      <c r="E226">
        <v>2.8365000000000001E-2</v>
      </c>
      <c r="F226">
        <v>70913130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0.31681415929203643</v>
      </c>
      <c r="Q226">
        <f t="shared" si="960"/>
        <v>22466283.663716886</v>
      </c>
      <c r="R226">
        <f t="shared" si="961"/>
        <v>-8058854373.6394167</v>
      </c>
      <c r="S226">
        <f t="shared" si="962"/>
        <v>-80588.54373639416</v>
      </c>
      <c r="T226">
        <f t="shared" si="963"/>
        <v>-80.588543736394158</v>
      </c>
    </row>
    <row r="227" spans="1:20" x14ac:dyDescent="0.25">
      <c r="A227" s="5">
        <v>44366</v>
      </c>
      <c r="B227">
        <v>2.8663999999999999E-2</v>
      </c>
      <c r="C227">
        <v>3.0425000000000001E-2</v>
      </c>
      <c r="D227">
        <v>2.8000000000000001E-2</v>
      </c>
      <c r="E227">
        <v>2.8679E-2</v>
      </c>
      <c r="F227">
        <v>47294193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-0.44000000000000078</v>
      </c>
      <c r="Q227">
        <f t="shared" si="960"/>
        <v>-20809444.920000035</v>
      </c>
      <c r="R227">
        <f t="shared" si="961"/>
        <v>-8081320657.303134</v>
      </c>
      <c r="S227">
        <f t="shared" si="962"/>
        <v>-80813.206573031333</v>
      </c>
      <c r="T227">
        <f t="shared" si="963"/>
        <v>-80.813206573031337</v>
      </c>
    </row>
    <row r="228" spans="1:20" x14ac:dyDescent="0.25">
      <c r="A228" s="5">
        <v>44365</v>
      </c>
      <c r="B228">
        <v>3.0835000000000001E-2</v>
      </c>
      <c r="C228">
        <v>3.0936000000000002E-2</v>
      </c>
      <c r="D228">
        <v>2.7424E-2</v>
      </c>
      <c r="E228">
        <v>2.8601000000000001E-2</v>
      </c>
      <c r="F228">
        <v>103636095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-0.32972665148063751</v>
      </c>
      <c r="Q228">
        <f t="shared" si="960"/>
        <v>-34171582.576879241</v>
      </c>
      <c r="R228">
        <f t="shared" si="961"/>
        <v>-8060511212.3831339</v>
      </c>
      <c r="S228">
        <f t="shared" si="962"/>
        <v>-80605.112123831335</v>
      </c>
      <c r="T228">
        <f t="shared" si="963"/>
        <v>-80.605112123831333</v>
      </c>
    </row>
    <row r="229" spans="1:20" x14ac:dyDescent="0.25">
      <c r="A229" s="5">
        <v>44364</v>
      </c>
      <c r="B229">
        <v>3.1215E-2</v>
      </c>
      <c r="C229">
        <v>3.2666000000000001E-2</v>
      </c>
      <c r="D229">
        <v>3.0159999999999999E-2</v>
      </c>
      <c r="E229">
        <v>3.0818999999999999E-2</v>
      </c>
      <c r="F229">
        <v>42038571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-0.47406225059856383</v>
      </c>
      <c r="Q229">
        <f t="shared" si="960"/>
        <v>-19928899.580207519</v>
      </c>
      <c r="R229">
        <f t="shared" si="961"/>
        <v>-8026339629.8062544</v>
      </c>
      <c r="S229">
        <f t="shared" si="962"/>
        <v>-80263.396298062551</v>
      </c>
      <c r="T229">
        <f t="shared" si="963"/>
        <v>-80.263396298062545</v>
      </c>
    </row>
    <row r="230" spans="1:20" x14ac:dyDescent="0.25">
      <c r="A230" s="5">
        <v>44363</v>
      </c>
      <c r="B230">
        <v>3.4035000000000003E-2</v>
      </c>
      <c r="C230">
        <v>3.4035000000000003E-2</v>
      </c>
      <c r="D230">
        <v>3.0668000000000001E-2</v>
      </c>
      <c r="E230">
        <v>3.116E-2</v>
      </c>
      <c r="F230">
        <v>71383529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-0.70775170775170826</v>
      </c>
      <c r="Q230">
        <f t="shared" si="960"/>
        <v>-50521814.555093594</v>
      </c>
      <c r="R230">
        <f t="shared" si="961"/>
        <v>-8006410730.2260466</v>
      </c>
      <c r="S230">
        <f t="shared" si="962"/>
        <v>-80064.107302260469</v>
      </c>
      <c r="T230">
        <f t="shared" si="963"/>
        <v>-80.064107302260467</v>
      </c>
    </row>
    <row r="231" spans="1:20" x14ac:dyDescent="0.25">
      <c r="A231" s="5">
        <v>44362</v>
      </c>
      <c r="B231">
        <v>3.2693E-2</v>
      </c>
      <c r="C231">
        <v>3.5984000000000002E-2</v>
      </c>
      <c r="D231">
        <v>3.2113999999999997E-2</v>
      </c>
      <c r="E231">
        <v>3.4036999999999998E-2</v>
      </c>
      <c r="F231">
        <v>98004532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-6.2015503875977136E-3</v>
      </c>
      <c r="Q231">
        <f t="shared" si="960"/>
        <v>-607780.04341093253</v>
      </c>
      <c r="R231">
        <f t="shared" si="961"/>
        <v>-7955888915.6709528</v>
      </c>
      <c r="S231">
        <f t="shared" si="962"/>
        <v>-79558.889156709527</v>
      </c>
      <c r="T231">
        <f t="shared" si="963"/>
        <v>-79.558889156709526</v>
      </c>
    </row>
    <row r="232" spans="1:20" x14ac:dyDescent="0.25">
      <c r="A232" s="5">
        <v>44361</v>
      </c>
      <c r="B232">
        <v>3.2724999999999997E-2</v>
      </c>
      <c r="C232">
        <v>3.4209000000000003E-2</v>
      </c>
      <c r="D232">
        <v>3.1765000000000002E-2</v>
      </c>
      <c r="E232">
        <v>3.2640000000000002E-2</v>
      </c>
      <c r="F232">
        <v>79368437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-0.28396072013093276</v>
      </c>
      <c r="Q232">
        <f t="shared" si="960"/>
        <v>-22537518.526186571</v>
      </c>
      <c r="R232">
        <f t="shared" si="961"/>
        <v>-7955281135.6275415</v>
      </c>
      <c r="S232">
        <f t="shared" si="962"/>
        <v>-79552.811356275415</v>
      </c>
      <c r="T232">
        <f t="shared" si="963"/>
        <v>-79.552811356275413</v>
      </c>
    </row>
    <row r="233" spans="1:20" x14ac:dyDescent="0.25">
      <c r="A233" s="5">
        <v>44360</v>
      </c>
      <c r="B233">
        <v>3.0529000000000001E-2</v>
      </c>
      <c r="C233">
        <v>3.4000000000000002E-2</v>
      </c>
      <c r="D233">
        <v>2.8722000000000001E-2</v>
      </c>
      <c r="E233">
        <v>3.2724999999999997E-2</v>
      </c>
      <c r="F233">
        <v>112351572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0.51686244789692881</v>
      </c>
      <c r="Q233">
        <f t="shared" si="960"/>
        <v>58070308.528988048</v>
      </c>
      <c r="R233">
        <f t="shared" si="961"/>
        <v>-7932743617.1013546</v>
      </c>
      <c r="S233">
        <f t="shared" si="962"/>
        <v>-79327.436171013542</v>
      </c>
      <c r="T233">
        <f t="shared" si="963"/>
        <v>-79.327436171013545</v>
      </c>
    </row>
    <row r="234" spans="1:20" x14ac:dyDescent="0.25">
      <c r="A234" s="5">
        <v>44359</v>
      </c>
      <c r="B234">
        <v>3.1192000000000001E-2</v>
      </c>
      <c r="C234">
        <v>3.2071000000000002E-2</v>
      </c>
      <c r="D234">
        <v>2.8506E-2</v>
      </c>
      <c r="E234">
        <v>3.0530000000000002E-2</v>
      </c>
      <c r="F234">
        <v>106149830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0.13548387096774209</v>
      </c>
      <c r="Q234">
        <f t="shared" si="960"/>
        <v>14381589.870967759</v>
      </c>
      <c r="R234">
        <f t="shared" si="961"/>
        <v>-7990813925.6303425</v>
      </c>
      <c r="S234">
        <f t="shared" si="962"/>
        <v>-79908.139256303431</v>
      </c>
      <c r="T234">
        <f t="shared" si="963"/>
        <v>-79.908139256303429</v>
      </c>
    </row>
    <row r="235" spans="1:20" x14ac:dyDescent="0.25">
      <c r="A235" s="5">
        <v>44358</v>
      </c>
      <c r="B235">
        <v>3.7248000000000003E-2</v>
      </c>
      <c r="C235">
        <v>3.8348E-2</v>
      </c>
      <c r="D235">
        <v>3.0814999999999999E-2</v>
      </c>
      <c r="E235">
        <v>3.1215E-2</v>
      </c>
      <c r="F235">
        <v>206000855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-0.89380061064648852</v>
      </c>
      <c r="Q235">
        <f t="shared" si="960"/>
        <v>-184123689.99269873</v>
      </c>
      <c r="R235">
        <f t="shared" si="961"/>
        <v>-8005195515.5013103</v>
      </c>
      <c r="S235">
        <f t="shared" si="962"/>
        <v>-80051.9551550131</v>
      </c>
      <c r="T235">
        <f t="shared" si="963"/>
        <v>-80.051955155013104</v>
      </c>
    </row>
    <row r="236" spans="1:20" x14ac:dyDescent="0.25">
      <c r="A236" s="5">
        <v>44357</v>
      </c>
      <c r="B236">
        <v>3.5501999999999999E-2</v>
      </c>
      <c r="C236">
        <v>4.3150000000000001E-2</v>
      </c>
      <c r="D236">
        <v>3.3586999999999999E-2</v>
      </c>
      <c r="E236">
        <v>3.7154E-2</v>
      </c>
      <c r="F236">
        <v>489502014</v>
      </c>
      <c r="G236">
        <v>0</v>
      </c>
      <c r="L236" t="s">
        <v>7</v>
      </c>
      <c r="M236" t="s">
        <v>7</v>
      </c>
      <c r="N236" t="s">
        <v>8</v>
      </c>
      <c r="P236">
        <f t="shared" si="959"/>
        <v>-0.25399979086060859</v>
      </c>
      <c r="Q236">
        <f t="shared" si="960"/>
        <v>-124333409.18184669</v>
      </c>
      <c r="R236">
        <f t="shared" si="961"/>
        <v>-7821071825.5086117</v>
      </c>
      <c r="S236">
        <f t="shared" si="962"/>
        <v>-78210.718255086118</v>
      </c>
      <c r="T236">
        <f t="shared" si="963"/>
        <v>-78.210718255086121</v>
      </c>
    </row>
    <row r="237" spans="1:20" x14ac:dyDescent="0.25">
      <c r="A237" s="5">
        <v>44356</v>
      </c>
      <c r="B237">
        <v>2.9073000000000002E-2</v>
      </c>
      <c r="C237">
        <v>4.3200000000000002E-2</v>
      </c>
      <c r="D237">
        <v>2.8039999999999999E-2</v>
      </c>
      <c r="E237">
        <v>3.5645000000000003E-2</v>
      </c>
      <c r="F237">
        <v>677184349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3.2981530343011143E-3</v>
      </c>
      <c r="Q237">
        <f t="shared" si="960"/>
        <v>2233457.6154355747</v>
      </c>
      <c r="R237">
        <f t="shared" si="961"/>
        <v>-7696738416.3267651</v>
      </c>
      <c r="S237">
        <f t="shared" si="962"/>
        <v>-76967.384163267649</v>
      </c>
      <c r="T237">
        <f t="shared" si="963"/>
        <v>-76.967384163267653</v>
      </c>
    </row>
    <row r="238" spans="1:20" x14ac:dyDescent="0.25">
      <c r="A238" s="5">
        <v>44355</v>
      </c>
      <c r="B238">
        <v>2.7470000000000001E-2</v>
      </c>
      <c r="C238">
        <v>3.3000000000000002E-2</v>
      </c>
      <c r="D238">
        <v>2.3671000000000001E-2</v>
      </c>
      <c r="E238">
        <v>2.9000000000000001E-2</v>
      </c>
      <c r="F238">
        <v>211722605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0.14245899882088114</v>
      </c>
      <c r="Q238">
        <f t="shared" si="960"/>
        <v>30161790.336048882</v>
      </c>
      <c r="R238">
        <f t="shared" si="961"/>
        <v>-7698971873.9422007</v>
      </c>
      <c r="S238">
        <f t="shared" si="962"/>
        <v>-76989.718739422009</v>
      </c>
      <c r="T238">
        <f t="shared" si="963"/>
        <v>-76.989718739422003</v>
      </c>
    </row>
    <row r="239" spans="1:20" x14ac:dyDescent="0.25">
      <c r="A239" s="5">
        <v>44354</v>
      </c>
      <c r="B239">
        <v>3.2545999999999999E-2</v>
      </c>
      <c r="C239">
        <v>3.3314000000000003E-2</v>
      </c>
      <c r="D239">
        <v>2.7049E-2</v>
      </c>
      <c r="E239">
        <v>2.7470000000000001E-2</v>
      </c>
      <c r="F239">
        <v>91558601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-0.86560255387070995</v>
      </c>
      <c r="Q239">
        <f t="shared" si="960"/>
        <v>-79253358.854429334</v>
      </c>
      <c r="R239">
        <f t="shared" si="961"/>
        <v>-7729133664.2782497</v>
      </c>
      <c r="S239">
        <f t="shared" si="962"/>
        <v>-77291.336642782495</v>
      </c>
      <c r="T239">
        <f t="shared" si="963"/>
        <v>-77.291336642782497</v>
      </c>
    </row>
    <row r="240" spans="1:20" x14ac:dyDescent="0.25">
      <c r="A240" s="5">
        <v>44353</v>
      </c>
      <c r="B240">
        <v>2.9604999999999999E-2</v>
      </c>
      <c r="C240">
        <v>3.8757E-2</v>
      </c>
      <c r="D240">
        <v>2.9016E-2</v>
      </c>
      <c r="E240">
        <v>3.2492E-2</v>
      </c>
      <c r="F240">
        <v>308933408</v>
      </c>
      <c r="G240">
        <v>0</v>
      </c>
      <c r="L240" t="s">
        <v>8</v>
      </c>
      <c r="M240" t="s">
        <v>8</v>
      </c>
      <c r="N240" t="s">
        <v>8</v>
      </c>
      <c r="P240">
        <f t="shared" si="959"/>
        <v>-0.28631557334975877</v>
      </c>
      <c r="Q240">
        <f t="shared" si="960"/>
        <v>-88452445.838414952</v>
      </c>
      <c r="R240">
        <f t="shared" si="961"/>
        <v>-7649880305.4238205</v>
      </c>
      <c r="S240">
        <f t="shared" si="962"/>
        <v>-76498.803054238204</v>
      </c>
      <c r="T240">
        <f t="shared" si="963"/>
        <v>-76.498803054238209</v>
      </c>
    </row>
    <row r="241" spans="1:20" x14ac:dyDescent="0.25">
      <c r="A241" s="5">
        <v>44352</v>
      </c>
      <c r="B241">
        <v>2.8344999999999999E-2</v>
      </c>
      <c r="C241">
        <v>3.2665E-2</v>
      </c>
      <c r="D241">
        <v>2.7459000000000001E-2</v>
      </c>
      <c r="E241">
        <v>2.9583000000000002E-2</v>
      </c>
      <c r="F241">
        <v>98963263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-0.18401844026123651</v>
      </c>
      <c r="Q241">
        <f t="shared" si="960"/>
        <v>-18211065.300422538</v>
      </c>
      <c r="R241">
        <f t="shared" si="961"/>
        <v>-7561427859.5854053</v>
      </c>
      <c r="S241">
        <f t="shared" si="962"/>
        <v>-75614.278595854048</v>
      </c>
      <c r="T241">
        <f t="shared" si="963"/>
        <v>-75.614278595854046</v>
      </c>
    </row>
    <row r="242" spans="1:20" x14ac:dyDescent="0.25">
      <c r="A242" s="5">
        <v>44351</v>
      </c>
      <c r="B242">
        <v>3.3089E-2</v>
      </c>
      <c r="C242">
        <v>3.3099999999999997E-2</v>
      </c>
      <c r="D242">
        <v>2.7203000000000001E-2</v>
      </c>
      <c r="E242">
        <v>2.8281000000000001E-2</v>
      </c>
      <c r="F242">
        <v>74771909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-0.63439036798372062</v>
      </c>
      <c r="Q242">
        <f t="shared" si="960"/>
        <v>-47434578.865355268</v>
      </c>
      <c r="R242">
        <f t="shared" si="961"/>
        <v>-7543216794.2849827</v>
      </c>
      <c r="S242">
        <f t="shared" si="962"/>
        <v>-75432.167942849832</v>
      </c>
      <c r="T242">
        <f t="shared" si="963"/>
        <v>-75.43216794284983</v>
      </c>
    </row>
    <row r="243" spans="1:20" x14ac:dyDescent="0.25">
      <c r="A243" s="5">
        <v>44350</v>
      </c>
      <c r="B243">
        <v>2.8864999999999998E-2</v>
      </c>
      <c r="C243">
        <v>3.3197999999999998E-2</v>
      </c>
      <c r="D243">
        <v>2.8608999999999999E-2</v>
      </c>
      <c r="E243">
        <v>3.3092999999999997E-2</v>
      </c>
      <c r="F243">
        <v>61246340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0.95423839616474138</v>
      </c>
      <c r="Q243">
        <f t="shared" si="960"/>
        <v>58443609.252560444</v>
      </c>
      <c r="R243">
        <f t="shared" si="961"/>
        <v>-7495782215.4196272</v>
      </c>
      <c r="S243">
        <f t="shared" si="962"/>
        <v>-74957.82215419627</v>
      </c>
      <c r="T243">
        <f t="shared" si="963"/>
        <v>-74.957822154196265</v>
      </c>
    </row>
    <row r="244" spans="1:20" x14ac:dyDescent="0.25">
      <c r="A244" s="5">
        <v>44349</v>
      </c>
      <c r="B244">
        <v>2.7904000000000002E-2</v>
      </c>
      <c r="C244">
        <v>2.9975999999999999E-2</v>
      </c>
      <c r="D244">
        <v>2.7216000000000001E-2</v>
      </c>
      <c r="E244">
        <v>2.8867E-2</v>
      </c>
      <c r="F244">
        <v>35128852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0.19637681159420328</v>
      </c>
      <c r="Q244">
        <f t="shared" si="960"/>
        <v>6898491.9507246511</v>
      </c>
      <c r="R244">
        <f t="shared" si="961"/>
        <v>-7554225824.6721878</v>
      </c>
      <c r="S244">
        <f t="shared" si="962"/>
        <v>-75542.258246721874</v>
      </c>
      <c r="T244">
        <f t="shared" si="963"/>
        <v>-75.542258246721872</v>
      </c>
    </row>
    <row r="245" spans="1:20" x14ac:dyDescent="0.25">
      <c r="A245" s="5">
        <v>44348</v>
      </c>
      <c r="B245">
        <v>2.9696E-2</v>
      </c>
      <c r="C245">
        <v>3.0346999999999999E-2</v>
      </c>
      <c r="D245">
        <v>2.7001000000000001E-2</v>
      </c>
      <c r="E245">
        <v>2.7925999999999999E-2</v>
      </c>
      <c r="F245">
        <v>43777085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-0.44710101613867353</v>
      </c>
      <c r="Q245">
        <f t="shared" si="960"/>
        <v>-19572779.187089082</v>
      </c>
      <c r="R245">
        <f t="shared" si="961"/>
        <v>-7561124316.6229124</v>
      </c>
      <c r="S245">
        <f t="shared" si="962"/>
        <v>-75611.24316622912</v>
      </c>
      <c r="T245">
        <f t="shared" si="963"/>
        <v>-75.611243166229116</v>
      </c>
    </row>
    <row r="246" spans="1:20" x14ac:dyDescent="0.25">
      <c r="A246" s="5">
        <v>44347</v>
      </c>
      <c r="B246">
        <v>2.8052000000000001E-2</v>
      </c>
      <c r="C246">
        <v>3.2000000000000001E-2</v>
      </c>
      <c r="D246">
        <v>2.6030999999999999E-2</v>
      </c>
      <c r="E246">
        <v>2.9696E-2</v>
      </c>
      <c r="F246">
        <v>49115087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0.22801139219299726</v>
      </c>
      <c r="Q246">
        <f t="shared" si="960"/>
        <v>11198799.364550181</v>
      </c>
      <c r="R246">
        <f t="shared" si="961"/>
        <v>-7541551537.4358234</v>
      </c>
      <c r="S246">
        <f t="shared" si="962"/>
        <v>-75415.515374358234</v>
      </c>
      <c r="T246">
        <f t="shared" si="963"/>
        <v>-75.415515374358236</v>
      </c>
    </row>
    <row r="247" spans="1:20" x14ac:dyDescent="0.25">
      <c r="A247" s="5">
        <v>44346</v>
      </c>
      <c r="B247">
        <v>2.6266999999999999E-2</v>
      </c>
      <c r="C247">
        <v>3.2000000000000001E-2</v>
      </c>
      <c r="D247">
        <v>2.4662E-2</v>
      </c>
      <c r="E247">
        <v>2.8108000000000001E-2</v>
      </c>
      <c r="F247">
        <v>52052217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-6.0779503952030314E-2</v>
      </c>
      <c r="Q247">
        <f t="shared" si="960"/>
        <v>-3163707.9288634397</v>
      </c>
      <c r="R247">
        <f t="shared" si="961"/>
        <v>-7552750336.800374</v>
      </c>
      <c r="S247">
        <f t="shared" si="962"/>
        <v>-75527.503368003745</v>
      </c>
      <c r="T247">
        <f t="shared" si="963"/>
        <v>-75.52750336800375</v>
      </c>
    </row>
    <row r="248" spans="1:20" x14ac:dyDescent="0.25">
      <c r="A248" s="5">
        <v>44345</v>
      </c>
      <c r="B248">
        <v>2.844E-2</v>
      </c>
      <c r="C248">
        <v>3.0547000000000001E-2</v>
      </c>
      <c r="D248">
        <v>2.4587999999999999E-2</v>
      </c>
      <c r="E248">
        <v>2.6481000000000001E-2</v>
      </c>
      <c r="F248">
        <v>52682604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-0.36465849974827941</v>
      </c>
      <c r="Q248">
        <f t="shared" si="960"/>
        <v>-19211159.337472703</v>
      </c>
      <c r="R248">
        <f t="shared" si="961"/>
        <v>-7549586628.8715105</v>
      </c>
      <c r="S248">
        <f t="shared" si="962"/>
        <v>-75495.8662887151</v>
      </c>
      <c r="T248">
        <f t="shared" si="963"/>
        <v>-75.495866288715106</v>
      </c>
    </row>
    <row r="249" spans="1:20" x14ac:dyDescent="0.25">
      <c r="A249" s="5">
        <v>44344</v>
      </c>
      <c r="B249">
        <v>3.3792999999999997E-2</v>
      </c>
      <c r="C249">
        <v>3.5748000000000002E-2</v>
      </c>
      <c r="D249">
        <v>2.7099999999999999E-2</v>
      </c>
      <c r="E249">
        <v>2.8597999999999998E-2</v>
      </c>
      <c r="F249">
        <v>122101134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-0.65356151711378385</v>
      </c>
      <c r="Q249">
        <f t="shared" si="960"/>
        <v>-79800602.378353417</v>
      </c>
      <c r="R249">
        <f t="shared" si="961"/>
        <v>-7530375469.5340376</v>
      </c>
      <c r="S249">
        <f t="shared" si="962"/>
        <v>-75303.75469534038</v>
      </c>
      <c r="T249">
        <f t="shared" si="963"/>
        <v>-75.303754695340373</v>
      </c>
    </row>
    <row r="250" spans="1:20" x14ac:dyDescent="0.25">
      <c r="A250" s="5">
        <v>44343</v>
      </c>
      <c r="B250">
        <v>3.5603000000000003E-2</v>
      </c>
      <c r="C250">
        <v>3.6450000000000003E-2</v>
      </c>
      <c r="D250">
        <v>3.1172999999999999E-2</v>
      </c>
      <c r="E250">
        <v>3.3936000000000001E-2</v>
      </c>
      <c r="F250">
        <v>82606011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4.7185901080159E-2</v>
      </c>
      <c r="Q250">
        <f t="shared" si="960"/>
        <v>3897839.0636725263</v>
      </c>
      <c r="R250">
        <f t="shared" si="961"/>
        <v>-7450574867.1556845</v>
      </c>
      <c r="S250">
        <f t="shared" si="962"/>
        <v>-74505.748671556838</v>
      </c>
      <c r="T250">
        <f t="shared" si="963"/>
        <v>-74.505748671556844</v>
      </c>
    </row>
    <row r="251" spans="1:20" x14ac:dyDescent="0.25">
      <c r="A251" s="5">
        <v>44342</v>
      </c>
      <c r="B251">
        <v>3.0277999999999999E-2</v>
      </c>
      <c r="C251">
        <v>3.7217E-2</v>
      </c>
      <c r="D251">
        <v>3.0159999999999999E-2</v>
      </c>
      <c r="E251">
        <v>3.5595000000000002E-2</v>
      </c>
      <c r="F251">
        <v>115928084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0.54031458126682774</v>
      </c>
      <c r="Q251">
        <f t="shared" si="960"/>
        <v>62637634.163525634</v>
      </c>
      <c r="R251">
        <f t="shared" si="961"/>
        <v>-7454472706.2193565</v>
      </c>
      <c r="S251">
        <f t="shared" si="962"/>
        <v>-74544.72706219356</v>
      </c>
      <c r="T251">
        <f t="shared" si="963"/>
        <v>-74.544727062193559</v>
      </c>
    </row>
    <row r="252" spans="1:20" x14ac:dyDescent="0.25">
      <c r="A252" s="5">
        <v>44341</v>
      </c>
      <c r="B252">
        <v>2.9066999999999999E-2</v>
      </c>
      <c r="C252">
        <v>3.2059999999999998E-2</v>
      </c>
      <c r="D252">
        <v>2.6502999999999999E-2</v>
      </c>
      <c r="E252">
        <v>3.0280999999999999E-2</v>
      </c>
      <c r="F252">
        <v>131186809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0.35972647111750961</v>
      </c>
      <c r="Q252">
        <f t="shared" si="960"/>
        <v>47191367.858736746</v>
      </c>
      <c r="R252">
        <f t="shared" si="961"/>
        <v>-7517110340.3828821</v>
      </c>
      <c r="S252">
        <f t="shared" si="962"/>
        <v>-75171.10340382882</v>
      </c>
      <c r="T252">
        <f t="shared" si="963"/>
        <v>-75.171103403828823</v>
      </c>
    </row>
    <row r="253" spans="1:20" x14ac:dyDescent="0.25">
      <c r="A253" s="5">
        <v>44340</v>
      </c>
      <c r="B253">
        <v>2.1623E-2</v>
      </c>
      <c r="C253">
        <v>3.6400000000000002E-2</v>
      </c>
      <c r="D253">
        <v>2.0702000000000002E-2</v>
      </c>
      <c r="E253">
        <v>2.8836000000000001E-2</v>
      </c>
      <c r="F253">
        <v>264263573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3.6310358007389319E-2</v>
      </c>
      <c r="Q253">
        <f t="shared" si="960"/>
        <v>9595504.9439418614</v>
      </c>
      <c r="R253">
        <f t="shared" si="961"/>
        <v>-7564301708.2416191</v>
      </c>
      <c r="S253">
        <f t="shared" si="962"/>
        <v>-75643.017082416191</v>
      </c>
      <c r="T253">
        <f t="shared" si="963"/>
        <v>-75.643017082416193</v>
      </c>
    </row>
    <row r="254" spans="1:20" x14ac:dyDescent="0.25">
      <c r="A254" s="5">
        <v>44339</v>
      </c>
      <c r="B254">
        <v>2.6599999999999999E-2</v>
      </c>
      <c r="C254">
        <v>2.7598000000000001E-2</v>
      </c>
      <c r="D254">
        <v>1.7600999999999999E-2</v>
      </c>
      <c r="E254">
        <v>2.1675E-2</v>
      </c>
      <c r="F254">
        <v>91610321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-0.18495548664599376</v>
      </c>
      <c r="Q254">
        <f t="shared" si="960"/>
        <v>-16943831.502350703</v>
      </c>
      <c r="R254">
        <f t="shared" si="961"/>
        <v>-7573897213.1855612</v>
      </c>
      <c r="S254">
        <f t="shared" si="962"/>
        <v>-75738.972131855611</v>
      </c>
      <c r="T254">
        <f t="shared" si="963"/>
        <v>-75.738972131855604</v>
      </c>
    </row>
    <row r="255" spans="1:20" x14ac:dyDescent="0.25">
      <c r="A255" s="5">
        <v>44338</v>
      </c>
      <c r="B255">
        <v>2.8746000000000001E-2</v>
      </c>
      <c r="C255">
        <v>3.0939000000000001E-2</v>
      </c>
      <c r="D255">
        <v>2.5000000000000001E-2</v>
      </c>
      <c r="E255">
        <v>2.6591E-2</v>
      </c>
      <c r="F255">
        <v>76460475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-0.46421956558343197</v>
      </c>
      <c r="Q255">
        <f t="shared" si="960"/>
        <v>-35494448.488802858</v>
      </c>
      <c r="R255">
        <f t="shared" si="961"/>
        <v>-7556953381.6832104</v>
      </c>
      <c r="S255">
        <f t="shared" si="962"/>
        <v>-75569.533816832103</v>
      </c>
      <c r="T255">
        <f t="shared" si="963"/>
        <v>-75.569533816832106</v>
      </c>
    </row>
    <row r="256" spans="1:20" x14ac:dyDescent="0.25">
      <c r="A256" s="5">
        <v>44337</v>
      </c>
      <c r="B256">
        <v>3.6923999999999998E-2</v>
      </c>
      <c r="C256">
        <v>3.8126E-2</v>
      </c>
      <c r="D256">
        <v>2.4832E-2</v>
      </c>
      <c r="E256">
        <v>2.8746000000000001E-2</v>
      </c>
      <c r="F256">
        <v>102675128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-0.41116293064540382</v>
      </c>
      <c r="Q256">
        <f t="shared" si="960"/>
        <v>-42216206.532871962</v>
      </c>
      <c r="R256">
        <f t="shared" si="961"/>
        <v>-7521458933.1944075</v>
      </c>
      <c r="S256">
        <f t="shared" si="962"/>
        <v>-75214.58933194408</v>
      </c>
      <c r="T256">
        <f t="shared" si="963"/>
        <v>-75.214589331944083</v>
      </c>
    </row>
    <row r="257" spans="1:20" x14ac:dyDescent="0.25">
      <c r="A257" s="5">
        <v>44336</v>
      </c>
      <c r="B257">
        <v>3.1827000000000001E-2</v>
      </c>
      <c r="C257">
        <v>3.9188000000000001E-2</v>
      </c>
      <c r="D257">
        <v>2.8652E-2</v>
      </c>
      <c r="E257">
        <v>3.6936999999999998E-2</v>
      </c>
      <c r="F257">
        <v>112327959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0.57270311313591438</v>
      </c>
      <c r="Q257">
        <f t="shared" si="960"/>
        <v>64330571.811503351</v>
      </c>
      <c r="R257">
        <f t="shared" si="961"/>
        <v>-7479242726.6615353</v>
      </c>
      <c r="S257">
        <f t="shared" si="962"/>
        <v>-74792.427266615356</v>
      </c>
      <c r="T257">
        <f t="shared" si="963"/>
        <v>-74.792427266615363</v>
      </c>
    </row>
    <row r="258" spans="1:20" x14ac:dyDescent="0.25">
      <c r="A258" s="5">
        <v>44335</v>
      </c>
      <c r="B258">
        <v>4.8265000000000002E-2</v>
      </c>
      <c r="C258">
        <v>4.8806000000000002E-2</v>
      </c>
      <c r="D258">
        <v>2.4288000000000001E-2</v>
      </c>
      <c r="E258">
        <v>3.2014000000000001E-2</v>
      </c>
      <c r="F258">
        <v>136908823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-0.36976914919650872</v>
      </c>
      <c r="Q258">
        <f t="shared" si="960"/>
        <v>-50624658.998205401</v>
      </c>
      <c r="R258">
        <f t="shared" si="961"/>
        <v>-7543573298.4730387</v>
      </c>
      <c r="S258">
        <f t="shared" si="962"/>
        <v>-75435.732984730392</v>
      </c>
      <c r="T258">
        <f t="shared" si="963"/>
        <v>-75.435732984730393</v>
      </c>
    </row>
    <row r="259" spans="1:20" x14ac:dyDescent="0.25">
      <c r="A259" s="5">
        <v>44334</v>
      </c>
      <c r="B259">
        <v>4.7967000000000003E-2</v>
      </c>
      <c r="C259">
        <v>5.2736999999999999E-2</v>
      </c>
      <c r="D259">
        <v>4.6510000000000003E-2</v>
      </c>
      <c r="E259">
        <v>4.8265000000000002E-2</v>
      </c>
      <c r="F259">
        <v>68032557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-0.43632567849686826</v>
      </c>
      <c r="Q259">
        <f t="shared" si="960"/>
        <v>-29684351.592901863</v>
      </c>
      <c r="R259">
        <f t="shared" si="961"/>
        <v>-7492948639.4748335</v>
      </c>
      <c r="S259">
        <f t="shared" si="962"/>
        <v>-74929.486394748339</v>
      </c>
      <c r="T259">
        <f t="shared" si="963"/>
        <v>-74.929486394748338</v>
      </c>
    </row>
    <row r="260" spans="1:20" x14ac:dyDescent="0.25">
      <c r="A260" s="5">
        <v>44333</v>
      </c>
      <c r="B260">
        <v>5.3008E-2</v>
      </c>
      <c r="C260">
        <v>5.3720999999999998E-2</v>
      </c>
      <c r="D260">
        <v>4.5436999999999998E-2</v>
      </c>
      <c r="E260">
        <v>4.8254999999999999E-2</v>
      </c>
      <c r="F260">
        <v>74387686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-0.31965234186383362</v>
      </c>
      <c r="Q260">
        <f t="shared" si="960"/>
        <v>-23778198.035731509</v>
      </c>
      <c r="R260">
        <f t="shared" si="961"/>
        <v>-7463264287.8819313</v>
      </c>
      <c r="S260">
        <f t="shared" si="962"/>
        <v>-74632.642878819315</v>
      </c>
      <c r="T260">
        <f t="shared" si="963"/>
        <v>-74.632642878819311</v>
      </c>
    </row>
    <row r="261" spans="1:20" x14ac:dyDescent="0.25">
      <c r="A261" s="5">
        <v>44332</v>
      </c>
      <c r="B261">
        <v>5.5279000000000002E-2</v>
      </c>
      <c r="C261">
        <v>6.0976000000000002E-2</v>
      </c>
      <c r="D261">
        <v>4.9245999999999998E-2</v>
      </c>
      <c r="E261">
        <v>5.2935999999999997E-2</v>
      </c>
      <c r="F261">
        <v>109330391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-0.37084398976982141</v>
      </c>
      <c r="Q261">
        <f t="shared" si="960"/>
        <v>-40544518.401534572</v>
      </c>
      <c r="R261">
        <f t="shared" si="961"/>
        <v>-7439486089.8462</v>
      </c>
      <c r="S261">
        <f t="shared" si="962"/>
        <v>-74394.860898461993</v>
      </c>
      <c r="T261">
        <f t="shared" si="963"/>
        <v>-74.394860898461999</v>
      </c>
    </row>
    <row r="262" spans="1:20" x14ac:dyDescent="0.25">
      <c r="A262" s="5">
        <v>44331</v>
      </c>
      <c r="B262">
        <v>5.9568000000000003E-2</v>
      </c>
      <c r="C262">
        <v>6.0193999999999998E-2</v>
      </c>
      <c r="D262">
        <v>5.4724000000000002E-2</v>
      </c>
      <c r="E262">
        <v>5.5280000000000003E-2</v>
      </c>
      <c r="F262">
        <v>78256360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-0.79670932358318047</v>
      </c>
      <c r="Q262">
        <f t="shared" ref="Q262:Q325" si="965">F262*P262</f>
        <v>-62347571.641681857</v>
      </c>
      <c r="R262">
        <f t="shared" ref="R262:R325" si="966">R263+Q262</f>
        <v>-7398941571.444665</v>
      </c>
      <c r="S262">
        <f t="shared" ref="S262:S325" si="967">R262/100000</f>
        <v>-73989.415714446644</v>
      </c>
      <c r="T262">
        <f t="shared" ref="T262:T325" si="968">S262/1000</f>
        <v>-73.98941571444665</v>
      </c>
    </row>
    <row r="263" spans="1:20" x14ac:dyDescent="0.25">
      <c r="A263" s="5">
        <v>44330</v>
      </c>
      <c r="B263">
        <v>5.9250999999999998E-2</v>
      </c>
      <c r="C263">
        <v>6.4062999999999995E-2</v>
      </c>
      <c r="D263">
        <v>5.7313000000000003E-2</v>
      </c>
      <c r="E263">
        <v>5.9537E-2</v>
      </c>
      <c r="F263">
        <v>102938112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-0.34103703703703719</v>
      </c>
      <c r="Q263">
        <f t="shared" si="965"/>
        <v>-35105708.71466668</v>
      </c>
      <c r="R263">
        <f t="shared" si="966"/>
        <v>-7336593999.8029833</v>
      </c>
      <c r="S263">
        <f t="shared" si="967"/>
        <v>-73365.939998029833</v>
      </c>
      <c r="T263">
        <f t="shared" si="968"/>
        <v>-73.36593999802983</v>
      </c>
    </row>
    <row r="264" spans="1:20" x14ac:dyDescent="0.25">
      <c r="A264" s="5">
        <v>44329</v>
      </c>
      <c r="B264">
        <v>5.7144E-2</v>
      </c>
      <c r="C264">
        <v>6.4283000000000007E-2</v>
      </c>
      <c r="D264">
        <v>5.4362000000000001E-2</v>
      </c>
      <c r="E264">
        <v>5.9250999999999998E-2</v>
      </c>
      <c r="F264">
        <v>150118078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-1.4413869569600956E-2</v>
      </c>
      <c r="Q264">
        <f t="shared" si="965"/>
        <v>-2163782.3963311827</v>
      </c>
      <c r="R264">
        <f t="shared" si="966"/>
        <v>-7301488291.0883169</v>
      </c>
      <c r="S264">
        <f t="shared" si="967"/>
        <v>-73014.882910883171</v>
      </c>
      <c r="T264">
        <f t="shared" si="968"/>
        <v>-73.014882910883173</v>
      </c>
    </row>
    <row r="265" spans="1:20" x14ac:dyDescent="0.25">
      <c r="A265" s="5">
        <v>44328</v>
      </c>
      <c r="B265">
        <v>7.6839000000000005E-2</v>
      </c>
      <c r="C265">
        <v>7.7796000000000004E-2</v>
      </c>
      <c r="D265">
        <v>5.62E-2</v>
      </c>
      <c r="E265">
        <v>5.7067E-2</v>
      </c>
      <c r="F265">
        <v>180092171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-0.91970735321355812</v>
      </c>
      <c r="Q265">
        <f t="shared" si="965"/>
        <v>-165632093.9248935</v>
      </c>
      <c r="R265">
        <f t="shared" si="966"/>
        <v>-7299324508.6919861</v>
      </c>
      <c r="S265">
        <f t="shared" si="967"/>
        <v>-72993.245086919866</v>
      </c>
      <c r="T265">
        <f t="shared" si="968"/>
        <v>-72.99324508691987</v>
      </c>
    </row>
    <row r="266" spans="1:20" x14ac:dyDescent="0.25">
      <c r="A266" s="5">
        <v>44327</v>
      </c>
      <c r="B266">
        <v>7.2621000000000005E-2</v>
      </c>
      <c r="C266">
        <v>8.5999999999999993E-2</v>
      </c>
      <c r="D266">
        <v>6.7169999999999994E-2</v>
      </c>
      <c r="E266">
        <v>7.6996999999999996E-2</v>
      </c>
      <c r="F266">
        <v>346068209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4.3759957514604639E-2</v>
      </c>
      <c r="Q266">
        <f t="shared" si="965"/>
        <v>15143930.122995319</v>
      </c>
      <c r="R266">
        <f t="shared" si="966"/>
        <v>-7133692414.7670927</v>
      </c>
      <c r="S266">
        <f t="shared" si="967"/>
        <v>-71336.924147670929</v>
      </c>
      <c r="T266">
        <f t="shared" si="968"/>
        <v>-71.336924147670928</v>
      </c>
    </row>
    <row r="267" spans="1:20" x14ac:dyDescent="0.25">
      <c r="A267" s="5">
        <v>44326</v>
      </c>
      <c r="B267">
        <v>8.7448999999999999E-2</v>
      </c>
      <c r="C267">
        <v>9.3073000000000003E-2</v>
      </c>
      <c r="D267">
        <v>6.9065000000000001E-2</v>
      </c>
      <c r="E267">
        <v>7.2766999999999998E-2</v>
      </c>
      <c r="F267">
        <v>459128052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-0.69160279906697797</v>
      </c>
      <c r="Q267">
        <f t="shared" si="965"/>
        <v>-317534245.89336902</v>
      </c>
      <c r="R267">
        <f t="shared" si="966"/>
        <v>-7148836344.8900881</v>
      </c>
      <c r="S267">
        <f t="shared" si="967"/>
        <v>-71488.363448900884</v>
      </c>
      <c r="T267">
        <f t="shared" si="968"/>
        <v>-71.488363448900884</v>
      </c>
    </row>
    <row r="268" spans="1:20" x14ac:dyDescent="0.25">
      <c r="A268" s="5">
        <v>44325</v>
      </c>
      <c r="B268">
        <v>9.6195000000000003E-2</v>
      </c>
      <c r="C268">
        <v>0.1179</v>
      </c>
      <c r="D268">
        <v>8.6859000000000006E-2</v>
      </c>
      <c r="E268">
        <v>8.7300000000000003E-2</v>
      </c>
      <c r="F268">
        <v>2128577711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-0.97158596694694133</v>
      </c>
      <c r="Q268">
        <f t="shared" si="965"/>
        <v>-2068096233.563642</v>
      </c>
      <c r="R268">
        <f t="shared" si="966"/>
        <v>-6831302098.9967194</v>
      </c>
      <c r="S268">
        <f t="shared" si="967"/>
        <v>-68313.02098996719</v>
      </c>
      <c r="T268">
        <f t="shared" si="968"/>
        <v>-68.313020989967185</v>
      </c>
    </row>
    <row r="269" spans="1:20" x14ac:dyDescent="0.25">
      <c r="A269" s="5">
        <v>44324</v>
      </c>
      <c r="B269">
        <v>6.8869E-2</v>
      </c>
      <c r="C269">
        <v>0.108265</v>
      </c>
      <c r="D269">
        <v>6.7111000000000004E-2</v>
      </c>
      <c r="E269">
        <v>9.6005999999999994E-2</v>
      </c>
      <c r="F269">
        <v>1095962958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0.40423774116732242</v>
      </c>
      <c r="Q269">
        <f t="shared" si="965"/>
        <v>443029590.54497707</v>
      </c>
      <c r="R269">
        <f t="shared" si="966"/>
        <v>-4763205865.4330769</v>
      </c>
      <c r="S269">
        <f t="shared" si="967"/>
        <v>-47632.058654330765</v>
      </c>
      <c r="T269">
        <f t="shared" si="968"/>
        <v>-47.632058654330763</v>
      </c>
    </row>
    <row r="270" spans="1:20" x14ac:dyDescent="0.25">
      <c r="A270" s="5">
        <v>44323</v>
      </c>
      <c r="B270">
        <v>7.3460999999999999E-2</v>
      </c>
      <c r="C270">
        <v>7.5381000000000004E-2</v>
      </c>
      <c r="D270">
        <v>6.6961999999999994E-2</v>
      </c>
      <c r="E270">
        <v>6.8869E-2</v>
      </c>
      <c r="F270">
        <v>92124697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-0.54697707566219178</v>
      </c>
      <c r="Q270">
        <f t="shared" si="965"/>
        <v>-50390097.361325495</v>
      </c>
      <c r="R270">
        <f t="shared" si="966"/>
        <v>-5206235455.978054</v>
      </c>
      <c r="S270">
        <f t="shared" si="967"/>
        <v>-52062.354559780542</v>
      </c>
      <c r="T270">
        <f t="shared" si="968"/>
        <v>-52.062354559780545</v>
      </c>
    </row>
    <row r="271" spans="1:20" x14ac:dyDescent="0.25">
      <c r="A271" s="5">
        <v>44322</v>
      </c>
      <c r="B271">
        <v>7.3301000000000005E-2</v>
      </c>
      <c r="C271">
        <v>8.2000000000000003E-2</v>
      </c>
      <c r="D271">
        <v>6.9733000000000003E-2</v>
      </c>
      <c r="E271">
        <v>7.3332999999999995E-2</v>
      </c>
      <c r="F271">
        <v>260784212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-0.41305942773294335</v>
      </c>
      <c r="Q271">
        <f t="shared" si="965"/>
        <v>-107719377.37050658</v>
      </c>
      <c r="R271">
        <f t="shared" si="966"/>
        <v>-5155845358.6167288</v>
      </c>
      <c r="S271">
        <f t="shared" si="967"/>
        <v>-51558.453586167285</v>
      </c>
      <c r="T271">
        <f t="shared" si="968"/>
        <v>-51.558453586167282</v>
      </c>
    </row>
    <row r="272" spans="1:20" x14ac:dyDescent="0.25">
      <c r="A272" s="5">
        <v>44321</v>
      </c>
      <c r="B272">
        <v>6.1893999999999998E-2</v>
      </c>
      <c r="C272">
        <v>7.6999999999999999E-2</v>
      </c>
      <c r="D272">
        <v>6.0632999999999999E-2</v>
      </c>
      <c r="E272">
        <v>7.3302000000000006E-2</v>
      </c>
      <c r="F272">
        <v>296765529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0.54811510967190158</v>
      </c>
      <c r="Q272">
        <f t="shared" si="965"/>
        <v>162661670.47467488</v>
      </c>
      <c r="R272">
        <f t="shared" si="966"/>
        <v>-5048125981.2462225</v>
      </c>
      <c r="S272">
        <f t="shared" si="967"/>
        <v>-50481.259812462224</v>
      </c>
      <c r="T272">
        <f t="shared" si="968"/>
        <v>-50.481259812462227</v>
      </c>
    </row>
    <row r="273" spans="1:20" x14ac:dyDescent="0.25">
      <c r="A273" s="5">
        <v>44320</v>
      </c>
      <c r="B273">
        <v>6.8596000000000004E-2</v>
      </c>
      <c r="C273">
        <v>8.0883999999999998E-2</v>
      </c>
      <c r="D273">
        <v>6.1501E-2</v>
      </c>
      <c r="E273">
        <v>6.1899999999999997E-2</v>
      </c>
      <c r="F273">
        <v>492054246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-0.95882990249187472</v>
      </c>
      <c r="Q273">
        <f t="shared" si="965"/>
        <v>-471796324.71289295</v>
      </c>
      <c r="R273">
        <f t="shared" si="966"/>
        <v>-5210787651.7208977</v>
      </c>
      <c r="S273">
        <f t="shared" si="967"/>
        <v>-52107.876517208977</v>
      </c>
      <c r="T273">
        <f t="shared" si="968"/>
        <v>-52.107876517208979</v>
      </c>
    </row>
    <row r="274" spans="1:20" x14ac:dyDescent="0.25">
      <c r="A274" s="5">
        <v>44319</v>
      </c>
      <c r="B274">
        <v>6.5868999999999997E-2</v>
      </c>
      <c r="C274">
        <v>7.2300000000000003E-2</v>
      </c>
      <c r="D274">
        <v>6.3538999999999998E-2</v>
      </c>
      <c r="E274">
        <v>6.8635000000000002E-2</v>
      </c>
      <c r="F274">
        <v>299132492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0.16333751854811104</v>
      </c>
      <c r="Q274">
        <f t="shared" si="965"/>
        <v>48859558.960392676</v>
      </c>
      <c r="R274">
        <f t="shared" si="966"/>
        <v>-4738991327.0080051</v>
      </c>
      <c r="S274">
        <f t="shared" si="967"/>
        <v>-47389.913270080055</v>
      </c>
      <c r="T274">
        <f t="shared" si="968"/>
        <v>-47.389913270080058</v>
      </c>
    </row>
    <row r="275" spans="1:20" x14ac:dyDescent="0.25">
      <c r="A275" s="5">
        <v>44318</v>
      </c>
      <c r="B275">
        <v>5.7575000000000001E-2</v>
      </c>
      <c r="C275">
        <v>6.8000000000000005E-2</v>
      </c>
      <c r="D275">
        <v>5.3059000000000002E-2</v>
      </c>
      <c r="E275">
        <v>6.5919000000000005E-2</v>
      </c>
      <c r="F275">
        <v>261470036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0.72143765477545019</v>
      </c>
      <c r="Q275">
        <f t="shared" si="965"/>
        <v>188634329.56589255</v>
      </c>
      <c r="R275">
        <f t="shared" si="966"/>
        <v>-4787850885.9683981</v>
      </c>
      <c r="S275">
        <f t="shared" si="967"/>
        <v>-47878.508859683978</v>
      </c>
      <c r="T275">
        <f t="shared" si="968"/>
        <v>-47.878508859683976</v>
      </c>
    </row>
    <row r="276" spans="1:20" x14ac:dyDescent="0.25">
      <c r="A276" s="5">
        <v>44317</v>
      </c>
      <c r="B276">
        <v>5.3150999999999997E-2</v>
      </c>
      <c r="C276">
        <v>5.8999000000000003E-2</v>
      </c>
      <c r="D276">
        <v>5.2808000000000001E-2</v>
      </c>
      <c r="E276">
        <v>5.7607999999999999E-2</v>
      </c>
      <c r="F276">
        <v>173192437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0.55063802293651987</v>
      </c>
      <c r="Q276">
        <f t="shared" si="965"/>
        <v>95366341.097237766</v>
      </c>
      <c r="R276">
        <f t="shared" si="966"/>
        <v>-4976485215.5342903</v>
      </c>
      <c r="S276">
        <f t="shared" si="967"/>
        <v>-49764.852155342902</v>
      </c>
      <c r="T276">
        <f t="shared" si="968"/>
        <v>-49.764852155342901</v>
      </c>
    </row>
    <row r="277" spans="1:20" x14ac:dyDescent="0.25">
      <c r="A277" s="5">
        <v>44316</v>
      </c>
      <c r="B277">
        <v>4.7653000000000001E-2</v>
      </c>
      <c r="C277">
        <v>5.8000000000000003E-2</v>
      </c>
      <c r="D277">
        <v>4.6643999999999998E-2</v>
      </c>
      <c r="E277">
        <v>5.3262999999999998E-2</v>
      </c>
      <c r="F277">
        <v>287229688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0.16572736879182759</v>
      </c>
      <c r="Q277">
        <f t="shared" si="965"/>
        <v>47601820.431137577</v>
      </c>
      <c r="R277">
        <f t="shared" si="966"/>
        <v>-5071851556.6315279</v>
      </c>
      <c r="S277">
        <f t="shared" si="967"/>
        <v>-50718.515566315276</v>
      </c>
      <c r="T277">
        <f t="shared" si="968"/>
        <v>-50.718515566315276</v>
      </c>
    </row>
    <row r="278" spans="1:20" x14ac:dyDescent="0.25">
      <c r="A278" s="5">
        <v>44315</v>
      </c>
      <c r="B278">
        <v>4.5222999999999999E-2</v>
      </c>
      <c r="C278">
        <v>4.9000000000000002E-2</v>
      </c>
      <c r="D278">
        <v>4.3325000000000002E-2</v>
      </c>
      <c r="E278">
        <v>4.7653000000000001E-2</v>
      </c>
      <c r="F278">
        <v>75919731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0.52528634361233439</v>
      </c>
      <c r="Q278">
        <f t="shared" si="965"/>
        <v>39879597.905021995</v>
      </c>
      <c r="R278">
        <f t="shared" si="966"/>
        <v>-5119453377.0626659</v>
      </c>
      <c r="S278">
        <f t="shared" si="967"/>
        <v>-51194.533770626658</v>
      </c>
      <c r="T278">
        <f t="shared" si="968"/>
        <v>-51.194533770626656</v>
      </c>
    </row>
    <row r="279" spans="1:20" x14ac:dyDescent="0.25">
      <c r="A279" s="5">
        <v>44314</v>
      </c>
      <c r="B279">
        <v>4.8228E-2</v>
      </c>
      <c r="C279">
        <v>4.9266999999999998E-2</v>
      </c>
      <c r="D279">
        <v>4.2250000000000003E-2</v>
      </c>
      <c r="E279">
        <v>4.5208999999999999E-2</v>
      </c>
      <c r="F279">
        <v>62068643</v>
      </c>
      <c r="G279">
        <v>0</v>
      </c>
      <c r="L279" t="s">
        <v>7</v>
      </c>
      <c r="M279" t="s">
        <v>8</v>
      </c>
      <c r="N279" t="s">
        <v>8</v>
      </c>
      <c r="P279">
        <f t="shared" si="964"/>
        <v>-0.1566196380219472</v>
      </c>
      <c r="Q279">
        <f t="shared" si="965"/>
        <v>-9721168.3991734665</v>
      </c>
      <c r="R279">
        <f t="shared" si="966"/>
        <v>-5159332974.9676876</v>
      </c>
      <c r="S279">
        <f t="shared" si="967"/>
        <v>-51593.329749676879</v>
      </c>
      <c r="T279">
        <f t="shared" si="968"/>
        <v>-51.593329749676876</v>
      </c>
    </row>
    <row r="280" spans="1:20" x14ac:dyDescent="0.25">
      <c r="A280" s="5">
        <v>44313</v>
      </c>
      <c r="B280">
        <v>4.0425999999999997E-2</v>
      </c>
      <c r="C280">
        <v>4.9173000000000001E-2</v>
      </c>
      <c r="D280">
        <v>3.9462999999999998E-2</v>
      </c>
      <c r="E280">
        <v>4.8307000000000003E-2</v>
      </c>
      <c r="F280">
        <v>89523828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0.82162718846549976</v>
      </c>
      <c r="Q280">
        <f t="shared" si="965"/>
        <v>73555211.100308985</v>
      </c>
      <c r="R280">
        <f t="shared" si="966"/>
        <v>-5149611806.5685139</v>
      </c>
      <c r="S280">
        <f t="shared" si="967"/>
        <v>-51496.118065685136</v>
      </c>
      <c r="T280">
        <f t="shared" si="968"/>
        <v>-51.496118065685138</v>
      </c>
    </row>
    <row r="281" spans="1:20" x14ac:dyDescent="0.25">
      <c r="A281" s="5">
        <v>44312</v>
      </c>
      <c r="B281">
        <v>3.3332000000000001E-2</v>
      </c>
      <c r="C281">
        <v>4.1660000000000003E-2</v>
      </c>
      <c r="D281">
        <v>3.3191999999999999E-2</v>
      </c>
      <c r="E281">
        <v>4.0492E-2</v>
      </c>
      <c r="F281">
        <v>96249177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0.72413793103448232</v>
      </c>
      <c r="Q281">
        <f t="shared" si="965"/>
        <v>69697679.896551684</v>
      </c>
      <c r="R281">
        <f t="shared" si="966"/>
        <v>-5223167017.6688232</v>
      </c>
      <c r="S281">
        <f t="shared" si="967"/>
        <v>-52231.670176688232</v>
      </c>
      <c r="T281">
        <f t="shared" si="968"/>
        <v>-52.231670176688233</v>
      </c>
    </row>
    <row r="282" spans="1:20" x14ac:dyDescent="0.25">
      <c r="A282" s="5">
        <v>44311</v>
      </c>
      <c r="B282">
        <v>3.4199E-2</v>
      </c>
      <c r="C282">
        <v>3.7288000000000002E-2</v>
      </c>
      <c r="D282">
        <v>3.0695E-2</v>
      </c>
      <c r="E282">
        <v>3.3265000000000003E-2</v>
      </c>
      <c r="F282">
        <v>92523226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-0.22038525709085327</v>
      </c>
      <c r="Q282">
        <f t="shared" si="965"/>
        <v>-20390754.94888512</v>
      </c>
      <c r="R282">
        <f t="shared" si="966"/>
        <v>-5292864697.5653753</v>
      </c>
      <c r="S282">
        <f t="shared" si="967"/>
        <v>-52928.646975653755</v>
      </c>
      <c r="T282">
        <f t="shared" si="968"/>
        <v>-52.928646975653756</v>
      </c>
    </row>
    <row r="283" spans="1:20" x14ac:dyDescent="0.25">
      <c r="A283" s="5">
        <v>44310</v>
      </c>
      <c r="B283">
        <v>3.7373999999999998E-2</v>
      </c>
      <c r="C283">
        <v>3.7881999999999999E-2</v>
      </c>
      <c r="D283">
        <v>3.3649999999999999E-2</v>
      </c>
      <c r="E283">
        <v>3.4199E-2</v>
      </c>
      <c r="F283">
        <v>61721037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-0.74054820415878975</v>
      </c>
      <c r="Q283">
        <f t="shared" si="965"/>
        <v>-45707403.109168217</v>
      </c>
      <c r="R283">
        <f t="shared" si="966"/>
        <v>-5272473942.6164904</v>
      </c>
      <c r="S283">
        <f t="shared" si="967"/>
        <v>-52724.739426164902</v>
      </c>
      <c r="T283">
        <f t="shared" si="968"/>
        <v>-52.724739426164902</v>
      </c>
    </row>
    <row r="284" spans="1:20" x14ac:dyDescent="0.25">
      <c r="A284" s="5">
        <v>44309</v>
      </c>
      <c r="B284">
        <v>3.7239000000000001E-2</v>
      </c>
      <c r="C284">
        <v>3.9940000000000003E-2</v>
      </c>
      <c r="D284">
        <v>2.9260999999999999E-2</v>
      </c>
      <c r="E284">
        <v>3.7330000000000002E-2</v>
      </c>
      <c r="F284">
        <v>137057615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0.51119018634703617</v>
      </c>
      <c r="Q284">
        <f t="shared" si="965"/>
        <v>70062507.752130345</v>
      </c>
      <c r="R284">
        <f t="shared" si="966"/>
        <v>-5226766539.5073223</v>
      </c>
      <c r="S284">
        <f t="shared" si="967"/>
        <v>-52267.665395073222</v>
      </c>
      <c r="T284">
        <f t="shared" si="968"/>
        <v>-52.267665395073223</v>
      </c>
    </row>
    <row r="285" spans="1:20" x14ac:dyDescent="0.25">
      <c r="A285" s="5">
        <v>44308</v>
      </c>
      <c r="B285">
        <v>4.3867999999999997E-2</v>
      </c>
      <c r="C285">
        <v>4.6231000000000001E-2</v>
      </c>
      <c r="D285">
        <v>3.7239000000000001E-2</v>
      </c>
      <c r="E285">
        <v>3.7346999999999998E-2</v>
      </c>
      <c r="F285">
        <v>77392756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-0.9759786476868334</v>
      </c>
      <c r="Q285">
        <f t="shared" si="965"/>
        <v>-75533677.34163706</v>
      </c>
      <c r="R285">
        <f t="shared" si="966"/>
        <v>-5296829047.2594528</v>
      </c>
      <c r="S285">
        <f t="shared" si="967"/>
        <v>-52968.290472594526</v>
      </c>
      <c r="T285">
        <f t="shared" si="968"/>
        <v>-52.968290472594525</v>
      </c>
    </row>
    <row r="286" spans="1:20" x14ac:dyDescent="0.25">
      <c r="A286" s="5">
        <v>44307</v>
      </c>
      <c r="B286">
        <v>4.5809999999999997E-2</v>
      </c>
      <c r="C286">
        <v>4.8429E-2</v>
      </c>
      <c r="D286">
        <v>4.2451000000000003E-2</v>
      </c>
      <c r="E286">
        <v>4.3914000000000002E-2</v>
      </c>
      <c r="F286">
        <v>93662722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-0.51053864168618279</v>
      </c>
      <c r="Q286">
        <f t="shared" si="965"/>
        <v>-47818438.866510548</v>
      </c>
      <c r="R286">
        <f t="shared" si="966"/>
        <v>-5221295369.9178162</v>
      </c>
      <c r="S286">
        <f t="shared" si="967"/>
        <v>-52212.953699178164</v>
      </c>
      <c r="T286">
        <f t="shared" si="968"/>
        <v>-52.212953699178165</v>
      </c>
    </row>
    <row r="287" spans="1:20" x14ac:dyDescent="0.25">
      <c r="A287" s="5">
        <v>44306</v>
      </c>
      <c r="B287">
        <v>4.6676000000000002E-2</v>
      </c>
      <c r="C287">
        <v>4.7465E-2</v>
      </c>
      <c r="D287">
        <v>4.1123E-2</v>
      </c>
      <c r="E287">
        <v>4.5808000000000001E-2</v>
      </c>
      <c r="F287">
        <v>127175729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0.47745190791548447</v>
      </c>
      <c r="Q287">
        <f t="shared" si="965"/>
        <v>60720294.451592609</v>
      </c>
      <c r="R287">
        <f t="shared" si="966"/>
        <v>-5173476931.0513058</v>
      </c>
      <c r="S287">
        <f t="shared" si="967"/>
        <v>-51734.76931051306</v>
      </c>
      <c r="T287">
        <f t="shared" si="968"/>
        <v>-51.734769310513059</v>
      </c>
    </row>
    <row r="288" spans="1:20" x14ac:dyDescent="0.25">
      <c r="A288" s="5">
        <v>44305</v>
      </c>
      <c r="B288">
        <v>5.3289999999999997E-2</v>
      </c>
      <c r="C288">
        <v>5.5953000000000003E-2</v>
      </c>
      <c r="D288">
        <v>4.6665999999999999E-2</v>
      </c>
      <c r="E288">
        <v>4.6676000000000002E-2</v>
      </c>
      <c r="F288">
        <v>106023768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-0.99784645202971833</v>
      </c>
      <c r="Q288">
        <f t="shared" si="965"/>
        <v>-105795440.72962199</v>
      </c>
      <c r="R288">
        <f t="shared" si="966"/>
        <v>-5234197225.5028982</v>
      </c>
      <c r="S288">
        <f t="shared" si="967"/>
        <v>-52341.972255028981</v>
      </c>
      <c r="T288">
        <f t="shared" si="968"/>
        <v>-52.341972255028978</v>
      </c>
    </row>
    <row r="289" spans="1:20" x14ac:dyDescent="0.25">
      <c r="A289" s="5">
        <v>44304</v>
      </c>
      <c r="B289">
        <v>6.1527999999999999E-2</v>
      </c>
      <c r="C289">
        <v>6.1683000000000002E-2</v>
      </c>
      <c r="D289">
        <v>4.9917000000000003E-2</v>
      </c>
      <c r="E289">
        <v>5.3291999999999999E-2</v>
      </c>
      <c r="F289">
        <v>88585103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-0.42631310555838919</v>
      </c>
      <c r="Q289">
        <f t="shared" si="965"/>
        <v>-37764990.366139777</v>
      </c>
      <c r="R289">
        <f t="shared" si="966"/>
        <v>-5128401784.7732763</v>
      </c>
      <c r="S289">
        <f t="shared" si="967"/>
        <v>-51284.017847732764</v>
      </c>
      <c r="T289">
        <f t="shared" si="968"/>
        <v>-51.284017847732763</v>
      </c>
    </row>
    <row r="290" spans="1:20" x14ac:dyDescent="0.25">
      <c r="A290" s="5">
        <v>44303</v>
      </c>
      <c r="B290">
        <v>6.1268000000000003E-2</v>
      </c>
      <c r="C290">
        <v>6.8500000000000005E-2</v>
      </c>
      <c r="D290">
        <v>6.0318999999999998E-2</v>
      </c>
      <c r="E290">
        <v>6.1362E-2</v>
      </c>
      <c r="F290">
        <v>140391205</v>
      </c>
      <c r="G290">
        <v>0</v>
      </c>
      <c r="L290" t="s">
        <v>8</v>
      </c>
      <c r="M290" t="s">
        <v>8</v>
      </c>
      <c r="N290" t="s">
        <v>7</v>
      </c>
      <c r="P290">
        <f t="shared" si="964"/>
        <v>-0.74501894633907806</v>
      </c>
      <c r="Q290">
        <f t="shared" si="965"/>
        <v>-104594107.62437351</v>
      </c>
      <c r="R290">
        <f t="shared" si="966"/>
        <v>-5090636794.4071369</v>
      </c>
      <c r="S290">
        <f t="shared" si="967"/>
        <v>-50906.367944071368</v>
      </c>
      <c r="T290">
        <f t="shared" si="968"/>
        <v>-50.90636794407137</v>
      </c>
    </row>
    <row r="291" spans="1:20" x14ac:dyDescent="0.25">
      <c r="A291" s="5">
        <v>44302</v>
      </c>
      <c r="B291">
        <v>6.3903000000000001E-2</v>
      </c>
      <c r="C291">
        <v>6.5000000000000002E-2</v>
      </c>
      <c r="D291">
        <v>5.6855000000000003E-2</v>
      </c>
      <c r="E291">
        <v>6.1268000000000003E-2</v>
      </c>
      <c r="F291">
        <v>122326246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8.3609576427256124E-2</v>
      </c>
      <c r="Q291">
        <f t="shared" si="965"/>
        <v>10227645.613996334</v>
      </c>
      <c r="R291">
        <f t="shared" si="966"/>
        <v>-4986042686.7827635</v>
      </c>
      <c r="S291">
        <f t="shared" si="967"/>
        <v>-49860.426867827635</v>
      </c>
      <c r="T291">
        <f t="shared" si="968"/>
        <v>-49.860426867827634</v>
      </c>
    </row>
    <row r="292" spans="1:20" x14ac:dyDescent="0.25">
      <c r="A292" s="5">
        <v>44301</v>
      </c>
      <c r="B292">
        <v>6.3955999999999999E-2</v>
      </c>
      <c r="C292">
        <v>6.7000000000000004E-2</v>
      </c>
      <c r="D292">
        <v>6.1903E-2</v>
      </c>
      <c r="E292">
        <v>6.3943E-2</v>
      </c>
      <c r="F292">
        <v>108042935</v>
      </c>
      <c r="G292">
        <v>0</v>
      </c>
      <c r="L292" t="s">
        <v>7</v>
      </c>
      <c r="M292" t="s">
        <v>7</v>
      </c>
      <c r="N292" t="s">
        <v>7</v>
      </c>
      <c r="P292">
        <f t="shared" si="964"/>
        <v>-0.19952913478516837</v>
      </c>
      <c r="Q292">
        <f t="shared" si="965"/>
        <v>-21557713.340200186</v>
      </c>
      <c r="R292">
        <f t="shared" si="966"/>
        <v>-4996270332.39676</v>
      </c>
      <c r="S292">
        <f t="shared" si="967"/>
        <v>-49962.703323967602</v>
      </c>
      <c r="T292">
        <f t="shared" si="968"/>
        <v>-49.962703323967602</v>
      </c>
    </row>
    <row r="293" spans="1:20" x14ac:dyDescent="0.25">
      <c r="A293" s="5">
        <v>44300</v>
      </c>
      <c r="B293">
        <v>6.4254000000000006E-2</v>
      </c>
      <c r="C293">
        <v>6.7312999999999998E-2</v>
      </c>
      <c r="D293">
        <v>5.9733000000000001E-2</v>
      </c>
      <c r="E293">
        <v>6.3932000000000003E-2</v>
      </c>
      <c r="F293">
        <v>119904749</v>
      </c>
      <c r="G293">
        <v>0</v>
      </c>
      <c r="L293" t="s">
        <v>8</v>
      </c>
      <c r="M293" t="s">
        <v>7</v>
      </c>
      <c r="N293" t="s">
        <v>7</v>
      </c>
      <c r="P293">
        <f t="shared" si="964"/>
        <v>0.10791556728232277</v>
      </c>
      <c r="Q293">
        <f t="shared" si="965"/>
        <v>12939589.008179523</v>
      </c>
      <c r="R293">
        <f t="shared" si="966"/>
        <v>-4974712619.0565596</v>
      </c>
      <c r="S293">
        <f t="shared" si="967"/>
        <v>-49747.126190565599</v>
      </c>
      <c r="T293">
        <f t="shared" si="968"/>
        <v>-49.747126190565602</v>
      </c>
    </row>
    <row r="294" spans="1:20" x14ac:dyDescent="0.25">
      <c r="A294" s="5">
        <v>44299</v>
      </c>
      <c r="B294">
        <v>6.5280000000000005E-2</v>
      </c>
      <c r="C294">
        <v>6.9000000000000006E-2</v>
      </c>
      <c r="D294">
        <v>0.06</v>
      </c>
      <c r="E294">
        <v>6.4255000000000007E-2</v>
      </c>
      <c r="F294">
        <v>143402446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-5.4444444444443331E-2</v>
      </c>
      <c r="Q294">
        <f t="shared" si="965"/>
        <v>-7807466.5044442844</v>
      </c>
      <c r="R294">
        <f t="shared" si="966"/>
        <v>-4987652208.0647392</v>
      </c>
      <c r="S294">
        <f t="shared" si="967"/>
        <v>-49876.522080647395</v>
      </c>
      <c r="T294">
        <f t="shared" si="968"/>
        <v>-49.876522080647398</v>
      </c>
    </row>
    <row r="295" spans="1:20" x14ac:dyDescent="0.25">
      <c r="A295" s="5">
        <v>44298</v>
      </c>
      <c r="B295">
        <v>6.7250000000000004E-2</v>
      </c>
      <c r="C295">
        <v>7.0642999999999997E-2</v>
      </c>
      <c r="D295">
        <v>6.2767000000000003E-2</v>
      </c>
      <c r="E295">
        <v>6.5300999999999998E-2</v>
      </c>
      <c r="F295">
        <v>147783914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-0.35652615540883786</v>
      </c>
      <c r="Q295">
        <f t="shared" si="965"/>
        <v>-52688830.689690329</v>
      </c>
      <c r="R295">
        <f t="shared" si="966"/>
        <v>-4979844741.5602951</v>
      </c>
      <c r="S295">
        <f t="shared" si="967"/>
        <v>-49798.447415602954</v>
      </c>
      <c r="T295">
        <f t="shared" si="968"/>
        <v>-49.798447415602951</v>
      </c>
    </row>
    <row r="296" spans="1:20" x14ac:dyDescent="0.25">
      <c r="A296" s="5">
        <v>44297</v>
      </c>
      <c r="B296">
        <v>6.9685999999999998E-2</v>
      </c>
      <c r="C296">
        <v>7.2098999999999996E-2</v>
      </c>
      <c r="D296">
        <v>6.5513000000000002E-2</v>
      </c>
      <c r="E296">
        <v>6.7250000000000004E-2</v>
      </c>
      <c r="F296">
        <v>184190249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-0.47251746128150507</v>
      </c>
      <c r="Q296">
        <f t="shared" si="965"/>
        <v>-87033108.850288272</v>
      </c>
      <c r="R296">
        <f t="shared" si="966"/>
        <v>-4927155910.8706045</v>
      </c>
      <c r="S296">
        <f t="shared" si="967"/>
        <v>-49271.559108706046</v>
      </c>
      <c r="T296">
        <f t="shared" si="968"/>
        <v>-49.271559108706043</v>
      </c>
    </row>
    <row r="297" spans="1:20" x14ac:dyDescent="0.25">
      <c r="A297" s="5">
        <v>44296</v>
      </c>
      <c r="B297">
        <v>7.4196999999999999E-2</v>
      </c>
      <c r="C297">
        <v>8.4857000000000002E-2</v>
      </c>
      <c r="D297">
        <v>6.7432000000000006E-2</v>
      </c>
      <c r="E297">
        <v>6.9690000000000002E-2</v>
      </c>
      <c r="F297">
        <v>370827669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-0.74083213773314238</v>
      </c>
      <c r="Q297">
        <f t="shared" si="965"/>
        <v>-274721054.75586814</v>
      </c>
      <c r="R297">
        <f t="shared" si="966"/>
        <v>-4840122802.0203161</v>
      </c>
      <c r="S297">
        <f t="shared" si="967"/>
        <v>-48401.228020203162</v>
      </c>
      <c r="T297">
        <f t="shared" si="968"/>
        <v>-48.401228020203163</v>
      </c>
    </row>
    <row r="298" spans="1:20" x14ac:dyDescent="0.25">
      <c r="A298" s="5">
        <v>44295</v>
      </c>
      <c r="B298">
        <v>7.2344000000000006E-2</v>
      </c>
      <c r="C298">
        <v>8.8526999999999995E-2</v>
      </c>
      <c r="D298">
        <v>7.1837999999999999E-2</v>
      </c>
      <c r="E298">
        <v>7.4216000000000004E-2</v>
      </c>
      <c r="F298">
        <v>738364301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-0.71502187069327028</v>
      </c>
      <c r="Q298">
        <f t="shared" si="965"/>
        <v>-527946623.7541489</v>
      </c>
      <c r="R298">
        <f t="shared" si="966"/>
        <v>-4565401747.2644482</v>
      </c>
      <c r="S298">
        <f t="shared" si="967"/>
        <v>-45654.017472644482</v>
      </c>
      <c r="T298">
        <f t="shared" si="968"/>
        <v>-45.654017472644483</v>
      </c>
    </row>
    <row r="299" spans="1:20" x14ac:dyDescent="0.25">
      <c r="A299" s="5">
        <v>44294</v>
      </c>
      <c r="B299">
        <v>6.1011000000000003E-2</v>
      </c>
      <c r="C299">
        <v>8.1698999999999994E-2</v>
      </c>
      <c r="D299">
        <v>6.0531000000000001E-2</v>
      </c>
      <c r="E299">
        <v>7.2345999999999994E-2</v>
      </c>
      <c r="F299">
        <v>374491458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0.11630763416477669</v>
      </c>
      <c r="Q299">
        <f t="shared" si="965"/>
        <v>43556215.494897835</v>
      </c>
      <c r="R299">
        <f t="shared" si="966"/>
        <v>-4037455123.5102992</v>
      </c>
      <c r="S299">
        <f t="shared" si="967"/>
        <v>-40374.55123510299</v>
      </c>
      <c r="T299">
        <f t="shared" si="968"/>
        <v>-40.374551235102992</v>
      </c>
    </row>
    <row r="300" spans="1:20" x14ac:dyDescent="0.25">
      <c r="A300" s="5">
        <v>44293</v>
      </c>
      <c r="B300">
        <v>6.2639E-2</v>
      </c>
      <c r="C300">
        <v>6.8949999999999997E-2</v>
      </c>
      <c r="D300">
        <v>5.6047E-2</v>
      </c>
      <c r="E300">
        <v>6.1008E-2</v>
      </c>
      <c r="F300">
        <v>376318024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-0.23103154305200327</v>
      </c>
      <c r="Q300">
        <f t="shared" si="965"/>
        <v>-86941333.763000801</v>
      </c>
      <c r="R300">
        <f t="shared" si="966"/>
        <v>-4081011339.005197</v>
      </c>
      <c r="S300">
        <f t="shared" si="967"/>
        <v>-40810.113390051971</v>
      </c>
      <c r="T300">
        <f t="shared" si="968"/>
        <v>-40.810113390051974</v>
      </c>
    </row>
    <row r="301" spans="1:20" x14ac:dyDescent="0.25">
      <c r="A301" s="5">
        <v>44292</v>
      </c>
      <c r="B301">
        <v>7.0971000000000006E-2</v>
      </c>
      <c r="C301">
        <v>9.1588000000000003E-2</v>
      </c>
      <c r="D301">
        <v>6.2091E-2</v>
      </c>
      <c r="E301">
        <v>6.2643000000000004E-2</v>
      </c>
      <c r="F301">
        <v>1204290386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-0.96257246499644</v>
      </c>
      <c r="Q301">
        <f t="shared" si="965"/>
        <v>-1159216765.4235342</v>
      </c>
      <c r="R301">
        <f t="shared" si="966"/>
        <v>-3994070005.2421961</v>
      </c>
      <c r="S301">
        <f t="shared" si="967"/>
        <v>-39940.700052421962</v>
      </c>
      <c r="T301">
        <f t="shared" si="968"/>
        <v>-39.94070005242196</v>
      </c>
    </row>
    <row r="302" spans="1:20" x14ac:dyDescent="0.25">
      <c r="A302" s="5">
        <v>44291</v>
      </c>
      <c r="B302">
        <v>5.2489000000000001E-2</v>
      </c>
      <c r="C302">
        <v>7.6799999999999993E-2</v>
      </c>
      <c r="D302">
        <v>4.9452000000000003E-2</v>
      </c>
      <c r="E302">
        <v>7.0971999999999993E-2</v>
      </c>
      <c r="F302">
        <v>741460856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0.57378967383355262</v>
      </c>
      <c r="Q302">
        <f t="shared" si="965"/>
        <v>425442582.72458673</v>
      </c>
      <c r="R302">
        <f t="shared" si="966"/>
        <v>-2834853239.8186617</v>
      </c>
      <c r="S302">
        <f t="shared" si="967"/>
        <v>-28348.532398186617</v>
      </c>
      <c r="T302">
        <f t="shared" si="968"/>
        <v>-28.348532398186617</v>
      </c>
    </row>
    <row r="303" spans="1:20" x14ac:dyDescent="0.25">
      <c r="A303" s="5">
        <v>44290</v>
      </c>
      <c r="B303">
        <v>4.6349000000000001E-2</v>
      </c>
      <c r="C303">
        <v>5.6890000000000003E-2</v>
      </c>
      <c r="D303">
        <v>4.4499999999999998E-2</v>
      </c>
      <c r="E303">
        <v>5.2497000000000002E-2</v>
      </c>
      <c r="F303">
        <v>231705785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0.29087974172719949</v>
      </c>
      <c r="Q303">
        <f t="shared" si="965"/>
        <v>67398518.897498012</v>
      </c>
      <c r="R303">
        <f t="shared" si="966"/>
        <v>-3260295822.5432487</v>
      </c>
      <c r="S303">
        <f t="shared" si="967"/>
        <v>-32602.958225432485</v>
      </c>
      <c r="T303">
        <f t="shared" si="968"/>
        <v>-32.602958225432488</v>
      </c>
    </row>
    <row r="304" spans="1:20" x14ac:dyDescent="0.25">
      <c r="A304" s="5">
        <v>44289</v>
      </c>
      <c r="B304">
        <v>5.0848999999999998E-2</v>
      </c>
      <c r="C304">
        <v>5.1399E-2</v>
      </c>
      <c r="D304">
        <v>4.5477999999999998E-2</v>
      </c>
      <c r="E304">
        <v>4.6356000000000001E-2</v>
      </c>
      <c r="F304">
        <v>123291204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-0.70342847491977589</v>
      </c>
      <c r="Q304">
        <f t="shared" si="965"/>
        <v>-86726543.600742966</v>
      </c>
      <c r="R304">
        <f t="shared" si="966"/>
        <v>-3327694341.4407468</v>
      </c>
      <c r="S304">
        <f t="shared" si="967"/>
        <v>-33276.943414407469</v>
      </c>
      <c r="T304">
        <f t="shared" si="968"/>
        <v>-33.276943414407469</v>
      </c>
    </row>
    <row r="305" spans="1:20" x14ac:dyDescent="0.25">
      <c r="A305" s="5">
        <v>44288</v>
      </c>
      <c r="B305">
        <v>5.4676000000000002E-2</v>
      </c>
      <c r="C305">
        <v>5.4676000000000002E-2</v>
      </c>
      <c r="D305">
        <v>5.0721000000000002E-2</v>
      </c>
      <c r="E305">
        <v>5.1025000000000001E-2</v>
      </c>
      <c r="F305">
        <v>92786003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-0.846270543615677</v>
      </c>
      <c r="Q305">
        <f t="shared" si="965"/>
        <v>-78522061.198735833</v>
      </c>
      <c r="R305">
        <f t="shared" si="966"/>
        <v>-3240967797.840004</v>
      </c>
      <c r="S305">
        <f t="shared" si="967"/>
        <v>-32409.677978400039</v>
      </c>
      <c r="T305">
        <f t="shared" si="968"/>
        <v>-32.40967797840004</v>
      </c>
    </row>
    <row r="306" spans="1:20" x14ac:dyDescent="0.25">
      <c r="A306" s="5">
        <v>44287</v>
      </c>
      <c r="B306">
        <v>5.4348E-2</v>
      </c>
      <c r="C306">
        <v>5.7005E-2</v>
      </c>
      <c r="D306">
        <v>5.3924E-2</v>
      </c>
      <c r="E306">
        <v>5.4538000000000003E-2</v>
      </c>
      <c r="F306">
        <v>76788008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-0.60142810775721955</v>
      </c>
      <c r="Q306">
        <f t="shared" si="965"/>
        <v>-46182466.349886239</v>
      </c>
      <c r="R306">
        <f t="shared" si="966"/>
        <v>-3162445736.6412683</v>
      </c>
      <c r="S306">
        <f t="shared" si="967"/>
        <v>-31624.457366412684</v>
      </c>
      <c r="T306">
        <f t="shared" si="968"/>
        <v>-31.624457366412685</v>
      </c>
    </row>
    <row r="307" spans="1:20" x14ac:dyDescent="0.25">
      <c r="A307" s="5">
        <v>44286</v>
      </c>
      <c r="B307">
        <v>5.6335999999999997E-2</v>
      </c>
      <c r="C307">
        <v>5.8345000000000001E-2</v>
      </c>
      <c r="D307">
        <v>5.2171000000000002E-2</v>
      </c>
      <c r="E307">
        <v>5.4505999999999999E-2</v>
      </c>
      <c r="F307">
        <v>86745682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-0.24360220278587716</v>
      </c>
      <c r="Q307">
        <f t="shared" si="965"/>
        <v>-21131439.217363212</v>
      </c>
      <c r="R307">
        <f t="shared" si="966"/>
        <v>-3116263270.2913818</v>
      </c>
      <c r="S307">
        <f t="shared" si="967"/>
        <v>-31162.632702913819</v>
      </c>
      <c r="T307">
        <f t="shared" si="968"/>
        <v>-31.162632702913818</v>
      </c>
    </row>
    <row r="308" spans="1:20" x14ac:dyDescent="0.25">
      <c r="A308" s="5">
        <v>44285</v>
      </c>
      <c r="B308">
        <v>5.6240999999999999E-2</v>
      </c>
      <c r="C308">
        <v>5.9499999999999997E-2</v>
      </c>
      <c r="D308">
        <v>5.3769999999999998E-2</v>
      </c>
      <c r="E308">
        <v>5.6320000000000002E-2</v>
      </c>
      <c r="F308">
        <v>106617404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-0.10994764397905615</v>
      </c>
      <c r="Q308">
        <f t="shared" si="965"/>
        <v>-11722332.376963198</v>
      </c>
      <c r="R308">
        <f t="shared" si="966"/>
        <v>-3095131831.0740185</v>
      </c>
      <c r="S308">
        <f t="shared" si="967"/>
        <v>-30951.318310740186</v>
      </c>
      <c r="T308">
        <f t="shared" si="968"/>
        <v>-30.951318310740184</v>
      </c>
    </row>
    <row r="309" spans="1:20" x14ac:dyDescent="0.25">
      <c r="A309" s="5">
        <v>44284</v>
      </c>
      <c r="B309">
        <v>5.1825999999999997E-2</v>
      </c>
      <c r="C309">
        <v>5.7717999999999998E-2</v>
      </c>
      <c r="D309">
        <v>5.0727000000000001E-2</v>
      </c>
      <c r="E309">
        <v>5.6239999999999998E-2</v>
      </c>
      <c r="F309">
        <v>132131600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0.57717064797596884</v>
      </c>
      <c r="Q309">
        <f t="shared" si="965"/>
        <v>76262481.190101519</v>
      </c>
      <c r="R309">
        <f t="shared" si="966"/>
        <v>-3083409498.6970553</v>
      </c>
      <c r="S309">
        <f t="shared" si="967"/>
        <v>-30834.094986970555</v>
      </c>
      <c r="T309">
        <f t="shared" si="968"/>
        <v>-30.834094986970555</v>
      </c>
    </row>
    <row r="310" spans="1:20" x14ac:dyDescent="0.25">
      <c r="A310" s="5">
        <v>44283</v>
      </c>
      <c r="B310">
        <v>5.4698999999999998E-2</v>
      </c>
      <c r="C310">
        <v>5.5643999999999999E-2</v>
      </c>
      <c r="D310">
        <v>5.0500000000000003E-2</v>
      </c>
      <c r="E310">
        <v>5.1830000000000001E-2</v>
      </c>
      <c r="F310">
        <v>97841551</v>
      </c>
      <c r="G310">
        <v>0</v>
      </c>
      <c r="L310" t="s">
        <v>7</v>
      </c>
      <c r="M310" t="s">
        <v>8</v>
      </c>
      <c r="N310" t="s">
        <v>8</v>
      </c>
      <c r="P310">
        <f t="shared" si="964"/>
        <v>-0.4828926905132197</v>
      </c>
      <c r="Q310">
        <f t="shared" si="965"/>
        <v>-47246969.806376405</v>
      </c>
      <c r="R310">
        <f t="shared" si="966"/>
        <v>-3159671979.887157</v>
      </c>
      <c r="S310">
        <f t="shared" si="967"/>
        <v>-31596.719798871571</v>
      </c>
      <c r="T310">
        <f t="shared" si="968"/>
        <v>-31.596719798871572</v>
      </c>
    </row>
    <row r="311" spans="1:20" x14ac:dyDescent="0.25">
      <c r="A311" s="5">
        <v>44282</v>
      </c>
      <c r="B311">
        <v>4.9540000000000001E-2</v>
      </c>
      <c r="C311">
        <v>5.7567E-2</v>
      </c>
      <c r="D311">
        <v>4.8073999999999999E-2</v>
      </c>
      <c r="E311">
        <v>5.4706999999999999E-2</v>
      </c>
      <c r="F311">
        <v>366145430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0.39745075318655831</v>
      </c>
      <c r="Q311">
        <f t="shared" si="965"/>
        <v>145524776.92931625</v>
      </c>
      <c r="R311">
        <f t="shared" si="966"/>
        <v>-3112425010.0807805</v>
      </c>
      <c r="S311">
        <f t="shared" si="967"/>
        <v>-31124.250100807803</v>
      </c>
      <c r="T311">
        <f t="shared" si="968"/>
        <v>-31.124250100807803</v>
      </c>
    </row>
    <row r="312" spans="1:20" x14ac:dyDescent="0.25">
      <c r="A312" s="5">
        <v>44281</v>
      </c>
      <c r="B312">
        <v>4.7884000000000003E-2</v>
      </c>
      <c r="C312">
        <v>5.2659999999999998E-2</v>
      </c>
      <c r="D312">
        <v>4.7440000000000003E-2</v>
      </c>
      <c r="E312">
        <v>4.9603000000000001E-2</v>
      </c>
      <c r="F312">
        <v>196140088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-0.17126436781609192</v>
      </c>
      <c r="Q312">
        <f t="shared" si="965"/>
        <v>-33591808.174712636</v>
      </c>
      <c r="R312">
        <f t="shared" si="966"/>
        <v>-3257949787.0100965</v>
      </c>
      <c r="S312">
        <f t="shared" si="967"/>
        <v>-32579.497870100964</v>
      </c>
      <c r="T312">
        <f t="shared" si="968"/>
        <v>-32.579497870100965</v>
      </c>
    </row>
    <row r="313" spans="1:20" x14ac:dyDescent="0.25">
      <c r="A313" s="5">
        <v>44280</v>
      </c>
      <c r="B313">
        <v>5.1532000000000001E-2</v>
      </c>
      <c r="C313">
        <v>5.8746E-2</v>
      </c>
      <c r="D313">
        <v>4.7499E-2</v>
      </c>
      <c r="E313">
        <v>4.7757000000000001E-2</v>
      </c>
      <c r="F313">
        <v>320566395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-0.95412109895972241</v>
      </c>
      <c r="Q313">
        <f t="shared" si="965"/>
        <v>-305859161.08695644</v>
      </c>
      <c r="R313">
        <f t="shared" si="966"/>
        <v>-3224357978.8353839</v>
      </c>
      <c r="S313">
        <f t="shared" si="967"/>
        <v>-32243.57978835384</v>
      </c>
      <c r="T313">
        <f t="shared" si="968"/>
        <v>-32.243579788353841</v>
      </c>
    </row>
    <row r="314" spans="1:20" x14ac:dyDescent="0.25">
      <c r="A314" s="5">
        <v>44279</v>
      </c>
      <c r="B314">
        <v>4.5224E-2</v>
      </c>
      <c r="C314">
        <v>6.2799999999999995E-2</v>
      </c>
      <c r="D314">
        <v>4.4510000000000001E-2</v>
      </c>
      <c r="E314">
        <v>5.1804000000000003E-2</v>
      </c>
      <c r="F314">
        <v>485688941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-0.20240568616730406</v>
      </c>
      <c r="Q314">
        <f t="shared" si="965"/>
        <v>-98306203.366976261</v>
      </c>
      <c r="R314">
        <f t="shared" si="966"/>
        <v>-2918498817.7484274</v>
      </c>
      <c r="S314">
        <f t="shared" si="967"/>
        <v>-29184.988177484272</v>
      </c>
      <c r="T314">
        <f t="shared" si="968"/>
        <v>-29.184988177484271</v>
      </c>
    </row>
    <row r="315" spans="1:20" x14ac:dyDescent="0.25">
      <c r="A315" s="5">
        <v>44278</v>
      </c>
      <c r="B315">
        <v>4.6286000000000001E-2</v>
      </c>
      <c r="C315">
        <v>5.1400000000000001E-2</v>
      </c>
      <c r="D315">
        <v>4.1000000000000002E-2</v>
      </c>
      <c r="E315">
        <v>4.5450999999999998E-2</v>
      </c>
      <c r="F315">
        <v>232654707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-0.14403846153846214</v>
      </c>
      <c r="Q315">
        <f t="shared" si="965"/>
        <v>-33511226.065961678</v>
      </c>
      <c r="R315">
        <f t="shared" si="966"/>
        <v>-2820192614.3814511</v>
      </c>
      <c r="S315">
        <f t="shared" si="967"/>
        <v>-28201.926143814511</v>
      </c>
      <c r="T315">
        <f t="shared" si="968"/>
        <v>-28.201926143814511</v>
      </c>
    </row>
    <row r="316" spans="1:20" x14ac:dyDescent="0.25">
      <c r="A316" s="5">
        <v>44277</v>
      </c>
      <c r="B316">
        <v>4.3285999999999998E-2</v>
      </c>
      <c r="C316">
        <v>5.4307000000000001E-2</v>
      </c>
      <c r="D316">
        <v>4.0099999999999997E-2</v>
      </c>
      <c r="E316">
        <v>4.6475000000000002E-2</v>
      </c>
      <c r="F316">
        <v>576879806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-0.10255507848243771</v>
      </c>
      <c r="Q316">
        <f t="shared" si="965"/>
        <v>-59161953.779263437</v>
      </c>
      <c r="R316">
        <f t="shared" si="966"/>
        <v>-2786681388.3154893</v>
      </c>
      <c r="S316">
        <f t="shared" si="967"/>
        <v>-27866.813883154893</v>
      </c>
      <c r="T316">
        <f t="shared" si="968"/>
        <v>-27.866813883154894</v>
      </c>
    </row>
    <row r="317" spans="1:20" x14ac:dyDescent="0.25">
      <c r="A317" s="5">
        <v>44276</v>
      </c>
      <c r="B317">
        <v>3.8510999999999997E-2</v>
      </c>
      <c r="C317">
        <v>4.8000000000000001E-2</v>
      </c>
      <c r="D317">
        <v>3.6801E-2</v>
      </c>
      <c r="E317">
        <v>4.3180999999999997E-2</v>
      </c>
      <c r="F317">
        <v>142744900</v>
      </c>
      <c r="G317">
        <v>0</v>
      </c>
      <c r="L317" t="s">
        <v>8</v>
      </c>
      <c r="M317" t="s">
        <v>8</v>
      </c>
      <c r="N317" t="s">
        <v>8</v>
      </c>
      <c r="P317">
        <f t="shared" si="964"/>
        <v>0.13938744530761613</v>
      </c>
      <c r="Q317">
        <f t="shared" si="965"/>
        <v>19896846.941691134</v>
      </c>
      <c r="R317">
        <f t="shared" si="966"/>
        <v>-2727519434.5362258</v>
      </c>
      <c r="S317">
        <f t="shared" si="967"/>
        <v>-27275.194345362259</v>
      </c>
      <c r="T317">
        <f t="shared" si="968"/>
        <v>-27.275194345362259</v>
      </c>
    </row>
    <row r="318" spans="1:20" x14ac:dyDescent="0.25">
      <c r="A318" s="5">
        <v>44275</v>
      </c>
      <c r="B318">
        <v>3.6184000000000001E-2</v>
      </c>
      <c r="C318">
        <v>0.04</v>
      </c>
      <c r="D318">
        <v>3.5700999999999997E-2</v>
      </c>
      <c r="E318">
        <v>3.8273000000000001E-2</v>
      </c>
      <c r="F318">
        <v>66926689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0.19655733891602806</v>
      </c>
      <c r="Q318">
        <f t="shared" si="965"/>
        <v>13154931.892300608</v>
      </c>
      <c r="R318">
        <f t="shared" si="966"/>
        <v>-2747416281.4779167</v>
      </c>
      <c r="S318">
        <f t="shared" si="967"/>
        <v>-27474.162814779167</v>
      </c>
      <c r="T318">
        <f t="shared" si="968"/>
        <v>-27.474162814779167</v>
      </c>
    </row>
    <row r="319" spans="1:20" x14ac:dyDescent="0.25">
      <c r="A319" s="5">
        <v>44274</v>
      </c>
      <c r="B319">
        <v>3.5110000000000002E-2</v>
      </c>
      <c r="C319">
        <v>3.6756999999999998E-2</v>
      </c>
      <c r="D319">
        <v>3.3860000000000001E-2</v>
      </c>
      <c r="E319">
        <v>3.6184000000000001E-2</v>
      </c>
      <c r="F319">
        <v>42210188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0.60441836382464775</v>
      </c>
      <c r="Q319">
        <f t="shared" si="965"/>
        <v>25512612.767690782</v>
      </c>
      <c r="R319">
        <f t="shared" si="966"/>
        <v>-2760571213.3702173</v>
      </c>
      <c r="S319">
        <f t="shared" si="967"/>
        <v>-27605.712133702174</v>
      </c>
      <c r="T319">
        <f t="shared" si="968"/>
        <v>-27.605712133702173</v>
      </c>
    </row>
    <row r="320" spans="1:20" x14ac:dyDescent="0.25">
      <c r="A320" s="5">
        <v>44273</v>
      </c>
      <c r="B320">
        <v>3.5434E-2</v>
      </c>
      <c r="C320">
        <v>3.7900000000000003E-2</v>
      </c>
      <c r="D320">
        <v>3.4909999999999997E-2</v>
      </c>
      <c r="E320">
        <v>3.5249999999999997E-2</v>
      </c>
      <c r="F320">
        <v>34556631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-0.77257525083612089</v>
      </c>
      <c r="Q320">
        <f t="shared" si="965"/>
        <v>-26697597.86287627</v>
      </c>
      <c r="R320">
        <f t="shared" si="966"/>
        <v>-2786083826.137908</v>
      </c>
      <c r="S320">
        <f t="shared" si="967"/>
        <v>-27860.838261379078</v>
      </c>
      <c r="T320">
        <f t="shared" si="968"/>
        <v>-27.860838261379079</v>
      </c>
    </row>
    <row r="321" spans="1:20" x14ac:dyDescent="0.25">
      <c r="A321" s="5">
        <v>44272</v>
      </c>
      <c r="B321">
        <v>3.7101000000000002E-2</v>
      </c>
      <c r="C321">
        <v>3.7400000000000003E-2</v>
      </c>
      <c r="D321">
        <v>3.3890000000000003E-2</v>
      </c>
      <c r="E321">
        <v>3.5432999999999999E-2</v>
      </c>
      <c r="F321">
        <v>51487604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-0.12079772079772302</v>
      </c>
      <c r="Q321">
        <f t="shared" si="965"/>
        <v>-6219585.2125357268</v>
      </c>
      <c r="R321">
        <f t="shared" si="966"/>
        <v>-2759386228.2750316</v>
      </c>
      <c r="S321">
        <f t="shared" si="967"/>
        <v>-27593.862282750317</v>
      </c>
      <c r="T321">
        <f t="shared" si="968"/>
        <v>-27.593862282750315</v>
      </c>
    </row>
    <row r="322" spans="1:20" x14ac:dyDescent="0.25">
      <c r="A322" s="5">
        <v>44271</v>
      </c>
      <c r="B322">
        <v>3.5027999999999997E-2</v>
      </c>
      <c r="C322">
        <v>3.9888E-2</v>
      </c>
      <c r="D322">
        <v>3.3203999999999997E-2</v>
      </c>
      <c r="E322">
        <v>3.7101000000000002E-2</v>
      </c>
      <c r="F322">
        <v>180097733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0.16606822262118587</v>
      </c>
      <c r="Q322">
        <f t="shared" si="965"/>
        <v>29908510.417414892</v>
      </c>
      <c r="R322">
        <f t="shared" si="966"/>
        <v>-2753166643.0624957</v>
      </c>
      <c r="S322">
        <f t="shared" si="967"/>
        <v>-27531.666430624959</v>
      </c>
      <c r="T322">
        <f t="shared" si="968"/>
        <v>-27.531666430624959</v>
      </c>
    </row>
    <row r="323" spans="1:20" x14ac:dyDescent="0.25">
      <c r="A323" s="5">
        <v>44270</v>
      </c>
      <c r="B323">
        <v>3.1019999999999999E-2</v>
      </c>
      <c r="C323">
        <v>3.6867999999999998E-2</v>
      </c>
      <c r="D323">
        <v>2.9752000000000001E-2</v>
      </c>
      <c r="E323">
        <v>3.5074000000000001E-2</v>
      </c>
      <c r="F323">
        <v>109908351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0.49578414839797708</v>
      </c>
      <c r="Q323">
        <f t="shared" si="965"/>
        <v>54490818.20236095</v>
      </c>
      <c r="R323">
        <f t="shared" si="966"/>
        <v>-2783075153.4799104</v>
      </c>
      <c r="S323">
        <f t="shared" si="967"/>
        <v>-27830.751534799103</v>
      </c>
      <c r="T323">
        <f t="shared" si="968"/>
        <v>-27.830751534799102</v>
      </c>
    </row>
    <row r="324" spans="1:20" x14ac:dyDescent="0.25">
      <c r="A324" s="5">
        <v>44269</v>
      </c>
      <c r="B324">
        <v>3.4516999999999999E-2</v>
      </c>
      <c r="C324">
        <v>3.5000000000000003E-2</v>
      </c>
      <c r="D324">
        <v>3.0969E-2</v>
      </c>
      <c r="E324">
        <v>3.1021E-2</v>
      </c>
      <c r="F324">
        <v>74400474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-0.97419995038452001</v>
      </c>
      <c r="Q324">
        <f t="shared" si="965"/>
        <v>-72480938.079384774</v>
      </c>
      <c r="R324">
        <f t="shared" si="966"/>
        <v>-2837565971.6822715</v>
      </c>
      <c r="S324">
        <f t="shared" si="967"/>
        <v>-28375.659716822716</v>
      </c>
      <c r="T324">
        <f t="shared" si="968"/>
        <v>-28.375659716822717</v>
      </c>
    </row>
    <row r="325" spans="1:20" x14ac:dyDescent="0.25">
      <c r="A325" s="5">
        <v>44268</v>
      </c>
      <c r="B325">
        <v>3.2377000000000003E-2</v>
      </c>
      <c r="C325">
        <v>3.6399000000000001E-2</v>
      </c>
      <c r="D325">
        <v>3.0252000000000001E-2</v>
      </c>
      <c r="E325">
        <v>3.4521000000000003E-2</v>
      </c>
      <c r="F325">
        <v>132017976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0.38897022938018616</v>
      </c>
      <c r="Q325">
        <f t="shared" si="965"/>
        <v>51351062.407027915</v>
      </c>
      <c r="R325">
        <f t="shared" si="966"/>
        <v>-2765085033.6028867</v>
      </c>
      <c r="S325">
        <f t="shared" si="967"/>
        <v>-27650.850336028867</v>
      </c>
      <c r="T325">
        <f t="shared" si="968"/>
        <v>-27.650850336028867</v>
      </c>
    </row>
    <row r="326" spans="1:20" x14ac:dyDescent="0.25">
      <c r="A326" s="5">
        <v>44267</v>
      </c>
      <c r="B326">
        <v>3.39E-2</v>
      </c>
      <c r="C326">
        <v>3.5451000000000003E-2</v>
      </c>
      <c r="D326">
        <v>2.9100000000000001E-2</v>
      </c>
      <c r="E326">
        <v>3.2212999999999999E-2</v>
      </c>
      <c r="F326">
        <v>160125412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-1.9681939851992916E-2</v>
      </c>
      <c r="Q326">
        <f t="shared" ref="Q326:Q389" si="970">F326*P326</f>
        <v>-3151578.7277595848</v>
      </c>
      <c r="R326">
        <f t="shared" ref="R326:R389" si="971">R327+Q326</f>
        <v>-2816436096.0099144</v>
      </c>
      <c r="S326">
        <f t="shared" ref="S326:S389" si="972">R326/100000</f>
        <v>-28164.360960099144</v>
      </c>
      <c r="T326">
        <f t="shared" ref="T326:T389" si="973">S326/1000</f>
        <v>-28.164360960099145</v>
      </c>
    </row>
    <row r="327" spans="1:20" x14ac:dyDescent="0.25">
      <c r="A327" s="5">
        <v>44266</v>
      </c>
      <c r="B327">
        <v>2.9058E-2</v>
      </c>
      <c r="C327">
        <v>3.6410999999999999E-2</v>
      </c>
      <c r="D327">
        <v>2.6984999999999999E-2</v>
      </c>
      <c r="E327">
        <v>3.3861000000000002E-2</v>
      </c>
      <c r="F327">
        <v>250631241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0.45894334818586957</v>
      </c>
      <c r="Q327">
        <f t="shared" si="970"/>
        <v>115025540.90451959</v>
      </c>
      <c r="R327">
        <f t="shared" si="971"/>
        <v>-2813284517.282155</v>
      </c>
      <c r="S327">
        <f t="shared" si="972"/>
        <v>-28132.845172821551</v>
      </c>
      <c r="T327">
        <f t="shared" si="973"/>
        <v>-28.132845172821551</v>
      </c>
    </row>
    <row r="328" spans="1:20" x14ac:dyDescent="0.25">
      <c r="A328" s="5">
        <v>44265</v>
      </c>
      <c r="B328">
        <v>2.6778E-2</v>
      </c>
      <c r="C328">
        <v>3.1E-2</v>
      </c>
      <c r="D328">
        <v>2.4847999999999999E-2</v>
      </c>
      <c r="E328">
        <v>2.9059000000000001E-2</v>
      </c>
      <c r="F328">
        <v>134582639</v>
      </c>
      <c r="G328">
        <v>0</v>
      </c>
      <c r="L328" t="s">
        <v>8</v>
      </c>
      <c r="M328" t="s">
        <v>8</v>
      </c>
      <c r="N328" t="s">
        <v>7</v>
      </c>
      <c r="P328">
        <f t="shared" si="969"/>
        <v>0.36898569570871331</v>
      </c>
      <c r="Q328">
        <f t="shared" si="970"/>
        <v>49659068.681729615</v>
      </c>
      <c r="R328">
        <f t="shared" si="971"/>
        <v>-2928310058.1866746</v>
      </c>
      <c r="S328">
        <f t="shared" si="972"/>
        <v>-29283.100581866747</v>
      </c>
      <c r="T328">
        <f t="shared" si="973"/>
        <v>-29.283100581866748</v>
      </c>
    </row>
    <row r="329" spans="1:20" x14ac:dyDescent="0.25">
      <c r="A329" s="5">
        <v>44264</v>
      </c>
      <c r="B329">
        <v>2.4249E-2</v>
      </c>
      <c r="C329">
        <v>2.7699999999999999E-2</v>
      </c>
      <c r="D329">
        <v>2.3906E-2</v>
      </c>
      <c r="E329">
        <v>2.6779000000000001E-2</v>
      </c>
      <c r="F329">
        <v>132638003</v>
      </c>
      <c r="G329">
        <v>0</v>
      </c>
      <c r="L329" t="s">
        <v>8</v>
      </c>
      <c r="M329" t="s">
        <v>8</v>
      </c>
      <c r="N329" t="s">
        <v>7</v>
      </c>
      <c r="P329">
        <f t="shared" si="969"/>
        <v>0.51449657353716471</v>
      </c>
      <c r="Q329">
        <f t="shared" si="970"/>
        <v>68241798.064312175</v>
      </c>
      <c r="R329">
        <f t="shared" si="971"/>
        <v>-2977969126.8684044</v>
      </c>
      <c r="S329">
        <f t="shared" si="972"/>
        <v>-29779.691268684044</v>
      </c>
      <c r="T329">
        <f t="shared" si="973"/>
        <v>-29.779691268684044</v>
      </c>
    </row>
    <row r="330" spans="1:20" x14ac:dyDescent="0.25">
      <c r="A330" s="5">
        <v>44263</v>
      </c>
      <c r="B330">
        <v>2.4549999999999999E-2</v>
      </c>
      <c r="C330">
        <v>2.5139999999999999E-2</v>
      </c>
      <c r="D330">
        <v>2.3099999999999999E-2</v>
      </c>
      <c r="E330">
        <v>2.4024E-2</v>
      </c>
      <c r="F330">
        <v>70268066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-9.4117647058822404E-2</v>
      </c>
      <c r="Q330">
        <f t="shared" si="970"/>
        <v>-6613465.0352940382</v>
      </c>
      <c r="R330">
        <f t="shared" si="971"/>
        <v>-3046210924.9327164</v>
      </c>
      <c r="S330">
        <f t="shared" si="972"/>
        <v>-30462.109249327164</v>
      </c>
      <c r="T330">
        <f t="shared" si="973"/>
        <v>-30.462109249327163</v>
      </c>
    </row>
    <row r="331" spans="1:20" x14ac:dyDescent="0.25">
      <c r="A331" s="5">
        <v>44262</v>
      </c>
      <c r="B331">
        <v>2.512E-2</v>
      </c>
      <c r="C331">
        <v>2.6800000000000001E-2</v>
      </c>
      <c r="D331">
        <v>2.3689999999999999E-2</v>
      </c>
      <c r="E331">
        <v>2.452E-2</v>
      </c>
      <c r="F331">
        <v>203227100</v>
      </c>
      <c r="G331">
        <v>0</v>
      </c>
      <c r="L331" t="s">
        <v>7</v>
      </c>
      <c r="M331" t="s">
        <v>7</v>
      </c>
      <c r="N331" t="s">
        <v>7</v>
      </c>
      <c r="P331">
        <f t="shared" si="969"/>
        <v>-0.46623794212218622</v>
      </c>
      <c r="Q331">
        <f t="shared" si="970"/>
        <v>-94752184.887459755</v>
      </c>
      <c r="R331">
        <f t="shared" si="971"/>
        <v>-3039597459.8974223</v>
      </c>
      <c r="S331">
        <f t="shared" si="972"/>
        <v>-30395.974598974222</v>
      </c>
      <c r="T331">
        <f t="shared" si="973"/>
        <v>-30.395974598974224</v>
      </c>
    </row>
    <row r="332" spans="1:20" x14ac:dyDescent="0.25">
      <c r="A332" s="5">
        <v>44261</v>
      </c>
      <c r="B332">
        <v>2.4055E-2</v>
      </c>
      <c r="C332">
        <v>3.5236000000000003E-2</v>
      </c>
      <c r="D332">
        <v>2.2568999999999999E-2</v>
      </c>
      <c r="E332">
        <v>2.511E-2</v>
      </c>
      <c r="F332">
        <v>728086012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-0.59880003157811623</v>
      </c>
      <c r="Q332">
        <f t="shared" si="970"/>
        <v>-435977926.97718471</v>
      </c>
      <c r="R332">
        <f t="shared" si="971"/>
        <v>-2944845275.0099626</v>
      </c>
      <c r="S332">
        <f t="shared" si="972"/>
        <v>-29448.452750099626</v>
      </c>
      <c r="T332">
        <f t="shared" si="973"/>
        <v>-29.448452750099626</v>
      </c>
    </row>
    <row r="333" spans="1:20" x14ac:dyDescent="0.25">
      <c r="A333" s="5">
        <v>44260</v>
      </c>
      <c r="B333">
        <v>2.1100000000000001E-2</v>
      </c>
      <c r="C333">
        <v>2.486E-2</v>
      </c>
      <c r="D333">
        <v>1.9054999999999999E-2</v>
      </c>
      <c r="E333">
        <v>2.4140000000000002E-2</v>
      </c>
      <c r="F333">
        <v>68748000</v>
      </c>
      <c r="G333">
        <v>0</v>
      </c>
      <c r="L333" t="s">
        <v>8</v>
      </c>
      <c r="M333" t="s">
        <v>8</v>
      </c>
      <c r="N333" t="s">
        <v>8</v>
      </c>
      <c r="P333">
        <f t="shared" si="969"/>
        <v>0.75193798449612459</v>
      </c>
      <c r="Q333">
        <f t="shared" si="970"/>
        <v>51694232.55813957</v>
      </c>
      <c r="R333">
        <f t="shared" si="971"/>
        <v>-2508867348.0327778</v>
      </c>
      <c r="S333">
        <f t="shared" si="972"/>
        <v>-25088.67348032778</v>
      </c>
      <c r="T333">
        <f t="shared" si="973"/>
        <v>-25.088673480327781</v>
      </c>
    </row>
    <row r="334" spans="1:20" x14ac:dyDescent="0.25">
      <c r="A334" s="5">
        <v>44259</v>
      </c>
      <c r="B334">
        <v>2.0642000000000001E-2</v>
      </c>
      <c r="C334">
        <v>2.2433999999999999E-2</v>
      </c>
      <c r="D334">
        <v>1.9851000000000001E-2</v>
      </c>
      <c r="E334">
        <v>2.1010999999999998E-2</v>
      </c>
      <c r="F334">
        <v>62078262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-0.10181958962446883</v>
      </c>
      <c r="Q334">
        <f t="shared" si="970"/>
        <v>-6320783.161440257</v>
      </c>
      <c r="R334">
        <f t="shared" si="971"/>
        <v>-2560561580.5909176</v>
      </c>
      <c r="S334">
        <f t="shared" si="972"/>
        <v>-25605.615805909176</v>
      </c>
      <c r="T334">
        <f t="shared" si="973"/>
        <v>-25.605615805909174</v>
      </c>
    </row>
    <row r="335" spans="1:20" x14ac:dyDescent="0.25">
      <c r="A335" s="5">
        <v>44258</v>
      </c>
      <c r="B335">
        <v>1.8564000000000001E-2</v>
      </c>
      <c r="C335">
        <v>2.1033E-2</v>
      </c>
      <c r="D335">
        <v>1.789E-2</v>
      </c>
      <c r="E335">
        <v>2.0643999999999999E-2</v>
      </c>
      <c r="F335">
        <v>47596966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0.75246579700922656</v>
      </c>
      <c r="Q335">
        <f t="shared" si="970"/>
        <v>35815088.956411056</v>
      </c>
      <c r="R335">
        <f t="shared" si="971"/>
        <v>-2554240797.4294772</v>
      </c>
      <c r="S335">
        <f t="shared" si="972"/>
        <v>-25542.407974294772</v>
      </c>
      <c r="T335">
        <f t="shared" si="973"/>
        <v>-25.542407974294772</v>
      </c>
    </row>
    <row r="336" spans="1:20" x14ac:dyDescent="0.25">
      <c r="A336" s="5">
        <v>44257</v>
      </c>
      <c r="B336">
        <v>1.9532000000000001E-2</v>
      </c>
      <c r="C336">
        <v>1.9699000000000001E-2</v>
      </c>
      <c r="D336">
        <v>1.8003000000000002E-2</v>
      </c>
      <c r="E336">
        <v>1.8565000000000002E-2</v>
      </c>
      <c r="F336">
        <v>25328431</v>
      </c>
      <c r="G336">
        <v>0</v>
      </c>
      <c r="L336" t="s">
        <v>7</v>
      </c>
      <c r="M336" t="s">
        <v>8</v>
      </c>
      <c r="N336" t="s">
        <v>7</v>
      </c>
      <c r="P336">
        <f t="shared" si="969"/>
        <v>-0.33726415094339607</v>
      </c>
      <c r="Q336">
        <f t="shared" si="970"/>
        <v>-8542371.7759433929</v>
      </c>
      <c r="R336">
        <f t="shared" si="971"/>
        <v>-2590055886.3858881</v>
      </c>
      <c r="S336">
        <f t="shared" si="972"/>
        <v>-25900.558863858882</v>
      </c>
      <c r="T336">
        <f t="shared" si="973"/>
        <v>-25.900558863858883</v>
      </c>
    </row>
    <row r="337" spans="1:20" x14ac:dyDescent="0.25">
      <c r="A337" s="5">
        <v>44256</v>
      </c>
      <c r="B337">
        <v>1.7729000000000002E-2</v>
      </c>
      <c r="C337">
        <v>1.9983000000000001E-2</v>
      </c>
      <c r="D337">
        <v>1.7644E-2</v>
      </c>
      <c r="E337">
        <v>1.9359000000000001E-2</v>
      </c>
      <c r="F337">
        <v>19869335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0.46643864899529769</v>
      </c>
      <c r="Q337">
        <f t="shared" si="970"/>
        <v>9267825.7738349829</v>
      </c>
      <c r="R337">
        <f t="shared" si="971"/>
        <v>-2581513514.6099448</v>
      </c>
      <c r="S337">
        <f t="shared" si="972"/>
        <v>-25815.135146099448</v>
      </c>
      <c r="T337">
        <f t="shared" si="973"/>
        <v>-25.815135146099447</v>
      </c>
    </row>
    <row r="338" spans="1:20" x14ac:dyDescent="0.25">
      <c r="A338" s="5">
        <v>44255</v>
      </c>
      <c r="B338">
        <v>1.9096999999999999E-2</v>
      </c>
      <c r="C338">
        <v>1.9290000000000002E-2</v>
      </c>
      <c r="D338">
        <v>1.6383000000000002E-2</v>
      </c>
      <c r="E338">
        <v>1.7729999999999999E-2</v>
      </c>
      <c r="F338">
        <v>12446035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-7.327141382869104E-2</v>
      </c>
      <c r="Q338">
        <f t="shared" si="970"/>
        <v>-911938.58101137273</v>
      </c>
      <c r="R338">
        <f t="shared" si="971"/>
        <v>-2590781340.38378</v>
      </c>
      <c r="S338">
        <f t="shared" si="972"/>
        <v>-25907.813403837801</v>
      </c>
      <c r="T338">
        <f t="shared" si="973"/>
        <v>-25.9078134038378</v>
      </c>
    </row>
    <row r="339" spans="1:20" x14ac:dyDescent="0.25">
      <c r="A339" s="5">
        <v>44254</v>
      </c>
      <c r="B339">
        <v>1.8689000000000001E-2</v>
      </c>
      <c r="C339">
        <v>2.0646000000000001E-2</v>
      </c>
      <c r="D339">
        <v>1.8523999999999999E-2</v>
      </c>
      <c r="E339">
        <v>1.9206999999999998E-2</v>
      </c>
      <c r="F339">
        <v>16403243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-0.35626767200754117</v>
      </c>
      <c r="Q339">
        <f t="shared" si="970"/>
        <v>-5843945.1969839958</v>
      </c>
      <c r="R339">
        <f t="shared" si="971"/>
        <v>-2589869401.8027687</v>
      </c>
      <c r="S339">
        <f t="shared" si="972"/>
        <v>-25898.694018027687</v>
      </c>
      <c r="T339">
        <f t="shared" si="973"/>
        <v>-25.898694018027687</v>
      </c>
    </row>
    <row r="340" spans="1:20" x14ac:dyDescent="0.25">
      <c r="A340" s="5">
        <v>44253</v>
      </c>
      <c r="B340">
        <v>1.8901000000000001E-2</v>
      </c>
      <c r="C340">
        <v>1.9699000000000001E-2</v>
      </c>
      <c r="D340">
        <v>1.7023E-2</v>
      </c>
      <c r="E340">
        <v>1.8690999999999999E-2</v>
      </c>
      <c r="F340">
        <v>33939553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0.24663677130044734</v>
      </c>
      <c r="Q340">
        <f t="shared" si="970"/>
        <v>8370741.7713004118</v>
      </c>
      <c r="R340">
        <f t="shared" si="971"/>
        <v>-2584025456.6057849</v>
      </c>
      <c r="S340">
        <f t="shared" si="972"/>
        <v>-25840.254566057847</v>
      </c>
      <c r="T340">
        <f t="shared" si="973"/>
        <v>-25.840254566057848</v>
      </c>
    </row>
    <row r="341" spans="1:20" x14ac:dyDescent="0.25">
      <c r="A341" s="5">
        <v>44252</v>
      </c>
      <c r="B341">
        <v>2.0736000000000001E-2</v>
      </c>
      <c r="C341">
        <v>2.2249999999999999E-2</v>
      </c>
      <c r="D341">
        <v>1.9E-2</v>
      </c>
      <c r="E341">
        <v>1.9E-2</v>
      </c>
      <c r="F341">
        <v>32062795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-1</v>
      </c>
      <c r="Q341">
        <f t="shared" si="970"/>
        <v>-32062795</v>
      </c>
      <c r="R341">
        <f t="shared" si="971"/>
        <v>-2592396198.3770852</v>
      </c>
      <c r="S341">
        <f t="shared" si="972"/>
        <v>-25923.961983770852</v>
      </c>
      <c r="T341">
        <f t="shared" si="973"/>
        <v>-25.923961983770852</v>
      </c>
    </row>
    <row r="342" spans="1:20" x14ac:dyDescent="0.25">
      <c r="A342" s="5">
        <v>44251</v>
      </c>
      <c r="B342">
        <v>1.8598E-2</v>
      </c>
      <c r="C342">
        <v>2.2249999999999999E-2</v>
      </c>
      <c r="D342">
        <v>1.77E-2</v>
      </c>
      <c r="E342">
        <v>2.0653000000000001E-2</v>
      </c>
      <c r="F342">
        <v>41503295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0.29802197802197877</v>
      </c>
      <c r="Q342">
        <f t="shared" si="970"/>
        <v>12368894.070329702</v>
      </c>
      <c r="R342">
        <f t="shared" si="971"/>
        <v>-2560333403.3770852</v>
      </c>
      <c r="S342">
        <f t="shared" si="972"/>
        <v>-25603.334033770851</v>
      </c>
      <c r="T342">
        <f t="shared" si="973"/>
        <v>-25.603334033770849</v>
      </c>
    </row>
    <row r="343" spans="1:20" x14ac:dyDescent="0.25">
      <c r="A343" s="5">
        <v>44250</v>
      </c>
      <c r="B343">
        <v>2.4247000000000001E-2</v>
      </c>
      <c r="C343">
        <v>2.4405E-2</v>
      </c>
      <c r="D343">
        <v>1.5100000000000001E-2</v>
      </c>
      <c r="E343">
        <v>1.8408999999999998E-2</v>
      </c>
      <c r="F343">
        <v>62015645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-0.28876947877485265</v>
      </c>
      <c r="Q343">
        <f t="shared" si="970"/>
        <v>-17908225.482536297</v>
      </c>
      <c r="R343">
        <f t="shared" si="971"/>
        <v>-2572702297.4474149</v>
      </c>
      <c r="S343">
        <f t="shared" si="972"/>
        <v>-25727.022974474148</v>
      </c>
      <c r="T343">
        <f t="shared" si="973"/>
        <v>-25.727022974474149</v>
      </c>
    </row>
    <row r="344" spans="1:20" x14ac:dyDescent="0.25">
      <c r="A344" s="5">
        <v>44249</v>
      </c>
      <c r="B344">
        <v>2.6499999999999999E-2</v>
      </c>
      <c r="C344">
        <v>2.6807999999999998E-2</v>
      </c>
      <c r="D344">
        <v>1.9812E-2</v>
      </c>
      <c r="E344">
        <v>2.4247999999999999E-2</v>
      </c>
      <c r="F344">
        <v>61236347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0.26815323041738132</v>
      </c>
      <c r="Q344">
        <f t="shared" si="970"/>
        <v>16420724.267009716</v>
      </c>
      <c r="R344">
        <f t="shared" si="971"/>
        <v>-2554794071.9648786</v>
      </c>
      <c r="S344">
        <f t="shared" si="972"/>
        <v>-25547.940719648785</v>
      </c>
      <c r="T344">
        <f t="shared" si="973"/>
        <v>-25.547940719648786</v>
      </c>
    </row>
    <row r="345" spans="1:20" x14ac:dyDescent="0.25">
      <c r="A345" s="5">
        <v>44248</v>
      </c>
      <c r="B345">
        <v>2.6513999999999999E-2</v>
      </c>
      <c r="C345">
        <v>2.844E-2</v>
      </c>
      <c r="D345">
        <v>2.5000000000000001E-2</v>
      </c>
      <c r="E345">
        <v>2.6502000000000001E-2</v>
      </c>
      <c r="F345">
        <v>44644368</v>
      </c>
      <c r="G345">
        <v>0</v>
      </c>
      <c r="L345" t="s">
        <v>7</v>
      </c>
      <c r="M345" t="s">
        <v>7</v>
      </c>
      <c r="N345" t="s">
        <v>8</v>
      </c>
      <c r="P345">
        <f t="shared" si="969"/>
        <v>-0.12674418604651136</v>
      </c>
      <c r="Q345">
        <f t="shared" si="970"/>
        <v>-5658414.0837209178</v>
      </c>
      <c r="R345">
        <f t="shared" si="971"/>
        <v>-2571214796.2318883</v>
      </c>
      <c r="S345">
        <f t="shared" si="972"/>
        <v>-25712.147962318882</v>
      </c>
      <c r="T345">
        <f t="shared" si="973"/>
        <v>-25.712147962318884</v>
      </c>
    </row>
    <row r="346" spans="1:20" x14ac:dyDescent="0.25">
      <c r="A346" s="5">
        <v>44247</v>
      </c>
      <c r="B346">
        <v>2.6779000000000001E-2</v>
      </c>
      <c r="C346">
        <v>0.03</v>
      </c>
      <c r="D346">
        <v>2.511E-2</v>
      </c>
      <c r="E346">
        <v>2.6436000000000001E-2</v>
      </c>
      <c r="F346">
        <v>72687585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-0.45766871165644124</v>
      </c>
      <c r="Q346">
        <f t="shared" si="970"/>
        <v>-33266833.380368065</v>
      </c>
      <c r="R346">
        <f t="shared" si="971"/>
        <v>-2565556382.1481676</v>
      </c>
      <c r="S346">
        <f t="shared" si="972"/>
        <v>-25655.563821481675</v>
      </c>
      <c r="T346">
        <f t="shared" si="973"/>
        <v>-25.655563821481675</v>
      </c>
    </row>
    <row r="347" spans="1:20" x14ac:dyDescent="0.25">
      <c r="A347" s="5">
        <v>44246</v>
      </c>
      <c r="B347">
        <v>2.4969000000000002E-2</v>
      </c>
      <c r="C347">
        <v>2.7799999999999998E-2</v>
      </c>
      <c r="D347">
        <v>2.4799999999999999E-2</v>
      </c>
      <c r="E347">
        <v>2.6768E-2</v>
      </c>
      <c r="F347">
        <v>70612469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0.312000000000001</v>
      </c>
      <c r="Q347">
        <f t="shared" si="970"/>
        <v>22031090.328000069</v>
      </c>
      <c r="R347">
        <f t="shared" si="971"/>
        <v>-2532289548.7677994</v>
      </c>
      <c r="S347">
        <f t="shared" si="972"/>
        <v>-25322.895487677994</v>
      </c>
      <c r="T347">
        <f t="shared" si="973"/>
        <v>-25.322895487677993</v>
      </c>
    </row>
    <row r="348" spans="1:20" x14ac:dyDescent="0.25">
      <c r="A348" s="5">
        <v>44245</v>
      </c>
      <c r="B348">
        <v>2.3637999999999999E-2</v>
      </c>
      <c r="C348">
        <v>2.7900000000000001E-2</v>
      </c>
      <c r="D348">
        <v>2.3599999999999999E-2</v>
      </c>
      <c r="E348">
        <v>2.4969999999999999E-2</v>
      </c>
      <c r="F348">
        <v>95082171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-0.36279069767441902</v>
      </c>
      <c r="Q348">
        <f t="shared" si="970"/>
        <v>-34494927.153488412</v>
      </c>
      <c r="R348">
        <f t="shared" si="971"/>
        <v>-2554320639.0957994</v>
      </c>
      <c r="S348">
        <f t="shared" si="972"/>
        <v>-25543.206390957996</v>
      </c>
      <c r="T348">
        <f t="shared" si="973"/>
        <v>-25.543206390957995</v>
      </c>
    </row>
    <row r="349" spans="1:20" x14ac:dyDescent="0.25">
      <c r="A349" s="5">
        <v>44244</v>
      </c>
      <c r="B349">
        <v>2.6700000000000002E-2</v>
      </c>
      <c r="C349">
        <v>2.7199000000000001E-2</v>
      </c>
      <c r="D349">
        <v>2.325E-2</v>
      </c>
      <c r="E349">
        <v>2.3637999999999999E-2</v>
      </c>
      <c r="F349">
        <v>73429901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-0.80349455558369243</v>
      </c>
      <c r="Q349">
        <f t="shared" si="970"/>
        <v>-59000525.670549534</v>
      </c>
      <c r="R349">
        <f t="shared" si="971"/>
        <v>-2519825711.9423108</v>
      </c>
      <c r="S349">
        <f t="shared" si="972"/>
        <v>-25198.25711942311</v>
      </c>
      <c r="T349">
        <f t="shared" si="973"/>
        <v>-25.198257119423111</v>
      </c>
    </row>
    <row r="350" spans="1:20" x14ac:dyDescent="0.25">
      <c r="A350" s="5">
        <v>44243</v>
      </c>
      <c r="B350">
        <v>2.0745E-2</v>
      </c>
      <c r="C350">
        <v>3.1620000000000002E-2</v>
      </c>
      <c r="D350">
        <v>2.0156E-2</v>
      </c>
      <c r="E350">
        <v>2.6709E-2</v>
      </c>
      <c r="F350">
        <v>422189010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0.14323098394975553</v>
      </c>
      <c r="Q350">
        <f t="shared" si="970"/>
        <v>60470547.315073177</v>
      </c>
      <c r="R350">
        <f t="shared" si="971"/>
        <v>-2460825186.2717614</v>
      </c>
      <c r="S350">
        <f t="shared" si="972"/>
        <v>-24608.251862717614</v>
      </c>
      <c r="T350">
        <f t="shared" si="973"/>
        <v>-24.608251862717616</v>
      </c>
    </row>
    <row r="351" spans="1:20" x14ac:dyDescent="0.25">
      <c r="A351" s="5">
        <v>44242</v>
      </c>
      <c r="B351">
        <v>2.1857000000000001E-2</v>
      </c>
      <c r="C351">
        <v>2.3385E-2</v>
      </c>
      <c r="D351">
        <v>1.9E-2</v>
      </c>
      <c r="E351">
        <v>2.0899999999999998E-2</v>
      </c>
      <c r="F351">
        <v>65336460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-0.13340935005701304</v>
      </c>
      <c r="Q351">
        <f t="shared" si="970"/>
        <v>-8716494.6636260301</v>
      </c>
      <c r="R351">
        <f t="shared" si="971"/>
        <v>-2521295733.5868344</v>
      </c>
      <c r="S351">
        <f t="shared" si="972"/>
        <v>-25212.957335868345</v>
      </c>
      <c r="T351">
        <f t="shared" si="973"/>
        <v>-25.212957335868346</v>
      </c>
    </row>
    <row r="352" spans="1:20" x14ac:dyDescent="0.25">
      <c r="A352" s="5">
        <v>44241</v>
      </c>
      <c r="B352">
        <v>2.3542E-2</v>
      </c>
      <c r="C352">
        <v>2.4500000000000001E-2</v>
      </c>
      <c r="D352">
        <v>2.0697E-2</v>
      </c>
      <c r="E352">
        <v>2.1857000000000001E-2</v>
      </c>
      <c r="F352">
        <v>68450819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-0.38995529844859267</v>
      </c>
      <c r="Q352">
        <f t="shared" si="970"/>
        <v>-26692759.552195597</v>
      </c>
      <c r="R352">
        <f t="shared" si="971"/>
        <v>-2512579238.9232082</v>
      </c>
      <c r="S352">
        <f t="shared" si="972"/>
        <v>-25125.792389232083</v>
      </c>
      <c r="T352">
        <f t="shared" si="973"/>
        <v>-25.125792389232082</v>
      </c>
    </row>
    <row r="353" spans="1:20" x14ac:dyDescent="0.25">
      <c r="A353" s="5">
        <v>44240</v>
      </c>
      <c r="B353">
        <v>2.1725999999999999E-2</v>
      </c>
      <c r="C353">
        <v>2.3900000000000001E-2</v>
      </c>
      <c r="D353">
        <v>2.1000000000000001E-2</v>
      </c>
      <c r="E353">
        <v>2.3542E-2</v>
      </c>
      <c r="F353">
        <v>77549344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0.75310344827586162</v>
      </c>
      <c r="Q353">
        <f t="shared" si="970"/>
        <v>58402678.377930999</v>
      </c>
      <c r="R353">
        <f t="shared" si="971"/>
        <v>-2485886479.3710127</v>
      </c>
      <c r="S353">
        <f t="shared" si="972"/>
        <v>-24858.864793710127</v>
      </c>
      <c r="T353">
        <f t="shared" si="973"/>
        <v>-24.858864793710126</v>
      </c>
    </row>
    <row r="354" spans="1:20" x14ac:dyDescent="0.25">
      <c r="A354" s="5">
        <v>44239</v>
      </c>
      <c r="B354">
        <v>2.0702999999999999E-2</v>
      </c>
      <c r="C354">
        <v>2.1999999999999999E-2</v>
      </c>
      <c r="D354">
        <v>1.9432999999999999E-2</v>
      </c>
      <c r="E354">
        <v>2.1728000000000001E-2</v>
      </c>
      <c r="F354">
        <v>77106406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0.78807947019867708</v>
      </c>
      <c r="Q354">
        <f t="shared" si="970"/>
        <v>60765975.589404099</v>
      </c>
      <c r="R354">
        <f t="shared" si="971"/>
        <v>-2544289157.7489438</v>
      </c>
      <c r="S354">
        <f t="shared" si="972"/>
        <v>-25442.891577489438</v>
      </c>
      <c r="T354">
        <f t="shared" si="973"/>
        <v>-25.442891577489437</v>
      </c>
    </row>
    <row r="355" spans="1:20" x14ac:dyDescent="0.25">
      <c r="A355" s="5">
        <v>44238</v>
      </c>
      <c r="B355">
        <v>1.6958999999999998E-2</v>
      </c>
      <c r="C355">
        <v>2.4038E-2</v>
      </c>
      <c r="D355">
        <v>1.6643999999999999E-2</v>
      </c>
      <c r="E355">
        <v>2.0714E-2</v>
      </c>
      <c r="F355">
        <v>235914984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0.10089261563429808</v>
      </c>
      <c r="Q355">
        <f t="shared" si="970"/>
        <v>23802079.80308358</v>
      </c>
      <c r="R355">
        <f t="shared" si="971"/>
        <v>-2605055133.3383479</v>
      </c>
      <c r="S355">
        <f t="shared" si="972"/>
        <v>-26050.551333383479</v>
      </c>
      <c r="T355">
        <f t="shared" si="973"/>
        <v>-26.050551333383478</v>
      </c>
    </row>
    <row r="356" spans="1:20" x14ac:dyDescent="0.25">
      <c r="A356" s="5">
        <v>44237</v>
      </c>
      <c r="B356">
        <v>1.7517000000000001E-2</v>
      </c>
      <c r="C356">
        <v>1.8089000000000001E-2</v>
      </c>
      <c r="D356">
        <v>1.4800000000000001E-2</v>
      </c>
      <c r="E356">
        <v>1.6961E-2</v>
      </c>
      <c r="F356">
        <v>134558529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0.31407722712070513</v>
      </c>
      <c r="Q356">
        <f t="shared" si="970"/>
        <v>42261769.673760988</v>
      </c>
      <c r="R356">
        <f t="shared" si="971"/>
        <v>-2628857213.1414313</v>
      </c>
      <c r="S356">
        <f t="shared" si="972"/>
        <v>-26288.572131414312</v>
      </c>
      <c r="T356">
        <f t="shared" si="973"/>
        <v>-26.288572131414313</v>
      </c>
    </row>
    <row r="357" spans="1:20" x14ac:dyDescent="0.25">
      <c r="A357" s="5">
        <v>44236</v>
      </c>
      <c r="B357">
        <v>1.4971999999999999E-2</v>
      </c>
      <c r="C357">
        <v>1.9769999999999999E-2</v>
      </c>
      <c r="D357">
        <v>1.4777E-2</v>
      </c>
      <c r="E357">
        <v>1.7434999999999999E-2</v>
      </c>
      <c r="F357">
        <v>165522250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6.4690566793510651E-2</v>
      </c>
      <c r="Q357">
        <f t="shared" si="970"/>
        <v>10707728.169437168</v>
      </c>
      <c r="R357">
        <f t="shared" si="971"/>
        <v>-2671118982.8151922</v>
      </c>
      <c r="S357">
        <f t="shared" si="972"/>
        <v>-26711.189828151921</v>
      </c>
      <c r="T357">
        <f t="shared" si="973"/>
        <v>-26.71118982815192</v>
      </c>
    </row>
    <row r="358" spans="1:20" x14ac:dyDescent="0.25">
      <c r="A358" s="5">
        <v>44235</v>
      </c>
      <c r="B358">
        <v>1.3839000000000001E-2</v>
      </c>
      <c r="C358">
        <v>1.5485000000000001E-2</v>
      </c>
      <c r="D358">
        <v>1.3361E-2</v>
      </c>
      <c r="E358">
        <v>1.4999999999999999E-2</v>
      </c>
      <c r="F358">
        <v>45227565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0.54331450094161882</v>
      </c>
      <c r="Q358">
        <f t="shared" si="970"/>
        <v>24572791.906779625</v>
      </c>
      <c r="R358">
        <f t="shared" si="971"/>
        <v>-2681826710.9846292</v>
      </c>
      <c r="S358">
        <f t="shared" si="972"/>
        <v>-26818.267109846292</v>
      </c>
      <c r="T358">
        <f t="shared" si="973"/>
        <v>-26.818267109846293</v>
      </c>
    </row>
    <row r="359" spans="1:20" x14ac:dyDescent="0.25">
      <c r="A359" s="5">
        <v>44234</v>
      </c>
      <c r="B359">
        <v>1.4293999999999999E-2</v>
      </c>
      <c r="C359">
        <v>1.4422000000000001E-2</v>
      </c>
      <c r="D359">
        <v>1.2897E-2</v>
      </c>
      <c r="E359">
        <v>1.3885E-2</v>
      </c>
      <c r="F359">
        <v>30931013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0.29573770491803159</v>
      </c>
      <c r="Q359">
        <f t="shared" si="970"/>
        <v>9147466.7954097986</v>
      </c>
      <c r="R359">
        <f t="shared" si="971"/>
        <v>-2706399502.8914089</v>
      </c>
      <c r="S359">
        <f t="shared" si="972"/>
        <v>-27063.995028914091</v>
      </c>
      <c r="T359">
        <f t="shared" si="973"/>
        <v>-27.063995028914089</v>
      </c>
    </row>
    <row r="360" spans="1:20" x14ac:dyDescent="0.25">
      <c r="A360" s="5">
        <v>44233</v>
      </c>
      <c r="B360">
        <v>1.5810000000000001E-2</v>
      </c>
      <c r="C360">
        <v>1.5958E-2</v>
      </c>
      <c r="D360">
        <v>1.4123E-2</v>
      </c>
      <c r="E360">
        <v>1.4336E-2</v>
      </c>
      <c r="F360">
        <v>45359650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-0.76784741144414204</v>
      </c>
      <c r="Q360">
        <f t="shared" si="970"/>
        <v>-34829289.836512275</v>
      </c>
      <c r="R360">
        <f t="shared" si="971"/>
        <v>-2715546969.6868186</v>
      </c>
      <c r="S360">
        <f t="shared" si="972"/>
        <v>-27155.469696868186</v>
      </c>
      <c r="T360">
        <f t="shared" si="973"/>
        <v>-27.155469696868185</v>
      </c>
    </row>
    <row r="361" spans="1:20" x14ac:dyDescent="0.25">
      <c r="A361" s="5">
        <v>44232</v>
      </c>
      <c r="B361">
        <v>1.4781000000000001E-2</v>
      </c>
      <c r="C361">
        <v>1.6299999999999999E-2</v>
      </c>
      <c r="D361">
        <v>1.4572999999999999E-2</v>
      </c>
      <c r="E361">
        <v>1.5833E-2</v>
      </c>
      <c r="F361">
        <v>50431810</v>
      </c>
      <c r="G361">
        <v>0</v>
      </c>
      <c r="L361" t="s">
        <v>8</v>
      </c>
      <c r="M361" t="s">
        <v>7</v>
      </c>
      <c r="N361" t="s">
        <v>8</v>
      </c>
      <c r="P361">
        <f t="shared" si="969"/>
        <v>0.45917776491025031</v>
      </c>
      <c r="Q361">
        <f t="shared" si="970"/>
        <v>23157165.796178412</v>
      </c>
      <c r="R361">
        <f t="shared" si="971"/>
        <v>-2680717679.8503065</v>
      </c>
      <c r="S361">
        <f t="shared" si="972"/>
        <v>-26807.176798503064</v>
      </c>
      <c r="T361">
        <f t="shared" si="973"/>
        <v>-26.807176798503065</v>
      </c>
    </row>
    <row r="362" spans="1:20" x14ac:dyDescent="0.25">
      <c r="A362" s="5">
        <v>44231</v>
      </c>
      <c r="B362">
        <v>1.5049999999999999E-2</v>
      </c>
      <c r="C362">
        <v>1.61E-2</v>
      </c>
      <c r="D362">
        <v>1.3972E-2</v>
      </c>
      <c r="E362">
        <v>1.4787E-2</v>
      </c>
      <c r="F362">
        <v>69211909</v>
      </c>
      <c r="G362">
        <v>0</v>
      </c>
      <c r="L362" t="s">
        <v>7</v>
      </c>
      <c r="M362" t="s">
        <v>7</v>
      </c>
      <c r="N362" t="s">
        <v>8</v>
      </c>
      <c r="P362">
        <f t="shared" si="969"/>
        <v>-0.23402255639097755</v>
      </c>
      <c r="Q362">
        <f t="shared" si="970"/>
        <v>-16197147.876879707</v>
      </c>
      <c r="R362">
        <f t="shared" si="971"/>
        <v>-2703874845.6464849</v>
      </c>
      <c r="S362">
        <f t="shared" si="972"/>
        <v>-27038.748456464848</v>
      </c>
      <c r="T362">
        <f t="shared" si="973"/>
        <v>-27.038748456464848</v>
      </c>
    </row>
    <row r="363" spans="1:20" x14ac:dyDescent="0.25">
      <c r="A363" s="5">
        <v>44230</v>
      </c>
      <c r="B363">
        <v>1.4021E-2</v>
      </c>
      <c r="C363">
        <v>1.6891E-2</v>
      </c>
      <c r="D363">
        <v>1.3656E-2</v>
      </c>
      <c r="E363">
        <v>1.5131E-2</v>
      </c>
      <c r="F363">
        <v>148651446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-8.8098918083461764E-2</v>
      </c>
      <c r="Q363">
        <f t="shared" si="970"/>
        <v>-13096031.56414214</v>
      </c>
      <c r="R363">
        <f t="shared" si="971"/>
        <v>-2687677697.7696052</v>
      </c>
      <c r="S363">
        <f t="shared" si="972"/>
        <v>-26876.776977696052</v>
      </c>
      <c r="T363">
        <f t="shared" si="973"/>
        <v>-26.876776977696053</v>
      </c>
    </row>
    <row r="364" spans="1:20" x14ac:dyDescent="0.25">
      <c r="A364" s="5">
        <v>44229</v>
      </c>
      <c r="B364">
        <v>1.2746E-2</v>
      </c>
      <c r="C364">
        <v>1.4976E-2</v>
      </c>
      <c r="D364">
        <v>1.2458E-2</v>
      </c>
      <c r="E364">
        <v>1.4094000000000001E-2</v>
      </c>
      <c r="F364">
        <v>76144916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0.29944400317712527</v>
      </c>
      <c r="Q364">
        <f t="shared" si="970"/>
        <v>22801138.468625937</v>
      </c>
      <c r="R364">
        <f t="shared" si="971"/>
        <v>-2674581666.2054629</v>
      </c>
      <c r="S364">
        <f t="shared" si="972"/>
        <v>-26745.816662054629</v>
      </c>
      <c r="T364">
        <f t="shared" si="973"/>
        <v>-26.745816662054629</v>
      </c>
    </row>
    <row r="365" spans="1:20" x14ac:dyDescent="0.25">
      <c r="A365" s="5">
        <v>44228</v>
      </c>
      <c r="B365">
        <v>1.289E-2</v>
      </c>
      <c r="C365">
        <v>1.3065E-2</v>
      </c>
      <c r="D365">
        <v>1.205E-2</v>
      </c>
      <c r="E365">
        <v>1.2741000000000001E-2</v>
      </c>
      <c r="F365">
        <v>58000753</v>
      </c>
      <c r="G365">
        <v>0</v>
      </c>
      <c r="L365" t="s">
        <v>8</v>
      </c>
      <c r="M365" t="s">
        <v>7</v>
      </c>
      <c r="N365" t="s">
        <v>8</v>
      </c>
      <c r="P365">
        <f t="shared" si="969"/>
        <v>0.36157635467980387</v>
      </c>
      <c r="Q365">
        <f t="shared" si="970"/>
        <v>20971700.838423699</v>
      </c>
      <c r="R365">
        <f t="shared" si="971"/>
        <v>-2697382804.674089</v>
      </c>
      <c r="S365">
        <f t="shared" si="972"/>
        <v>-26973.828046740891</v>
      </c>
      <c r="T365">
        <f t="shared" si="973"/>
        <v>-26.973828046740891</v>
      </c>
    </row>
    <row r="366" spans="1:20" x14ac:dyDescent="0.25">
      <c r="A366" s="5">
        <v>44227</v>
      </c>
      <c r="B366">
        <v>1.1900000000000001E-2</v>
      </c>
      <c r="C366">
        <v>1.3950000000000001E-2</v>
      </c>
      <c r="D366">
        <v>1.1261E-2</v>
      </c>
      <c r="E366">
        <v>1.2888999999999999E-2</v>
      </c>
      <c r="F366">
        <v>98520396</v>
      </c>
      <c r="G366">
        <v>0</v>
      </c>
      <c r="L366" t="s">
        <v>7</v>
      </c>
      <c r="M366" t="s">
        <v>7</v>
      </c>
      <c r="N366" t="s">
        <v>8</v>
      </c>
      <c r="P366">
        <f t="shared" si="969"/>
        <v>0.21085905541093267</v>
      </c>
      <c r="Q366">
        <f t="shared" si="970"/>
        <v>20773917.639271028</v>
      </c>
      <c r="R366">
        <f t="shared" si="971"/>
        <v>-2718354505.5125127</v>
      </c>
      <c r="S366">
        <f t="shared" si="972"/>
        <v>-27183.545055125127</v>
      </c>
      <c r="T366">
        <f t="shared" si="973"/>
        <v>-27.183545055125126</v>
      </c>
    </row>
    <row r="367" spans="1:20" x14ac:dyDescent="0.25">
      <c r="A367" s="5">
        <v>44226</v>
      </c>
      <c r="B367">
        <v>1.0957E-2</v>
      </c>
      <c r="C367">
        <v>1.4E-2</v>
      </c>
      <c r="D367">
        <v>1.0651000000000001E-2</v>
      </c>
      <c r="E367">
        <v>1.1984E-2</v>
      </c>
      <c r="F367">
        <v>140883106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-0.20394147506718466</v>
      </c>
      <c r="Q367">
        <f t="shared" si="970"/>
        <v>-28731908.449686535</v>
      </c>
      <c r="R367">
        <f t="shared" si="971"/>
        <v>-2739128423.1517839</v>
      </c>
      <c r="S367">
        <f t="shared" si="972"/>
        <v>-27391.284231517839</v>
      </c>
      <c r="T367">
        <f t="shared" si="973"/>
        <v>-27.39128423151784</v>
      </c>
    </row>
    <row r="368" spans="1:20" x14ac:dyDescent="0.25">
      <c r="A368" s="5">
        <v>44225</v>
      </c>
      <c r="B368">
        <v>1.0626E-2</v>
      </c>
      <c r="C368">
        <v>1.2500000000000001E-2</v>
      </c>
      <c r="D368">
        <v>1.0000999999999999E-2</v>
      </c>
      <c r="E368">
        <v>1.0957E-2</v>
      </c>
      <c r="F368">
        <v>106663463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-0.23489395758303339</v>
      </c>
      <c r="Q368">
        <f t="shared" si="970"/>
        <v>-25054602.953581452</v>
      </c>
      <c r="R368">
        <f t="shared" si="971"/>
        <v>-2710396514.7020974</v>
      </c>
      <c r="S368">
        <f t="shared" si="972"/>
        <v>-27103.965147020976</v>
      </c>
      <c r="T368">
        <f t="shared" si="973"/>
        <v>-27.103965147020975</v>
      </c>
    </row>
    <row r="369" spans="1:20" x14ac:dyDescent="0.25">
      <c r="A369" s="5">
        <v>44224</v>
      </c>
      <c r="B369">
        <v>9.0469999999999995E-3</v>
      </c>
      <c r="C369">
        <v>1.0997E-2</v>
      </c>
      <c r="D369">
        <v>8.9730000000000001E-3</v>
      </c>
      <c r="E369">
        <v>1.0626999999999999E-2</v>
      </c>
      <c r="F369">
        <v>39544915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0.63438735177865557</v>
      </c>
      <c r="Q369">
        <f t="shared" si="970"/>
        <v>25086793.903162032</v>
      </c>
      <c r="R369">
        <f t="shared" si="971"/>
        <v>-2685341911.7485161</v>
      </c>
      <c r="S369">
        <f t="shared" si="972"/>
        <v>-26853.419117485162</v>
      </c>
      <c r="T369">
        <f t="shared" si="973"/>
        <v>-26.853419117485164</v>
      </c>
    </row>
    <row r="370" spans="1:20" x14ac:dyDescent="0.25">
      <c r="A370" s="5">
        <v>44223</v>
      </c>
      <c r="B370">
        <v>1.0226000000000001E-2</v>
      </c>
      <c r="C370">
        <v>1.0226000000000001E-2</v>
      </c>
      <c r="D370">
        <v>8.8100000000000001E-3</v>
      </c>
      <c r="E370">
        <v>9.0139999999999994E-3</v>
      </c>
      <c r="F370">
        <v>32910067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-0.71186440677966212</v>
      </c>
      <c r="Q370">
        <f t="shared" si="970"/>
        <v>-23427505.322033934</v>
      </c>
      <c r="R370">
        <f t="shared" si="971"/>
        <v>-2710428705.6516781</v>
      </c>
      <c r="S370">
        <f t="shared" si="972"/>
        <v>-27104.28705651678</v>
      </c>
      <c r="T370">
        <f t="shared" si="973"/>
        <v>-27.104287056516778</v>
      </c>
    </row>
    <row r="371" spans="1:20" x14ac:dyDescent="0.25">
      <c r="A371" s="5">
        <v>44222</v>
      </c>
      <c r="B371">
        <v>1.0508E-2</v>
      </c>
      <c r="C371">
        <v>1.0688E-2</v>
      </c>
      <c r="D371">
        <v>9.5879999999999993E-3</v>
      </c>
      <c r="E371">
        <v>1.0226000000000001E-2</v>
      </c>
      <c r="F371">
        <v>30969994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0.16000000000000228</v>
      </c>
      <c r="Q371">
        <f t="shared" si="970"/>
        <v>4955199.0400000708</v>
      </c>
      <c r="R371">
        <f t="shared" si="971"/>
        <v>-2687001200.3296442</v>
      </c>
      <c r="S371">
        <f t="shared" si="972"/>
        <v>-26870.012003296441</v>
      </c>
      <c r="T371">
        <f t="shared" si="973"/>
        <v>-26.870012003296441</v>
      </c>
    </row>
    <row r="372" spans="1:20" x14ac:dyDescent="0.25">
      <c r="A372" s="5">
        <v>44221</v>
      </c>
      <c r="B372">
        <v>1.0707E-2</v>
      </c>
      <c r="C372">
        <v>1.2002000000000001E-2</v>
      </c>
      <c r="D372">
        <v>1.035E-2</v>
      </c>
      <c r="E372">
        <v>1.0506E-2</v>
      </c>
      <c r="F372">
        <v>185688524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-0.81113801452784529</v>
      </c>
      <c r="Q372">
        <f t="shared" si="970"/>
        <v>-150619020.67796615</v>
      </c>
      <c r="R372">
        <f t="shared" si="971"/>
        <v>-2691956399.3696442</v>
      </c>
      <c r="S372">
        <f t="shared" si="972"/>
        <v>-26919.56399369644</v>
      </c>
      <c r="T372">
        <f t="shared" si="973"/>
        <v>-26.919563993696439</v>
      </c>
    </row>
    <row r="373" spans="1:20" x14ac:dyDescent="0.25">
      <c r="A373" s="5">
        <v>44220</v>
      </c>
      <c r="B373">
        <v>1.0200000000000001E-2</v>
      </c>
      <c r="C373">
        <v>1.15E-2</v>
      </c>
      <c r="D373">
        <v>1.0031999999999999E-2</v>
      </c>
      <c r="E373">
        <v>1.0708000000000001E-2</v>
      </c>
      <c r="F373">
        <v>87482616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-7.901907356948093E-2</v>
      </c>
      <c r="Q373">
        <f t="shared" si="970"/>
        <v>-6912795.2697546491</v>
      </c>
      <c r="R373">
        <f t="shared" si="971"/>
        <v>-2541337378.691678</v>
      </c>
      <c r="S373">
        <f t="shared" si="972"/>
        <v>-25413.373786916782</v>
      </c>
      <c r="T373">
        <f t="shared" si="973"/>
        <v>-25.413373786916782</v>
      </c>
    </row>
    <row r="374" spans="1:20" x14ac:dyDescent="0.25">
      <c r="A374" s="5">
        <v>44219</v>
      </c>
      <c r="B374">
        <v>1.0022E-2</v>
      </c>
      <c r="C374">
        <v>1.0999999999999999E-2</v>
      </c>
      <c r="D374">
        <v>9.5010000000000008E-3</v>
      </c>
      <c r="E374">
        <v>1.0204E-2</v>
      </c>
      <c r="F374">
        <v>31901943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-6.2041360907272282E-2</v>
      </c>
      <c r="Q374">
        <f t="shared" si="970"/>
        <v>-1979239.9593062287</v>
      </c>
      <c r="R374">
        <f t="shared" si="971"/>
        <v>-2534424583.4219232</v>
      </c>
      <c r="S374">
        <f t="shared" si="972"/>
        <v>-25344.245834219233</v>
      </c>
      <c r="T374">
        <f t="shared" si="973"/>
        <v>-25.344245834219233</v>
      </c>
    </row>
    <row r="375" spans="1:20" x14ac:dyDescent="0.25">
      <c r="A375" s="5">
        <v>44218</v>
      </c>
      <c r="B375">
        <v>9.2779999999999998E-3</v>
      </c>
      <c r="C375">
        <v>1.1197E-2</v>
      </c>
      <c r="D375">
        <v>8.5000000000000006E-3</v>
      </c>
      <c r="E375">
        <v>1.0068000000000001E-2</v>
      </c>
      <c r="F375">
        <v>149730096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0.16277345198368565</v>
      </c>
      <c r="Q375">
        <f t="shared" si="970"/>
        <v>24372084.591768641</v>
      </c>
      <c r="R375">
        <f t="shared" si="971"/>
        <v>-2532445343.4626169</v>
      </c>
      <c r="S375">
        <f t="shared" si="972"/>
        <v>-25324.453434626168</v>
      </c>
      <c r="T375">
        <f t="shared" si="973"/>
        <v>-25.324453434626168</v>
      </c>
    </row>
    <row r="376" spans="1:20" x14ac:dyDescent="0.25">
      <c r="A376" s="5">
        <v>44217</v>
      </c>
      <c r="B376">
        <v>1.0137E-2</v>
      </c>
      <c r="C376">
        <v>1.2756E-2</v>
      </c>
      <c r="D376">
        <v>9.2999999999999992E-3</v>
      </c>
      <c r="E376">
        <v>9.2999999999999992E-3</v>
      </c>
      <c r="F376">
        <v>236464755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-1</v>
      </c>
      <c r="Q376">
        <f t="shared" si="970"/>
        <v>-236464755</v>
      </c>
      <c r="R376">
        <f t="shared" si="971"/>
        <v>-2556817428.0543857</v>
      </c>
      <c r="S376">
        <f t="shared" si="972"/>
        <v>-25568.174280543855</v>
      </c>
      <c r="T376">
        <f t="shared" si="973"/>
        <v>-25.568174280543854</v>
      </c>
    </row>
    <row r="377" spans="1:20" x14ac:dyDescent="0.25">
      <c r="A377" s="5">
        <v>44216</v>
      </c>
      <c r="B377">
        <v>9.8759999999999994E-3</v>
      </c>
      <c r="C377">
        <v>1.0187999999999999E-2</v>
      </c>
      <c r="D377">
        <v>9.11E-3</v>
      </c>
      <c r="E377">
        <v>1.0187999999999999E-2</v>
      </c>
      <c r="F377">
        <v>30155215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1</v>
      </c>
      <c r="Q377">
        <f t="shared" si="970"/>
        <v>30155215</v>
      </c>
      <c r="R377">
        <f t="shared" si="971"/>
        <v>-2320352673.0543857</v>
      </c>
      <c r="S377">
        <f t="shared" si="972"/>
        <v>-23203.526730543857</v>
      </c>
      <c r="T377">
        <f t="shared" si="973"/>
        <v>-23.203526730543857</v>
      </c>
    </row>
    <row r="378" spans="1:20" x14ac:dyDescent="0.25">
      <c r="A378" s="5">
        <v>44215</v>
      </c>
      <c r="B378">
        <v>1.0035000000000001E-2</v>
      </c>
      <c r="C378">
        <v>1.0449E-2</v>
      </c>
      <c r="D378">
        <v>9.7610000000000006E-3</v>
      </c>
      <c r="E378">
        <v>9.8759999999999994E-3</v>
      </c>
      <c r="F378">
        <v>38007085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-0.66569767441860783</v>
      </c>
      <c r="Q378">
        <f t="shared" si="970"/>
        <v>-25301228.095930353</v>
      </c>
      <c r="R378">
        <f t="shared" si="971"/>
        <v>-2350507888.0543857</v>
      </c>
      <c r="S378">
        <f t="shared" si="972"/>
        <v>-23505.078880543857</v>
      </c>
      <c r="T378">
        <f t="shared" si="973"/>
        <v>-23.505078880543856</v>
      </c>
    </row>
    <row r="379" spans="1:20" x14ac:dyDescent="0.25">
      <c r="A379" s="5">
        <v>44214</v>
      </c>
      <c r="B379">
        <v>9.5469999999999999E-3</v>
      </c>
      <c r="C379">
        <v>1.11E-2</v>
      </c>
      <c r="D379">
        <v>9.3570000000000007E-3</v>
      </c>
      <c r="E379">
        <v>1.0038999999999999E-2</v>
      </c>
      <c r="F379">
        <v>57299316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-0.21744119334480932</v>
      </c>
      <c r="Q379">
        <f t="shared" si="970"/>
        <v>-12459231.648881327</v>
      </c>
      <c r="R379">
        <f t="shared" si="971"/>
        <v>-2325206659.9584551</v>
      </c>
      <c r="S379">
        <f t="shared" si="972"/>
        <v>-23252.066599584552</v>
      </c>
      <c r="T379">
        <f t="shared" si="973"/>
        <v>-23.252066599584552</v>
      </c>
    </row>
    <row r="380" spans="1:20" x14ac:dyDescent="0.25">
      <c r="A380" s="5">
        <v>44213</v>
      </c>
      <c r="B380">
        <v>9.7949999999999999E-3</v>
      </c>
      <c r="C380">
        <v>1.03E-2</v>
      </c>
      <c r="D380">
        <v>9.2219999999999993E-3</v>
      </c>
      <c r="E380">
        <v>9.5440000000000004E-3</v>
      </c>
      <c r="F380">
        <v>29366751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-0.40259740259740101</v>
      </c>
      <c r="Q380">
        <f t="shared" si="970"/>
        <v>-11822977.675324628</v>
      </c>
      <c r="R380">
        <f t="shared" si="971"/>
        <v>-2312747428.3095737</v>
      </c>
      <c r="S380">
        <f t="shared" si="972"/>
        <v>-23127.474283095737</v>
      </c>
      <c r="T380">
        <f t="shared" si="973"/>
        <v>-23.127474283095736</v>
      </c>
    </row>
    <row r="381" spans="1:20" x14ac:dyDescent="0.25">
      <c r="A381" s="5">
        <v>44212</v>
      </c>
      <c r="B381">
        <v>9.8420000000000001E-3</v>
      </c>
      <c r="C381">
        <v>1.0355E-2</v>
      </c>
      <c r="D381">
        <v>9.5099999999999994E-3</v>
      </c>
      <c r="E381">
        <v>9.7940000000000006E-3</v>
      </c>
      <c r="F381">
        <v>39437730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-0.32781065088757116</v>
      </c>
      <c r="Q381">
        <f t="shared" si="970"/>
        <v>-12928107.940828292</v>
      </c>
      <c r="R381">
        <f t="shared" si="971"/>
        <v>-2300924450.6342492</v>
      </c>
      <c r="S381">
        <f t="shared" si="972"/>
        <v>-23009.244506342493</v>
      </c>
      <c r="T381">
        <f t="shared" si="973"/>
        <v>-23.009244506342494</v>
      </c>
    </row>
    <row r="382" spans="1:20" x14ac:dyDescent="0.25">
      <c r="A382" s="5">
        <v>44211</v>
      </c>
      <c r="B382">
        <v>9.4090000000000007E-3</v>
      </c>
      <c r="C382">
        <v>0.01</v>
      </c>
      <c r="D382">
        <v>9.0220000000000005E-3</v>
      </c>
      <c r="E382">
        <v>9.8420000000000001E-3</v>
      </c>
      <c r="F382">
        <v>30780575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0.6768916155419219</v>
      </c>
      <c r="Q382">
        <f t="shared" si="970"/>
        <v>20835113.139059294</v>
      </c>
      <c r="R382">
        <f t="shared" si="971"/>
        <v>-2287996342.6934209</v>
      </c>
      <c r="S382">
        <f t="shared" si="972"/>
        <v>-22879.96342693421</v>
      </c>
      <c r="T382">
        <f t="shared" si="973"/>
        <v>-22.879963426934211</v>
      </c>
    </row>
    <row r="383" spans="1:20" x14ac:dyDescent="0.25">
      <c r="A383" s="5">
        <v>44210</v>
      </c>
      <c r="B383">
        <v>9.4889999999999992E-3</v>
      </c>
      <c r="C383">
        <v>9.7660000000000004E-3</v>
      </c>
      <c r="D383">
        <v>8.9519999999999999E-3</v>
      </c>
      <c r="E383">
        <v>9.4269999999999996E-3</v>
      </c>
      <c r="F383">
        <v>25090170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0.16707616707616571</v>
      </c>
      <c r="Q383">
        <f t="shared" si="970"/>
        <v>4191969.4348894008</v>
      </c>
      <c r="R383">
        <f t="shared" si="971"/>
        <v>-2308831455.83248</v>
      </c>
      <c r="S383">
        <f t="shared" si="972"/>
        <v>-23088.314558324801</v>
      </c>
      <c r="T383">
        <f t="shared" si="973"/>
        <v>-23.0883145583248</v>
      </c>
    </row>
    <row r="384" spans="1:20" x14ac:dyDescent="0.25">
      <c r="A384" s="5">
        <v>44209</v>
      </c>
      <c r="B384">
        <v>8.6099999999999996E-3</v>
      </c>
      <c r="C384">
        <v>1.0200000000000001E-2</v>
      </c>
      <c r="D384">
        <v>8.3540000000000003E-3</v>
      </c>
      <c r="E384">
        <v>9.4889999999999992E-3</v>
      </c>
      <c r="F384">
        <v>46241444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0.22968580715059436</v>
      </c>
      <c r="Q384">
        <f t="shared" si="970"/>
        <v>10621003.388949009</v>
      </c>
      <c r="R384">
        <f t="shared" si="971"/>
        <v>-2313023425.2673693</v>
      </c>
      <c r="S384">
        <f t="shared" si="972"/>
        <v>-23130.234252673694</v>
      </c>
      <c r="T384">
        <f t="shared" si="973"/>
        <v>-23.130234252673695</v>
      </c>
    </row>
    <row r="385" spans="1:20" x14ac:dyDescent="0.25">
      <c r="A385" s="5">
        <v>44208</v>
      </c>
      <c r="B385">
        <v>8.7989999999999995E-3</v>
      </c>
      <c r="C385">
        <v>1.0500000000000001E-2</v>
      </c>
      <c r="D385">
        <v>8.1010000000000006E-3</v>
      </c>
      <c r="E385">
        <v>8.6099999999999996E-3</v>
      </c>
      <c r="F385">
        <v>79159821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-0.57565652355148056</v>
      </c>
      <c r="Q385">
        <f t="shared" si="970"/>
        <v>-45568867.361817487</v>
      </c>
      <c r="R385">
        <f t="shared" si="971"/>
        <v>-2323644428.6563182</v>
      </c>
      <c r="S385">
        <f t="shared" si="972"/>
        <v>-23236.444286563183</v>
      </c>
      <c r="T385">
        <f t="shared" si="973"/>
        <v>-23.236444286563184</v>
      </c>
    </row>
    <row r="386" spans="1:20" x14ac:dyDescent="0.25">
      <c r="A386" s="5">
        <v>44207</v>
      </c>
      <c r="B386">
        <v>9.2530000000000008E-3</v>
      </c>
      <c r="C386">
        <v>9.3189999999999992E-3</v>
      </c>
      <c r="D386">
        <v>7.8510000000000003E-3</v>
      </c>
      <c r="E386">
        <v>8.7989999999999995E-3</v>
      </c>
      <c r="F386">
        <v>37601133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0.2915531335149863</v>
      </c>
      <c r="Q386">
        <f t="shared" si="970"/>
        <v>10962728.149863757</v>
      </c>
      <c r="R386">
        <f t="shared" si="971"/>
        <v>-2278075561.2945008</v>
      </c>
      <c r="S386">
        <f t="shared" si="972"/>
        <v>-22780.755612945009</v>
      </c>
      <c r="T386">
        <f t="shared" si="973"/>
        <v>-22.780755612945008</v>
      </c>
    </row>
    <row r="387" spans="1:20" x14ac:dyDescent="0.25">
      <c r="A387" s="5">
        <v>44206</v>
      </c>
      <c r="B387">
        <v>1.0059E-2</v>
      </c>
      <c r="C387">
        <v>1.0691000000000001E-2</v>
      </c>
      <c r="D387">
        <v>8.4320000000000003E-3</v>
      </c>
      <c r="E387">
        <v>9.1039999999999992E-3</v>
      </c>
      <c r="F387">
        <v>67632357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-0.40504648074369293</v>
      </c>
      <c r="Q387">
        <f t="shared" si="970"/>
        <v>-27394248.187251065</v>
      </c>
      <c r="R387">
        <f t="shared" si="971"/>
        <v>-2289038289.4443645</v>
      </c>
      <c r="S387">
        <f t="shared" si="972"/>
        <v>-22890.382894443646</v>
      </c>
      <c r="T387">
        <f t="shared" si="973"/>
        <v>-22.890382894443647</v>
      </c>
    </row>
    <row r="388" spans="1:20" x14ac:dyDescent="0.25">
      <c r="A388" s="5">
        <v>44205</v>
      </c>
      <c r="B388">
        <v>9.2350000000000002E-3</v>
      </c>
      <c r="C388">
        <v>1.0576E-2</v>
      </c>
      <c r="D388">
        <v>8.8000000000000005E-3</v>
      </c>
      <c r="E388">
        <v>1.0104999999999999E-2</v>
      </c>
      <c r="F388">
        <v>58068134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0.46959459459459346</v>
      </c>
      <c r="Q388">
        <f t="shared" si="970"/>
        <v>27268481.844594527</v>
      </c>
      <c r="R388">
        <f t="shared" si="971"/>
        <v>-2261644041.2571135</v>
      </c>
      <c r="S388">
        <f t="shared" si="972"/>
        <v>-22616.440412571133</v>
      </c>
      <c r="T388">
        <f t="shared" si="973"/>
        <v>-22.616440412571134</v>
      </c>
    </row>
    <row r="389" spans="1:20" x14ac:dyDescent="0.25">
      <c r="A389" s="5">
        <v>44204</v>
      </c>
      <c r="B389">
        <v>9.4820000000000008E-3</v>
      </c>
      <c r="C389">
        <v>9.5600000000000008E-3</v>
      </c>
      <c r="D389">
        <v>8.4169999999999991E-3</v>
      </c>
      <c r="E389">
        <v>9.2040000000000004E-3</v>
      </c>
      <c r="F389">
        <v>34425927</v>
      </c>
      <c r="G389">
        <v>0</v>
      </c>
      <c r="L389" t="s">
        <v>7</v>
      </c>
      <c r="M389" t="s">
        <v>8</v>
      </c>
      <c r="N389" t="s">
        <v>7</v>
      </c>
      <c r="P389">
        <f t="shared" si="969"/>
        <v>0.37707786526684184</v>
      </c>
      <c r="Q389">
        <f t="shared" si="970"/>
        <v>12981255.062992133</v>
      </c>
      <c r="R389">
        <f t="shared" si="971"/>
        <v>-2288912523.1017079</v>
      </c>
      <c r="S389">
        <f t="shared" si="972"/>
        <v>-22889.125231017078</v>
      </c>
      <c r="T389">
        <f t="shared" si="973"/>
        <v>-22.889125231017079</v>
      </c>
    </row>
    <row r="390" spans="1:20" x14ac:dyDescent="0.25">
      <c r="A390" s="5">
        <v>44203</v>
      </c>
      <c r="B390">
        <v>9.2339999999999992E-3</v>
      </c>
      <c r="C390">
        <v>0.01</v>
      </c>
      <c r="D390">
        <v>8.7899999999999992E-3</v>
      </c>
      <c r="E390">
        <v>9.4649999999999995E-3</v>
      </c>
      <c r="F390">
        <v>40496327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0.11570247933884246</v>
      </c>
      <c r="Q390">
        <f t="shared" ref="Q390:Q453" si="975">F390*P390</f>
        <v>4685525.4380165087</v>
      </c>
      <c r="R390">
        <f t="shared" ref="R390:R453" si="976">R391+Q390</f>
        <v>-2301893778.1647</v>
      </c>
      <c r="S390">
        <f t="shared" ref="S390:S453" si="977">R390/100000</f>
        <v>-23018.937781647001</v>
      </c>
      <c r="T390">
        <f t="shared" ref="T390:T453" si="978">S390/1000</f>
        <v>-23.018937781647001</v>
      </c>
    </row>
    <row r="391" spans="1:20" x14ac:dyDescent="0.25">
      <c r="A391" s="5">
        <v>44202</v>
      </c>
      <c r="B391">
        <v>8.6300000000000005E-3</v>
      </c>
      <c r="C391">
        <v>9.2999999999999992E-3</v>
      </c>
      <c r="D391">
        <v>8.5330000000000007E-3</v>
      </c>
      <c r="E391">
        <v>9.1839999999999995E-3</v>
      </c>
      <c r="F391">
        <v>34278303</v>
      </c>
      <c r="G391">
        <v>0</v>
      </c>
      <c r="L391" t="s">
        <v>7</v>
      </c>
      <c r="M391" t="s">
        <v>8</v>
      </c>
      <c r="N391" t="s">
        <v>7</v>
      </c>
      <c r="P391">
        <f t="shared" si="974"/>
        <v>0.69752281616688394</v>
      </c>
      <c r="Q391">
        <f t="shared" si="975"/>
        <v>23909898.441981748</v>
      </c>
      <c r="R391">
        <f t="shared" si="976"/>
        <v>-2306579303.6027164</v>
      </c>
      <c r="S391">
        <f t="shared" si="977"/>
        <v>-23065.793036027164</v>
      </c>
      <c r="T391">
        <f t="shared" si="978"/>
        <v>-23.065793036027163</v>
      </c>
    </row>
    <row r="392" spans="1:20" x14ac:dyDescent="0.25">
      <c r="A392" s="5">
        <v>44201</v>
      </c>
      <c r="B392">
        <v>8.9999999999999993E-3</v>
      </c>
      <c r="C392">
        <v>9.4500000000000001E-3</v>
      </c>
      <c r="D392">
        <v>8.2000000000000007E-3</v>
      </c>
      <c r="E392">
        <v>8.5880000000000001E-3</v>
      </c>
      <c r="F392">
        <v>28048247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-0.37920000000000054</v>
      </c>
      <c r="Q392">
        <f t="shared" si="975"/>
        <v>-10635895.262400014</v>
      </c>
      <c r="R392">
        <f t="shared" si="976"/>
        <v>-2330489202.0446982</v>
      </c>
      <c r="S392">
        <f t="shared" si="977"/>
        <v>-23304.892020446983</v>
      </c>
      <c r="T392">
        <f t="shared" si="978"/>
        <v>-23.304892020446982</v>
      </c>
    </row>
    <row r="393" spans="1:20" x14ac:dyDescent="0.25">
      <c r="A393" s="5">
        <v>44200</v>
      </c>
      <c r="B393">
        <v>8.6020000000000003E-3</v>
      </c>
      <c r="C393">
        <v>9.4999999999999998E-3</v>
      </c>
      <c r="D393">
        <v>7.6420000000000004E-3</v>
      </c>
      <c r="E393">
        <v>8.9999999999999993E-3</v>
      </c>
      <c r="F393">
        <v>40210241</v>
      </c>
      <c r="G393">
        <v>0</v>
      </c>
      <c r="L393" t="s">
        <v>7</v>
      </c>
      <c r="M393" t="s">
        <v>8</v>
      </c>
      <c r="N393" t="s">
        <v>7</v>
      </c>
      <c r="P393">
        <f t="shared" si="974"/>
        <v>0.46178686759956877</v>
      </c>
      <c r="Q393">
        <f t="shared" si="975"/>
        <v>18568561.23681375</v>
      </c>
      <c r="R393">
        <f t="shared" si="976"/>
        <v>-2319853306.7822981</v>
      </c>
      <c r="S393">
        <f t="shared" si="977"/>
        <v>-23198.53306782298</v>
      </c>
      <c r="T393">
        <f t="shared" si="978"/>
        <v>-23.198533067822979</v>
      </c>
    </row>
    <row r="394" spans="1:20" x14ac:dyDescent="0.25">
      <c r="A394" s="5">
        <v>44199</v>
      </c>
      <c r="B394">
        <v>8.1639999999999994E-3</v>
      </c>
      <c r="C394">
        <v>8.8190000000000004E-3</v>
      </c>
      <c r="D394">
        <v>7.9690000000000004E-3</v>
      </c>
      <c r="E394">
        <v>8.5520000000000006E-3</v>
      </c>
      <c r="F394">
        <v>20382892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0.37176470588235327</v>
      </c>
      <c r="Q394">
        <f t="shared" si="975"/>
        <v>7577639.8494117716</v>
      </c>
      <c r="R394">
        <f t="shared" si="976"/>
        <v>-2338421868.0191116</v>
      </c>
      <c r="S394">
        <f t="shared" si="977"/>
        <v>-23384.218680191116</v>
      </c>
      <c r="T394">
        <f t="shared" si="978"/>
        <v>-23.384218680191115</v>
      </c>
    </row>
    <row r="395" spans="1:20" x14ac:dyDescent="0.25">
      <c r="A395" s="5">
        <v>44198</v>
      </c>
      <c r="B395">
        <v>8.4700000000000001E-3</v>
      </c>
      <c r="C395">
        <v>9.3100000000000006E-3</v>
      </c>
      <c r="D395">
        <v>8.0370000000000007E-3</v>
      </c>
      <c r="E395">
        <v>8.1700000000000002E-3</v>
      </c>
      <c r="F395">
        <v>36241751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-0.79104477611940383</v>
      </c>
      <c r="Q395">
        <f t="shared" si="975"/>
        <v>-28668847.805970181</v>
      </c>
      <c r="R395">
        <f t="shared" si="976"/>
        <v>-2345999507.8685236</v>
      </c>
      <c r="S395">
        <f t="shared" si="977"/>
        <v>-23459.995078685235</v>
      </c>
      <c r="T395">
        <f t="shared" si="978"/>
        <v>-23.459995078685235</v>
      </c>
    </row>
    <row r="396" spans="1:20" x14ac:dyDescent="0.25">
      <c r="A396" s="5">
        <v>44197</v>
      </c>
      <c r="B396">
        <v>8.1200000000000005E-3</v>
      </c>
      <c r="C396">
        <v>1.108E-2</v>
      </c>
      <c r="D396">
        <v>8.0389999999999993E-3</v>
      </c>
      <c r="E396">
        <v>8.6470000000000002E-3</v>
      </c>
      <c r="F396">
        <v>134874386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-0.60013153567905242</v>
      </c>
      <c r="Q396">
        <f t="shared" si="975"/>
        <v>-80942372.393949285</v>
      </c>
      <c r="R396">
        <f t="shared" si="976"/>
        <v>-2317330660.0625534</v>
      </c>
      <c r="S396">
        <f t="shared" si="977"/>
        <v>-23173.306600625536</v>
      </c>
      <c r="T396">
        <f t="shared" si="978"/>
        <v>-23.173306600625537</v>
      </c>
    </row>
    <row r="397" spans="1:20" x14ac:dyDescent="0.25">
      <c r="A397" s="5">
        <v>44196</v>
      </c>
      <c r="B397">
        <v>8.2140000000000008E-3</v>
      </c>
      <c r="C397">
        <v>8.3000000000000001E-3</v>
      </c>
      <c r="D397">
        <v>7.3229999999999996E-3</v>
      </c>
      <c r="E397">
        <v>8.1349999999999999E-3</v>
      </c>
      <c r="F397">
        <v>10578995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0.66223132036847465</v>
      </c>
      <c r="Q397">
        <f t="shared" si="975"/>
        <v>7005741.8270214917</v>
      </c>
      <c r="R397">
        <f t="shared" si="976"/>
        <v>-2236388287.6686039</v>
      </c>
      <c r="S397">
        <f t="shared" si="977"/>
        <v>-22363.882876686039</v>
      </c>
      <c r="T397">
        <f t="shared" si="978"/>
        <v>-22.363882876686038</v>
      </c>
    </row>
    <row r="398" spans="1:20" x14ac:dyDescent="0.25">
      <c r="A398" s="5">
        <v>44195</v>
      </c>
      <c r="B398">
        <v>8.482E-3</v>
      </c>
      <c r="C398">
        <v>8.5929999999999999E-3</v>
      </c>
      <c r="D398">
        <v>6.9249999999999997E-3</v>
      </c>
      <c r="E398">
        <v>8.3040000000000006E-3</v>
      </c>
      <c r="F398">
        <v>43802867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0.65347721822542049</v>
      </c>
      <c r="Q398">
        <f t="shared" si="975"/>
        <v>28624175.67745807</v>
      </c>
      <c r="R398">
        <f t="shared" si="976"/>
        <v>-2243394029.4956255</v>
      </c>
      <c r="S398">
        <f t="shared" si="977"/>
        <v>-22433.940294956254</v>
      </c>
      <c r="T398">
        <f t="shared" si="978"/>
        <v>-22.433940294956255</v>
      </c>
    </row>
    <row r="399" spans="1:20" x14ac:dyDescent="0.25">
      <c r="A399" s="5">
        <v>44194</v>
      </c>
      <c r="B399">
        <v>9.1500000000000001E-3</v>
      </c>
      <c r="C399">
        <v>9.2060000000000006E-3</v>
      </c>
      <c r="D399">
        <v>8.0059999999999992E-3</v>
      </c>
      <c r="E399">
        <v>8.4790000000000004E-3</v>
      </c>
      <c r="F399">
        <v>22424435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-0.21166666666666559</v>
      </c>
      <c r="Q399">
        <f t="shared" si="975"/>
        <v>-4746505.408333309</v>
      </c>
      <c r="R399">
        <f t="shared" si="976"/>
        <v>-2272018205.1730838</v>
      </c>
      <c r="S399">
        <f t="shared" si="977"/>
        <v>-22720.182051730837</v>
      </c>
      <c r="T399">
        <f t="shared" si="978"/>
        <v>-22.720182051730838</v>
      </c>
    </row>
    <row r="400" spans="1:20" x14ac:dyDescent="0.25">
      <c r="A400" s="5">
        <v>44193</v>
      </c>
      <c r="B400">
        <v>9.4850000000000004E-3</v>
      </c>
      <c r="C400">
        <v>9.9450000000000007E-3</v>
      </c>
      <c r="D400">
        <v>8.9999999999999993E-3</v>
      </c>
      <c r="E400">
        <v>9.1500000000000001E-3</v>
      </c>
      <c r="F400">
        <v>32178118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-0.68253968253968123</v>
      </c>
      <c r="Q400">
        <f t="shared" si="975"/>
        <v>-21962842.444444403</v>
      </c>
      <c r="R400">
        <f t="shared" si="976"/>
        <v>-2267271699.7647505</v>
      </c>
      <c r="S400">
        <f t="shared" si="977"/>
        <v>-22672.716997647505</v>
      </c>
      <c r="T400">
        <f t="shared" si="978"/>
        <v>-22.672716997647505</v>
      </c>
    </row>
    <row r="401" spans="1:20" x14ac:dyDescent="0.25">
      <c r="A401" s="5">
        <v>44192</v>
      </c>
      <c r="B401">
        <v>8.8249999999999995E-3</v>
      </c>
      <c r="C401">
        <v>1.0517E-2</v>
      </c>
      <c r="D401">
        <v>8.7749999999999998E-3</v>
      </c>
      <c r="E401">
        <v>9.4210000000000006E-3</v>
      </c>
      <c r="F401">
        <v>62107599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-0.25832376578645172</v>
      </c>
      <c r="Q401">
        <f t="shared" si="975"/>
        <v>-16043868.857634863</v>
      </c>
      <c r="R401">
        <f t="shared" si="976"/>
        <v>-2245308857.3203063</v>
      </c>
      <c r="S401">
        <f t="shared" si="977"/>
        <v>-22453.088573203062</v>
      </c>
      <c r="T401">
        <f t="shared" si="978"/>
        <v>-22.453088573203061</v>
      </c>
    </row>
    <row r="402" spans="1:20" x14ac:dyDescent="0.25">
      <c r="A402" s="5">
        <v>44191</v>
      </c>
      <c r="B402">
        <v>8.8880000000000001E-3</v>
      </c>
      <c r="C402">
        <v>9.2999999999999992E-3</v>
      </c>
      <c r="D402">
        <v>8.3389999999999992E-3</v>
      </c>
      <c r="E402">
        <v>8.8920000000000006E-3</v>
      </c>
      <c r="F402">
        <v>38053071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0.1508844953173806</v>
      </c>
      <c r="Q402">
        <f t="shared" si="975"/>
        <v>5741618.413111452</v>
      </c>
      <c r="R402">
        <f t="shared" si="976"/>
        <v>-2229264988.4626713</v>
      </c>
      <c r="S402">
        <f t="shared" si="977"/>
        <v>-22292.649884626713</v>
      </c>
      <c r="T402">
        <f t="shared" si="978"/>
        <v>-22.292649884626712</v>
      </c>
    </row>
    <row r="403" spans="1:20" x14ac:dyDescent="0.25">
      <c r="A403" s="5">
        <v>44190</v>
      </c>
      <c r="B403">
        <v>9.0489999999999998E-3</v>
      </c>
      <c r="C403">
        <v>9.4710000000000003E-3</v>
      </c>
      <c r="D403">
        <v>8.3999999999999995E-3</v>
      </c>
      <c r="E403">
        <v>8.8880000000000001E-3</v>
      </c>
      <c r="F403">
        <v>38858788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-8.8702147525676497E-2</v>
      </c>
      <c r="Q403">
        <f t="shared" si="975"/>
        <v>-3446857.9458449874</v>
      </c>
      <c r="R403">
        <f t="shared" si="976"/>
        <v>-2235006606.875783</v>
      </c>
      <c r="S403">
        <f t="shared" si="977"/>
        <v>-22350.066068757831</v>
      </c>
      <c r="T403">
        <f t="shared" si="978"/>
        <v>-22.35006606875783</v>
      </c>
    </row>
    <row r="404" spans="1:20" x14ac:dyDescent="0.25">
      <c r="A404" s="5">
        <v>44189</v>
      </c>
      <c r="B404">
        <v>8.0140000000000003E-3</v>
      </c>
      <c r="C404">
        <v>9.7000000000000003E-3</v>
      </c>
      <c r="D404">
        <v>7.6519999999999999E-3</v>
      </c>
      <c r="E404">
        <v>9.0460000000000002E-3</v>
      </c>
      <c r="F404">
        <v>91403028</v>
      </c>
      <c r="G404">
        <v>0</v>
      </c>
      <c r="L404" t="s">
        <v>7</v>
      </c>
      <c r="M404" t="s">
        <v>8</v>
      </c>
      <c r="N404" t="s">
        <v>7</v>
      </c>
      <c r="P404">
        <f t="shared" si="974"/>
        <v>0.36132812500000006</v>
      </c>
      <c r="Q404">
        <f t="shared" si="975"/>
        <v>33026484.726562504</v>
      </c>
      <c r="R404">
        <f t="shared" si="976"/>
        <v>-2231559748.9299378</v>
      </c>
      <c r="S404">
        <f t="shared" si="977"/>
        <v>-22315.59748929938</v>
      </c>
      <c r="T404">
        <f t="shared" si="978"/>
        <v>-22.315597489299378</v>
      </c>
    </row>
    <row r="405" spans="1:20" x14ac:dyDescent="0.25">
      <c r="A405" s="5">
        <v>44188</v>
      </c>
      <c r="B405">
        <v>1.0423999999999999E-2</v>
      </c>
      <c r="C405">
        <v>1.0500000000000001E-2</v>
      </c>
      <c r="D405">
        <v>7.7999999999999996E-3</v>
      </c>
      <c r="E405">
        <v>8.0269999999999994E-3</v>
      </c>
      <c r="F405">
        <v>88636412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-0.83185185185185206</v>
      </c>
      <c r="Q405">
        <f t="shared" si="975"/>
        <v>-73732363.463703722</v>
      </c>
      <c r="R405">
        <f t="shared" si="976"/>
        <v>-2264586233.6565003</v>
      </c>
      <c r="S405">
        <f t="shared" si="977"/>
        <v>-22645.862336565002</v>
      </c>
      <c r="T405">
        <f t="shared" si="978"/>
        <v>-22.645862336565003</v>
      </c>
    </row>
    <row r="406" spans="1:20" x14ac:dyDescent="0.25">
      <c r="A406" s="5">
        <v>44187</v>
      </c>
      <c r="B406">
        <v>1.0704E-2</v>
      </c>
      <c r="C406">
        <v>1.2500000000000001E-2</v>
      </c>
      <c r="D406">
        <v>9.7280000000000005E-3</v>
      </c>
      <c r="E406">
        <v>1.0423999999999999E-2</v>
      </c>
      <c r="F406">
        <v>320675787</v>
      </c>
      <c r="G406">
        <v>0</v>
      </c>
      <c r="L406" t="s">
        <v>8</v>
      </c>
      <c r="M406" t="s">
        <v>7</v>
      </c>
      <c r="N406" t="s">
        <v>7</v>
      </c>
      <c r="P406">
        <f t="shared" si="974"/>
        <v>-0.4978354978354988</v>
      </c>
      <c r="Q406">
        <f t="shared" si="975"/>
        <v>-159643790.06493539</v>
      </c>
      <c r="R406">
        <f t="shared" si="976"/>
        <v>-2190853870.1927967</v>
      </c>
      <c r="S406">
        <f t="shared" si="977"/>
        <v>-21908.538701927966</v>
      </c>
      <c r="T406">
        <f t="shared" si="978"/>
        <v>-21.908538701927966</v>
      </c>
    </row>
    <row r="407" spans="1:20" x14ac:dyDescent="0.25">
      <c r="A407" s="5">
        <v>44186</v>
      </c>
      <c r="B407">
        <v>1.171E-2</v>
      </c>
      <c r="C407">
        <v>1.5878E-2</v>
      </c>
      <c r="D407">
        <v>9.5680000000000001E-3</v>
      </c>
      <c r="E407">
        <v>1.0713E-2</v>
      </c>
      <c r="F407">
        <v>855291773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-0.63708399366085566</v>
      </c>
      <c r="Q407">
        <f t="shared" si="975"/>
        <v>-544892698.488114</v>
      </c>
      <c r="R407">
        <f t="shared" si="976"/>
        <v>-2031210080.1278615</v>
      </c>
      <c r="S407">
        <f t="shared" si="977"/>
        <v>-20312.100801278615</v>
      </c>
      <c r="T407">
        <f t="shared" si="978"/>
        <v>-20.312100801278614</v>
      </c>
    </row>
    <row r="408" spans="1:20" x14ac:dyDescent="0.25">
      <c r="A408" s="5">
        <v>44185</v>
      </c>
      <c r="B408">
        <v>7.9030000000000003E-3</v>
      </c>
      <c r="C408">
        <v>1.5699999999999999E-2</v>
      </c>
      <c r="D408">
        <v>7.7470000000000004E-3</v>
      </c>
      <c r="E408">
        <v>1.174E-2</v>
      </c>
      <c r="F408">
        <v>957736905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4.1493775933612205E-3</v>
      </c>
      <c r="Q408">
        <f t="shared" si="975"/>
        <v>3974012.0539421239</v>
      </c>
      <c r="R408">
        <f t="shared" si="976"/>
        <v>-1486317381.6397476</v>
      </c>
      <c r="S408">
        <f t="shared" si="977"/>
        <v>-14863.173816397477</v>
      </c>
      <c r="T408">
        <f t="shared" si="978"/>
        <v>-14.863173816397477</v>
      </c>
    </row>
    <row r="409" spans="1:20" x14ac:dyDescent="0.25">
      <c r="A409" s="5">
        <v>44184</v>
      </c>
      <c r="B409">
        <v>7.9439999999999997E-3</v>
      </c>
      <c r="C409">
        <v>9.4859999999999996E-3</v>
      </c>
      <c r="D409">
        <v>7.7669999999999996E-3</v>
      </c>
      <c r="E409">
        <v>7.9030000000000003E-3</v>
      </c>
      <c r="F409">
        <v>140108034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-0.84176847004072053</v>
      </c>
      <c r="Q409">
        <f t="shared" si="975"/>
        <v>-117938525.42059325</v>
      </c>
      <c r="R409">
        <f t="shared" si="976"/>
        <v>-1490291393.6936898</v>
      </c>
      <c r="S409">
        <f t="shared" si="977"/>
        <v>-14902.913936936899</v>
      </c>
      <c r="T409">
        <f t="shared" si="978"/>
        <v>-14.902913936936899</v>
      </c>
    </row>
    <row r="410" spans="1:20" x14ac:dyDescent="0.25">
      <c r="A410" s="5">
        <v>44183</v>
      </c>
      <c r="B410">
        <v>7.9310000000000005E-3</v>
      </c>
      <c r="C410">
        <v>8.0450000000000001E-3</v>
      </c>
      <c r="D410">
        <v>7.6039999999999996E-3</v>
      </c>
      <c r="E410">
        <v>7.8569999999999994E-3</v>
      </c>
      <c r="F410">
        <v>14834030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0.1473922902494309</v>
      </c>
      <c r="Q410">
        <f t="shared" si="975"/>
        <v>2186421.6553287655</v>
      </c>
      <c r="R410">
        <f t="shared" si="976"/>
        <v>-1372352868.2730966</v>
      </c>
      <c r="S410">
        <f t="shared" si="977"/>
        <v>-13723.528682730966</v>
      </c>
      <c r="T410">
        <f t="shared" si="978"/>
        <v>-13.723528682730967</v>
      </c>
    </row>
    <row r="411" spans="1:20" x14ac:dyDescent="0.25">
      <c r="A411" s="5">
        <v>44182</v>
      </c>
      <c r="B411">
        <v>7.5680000000000001E-3</v>
      </c>
      <c r="C411">
        <v>8.1259999999999995E-3</v>
      </c>
      <c r="D411">
        <v>7.3499999999999998E-3</v>
      </c>
      <c r="E411">
        <v>8.0429999999999998E-3</v>
      </c>
      <c r="F411">
        <v>33417778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0.78608247422680477</v>
      </c>
      <c r="Q411">
        <f t="shared" si="975"/>
        <v>26269129.613402084</v>
      </c>
      <c r="R411">
        <f t="shared" si="976"/>
        <v>-1374539289.9284253</v>
      </c>
      <c r="S411">
        <f t="shared" si="977"/>
        <v>-13745.392899284254</v>
      </c>
      <c r="T411">
        <f t="shared" si="978"/>
        <v>-13.745392899284253</v>
      </c>
    </row>
    <row r="412" spans="1:20" x14ac:dyDescent="0.25">
      <c r="A412" s="5">
        <v>44181</v>
      </c>
      <c r="B412">
        <v>7.7860000000000004E-3</v>
      </c>
      <c r="C412">
        <v>7.79E-3</v>
      </c>
      <c r="D412">
        <v>7.3499999999999998E-3</v>
      </c>
      <c r="E412">
        <v>7.5050000000000004E-3</v>
      </c>
      <c r="F412">
        <v>19369228</v>
      </c>
      <c r="G412">
        <v>0</v>
      </c>
      <c r="L412" t="s">
        <v>7</v>
      </c>
      <c r="M412" t="s">
        <v>8</v>
      </c>
      <c r="N412" t="s">
        <v>7</v>
      </c>
      <c r="P412">
        <f t="shared" si="974"/>
        <v>-0.29545454545454308</v>
      </c>
      <c r="Q412">
        <f t="shared" si="975"/>
        <v>-5722726.4545454085</v>
      </c>
      <c r="R412">
        <f t="shared" si="976"/>
        <v>-1400808419.5418274</v>
      </c>
      <c r="S412">
        <f t="shared" si="977"/>
        <v>-14008.084195418274</v>
      </c>
      <c r="T412">
        <f t="shared" si="978"/>
        <v>-14.008084195418274</v>
      </c>
    </row>
    <row r="413" spans="1:20" x14ac:dyDescent="0.25">
      <c r="A413" s="5">
        <v>44180</v>
      </c>
      <c r="B413">
        <v>8.0020000000000004E-3</v>
      </c>
      <c r="C413">
        <v>8.1449999999999995E-3</v>
      </c>
      <c r="D413">
        <v>7.6519999999999999E-3</v>
      </c>
      <c r="E413">
        <v>7.7039999999999999E-3</v>
      </c>
      <c r="F413">
        <v>26407168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-0.78904665314401612</v>
      </c>
      <c r="Q413">
        <f t="shared" si="975"/>
        <v>-20836487.529411763</v>
      </c>
      <c r="R413">
        <f t="shared" si="976"/>
        <v>-1395085693.0872819</v>
      </c>
      <c r="S413">
        <f t="shared" si="977"/>
        <v>-13950.85693087282</v>
      </c>
      <c r="T413">
        <f t="shared" si="978"/>
        <v>-13.950856930872821</v>
      </c>
    </row>
    <row r="414" spans="1:20" x14ac:dyDescent="0.25">
      <c r="A414" s="5">
        <v>44179</v>
      </c>
      <c r="B414">
        <v>7.6940000000000003E-3</v>
      </c>
      <c r="C414">
        <v>8.1169999999999992E-3</v>
      </c>
      <c r="D414">
        <v>7.6179999999999998E-3</v>
      </c>
      <c r="E414">
        <v>8.0020000000000004E-3</v>
      </c>
      <c r="F414">
        <v>24236184</v>
      </c>
      <c r="G414">
        <v>0</v>
      </c>
      <c r="L414" t="s">
        <v>7</v>
      </c>
      <c r="M414" t="s">
        <v>8</v>
      </c>
      <c r="N414" t="s">
        <v>7</v>
      </c>
      <c r="P414">
        <f t="shared" si="974"/>
        <v>0.53907815631262956</v>
      </c>
      <c r="Q414">
        <f t="shared" si="975"/>
        <v>13065197.386773651</v>
      </c>
      <c r="R414">
        <f t="shared" si="976"/>
        <v>-1374249205.5578701</v>
      </c>
      <c r="S414">
        <f t="shared" si="977"/>
        <v>-13742.492055578701</v>
      </c>
      <c r="T414">
        <f t="shared" si="978"/>
        <v>-13.742492055578701</v>
      </c>
    </row>
    <row r="415" spans="1:20" x14ac:dyDescent="0.25">
      <c r="A415" s="5">
        <v>44178</v>
      </c>
      <c r="B415">
        <v>7.731E-3</v>
      </c>
      <c r="C415">
        <v>7.8569999999999994E-3</v>
      </c>
      <c r="D415">
        <v>7.5830000000000003E-3</v>
      </c>
      <c r="E415">
        <v>7.6940000000000003E-3</v>
      </c>
      <c r="F415">
        <v>17172437</v>
      </c>
      <c r="G415">
        <v>0</v>
      </c>
      <c r="L415" t="s">
        <v>7</v>
      </c>
      <c r="M415" t="s">
        <v>8</v>
      </c>
      <c r="N415" t="s">
        <v>7</v>
      </c>
      <c r="P415">
        <f t="shared" si="974"/>
        <v>-0.18978102189780757</v>
      </c>
      <c r="Q415">
        <f t="shared" si="975"/>
        <v>-3259002.6423357208</v>
      </c>
      <c r="R415">
        <f t="shared" si="976"/>
        <v>-1387314402.9446437</v>
      </c>
      <c r="S415">
        <f t="shared" si="977"/>
        <v>-13873.144029446437</v>
      </c>
      <c r="T415">
        <f t="shared" si="978"/>
        <v>-13.873144029446438</v>
      </c>
    </row>
    <row r="416" spans="1:20" x14ac:dyDescent="0.25">
      <c r="A416" s="5">
        <v>44177</v>
      </c>
      <c r="B416">
        <v>7.424E-3</v>
      </c>
      <c r="C416">
        <v>8.3230000000000005E-3</v>
      </c>
      <c r="D416">
        <v>7.424E-3</v>
      </c>
      <c r="E416">
        <v>7.731E-3</v>
      </c>
      <c r="F416">
        <v>43565353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-0.31701890989988918</v>
      </c>
      <c r="Q416">
        <f t="shared" si="975"/>
        <v>-13811040.717463866</v>
      </c>
      <c r="R416">
        <f t="shared" si="976"/>
        <v>-1384055400.3023081</v>
      </c>
      <c r="S416">
        <f t="shared" si="977"/>
        <v>-13840.55400302308</v>
      </c>
      <c r="T416">
        <f t="shared" si="978"/>
        <v>-13.84055400302308</v>
      </c>
    </row>
    <row r="417" spans="1:20" x14ac:dyDescent="0.25">
      <c r="A417" s="5">
        <v>44176</v>
      </c>
      <c r="B417">
        <v>7.515E-3</v>
      </c>
      <c r="C417">
        <v>7.5779999999999997E-3</v>
      </c>
      <c r="D417">
        <v>7.136E-3</v>
      </c>
      <c r="E417">
        <v>7.4510000000000002E-3</v>
      </c>
      <c r="F417">
        <v>13772858</v>
      </c>
      <c r="G417">
        <v>0</v>
      </c>
      <c r="L417" t="s">
        <v>8</v>
      </c>
      <c r="M417" t="s">
        <v>7</v>
      </c>
      <c r="N417" t="s">
        <v>7</v>
      </c>
      <c r="P417">
        <f t="shared" si="974"/>
        <v>0.42533936651583892</v>
      </c>
      <c r="Q417">
        <f t="shared" si="975"/>
        <v>5858138.6968326047</v>
      </c>
      <c r="R417">
        <f t="shared" si="976"/>
        <v>-1370244359.5848441</v>
      </c>
      <c r="S417">
        <f t="shared" si="977"/>
        <v>-13702.443595848441</v>
      </c>
      <c r="T417">
        <f t="shared" si="978"/>
        <v>-13.702443595848441</v>
      </c>
    </row>
    <row r="418" spans="1:20" x14ac:dyDescent="0.25">
      <c r="A418" s="5">
        <v>44175</v>
      </c>
      <c r="B418">
        <v>7.247E-3</v>
      </c>
      <c r="C418">
        <v>7.6340000000000002E-3</v>
      </c>
      <c r="D418">
        <v>7.0439999999999999E-3</v>
      </c>
      <c r="E418">
        <v>7.5789999999999998E-3</v>
      </c>
      <c r="F418">
        <v>20283250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0.81355932203389714</v>
      </c>
      <c r="Q418">
        <f t="shared" si="975"/>
        <v>16501627.118644044</v>
      </c>
      <c r="R418">
        <f t="shared" si="976"/>
        <v>-1376102498.2816768</v>
      </c>
      <c r="S418">
        <f t="shared" si="977"/>
        <v>-13761.024982816767</v>
      </c>
      <c r="T418">
        <f t="shared" si="978"/>
        <v>-13.761024982816767</v>
      </c>
    </row>
    <row r="419" spans="1:20" x14ac:dyDescent="0.25">
      <c r="A419" s="5">
        <v>44174</v>
      </c>
      <c r="B419">
        <v>6.9550000000000002E-3</v>
      </c>
      <c r="C419">
        <v>7.2589999999999998E-3</v>
      </c>
      <c r="D419">
        <v>6.5779999999999996E-3</v>
      </c>
      <c r="E419">
        <v>7.247E-3</v>
      </c>
      <c r="F419">
        <v>20206161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0.96475770925110171</v>
      </c>
      <c r="Q419">
        <f t="shared" si="975"/>
        <v>19494049.599118952</v>
      </c>
      <c r="R419">
        <f t="shared" si="976"/>
        <v>-1392604125.4003208</v>
      </c>
      <c r="S419">
        <f t="shared" si="977"/>
        <v>-13926.041254003208</v>
      </c>
      <c r="T419">
        <f t="shared" si="978"/>
        <v>-13.926041254003209</v>
      </c>
    </row>
    <row r="420" spans="1:20" x14ac:dyDescent="0.25">
      <c r="A420" s="5">
        <v>44173</v>
      </c>
      <c r="B420">
        <v>7.5599999999999999E-3</v>
      </c>
      <c r="C420">
        <v>7.6509999999999998E-3</v>
      </c>
      <c r="D420">
        <v>6.9550000000000002E-3</v>
      </c>
      <c r="E420">
        <v>6.9649999999999998E-3</v>
      </c>
      <c r="F420">
        <v>16245480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-0.97126436781609315</v>
      </c>
      <c r="Q420">
        <f t="shared" si="975"/>
        <v>-15778655.862068985</v>
      </c>
      <c r="R420">
        <f t="shared" si="976"/>
        <v>-1412098174.9994397</v>
      </c>
      <c r="S420">
        <f t="shared" si="977"/>
        <v>-14120.981749994397</v>
      </c>
      <c r="T420">
        <f t="shared" si="978"/>
        <v>-14.120981749994396</v>
      </c>
    </row>
    <row r="421" spans="1:20" x14ac:dyDescent="0.25">
      <c r="A421" s="5">
        <v>44172</v>
      </c>
      <c r="B421">
        <v>7.5760000000000003E-3</v>
      </c>
      <c r="C421">
        <v>7.7980000000000002E-3</v>
      </c>
      <c r="D421">
        <v>7.3330000000000001E-3</v>
      </c>
      <c r="E421">
        <v>7.6049999999999998E-3</v>
      </c>
      <c r="F421">
        <v>109927080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0.16989247311827782</v>
      </c>
      <c r="Q421">
        <f t="shared" si="975"/>
        <v>18675783.483870775</v>
      </c>
      <c r="R421">
        <f t="shared" si="976"/>
        <v>-1396319519.1373708</v>
      </c>
      <c r="S421">
        <f t="shared" si="977"/>
        <v>-13963.195191373708</v>
      </c>
      <c r="T421">
        <f t="shared" si="978"/>
        <v>-13.963195191373709</v>
      </c>
    </row>
    <row r="422" spans="1:20" x14ac:dyDescent="0.25">
      <c r="A422" s="5">
        <v>44171</v>
      </c>
      <c r="B422">
        <v>7.7270000000000004E-3</v>
      </c>
      <c r="C422">
        <v>7.953E-3</v>
      </c>
      <c r="D422">
        <v>7.5119999999999996E-3</v>
      </c>
      <c r="E422">
        <v>7.6059999999999999E-3</v>
      </c>
      <c r="F422">
        <v>59357288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-0.57369614512471545</v>
      </c>
      <c r="Q422">
        <f t="shared" si="975"/>
        <v>-34053047.310657531</v>
      </c>
      <c r="R422">
        <f t="shared" si="976"/>
        <v>-1414995302.6212416</v>
      </c>
      <c r="S422">
        <f t="shared" si="977"/>
        <v>-14149.953026212415</v>
      </c>
      <c r="T422">
        <f t="shared" si="978"/>
        <v>-14.149953026212415</v>
      </c>
    </row>
    <row r="423" spans="1:20" x14ac:dyDescent="0.25">
      <c r="A423" s="5">
        <v>44170</v>
      </c>
      <c r="B423">
        <v>7.5300000000000002E-3</v>
      </c>
      <c r="C423">
        <v>8.0549999999999997E-3</v>
      </c>
      <c r="D423">
        <v>7.1029999999999999E-3</v>
      </c>
      <c r="E423">
        <v>7.7419999999999998E-3</v>
      </c>
      <c r="F423">
        <v>78568497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0.34243697478991597</v>
      </c>
      <c r="Q423">
        <f t="shared" si="975"/>
        <v>26904758.426470589</v>
      </c>
      <c r="R423">
        <f t="shared" si="976"/>
        <v>-1380942255.3105841</v>
      </c>
      <c r="S423">
        <f t="shared" si="977"/>
        <v>-13809.42255310584</v>
      </c>
      <c r="T423">
        <f t="shared" si="978"/>
        <v>-13.80942255310584</v>
      </c>
    </row>
    <row r="424" spans="1:20" x14ac:dyDescent="0.25">
      <c r="A424" s="5">
        <v>44169</v>
      </c>
      <c r="B424">
        <v>8.0169999999999998E-3</v>
      </c>
      <c r="C424">
        <v>8.1899999999999994E-3</v>
      </c>
      <c r="D424">
        <v>7.45E-3</v>
      </c>
      <c r="E424">
        <v>7.5300000000000002E-3</v>
      </c>
      <c r="F424">
        <v>21981404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-0.78378378378378299</v>
      </c>
      <c r="Q424">
        <f t="shared" si="975"/>
        <v>-17228667.999999981</v>
      </c>
      <c r="R424">
        <f t="shared" si="976"/>
        <v>-1407847013.7370546</v>
      </c>
      <c r="S424">
        <f t="shared" si="977"/>
        <v>-14078.470137370547</v>
      </c>
      <c r="T424">
        <f t="shared" si="978"/>
        <v>-14.078470137370546</v>
      </c>
    </row>
    <row r="425" spans="1:20" x14ac:dyDescent="0.25">
      <c r="A425" s="5">
        <v>44168</v>
      </c>
      <c r="B425">
        <v>7.8779999999999996E-3</v>
      </c>
      <c r="C425">
        <v>8.1329999999999996E-3</v>
      </c>
      <c r="D425">
        <v>7.7809999999999997E-3</v>
      </c>
      <c r="E425">
        <v>8.0020000000000004E-3</v>
      </c>
      <c r="F425">
        <v>9576154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0.25568181818182262</v>
      </c>
      <c r="Q425">
        <f t="shared" si="975"/>
        <v>2448448.4659091332</v>
      </c>
      <c r="R425">
        <f t="shared" si="976"/>
        <v>-1390618345.7370546</v>
      </c>
      <c r="S425">
        <f t="shared" si="977"/>
        <v>-13906.183457370546</v>
      </c>
      <c r="T425">
        <f t="shared" si="978"/>
        <v>-13.906183457370545</v>
      </c>
    </row>
    <row r="426" spans="1:20" x14ac:dyDescent="0.25">
      <c r="A426" s="5">
        <v>44167</v>
      </c>
      <c r="B426">
        <v>7.6499999999999997E-3</v>
      </c>
      <c r="C426">
        <v>8.0700000000000008E-3</v>
      </c>
      <c r="D426">
        <v>7.4999999999999997E-3</v>
      </c>
      <c r="E426">
        <v>7.8270000000000006E-3</v>
      </c>
      <c r="F426">
        <v>13627719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0.14736842105263259</v>
      </c>
      <c r="Q426">
        <f t="shared" si="975"/>
        <v>2008295.4315789612</v>
      </c>
      <c r="R426">
        <f t="shared" si="976"/>
        <v>-1393066794.2029638</v>
      </c>
      <c r="S426">
        <f t="shared" si="977"/>
        <v>-13930.667942029639</v>
      </c>
      <c r="T426">
        <f t="shared" si="978"/>
        <v>-13.930667942029638</v>
      </c>
    </row>
    <row r="427" spans="1:20" x14ac:dyDescent="0.25">
      <c r="A427" s="5">
        <v>44166</v>
      </c>
      <c r="B427">
        <v>7.8399999999999997E-3</v>
      </c>
      <c r="C427">
        <v>8.149E-3</v>
      </c>
      <c r="D427">
        <v>7.437E-3</v>
      </c>
      <c r="E427">
        <v>7.737E-3</v>
      </c>
      <c r="F427">
        <v>20058038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-0.15730337078651704</v>
      </c>
      <c r="Q427">
        <f t="shared" si="975"/>
        <v>-3155196.9887640486</v>
      </c>
      <c r="R427">
        <f t="shared" si="976"/>
        <v>-1395075089.6345427</v>
      </c>
      <c r="S427">
        <f t="shared" si="977"/>
        <v>-13950.750896345427</v>
      </c>
      <c r="T427">
        <f t="shared" si="978"/>
        <v>-13.950750896345427</v>
      </c>
    </row>
    <row r="428" spans="1:20" x14ac:dyDescent="0.25">
      <c r="A428" s="5">
        <v>44165</v>
      </c>
      <c r="B428">
        <v>7.9939999999999994E-3</v>
      </c>
      <c r="C428">
        <v>8.1429999999999992E-3</v>
      </c>
      <c r="D428">
        <v>7.7499999999999999E-3</v>
      </c>
      <c r="E428">
        <v>7.8750000000000001E-3</v>
      </c>
      <c r="F428">
        <v>14912458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-0.3638676844783697</v>
      </c>
      <c r="Q428">
        <f t="shared" si="975"/>
        <v>-5426161.5623409403</v>
      </c>
      <c r="R428">
        <f t="shared" si="976"/>
        <v>-1391919892.6457787</v>
      </c>
      <c r="S428">
        <f t="shared" si="977"/>
        <v>-13919.198926457786</v>
      </c>
      <c r="T428">
        <f t="shared" si="978"/>
        <v>-13.919198926457787</v>
      </c>
    </row>
    <row r="429" spans="1:20" x14ac:dyDescent="0.25">
      <c r="A429" s="5">
        <v>44164</v>
      </c>
      <c r="B429">
        <v>7.8429999999999993E-3</v>
      </c>
      <c r="C429">
        <v>8.5000000000000006E-3</v>
      </c>
      <c r="D429">
        <v>7.6779999999999999E-3</v>
      </c>
      <c r="E429">
        <v>7.986E-3</v>
      </c>
      <c r="F429">
        <v>62878826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-0.25060827250608309</v>
      </c>
      <c r="Q429">
        <f t="shared" si="975"/>
        <v>-15757953.961070582</v>
      </c>
      <c r="R429">
        <f t="shared" si="976"/>
        <v>-1386493731.0834377</v>
      </c>
      <c r="S429">
        <f t="shared" si="977"/>
        <v>-13864.937310834377</v>
      </c>
      <c r="T429">
        <f t="shared" si="978"/>
        <v>-13.864937310834376</v>
      </c>
    </row>
    <row r="430" spans="1:20" x14ac:dyDescent="0.25">
      <c r="A430" s="5">
        <v>44163</v>
      </c>
      <c r="B430">
        <v>7.4819999999999999E-3</v>
      </c>
      <c r="C430">
        <v>7.8980000000000005E-3</v>
      </c>
      <c r="D430">
        <v>7.3920000000000001E-3</v>
      </c>
      <c r="E430">
        <v>7.8469999999999998E-3</v>
      </c>
      <c r="F430">
        <v>9228741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0.7984189723320132</v>
      </c>
      <c r="Q430">
        <f t="shared" si="975"/>
        <v>7368401.9051383156</v>
      </c>
      <c r="R430">
        <f t="shared" si="976"/>
        <v>-1370735777.1223671</v>
      </c>
      <c r="S430">
        <f t="shared" si="977"/>
        <v>-13707.357771223671</v>
      </c>
      <c r="T430">
        <f t="shared" si="978"/>
        <v>-13.707357771223672</v>
      </c>
    </row>
    <row r="431" spans="1:20" x14ac:dyDescent="0.25">
      <c r="A431" s="5">
        <v>44162</v>
      </c>
      <c r="B431">
        <v>7.5009999999999999E-3</v>
      </c>
      <c r="C431">
        <v>7.6800000000000002E-3</v>
      </c>
      <c r="D431">
        <v>7.0540000000000004E-3</v>
      </c>
      <c r="E431">
        <v>7.4929999999999997E-3</v>
      </c>
      <c r="F431">
        <v>10664686</v>
      </c>
      <c r="G431">
        <v>0</v>
      </c>
      <c r="L431" t="s">
        <v>8</v>
      </c>
      <c r="M431" t="s">
        <v>7</v>
      </c>
      <c r="N431" t="s">
        <v>7</v>
      </c>
      <c r="P431">
        <f t="shared" si="974"/>
        <v>0.40255591054312911</v>
      </c>
      <c r="Q431">
        <f t="shared" si="975"/>
        <v>4293132.3833865616</v>
      </c>
      <c r="R431">
        <f t="shared" si="976"/>
        <v>-1378104179.0275054</v>
      </c>
      <c r="S431">
        <f t="shared" si="977"/>
        <v>-13781.041790275054</v>
      </c>
      <c r="T431">
        <f t="shared" si="978"/>
        <v>-13.781041790275054</v>
      </c>
    </row>
    <row r="432" spans="1:20" x14ac:dyDescent="0.25">
      <c r="A432" s="5">
        <v>44161</v>
      </c>
      <c r="B432">
        <v>8.5389999999999997E-3</v>
      </c>
      <c r="C432">
        <v>8.7170000000000008E-3</v>
      </c>
      <c r="D432">
        <v>6.8649999999999996E-3</v>
      </c>
      <c r="E432">
        <v>7.4520000000000003E-3</v>
      </c>
      <c r="F432">
        <v>38882451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-0.36609071274298022</v>
      </c>
      <c r="Q432">
        <f t="shared" si="975"/>
        <v>-14234504.199784003</v>
      </c>
      <c r="R432">
        <f t="shared" si="976"/>
        <v>-1382397311.410892</v>
      </c>
      <c r="S432">
        <f t="shared" si="977"/>
        <v>-13823.97311410892</v>
      </c>
      <c r="T432">
        <f t="shared" si="978"/>
        <v>-13.82397311410892</v>
      </c>
    </row>
    <row r="433" spans="1:20" x14ac:dyDescent="0.25">
      <c r="A433" s="5">
        <v>44160</v>
      </c>
      <c r="B433">
        <v>8.5389999999999997E-3</v>
      </c>
      <c r="C433">
        <v>9.0500000000000008E-3</v>
      </c>
      <c r="D433">
        <v>8.1019999999999998E-3</v>
      </c>
      <c r="E433">
        <v>8.5470000000000008E-3</v>
      </c>
      <c r="F433">
        <v>31406474</v>
      </c>
      <c r="G433">
        <v>0</v>
      </c>
      <c r="L433" t="s">
        <v>7</v>
      </c>
      <c r="M433" t="s">
        <v>8</v>
      </c>
      <c r="N433" t="s">
        <v>8</v>
      </c>
      <c r="P433">
        <f t="shared" si="974"/>
        <v>-6.1181434599155031E-2</v>
      </c>
      <c r="Q433">
        <f t="shared" si="975"/>
        <v>-1921493.1350210628</v>
      </c>
      <c r="R433">
        <f t="shared" si="976"/>
        <v>-1368162807.211108</v>
      </c>
      <c r="S433">
        <f t="shared" si="977"/>
        <v>-13681.62807211108</v>
      </c>
      <c r="T433">
        <f t="shared" si="978"/>
        <v>-13.68162807211108</v>
      </c>
    </row>
    <row r="434" spans="1:20" x14ac:dyDescent="0.25">
      <c r="A434" s="5">
        <v>44159</v>
      </c>
      <c r="B434">
        <v>8.2489999999999994E-3</v>
      </c>
      <c r="C434">
        <v>9.2130000000000007E-3</v>
      </c>
      <c r="D434">
        <v>7.9989999999999992E-3</v>
      </c>
      <c r="E434">
        <v>8.5179999999999995E-3</v>
      </c>
      <c r="F434">
        <v>48494541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-0.14497528830313064</v>
      </c>
      <c r="Q434">
        <f t="shared" si="975"/>
        <v>-7030510.0626029894</v>
      </c>
      <c r="R434">
        <f t="shared" si="976"/>
        <v>-1366241314.076087</v>
      </c>
      <c r="S434">
        <f t="shared" si="977"/>
        <v>-13662.413140760869</v>
      </c>
      <c r="T434">
        <f t="shared" si="978"/>
        <v>-13.662413140760869</v>
      </c>
    </row>
    <row r="435" spans="1:20" x14ac:dyDescent="0.25">
      <c r="A435" s="5">
        <v>44158</v>
      </c>
      <c r="B435">
        <v>8.1399999999999997E-3</v>
      </c>
      <c r="C435">
        <v>8.5000000000000006E-3</v>
      </c>
      <c r="D435">
        <v>7.9260000000000008E-3</v>
      </c>
      <c r="E435">
        <v>8.3269999999999993E-3</v>
      </c>
      <c r="F435">
        <v>19813948</v>
      </c>
      <c r="G435">
        <v>0</v>
      </c>
      <c r="L435" t="s">
        <v>8</v>
      </c>
      <c r="M435" t="s">
        <v>7</v>
      </c>
      <c r="N435" t="s">
        <v>8</v>
      </c>
      <c r="P435">
        <f t="shared" si="974"/>
        <v>0.39721254355400237</v>
      </c>
      <c r="Q435">
        <f t="shared" si="975"/>
        <v>7870348.6829267386</v>
      </c>
      <c r="R435">
        <f t="shared" si="976"/>
        <v>-1359210804.013484</v>
      </c>
      <c r="S435">
        <f t="shared" si="977"/>
        <v>-13592.108040134841</v>
      </c>
      <c r="T435">
        <f t="shared" si="978"/>
        <v>-13.592108040134841</v>
      </c>
    </row>
    <row r="436" spans="1:20" x14ac:dyDescent="0.25">
      <c r="A436" s="5">
        <v>44157</v>
      </c>
      <c r="B436">
        <v>8.9189999999999998E-3</v>
      </c>
      <c r="C436">
        <v>9.0290000000000006E-3</v>
      </c>
      <c r="D436">
        <v>7.3610000000000004E-3</v>
      </c>
      <c r="E436">
        <v>8.1410000000000007E-3</v>
      </c>
      <c r="F436">
        <v>43596098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-6.4748201438848671E-2</v>
      </c>
      <c r="Q436">
        <f t="shared" si="975"/>
        <v>-2822768.9352517878</v>
      </c>
      <c r="R436">
        <f t="shared" si="976"/>
        <v>-1367081152.6964107</v>
      </c>
      <c r="S436">
        <f t="shared" si="977"/>
        <v>-13670.811526964106</v>
      </c>
      <c r="T436">
        <f t="shared" si="978"/>
        <v>-13.670811526964105</v>
      </c>
    </row>
    <row r="437" spans="1:20" x14ac:dyDescent="0.25">
      <c r="A437" s="5">
        <v>44156</v>
      </c>
      <c r="B437">
        <v>7.1260000000000004E-3</v>
      </c>
      <c r="C437">
        <v>9.8110000000000003E-3</v>
      </c>
      <c r="D437">
        <v>7.0520000000000001E-3</v>
      </c>
      <c r="E437">
        <v>8.9149999999999993E-3</v>
      </c>
      <c r="F437">
        <v>84477448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0.35048930772018783</v>
      </c>
      <c r="Q437">
        <f t="shared" si="975"/>
        <v>29608442.267488167</v>
      </c>
      <c r="R437">
        <f t="shared" si="976"/>
        <v>-1364258383.7611589</v>
      </c>
      <c r="S437">
        <f t="shared" si="977"/>
        <v>-13642.58383761159</v>
      </c>
      <c r="T437">
        <f t="shared" si="978"/>
        <v>-13.642583837611589</v>
      </c>
    </row>
    <row r="438" spans="1:20" x14ac:dyDescent="0.25">
      <c r="A438" s="5">
        <v>44155</v>
      </c>
      <c r="B438">
        <v>6.9839999999999998E-3</v>
      </c>
      <c r="C438">
        <v>7.4999999999999997E-3</v>
      </c>
      <c r="D438">
        <v>6.9820000000000004E-3</v>
      </c>
      <c r="E438">
        <v>7.2119999999999997E-3</v>
      </c>
      <c r="F438">
        <v>27499832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-0.11196911196911358</v>
      </c>
      <c r="Q438">
        <f t="shared" si="975"/>
        <v>-3079131.7683398128</v>
      </c>
      <c r="R438">
        <f t="shared" si="976"/>
        <v>-1393866826.0286472</v>
      </c>
      <c r="S438">
        <f t="shared" si="977"/>
        <v>-13938.668260286471</v>
      </c>
      <c r="T438">
        <f t="shared" si="978"/>
        <v>-13.938668260286471</v>
      </c>
    </row>
    <row r="439" spans="1:20" x14ac:dyDescent="0.25">
      <c r="A439" s="5">
        <v>44154</v>
      </c>
      <c r="B439">
        <v>7.2529999999999999E-3</v>
      </c>
      <c r="C439">
        <v>7.3000000000000001E-3</v>
      </c>
      <c r="D439">
        <v>6.613E-3</v>
      </c>
      <c r="E439">
        <v>6.9800000000000001E-3</v>
      </c>
      <c r="F439">
        <v>20086939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6.8413391557496595E-2</v>
      </c>
      <c r="Q439">
        <f t="shared" si="975"/>
        <v>1374215.6229985491</v>
      </c>
      <c r="R439">
        <f t="shared" si="976"/>
        <v>-1390787694.2603073</v>
      </c>
      <c r="S439">
        <f t="shared" si="977"/>
        <v>-13907.876942603074</v>
      </c>
      <c r="T439">
        <f t="shared" si="978"/>
        <v>-13.907876942603075</v>
      </c>
    </row>
    <row r="440" spans="1:20" x14ac:dyDescent="0.25">
      <c r="A440" s="5">
        <v>44153</v>
      </c>
      <c r="B440">
        <v>7.7749999999999998E-3</v>
      </c>
      <c r="C440">
        <v>7.7770000000000001E-3</v>
      </c>
      <c r="D440">
        <v>6.6150000000000002E-3</v>
      </c>
      <c r="E440">
        <v>7.2360000000000002E-3</v>
      </c>
      <c r="F440">
        <v>34667685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6.884681583476783E-2</v>
      </c>
      <c r="Q440">
        <f t="shared" si="975"/>
        <v>2386759.7246127431</v>
      </c>
      <c r="R440">
        <f t="shared" si="976"/>
        <v>-1392161909.8833058</v>
      </c>
      <c r="S440">
        <f t="shared" si="977"/>
        <v>-13921.619098833058</v>
      </c>
      <c r="T440">
        <f t="shared" si="978"/>
        <v>-13.921619098833059</v>
      </c>
    </row>
    <row r="441" spans="1:20" x14ac:dyDescent="0.25">
      <c r="A441" s="5">
        <v>44152</v>
      </c>
      <c r="B441">
        <v>7.7019999999999996E-3</v>
      </c>
      <c r="C441">
        <v>7.9459999999999999E-3</v>
      </c>
      <c r="D441">
        <v>7.6010000000000001E-3</v>
      </c>
      <c r="E441">
        <v>7.7749999999999998E-3</v>
      </c>
      <c r="F441">
        <v>16252783</v>
      </c>
      <c r="G441">
        <v>0</v>
      </c>
      <c r="L441" t="s">
        <v>7</v>
      </c>
      <c r="M441" t="s">
        <v>8</v>
      </c>
      <c r="N441" t="s">
        <v>8</v>
      </c>
      <c r="P441">
        <f t="shared" si="974"/>
        <v>8.6956521739116888E-3</v>
      </c>
      <c r="Q441">
        <f t="shared" si="975"/>
        <v>141328.54782606493</v>
      </c>
      <c r="R441">
        <f t="shared" si="976"/>
        <v>-1394548669.6079185</v>
      </c>
      <c r="S441">
        <f t="shared" si="977"/>
        <v>-13945.486696079184</v>
      </c>
      <c r="T441">
        <f t="shared" si="978"/>
        <v>-13.945486696079184</v>
      </c>
    </row>
    <row r="442" spans="1:20" x14ac:dyDescent="0.25">
      <c r="A442" s="5">
        <v>44151</v>
      </c>
      <c r="B442">
        <v>7.5389999999999997E-3</v>
      </c>
      <c r="C442">
        <v>8.3479999999999995E-3</v>
      </c>
      <c r="D442">
        <v>7.45E-3</v>
      </c>
      <c r="E442">
        <v>7.7039999999999999E-3</v>
      </c>
      <c r="F442">
        <v>21953907</v>
      </c>
      <c r="G442">
        <v>0</v>
      </c>
      <c r="L442" t="s">
        <v>8</v>
      </c>
      <c r="M442" t="s">
        <v>8</v>
      </c>
      <c r="N442" t="s">
        <v>8</v>
      </c>
      <c r="P442">
        <f t="shared" si="974"/>
        <v>-0.4342984409799554</v>
      </c>
      <c r="Q442">
        <f t="shared" si="975"/>
        <v>-9534547.5835189298</v>
      </c>
      <c r="R442">
        <f t="shared" si="976"/>
        <v>-1394689998.1557446</v>
      </c>
      <c r="S442">
        <f t="shared" si="977"/>
        <v>-13946.899981557446</v>
      </c>
      <c r="T442">
        <f t="shared" si="978"/>
        <v>-13.946899981557447</v>
      </c>
    </row>
    <row r="443" spans="1:20" x14ac:dyDescent="0.25">
      <c r="A443" s="5">
        <v>44150</v>
      </c>
      <c r="B443">
        <v>8.1700000000000002E-3</v>
      </c>
      <c r="C443">
        <v>8.3649999999999992E-3</v>
      </c>
      <c r="D443">
        <v>7.443E-3</v>
      </c>
      <c r="E443">
        <v>7.5779999999999997E-3</v>
      </c>
      <c r="F443">
        <v>14629253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-0.70715835140997874</v>
      </c>
      <c r="Q443">
        <f t="shared" si="975"/>
        <v>-10345198.433839485</v>
      </c>
      <c r="R443">
        <f t="shared" si="976"/>
        <v>-1385155450.5722256</v>
      </c>
      <c r="S443">
        <f t="shared" si="977"/>
        <v>-13851.554505722255</v>
      </c>
      <c r="T443">
        <f t="shared" si="978"/>
        <v>-13.851554505722255</v>
      </c>
    </row>
    <row r="444" spans="1:20" x14ac:dyDescent="0.25">
      <c r="A444" s="5">
        <v>44149</v>
      </c>
      <c r="B444">
        <v>7.9679999999999994E-3</v>
      </c>
      <c r="C444">
        <v>8.1989999999999997E-3</v>
      </c>
      <c r="D444">
        <v>7.6E-3</v>
      </c>
      <c r="E444">
        <v>8.1949999999999992E-3</v>
      </c>
      <c r="F444">
        <v>12755110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0.98664440734557413</v>
      </c>
      <c r="Q444">
        <f t="shared" si="975"/>
        <v>12584757.946577607</v>
      </c>
      <c r="R444">
        <f t="shared" si="976"/>
        <v>-1374810252.138386</v>
      </c>
      <c r="S444">
        <f t="shared" si="977"/>
        <v>-13748.10252138386</v>
      </c>
      <c r="T444">
        <f t="shared" si="978"/>
        <v>-13.74810252138386</v>
      </c>
    </row>
    <row r="445" spans="1:20" x14ac:dyDescent="0.25">
      <c r="A445" s="5">
        <v>44148</v>
      </c>
      <c r="B445">
        <v>7.5469999999999999E-3</v>
      </c>
      <c r="C445">
        <v>8.1440000000000002E-3</v>
      </c>
      <c r="D445">
        <v>7.4269999999999996E-3</v>
      </c>
      <c r="E445">
        <v>7.953E-3</v>
      </c>
      <c r="F445">
        <v>11343162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0.46722454672245456</v>
      </c>
      <c r="Q445">
        <f t="shared" si="975"/>
        <v>5299803.7238493711</v>
      </c>
      <c r="R445">
        <f t="shared" si="976"/>
        <v>-1387395010.0849636</v>
      </c>
      <c r="S445">
        <f t="shared" si="977"/>
        <v>-13873.950100849635</v>
      </c>
      <c r="T445">
        <f t="shared" si="978"/>
        <v>-13.873950100849635</v>
      </c>
    </row>
    <row r="446" spans="1:20" x14ac:dyDescent="0.25">
      <c r="A446" s="5">
        <v>44147</v>
      </c>
      <c r="B446">
        <v>7.8619999999999992E-3</v>
      </c>
      <c r="C446">
        <v>8.3960000000000007E-3</v>
      </c>
      <c r="D446">
        <v>7.4999999999999997E-3</v>
      </c>
      <c r="E446">
        <v>7.4999999999999997E-3</v>
      </c>
      <c r="F446">
        <v>20648412</v>
      </c>
      <c r="G446">
        <v>0</v>
      </c>
      <c r="L446" t="s">
        <v>7</v>
      </c>
      <c r="M446" t="s">
        <v>8</v>
      </c>
      <c r="N446" t="s">
        <v>8</v>
      </c>
      <c r="P446">
        <f t="shared" si="974"/>
        <v>-1</v>
      </c>
      <c r="Q446">
        <f t="shared" si="975"/>
        <v>-20648412</v>
      </c>
      <c r="R446">
        <f t="shared" si="976"/>
        <v>-1392694813.8088129</v>
      </c>
      <c r="S446">
        <f t="shared" si="977"/>
        <v>-13926.948138088128</v>
      </c>
      <c r="T446">
        <f t="shared" si="978"/>
        <v>-13.926948138088129</v>
      </c>
    </row>
    <row r="447" spans="1:20" x14ac:dyDescent="0.25">
      <c r="A447" s="5">
        <v>44146</v>
      </c>
      <c r="B447">
        <v>8.1630000000000001E-3</v>
      </c>
      <c r="C447">
        <v>8.3999999999999995E-3</v>
      </c>
      <c r="D447">
        <v>7.5420000000000001E-3</v>
      </c>
      <c r="E447">
        <v>7.8359999999999992E-3</v>
      </c>
      <c r="F447">
        <v>22306133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-0.31468531468531624</v>
      </c>
      <c r="Q447">
        <f t="shared" si="975"/>
        <v>-7019412.4825175172</v>
      </c>
      <c r="R447">
        <f t="shared" si="976"/>
        <v>-1372046401.8088129</v>
      </c>
      <c r="S447">
        <f t="shared" si="977"/>
        <v>-13720.464018088129</v>
      </c>
      <c r="T447">
        <f t="shared" si="978"/>
        <v>-13.720464018088128</v>
      </c>
    </row>
    <row r="448" spans="1:20" x14ac:dyDescent="0.25">
      <c r="A448" s="5">
        <v>44145</v>
      </c>
      <c r="B448">
        <v>7.417E-3</v>
      </c>
      <c r="C448">
        <v>8.1659999999999996E-3</v>
      </c>
      <c r="D448">
        <v>7.3870000000000003E-3</v>
      </c>
      <c r="E448">
        <v>8.1639999999999994E-3</v>
      </c>
      <c r="F448">
        <v>19120312</v>
      </c>
      <c r="G448">
        <v>0</v>
      </c>
      <c r="L448" t="s">
        <v>8</v>
      </c>
      <c r="M448" t="s">
        <v>7</v>
      </c>
      <c r="N448" t="s">
        <v>8</v>
      </c>
      <c r="P448">
        <f t="shared" si="974"/>
        <v>0.9948652118100122</v>
      </c>
      <c r="Q448">
        <f t="shared" si="975"/>
        <v>19022133.24775352</v>
      </c>
      <c r="R448">
        <f t="shared" si="976"/>
        <v>-1365026989.3262954</v>
      </c>
      <c r="S448">
        <f t="shared" si="977"/>
        <v>-13650.269893262954</v>
      </c>
      <c r="T448">
        <f t="shared" si="978"/>
        <v>-13.650269893262953</v>
      </c>
    </row>
    <row r="449" spans="1:20" x14ac:dyDescent="0.25">
      <c r="A449" s="5">
        <v>44144</v>
      </c>
      <c r="B449">
        <v>7.8050000000000003E-3</v>
      </c>
      <c r="C449">
        <v>7.9399999999999991E-3</v>
      </c>
      <c r="D449">
        <v>7.123E-3</v>
      </c>
      <c r="E449">
        <v>7.417E-3</v>
      </c>
      <c r="F449">
        <v>13335180</v>
      </c>
      <c r="G449">
        <v>0</v>
      </c>
      <c r="L449" t="s">
        <v>7</v>
      </c>
      <c r="M449" t="s">
        <v>7</v>
      </c>
      <c r="N449" t="s">
        <v>8</v>
      </c>
      <c r="P449">
        <f t="shared" si="974"/>
        <v>-0.28029375764993808</v>
      </c>
      <c r="Q449">
        <f t="shared" si="975"/>
        <v>-3737767.7111383011</v>
      </c>
      <c r="R449">
        <f t="shared" si="976"/>
        <v>-1384049122.574049</v>
      </c>
      <c r="S449">
        <f t="shared" si="977"/>
        <v>-13840.49122574049</v>
      </c>
      <c r="T449">
        <f t="shared" si="978"/>
        <v>-13.84049122574049</v>
      </c>
    </row>
    <row r="450" spans="1:20" x14ac:dyDescent="0.25">
      <c r="A450" s="5">
        <v>44143</v>
      </c>
      <c r="B450">
        <v>7.2020000000000001E-3</v>
      </c>
      <c r="C450">
        <v>7.9950000000000004E-3</v>
      </c>
      <c r="D450">
        <v>7.1640000000000002E-3</v>
      </c>
      <c r="E450">
        <v>7.8139999999999998E-3</v>
      </c>
      <c r="F450">
        <v>39181460</v>
      </c>
      <c r="G450">
        <v>0</v>
      </c>
      <c r="L450" t="s">
        <v>8</v>
      </c>
      <c r="M450" t="s">
        <v>7</v>
      </c>
      <c r="N450" t="s">
        <v>8</v>
      </c>
      <c r="P450">
        <f t="shared" si="974"/>
        <v>0.56438026474127423</v>
      </c>
      <c r="Q450">
        <f t="shared" si="975"/>
        <v>22113242.767749645</v>
      </c>
      <c r="R450">
        <f t="shared" si="976"/>
        <v>-1380311354.8629107</v>
      </c>
      <c r="S450">
        <f t="shared" si="977"/>
        <v>-13803.113548629108</v>
      </c>
      <c r="T450">
        <f t="shared" si="978"/>
        <v>-13.803113548629108</v>
      </c>
    </row>
    <row r="451" spans="1:20" x14ac:dyDescent="0.25">
      <c r="A451" s="5">
        <v>44142</v>
      </c>
      <c r="B451">
        <v>8.2539999999999992E-3</v>
      </c>
      <c r="C451">
        <v>8.8249999999999995E-3</v>
      </c>
      <c r="D451">
        <v>6.9480000000000002E-3</v>
      </c>
      <c r="E451">
        <v>7.2009999999999999E-3</v>
      </c>
      <c r="F451">
        <v>71681311</v>
      </c>
      <c r="G451">
        <v>0</v>
      </c>
      <c r="L451" t="s">
        <v>7</v>
      </c>
      <c r="M451" t="s">
        <v>7</v>
      </c>
      <c r="N451" t="s">
        <v>8</v>
      </c>
      <c r="P451">
        <f t="shared" si="974"/>
        <v>-0.7304208843899842</v>
      </c>
      <c r="Q451">
        <f t="shared" si="975"/>
        <v>-52357526.574853502</v>
      </c>
      <c r="R451">
        <f t="shared" si="976"/>
        <v>-1402424597.6306603</v>
      </c>
      <c r="S451">
        <f t="shared" si="977"/>
        <v>-14024.245976306604</v>
      </c>
      <c r="T451">
        <f t="shared" si="978"/>
        <v>-14.024245976306604</v>
      </c>
    </row>
    <row r="452" spans="1:20" x14ac:dyDescent="0.25">
      <c r="A452" s="5">
        <v>44141</v>
      </c>
      <c r="B452">
        <v>6.0699999999999999E-3</v>
      </c>
      <c r="C452">
        <v>9.1990000000000006E-3</v>
      </c>
      <c r="D452">
        <v>6.0179999999999999E-3</v>
      </c>
      <c r="E452">
        <v>8.2579999999999997E-3</v>
      </c>
      <c r="F452">
        <v>153153511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0.40836215026721118</v>
      </c>
      <c r="Q452">
        <f t="shared" si="975"/>
        <v>62542097.072932981</v>
      </c>
      <c r="R452">
        <f t="shared" si="976"/>
        <v>-1350067071.0558069</v>
      </c>
      <c r="S452">
        <f t="shared" si="977"/>
        <v>-13500.670710558068</v>
      </c>
      <c r="T452">
        <f t="shared" si="978"/>
        <v>-13.500670710558069</v>
      </c>
    </row>
    <row r="453" spans="1:20" x14ac:dyDescent="0.25">
      <c r="A453" s="5">
        <v>44140</v>
      </c>
      <c r="B453">
        <v>5.653E-3</v>
      </c>
      <c r="C453">
        <v>6.3990000000000002E-3</v>
      </c>
      <c r="D453">
        <v>5.4749999999999998E-3</v>
      </c>
      <c r="E453">
        <v>6.0679999999999996E-3</v>
      </c>
      <c r="F453">
        <v>16978751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0.28354978354978261</v>
      </c>
      <c r="Q453">
        <f t="shared" si="975"/>
        <v>4814321.1709956555</v>
      </c>
      <c r="R453">
        <f t="shared" si="976"/>
        <v>-1412609168.1287398</v>
      </c>
      <c r="S453">
        <f t="shared" si="977"/>
        <v>-14126.091681287398</v>
      </c>
      <c r="T453">
        <f t="shared" si="978"/>
        <v>-14.126091681287399</v>
      </c>
    </row>
    <row r="454" spans="1:20" x14ac:dyDescent="0.25">
      <c r="A454" s="5">
        <v>44139</v>
      </c>
      <c r="B454">
        <v>5.5880000000000001E-3</v>
      </c>
      <c r="C454">
        <v>5.7980000000000002E-3</v>
      </c>
      <c r="D454">
        <v>5.2810000000000001E-3</v>
      </c>
      <c r="E454">
        <v>5.6140000000000001E-3</v>
      </c>
      <c r="F454">
        <v>10418838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0.28820116054158568</v>
      </c>
      <c r="Q454">
        <f t="shared" ref="Q454:Q517" si="980">F454*P454</f>
        <v>3002721.2030947735</v>
      </c>
      <c r="R454">
        <f t="shared" ref="R454:R517" si="981">R455+Q454</f>
        <v>-1417423489.2997355</v>
      </c>
      <c r="S454">
        <f t="shared" ref="S454:S517" si="982">R454/100000</f>
        <v>-14174.234892997356</v>
      </c>
      <c r="T454">
        <f t="shared" ref="T454:T517" si="983">S454/1000</f>
        <v>-14.174234892997356</v>
      </c>
    </row>
    <row r="455" spans="1:20" x14ac:dyDescent="0.25">
      <c r="A455" s="5">
        <v>44138</v>
      </c>
      <c r="B455">
        <v>6.13E-3</v>
      </c>
      <c r="C455">
        <v>6.1380000000000002E-3</v>
      </c>
      <c r="D455">
        <v>5.5050000000000003E-3</v>
      </c>
      <c r="E455">
        <v>5.5960000000000003E-3</v>
      </c>
      <c r="F455">
        <v>12035809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-0.71248025276461313</v>
      </c>
      <c r="Q455">
        <f t="shared" si="980"/>
        <v>-8575276.2385466062</v>
      </c>
      <c r="R455">
        <f t="shared" si="981"/>
        <v>-1420426210.5028303</v>
      </c>
      <c r="S455">
        <f t="shared" si="982"/>
        <v>-14204.262105028303</v>
      </c>
      <c r="T455">
        <f t="shared" si="983"/>
        <v>-14.204262105028302</v>
      </c>
    </row>
    <row r="456" spans="1:20" x14ac:dyDescent="0.25">
      <c r="A456" s="5">
        <v>44137</v>
      </c>
      <c r="B456">
        <v>6.5199999999999998E-3</v>
      </c>
      <c r="C456">
        <v>6.6429999999999996E-3</v>
      </c>
      <c r="D456">
        <v>6.0679999999999996E-3</v>
      </c>
      <c r="E456">
        <v>6.1500000000000001E-3</v>
      </c>
      <c r="F456">
        <v>23138881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-0.71478260869565047</v>
      </c>
      <c r="Q456">
        <f t="shared" si="980"/>
        <v>-16539269.723478222</v>
      </c>
      <c r="R456">
        <f t="shared" si="981"/>
        <v>-1411850934.2642837</v>
      </c>
      <c r="S456">
        <f t="shared" si="982"/>
        <v>-14118.509342642836</v>
      </c>
      <c r="T456">
        <f t="shared" si="983"/>
        <v>-14.118509342642836</v>
      </c>
    </row>
    <row r="457" spans="1:20" x14ac:dyDescent="0.25">
      <c r="A457" s="5">
        <v>44136</v>
      </c>
      <c r="B457">
        <v>6.6369999999999997E-3</v>
      </c>
      <c r="C457">
        <v>6.7980000000000002E-3</v>
      </c>
      <c r="D457">
        <v>6.4359999999999999E-3</v>
      </c>
      <c r="E457">
        <v>6.5259999999999997E-3</v>
      </c>
      <c r="F457">
        <v>5598280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-0.50276243093922812</v>
      </c>
      <c r="Q457">
        <f t="shared" si="980"/>
        <v>-2814604.8618784621</v>
      </c>
      <c r="R457">
        <f t="shared" si="981"/>
        <v>-1395311664.5408053</v>
      </c>
      <c r="S457">
        <f t="shared" si="982"/>
        <v>-13953.116645408054</v>
      </c>
      <c r="T457">
        <f t="shared" si="983"/>
        <v>-13.953116645408054</v>
      </c>
    </row>
    <row r="458" spans="1:20" x14ac:dyDescent="0.25">
      <c r="A458" s="5">
        <v>44135</v>
      </c>
      <c r="B458">
        <v>6.3290000000000004E-3</v>
      </c>
      <c r="C458">
        <v>6.6559999999999996E-3</v>
      </c>
      <c r="D458">
        <v>6.2599999999999999E-3</v>
      </c>
      <c r="E458">
        <v>6.6369999999999997E-3</v>
      </c>
      <c r="F458">
        <v>7700347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0.90404040404040431</v>
      </c>
      <c r="Q458">
        <f t="shared" si="980"/>
        <v>6961424.8131313156</v>
      </c>
      <c r="R458">
        <f t="shared" si="981"/>
        <v>-1392497059.6789269</v>
      </c>
      <c r="S458">
        <f t="shared" si="982"/>
        <v>-13924.97059678927</v>
      </c>
      <c r="T458">
        <f t="shared" si="983"/>
        <v>-13.924970596789269</v>
      </c>
    </row>
    <row r="459" spans="1:20" x14ac:dyDescent="0.25">
      <c r="A459" s="5">
        <v>44134</v>
      </c>
      <c r="B459">
        <v>6.7130000000000002E-3</v>
      </c>
      <c r="C459">
        <v>6.7380000000000001E-3</v>
      </c>
      <c r="D459">
        <v>6.0000000000000001E-3</v>
      </c>
      <c r="E459">
        <v>6.3850000000000001E-3</v>
      </c>
      <c r="F459">
        <v>12618496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4.3360433604335925E-2</v>
      </c>
      <c r="Q459">
        <f t="shared" si="980"/>
        <v>547143.45799457841</v>
      </c>
      <c r="R459">
        <f t="shared" si="981"/>
        <v>-1399458484.4920583</v>
      </c>
      <c r="S459">
        <f t="shared" si="982"/>
        <v>-13994.584844920582</v>
      </c>
      <c r="T459">
        <f t="shared" si="983"/>
        <v>-13.994584844920583</v>
      </c>
    </row>
    <row r="460" spans="1:20" x14ac:dyDescent="0.25">
      <c r="A460" s="5">
        <v>44133</v>
      </c>
      <c r="B460">
        <v>6.7070000000000003E-3</v>
      </c>
      <c r="C460">
        <v>7.0489999999999997E-3</v>
      </c>
      <c r="D460">
        <v>6.5880000000000001E-3</v>
      </c>
      <c r="E460">
        <v>6.7260000000000002E-3</v>
      </c>
      <c r="F460">
        <v>11798560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-0.40130151843817691</v>
      </c>
      <c r="Q460">
        <f t="shared" si="980"/>
        <v>-4734780.0433839364</v>
      </c>
      <c r="R460">
        <f t="shared" si="981"/>
        <v>-1400005627.9500527</v>
      </c>
      <c r="S460">
        <f t="shared" si="982"/>
        <v>-14000.056279500528</v>
      </c>
      <c r="T460">
        <f t="shared" si="983"/>
        <v>-14.000056279500528</v>
      </c>
    </row>
    <row r="461" spans="1:20" x14ac:dyDescent="0.25">
      <c r="A461" s="5">
        <v>44132</v>
      </c>
      <c r="B461">
        <v>7.4060000000000003E-3</v>
      </c>
      <c r="C461">
        <v>7.5360000000000002E-3</v>
      </c>
      <c r="D461">
        <v>6.5760000000000002E-3</v>
      </c>
      <c r="E461">
        <v>6.6810000000000003E-3</v>
      </c>
      <c r="F461">
        <v>17763214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-0.78124999999999989</v>
      </c>
      <c r="Q461">
        <f t="shared" si="980"/>
        <v>-13877510.937499998</v>
      </c>
      <c r="R461">
        <f t="shared" si="981"/>
        <v>-1395270847.9066689</v>
      </c>
      <c r="S461">
        <f t="shared" si="982"/>
        <v>-13952.708479066689</v>
      </c>
      <c r="T461">
        <f t="shared" si="983"/>
        <v>-13.952708479066688</v>
      </c>
    </row>
    <row r="462" spans="1:20" x14ac:dyDescent="0.25">
      <c r="A462" s="5">
        <v>44131</v>
      </c>
      <c r="B462">
        <v>7.1630000000000001E-3</v>
      </c>
      <c r="C462">
        <v>8.1899999999999994E-3</v>
      </c>
      <c r="D462">
        <v>7.1329999999999996E-3</v>
      </c>
      <c r="E462">
        <v>7.3699999999999998E-3</v>
      </c>
      <c r="F462">
        <v>20791602</v>
      </c>
      <c r="G462">
        <v>0</v>
      </c>
      <c r="L462" t="s">
        <v>8</v>
      </c>
      <c r="M462" t="s">
        <v>8</v>
      </c>
      <c r="N462" t="s">
        <v>7</v>
      </c>
      <c r="P462">
        <f t="shared" si="979"/>
        <v>-0.55156102175969668</v>
      </c>
      <c r="Q462">
        <f t="shared" si="980"/>
        <v>-11467837.243140953</v>
      </c>
      <c r="R462">
        <f t="shared" si="981"/>
        <v>-1381393336.9691689</v>
      </c>
      <c r="S462">
        <f t="shared" si="982"/>
        <v>-13813.933369691689</v>
      </c>
      <c r="T462">
        <f t="shared" si="983"/>
        <v>-13.813933369691689</v>
      </c>
    </row>
    <row r="463" spans="1:20" x14ac:dyDescent="0.25">
      <c r="A463" s="5">
        <v>44130</v>
      </c>
      <c r="B463">
        <v>7.3109999999999998E-3</v>
      </c>
      <c r="C463">
        <v>7.4130000000000003E-3</v>
      </c>
      <c r="D463">
        <v>6.77E-3</v>
      </c>
      <c r="E463">
        <v>7.1739999999999998E-3</v>
      </c>
      <c r="F463">
        <v>14709991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0.25660964230170957</v>
      </c>
      <c r="Q463">
        <f t="shared" si="980"/>
        <v>3774725.5287713669</v>
      </c>
      <c r="R463">
        <f t="shared" si="981"/>
        <v>-1369925499.726028</v>
      </c>
      <c r="S463">
        <f t="shared" si="982"/>
        <v>-13699.254997260279</v>
      </c>
      <c r="T463">
        <f t="shared" si="983"/>
        <v>-13.69925499726028</v>
      </c>
    </row>
    <row r="464" spans="1:20" x14ac:dyDescent="0.25">
      <c r="A464" s="5">
        <v>44129</v>
      </c>
      <c r="B464">
        <v>7.6769999999999998E-3</v>
      </c>
      <c r="C464">
        <v>7.6779999999999999E-3</v>
      </c>
      <c r="D464">
        <v>7.2960000000000004E-3</v>
      </c>
      <c r="E464">
        <v>7.3080000000000003E-3</v>
      </c>
      <c r="F464">
        <v>12157889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-0.93717277486911066</v>
      </c>
      <c r="Q464">
        <f t="shared" si="980"/>
        <v>-11394042.570680637</v>
      </c>
      <c r="R464">
        <f t="shared" si="981"/>
        <v>-1373700225.2547994</v>
      </c>
      <c r="S464">
        <f t="shared" si="982"/>
        <v>-13737.002252547994</v>
      </c>
      <c r="T464">
        <f t="shared" si="983"/>
        <v>-13.737002252547994</v>
      </c>
    </row>
    <row r="465" spans="1:20" x14ac:dyDescent="0.25">
      <c r="A465" s="5">
        <v>44128</v>
      </c>
      <c r="B465">
        <v>7.8480000000000008E-3</v>
      </c>
      <c r="C465">
        <v>7.9389999999999999E-3</v>
      </c>
      <c r="D465">
        <v>7.4390000000000003E-3</v>
      </c>
      <c r="E465">
        <v>7.685E-3</v>
      </c>
      <c r="F465">
        <v>23372609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-1.6000000000000403E-2</v>
      </c>
      <c r="Q465">
        <f t="shared" si="980"/>
        <v>-373961.74400000944</v>
      </c>
      <c r="R465">
        <f t="shared" si="981"/>
        <v>-1362306182.6841187</v>
      </c>
      <c r="S465">
        <f t="shared" si="982"/>
        <v>-13623.061826841187</v>
      </c>
      <c r="T465">
        <f t="shared" si="983"/>
        <v>-13.623061826841187</v>
      </c>
    </row>
    <row r="466" spans="1:20" x14ac:dyDescent="0.25">
      <c r="A466" s="5">
        <v>44127</v>
      </c>
      <c r="B466">
        <v>7.0349999999999996E-3</v>
      </c>
      <c r="C466">
        <v>8.5089999999999992E-3</v>
      </c>
      <c r="D466">
        <v>7.0330000000000002E-3</v>
      </c>
      <c r="E466">
        <v>7.8410000000000007E-3</v>
      </c>
      <c r="F466">
        <v>88562216</v>
      </c>
      <c r="G466">
        <v>0</v>
      </c>
      <c r="L466" t="s">
        <v>8</v>
      </c>
      <c r="M466" t="s">
        <v>8</v>
      </c>
      <c r="N466" t="s">
        <v>7</v>
      </c>
      <c r="P466">
        <f t="shared" si="979"/>
        <v>9.4850948509486582E-2</v>
      </c>
      <c r="Q466">
        <f t="shared" si="980"/>
        <v>8400210.1897020284</v>
      </c>
      <c r="R466">
        <f t="shared" si="981"/>
        <v>-1361932220.9401188</v>
      </c>
      <c r="S466">
        <f t="shared" si="982"/>
        <v>-13619.322209401187</v>
      </c>
      <c r="T466">
        <f t="shared" si="983"/>
        <v>-13.619322209401187</v>
      </c>
    </row>
    <row r="467" spans="1:20" x14ac:dyDescent="0.25">
      <c r="A467" s="5">
        <v>44126</v>
      </c>
      <c r="B467">
        <v>6.7380000000000001E-3</v>
      </c>
      <c r="C467">
        <v>7.2740000000000001E-3</v>
      </c>
      <c r="D467">
        <v>6.679E-3</v>
      </c>
      <c r="E467">
        <v>7.0330000000000002E-3</v>
      </c>
      <c r="F467">
        <v>23600003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0.18991596638655503</v>
      </c>
      <c r="Q467">
        <f t="shared" si="980"/>
        <v>4482017.3764705975</v>
      </c>
      <c r="R467">
        <f t="shared" si="981"/>
        <v>-1370332431.1298208</v>
      </c>
      <c r="S467">
        <f t="shared" si="982"/>
        <v>-13703.324311298209</v>
      </c>
      <c r="T467">
        <f t="shared" si="983"/>
        <v>-13.703324311298209</v>
      </c>
    </row>
    <row r="468" spans="1:20" x14ac:dyDescent="0.25">
      <c r="A468" s="5">
        <v>44125</v>
      </c>
      <c r="B468">
        <v>6.6119999999999998E-3</v>
      </c>
      <c r="C468">
        <v>7.0219999999999996E-3</v>
      </c>
      <c r="D468">
        <v>6.5500000000000003E-3</v>
      </c>
      <c r="E468">
        <v>6.7330000000000003E-3</v>
      </c>
      <c r="F468">
        <v>13967858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-0.22457627118643955</v>
      </c>
      <c r="Q468">
        <f t="shared" si="980"/>
        <v>-3136849.466101679</v>
      </c>
      <c r="R468">
        <f t="shared" si="981"/>
        <v>-1374814448.5062914</v>
      </c>
      <c r="S468">
        <f t="shared" si="982"/>
        <v>-13748.144485062914</v>
      </c>
      <c r="T468">
        <f t="shared" si="983"/>
        <v>-13.748144485062914</v>
      </c>
    </row>
    <row r="469" spans="1:20" x14ac:dyDescent="0.25">
      <c r="A469" s="5">
        <v>44124</v>
      </c>
      <c r="B469">
        <v>7.2719999999999998E-3</v>
      </c>
      <c r="C469">
        <v>7.3229999999999996E-3</v>
      </c>
      <c r="D469">
        <v>6.548E-3</v>
      </c>
      <c r="E469">
        <v>6.5890000000000002E-3</v>
      </c>
      <c r="F469">
        <v>19345761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-0.89419354838709608</v>
      </c>
      <c r="Q469">
        <f t="shared" si="980"/>
        <v>-17298854.674838696</v>
      </c>
      <c r="R469">
        <f t="shared" si="981"/>
        <v>-1371677599.0401897</v>
      </c>
      <c r="S469">
        <f t="shared" si="982"/>
        <v>-13716.775990401897</v>
      </c>
      <c r="T469">
        <f t="shared" si="983"/>
        <v>-13.716775990401898</v>
      </c>
    </row>
    <row r="470" spans="1:20" x14ac:dyDescent="0.25">
      <c r="A470" s="5">
        <v>44123</v>
      </c>
      <c r="B470">
        <v>7.2950000000000003E-3</v>
      </c>
      <c r="C470">
        <v>7.5059999999999997E-3</v>
      </c>
      <c r="D470">
        <v>7.0740000000000004E-3</v>
      </c>
      <c r="E470">
        <v>7.2160000000000002E-3</v>
      </c>
      <c r="F470">
        <v>7222973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-0.3425925925925925</v>
      </c>
      <c r="Q470">
        <f t="shared" si="980"/>
        <v>-2474537.0462962957</v>
      </c>
      <c r="R470">
        <f t="shared" si="981"/>
        <v>-1354378744.365351</v>
      </c>
      <c r="S470">
        <f t="shared" si="982"/>
        <v>-13543.787443653509</v>
      </c>
      <c r="T470">
        <f t="shared" si="983"/>
        <v>-13.543787443653509</v>
      </c>
    </row>
    <row r="471" spans="1:20" x14ac:dyDescent="0.25">
      <c r="A471" s="5">
        <v>44122</v>
      </c>
      <c r="B471">
        <v>7.2160000000000002E-3</v>
      </c>
      <c r="C471">
        <v>7.4349999999999998E-3</v>
      </c>
      <c r="D471">
        <v>7.2090000000000001E-3</v>
      </c>
      <c r="E471">
        <v>7.2500000000000004E-3</v>
      </c>
      <c r="F471">
        <v>4004760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-0.63716814159291768</v>
      </c>
      <c r="Q471">
        <f t="shared" si="980"/>
        <v>-2551705.4867256531</v>
      </c>
      <c r="R471">
        <f t="shared" si="981"/>
        <v>-1351904207.3190546</v>
      </c>
      <c r="S471">
        <f t="shared" si="982"/>
        <v>-13519.042073190547</v>
      </c>
      <c r="T471">
        <f t="shared" si="983"/>
        <v>-13.519042073190548</v>
      </c>
    </row>
    <row r="472" spans="1:20" x14ac:dyDescent="0.25">
      <c r="A472" s="5">
        <v>44121</v>
      </c>
      <c r="B472">
        <v>6.9439999999999997E-3</v>
      </c>
      <c r="C472">
        <v>7.7770000000000001E-3</v>
      </c>
      <c r="D472">
        <v>6.8700000000000002E-3</v>
      </c>
      <c r="E472">
        <v>7.2300000000000003E-3</v>
      </c>
      <c r="F472">
        <v>20396034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-0.20617420066152117</v>
      </c>
      <c r="Q472">
        <f t="shared" si="980"/>
        <v>-4205136.0066152085</v>
      </c>
      <c r="R472">
        <f t="shared" si="981"/>
        <v>-1349352501.832329</v>
      </c>
      <c r="S472">
        <f t="shared" si="982"/>
        <v>-13493.525018323291</v>
      </c>
      <c r="T472">
        <f t="shared" si="983"/>
        <v>-13.493525018323291</v>
      </c>
    </row>
    <row r="473" spans="1:20" x14ac:dyDescent="0.25">
      <c r="A473" s="5">
        <v>44120</v>
      </c>
      <c r="B473">
        <v>7.273E-3</v>
      </c>
      <c r="C473">
        <v>7.378E-3</v>
      </c>
      <c r="D473">
        <v>6.8199999999999997E-3</v>
      </c>
      <c r="E473">
        <v>6.9480000000000002E-3</v>
      </c>
      <c r="F473">
        <v>8681274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-0.54121863799282999</v>
      </c>
      <c r="Q473">
        <f t="shared" si="980"/>
        <v>-4698467.2903225673</v>
      </c>
      <c r="R473">
        <f t="shared" si="981"/>
        <v>-1345147365.8257139</v>
      </c>
      <c r="S473">
        <f t="shared" si="982"/>
        <v>-13451.473658257139</v>
      </c>
      <c r="T473">
        <f t="shared" si="983"/>
        <v>-13.451473658257139</v>
      </c>
    </row>
    <row r="474" spans="1:20" x14ac:dyDescent="0.25">
      <c r="A474" s="5">
        <v>44119</v>
      </c>
      <c r="B474">
        <v>7.5300000000000002E-3</v>
      </c>
      <c r="C474">
        <v>7.5640000000000004E-3</v>
      </c>
      <c r="D474">
        <v>7.2100000000000003E-3</v>
      </c>
      <c r="E474">
        <v>7.2719999999999998E-3</v>
      </c>
      <c r="F474">
        <v>5564980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-0.64971751412429646</v>
      </c>
      <c r="Q474">
        <f t="shared" si="980"/>
        <v>-3615664.9717514273</v>
      </c>
      <c r="R474">
        <f t="shared" si="981"/>
        <v>-1340448898.5353913</v>
      </c>
      <c r="S474">
        <f t="shared" si="982"/>
        <v>-13404.488985353913</v>
      </c>
      <c r="T474">
        <f t="shared" si="983"/>
        <v>-13.404488985353913</v>
      </c>
    </row>
    <row r="475" spans="1:20" x14ac:dyDescent="0.25">
      <c r="A475" s="5">
        <v>44118</v>
      </c>
      <c r="B475">
        <v>7.8200000000000006E-3</v>
      </c>
      <c r="C475">
        <v>7.9229999999999995E-3</v>
      </c>
      <c r="D475">
        <v>7.3920000000000001E-3</v>
      </c>
      <c r="E475">
        <v>7.4879999999999999E-3</v>
      </c>
      <c r="F475">
        <v>14443466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-0.63841807909604575</v>
      </c>
      <c r="Q475">
        <f t="shared" si="980"/>
        <v>-9220969.8192090467</v>
      </c>
      <c r="R475">
        <f t="shared" si="981"/>
        <v>-1336833233.5636399</v>
      </c>
      <c r="S475">
        <f t="shared" si="982"/>
        <v>-13368.332335636398</v>
      </c>
      <c r="T475">
        <f t="shared" si="983"/>
        <v>-13.368332335636397</v>
      </c>
    </row>
    <row r="476" spans="1:20" x14ac:dyDescent="0.25">
      <c r="A476" s="5">
        <v>44117</v>
      </c>
      <c r="B476">
        <v>7.7860000000000004E-3</v>
      </c>
      <c r="C476">
        <v>8.1049999999999994E-3</v>
      </c>
      <c r="D476">
        <v>7.6949999999999996E-3</v>
      </c>
      <c r="E476">
        <v>7.8200000000000006E-3</v>
      </c>
      <c r="F476">
        <v>13173024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-0.3902439024390193</v>
      </c>
      <c r="Q476">
        <f t="shared" si="980"/>
        <v>-5140692.29268286</v>
      </c>
      <c r="R476">
        <f t="shared" si="981"/>
        <v>-1327612263.7444308</v>
      </c>
      <c r="S476">
        <f t="shared" si="982"/>
        <v>-13276.122637444309</v>
      </c>
      <c r="T476">
        <f t="shared" si="983"/>
        <v>-13.276122637444308</v>
      </c>
    </row>
    <row r="477" spans="1:20" x14ac:dyDescent="0.25">
      <c r="A477" s="5">
        <v>44116</v>
      </c>
      <c r="B477">
        <v>8.0549999999999997E-3</v>
      </c>
      <c r="C477">
        <v>8.116E-3</v>
      </c>
      <c r="D477">
        <v>7.6369999999999997E-3</v>
      </c>
      <c r="E477">
        <v>7.7840000000000001E-3</v>
      </c>
      <c r="F477">
        <v>22592329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-0.38622129436325531</v>
      </c>
      <c r="Q477">
        <f t="shared" si="980"/>
        <v>-8725638.5490605086</v>
      </c>
      <c r="R477">
        <f t="shared" si="981"/>
        <v>-1322471571.4517479</v>
      </c>
      <c r="S477">
        <f t="shared" si="982"/>
        <v>-13224.715714517479</v>
      </c>
      <c r="T477">
        <f t="shared" si="983"/>
        <v>-13.22471571451748</v>
      </c>
    </row>
    <row r="478" spans="1:20" x14ac:dyDescent="0.25">
      <c r="A478" s="5">
        <v>44115</v>
      </c>
      <c r="B478">
        <v>7.8410000000000007E-3</v>
      </c>
      <c r="C478">
        <v>8.3260000000000001E-3</v>
      </c>
      <c r="D478">
        <v>7.7000000000000002E-3</v>
      </c>
      <c r="E478">
        <v>7.9979999999999999E-3</v>
      </c>
      <c r="F478">
        <v>23239146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-4.7923322683706901E-2</v>
      </c>
      <c r="Q478">
        <f t="shared" si="980"/>
        <v>-1113697.0926517765</v>
      </c>
      <c r="R478">
        <f t="shared" si="981"/>
        <v>-1313745932.9026873</v>
      </c>
      <c r="S478">
        <f t="shared" si="982"/>
        <v>-13137.459329026873</v>
      </c>
      <c r="T478">
        <f t="shared" si="983"/>
        <v>-13.137459329026873</v>
      </c>
    </row>
    <row r="479" spans="1:20" x14ac:dyDescent="0.25">
      <c r="A479" s="5">
        <v>44114</v>
      </c>
      <c r="B479">
        <v>8.071E-3</v>
      </c>
      <c r="C479">
        <v>8.2950000000000003E-3</v>
      </c>
      <c r="D479">
        <v>7.6420000000000004E-3</v>
      </c>
      <c r="E479">
        <v>7.8440000000000003E-3</v>
      </c>
      <c r="F479">
        <v>24723988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-0.38131699846860662</v>
      </c>
      <c r="Q479">
        <f t="shared" si="980"/>
        <v>-9427676.8943338487</v>
      </c>
      <c r="R479">
        <f t="shared" si="981"/>
        <v>-1312632235.8100355</v>
      </c>
      <c r="S479">
        <f t="shared" si="982"/>
        <v>-13126.322358100355</v>
      </c>
      <c r="T479">
        <f t="shared" si="983"/>
        <v>-13.126322358100355</v>
      </c>
    </row>
    <row r="480" spans="1:20" x14ac:dyDescent="0.25">
      <c r="A480" s="5">
        <v>44113</v>
      </c>
      <c r="B480">
        <v>7.352E-3</v>
      </c>
      <c r="C480">
        <v>8.2349999999999993E-3</v>
      </c>
      <c r="D480">
        <v>7.2500000000000004E-3</v>
      </c>
      <c r="E480">
        <v>8.0700000000000008E-3</v>
      </c>
      <c r="F480">
        <v>21710448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0.66497461928934276</v>
      </c>
      <c r="Q480">
        <f t="shared" si="980"/>
        <v>14436896.893401073</v>
      </c>
      <c r="R480">
        <f t="shared" si="981"/>
        <v>-1303204558.9157016</v>
      </c>
      <c r="S480">
        <f t="shared" si="982"/>
        <v>-13032.045589157016</v>
      </c>
      <c r="T480">
        <f t="shared" si="983"/>
        <v>-13.032045589157017</v>
      </c>
    </row>
    <row r="481" spans="1:20" x14ac:dyDescent="0.25">
      <c r="A481" s="5">
        <v>44112</v>
      </c>
      <c r="B481">
        <v>7.1599999999999997E-3</v>
      </c>
      <c r="C481">
        <v>7.3400000000000002E-3</v>
      </c>
      <c r="D481">
        <v>6.803E-3</v>
      </c>
      <c r="E481">
        <v>7.2979999999999998E-3</v>
      </c>
      <c r="F481">
        <v>12130935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0.84357541899441202</v>
      </c>
      <c r="Q481">
        <f t="shared" si="980"/>
        <v>10233358.575418977</v>
      </c>
      <c r="R481">
        <f t="shared" si="981"/>
        <v>-1317641455.8091028</v>
      </c>
      <c r="S481">
        <f t="shared" si="982"/>
        <v>-13176.414558091028</v>
      </c>
      <c r="T481">
        <f t="shared" si="983"/>
        <v>-13.176414558091029</v>
      </c>
    </row>
    <row r="482" spans="1:20" x14ac:dyDescent="0.25">
      <c r="A482" s="5">
        <v>44111</v>
      </c>
      <c r="B482">
        <v>6.7809999999999997E-3</v>
      </c>
      <c r="C482">
        <v>7.1609999999999998E-3</v>
      </c>
      <c r="D482">
        <v>6.6709999999999998E-3</v>
      </c>
      <c r="E482">
        <v>7.1609999999999998E-3</v>
      </c>
      <c r="F482">
        <v>18341341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1</v>
      </c>
      <c r="Q482">
        <f t="shared" si="980"/>
        <v>18341341</v>
      </c>
      <c r="R482">
        <f t="shared" si="981"/>
        <v>-1327874814.3845217</v>
      </c>
      <c r="S482">
        <f t="shared" si="982"/>
        <v>-13278.748143845218</v>
      </c>
      <c r="T482">
        <f t="shared" si="983"/>
        <v>-13.278748143845219</v>
      </c>
    </row>
    <row r="483" spans="1:20" x14ac:dyDescent="0.25">
      <c r="A483" s="5">
        <v>44110</v>
      </c>
      <c r="B483">
        <v>8.0649999999999993E-3</v>
      </c>
      <c r="C483">
        <v>8.0649999999999993E-3</v>
      </c>
      <c r="D483">
        <v>6.7099999999999998E-3</v>
      </c>
      <c r="E483">
        <v>6.7660000000000003E-3</v>
      </c>
      <c r="F483">
        <v>42637871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-0.91734317343173355</v>
      </c>
      <c r="Q483">
        <f t="shared" si="980"/>
        <v>-39113559.891512886</v>
      </c>
      <c r="R483">
        <f t="shared" si="981"/>
        <v>-1346216155.3845217</v>
      </c>
      <c r="S483">
        <f t="shared" si="982"/>
        <v>-13462.161553845217</v>
      </c>
      <c r="T483">
        <f t="shared" si="983"/>
        <v>-13.462161553845217</v>
      </c>
    </row>
    <row r="484" spans="1:20" x14ac:dyDescent="0.25">
      <c r="A484" s="5">
        <v>44109</v>
      </c>
      <c r="B484">
        <v>7.9100000000000004E-3</v>
      </c>
      <c r="C484">
        <v>8.1600000000000006E-3</v>
      </c>
      <c r="D484">
        <v>7.7000000000000002E-3</v>
      </c>
      <c r="E484">
        <v>8.0000000000000002E-3</v>
      </c>
      <c r="F484">
        <v>14041192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0.30434782608695521</v>
      </c>
      <c r="Q484">
        <f t="shared" si="980"/>
        <v>4273406.2608695468</v>
      </c>
      <c r="R484">
        <f t="shared" si="981"/>
        <v>-1307102595.4930089</v>
      </c>
      <c r="S484">
        <f t="shared" si="982"/>
        <v>-13071.025954930088</v>
      </c>
      <c r="T484">
        <f t="shared" si="983"/>
        <v>-13.071025954930088</v>
      </c>
    </row>
    <row r="485" spans="1:20" x14ac:dyDescent="0.25">
      <c r="A485" s="5">
        <v>44108</v>
      </c>
      <c r="B485">
        <v>7.9159999999999994E-3</v>
      </c>
      <c r="C485">
        <v>7.9900000000000006E-3</v>
      </c>
      <c r="D485">
        <v>7.757E-3</v>
      </c>
      <c r="E485">
        <v>7.9120000000000006E-3</v>
      </c>
      <c r="F485">
        <v>14647291</v>
      </c>
      <c r="G485">
        <v>0</v>
      </c>
      <c r="L485" t="s">
        <v>8</v>
      </c>
      <c r="M485" t="s">
        <v>7</v>
      </c>
      <c r="N485" t="s">
        <v>7</v>
      </c>
      <c r="P485">
        <f t="shared" si="979"/>
        <v>0.33047210300429397</v>
      </c>
      <c r="Q485">
        <f t="shared" si="980"/>
        <v>4840521.0600858685</v>
      </c>
      <c r="R485">
        <f t="shared" si="981"/>
        <v>-1311376001.7538784</v>
      </c>
      <c r="S485">
        <f t="shared" si="982"/>
        <v>-13113.760017538783</v>
      </c>
      <c r="T485">
        <f t="shared" si="983"/>
        <v>-13.113760017538784</v>
      </c>
    </row>
    <row r="486" spans="1:20" x14ac:dyDescent="0.25">
      <c r="A486" s="5">
        <v>44107</v>
      </c>
      <c r="B486">
        <v>8.1840000000000003E-3</v>
      </c>
      <c r="C486">
        <v>8.2179999999999996E-3</v>
      </c>
      <c r="D486">
        <v>7.8580000000000004E-3</v>
      </c>
      <c r="E486">
        <v>7.9869999999999993E-3</v>
      </c>
      <c r="F486">
        <v>32948890</v>
      </c>
      <c r="G486">
        <v>0</v>
      </c>
      <c r="L486" t="s">
        <v>8</v>
      </c>
      <c r="M486" t="s">
        <v>7</v>
      </c>
      <c r="N486" t="s">
        <v>7</v>
      </c>
      <c r="P486">
        <f t="shared" si="979"/>
        <v>-0.28333333333333782</v>
      </c>
      <c r="Q486">
        <f t="shared" si="980"/>
        <v>-9335518.8333334811</v>
      </c>
      <c r="R486">
        <f t="shared" si="981"/>
        <v>-1316216522.8139641</v>
      </c>
      <c r="S486">
        <f t="shared" si="982"/>
        <v>-13162.165228139642</v>
      </c>
      <c r="T486">
        <f t="shared" si="983"/>
        <v>-13.162165228139642</v>
      </c>
    </row>
    <row r="487" spans="1:20" x14ac:dyDescent="0.25">
      <c r="A487" s="5">
        <v>44106</v>
      </c>
      <c r="B487">
        <v>9.2610000000000001E-3</v>
      </c>
      <c r="C487">
        <v>9.5119999999999996E-3</v>
      </c>
      <c r="D487">
        <v>7.5199999999999998E-3</v>
      </c>
      <c r="E487">
        <v>8.1840000000000003E-3</v>
      </c>
      <c r="F487">
        <v>113776953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-0.33333333333333276</v>
      </c>
      <c r="Q487">
        <f t="shared" si="980"/>
        <v>-37925650.999999933</v>
      </c>
      <c r="R487">
        <f t="shared" si="981"/>
        <v>-1306881003.9806306</v>
      </c>
      <c r="S487">
        <f t="shared" si="982"/>
        <v>-13068.810039806307</v>
      </c>
      <c r="T487">
        <f t="shared" si="983"/>
        <v>-13.068810039806307</v>
      </c>
    </row>
    <row r="488" spans="1:20" x14ac:dyDescent="0.25">
      <c r="A488" s="5">
        <v>44105</v>
      </c>
      <c r="B488">
        <v>9.7850000000000003E-3</v>
      </c>
      <c r="C488">
        <v>1.0439E-2</v>
      </c>
      <c r="D488">
        <v>8.9999999999999993E-3</v>
      </c>
      <c r="E488">
        <v>9.3369999999999998E-3</v>
      </c>
      <c r="F488">
        <v>38918707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-0.53161917998610109</v>
      </c>
      <c r="Q488">
        <f t="shared" si="980"/>
        <v>-20689931.101459332</v>
      </c>
      <c r="R488">
        <f t="shared" si="981"/>
        <v>-1268955352.9806306</v>
      </c>
      <c r="S488">
        <f t="shared" si="982"/>
        <v>-12689.553529806306</v>
      </c>
      <c r="T488">
        <f t="shared" si="983"/>
        <v>-12.689553529806306</v>
      </c>
    </row>
    <row r="489" spans="1:20" x14ac:dyDescent="0.25">
      <c r="A489" s="5">
        <v>44104</v>
      </c>
      <c r="B489">
        <v>9.9760000000000005E-3</v>
      </c>
      <c r="C489">
        <v>1.0024999999999999E-2</v>
      </c>
      <c r="D489">
        <v>9.5759999999999994E-3</v>
      </c>
      <c r="E489">
        <v>9.7850000000000003E-3</v>
      </c>
      <c r="F489">
        <v>10442397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-6.9042316258347572E-2</v>
      </c>
      <c r="Q489">
        <f t="shared" si="980"/>
        <v>-720967.27616921987</v>
      </c>
      <c r="R489">
        <f t="shared" si="981"/>
        <v>-1248265421.8791714</v>
      </c>
      <c r="S489">
        <f t="shared" si="982"/>
        <v>-12482.654218791713</v>
      </c>
      <c r="T489">
        <f t="shared" si="983"/>
        <v>-12.482654218791714</v>
      </c>
    </row>
    <row r="490" spans="1:20" x14ac:dyDescent="0.25">
      <c r="A490" s="5">
        <v>44103</v>
      </c>
      <c r="B490">
        <v>9.8580000000000004E-3</v>
      </c>
      <c r="C490">
        <v>1.0158E-2</v>
      </c>
      <c r="D490">
        <v>9.7490000000000007E-3</v>
      </c>
      <c r="E490">
        <v>9.9799999999999993E-3</v>
      </c>
      <c r="F490">
        <v>15003614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0.1295843520782336</v>
      </c>
      <c r="Q490">
        <f t="shared" si="980"/>
        <v>1944233.5990219146</v>
      </c>
      <c r="R490">
        <f t="shared" si="981"/>
        <v>-1247544454.6030021</v>
      </c>
      <c r="S490">
        <f t="shared" si="982"/>
        <v>-12475.444546030021</v>
      </c>
      <c r="T490">
        <f t="shared" si="983"/>
        <v>-12.475444546030021</v>
      </c>
    </row>
    <row r="491" spans="1:20" x14ac:dyDescent="0.25">
      <c r="A491" s="5">
        <v>44102</v>
      </c>
      <c r="B491">
        <v>1.0201999999999999E-2</v>
      </c>
      <c r="C491">
        <v>1.0500000000000001E-2</v>
      </c>
      <c r="D491">
        <v>9.8580000000000004E-3</v>
      </c>
      <c r="E491">
        <v>9.8580000000000004E-3</v>
      </c>
      <c r="F491">
        <v>13624232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-1</v>
      </c>
      <c r="Q491">
        <f t="shared" si="980"/>
        <v>-13624232</v>
      </c>
      <c r="R491">
        <f t="shared" si="981"/>
        <v>-1249488688.202024</v>
      </c>
      <c r="S491">
        <f t="shared" si="982"/>
        <v>-12494.886882020241</v>
      </c>
      <c r="T491">
        <f t="shared" si="983"/>
        <v>-12.494886882020241</v>
      </c>
    </row>
    <row r="492" spans="1:20" x14ac:dyDescent="0.25">
      <c r="A492" s="5">
        <v>44101</v>
      </c>
      <c r="B492">
        <v>1.0605E-2</v>
      </c>
      <c r="C492">
        <v>1.0609E-2</v>
      </c>
      <c r="D492">
        <v>9.9399999999999992E-3</v>
      </c>
      <c r="E492">
        <v>1.0108000000000001E-2</v>
      </c>
      <c r="F492">
        <v>16341952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-0.49775784753362873</v>
      </c>
      <c r="Q492">
        <f t="shared" si="980"/>
        <v>-8134334.8520178795</v>
      </c>
      <c r="R492">
        <f t="shared" si="981"/>
        <v>-1235864456.202024</v>
      </c>
      <c r="S492">
        <f t="shared" si="982"/>
        <v>-12358.644562020239</v>
      </c>
      <c r="T492">
        <f t="shared" si="983"/>
        <v>-12.35864456202024</v>
      </c>
    </row>
    <row r="493" spans="1:20" x14ac:dyDescent="0.25">
      <c r="A493" s="5">
        <v>44100</v>
      </c>
      <c r="B493">
        <v>1.0803999999999999E-2</v>
      </c>
      <c r="C493">
        <v>1.0962E-2</v>
      </c>
      <c r="D493">
        <v>1.04E-2</v>
      </c>
      <c r="E493">
        <v>1.0531E-2</v>
      </c>
      <c r="F493">
        <v>12303107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-0.53380782918149139</v>
      </c>
      <c r="Q493">
        <f t="shared" si="980"/>
        <v>-6567494.8398576109</v>
      </c>
      <c r="R493">
        <f t="shared" si="981"/>
        <v>-1227730121.3500061</v>
      </c>
      <c r="S493">
        <f t="shared" si="982"/>
        <v>-12277.301213500061</v>
      </c>
      <c r="T493">
        <f t="shared" si="983"/>
        <v>-12.277301213500062</v>
      </c>
    </row>
    <row r="494" spans="1:20" x14ac:dyDescent="0.25">
      <c r="A494" s="5">
        <v>44099</v>
      </c>
      <c r="B494">
        <v>1.0718999999999999E-2</v>
      </c>
      <c r="C494">
        <v>1.0988E-2</v>
      </c>
      <c r="D494">
        <v>1.0132E-2</v>
      </c>
      <c r="E494">
        <v>1.0775E-2</v>
      </c>
      <c r="F494">
        <v>21936228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0.5023364485981312</v>
      </c>
      <c r="Q494">
        <f t="shared" si="980"/>
        <v>11019366.869158886</v>
      </c>
      <c r="R494">
        <f t="shared" si="981"/>
        <v>-1221162626.5101485</v>
      </c>
      <c r="S494">
        <f t="shared" si="982"/>
        <v>-12211.626265101486</v>
      </c>
      <c r="T494">
        <f t="shared" si="983"/>
        <v>-12.211626265101486</v>
      </c>
    </row>
    <row r="495" spans="1:20" x14ac:dyDescent="0.25">
      <c r="A495" s="5">
        <v>44098</v>
      </c>
      <c r="B495">
        <v>9.8200000000000006E-3</v>
      </c>
      <c r="C495">
        <v>1.0822E-2</v>
      </c>
      <c r="D495">
        <v>9.7409999999999997E-3</v>
      </c>
      <c r="E495">
        <v>1.0718E-2</v>
      </c>
      <c r="F495">
        <v>22597222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0.80758556891766897</v>
      </c>
      <c r="Q495">
        <f t="shared" si="980"/>
        <v>18249190.384828866</v>
      </c>
      <c r="R495">
        <f t="shared" si="981"/>
        <v>-1232181993.3793075</v>
      </c>
      <c r="S495">
        <f t="shared" si="982"/>
        <v>-12321.819933793075</v>
      </c>
      <c r="T495">
        <f t="shared" si="983"/>
        <v>-12.321819933793074</v>
      </c>
    </row>
    <row r="496" spans="1:20" x14ac:dyDescent="0.25">
      <c r="A496" s="5">
        <v>44097</v>
      </c>
      <c r="B496">
        <v>1.0023000000000001E-2</v>
      </c>
      <c r="C496">
        <v>1.1299999999999999E-2</v>
      </c>
      <c r="D496">
        <v>9.4999999999999998E-3</v>
      </c>
      <c r="E496">
        <v>9.8309999999999995E-3</v>
      </c>
      <c r="F496">
        <v>67856099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-0.63222222222222246</v>
      </c>
      <c r="Q496">
        <f t="shared" si="980"/>
        <v>-42900133.70111113</v>
      </c>
      <c r="R496">
        <f t="shared" si="981"/>
        <v>-1250431183.7641363</v>
      </c>
      <c r="S496">
        <f t="shared" si="982"/>
        <v>-12504.311837641364</v>
      </c>
      <c r="T496">
        <f t="shared" si="983"/>
        <v>-12.504311837641364</v>
      </c>
    </row>
    <row r="497" spans="1:20" x14ac:dyDescent="0.25">
      <c r="A497" s="5">
        <v>44096</v>
      </c>
      <c r="B497">
        <v>1.0037000000000001E-2</v>
      </c>
      <c r="C497">
        <v>1.0645E-2</v>
      </c>
      <c r="D497">
        <v>9.3360000000000005E-3</v>
      </c>
      <c r="E497">
        <v>1.0004000000000001E-2</v>
      </c>
      <c r="F497">
        <v>49802168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2.0626432391139034E-2</v>
      </c>
      <c r="Q497">
        <f t="shared" si="980"/>
        <v>1027241.0511841479</v>
      </c>
      <c r="R497">
        <f t="shared" si="981"/>
        <v>-1207531050.0630252</v>
      </c>
      <c r="S497">
        <f t="shared" si="982"/>
        <v>-12075.310500630252</v>
      </c>
      <c r="T497">
        <f t="shared" si="983"/>
        <v>-12.075310500630252</v>
      </c>
    </row>
    <row r="498" spans="1:20" x14ac:dyDescent="0.25">
      <c r="A498" s="5">
        <v>44095</v>
      </c>
      <c r="B498">
        <v>1.1638000000000001E-2</v>
      </c>
      <c r="C498">
        <v>1.2800000000000001E-2</v>
      </c>
      <c r="D498">
        <v>9.5820000000000002E-3</v>
      </c>
      <c r="E498">
        <v>1.0002E-2</v>
      </c>
      <c r="F498">
        <v>56716570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-0.73896830329397134</v>
      </c>
      <c r="Q498">
        <f t="shared" si="980"/>
        <v>-41911747.501553759</v>
      </c>
      <c r="R498">
        <f t="shared" si="981"/>
        <v>-1208558291.1142094</v>
      </c>
      <c r="S498">
        <f t="shared" si="982"/>
        <v>-12085.582911142094</v>
      </c>
      <c r="T498">
        <f t="shared" si="983"/>
        <v>-12.085582911142094</v>
      </c>
    </row>
    <row r="499" spans="1:20" x14ac:dyDescent="0.25">
      <c r="A499" s="5">
        <v>44094</v>
      </c>
      <c r="B499">
        <v>1.136E-2</v>
      </c>
      <c r="C499">
        <v>1.2699999999999999E-2</v>
      </c>
      <c r="D499">
        <v>1.0952999999999999E-2</v>
      </c>
      <c r="E499">
        <v>1.1573E-2</v>
      </c>
      <c r="F499">
        <v>89718928</v>
      </c>
      <c r="G499">
        <v>0</v>
      </c>
      <c r="L499" t="s">
        <v>8</v>
      </c>
      <c r="M499" t="s">
        <v>7</v>
      </c>
      <c r="N499" t="s">
        <v>7</v>
      </c>
      <c r="P499">
        <f t="shared" si="979"/>
        <v>-0.29021179164281552</v>
      </c>
      <c r="Q499">
        <f t="shared" si="980"/>
        <v>-26037490.839152768</v>
      </c>
      <c r="R499">
        <f t="shared" si="981"/>
        <v>-1166646543.6126556</v>
      </c>
      <c r="S499">
        <f t="shared" si="982"/>
        <v>-11666.465436126557</v>
      </c>
      <c r="T499">
        <f t="shared" si="983"/>
        <v>-11.666465436126556</v>
      </c>
    </row>
    <row r="500" spans="1:20" x14ac:dyDescent="0.25">
      <c r="A500" s="5">
        <v>44093</v>
      </c>
      <c r="B500">
        <v>1.1730000000000001E-2</v>
      </c>
      <c r="C500">
        <v>1.1979999999999999E-2</v>
      </c>
      <c r="D500">
        <v>1.09E-2</v>
      </c>
      <c r="E500">
        <v>1.136E-2</v>
      </c>
      <c r="F500">
        <v>43681513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-0.14814814814814703</v>
      </c>
      <c r="Q500">
        <f t="shared" si="980"/>
        <v>-6471335.25925921</v>
      </c>
      <c r="R500">
        <f t="shared" si="981"/>
        <v>-1140609052.7735028</v>
      </c>
      <c r="S500">
        <f t="shared" si="982"/>
        <v>-11406.090527735028</v>
      </c>
      <c r="T500">
        <f t="shared" si="983"/>
        <v>-11.406090527735028</v>
      </c>
    </row>
    <row r="501" spans="1:20" x14ac:dyDescent="0.25">
      <c r="A501" s="5">
        <v>44092</v>
      </c>
      <c r="B501">
        <v>1.2267999999999999E-2</v>
      </c>
      <c r="C501">
        <v>1.2789E-2</v>
      </c>
      <c r="D501">
        <v>1.1153E-2</v>
      </c>
      <c r="E501">
        <v>1.162E-2</v>
      </c>
      <c r="F501">
        <v>38782297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-0.429095354523227</v>
      </c>
      <c r="Q501">
        <f t="shared" si="980"/>
        <v>-16641303.480440084</v>
      </c>
      <c r="R501">
        <f t="shared" si="981"/>
        <v>-1134137717.5142436</v>
      </c>
      <c r="S501">
        <f t="shared" si="982"/>
        <v>-11341.377175142436</v>
      </c>
      <c r="T501">
        <f t="shared" si="983"/>
        <v>-11.341377175142435</v>
      </c>
    </row>
    <row r="502" spans="1:20" x14ac:dyDescent="0.25">
      <c r="A502" s="5">
        <v>44091</v>
      </c>
      <c r="B502">
        <v>1.1716000000000001E-2</v>
      </c>
      <c r="C502">
        <v>1.3191E-2</v>
      </c>
      <c r="D502">
        <v>1.1582E-2</v>
      </c>
      <c r="E502">
        <v>1.2351000000000001E-2</v>
      </c>
      <c r="F502">
        <v>54456446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-4.4126786824113223E-2</v>
      </c>
      <c r="Q502">
        <f t="shared" si="980"/>
        <v>-2402987.9838408334</v>
      </c>
      <c r="R502">
        <f t="shared" si="981"/>
        <v>-1117496414.0338035</v>
      </c>
      <c r="S502">
        <f t="shared" si="982"/>
        <v>-11174.964140338034</v>
      </c>
      <c r="T502">
        <f t="shared" si="983"/>
        <v>-11.174964140338034</v>
      </c>
    </row>
    <row r="503" spans="1:20" x14ac:dyDescent="0.25">
      <c r="A503" s="5">
        <v>44090</v>
      </c>
      <c r="B503">
        <v>1.2030000000000001E-2</v>
      </c>
      <c r="C503">
        <v>1.3113E-2</v>
      </c>
      <c r="D503">
        <v>1.0999999999999999E-2</v>
      </c>
      <c r="E503">
        <v>1.1868E-2</v>
      </c>
      <c r="F503">
        <v>84309098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-0.17841930903928008</v>
      </c>
      <c r="Q503">
        <f t="shared" si="980"/>
        <v>-15042371.01088495</v>
      </c>
      <c r="R503">
        <f t="shared" si="981"/>
        <v>-1115093426.0499625</v>
      </c>
      <c r="S503">
        <f t="shared" si="982"/>
        <v>-11150.934260499625</v>
      </c>
      <c r="T503">
        <f t="shared" si="983"/>
        <v>-11.150934260499625</v>
      </c>
    </row>
    <row r="504" spans="1:20" x14ac:dyDescent="0.25">
      <c r="A504" s="5">
        <v>44089</v>
      </c>
      <c r="B504">
        <v>1.4371999999999999E-2</v>
      </c>
      <c r="C504">
        <v>1.4393E-2</v>
      </c>
      <c r="D504">
        <v>1.1891000000000001E-2</v>
      </c>
      <c r="E504">
        <v>1.2082000000000001E-2</v>
      </c>
      <c r="F504">
        <v>89300576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-0.84732214228617087</v>
      </c>
      <c r="Q504">
        <f t="shared" si="980"/>
        <v>-75666355.363709018</v>
      </c>
      <c r="R504">
        <f t="shared" si="981"/>
        <v>-1100051055.0390775</v>
      </c>
      <c r="S504">
        <f t="shared" si="982"/>
        <v>-11000.510550390774</v>
      </c>
      <c r="T504">
        <f t="shared" si="983"/>
        <v>-11.000510550390775</v>
      </c>
    </row>
    <row r="505" spans="1:20" x14ac:dyDescent="0.25">
      <c r="A505" s="5">
        <v>44088</v>
      </c>
      <c r="B505">
        <v>1.6038E-2</v>
      </c>
      <c r="C505">
        <v>1.6480000000000002E-2</v>
      </c>
      <c r="D505">
        <v>1.4057999999999999E-2</v>
      </c>
      <c r="E505">
        <v>1.4253999999999999E-2</v>
      </c>
      <c r="F505">
        <v>93718700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-0.83815028901734123</v>
      </c>
      <c r="Q505">
        <f t="shared" si="980"/>
        <v>-78550355.491329491</v>
      </c>
      <c r="R505">
        <f t="shared" si="981"/>
        <v>-1024384699.6753685</v>
      </c>
      <c r="S505">
        <f t="shared" si="982"/>
        <v>-10243.846996753686</v>
      </c>
      <c r="T505">
        <f t="shared" si="983"/>
        <v>-10.243846996753685</v>
      </c>
    </row>
    <row r="506" spans="1:20" x14ac:dyDescent="0.25">
      <c r="A506" s="5">
        <v>44087</v>
      </c>
      <c r="B506">
        <v>1.5285999999999999E-2</v>
      </c>
      <c r="C506">
        <v>1.8280000000000001E-2</v>
      </c>
      <c r="D506">
        <v>1.4189E-2</v>
      </c>
      <c r="E506">
        <v>1.6043999999999999E-2</v>
      </c>
      <c r="F506">
        <v>269281323</v>
      </c>
      <c r="G506">
        <v>0</v>
      </c>
      <c r="L506" t="s">
        <v>8</v>
      </c>
      <c r="M506" t="s">
        <v>8</v>
      </c>
      <c r="N506" t="s">
        <v>8</v>
      </c>
      <c r="P506">
        <f t="shared" si="979"/>
        <v>-9.3131263749695131E-2</v>
      </c>
      <c r="Q506">
        <f t="shared" si="980"/>
        <v>-25078509.915179845</v>
      </c>
      <c r="R506">
        <f t="shared" si="981"/>
        <v>-945834344.184039</v>
      </c>
      <c r="S506">
        <f t="shared" si="982"/>
        <v>-9458.3434418403904</v>
      </c>
      <c r="T506">
        <f t="shared" si="983"/>
        <v>-9.4583434418403911</v>
      </c>
    </row>
    <row r="507" spans="1:20" x14ac:dyDescent="0.25">
      <c r="A507" s="5">
        <v>44086</v>
      </c>
      <c r="B507">
        <v>1.3629E-2</v>
      </c>
      <c r="C507">
        <v>1.6655E-2</v>
      </c>
      <c r="D507">
        <v>1.3003000000000001E-2</v>
      </c>
      <c r="E507">
        <v>1.5278999999999999E-2</v>
      </c>
      <c r="F507">
        <v>174914606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0.24644030668127007</v>
      </c>
      <c r="Q507">
        <f t="shared" si="980"/>
        <v>43106009.145673521</v>
      </c>
      <c r="R507">
        <f t="shared" si="981"/>
        <v>-920755834.26885915</v>
      </c>
      <c r="S507">
        <f t="shared" si="982"/>
        <v>-9207.5583426885914</v>
      </c>
      <c r="T507">
        <f t="shared" si="983"/>
        <v>-9.207558342688591</v>
      </c>
    </row>
    <row r="508" spans="1:20" x14ac:dyDescent="0.25">
      <c r="A508" s="5">
        <v>44085</v>
      </c>
      <c r="B508">
        <v>1.4050999999999999E-2</v>
      </c>
      <c r="C508">
        <v>1.4742E-2</v>
      </c>
      <c r="D508">
        <v>1.2500000000000001E-2</v>
      </c>
      <c r="E508">
        <v>1.3672999999999999E-2</v>
      </c>
      <c r="F508">
        <v>44027849</v>
      </c>
      <c r="G508">
        <v>0</v>
      </c>
      <c r="L508" t="s">
        <v>7</v>
      </c>
      <c r="M508" t="s">
        <v>7</v>
      </c>
      <c r="N508" t="s">
        <v>7</v>
      </c>
      <c r="P508">
        <f t="shared" si="979"/>
        <v>4.6387154326493409E-2</v>
      </c>
      <c r="Q508">
        <f t="shared" si="980"/>
        <v>2042326.6262265486</v>
      </c>
      <c r="R508">
        <f t="shared" si="981"/>
        <v>-963861843.41453266</v>
      </c>
      <c r="S508">
        <f t="shared" si="982"/>
        <v>-9638.6184341453263</v>
      </c>
      <c r="T508">
        <f t="shared" si="983"/>
        <v>-9.6386184341453269</v>
      </c>
    </row>
    <row r="509" spans="1:20" x14ac:dyDescent="0.25">
      <c r="A509" s="5">
        <v>44084</v>
      </c>
      <c r="B509">
        <v>1.316E-2</v>
      </c>
      <c r="C509">
        <v>1.508E-2</v>
      </c>
      <c r="D509">
        <v>1.3003000000000001E-2</v>
      </c>
      <c r="E509">
        <v>1.4050999999999999E-2</v>
      </c>
      <c r="F509">
        <v>85425130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9.1478093403939316E-3</v>
      </c>
      <c r="Q509">
        <f t="shared" si="980"/>
        <v>781452.80211836589</v>
      </c>
      <c r="R509">
        <f t="shared" si="981"/>
        <v>-965904170.04075921</v>
      </c>
      <c r="S509">
        <f t="shared" si="982"/>
        <v>-9659.0417004075916</v>
      </c>
      <c r="T509">
        <f t="shared" si="983"/>
        <v>-9.6590417004075917</v>
      </c>
    </row>
    <row r="510" spans="1:20" x14ac:dyDescent="0.25">
      <c r="A510" s="5">
        <v>44083</v>
      </c>
      <c r="B510">
        <v>1.2729000000000001E-2</v>
      </c>
      <c r="C510">
        <v>1.3927999999999999E-2</v>
      </c>
      <c r="D510">
        <v>1.2036E-2</v>
      </c>
      <c r="E510">
        <v>1.3143999999999999E-2</v>
      </c>
      <c r="F510">
        <v>48177888</v>
      </c>
      <c r="G510">
        <v>0</v>
      </c>
      <c r="L510" t="s">
        <v>7</v>
      </c>
      <c r="M510" t="s">
        <v>8</v>
      </c>
      <c r="N510" t="s">
        <v>7</v>
      </c>
      <c r="P510">
        <f t="shared" si="979"/>
        <v>0.17124735729386878</v>
      </c>
      <c r="Q510">
        <f t="shared" si="980"/>
        <v>8250335.9999999935</v>
      </c>
      <c r="R510">
        <f t="shared" si="981"/>
        <v>-966685622.84287763</v>
      </c>
      <c r="S510">
        <f t="shared" si="982"/>
        <v>-9666.8562284287764</v>
      </c>
      <c r="T510">
        <f t="shared" si="983"/>
        <v>-9.6668562284287756</v>
      </c>
    </row>
    <row r="511" spans="1:20" x14ac:dyDescent="0.25">
      <c r="A511" s="5">
        <v>44082</v>
      </c>
      <c r="B511">
        <v>1.3268E-2</v>
      </c>
      <c r="C511">
        <v>1.4111E-2</v>
      </c>
      <c r="D511">
        <v>1.1926000000000001E-2</v>
      </c>
      <c r="E511">
        <v>1.2629E-2</v>
      </c>
      <c r="F511">
        <v>64142138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-0.35652173913043572</v>
      </c>
      <c r="Q511">
        <f t="shared" si="980"/>
        <v>-22868066.591304407</v>
      </c>
      <c r="R511">
        <f t="shared" si="981"/>
        <v>-974935958.84287763</v>
      </c>
      <c r="S511">
        <f t="shared" si="982"/>
        <v>-9749.359588428777</v>
      </c>
      <c r="T511">
        <f t="shared" si="983"/>
        <v>-9.7493595884287778</v>
      </c>
    </row>
    <row r="512" spans="1:20" x14ac:dyDescent="0.25">
      <c r="A512" s="5">
        <v>44081</v>
      </c>
      <c r="B512">
        <v>1.4331E-2</v>
      </c>
      <c r="C512">
        <v>1.4331999999999999E-2</v>
      </c>
      <c r="D512">
        <v>1.1509999999999999E-2</v>
      </c>
      <c r="E512">
        <v>1.3381000000000001E-2</v>
      </c>
      <c r="F512">
        <v>71543576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0.32600992204110646</v>
      </c>
      <c r="Q512">
        <f t="shared" si="980"/>
        <v>23323915.634301975</v>
      </c>
      <c r="R512">
        <f t="shared" si="981"/>
        <v>-952067892.2515732</v>
      </c>
      <c r="S512">
        <f t="shared" si="982"/>
        <v>-9520.6789225157318</v>
      </c>
      <c r="T512">
        <f t="shared" si="983"/>
        <v>-9.5206789225157316</v>
      </c>
    </row>
    <row r="513" spans="1:20" x14ac:dyDescent="0.25">
      <c r="A513" s="5">
        <v>44080</v>
      </c>
      <c r="B513">
        <v>1.3756000000000001E-2</v>
      </c>
      <c r="C513">
        <v>1.5698E-2</v>
      </c>
      <c r="D513">
        <v>1.2883E-2</v>
      </c>
      <c r="E513">
        <v>1.4333E-2</v>
      </c>
      <c r="F513">
        <v>90741401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3.0195381882770874E-2</v>
      </c>
      <c r="Q513">
        <f t="shared" si="980"/>
        <v>2739971.255772647</v>
      </c>
      <c r="R513">
        <f t="shared" si="981"/>
        <v>-975391807.88587523</v>
      </c>
      <c r="S513">
        <f t="shared" si="982"/>
        <v>-9753.9180788587528</v>
      </c>
      <c r="T513">
        <f t="shared" si="983"/>
        <v>-9.7539180788587529</v>
      </c>
    </row>
    <row r="514" spans="1:20" x14ac:dyDescent="0.25">
      <c r="A514" s="5">
        <v>44079</v>
      </c>
      <c r="B514">
        <v>1.7517999999999999E-2</v>
      </c>
      <c r="C514">
        <v>1.89E-2</v>
      </c>
      <c r="D514">
        <v>1.1950000000000001E-2</v>
      </c>
      <c r="E514">
        <v>1.3759E-2</v>
      </c>
      <c r="F514">
        <v>170562244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-0.47942446043165471</v>
      </c>
      <c r="Q514">
        <f t="shared" si="980"/>
        <v>-81771711.799712241</v>
      </c>
      <c r="R514">
        <f t="shared" si="981"/>
        <v>-978131779.14164782</v>
      </c>
      <c r="S514">
        <f t="shared" si="982"/>
        <v>-9781.3177914164789</v>
      </c>
      <c r="T514">
        <f t="shared" si="983"/>
        <v>-9.7813177914164786</v>
      </c>
    </row>
    <row r="515" spans="1:20" x14ac:dyDescent="0.25">
      <c r="A515" s="5">
        <v>44078</v>
      </c>
      <c r="B515">
        <v>1.5800000000000002E-2</v>
      </c>
      <c r="C515">
        <v>1.8284000000000002E-2</v>
      </c>
      <c r="D515">
        <v>1.4002000000000001E-2</v>
      </c>
      <c r="E515">
        <v>1.7448000000000002E-2</v>
      </c>
      <c r="F515">
        <v>120960113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0.60952825782344711</v>
      </c>
      <c r="Q515">
        <f t="shared" si="980"/>
        <v>73728606.943017289</v>
      </c>
      <c r="R515">
        <f t="shared" si="981"/>
        <v>-896360067.34193563</v>
      </c>
      <c r="S515">
        <f t="shared" si="982"/>
        <v>-8963.6006734193561</v>
      </c>
      <c r="T515">
        <f t="shared" si="983"/>
        <v>-8.9636006734193554</v>
      </c>
    </row>
    <row r="516" spans="1:20" x14ac:dyDescent="0.25">
      <c r="A516" s="5">
        <v>44077</v>
      </c>
      <c r="B516">
        <v>2.0428999999999999E-2</v>
      </c>
      <c r="C516">
        <v>2.205E-2</v>
      </c>
      <c r="D516">
        <v>1.55E-2</v>
      </c>
      <c r="E516">
        <v>1.5800999999999999E-2</v>
      </c>
      <c r="F516">
        <v>192381336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-0.90809160305343539</v>
      </c>
      <c r="Q516">
        <f t="shared" si="980"/>
        <v>-174699875.80580157</v>
      </c>
      <c r="R516">
        <f t="shared" si="981"/>
        <v>-970088674.28495288</v>
      </c>
      <c r="S516">
        <f t="shared" si="982"/>
        <v>-9700.8867428495287</v>
      </c>
      <c r="T516">
        <f t="shared" si="983"/>
        <v>-9.7008867428495282</v>
      </c>
    </row>
    <row r="517" spans="1:20" x14ac:dyDescent="0.25">
      <c r="A517" s="5">
        <v>44076</v>
      </c>
      <c r="B517">
        <v>2.6051000000000001E-2</v>
      </c>
      <c r="C517">
        <v>2.6138999999999999E-2</v>
      </c>
      <c r="D517">
        <v>1.8356000000000001E-2</v>
      </c>
      <c r="E517">
        <v>2.0199999999999999E-2</v>
      </c>
      <c r="F517">
        <v>373494512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-0.5261467300526792</v>
      </c>
      <c r="Q517">
        <f t="shared" si="980"/>
        <v>-196512916.18142116</v>
      </c>
      <c r="R517">
        <f t="shared" si="981"/>
        <v>-795388798.47915137</v>
      </c>
      <c r="S517">
        <f t="shared" si="982"/>
        <v>-7953.8879847915141</v>
      </c>
      <c r="T517">
        <f t="shared" si="983"/>
        <v>-7.953887984791514</v>
      </c>
    </row>
    <row r="518" spans="1:20" x14ac:dyDescent="0.25">
      <c r="A518" s="5">
        <v>44075</v>
      </c>
      <c r="B518">
        <v>2.8362999999999999E-2</v>
      </c>
      <c r="C518">
        <v>4.0968999999999998E-2</v>
      </c>
      <c r="D518">
        <v>2.46E-2</v>
      </c>
      <c r="E518">
        <v>2.5999999999999999E-2</v>
      </c>
      <c r="F518">
        <v>713148282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-0.82894495693078396</v>
      </c>
      <c r="Q518">
        <f t="shared" ref="Q518:Q581" si="985">F518*P518</f>
        <v>-591160671.90775263</v>
      </c>
      <c r="R518">
        <f t="shared" ref="R518:R581" si="986">R519+Q518</f>
        <v>-598875882.29773021</v>
      </c>
      <c r="S518">
        <f t="shared" ref="S518:S581" si="987">R518/100000</f>
        <v>-5988.7588229773019</v>
      </c>
      <c r="T518">
        <f t="shared" ref="T518:T581" si="988">S518/1000</f>
        <v>-5.9887588229773021</v>
      </c>
    </row>
    <row r="519" spans="1:20" x14ac:dyDescent="0.25">
      <c r="A519" s="5">
        <v>44074</v>
      </c>
      <c r="B519">
        <v>1.6296999999999999E-2</v>
      </c>
      <c r="C519">
        <v>3.4236999999999997E-2</v>
      </c>
      <c r="D519">
        <v>1.4334E-2</v>
      </c>
      <c r="E519">
        <v>2.8324999999999999E-2</v>
      </c>
      <c r="F519">
        <v>1098801950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0.40591870572275557</v>
      </c>
      <c r="Q519">
        <f t="shared" si="985"/>
        <v>446024265.38963997</v>
      </c>
      <c r="R519">
        <f t="shared" si="986"/>
        <v>-7715210.3899775743</v>
      </c>
      <c r="S519">
        <f t="shared" si="987"/>
        <v>-77.152103899775739</v>
      </c>
      <c r="T519">
        <f t="shared" si="988"/>
        <v>-7.715210389977574E-2</v>
      </c>
    </row>
    <row r="520" spans="1:20" x14ac:dyDescent="0.25">
      <c r="A520" s="5">
        <v>44073</v>
      </c>
      <c r="B520">
        <v>1.1686E-2</v>
      </c>
      <c r="C520">
        <v>1.805E-2</v>
      </c>
      <c r="D520">
        <v>1.1544E-2</v>
      </c>
      <c r="E520">
        <v>1.6199999999999999E-2</v>
      </c>
      <c r="F520">
        <v>393044476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0.43129418997848107</v>
      </c>
      <c r="Q520">
        <f t="shared" si="985"/>
        <v>169517798.90193653</v>
      </c>
      <c r="R520">
        <f t="shared" si="986"/>
        <v>-453739475.77961755</v>
      </c>
      <c r="S520">
        <f t="shared" si="987"/>
        <v>-4537.3947577961753</v>
      </c>
      <c r="T520">
        <f t="shared" si="988"/>
        <v>-4.5373947577961751</v>
      </c>
    </row>
    <row r="521" spans="1:20" x14ac:dyDescent="0.25">
      <c r="A521" s="5">
        <v>44072</v>
      </c>
      <c r="B521">
        <v>1.0151E-2</v>
      </c>
      <c r="C521">
        <v>1.2378E-2</v>
      </c>
      <c r="D521">
        <v>1.0035000000000001E-2</v>
      </c>
      <c r="E521">
        <v>1.17E-2</v>
      </c>
      <c r="F521">
        <v>27431876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0.42125480153649175</v>
      </c>
      <c r="Q521">
        <f t="shared" si="985"/>
        <v>11555809.480153652</v>
      </c>
      <c r="R521">
        <f t="shared" si="986"/>
        <v>-623257274.68155408</v>
      </c>
      <c r="S521">
        <f t="shared" si="987"/>
        <v>-6232.572746815541</v>
      </c>
      <c r="T521">
        <f t="shared" si="988"/>
        <v>-6.2325727468155412</v>
      </c>
    </row>
    <row r="522" spans="1:20" x14ac:dyDescent="0.25">
      <c r="A522" s="5">
        <v>44071</v>
      </c>
      <c r="B522">
        <v>9.5999999999999992E-3</v>
      </c>
      <c r="C522">
        <v>1.0600999999999999E-2</v>
      </c>
      <c r="D522">
        <v>9.554E-3</v>
      </c>
      <c r="E522">
        <v>1.0151E-2</v>
      </c>
      <c r="F522">
        <v>28057451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0.14040114613180649</v>
      </c>
      <c r="Q522">
        <f t="shared" si="985"/>
        <v>3939298.2779370002</v>
      </c>
      <c r="R522">
        <f t="shared" si="986"/>
        <v>-634813084.16170776</v>
      </c>
      <c r="S522">
        <f t="shared" si="987"/>
        <v>-6348.1308416170777</v>
      </c>
      <c r="T522">
        <f t="shared" si="988"/>
        <v>-6.3481308416170776</v>
      </c>
    </row>
    <row r="523" spans="1:20" x14ac:dyDescent="0.25">
      <c r="A523" s="5">
        <v>44070</v>
      </c>
      <c r="B523">
        <v>1.0408000000000001E-2</v>
      </c>
      <c r="C523">
        <v>1.0907999999999999E-2</v>
      </c>
      <c r="D523">
        <v>9.2040000000000004E-3</v>
      </c>
      <c r="E523">
        <v>9.5999999999999992E-3</v>
      </c>
      <c r="F523">
        <v>51636850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-0.53521126760563498</v>
      </c>
      <c r="Q523">
        <f t="shared" si="985"/>
        <v>-27636623.943662032</v>
      </c>
      <c r="R523">
        <f t="shared" si="986"/>
        <v>-638752382.43964481</v>
      </c>
      <c r="S523">
        <f t="shared" si="987"/>
        <v>-6387.5238243964477</v>
      </c>
      <c r="T523">
        <f t="shared" si="988"/>
        <v>-6.3875238243964478</v>
      </c>
    </row>
    <row r="524" spans="1:20" x14ac:dyDescent="0.25">
      <c r="A524" s="5">
        <v>44069</v>
      </c>
      <c r="B524">
        <v>9.2440000000000005E-3</v>
      </c>
      <c r="C524">
        <v>1.2999999999999999E-2</v>
      </c>
      <c r="D524">
        <v>9.0550000000000005E-3</v>
      </c>
      <c r="E524">
        <v>1.0427000000000001E-2</v>
      </c>
      <c r="F524">
        <v>225390799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-0.30443599493029133</v>
      </c>
      <c r="Q524">
        <f t="shared" si="985"/>
        <v>-68617072.141698316</v>
      </c>
      <c r="R524">
        <f t="shared" si="986"/>
        <v>-611115758.49598277</v>
      </c>
      <c r="S524">
        <f t="shared" si="987"/>
        <v>-6111.1575849598275</v>
      </c>
      <c r="T524">
        <f t="shared" si="988"/>
        <v>-6.1111575849598276</v>
      </c>
    </row>
    <row r="525" spans="1:20" x14ac:dyDescent="0.25">
      <c r="A525" s="5">
        <v>44068</v>
      </c>
      <c r="B525">
        <v>9.2219999999999993E-3</v>
      </c>
      <c r="C525">
        <v>9.5999999999999992E-3</v>
      </c>
      <c r="D525">
        <v>8.8660000000000006E-3</v>
      </c>
      <c r="E525">
        <v>9.188E-3</v>
      </c>
      <c r="F525">
        <v>16646995</v>
      </c>
      <c r="G525">
        <v>0</v>
      </c>
      <c r="L525" t="s">
        <v>8</v>
      </c>
      <c r="M525" t="s">
        <v>7</v>
      </c>
      <c r="N525" t="s">
        <v>8</v>
      </c>
      <c r="P525">
        <f t="shared" si="984"/>
        <v>-0.12261580381471388</v>
      </c>
      <c r="Q525">
        <f t="shared" si="985"/>
        <v>-2041184.6730245228</v>
      </c>
      <c r="R525">
        <f t="shared" si="986"/>
        <v>-542498686.35428441</v>
      </c>
      <c r="S525">
        <f t="shared" si="987"/>
        <v>-5424.9868635428438</v>
      </c>
      <c r="T525">
        <f t="shared" si="988"/>
        <v>-5.424986863542844</v>
      </c>
    </row>
    <row r="526" spans="1:20" x14ac:dyDescent="0.25">
      <c r="A526" s="5">
        <v>44067</v>
      </c>
      <c r="B526">
        <v>9.221E-3</v>
      </c>
      <c r="C526">
        <v>9.3100000000000006E-3</v>
      </c>
      <c r="D526">
        <v>9.0010000000000003E-3</v>
      </c>
      <c r="E526">
        <v>9.2200000000000008E-3</v>
      </c>
      <c r="F526">
        <v>6524945</v>
      </c>
      <c r="G526">
        <v>0</v>
      </c>
      <c r="L526" t="s">
        <v>8</v>
      </c>
      <c r="M526" t="s">
        <v>7</v>
      </c>
      <c r="N526" t="s">
        <v>8</v>
      </c>
      <c r="P526">
        <f t="shared" si="984"/>
        <v>0.41747572815534156</v>
      </c>
      <c r="Q526">
        <f t="shared" si="985"/>
        <v>2724006.165048555</v>
      </c>
      <c r="R526">
        <f t="shared" si="986"/>
        <v>-540457501.68125987</v>
      </c>
      <c r="S526">
        <f t="shared" si="987"/>
        <v>-5404.5750168125987</v>
      </c>
      <c r="T526">
        <f t="shared" si="988"/>
        <v>-5.4045750168125988</v>
      </c>
    </row>
    <row r="527" spans="1:20" x14ac:dyDescent="0.25">
      <c r="A527" s="5">
        <v>44066</v>
      </c>
      <c r="B527">
        <v>8.8610000000000008E-3</v>
      </c>
      <c r="C527">
        <v>9.4000000000000004E-3</v>
      </c>
      <c r="D527">
        <v>8.8000000000000005E-3</v>
      </c>
      <c r="E527">
        <v>9.221E-3</v>
      </c>
      <c r="F527">
        <v>9663367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0.40333333333333204</v>
      </c>
      <c r="Q527">
        <f t="shared" si="985"/>
        <v>3897558.0233333209</v>
      </c>
      <c r="R527">
        <f t="shared" si="986"/>
        <v>-543181507.84630847</v>
      </c>
      <c r="S527">
        <f t="shared" si="987"/>
        <v>-5431.8150784630843</v>
      </c>
      <c r="T527">
        <f t="shared" si="988"/>
        <v>-5.4318150784630843</v>
      </c>
    </row>
    <row r="528" spans="1:20" x14ac:dyDescent="0.25">
      <c r="A528" s="5">
        <v>44065</v>
      </c>
      <c r="B528">
        <v>8.8669999999999999E-3</v>
      </c>
      <c r="C528">
        <v>8.9610000000000002E-3</v>
      </c>
      <c r="D528">
        <v>8.5120000000000005E-3</v>
      </c>
      <c r="E528">
        <v>8.9309999999999997E-3</v>
      </c>
      <c r="F528">
        <v>9979733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0.86636971046770361</v>
      </c>
      <c r="Q528">
        <f t="shared" si="985"/>
        <v>8646138.3897549864</v>
      </c>
      <c r="R528">
        <f t="shared" si="986"/>
        <v>-547079065.86964178</v>
      </c>
      <c r="S528">
        <f t="shared" si="987"/>
        <v>-5470.7906586964182</v>
      </c>
      <c r="T528">
        <f t="shared" si="988"/>
        <v>-5.4707906586964183</v>
      </c>
    </row>
    <row r="529" spans="1:20" x14ac:dyDescent="0.25">
      <c r="A529" s="5">
        <v>44064</v>
      </c>
      <c r="B529">
        <v>9.4929999999999997E-3</v>
      </c>
      <c r="C529">
        <v>9.7520000000000003E-3</v>
      </c>
      <c r="D529">
        <v>8.8009999999999998E-3</v>
      </c>
      <c r="E529">
        <v>8.8669999999999999E-3</v>
      </c>
      <c r="F529">
        <v>10542622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-0.86119873817034687</v>
      </c>
      <c r="Q529">
        <f t="shared" si="985"/>
        <v>-9079292.7634069379</v>
      </c>
      <c r="R529">
        <f t="shared" si="986"/>
        <v>-555725204.25939679</v>
      </c>
      <c r="S529">
        <f t="shared" si="987"/>
        <v>-5557.2520425939683</v>
      </c>
      <c r="T529">
        <f t="shared" si="988"/>
        <v>-5.5572520425939684</v>
      </c>
    </row>
    <row r="530" spans="1:20" x14ac:dyDescent="0.25">
      <c r="A530" s="5">
        <v>44063</v>
      </c>
      <c r="B530">
        <v>8.914E-3</v>
      </c>
      <c r="C530">
        <v>9.5130000000000006E-3</v>
      </c>
      <c r="D530">
        <v>8.6979999999999991E-3</v>
      </c>
      <c r="E530">
        <v>9.4940000000000007E-3</v>
      </c>
      <c r="F530">
        <v>8174991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0.95337423312883463</v>
      </c>
      <c r="Q530">
        <f t="shared" si="985"/>
        <v>7793825.7754601249</v>
      </c>
      <c r="R530">
        <f t="shared" si="986"/>
        <v>-546645911.4959898</v>
      </c>
      <c r="S530">
        <f t="shared" si="987"/>
        <v>-5466.4591149598982</v>
      </c>
      <c r="T530">
        <f t="shared" si="988"/>
        <v>-5.466459114959898</v>
      </c>
    </row>
    <row r="531" spans="1:20" x14ac:dyDescent="0.25">
      <c r="A531" s="5">
        <v>44062</v>
      </c>
      <c r="B531">
        <v>9.691E-3</v>
      </c>
      <c r="C531">
        <v>9.7050000000000001E-3</v>
      </c>
      <c r="D531">
        <v>8.7600000000000004E-3</v>
      </c>
      <c r="E531">
        <v>8.914E-3</v>
      </c>
      <c r="F531">
        <v>15031829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-0.67407407407407471</v>
      </c>
      <c r="Q531">
        <f t="shared" si="985"/>
        <v>-10132566.214814825</v>
      </c>
      <c r="R531">
        <f t="shared" si="986"/>
        <v>-554439737.27144992</v>
      </c>
      <c r="S531">
        <f t="shared" si="987"/>
        <v>-5544.3973727144994</v>
      </c>
      <c r="T531">
        <f t="shared" si="988"/>
        <v>-5.5443973727144993</v>
      </c>
    </row>
    <row r="532" spans="1:20" x14ac:dyDescent="0.25">
      <c r="A532" s="5">
        <v>44061</v>
      </c>
      <c r="B532">
        <v>9.7129999999999994E-3</v>
      </c>
      <c r="C532">
        <v>1.0347E-2</v>
      </c>
      <c r="D532">
        <v>9.5630000000000003E-3</v>
      </c>
      <c r="E532">
        <v>9.7050000000000001E-3</v>
      </c>
      <c r="F532">
        <v>28600920</v>
      </c>
      <c r="G532">
        <v>0</v>
      </c>
      <c r="L532" t="s">
        <v>8</v>
      </c>
      <c r="M532" t="s">
        <v>8</v>
      </c>
      <c r="N532" t="s">
        <v>8</v>
      </c>
      <c r="P532">
        <f t="shared" si="984"/>
        <v>-0.63775510204081687</v>
      </c>
      <c r="Q532">
        <f t="shared" si="985"/>
        <v>-18240382.653061241</v>
      </c>
      <c r="R532">
        <f t="shared" si="986"/>
        <v>-544307171.05663514</v>
      </c>
      <c r="S532">
        <f t="shared" si="987"/>
        <v>-5443.0717105663516</v>
      </c>
      <c r="T532">
        <f t="shared" si="988"/>
        <v>-5.4430717105663513</v>
      </c>
    </row>
    <row r="533" spans="1:20" x14ac:dyDescent="0.25">
      <c r="A533" s="5">
        <v>44060</v>
      </c>
      <c r="B533">
        <v>9.4800000000000006E-3</v>
      </c>
      <c r="C533">
        <v>1.001E-2</v>
      </c>
      <c r="D533">
        <v>9.1599999999999997E-3</v>
      </c>
      <c r="E533">
        <v>9.7109999999999991E-3</v>
      </c>
      <c r="F533">
        <v>21829428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0.29647058823529265</v>
      </c>
      <c r="Q533">
        <f t="shared" si="985"/>
        <v>6471783.3599999677</v>
      </c>
      <c r="R533">
        <f t="shared" si="986"/>
        <v>-526066788.40357393</v>
      </c>
      <c r="S533">
        <f t="shared" si="987"/>
        <v>-5260.667884035739</v>
      </c>
      <c r="T533">
        <f t="shared" si="988"/>
        <v>-5.2606678840357386</v>
      </c>
    </row>
    <row r="534" spans="1:20" x14ac:dyDescent="0.25">
      <c r="A534" s="5">
        <v>44059</v>
      </c>
      <c r="B534">
        <v>9.2879999999999994E-3</v>
      </c>
      <c r="C534">
        <v>9.4889999999999992E-3</v>
      </c>
      <c r="D534">
        <v>9.0119999999999992E-3</v>
      </c>
      <c r="E534">
        <v>9.4780000000000003E-3</v>
      </c>
      <c r="F534">
        <v>9133762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0.95387840670860014</v>
      </c>
      <c r="Q534">
        <f t="shared" si="985"/>
        <v>8712498.3438155577</v>
      </c>
      <c r="R534">
        <f t="shared" si="986"/>
        <v>-532538571.76357388</v>
      </c>
      <c r="S534">
        <f t="shared" si="987"/>
        <v>-5325.3857176357387</v>
      </c>
      <c r="T534">
        <f t="shared" si="988"/>
        <v>-5.3253857176357391</v>
      </c>
    </row>
    <row r="535" spans="1:20" x14ac:dyDescent="0.25">
      <c r="A535" s="5">
        <v>44058</v>
      </c>
      <c r="B535">
        <v>9.0989999999999994E-3</v>
      </c>
      <c r="C535">
        <v>9.4889999999999992E-3</v>
      </c>
      <c r="D535">
        <v>9.0299999999999998E-3</v>
      </c>
      <c r="E535">
        <v>9.2460000000000007E-3</v>
      </c>
      <c r="F535">
        <v>13044074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-5.8823529411759369E-2</v>
      </c>
      <c r="Q535">
        <f t="shared" si="985"/>
        <v>-767298.47058816568</v>
      </c>
      <c r="R535">
        <f t="shared" si="986"/>
        <v>-541251070.10738945</v>
      </c>
      <c r="S535">
        <f t="shared" si="987"/>
        <v>-5412.5107010738948</v>
      </c>
      <c r="T535">
        <f t="shared" si="988"/>
        <v>-5.4125107010738951</v>
      </c>
    </row>
    <row r="536" spans="1:20" x14ac:dyDescent="0.25">
      <c r="A536" s="5">
        <v>44057</v>
      </c>
      <c r="B536">
        <v>8.9589999999999999E-3</v>
      </c>
      <c r="C536">
        <v>9.2980000000000007E-3</v>
      </c>
      <c r="D536">
        <v>8.8059999999999996E-3</v>
      </c>
      <c r="E536">
        <v>9.0989999999999994E-3</v>
      </c>
      <c r="F536">
        <v>15589092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0.1910569105691024</v>
      </c>
      <c r="Q536">
        <f t="shared" si="985"/>
        <v>2978403.7560975095</v>
      </c>
      <c r="R536">
        <f t="shared" si="986"/>
        <v>-540483771.63680124</v>
      </c>
      <c r="S536">
        <f t="shared" si="987"/>
        <v>-5404.8377163680125</v>
      </c>
      <c r="T536">
        <f t="shared" si="988"/>
        <v>-5.4048377163680126</v>
      </c>
    </row>
    <row r="537" spans="1:20" x14ac:dyDescent="0.25">
      <c r="A537" s="5">
        <v>44056</v>
      </c>
      <c r="B537">
        <v>8.9599999999999992E-3</v>
      </c>
      <c r="C537">
        <v>9.2460000000000007E-3</v>
      </c>
      <c r="D537">
        <v>8.2000000000000007E-3</v>
      </c>
      <c r="E537">
        <v>8.8959999999999994E-3</v>
      </c>
      <c r="F537">
        <v>28215924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0.330783938814529</v>
      </c>
      <c r="Q537">
        <f t="shared" si="985"/>
        <v>9333374.4780113995</v>
      </c>
      <c r="R537">
        <f t="shared" si="986"/>
        <v>-543462175.3928988</v>
      </c>
      <c r="S537">
        <f t="shared" si="987"/>
        <v>-5434.6217539289883</v>
      </c>
      <c r="T537">
        <f t="shared" si="988"/>
        <v>-5.4346217539289885</v>
      </c>
    </row>
    <row r="538" spans="1:20" x14ac:dyDescent="0.25">
      <c r="A538" s="5">
        <v>44055</v>
      </c>
      <c r="B538">
        <v>8.3370000000000007E-3</v>
      </c>
      <c r="C538">
        <v>9.1889999999999993E-3</v>
      </c>
      <c r="D538">
        <v>7.9059999999999998E-3</v>
      </c>
      <c r="E538">
        <v>8.9599999999999992E-3</v>
      </c>
      <c r="F538">
        <v>27984892</v>
      </c>
      <c r="G538">
        <v>0</v>
      </c>
      <c r="L538" t="s">
        <v>7</v>
      </c>
      <c r="M538" t="s">
        <v>8</v>
      </c>
      <c r="N538" t="s">
        <v>8</v>
      </c>
      <c r="P538">
        <f t="shared" si="984"/>
        <v>0.643024162120031</v>
      </c>
      <c r="Q538">
        <f t="shared" si="985"/>
        <v>17994961.73031956</v>
      </c>
      <c r="R538">
        <f t="shared" si="986"/>
        <v>-552795549.87091017</v>
      </c>
      <c r="S538">
        <f t="shared" si="987"/>
        <v>-5527.9554987091014</v>
      </c>
      <c r="T538">
        <f t="shared" si="988"/>
        <v>-5.5279554987091011</v>
      </c>
    </row>
    <row r="539" spans="1:20" x14ac:dyDescent="0.25">
      <c r="A539" s="5">
        <v>44054</v>
      </c>
      <c r="B539">
        <v>8.7899999999999992E-3</v>
      </c>
      <c r="C539">
        <v>8.9200000000000008E-3</v>
      </c>
      <c r="D539">
        <v>8.0890000000000007E-3</v>
      </c>
      <c r="E539">
        <v>8.3479999999999995E-3</v>
      </c>
      <c r="F539">
        <v>25478149</v>
      </c>
      <c r="G539">
        <v>0</v>
      </c>
      <c r="L539" t="s">
        <v>7</v>
      </c>
      <c r="M539" t="s">
        <v>8</v>
      </c>
      <c r="N539" t="s">
        <v>8</v>
      </c>
      <c r="P539">
        <f t="shared" si="984"/>
        <v>-0.37665463297232549</v>
      </c>
      <c r="Q539">
        <f t="shared" si="985"/>
        <v>-9596462.8604092225</v>
      </c>
      <c r="R539">
        <f t="shared" si="986"/>
        <v>-570790511.60122967</v>
      </c>
      <c r="S539">
        <f t="shared" si="987"/>
        <v>-5707.9051160122963</v>
      </c>
      <c r="T539">
        <f t="shared" si="988"/>
        <v>-5.707905116012296</v>
      </c>
    </row>
    <row r="540" spans="1:20" x14ac:dyDescent="0.25">
      <c r="A540" s="5">
        <v>44053</v>
      </c>
      <c r="B540">
        <v>8.6540000000000002E-3</v>
      </c>
      <c r="C540">
        <v>8.9390000000000008E-3</v>
      </c>
      <c r="D540">
        <v>8.0680000000000005E-3</v>
      </c>
      <c r="E540">
        <v>8.7989999999999995E-3</v>
      </c>
      <c r="F540">
        <v>33420484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0.67853042479907877</v>
      </c>
      <c r="Q540">
        <f t="shared" si="985"/>
        <v>22676815.205510814</v>
      </c>
      <c r="R540">
        <f t="shared" si="986"/>
        <v>-561194048.74082041</v>
      </c>
      <c r="S540">
        <f t="shared" si="987"/>
        <v>-5611.9404874082038</v>
      </c>
      <c r="T540">
        <f t="shared" si="988"/>
        <v>-5.6119404874082042</v>
      </c>
    </row>
    <row r="541" spans="1:20" x14ac:dyDescent="0.25">
      <c r="A541" s="5">
        <v>44052</v>
      </c>
      <c r="B541">
        <v>8.4740000000000006E-3</v>
      </c>
      <c r="C541">
        <v>8.6990000000000001E-3</v>
      </c>
      <c r="D541">
        <v>8.3149999999999995E-3</v>
      </c>
      <c r="E541">
        <v>8.6379999999999998E-3</v>
      </c>
      <c r="F541">
        <v>13073761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0.68229166666666574</v>
      </c>
      <c r="Q541">
        <f t="shared" si="985"/>
        <v>8920118.1822916549</v>
      </c>
      <c r="R541">
        <f t="shared" si="986"/>
        <v>-583870863.94633126</v>
      </c>
      <c r="S541">
        <f t="shared" si="987"/>
        <v>-5838.7086394633125</v>
      </c>
      <c r="T541">
        <f t="shared" si="988"/>
        <v>-5.8387086394633121</v>
      </c>
    </row>
    <row r="542" spans="1:20" x14ac:dyDescent="0.25">
      <c r="A542" s="5">
        <v>44051</v>
      </c>
      <c r="B542">
        <v>8.0160000000000006E-3</v>
      </c>
      <c r="C542">
        <v>8.7360000000000007E-3</v>
      </c>
      <c r="D542">
        <v>7.9640000000000006E-3</v>
      </c>
      <c r="E542">
        <v>8.4370000000000001E-3</v>
      </c>
      <c r="F542">
        <v>19488598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0.22538860103626784</v>
      </c>
      <c r="Q542">
        <f t="shared" si="985"/>
        <v>4392507.839378207</v>
      </c>
      <c r="R542">
        <f t="shared" si="986"/>
        <v>-592790982.12862289</v>
      </c>
      <c r="S542">
        <f t="shared" si="987"/>
        <v>-5927.9098212862291</v>
      </c>
      <c r="T542">
        <f t="shared" si="988"/>
        <v>-5.9279098212862289</v>
      </c>
    </row>
    <row r="543" spans="1:20" x14ac:dyDescent="0.25">
      <c r="A543" s="5">
        <v>44050</v>
      </c>
      <c r="B543">
        <v>8.1290000000000008E-3</v>
      </c>
      <c r="C543">
        <v>8.4229999999999999E-3</v>
      </c>
      <c r="D543">
        <v>7.7010000000000004E-3</v>
      </c>
      <c r="E543">
        <v>7.9979999999999999E-3</v>
      </c>
      <c r="F543">
        <v>13210070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-0.17728531855955759</v>
      </c>
      <c r="Q543">
        <f t="shared" si="985"/>
        <v>-2341951.468144055</v>
      </c>
      <c r="R543">
        <f t="shared" si="986"/>
        <v>-597183489.96800113</v>
      </c>
      <c r="S543">
        <f t="shared" si="987"/>
        <v>-5971.8348996800114</v>
      </c>
      <c r="T543">
        <f t="shared" si="988"/>
        <v>-5.9718348996800117</v>
      </c>
    </row>
    <row r="544" spans="1:20" x14ac:dyDescent="0.25">
      <c r="A544" s="5">
        <v>44049</v>
      </c>
      <c r="B544">
        <v>7.5760000000000003E-3</v>
      </c>
      <c r="C544">
        <v>8.6E-3</v>
      </c>
      <c r="D544">
        <v>7.5760000000000003E-3</v>
      </c>
      <c r="E544">
        <v>8.1290000000000008E-3</v>
      </c>
      <c r="F544">
        <v>29266491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8.0078125000001332E-2</v>
      </c>
      <c r="Q544">
        <f t="shared" si="985"/>
        <v>2343605.7246094141</v>
      </c>
      <c r="R544">
        <f t="shared" si="986"/>
        <v>-594841538.49985707</v>
      </c>
      <c r="S544">
        <f t="shared" si="987"/>
        <v>-5948.4153849985705</v>
      </c>
      <c r="T544">
        <f t="shared" si="988"/>
        <v>-5.9484153849985706</v>
      </c>
    </row>
    <row r="545" spans="1:20" x14ac:dyDescent="0.25">
      <c r="A545" s="5">
        <v>44048</v>
      </c>
      <c r="B545">
        <v>7.2719999999999998E-3</v>
      </c>
      <c r="C545">
        <v>7.7079999999999996E-3</v>
      </c>
      <c r="D545">
        <v>7.2500000000000004E-3</v>
      </c>
      <c r="E545">
        <v>7.5760000000000003E-3</v>
      </c>
      <c r="F545">
        <v>11598812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0.42358078602620292</v>
      </c>
      <c r="Q545">
        <f t="shared" si="985"/>
        <v>4913033.9039301546</v>
      </c>
      <c r="R545">
        <f t="shared" si="986"/>
        <v>-597185144.22446644</v>
      </c>
      <c r="S545">
        <f t="shared" si="987"/>
        <v>-5971.8514422446642</v>
      </c>
      <c r="T545">
        <f t="shared" si="988"/>
        <v>-5.971851442244664</v>
      </c>
    </row>
    <row r="546" spans="1:20" x14ac:dyDescent="0.25">
      <c r="A546" s="5">
        <v>44047</v>
      </c>
      <c r="B546">
        <v>7.3340000000000002E-3</v>
      </c>
      <c r="C546">
        <v>7.4019999999999997E-3</v>
      </c>
      <c r="D546">
        <v>7.0460000000000002E-3</v>
      </c>
      <c r="E546">
        <v>7.2700000000000004E-3</v>
      </c>
      <c r="F546">
        <v>9487033</v>
      </c>
      <c r="G546">
        <v>0</v>
      </c>
      <c r="L546" t="s">
        <v>7</v>
      </c>
      <c r="M546" t="s">
        <v>7</v>
      </c>
      <c r="N546" t="s">
        <v>8</v>
      </c>
      <c r="P546">
        <f t="shared" si="984"/>
        <v>0.25842696629213779</v>
      </c>
      <c r="Q546">
        <f t="shared" si="985"/>
        <v>2451705.1573033989</v>
      </c>
      <c r="R546">
        <f t="shared" si="986"/>
        <v>-602098178.12839663</v>
      </c>
      <c r="S546">
        <f t="shared" si="987"/>
        <v>-6020.9817812839665</v>
      </c>
      <c r="T546">
        <f t="shared" si="988"/>
        <v>-6.0209817812839663</v>
      </c>
    </row>
    <row r="547" spans="1:20" x14ac:dyDescent="0.25">
      <c r="A547" s="5">
        <v>44046</v>
      </c>
      <c r="B547">
        <v>7.3039999999999997E-3</v>
      </c>
      <c r="C547">
        <v>7.5659999999999998E-3</v>
      </c>
      <c r="D547">
        <v>7.2329999999999998E-3</v>
      </c>
      <c r="E547">
        <v>7.2379999999999996E-3</v>
      </c>
      <c r="F547">
        <v>3324007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-0.9699699699699712</v>
      </c>
      <c r="Q547">
        <f t="shared" si="985"/>
        <v>-3224186.9699699739</v>
      </c>
      <c r="R547">
        <f t="shared" si="986"/>
        <v>-604549883.28570008</v>
      </c>
      <c r="S547">
        <f t="shared" si="987"/>
        <v>-6045.4988328570007</v>
      </c>
      <c r="T547">
        <f t="shared" si="988"/>
        <v>-6.0454988328570005</v>
      </c>
    </row>
    <row r="548" spans="1:20" x14ac:dyDescent="0.25">
      <c r="A548" s="5">
        <v>44045</v>
      </c>
      <c r="B548">
        <v>7.4949999999999999E-3</v>
      </c>
      <c r="C548">
        <v>7.5380000000000004E-3</v>
      </c>
      <c r="D548">
        <v>7.0000000000000001E-3</v>
      </c>
      <c r="E548">
        <v>7.2259999999999998E-3</v>
      </c>
      <c r="F548">
        <v>10245308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-0.15985130111524343</v>
      </c>
      <c r="Q548">
        <f t="shared" si="985"/>
        <v>-1637725.8141264124</v>
      </c>
      <c r="R548">
        <f t="shared" si="986"/>
        <v>-601325696.31573009</v>
      </c>
      <c r="S548">
        <f t="shared" si="987"/>
        <v>-6013.2569631573006</v>
      </c>
      <c r="T548">
        <f t="shared" si="988"/>
        <v>-6.0132569631573007</v>
      </c>
    </row>
    <row r="549" spans="1:20" x14ac:dyDescent="0.25">
      <c r="A549" s="5">
        <v>44044</v>
      </c>
      <c r="B549">
        <v>7.4850000000000003E-3</v>
      </c>
      <c r="C549">
        <v>7.6E-3</v>
      </c>
      <c r="D549">
        <v>7.2709999999999997E-3</v>
      </c>
      <c r="E549">
        <v>7.4970000000000002E-3</v>
      </c>
      <c r="F549">
        <v>7124718</v>
      </c>
      <c r="G549">
        <v>0</v>
      </c>
      <c r="L549" t="s">
        <v>7</v>
      </c>
      <c r="M549" t="s">
        <v>7</v>
      </c>
      <c r="N549" t="s">
        <v>8</v>
      </c>
      <c r="P549">
        <f t="shared" si="984"/>
        <v>0.37386018237082247</v>
      </c>
      <c r="Q549">
        <f t="shared" si="985"/>
        <v>2663648.3708206816</v>
      </c>
      <c r="R549">
        <f t="shared" si="986"/>
        <v>-599687970.50160372</v>
      </c>
      <c r="S549">
        <f t="shared" si="987"/>
        <v>-5996.8797050160374</v>
      </c>
      <c r="T549">
        <f t="shared" si="988"/>
        <v>-5.9968797050160374</v>
      </c>
    </row>
    <row r="550" spans="1:20" x14ac:dyDescent="0.25">
      <c r="A550" s="5">
        <v>44043</v>
      </c>
      <c r="B550">
        <v>7.633E-3</v>
      </c>
      <c r="C550">
        <v>7.7079999999999996E-3</v>
      </c>
      <c r="D550">
        <v>7.2560000000000003E-3</v>
      </c>
      <c r="E550">
        <v>7.404E-3</v>
      </c>
      <c r="F550">
        <v>5669244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-0.34513274336283217</v>
      </c>
      <c r="Q550">
        <f t="shared" si="985"/>
        <v>-1956641.734513276</v>
      </c>
      <c r="R550">
        <f t="shared" si="986"/>
        <v>-602351618.87242436</v>
      </c>
      <c r="S550">
        <f t="shared" si="987"/>
        <v>-6023.5161887242439</v>
      </c>
      <c r="T550">
        <f t="shared" si="988"/>
        <v>-6.0235161887242441</v>
      </c>
    </row>
    <row r="551" spans="1:20" x14ac:dyDescent="0.25">
      <c r="A551" s="5">
        <v>44042</v>
      </c>
      <c r="B551">
        <v>7.4029999999999999E-3</v>
      </c>
      <c r="C551">
        <v>7.6969999999999998E-3</v>
      </c>
      <c r="D551">
        <v>7.3619999999999996E-3</v>
      </c>
      <c r="E551">
        <v>7.6969999999999998E-3</v>
      </c>
      <c r="F551">
        <v>5742032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1</v>
      </c>
      <c r="Q551">
        <f t="shared" si="985"/>
        <v>5742032</v>
      </c>
      <c r="R551">
        <f t="shared" si="986"/>
        <v>-600394977.13791108</v>
      </c>
      <c r="S551">
        <f t="shared" si="987"/>
        <v>-6003.9497713791106</v>
      </c>
      <c r="T551">
        <f t="shared" si="988"/>
        <v>-6.0039497713791103</v>
      </c>
    </row>
    <row r="552" spans="1:20" x14ac:dyDescent="0.25">
      <c r="A552" s="5">
        <v>44041</v>
      </c>
      <c r="B552">
        <v>7.6080000000000002E-3</v>
      </c>
      <c r="C552">
        <v>7.8989999999999998E-3</v>
      </c>
      <c r="D552">
        <v>7.4029999999999999E-3</v>
      </c>
      <c r="E552">
        <v>7.4390000000000003E-3</v>
      </c>
      <c r="F552">
        <v>9597173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-0.8548387096774176</v>
      </c>
      <c r="Q552">
        <f t="shared" si="985"/>
        <v>-8204034.9838709505</v>
      </c>
      <c r="R552">
        <f t="shared" si="986"/>
        <v>-606137009.13791108</v>
      </c>
      <c r="S552">
        <f t="shared" si="987"/>
        <v>-6061.3700913791108</v>
      </c>
      <c r="T552">
        <f t="shared" si="988"/>
        <v>-6.0613700913791106</v>
      </c>
    </row>
    <row r="553" spans="1:20" x14ac:dyDescent="0.25">
      <c r="A553" s="5">
        <v>44040</v>
      </c>
      <c r="B553">
        <v>7.162E-3</v>
      </c>
      <c r="C553">
        <v>7.7010000000000004E-3</v>
      </c>
      <c r="D553">
        <v>7.1000000000000004E-3</v>
      </c>
      <c r="E553">
        <v>7.5519999999999997E-3</v>
      </c>
      <c r="F553">
        <v>12954111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0.50415973377703593</v>
      </c>
      <c r="Q553">
        <f t="shared" si="985"/>
        <v>6530941.1530781724</v>
      </c>
      <c r="R553">
        <f t="shared" si="986"/>
        <v>-597932974.1540401</v>
      </c>
      <c r="S553">
        <f t="shared" si="987"/>
        <v>-5979.3297415404013</v>
      </c>
      <c r="T553">
        <f t="shared" si="988"/>
        <v>-5.9793297415404014</v>
      </c>
    </row>
    <row r="554" spans="1:20" x14ac:dyDescent="0.25">
      <c r="A554" s="5">
        <v>44039</v>
      </c>
      <c r="B554">
        <v>8.3490000000000005E-3</v>
      </c>
      <c r="C554">
        <v>8.3619999999999996E-3</v>
      </c>
      <c r="D554">
        <v>6.8269999999999997E-3</v>
      </c>
      <c r="E554">
        <v>7.1630000000000001E-3</v>
      </c>
      <c r="F554">
        <v>43334621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-0.56221498371335454</v>
      </c>
      <c r="Q554">
        <f t="shared" si="985"/>
        <v>-24363373.239739392</v>
      </c>
      <c r="R554">
        <f t="shared" si="986"/>
        <v>-604463915.3071183</v>
      </c>
      <c r="S554">
        <f t="shared" si="987"/>
        <v>-6044.6391530711826</v>
      </c>
      <c r="T554">
        <f t="shared" si="988"/>
        <v>-6.0446391530711825</v>
      </c>
    </row>
    <row r="555" spans="1:20" x14ac:dyDescent="0.25">
      <c r="A555" s="5">
        <v>44038</v>
      </c>
      <c r="B555">
        <v>8.6189999999999999E-3</v>
      </c>
      <c r="C555">
        <v>8.6660000000000001E-3</v>
      </c>
      <c r="D555">
        <v>8.1300000000000001E-3</v>
      </c>
      <c r="E555">
        <v>8.3169999999999997E-3</v>
      </c>
      <c r="F555">
        <v>12425406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-0.30223880597015051</v>
      </c>
      <c r="Q555">
        <f t="shared" si="985"/>
        <v>-3755439.8731343439</v>
      </c>
      <c r="R555">
        <f t="shared" si="986"/>
        <v>-580100542.06737888</v>
      </c>
      <c r="S555">
        <f t="shared" si="987"/>
        <v>-5801.0054206737886</v>
      </c>
      <c r="T555">
        <f t="shared" si="988"/>
        <v>-5.8010054206737882</v>
      </c>
    </row>
    <row r="556" spans="1:20" x14ac:dyDescent="0.25">
      <c r="A556" s="5">
        <v>44037</v>
      </c>
      <c r="B556">
        <v>8.7030000000000007E-3</v>
      </c>
      <c r="C556">
        <v>9.1719999999999996E-3</v>
      </c>
      <c r="D556">
        <v>8.4139999999999996E-3</v>
      </c>
      <c r="E556">
        <v>8.6660000000000001E-3</v>
      </c>
      <c r="F556">
        <v>21920488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-0.33509234828495915</v>
      </c>
      <c r="Q556">
        <f t="shared" si="985"/>
        <v>-7345387.7994722677</v>
      </c>
      <c r="R556">
        <f t="shared" si="986"/>
        <v>-576345102.1942445</v>
      </c>
      <c r="S556">
        <f t="shared" si="987"/>
        <v>-5763.4510219424446</v>
      </c>
      <c r="T556">
        <f t="shared" si="988"/>
        <v>-5.7634510219424451</v>
      </c>
    </row>
    <row r="557" spans="1:20" x14ac:dyDescent="0.25">
      <c r="A557" s="5">
        <v>44036</v>
      </c>
      <c r="B557">
        <v>8.2319999999999997E-3</v>
      </c>
      <c r="C557">
        <v>9.2999999999999992E-3</v>
      </c>
      <c r="D557">
        <v>8.1580000000000003E-3</v>
      </c>
      <c r="E557">
        <v>8.6499999999999997E-3</v>
      </c>
      <c r="F557">
        <v>34524044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-0.13835376532399327</v>
      </c>
      <c r="Q557">
        <f t="shared" si="985"/>
        <v>-4776531.4816112174</v>
      </c>
      <c r="R557">
        <f t="shared" si="986"/>
        <v>-568999714.39477229</v>
      </c>
      <c r="S557">
        <f t="shared" si="987"/>
        <v>-5689.9971439477231</v>
      </c>
      <c r="T557">
        <f t="shared" si="988"/>
        <v>-5.689997143947723</v>
      </c>
    </row>
    <row r="558" spans="1:20" x14ac:dyDescent="0.25">
      <c r="A558" s="5">
        <v>44035</v>
      </c>
      <c r="B558">
        <v>8.4110000000000001E-3</v>
      </c>
      <c r="C558">
        <v>8.8699999999999994E-3</v>
      </c>
      <c r="D558">
        <v>7.9340000000000001E-3</v>
      </c>
      <c r="E558">
        <v>8.2699999999999996E-3</v>
      </c>
      <c r="F558">
        <v>29370222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-0.2820512820512826</v>
      </c>
      <c r="Q558">
        <f t="shared" si="985"/>
        <v>-8283908.7692307858</v>
      </c>
      <c r="R558">
        <f t="shared" si="986"/>
        <v>-564223182.91316104</v>
      </c>
      <c r="S558">
        <f t="shared" si="987"/>
        <v>-5642.2318291316105</v>
      </c>
      <c r="T558">
        <f t="shared" si="988"/>
        <v>-5.6422318291316103</v>
      </c>
    </row>
    <row r="559" spans="1:20" x14ac:dyDescent="0.25">
      <c r="A559" s="5">
        <v>44034</v>
      </c>
      <c r="B559">
        <v>7.8449999999999995E-3</v>
      </c>
      <c r="C559">
        <v>8.8240000000000002E-3</v>
      </c>
      <c r="D559">
        <v>7.8449999999999995E-3</v>
      </c>
      <c r="E559">
        <v>8.4010000000000005E-3</v>
      </c>
      <c r="F559">
        <v>22851817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0.13585291113381112</v>
      </c>
      <c r="Q559">
        <f t="shared" si="985"/>
        <v>3104485.8641471141</v>
      </c>
      <c r="R559">
        <f t="shared" si="986"/>
        <v>-555939274.1439302</v>
      </c>
      <c r="S559">
        <f t="shared" si="987"/>
        <v>-5559.392741439302</v>
      </c>
      <c r="T559">
        <f t="shared" si="988"/>
        <v>-5.5593927414393018</v>
      </c>
    </row>
    <row r="560" spans="1:20" x14ac:dyDescent="0.25">
      <c r="A560" s="5">
        <v>44033</v>
      </c>
      <c r="B560">
        <v>7.7279999999999996E-3</v>
      </c>
      <c r="C560">
        <v>8.0389999999999993E-3</v>
      </c>
      <c r="D560">
        <v>7.6969999999999998E-3</v>
      </c>
      <c r="E560">
        <v>7.8930000000000007E-3</v>
      </c>
      <c r="F560">
        <v>9186901</v>
      </c>
      <c r="G560">
        <v>0</v>
      </c>
      <c r="L560" t="s">
        <v>7</v>
      </c>
      <c r="M560" t="s">
        <v>8</v>
      </c>
      <c r="N560" t="s">
        <v>7</v>
      </c>
      <c r="P560">
        <f t="shared" si="984"/>
        <v>0.14619883040936368</v>
      </c>
      <c r="Q560">
        <f t="shared" si="985"/>
        <v>1343114.1812866137</v>
      </c>
      <c r="R560">
        <f t="shared" si="986"/>
        <v>-559043760.00807726</v>
      </c>
      <c r="S560">
        <f t="shared" si="987"/>
        <v>-5590.4376000807724</v>
      </c>
      <c r="T560">
        <f t="shared" si="988"/>
        <v>-5.5904376000807723</v>
      </c>
    </row>
    <row r="561" spans="1:104" x14ac:dyDescent="0.25">
      <c r="A561" s="5">
        <v>44032</v>
      </c>
      <c r="B561">
        <v>7.816E-3</v>
      </c>
      <c r="C561">
        <v>8.0510000000000009E-3</v>
      </c>
      <c r="D561">
        <v>7.6699999999999997E-3</v>
      </c>
      <c r="E561">
        <v>7.7869999999999997E-3</v>
      </c>
      <c r="F561">
        <v>14526369</v>
      </c>
      <c r="G561">
        <v>0</v>
      </c>
      <c r="L561" t="s">
        <v>7</v>
      </c>
      <c r="M561" t="s">
        <v>8</v>
      </c>
      <c r="N561" t="s">
        <v>7</v>
      </c>
      <c r="P561">
        <f t="shared" si="984"/>
        <v>-0.38582677165354556</v>
      </c>
      <c r="Q561">
        <f t="shared" si="985"/>
        <v>-5604662.0551181426</v>
      </c>
      <c r="R561">
        <f t="shared" si="986"/>
        <v>-560386874.18936384</v>
      </c>
      <c r="S561">
        <f t="shared" si="987"/>
        <v>-5603.8687418936388</v>
      </c>
      <c r="T561">
        <f t="shared" si="988"/>
        <v>-5.6038687418936384</v>
      </c>
      <c r="CZ561" t="s">
        <v>7</v>
      </c>
    </row>
    <row r="562" spans="1:104" x14ac:dyDescent="0.25">
      <c r="A562" s="5">
        <v>44031</v>
      </c>
      <c r="B562">
        <v>7.9089999999999994E-3</v>
      </c>
      <c r="C562">
        <v>7.9609999999999993E-3</v>
      </c>
      <c r="D562">
        <v>7.6750000000000004E-3</v>
      </c>
      <c r="E562">
        <v>7.8829999999999994E-3</v>
      </c>
      <c r="F562">
        <v>8020528</v>
      </c>
      <c r="G562">
        <v>0</v>
      </c>
      <c r="L562" t="s">
        <v>7</v>
      </c>
      <c r="M562" t="s">
        <v>8</v>
      </c>
      <c r="N562" t="s">
        <v>7</v>
      </c>
      <c r="P562">
        <f t="shared" si="984"/>
        <v>0.45454545454545286</v>
      </c>
      <c r="Q562">
        <f t="shared" si="985"/>
        <v>3645694.5454545319</v>
      </c>
      <c r="R562">
        <f t="shared" si="986"/>
        <v>-554782212.13424575</v>
      </c>
      <c r="S562">
        <f t="shared" si="987"/>
        <v>-5547.8221213424576</v>
      </c>
      <c r="T562">
        <f t="shared" si="988"/>
        <v>-5.5478221213424579</v>
      </c>
      <c r="CZ562" t="s">
        <v>7</v>
      </c>
    </row>
    <row r="563" spans="1:104" x14ac:dyDescent="0.25">
      <c r="A563" s="5">
        <v>44030</v>
      </c>
      <c r="B563">
        <v>7.7169999999999999E-3</v>
      </c>
      <c r="C563">
        <v>8.3169999999999997E-3</v>
      </c>
      <c r="D563">
        <v>7.6E-3</v>
      </c>
      <c r="E563">
        <v>7.9089999999999994E-3</v>
      </c>
      <c r="F563">
        <v>38026011</v>
      </c>
      <c r="G563">
        <v>0</v>
      </c>
      <c r="L563" t="s">
        <v>8</v>
      </c>
      <c r="M563" t="s">
        <v>8</v>
      </c>
      <c r="N563" t="s">
        <v>7</v>
      </c>
      <c r="P563">
        <f t="shared" si="984"/>
        <v>-0.13807531380753282</v>
      </c>
      <c r="Q563">
        <f t="shared" si="985"/>
        <v>-5250453.4016736951</v>
      </c>
      <c r="R563">
        <f t="shared" si="986"/>
        <v>-558427906.67970026</v>
      </c>
      <c r="S563">
        <f t="shared" si="987"/>
        <v>-5584.279066797003</v>
      </c>
      <c r="T563">
        <f t="shared" si="988"/>
        <v>-5.584279066797003</v>
      </c>
      <c r="CZ563" t="s">
        <v>7</v>
      </c>
    </row>
    <row r="564" spans="1:104" x14ac:dyDescent="0.25">
      <c r="A564" s="5">
        <v>44029</v>
      </c>
      <c r="B564">
        <v>7.1370000000000001E-3</v>
      </c>
      <c r="C564">
        <v>7.8860000000000006E-3</v>
      </c>
      <c r="D564">
        <v>7.0870000000000004E-3</v>
      </c>
      <c r="E564">
        <v>7.7169999999999999E-3</v>
      </c>
      <c r="F564">
        <v>21984403</v>
      </c>
      <c r="G564">
        <v>0</v>
      </c>
      <c r="L564" t="s">
        <v>8</v>
      </c>
      <c r="M564" t="s">
        <v>7</v>
      </c>
      <c r="N564" t="s">
        <v>7</v>
      </c>
      <c r="P564">
        <f t="shared" si="984"/>
        <v>0.57697121401752016</v>
      </c>
      <c r="Q564">
        <f t="shared" si="985"/>
        <v>12684367.688360412</v>
      </c>
      <c r="R564">
        <f t="shared" si="986"/>
        <v>-553177453.27802658</v>
      </c>
      <c r="S564">
        <f t="shared" si="987"/>
        <v>-5531.7745327802659</v>
      </c>
      <c r="T564">
        <f t="shared" si="988"/>
        <v>-5.5317745327802657</v>
      </c>
    </row>
    <row r="565" spans="1:104" x14ac:dyDescent="0.25">
      <c r="A565" s="5">
        <v>44028</v>
      </c>
      <c r="B565">
        <v>7.463E-3</v>
      </c>
      <c r="C565">
        <v>7.4980000000000003E-3</v>
      </c>
      <c r="D565">
        <v>6.7669999999999996E-3</v>
      </c>
      <c r="E565">
        <v>7.1850000000000004E-3</v>
      </c>
      <c r="F565">
        <v>10376526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0.14363885088919401</v>
      </c>
      <c r="Q565">
        <f t="shared" si="985"/>
        <v>1490472.2708618448</v>
      </c>
      <c r="R565">
        <f t="shared" si="986"/>
        <v>-565861820.96638703</v>
      </c>
      <c r="S565">
        <f t="shared" si="987"/>
        <v>-5658.6182096638704</v>
      </c>
      <c r="T565">
        <f t="shared" si="988"/>
        <v>-5.65861820966387</v>
      </c>
    </row>
    <row r="566" spans="1:104" x14ac:dyDescent="0.25">
      <c r="A566" s="5">
        <v>44027</v>
      </c>
      <c r="B566">
        <v>7.319E-3</v>
      </c>
      <c r="C566">
        <v>7.6020000000000003E-3</v>
      </c>
      <c r="D566">
        <v>7.2509999999999996E-3</v>
      </c>
      <c r="E566">
        <v>7.4089999999999998E-3</v>
      </c>
      <c r="F566">
        <v>6654025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-9.9715099715100425E-2</v>
      </c>
      <c r="Q566">
        <f t="shared" si="985"/>
        <v>-663506.76638177107</v>
      </c>
      <c r="R566">
        <f t="shared" si="986"/>
        <v>-567352293.2372489</v>
      </c>
      <c r="S566">
        <f t="shared" si="987"/>
        <v>-5673.5229323724889</v>
      </c>
      <c r="T566">
        <f t="shared" si="988"/>
        <v>-5.6735229323724887</v>
      </c>
    </row>
    <row r="567" spans="1:104" x14ac:dyDescent="0.25">
      <c r="A567" s="5">
        <v>44026</v>
      </c>
      <c r="B567">
        <v>7.143E-3</v>
      </c>
      <c r="C567">
        <v>7.3959999999999998E-3</v>
      </c>
      <c r="D567">
        <v>7.0309999999999999E-3</v>
      </c>
      <c r="E567">
        <v>7.319E-3</v>
      </c>
      <c r="F567">
        <v>4936266</v>
      </c>
      <c r="G567">
        <v>0</v>
      </c>
      <c r="L567" t="s">
        <v>7</v>
      </c>
      <c r="M567" t="s">
        <v>8</v>
      </c>
      <c r="N567" t="s">
        <v>7</v>
      </c>
      <c r="P567">
        <f t="shared" si="984"/>
        <v>0.57808219178082276</v>
      </c>
      <c r="Q567">
        <f t="shared" si="985"/>
        <v>2853567.4684931547</v>
      </c>
      <c r="R567">
        <f t="shared" si="986"/>
        <v>-566688786.47086716</v>
      </c>
      <c r="S567">
        <f t="shared" si="987"/>
        <v>-5666.8878647086713</v>
      </c>
      <c r="T567">
        <f t="shared" si="988"/>
        <v>-5.6668878647086709</v>
      </c>
    </row>
    <row r="568" spans="1:104" x14ac:dyDescent="0.25">
      <c r="A568" s="5">
        <v>44025</v>
      </c>
      <c r="B568">
        <v>7.5690000000000002E-3</v>
      </c>
      <c r="C568">
        <v>7.7000000000000002E-3</v>
      </c>
      <c r="D568">
        <v>7.1000000000000004E-3</v>
      </c>
      <c r="E568">
        <v>7.1000000000000004E-3</v>
      </c>
      <c r="F568">
        <v>10674928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-1</v>
      </c>
      <c r="Q568">
        <f t="shared" si="985"/>
        <v>-10674928</v>
      </c>
      <c r="R568">
        <f t="shared" si="986"/>
        <v>-569542353.93936026</v>
      </c>
      <c r="S568">
        <f t="shared" si="987"/>
        <v>-5695.4235393936024</v>
      </c>
      <c r="T568">
        <f t="shared" si="988"/>
        <v>-5.6954235393936026</v>
      </c>
    </row>
    <row r="569" spans="1:104" x14ac:dyDescent="0.25">
      <c r="A569" s="5">
        <v>44024</v>
      </c>
      <c r="B569">
        <v>7.6470000000000002E-3</v>
      </c>
      <c r="C569">
        <v>7.7879999999999998E-3</v>
      </c>
      <c r="D569">
        <v>7.3660000000000002E-3</v>
      </c>
      <c r="E569">
        <v>7.5329999999999998E-3</v>
      </c>
      <c r="F569">
        <v>7973703</v>
      </c>
      <c r="G569">
        <v>0</v>
      </c>
      <c r="L569" t="s">
        <v>7</v>
      </c>
      <c r="M569" t="s">
        <v>8</v>
      </c>
      <c r="N569" t="s">
        <v>7</v>
      </c>
      <c r="P569">
        <f t="shared" si="984"/>
        <v>-0.20853080568720492</v>
      </c>
      <c r="Q569">
        <f t="shared" si="985"/>
        <v>-1662762.710900483</v>
      </c>
      <c r="R569">
        <f t="shared" si="986"/>
        <v>-558867425.93936026</v>
      </c>
      <c r="S569">
        <f t="shared" si="987"/>
        <v>-5588.6742593936024</v>
      </c>
      <c r="T569">
        <f t="shared" si="988"/>
        <v>-5.5886742593936027</v>
      </c>
    </row>
    <row r="570" spans="1:104" x14ac:dyDescent="0.25">
      <c r="A570" s="5">
        <v>44023</v>
      </c>
      <c r="B570">
        <v>7.9229999999999995E-3</v>
      </c>
      <c r="C570">
        <v>8.0149999999999996E-3</v>
      </c>
      <c r="D570">
        <v>7.4900000000000001E-3</v>
      </c>
      <c r="E570">
        <v>7.6010000000000001E-3</v>
      </c>
      <c r="F570">
        <v>11615347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-0.57714285714285674</v>
      </c>
      <c r="Q570">
        <f t="shared" si="985"/>
        <v>-6703714.5542857097</v>
      </c>
      <c r="R570">
        <f t="shared" si="986"/>
        <v>-557204663.22845984</v>
      </c>
      <c r="S570">
        <f t="shared" si="987"/>
        <v>-5572.0466322845987</v>
      </c>
      <c r="T570">
        <f t="shared" si="988"/>
        <v>-5.5720466322845983</v>
      </c>
    </row>
    <row r="571" spans="1:104" x14ac:dyDescent="0.25">
      <c r="A571" s="5">
        <v>44022</v>
      </c>
      <c r="B571">
        <v>7.045E-3</v>
      </c>
      <c r="C571">
        <v>7.9600000000000001E-3</v>
      </c>
      <c r="D571">
        <v>7.0000000000000001E-3</v>
      </c>
      <c r="E571">
        <v>7.9220000000000002E-3</v>
      </c>
      <c r="F571">
        <v>36677271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0.92083333333333361</v>
      </c>
      <c r="Q571">
        <f t="shared" si="985"/>
        <v>33773653.712500013</v>
      </c>
      <c r="R571">
        <f t="shared" si="986"/>
        <v>-550500948.67417407</v>
      </c>
      <c r="S571">
        <f t="shared" si="987"/>
        <v>-5505.0094867417411</v>
      </c>
      <c r="T571">
        <f t="shared" si="988"/>
        <v>-5.5050094867417414</v>
      </c>
    </row>
    <row r="572" spans="1:104" x14ac:dyDescent="0.25">
      <c r="A572" s="5">
        <v>44021</v>
      </c>
      <c r="B572">
        <v>7.1999999999999998E-3</v>
      </c>
      <c r="C572">
        <v>7.2639999999999996E-3</v>
      </c>
      <c r="D572">
        <v>6.901E-3</v>
      </c>
      <c r="E572">
        <v>7.0889999999999998E-3</v>
      </c>
      <c r="F572">
        <v>6592682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3.5812672176308555E-2</v>
      </c>
      <c r="Q572">
        <f t="shared" si="985"/>
        <v>236101.55922865024</v>
      </c>
      <c r="R572">
        <f t="shared" si="986"/>
        <v>-584274602.38667405</v>
      </c>
      <c r="S572">
        <f t="shared" si="987"/>
        <v>-5842.7460238667409</v>
      </c>
      <c r="T572">
        <f t="shared" si="988"/>
        <v>-5.8427460238667406</v>
      </c>
    </row>
    <row r="573" spans="1:104" x14ac:dyDescent="0.25">
      <c r="A573" s="5">
        <v>44020</v>
      </c>
      <c r="B573">
        <v>6.8970000000000004E-3</v>
      </c>
      <c r="C573">
        <v>7.2350000000000001E-3</v>
      </c>
      <c r="D573">
        <v>6.8459999999999997E-3</v>
      </c>
      <c r="E573">
        <v>7.1999999999999998E-3</v>
      </c>
      <c r="F573">
        <v>7627793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0.82005141388174674</v>
      </c>
      <c r="Q573">
        <f t="shared" si="985"/>
        <v>6255182.4344472904</v>
      </c>
      <c r="R573">
        <f t="shared" si="986"/>
        <v>-584510703.94590271</v>
      </c>
      <c r="S573">
        <f t="shared" si="987"/>
        <v>-5845.107039459027</v>
      </c>
      <c r="T573">
        <f t="shared" si="988"/>
        <v>-5.8451070394590268</v>
      </c>
    </row>
    <row r="574" spans="1:104" x14ac:dyDescent="0.25">
      <c r="A574" s="5">
        <v>44019</v>
      </c>
      <c r="B574">
        <v>6.9820000000000004E-3</v>
      </c>
      <c r="C574">
        <v>7.012E-3</v>
      </c>
      <c r="D574">
        <v>6.8500000000000002E-3</v>
      </c>
      <c r="E574">
        <v>6.914E-3</v>
      </c>
      <c r="F574">
        <v>4534222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-0.20987654320987786</v>
      </c>
      <c r="Q574">
        <f t="shared" si="985"/>
        <v>-951626.83950617886</v>
      </c>
      <c r="R574">
        <f t="shared" si="986"/>
        <v>-590765886.38034999</v>
      </c>
      <c r="S574">
        <f t="shared" si="987"/>
        <v>-5907.6588638035</v>
      </c>
      <c r="T574">
        <f t="shared" si="988"/>
        <v>-5.9076588638035004</v>
      </c>
    </row>
    <row r="575" spans="1:104" x14ac:dyDescent="0.25">
      <c r="A575" s="5">
        <v>44018</v>
      </c>
      <c r="B575">
        <v>6.6639999999999998E-3</v>
      </c>
      <c r="C575">
        <v>6.992E-3</v>
      </c>
      <c r="D575">
        <v>6.6259999999999999E-3</v>
      </c>
      <c r="E575">
        <v>6.9820000000000004E-3</v>
      </c>
      <c r="F575">
        <v>8991202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0.94535519125683287</v>
      </c>
      <c r="Q575">
        <f t="shared" si="985"/>
        <v>8499879.4863388184</v>
      </c>
      <c r="R575">
        <f t="shared" si="986"/>
        <v>-589814259.54084384</v>
      </c>
      <c r="S575">
        <f t="shared" si="987"/>
        <v>-5898.1425954084389</v>
      </c>
      <c r="T575">
        <f t="shared" si="988"/>
        <v>-5.898142595408439</v>
      </c>
    </row>
    <row r="576" spans="1:104" x14ac:dyDescent="0.25">
      <c r="A576" s="5">
        <v>44017</v>
      </c>
      <c r="B576">
        <v>7.0460000000000002E-3</v>
      </c>
      <c r="C576">
        <v>7.0460000000000002E-3</v>
      </c>
      <c r="D576">
        <v>6.5180000000000004E-3</v>
      </c>
      <c r="E576">
        <v>6.6639999999999998E-3</v>
      </c>
      <c r="F576">
        <v>5727332</v>
      </c>
      <c r="G576">
        <v>0</v>
      </c>
      <c r="L576" t="s">
        <v>8</v>
      </c>
      <c r="M576" t="s">
        <v>8</v>
      </c>
      <c r="N576" t="s">
        <v>7</v>
      </c>
      <c r="P576">
        <f t="shared" si="984"/>
        <v>-0.44696969696969896</v>
      </c>
      <c r="Q576">
        <f t="shared" si="985"/>
        <v>-2559943.8484848598</v>
      </c>
      <c r="R576">
        <f t="shared" si="986"/>
        <v>-598314139.0271827</v>
      </c>
      <c r="S576">
        <f t="shared" si="987"/>
        <v>-5983.1413902718268</v>
      </c>
      <c r="T576">
        <f t="shared" si="988"/>
        <v>-5.9831413902718271</v>
      </c>
    </row>
    <row r="577" spans="1:20" x14ac:dyDescent="0.25">
      <c r="A577" s="5">
        <v>44016</v>
      </c>
      <c r="B577">
        <v>6.8399999999999997E-3</v>
      </c>
      <c r="C577">
        <v>7.1000000000000004E-3</v>
      </c>
      <c r="D577">
        <v>6.5370000000000003E-3</v>
      </c>
      <c r="E577">
        <v>7.0470000000000003E-3</v>
      </c>
      <c r="F577">
        <v>9115826</v>
      </c>
      <c r="G577">
        <v>0</v>
      </c>
      <c r="L577" t="s">
        <v>7</v>
      </c>
      <c r="M577" t="s">
        <v>8</v>
      </c>
      <c r="N577" t="s">
        <v>7</v>
      </c>
      <c r="P577">
        <f t="shared" si="984"/>
        <v>0.81172291296625187</v>
      </c>
      <c r="Q577">
        <f t="shared" si="985"/>
        <v>7399524.8348134961</v>
      </c>
      <c r="R577">
        <f t="shared" si="986"/>
        <v>-595754195.17869782</v>
      </c>
      <c r="S577">
        <f t="shared" si="987"/>
        <v>-5957.5419517869786</v>
      </c>
      <c r="T577">
        <f t="shared" si="988"/>
        <v>-5.957541951786979</v>
      </c>
    </row>
    <row r="578" spans="1:20" x14ac:dyDescent="0.25">
      <c r="A578" s="5">
        <v>44015</v>
      </c>
      <c r="B578">
        <v>6.7869999999999996E-3</v>
      </c>
      <c r="C578">
        <v>7.1000000000000004E-3</v>
      </c>
      <c r="D578">
        <v>6.7210000000000004E-3</v>
      </c>
      <c r="E578">
        <v>6.8399999999999997E-3</v>
      </c>
      <c r="F578">
        <v>8770622</v>
      </c>
      <c r="G578">
        <v>0</v>
      </c>
      <c r="L578" t="s">
        <v>7</v>
      </c>
      <c r="M578" t="s">
        <v>8</v>
      </c>
      <c r="N578" t="s">
        <v>7</v>
      </c>
      <c r="P578">
        <f t="shared" si="984"/>
        <v>-0.37203166226913292</v>
      </c>
      <c r="Q578">
        <f t="shared" si="985"/>
        <v>-3262949.081794227</v>
      </c>
      <c r="R578">
        <f t="shared" si="986"/>
        <v>-603153720.0135113</v>
      </c>
      <c r="S578">
        <f t="shared" si="987"/>
        <v>-6031.5372001351134</v>
      </c>
      <c r="T578">
        <f t="shared" si="988"/>
        <v>-6.0315372001351131</v>
      </c>
    </row>
    <row r="579" spans="1:20" x14ac:dyDescent="0.25">
      <c r="A579" s="5">
        <v>44014</v>
      </c>
      <c r="B579">
        <v>6.6E-3</v>
      </c>
      <c r="C579">
        <v>7.3969999999999999E-3</v>
      </c>
      <c r="D579">
        <v>6.5620000000000001E-3</v>
      </c>
      <c r="E579">
        <v>6.8300000000000001E-3</v>
      </c>
      <c r="F579">
        <v>27463803</v>
      </c>
      <c r="G579">
        <v>0</v>
      </c>
      <c r="L579" t="s">
        <v>8</v>
      </c>
      <c r="M579" t="s">
        <v>8</v>
      </c>
      <c r="N579" t="s">
        <v>7</v>
      </c>
      <c r="P579">
        <f t="shared" si="984"/>
        <v>-0.35808383233532914</v>
      </c>
      <c r="Q579">
        <f t="shared" si="985"/>
        <v>-9834343.8287425097</v>
      </c>
      <c r="R579">
        <f t="shared" si="986"/>
        <v>-599890770.93171704</v>
      </c>
      <c r="S579">
        <f t="shared" si="987"/>
        <v>-5998.90770931717</v>
      </c>
      <c r="T579">
        <f t="shared" si="988"/>
        <v>-5.9989077093171703</v>
      </c>
    </row>
    <row r="580" spans="1:20" x14ac:dyDescent="0.25">
      <c r="A580" s="5">
        <v>44013</v>
      </c>
      <c r="B580">
        <v>6.3369999999999998E-3</v>
      </c>
      <c r="C580">
        <v>6.6E-3</v>
      </c>
      <c r="D580">
        <v>6.2420000000000002E-3</v>
      </c>
      <c r="E580">
        <v>6.5519999999999997E-3</v>
      </c>
      <c r="F580">
        <v>5022816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0.73184357541899259</v>
      </c>
      <c r="Q580">
        <f t="shared" si="985"/>
        <v>3675915.6201117225</v>
      </c>
      <c r="R580">
        <f t="shared" si="986"/>
        <v>-590056427.10297453</v>
      </c>
      <c r="S580">
        <f t="shared" si="987"/>
        <v>-5900.5642710297452</v>
      </c>
      <c r="T580">
        <f t="shared" si="988"/>
        <v>-5.9005642710297455</v>
      </c>
    </row>
    <row r="581" spans="1:20" x14ac:dyDescent="0.25">
      <c r="A581" s="5">
        <v>44012</v>
      </c>
      <c r="B581">
        <v>6.4419999999999998E-3</v>
      </c>
      <c r="C581">
        <v>6.5050000000000004E-3</v>
      </c>
      <c r="D581">
        <v>6.3E-3</v>
      </c>
      <c r="E581">
        <v>6.3229999999999996E-3</v>
      </c>
      <c r="F581">
        <v>1867301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-0.77560975609756544</v>
      </c>
      <c r="Q581">
        <f t="shared" si="985"/>
        <v>-1448296.87317074</v>
      </c>
      <c r="R581">
        <f t="shared" si="986"/>
        <v>-593732342.72308624</v>
      </c>
      <c r="S581">
        <f t="shared" si="987"/>
        <v>-5937.3234272308628</v>
      </c>
      <c r="T581">
        <f t="shared" si="988"/>
        <v>-5.9373234272308624</v>
      </c>
    </row>
    <row r="582" spans="1:20" x14ac:dyDescent="0.25">
      <c r="A582" s="5">
        <v>44011</v>
      </c>
      <c r="B582">
        <v>6.4939999999999998E-3</v>
      </c>
      <c r="C582">
        <v>6.5319999999999996E-3</v>
      </c>
      <c r="D582">
        <v>6.2859999999999999E-3</v>
      </c>
      <c r="E582">
        <v>6.4200000000000004E-3</v>
      </c>
      <c r="F582">
        <v>4371165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8.9430894308948017E-2</v>
      </c>
      <c r="Q582">
        <f t="shared" ref="Q582:Q645" si="990">F582*P582</f>
        <v>390917.19512197276</v>
      </c>
      <c r="R582">
        <f t="shared" ref="R582:R645" si="991">R583+Q582</f>
        <v>-592284045.8499155</v>
      </c>
      <c r="S582">
        <f t="shared" ref="S582:S645" si="992">R582/100000</f>
        <v>-5922.8404584991549</v>
      </c>
      <c r="T582">
        <f t="shared" ref="T582:T645" si="993">S582/1000</f>
        <v>-5.922840458499155</v>
      </c>
    </row>
    <row r="583" spans="1:20" x14ac:dyDescent="0.25">
      <c r="A583" s="5">
        <v>44010</v>
      </c>
      <c r="B583">
        <v>6.3540000000000003E-3</v>
      </c>
      <c r="C583">
        <v>6.5830000000000003E-3</v>
      </c>
      <c r="D583">
        <v>5.9090000000000002E-3</v>
      </c>
      <c r="E583">
        <v>6.4859999999999996E-3</v>
      </c>
      <c r="F583">
        <v>8081589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0.71216617210682276</v>
      </c>
      <c r="Q583">
        <f t="shared" si="990"/>
        <v>5755434.3026706055</v>
      </c>
      <c r="R583">
        <f t="shared" si="991"/>
        <v>-592674963.04503751</v>
      </c>
      <c r="S583">
        <f t="shared" si="992"/>
        <v>-5926.7496304503748</v>
      </c>
      <c r="T583">
        <f t="shared" si="993"/>
        <v>-5.9267496304503746</v>
      </c>
    </row>
    <row r="584" spans="1:20" x14ac:dyDescent="0.25">
      <c r="A584" s="5">
        <v>44009</v>
      </c>
      <c r="B584">
        <v>6.8519999999999996E-3</v>
      </c>
      <c r="C584">
        <v>6.9870000000000002E-3</v>
      </c>
      <c r="D584">
        <v>6.2110000000000004E-3</v>
      </c>
      <c r="E584">
        <v>6.3070000000000001E-3</v>
      </c>
      <c r="F584">
        <v>8010857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-0.75257731958762952</v>
      </c>
      <c r="Q584">
        <f t="shared" si="990"/>
        <v>-6028789.2886597989</v>
      </c>
      <c r="R584">
        <f t="shared" si="991"/>
        <v>-598430397.34770811</v>
      </c>
      <c r="S584">
        <f t="shared" si="992"/>
        <v>-5984.3039734770809</v>
      </c>
      <c r="T584">
        <f t="shared" si="993"/>
        <v>-5.9843039734770809</v>
      </c>
    </row>
    <row r="585" spans="1:20" x14ac:dyDescent="0.25">
      <c r="A585" s="5">
        <v>44008</v>
      </c>
      <c r="B585">
        <v>7.3029999999999996E-3</v>
      </c>
      <c r="C585">
        <v>7.3969999999999999E-3</v>
      </c>
      <c r="D585">
        <v>6.6E-3</v>
      </c>
      <c r="E585">
        <v>6.8869999999999999E-3</v>
      </c>
      <c r="F585">
        <v>10445702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-0.27979924717691357</v>
      </c>
      <c r="Q585">
        <f t="shared" si="990"/>
        <v>-2922699.5558343804</v>
      </c>
      <c r="R585">
        <f t="shared" si="991"/>
        <v>-592401608.0590483</v>
      </c>
      <c r="S585">
        <f t="shared" si="992"/>
        <v>-5924.0160805904834</v>
      </c>
      <c r="T585">
        <f t="shared" si="993"/>
        <v>-5.9240160805904836</v>
      </c>
    </row>
    <row r="586" spans="1:20" x14ac:dyDescent="0.25">
      <c r="A586" s="5">
        <v>44007</v>
      </c>
      <c r="B586">
        <v>7.0860000000000003E-3</v>
      </c>
      <c r="C586">
        <v>7.4000000000000003E-3</v>
      </c>
      <c r="D586">
        <v>6.8329999999999997E-3</v>
      </c>
      <c r="E586">
        <v>7.3049999999999999E-3</v>
      </c>
      <c r="F586">
        <v>12566163</v>
      </c>
      <c r="G586">
        <v>0</v>
      </c>
      <c r="L586" t="s">
        <v>8</v>
      </c>
      <c r="M586" t="s">
        <v>7</v>
      </c>
      <c r="N586" t="s">
        <v>7</v>
      </c>
      <c r="P586">
        <f t="shared" si="989"/>
        <v>0.66490299823633037</v>
      </c>
      <c r="Q586">
        <f t="shared" si="990"/>
        <v>8355279.4550264403</v>
      </c>
      <c r="R586">
        <f t="shared" si="991"/>
        <v>-589478908.50321388</v>
      </c>
      <c r="S586">
        <f t="shared" si="992"/>
        <v>-5894.7890850321392</v>
      </c>
      <c r="T586">
        <f t="shared" si="993"/>
        <v>-5.8947890850321389</v>
      </c>
    </row>
    <row r="587" spans="1:20" x14ac:dyDescent="0.25">
      <c r="A587" s="5">
        <v>44006</v>
      </c>
      <c r="B587">
        <v>7.5560000000000002E-3</v>
      </c>
      <c r="C587">
        <v>7.6559999999999996E-3</v>
      </c>
      <c r="D587">
        <v>6.9069999999999999E-3</v>
      </c>
      <c r="E587">
        <v>7.0740000000000004E-3</v>
      </c>
      <c r="F587">
        <v>13267254</v>
      </c>
      <c r="G587">
        <v>0</v>
      </c>
      <c r="L587" t="s">
        <v>7</v>
      </c>
      <c r="M587" t="s">
        <v>7</v>
      </c>
      <c r="N587" t="s">
        <v>7</v>
      </c>
      <c r="P587">
        <f t="shared" si="989"/>
        <v>-0.55407209612816943</v>
      </c>
      <c r="Q587">
        <f t="shared" si="990"/>
        <v>-7351015.2336448403</v>
      </c>
      <c r="R587">
        <f t="shared" si="991"/>
        <v>-597834187.95824027</v>
      </c>
      <c r="S587">
        <f t="shared" si="992"/>
        <v>-5978.3418795824027</v>
      </c>
      <c r="T587">
        <f t="shared" si="993"/>
        <v>-5.9783418795824028</v>
      </c>
    </row>
    <row r="588" spans="1:20" x14ac:dyDescent="0.25">
      <c r="A588" s="5">
        <v>44005</v>
      </c>
      <c r="B588">
        <v>7.7149999999999996E-3</v>
      </c>
      <c r="C588">
        <v>7.9989999999999992E-3</v>
      </c>
      <c r="D588">
        <v>7.3740000000000003E-3</v>
      </c>
      <c r="E588">
        <v>7.5979999999999997E-3</v>
      </c>
      <c r="F588">
        <v>16915667</v>
      </c>
      <c r="G588">
        <v>0</v>
      </c>
      <c r="L588" t="s">
        <v>7</v>
      </c>
      <c r="M588" t="s">
        <v>8</v>
      </c>
      <c r="N588" t="s">
        <v>7</v>
      </c>
      <c r="P588">
        <f t="shared" si="989"/>
        <v>-0.28320000000000067</v>
      </c>
      <c r="Q588">
        <f t="shared" si="990"/>
        <v>-4790516.8944000117</v>
      </c>
      <c r="R588">
        <f t="shared" si="991"/>
        <v>-590483172.72459543</v>
      </c>
      <c r="S588">
        <f t="shared" si="992"/>
        <v>-5904.8317272459544</v>
      </c>
      <c r="T588">
        <f t="shared" si="993"/>
        <v>-5.9048317272459547</v>
      </c>
    </row>
    <row r="589" spans="1:20" x14ac:dyDescent="0.25">
      <c r="A589" s="5">
        <v>44004</v>
      </c>
      <c r="B589">
        <v>7.7470000000000004E-3</v>
      </c>
      <c r="C589">
        <v>8.0999999999999996E-3</v>
      </c>
      <c r="D589">
        <v>7.5830000000000003E-3</v>
      </c>
      <c r="E589">
        <v>7.6709999999999999E-3</v>
      </c>
      <c r="F589">
        <v>12670316</v>
      </c>
      <c r="G589">
        <v>0</v>
      </c>
      <c r="L589" t="s">
        <v>8</v>
      </c>
      <c r="M589" t="s">
        <v>8</v>
      </c>
      <c r="N589" t="s">
        <v>7</v>
      </c>
      <c r="P589">
        <f t="shared" si="989"/>
        <v>-0.65957446808510767</v>
      </c>
      <c r="Q589">
        <f t="shared" si="990"/>
        <v>-8357016.9361702288</v>
      </c>
      <c r="R589">
        <f t="shared" si="991"/>
        <v>-585692655.83019543</v>
      </c>
      <c r="S589">
        <f t="shared" si="992"/>
        <v>-5856.9265583019542</v>
      </c>
      <c r="T589">
        <f t="shared" si="993"/>
        <v>-5.8569265583019545</v>
      </c>
    </row>
    <row r="590" spans="1:20" x14ac:dyDescent="0.25">
      <c r="A590" s="5">
        <v>44003</v>
      </c>
      <c r="B590">
        <v>7.6819999999999996E-3</v>
      </c>
      <c r="C590">
        <v>7.8549999999999991E-3</v>
      </c>
      <c r="D590">
        <v>7.672E-3</v>
      </c>
      <c r="E590">
        <v>7.7000000000000002E-3</v>
      </c>
      <c r="F590">
        <v>5432990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-0.69398907103824725</v>
      </c>
      <c r="Q590">
        <f t="shared" si="990"/>
        <v>-3770435.6830600868</v>
      </c>
      <c r="R590">
        <f t="shared" si="991"/>
        <v>-577335638.89402521</v>
      </c>
      <c r="S590">
        <f t="shared" si="992"/>
        <v>-5773.3563889402521</v>
      </c>
      <c r="T590">
        <f t="shared" si="993"/>
        <v>-5.7733563889402522</v>
      </c>
    </row>
    <row r="591" spans="1:20" x14ac:dyDescent="0.25">
      <c r="A591" s="5">
        <v>44002</v>
      </c>
      <c r="B591">
        <v>7.6150000000000002E-3</v>
      </c>
      <c r="C591">
        <v>7.7770000000000001E-3</v>
      </c>
      <c r="D591">
        <v>7.4960000000000001E-3</v>
      </c>
      <c r="E591">
        <v>7.6420000000000004E-3</v>
      </c>
      <c r="F591">
        <v>6855767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3.9145907473311717E-2</v>
      </c>
      <c r="Q591">
        <f t="shared" si="990"/>
        <v>268375.22064058384</v>
      </c>
      <c r="R591">
        <f t="shared" si="991"/>
        <v>-573565203.21096516</v>
      </c>
      <c r="S591">
        <f t="shared" si="992"/>
        <v>-5735.6520321096514</v>
      </c>
      <c r="T591">
        <f t="shared" si="993"/>
        <v>-5.7356520321096518</v>
      </c>
    </row>
    <row r="592" spans="1:20" x14ac:dyDescent="0.25">
      <c r="A592" s="5">
        <v>44001</v>
      </c>
      <c r="B592">
        <v>7.7920000000000003E-3</v>
      </c>
      <c r="C592">
        <v>7.9600000000000001E-3</v>
      </c>
      <c r="D592">
        <v>7.5170000000000002E-3</v>
      </c>
      <c r="E592">
        <v>7.548E-3</v>
      </c>
      <c r="F592">
        <v>8820731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-0.86004514672686327</v>
      </c>
      <c r="Q592">
        <f t="shared" si="990"/>
        <v>-7586226.8871331913</v>
      </c>
      <c r="R592">
        <f t="shared" si="991"/>
        <v>-573833578.4316057</v>
      </c>
      <c r="S592">
        <f t="shared" si="992"/>
        <v>-5738.3357843160566</v>
      </c>
      <c r="T592">
        <f t="shared" si="993"/>
        <v>-5.7383357843160567</v>
      </c>
    </row>
    <row r="593" spans="1:20" x14ac:dyDescent="0.25">
      <c r="A593" s="5">
        <v>44000</v>
      </c>
      <c r="B593">
        <v>8.1670000000000006E-3</v>
      </c>
      <c r="C593">
        <v>8.1880000000000008E-3</v>
      </c>
      <c r="D593">
        <v>7.7499999999999999E-3</v>
      </c>
      <c r="E593">
        <v>7.7999999999999996E-3</v>
      </c>
      <c r="F593">
        <v>13159771</v>
      </c>
      <c r="G593">
        <v>0</v>
      </c>
      <c r="L593" t="s">
        <v>7</v>
      </c>
      <c r="M593" t="s">
        <v>8</v>
      </c>
      <c r="N593" t="s">
        <v>7</v>
      </c>
      <c r="P593">
        <f t="shared" si="989"/>
        <v>-0.77168949771689688</v>
      </c>
      <c r="Q593">
        <f t="shared" si="990"/>
        <v>-10155257.073059386</v>
      </c>
      <c r="R593">
        <f t="shared" si="991"/>
        <v>-566247351.54447246</v>
      </c>
      <c r="S593">
        <f t="shared" si="992"/>
        <v>-5662.4735154447244</v>
      </c>
      <c r="T593">
        <f t="shared" si="993"/>
        <v>-5.6624735154447245</v>
      </c>
    </row>
    <row r="594" spans="1:20" x14ac:dyDescent="0.25">
      <c r="A594" s="5">
        <v>43999</v>
      </c>
      <c r="B594">
        <v>7.953E-3</v>
      </c>
      <c r="C594">
        <v>8.456E-3</v>
      </c>
      <c r="D594">
        <v>7.796E-3</v>
      </c>
      <c r="E594">
        <v>8.2430000000000003E-3</v>
      </c>
      <c r="F594">
        <v>13676392</v>
      </c>
      <c r="G594">
        <v>0</v>
      </c>
      <c r="L594" t="s">
        <v>8</v>
      </c>
      <c r="M594" t="s">
        <v>8</v>
      </c>
      <c r="N594" t="s">
        <v>7</v>
      </c>
      <c r="P594">
        <f t="shared" si="989"/>
        <v>0.35454545454545561</v>
      </c>
      <c r="Q594">
        <f t="shared" si="990"/>
        <v>4848902.6181818331</v>
      </c>
      <c r="R594">
        <f t="shared" si="991"/>
        <v>-556092094.47141302</v>
      </c>
      <c r="S594">
        <f t="shared" si="992"/>
        <v>-5560.9209447141302</v>
      </c>
      <c r="T594">
        <f t="shared" si="993"/>
        <v>-5.5609209447141303</v>
      </c>
    </row>
    <row r="595" spans="1:20" x14ac:dyDescent="0.25">
      <c r="A595" s="5">
        <v>43998</v>
      </c>
      <c r="B595">
        <v>7.77E-3</v>
      </c>
      <c r="C595">
        <v>8.0499999999999999E-3</v>
      </c>
      <c r="D595">
        <v>7.7510000000000001E-3</v>
      </c>
      <c r="E595">
        <v>7.953E-3</v>
      </c>
      <c r="F595">
        <v>6535877</v>
      </c>
      <c r="G595">
        <v>0</v>
      </c>
      <c r="L595" t="s">
        <v>8</v>
      </c>
      <c r="M595" t="s">
        <v>7</v>
      </c>
      <c r="N595" t="s">
        <v>7</v>
      </c>
      <c r="P595">
        <f t="shared" si="989"/>
        <v>0.35117056856187334</v>
      </c>
      <c r="Q595">
        <f t="shared" si="990"/>
        <v>2295207.6421404709</v>
      </c>
      <c r="R595">
        <f t="shared" si="991"/>
        <v>-560940997.08959484</v>
      </c>
      <c r="S595">
        <f t="shared" si="992"/>
        <v>-5609.4099708959484</v>
      </c>
      <c r="T595">
        <f t="shared" si="993"/>
        <v>-5.6094099708959479</v>
      </c>
    </row>
    <row r="596" spans="1:20" x14ac:dyDescent="0.25">
      <c r="A596" s="5">
        <v>43997</v>
      </c>
      <c r="B596">
        <v>7.9579999999999998E-3</v>
      </c>
      <c r="C596">
        <v>8.0029999999999997E-3</v>
      </c>
      <c r="D596">
        <v>7.1999999999999998E-3</v>
      </c>
      <c r="E596">
        <v>7.77E-3</v>
      </c>
      <c r="F596">
        <v>18003090</v>
      </c>
      <c r="G596">
        <v>0</v>
      </c>
      <c r="L596" t="s">
        <v>7</v>
      </c>
      <c r="M596" t="s">
        <v>7</v>
      </c>
      <c r="N596" t="s">
        <v>7</v>
      </c>
      <c r="P596">
        <f t="shared" si="989"/>
        <v>0.41967621419676282</v>
      </c>
      <c r="Q596">
        <f t="shared" si="990"/>
        <v>7555468.6550435992</v>
      </c>
      <c r="R596">
        <f t="shared" si="991"/>
        <v>-563236204.73173535</v>
      </c>
      <c r="S596">
        <f t="shared" si="992"/>
        <v>-5632.3620473173532</v>
      </c>
      <c r="T596">
        <f t="shared" si="993"/>
        <v>-5.6323620473173532</v>
      </c>
    </row>
    <row r="597" spans="1:20" x14ac:dyDescent="0.25">
      <c r="A597" s="5">
        <v>43996</v>
      </c>
      <c r="B597">
        <v>8.5199999999999998E-3</v>
      </c>
      <c r="C597">
        <v>8.7969999999999993E-3</v>
      </c>
      <c r="D597">
        <v>7.8630000000000002E-3</v>
      </c>
      <c r="E597">
        <v>8.0000000000000002E-3</v>
      </c>
      <c r="F597">
        <v>15357441</v>
      </c>
      <c r="G597">
        <v>0</v>
      </c>
      <c r="L597" t="s">
        <v>7</v>
      </c>
      <c r="M597" t="s">
        <v>8</v>
      </c>
      <c r="N597" t="s">
        <v>7</v>
      </c>
      <c r="P597">
        <f t="shared" si="989"/>
        <v>-0.70663811563169143</v>
      </c>
      <c r="Q597">
        <f t="shared" si="990"/>
        <v>-10852153.169164879</v>
      </c>
      <c r="R597">
        <f t="shared" si="991"/>
        <v>-570791673.38677895</v>
      </c>
      <c r="S597">
        <f t="shared" si="992"/>
        <v>-5707.9167338677898</v>
      </c>
      <c r="T597">
        <f t="shared" si="993"/>
        <v>-5.7079167338677896</v>
      </c>
    </row>
    <row r="598" spans="1:20" x14ac:dyDescent="0.25">
      <c r="A598" s="5">
        <v>43995</v>
      </c>
      <c r="B598">
        <v>8.5869999999999991E-3</v>
      </c>
      <c r="C598">
        <v>8.7589999999999994E-3</v>
      </c>
      <c r="D598">
        <v>8.3999999999999995E-3</v>
      </c>
      <c r="E598">
        <v>8.5500000000000003E-3</v>
      </c>
      <c r="F598">
        <v>8444430</v>
      </c>
      <c r="G598">
        <v>0</v>
      </c>
      <c r="L598" t="s">
        <v>8</v>
      </c>
      <c r="M598" t="s">
        <v>8</v>
      </c>
      <c r="N598" t="s">
        <v>7</v>
      </c>
      <c r="P598">
        <f t="shared" si="989"/>
        <v>-0.16434540389971672</v>
      </c>
      <c r="Q598">
        <f t="shared" si="990"/>
        <v>-1387803.2590528848</v>
      </c>
      <c r="R598">
        <f t="shared" si="991"/>
        <v>-559939520.21761405</v>
      </c>
      <c r="S598">
        <f t="shared" si="992"/>
        <v>-5599.3952021761406</v>
      </c>
      <c r="T598">
        <f t="shared" si="993"/>
        <v>-5.5993952021761411</v>
      </c>
    </row>
    <row r="599" spans="1:20" x14ac:dyDescent="0.25">
      <c r="A599" s="5">
        <v>43994</v>
      </c>
      <c r="B599">
        <v>7.7330000000000003E-3</v>
      </c>
      <c r="C599">
        <v>8.6770000000000007E-3</v>
      </c>
      <c r="D599">
        <v>7.7060000000000002E-3</v>
      </c>
      <c r="E599">
        <v>8.5730000000000008E-3</v>
      </c>
      <c r="F599">
        <v>14434258</v>
      </c>
      <c r="G599">
        <v>0</v>
      </c>
      <c r="L599" t="s">
        <v>8</v>
      </c>
      <c r="M599" t="s">
        <v>8</v>
      </c>
      <c r="N599" t="s">
        <v>7</v>
      </c>
      <c r="P599">
        <f t="shared" si="989"/>
        <v>0.7857878475798149</v>
      </c>
      <c r="Q599">
        <f t="shared" si="990"/>
        <v>11342264.525231725</v>
      </c>
      <c r="R599">
        <f t="shared" si="991"/>
        <v>-558551716.95856118</v>
      </c>
      <c r="S599">
        <f t="shared" si="992"/>
        <v>-5585.5171695856116</v>
      </c>
      <c r="T599">
        <f t="shared" si="993"/>
        <v>-5.5855171695856116</v>
      </c>
    </row>
    <row r="600" spans="1:20" x14ac:dyDescent="0.25">
      <c r="A600" s="5">
        <v>43993</v>
      </c>
      <c r="B600">
        <v>8.574E-3</v>
      </c>
      <c r="C600">
        <v>8.9009999999999992E-3</v>
      </c>
      <c r="D600">
        <v>7.0000000000000001E-3</v>
      </c>
      <c r="E600">
        <v>7.7000000000000002E-3</v>
      </c>
      <c r="F600">
        <v>26402857</v>
      </c>
      <c r="G600">
        <v>0</v>
      </c>
      <c r="L600" t="s">
        <v>7</v>
      </c>
      <c r="M600" t="s">
        <v>7</v>
      </c>
      <c r="N600" t="s">
        <v>7</v>
      </c>
      <c r="P600">
        <f t="shared" si="989"/>
        <v>-0.26354550236717467</v>
      </c>
      <c r="Q600">
        <f t="shared" si="990"/>
        <v>-6958354.2119936738</v>
      </c>
      <c r="R600">
        <f t="shared" si="991"/>
        <v>-569893981.4837929</v>
      </c>
      <c r="S600">
        <f t="shared" si="992"/>
        <v>-5698.9398148379287</v>
      </c>
      <c r="T600">
        <f t="shared" si="993"/>
        <v>-5.6989398148379289</v>
      </c>
    </row>
    <row r="601" spans="1:20" x14ac:dyDescent="0.25">
      <c r="A601" s="5">
        <v>43992</v>
      </c>
      <c r="B601">
        <v>9.136E-3</v>
      </c>
      <c r="C601">
        <v>9.443E-3</v>
      </c>
      <c r="D601">
        <v>8.0949999999999998E-3</v>
      </c>
      <c r="E601">
        <v>8.6049999999999998E-3</v>
      </c>
      <c r="F601">
        <v>34731374</v>
      </c>
      <c r="G601">
        <v>0</v>
      </c>
      <c r="L601" t="s">
        <v>7</v>
      </c>
      <c r="M601" t="s">
        <v>7</v>
      </c>
      <c r="N601" t="s">
        <v>8</v>
      </c>
      <c r="P601">
        <f t="shared" si="989"/>
        <v>-0.24332344213649859</v>
      </c>
      <c r="Q601">
        <f t="shared" si="990"/>
        <v>-8450957.4718100913</v>
      </c>
      <c r="R601">
        <f t="shared" si="991"/>
        <v>-562935627.27179921</v>
      </c>
      <c r="S601">
        <f t="shared" si="992"/>
        <v>-5629.3562727179924</v>
      </c>
      <c r="T601">
        <f t="shared" si="993"/>
        <v>-5.6293562727179927</v>
      </c>
    </row>
    <row r="602" spans="1:20" x14ac:dyDescent="0.25">
      <c r="A602" s="5">
        <v>43991</v>
      </c>
      <c r="B602">
        <v>8.992E-3</v>
      </c>
      <c r="C602">
        <v>9.5999999999999992E-3</v>
      </c>
      <c r="D602">
        <v>8.6999999999999994E-3</v>
      </c>
      <c r="E602">
        <v>9.1940000000000008E-3</v>
      </c>
      <c r="F602">
        <v>40590066</v>
      </c>
      <c r="G602">
        <v>0</v>
      </c>
      <c r="L602" t="s">
        <v>7</v>
      </c>
      <c r="M602" t="s">
        <v>7</v>
      </c>
      <c r="N602" t="s">
        <v>8</v>
      </c>
      <c r="P602">
        <f t="shared" si="989"/>
        <v>9.7777777777781141E-2</v>
      </c>
      <c r="Q602">
        <f t="shared" si="990"/>
        <v>3968806.45333347</v>
      </c>
      <c r="R602">
        <f t="shared" si="991"/>
        <v>-554484669.7999891</v>
      </c>
      <c r="S602">
        <f t="shared" si="992"/>
        <v>-5544.8466979998911</v>
      </c>
      <c r="T602">
        <f t="shared" si="993"/>
        <v>-5.5448466979998914</v>
      </c>
    </row>
    <row r="603" spans="1:20" x14ac:dyDescent="0.25">
      <c r="A603" s="5">
        <v>43990</v>
      </c>
      <c r="B603">
        <v>9.0060000000000001E-3</v>
      </c>
      <c r="C603">
        <v>1.0196999999999999E-2</v>
      </c>
      <c r="D603">
        <v>8.6390000000000008E-3</v>
      </c>
      <c r="E603">
        <v>8.992E-3</v>
      </c>
      <c r="F603">
        <v>79109790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-0.54685494223363351</v>
      </c>
      <c r="Q603">
        <f t="shared" si="990"/>
        <v>-43261579.640564881</v>
      </c>
      <c r="R603">
        <f t="shared" si="991"/>
        <v>-558453476.2533226</v>
      </c>
      <c r="S603">
        <f t="shared" si="992"/>
        <v>-5584.5347625332261</v>
      </c>
      <c r="T603">
        <f t="shared" si="993"/>
        <v>-5.5845347625332264</v>
      </c>
    </row>
    <row r="604" spans="1:20" x14ac:dyDescent="0.25">
      <c r="A604" s="5">
        <v>43989</v>
      </c>
      <c r="B604">
        <v>8.5760000000000003E-3</v>
      </c>
      <c r="C604">
        <v>9.3989999999999994E-3</v>
      </c>
      <c r="D604">
        <v>8.4589999999999995E-3</v>
      </c>
      <c r="E604">
        <v>9.0270000000000003E-3</v>
      </c>
      <c r="F604">
        <v>65052267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0.2085106382978742</v>
      </c>
      <c r="Q604">
        <f t="shared" si="990"/>
        <v>13564089.714893738</v>
      </c>
      <c r="R604">
        <f t="shared" si="991"/>
        <v>-515191896.61275768</v>
      </c>
      <c r="S604">
        <f t="shared" si="992"/>
        <v>-5151.9189661275768</v>
      </c>
      <c r="T604">
        <f t="shared" si="993"/>
        <v>-5.1519189661275764</v>
      </c>
    </row>
    <row r="605" spans="1:20" x14ac:dyDescent="0.25">
      <c r="A605" s="5">
        <v>43988</v>
      </c>
      <c r="B605">
        <v>8.8559999999999993E-3</v>
      </c>
      <c r="C605">
        <v>9.2860000000000009E-3</v>
      </c>
      <c r="D605">
        <v>8.489E-3</v>
      </c>
      <c r="E605">
        <v>8.5780000000000006E-3</v>
      </c>
      <c r="F605">
        <v>25697127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-0.77666248431618456</v>
      </c>
      <c r="Q605">
        <f t="shared" si="990"/>
        <v>-19957994.495608501</v>
      </c>
      <c r="R605">
        <f t="shared" si="991"/>
        <v>-528755986.32765144</v>
      </c>
      <c r="S605">
        <f t="shared" si="992"/>
        <v>-5287.5598632765141</v>
      </c>
      <c r="T605">
        <f t="shared" si="993"/>
        <v>-5.2875598632765142</v>
      </c>
    </row>
    <row r="606" spans="1:20" x14ac:dyDescent="0.25">
      <c r="A606" s="5">
        <v>43987</v>
      </c>
      <c r="B606">
        <v>8.8780000000000005E-3</v>
      </c>
      <c r="C606">
        <v>9.9810000000000003E-3</v>
      </c>
      <c r="D606">
        <v>8.6E-3</v>
      </c>
      <c r="E606">
        <v>8.8629999999999994E-3</v>
      </c>
      <c r="F606">
        <v>102310813</v>
      </c>
      <c r="G606">
        <v>0</v>
      </c>
      <c r="L606" t="s">
        <v>8</v>
      </c>
      <c r="M606" t="s">
        <v>8</v>
      </c>
      <c r="N606" t="s">
        <v>8</v>
      </c>
      <c r="P606">
        <f t="shared" si="989"/>
        <v>-0.6191165821868222</v>
      </c>
      <c r="Q606">
        <f t="shared" si="990"/>
        <v>-63342320.865315095</v>
      </c>
      <c r="R606">
        <f t="shared" si="991"/>
        <v>-508797991.83204293</v>
      </c>
      <c r="S606">
        <f t="shared" si="992"/>
        <v>-5087.9799183204295</v>
      </c>
      <c r="T606">
        <f t="shared" si="993"/>
        <v>-5.0879799183204293</v>
      </c>
    </row>
    <row r="607" spans="1:20" x14ac:dyDescent="0.25">
      <c r="A607" s="5">
        <v>43986</v>
      </c>
      <c r="B607">
        <v>7.4019999999999997E-3</v>
      </c>
      <c r="C607">
        <v>8.9999999999999993E-3</v>
      </c>
      <c r="D607">
        <v>7.3150000000000003E-3</v>
      </c>
      <c r="E607">
        <v>8.8409999999999999E-3</v>
      </c>
      <c r="F607">
        <v>85498198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0.81127596439169192</v>
      </c>
      <c r="Q607">
        <f t="shared" si="990"/>
        <v>69362633.03620182</v>
      </c>
      <c r="R607">
        <f t="shared" si="991"/>
        <v>-445455670.96672785</v>
      </c>
      <c r="S607">
        <f t="shared" si="992"/>
        <v>-4454.5567096672785</v>
      </c>
      <c r="T607">
        <f t="shared" si="993"/>
        <v>-4.4545567096672789</v>
      </c>
    </row>
    <row r="608" spans="1:20" x14ac:dyDescent="0.25">
      <c r="A608" s="5">
        <v>43985</v>
      </c>
      <c r="B608">
        <v>6.8139999999999997E-3</v>
      </c>
      <c r="C608">
        <v>7.7000000000000002E-3</v>
      </c>
      <c r="D608">
        <v>6.7650000000000002E-3</v>
      </c>
      <c r="E608">
        <v>7.4400000000000004E-3</v>
      </c>
      <c r="F608">
        <v>16863843</v>
      </c>
      <c r="G608">
        <v>0</v>
      </c>
      <c r="L608" t="s">
        <v>8</v>
      </c>
      <c r="M608" t="s">
        <v>8</v>
      </c>
      <c r="N608" t="s">
        <v>8</v>
      </c>
      <c r="P608">
        <f t="shared" si="989"/>
        <v>0.44385026737967959</v>
      </c>
      <c r="Q608">
        <f t="shared" si="990"/>
        <v>7485021.2245989377</v>
      </c>
      <c r="R608">
        <f t="shared" si="991"/>
        <v>-514818304.00292969</v>
      </c>
      <c r="S608">
        <f t="shared" si="992"/>
        <v>-5148.1830400292965</v>
      </c>
      <c r="T608">
        <f t="shared" si="993"/>
        <v>-5.1481830400292967</v>
      </c>
    </row>
    <row r="609" spans="1:20" x14ac:dyDescent="0.25">
      <c r="A609" s="5">
        <v>43984</v>
      </c>
      <c r="B609">
        <v>6.8399999999999997E-3</v>
      </c>
      <c r="C609">
        <v>7.1250000000000003E-3</v>
      </c>
      <c r="D609">
        <v>6.4920000000000004E-3</v>
      </c>
      <c r="E609">
        <v>6.757E-3</v>
      </c>
      <c r="F609">
        <v>16581768</v>
      </c>
      <c r="G609">
        <v>0</v>
      </c>
      <c r="L609" t="s">
        <v>7</v>
      </c>
      <c r="M609" t="s">
        <v>8</v>
      </c>
      <c r="N609" t="s">
        <v>8</v>
      </c>
      <c r="P609">
        <f t="shared" si="989"/>
        <v>-0.16271721958925858</v>
      </c>
      <c r="Q609">
        <f t="shared" si="990"/>
        <v>-2698139.1848341413</v>
      </c>
      <c r="R609">
        <f t="shared" si="991"/>
        <v>-522303325.22752863</v>
      </c>
      <c r="S609">
        <f t="shared" si="992"/>
        <v>-5223.033252275286</v>
      </c>
      <c r="T609">
        <f t="shared" si="993"/>
        <v>-5.223033252275286</v>
      </c>
    </row>
    <row r="610" spans="1:20" x14ac:dyDescent="0.25">
      <c r="A610" s="5">
        <v>43983</v>
      </c>
      <c r="B610">
        <v>6.6839999999999998E-3</v>
      </c>
      <c r="C610">
        <v>7.162E-3</v>
      </c>
      <c r="D610">
        <v>6.5859999999999998E-3</v>
      </c>
      <c r="E610">
        <v>6.8469999999999998E-3</v>
      </c>
      <c r="F610">
        <v>7988595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-9.3750000000000375E-2</v>
      </c>
      <c r="Q610">
        <f t="shared" si="990"/>
        <v>-748930.78125000303</v>
      </c>
      <c r="R610">
        <f t="shared" si="991"/>
        <v>-519605186.04269451</v>
      </c>
      <c r="S610">
        <f t="shared" si="992"/>
        <v>-5196.0518604269455</v>
      </c>
      <c r="T610">
        <f t="shared" si="993"/>
        <v>-5.1960518604269454</v>
      </c>
    </row>
    <row r="611" spans="1:20" x14ac:dyDescent="0.25">
      <c r="A611" s="5">
        <v>43982</v>
      </c>
      <c r="B611">
        <v>6.6509999999999998E-3</v>
      </c>
      <c r="C611">
        <v>7.1590000000000004E-3</v>
      </c>
      <c r="D611">
        <v>6.4819999999999999E-3</v>
      </c>
      <c r="E611">
        <v>6.7299999999999999E-3</v>
      </c>
      <c r="F611">
        <v>18089793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-0.26735598227474222</v>
      </c>
      <c r="Q611">
        <f t="shared" si="990"/>
        <v>-4836414.3766617561</v>
      </c>
      <c r="R611">
        <f t="shared" si="991"/>
        <v>-518856255.26144451</v>
      </c>
      <c r="S611">
        <f t="shared" si="992"/>
        <v>-5188.5625526144449</v>
      </c>
      <c r="T611">
        <f t="shared" si="993"/>
        <v>-5.188562552614445</v>
      </c>
    </row>
    <row r="612" spans="1:20" x14ac:dyDescent="0.25">
      <c r="A612" s="5">
        <v>43981</v>
      </c>
      <c r="B612">
        <v>6.5339999999999999E-3</v>
      </c>
      <c r="C612">
        <v>6.7780000000000002E-3</v>
      </c>
      <c r="D612">
        <v>6.424E-3</v>
      </c>
      <c r="E612">
        <v>6.5909999999999996E-3</v>
      </c>
      <c r="F612">
        <v>10829743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-5.6497175141245512E-2</v>
      </c>
      <c r="Q612">
        <f t="shared" si="990"/>
        <v>-611849.88700567756</v>
      </c>
      <c r="R612">
        <f t="shared" si="991"/>
        <v>-514019840.88478273</v>
      </c>
      <c r="S612">
        <f t="shared" si="992"/>
        <v>-5140.1984088478275</v>
      </c>
      <c r="T612">
        <f t="shared" si="993"/>
        <v>-5.1401984088478274</v>
      </c>
    </row>
    <row r="613" spans="1:20" x14ac:dyDescent="0.25">
      <c r="A613" s="5">
        <v>43980</v>
      </c>
      <c r="B613">
        <v>5.8510000000000003E-3</v>
      </c>
      <c r="C613">
        <v>6.7229999999999998E-3</v>
      </c>
      <c r="D613">
        <v>5.8329999999999996E-3</v>
      </c>
      <c r="E613">
        <v>6.5380000000000004E-3</v>
      </c>
      <c r="F613">
        <v>19504478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0.58426966292134974</v>
      </c>
      <c r="Q613">
        <f t="shared" si="990"/>
        <v>11395874.786516882</v>
      </c>
      <c r="R613">
        <f t="shared" si="991"/>
        <v>-513407990.99777704</v>
      </c>
      <c r="S613">
        <f t="shared" si="992"/>
        <v>-5134.0799099777705</v>
      </c>
      <c r="T613">
        <f t="shared" si="993"/>
        <v>-5.1340799099777703</v>
      </c>
    </row>
    <row r="614" spans="1:20" x14ac:dyDescent="0.25">
      <c r="A614" s="5">
        <v>43979</v>
      </c>
      <c r="B614">
        <v>5.973E-3</v>
      </c>
      <c r="C614">
        <v>6.012E-3</v>
      </c>
      <c r="D614">
        <v>5.7710000000000001E-3</v>
      </c>
      <c r="E614">
        <v>5.8700000000000002E-3</v>
      </c>
      <c r="F614">
        <v>11004071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-0.17842323651452138</v>
      </c>
      <c r="Q614">
        <f t="shared" si="990"/>
        <v>-1963381.9626555857</v>
      </c>
      <c r="R614">
        <f t="shared" si="991"/>
        <v>-524803865.78429395</v>
      </c>
      <c r="S614">
        <f t="shared" si="992"/>
        <v>-5248.0386578429398</v>
      </c>
      <c r="T614">
        <f t="shared" si="993"/>
        <v>-5.2480386578429394</v>
      </c>
    </row>
    <row r="615" spans="1:20" x14ac:dyDescent="0.25">
      <c r="A615" s="5">
        <v>43978</v>
      </c>
      <c r="B615">
        <v>6.5110000000000003E-3</v>
      </c>
      <c r="C615">
        <v>6.5599999999999999E-3</v>
      </c>
      <c r="D615">
        <v>5.9540000000000001E-3</v>
      </c>
      <c r="E615">
        <v>6.025E-3</v>
      </c>
      <c r="F615">
        <v>15682827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-0.76567656765676595</v>
      </c>
      <c r="Q615">
        <f t="shared" si="990"/>
        <v>-12007973.148514856</v>
      </c>
      <c r="R615">
        <f t="shared" si="991"/>
        <v>-522840483.82163835</v>
      </c>
      <c r="S615">
        <f t="shared" si="992"/>
        <v>-5228.4048382163837</v>
      </c>
      <c r="T615">
        <f t="shared" si="993"/>
        <v>-5.2284048382163837</v>
      </c>
    </row>
    <row r="616" spans="1:20" x14ac:dyDescent="0.25">
      <c r="A616" s="5">
        <v>43977</v>
      </c>
      <c r="B616">
        <v>6.4009999999999996E-3</v>
      </c>
      <c r="C616">
        <v>6.6E-3</v>
      </c>
      <c r="D616">
        <v>6.1079999999999997E-3</v>
      </c>
      <c r="E616">
        <v>6.535E-3</v>
      </c>
      <c r="F616">
        <v>19114277</v>
      </c>
      <c r="G616">
        <v>0</v>
      </c>
      <c r="L616" t="s">
        <v>8</v>
      </c>
      <c r="M616" t="s">
        <v>7</v>
      </c>
      <c r="N616" t="s">
        <v>8</v>
      </c>
      <c r="P616">
        <f t="shared" si="989"/>
        <v>0.73577235772357752</v>
      </c>
      <c r="Q616">
        <f t="shared" si="990"/>
        <v>14063756.65447155</v>
      </c>
      <c r="R616">
        <f t="shared" si="991"/>
        <v>-510832510.67312348</v>
      </c>
      <c r="S616">
        <f t="shared" si="992"/>
        <v>-5108.3251067312349</v>
      </c>
      <c r="T616">
        <f t="shared" si="993"/>
        <v>-5.1083251067312352</v>
      </c>
    </row>
    <row r="617" spans="1:20" x14ac:dyDescent="0.25">
      <c r="A617" s="5">
        <v>43976</v>
      </c>
      <c r="B617">
        <v>5.8690000000000001E-3</v>
      </c>
      <c r="C617">
        <v>6.8999999999999999E-3</v>
      </c>
      <c r="D617">
        <v>5.7600000000000004E-3</v>
      </c>
      <c r="E617">
        <v>6.3790000000000001E-3</v>
      </c>
      <c r="F617">
        <v>54890610</v>
      </c>
      <c r="G617">
        <v>0</v>
      </c>
      <c r="L617" t="s">
        <v>7</v>
      </c>
      <c r="M617" t="s">
        <v>7</v>
      </c>
      <c r="N617" t="s">
        <v>8</v>
      </c>
      <c r="P617">
        <f t="shared" si="989"/>
        <v>8.5964912280701786E-2</v>
      </c>
      <c r="Q617">
        <f t="shared" si="990"/>
        <v>4718666.4736842122</v>
      </c>
      <c r="R617">
        <f t="shared" si="991"/>
        <v>-524896267.32759506</v>
      </c>
      <c r="S617">
        <f t="shared" si="992"/>
        <v>-5248.9626732759507</v>
      </c>
      <c r="T617">
        <f t="shared" si="993"/>
        <v>-5.2489626732759511</v>
      </c>
    </row>
    <row r="618" spans="1:20" x14ac:dyDescent="0.25">
      <c r="A618" s="5">
        <v>43975</v>
      </c>
      <c r="B618">
        <v>5.6600000000000001E-3</v>
      </c>
      <c r="C618">
        <v>7.4999999999999997E-3</v>
      </c>
      <c r="D618">
        <v>5.6270000000000001E-3</v>
      </c>
      <c r="E618">
        <v>5.7879999999999997E-3</v>
      </c>
      <c r="F618">
        <v>68476281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-0.82808328884143112</v>
      </c>
      <c r="Q618">
        <f t="shared" si="990"/>
        <v>-56704063.97811</v>
      </c>
      <c r="R618">
        <f t="shared" si="991"/>
        <v>-529614933.80127925</v>
      </c>
      <c r="S618">
        <f t="shared" si="992"/>
        <v>-5296.1493380127922</v>
      </c>
      <c r="T618">
        <f t="shared" si="993"/>
        <v>-5.2961493380127926</v>
      </c>
    </row>
    <row r="619" spans="1:20" x14ac:dyDescent="0.25">
      <c r="A619" s="5">
        <v>43974</v>
      </c>
      <c r="B619">
        <v>5.5979999999999997E-3</v>
      </c>
      <c r="C619">
        <v>6.0879999999999997E-3</v>
      </c>
      <c r="D619">
        <v>5.4660000000000004E-3</v>
      </c>
      <c r="E619">
        <v>5.6800000000000002E-3</v>
      </c>
      <c r="F619">
        <v>16498129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-0.3118971061093247</v>
      </c>
      <c r="Q619">
        <f t="shared" si="990"/>
        <v>-5145718.6913183266</v>
      </c>
      <c r="R619">
        <f t="shared" si="991"/>
        <v>-472910869.82316923</v>
      </c>
      <c r="S619">
        <f t="shared" si="992"/>
        <v>-4729.108698231692</v>
      </c>
      <c r="T619">
        <f t="shared" si="993"/>
        <v>-4.7291086982316921</v>
      </c>
    </row>
    <row r="620" spans="1:20" x14ac:dyDescent="0.25">
      <c r="A620" s="5">
        <v>43973</v>
      </c>
      <c r="B620">
        <v>5.1840000000000002E-3</v>
      </c>
      <c r="C620">
        <v>5.9040000000000004E-3</v>
      </c>
      <c r="D620">
        <v>5.1729999999999996E-3</v>
      </c>
      <c r="E620">
        <v>5.6490000000000004E-3</v>
      </c>
      <c r="F620">
        <v>12562271</v>
      </c>
      <c r="G620">
        <v>0</v>
      </c>
      <c r="L620" t="s">
        <v>8</v>
      </c>
      <c r="M620" t="s">
        <v>7</v>
      </c>
      <c r="N620" t="s">
        <v>7</v>
      </c>
      <c r="P620">
        <f t="shared" si="989"/>
        <v>0.30232558139534949</v>
      </c>
      <c r="Q620">
        <f t="shared" si="990"/>
        <v>3797895.8837209386</v>
      </c>
      <c r="R620">
        <f t="shared" si="991"/>
        <v>-467765151.1318509</v>
      </c>
      <c r="S620">
        <f t="shared" si="992"/>
        <v>-4677.6515113185087</v>
      </c>
      <c r="T620">
        <f t="shared" si="993"/>
        <v>-4.6776515113185084</v>
      </c>
    </row>
    <row r="621" spans="1:20" x14ac:dyDescent="0.25">
      <c r="A621" s="5">
        <v>43972</v>
      </c>
      <c r="B621">
        <v>5.3119999999999999E-3</v>
      </c>
      <c r="C621">
        <v>5.5840000000000004E-3</v>
      </c>
      <c r="D621">
        <v>5.1619999999999999E-3</v>
      </c>
      <c r="E621">
        <v>5.2719999999999998E-3</v>
      </c>
      <c r="F621">
        <v>8534618</v>
      </c>
      <c r="G621">
        <v>0</v>
      </c>
      <c r="L621" t="s">
        <v>8</v>
      </c>
      <c r="M621" t="s">
        <v>7</v>
      </c>
      <c r="N621" t="s">
        <v>7</v>
      </c>
      <c r="P621">
        <f t="shared" si="989"/>
        <v>-0.4786729857819918</v>
      </c>
      <c r="Q621">
        <f t="shared" si="990"/>
        <v>-4085291.0805687313</v>
      </c>
      <c r="R621">
        <f t="shared" si="991"/>
        <v>-471563047.01557183</v>
      </c>
      <c r="S621">
        <f t="shared" si="992"/>
        <v>-4715.6304701557183</v>
      </c>
      <c r="T621">
        <f t="shared" si="993"/>
        <v>-4.7156304701557179</v>
      </c>
    </row>
    <row r="622" spans="1:20" x14ac:dyDescent="0.25">
      <c r="A622" s="5">
        <v>43971</v>
      </c>
      <c r="B622">
        <v>5.4999999999999997E-3</v>
      </c>
      <c r="C622">
        <v>5.568E-3</v>
      </c>
      <c r="D622">
        <v>5.2009999999999999E-3</v>
      </c>
      <c r="E622">
        <v>5.3930000000000002E-3</v>
      </c>
      <c r="F622">
        <v>4419446</v>
      </c>
      <c r="G622">
        <v>0</v>
      </c>
      <c r="L622" t="s">
        <v>7</v>
      </c>
      <c r="M622" t="s">
        <v>7</v>
      </c>
      <c r="N622" t="s">
        <v>7</v>
      </c>
      <c r="P622">
        <f t="shared" si="989"/>
        <v>4.6321525885559989E-2</v>
      </c>
      <c r="Q622">
        <f t="shared" si="990"/>
        <v>204715.48228883455</v>
      </c>
      <c r="R622">
        <f t="shared" si="991"/>
        <v>-467477755.9350031</v>
      </c>
      <c r="S622">
        <f t="shared" si="992"/>
        <v>-4674.777559350031</v>
      </c>
      <c r="T622">
        <f t="shared" si="993"/>
        <v>-4.6747775593500309</v>
      </c>
    </row>
    <row r="623" spans="1:20" x14ac:dyDescent="0.25">
      <c r="A623" s="5">
        <v>43970</v>
      </c>
      <c r="B623">
        <v>5.581E-3</v>
      </c>
      <c r="C623">
        <v>5.581E-3</v>
      </c>
      <c r="D623">
        <v>5.4019999999999997E-3</v>
      </c>
      <c r="E623">
        <v>5.4869999999999997E-3</v>
      </c>
      <c r="F623">
        <v>3173024</v>
      </c>
      <c r="G623">
        <v>0</v>
      </c>
      <c r="L623" t="s">
        <v>8</v>
      </c>
      <c r="M623" t="s">
        <v>7</v>
      </c>
      <c r="N623" t="s">
        <v>7</v>
      </c>
      <c r="P623">
        <f t="shared" si="989"/>
        <v>-5.0279329608940278E-2</v>
      </c>
      <c r="Q623">
        <f t="shared" si="990"/>
        <v>-159537.51955307811</v>
      </c>
      <c r="R623">
        <f t="shared" si="991"/>
        <v>-467682471.41729194</v>
      </c>
      <c r="S623">
        <f t="shared" si="992"/>
        <v>-4676.8247141729198</v>
      </c>
      <c r="T623">
        <f t="shared" si="993"/>
        <v>-4.6768247141729198</v>
      </c>
    </row>
    <row r="624" spans="1:20" x14ac:dyDescent="0.25">
      <c r="A624" s="5">
        <v>43969</v>
      </c>
      <c r="B624">
        <v>5.4619999999999998E-3</v>
      </c>
      <c r="C624">
        <v>5.6100000000000004E-3</v>
      </c>
      <c r="D624">
        <v>5.4250000000000001E-3</v>
      </c>
      <c r="E624">
        <v>5.5770000000000004E-3</v>
      </c>
      <c r="F624">
        <v>4685241</v>
      </c>
      <c r="G624">
        <v>0</v>
      </c>
      <c r="L624" t="s">
        <v>8</v>
      </c>
      <c r="M624" t="s">
        <v>7</v>
      </c>
      <c r="N624" t="s">
        <v>7</v>
      </c>
      <c r="P624">
        <f t="shared" si="989"/>
        <v>0.64324324324324333</v>
      </c>
      <c r="Q624">
        <f t="shared" si="990"/>
        <v>3013749.6162162167</v>
      </c>
      <c r="R624">
        <f t="shared" si="991"/>
        <v>-467522933.89773887</v>
      </c>
      <c r="S624">
        <f t="shared" si="992"/>
        <v>-4675.2293389773886</v>
      </c>
      <c r="T624">
        <f t="shared" si="993"/>
        <v>-4.6752293389773882</v>
      </c>
    </row>
    <row r="625" spans="1:20" x14ac:dyDescent="0.25">
      <c r="A625" s="5">
        <v>43968</v>
      </c>
      <c r="B625">
        <v>5.6039999999999996E-3</v>
      </c>
      <c r="C625">
        <v>5.7999999999999996E-3</v>
      </c>
      <c r="D625">
        <v>5.4599999999999996E-3</v>
      </c>
      <c r="E625">
        <v>5.4599999999999996E-3</v>
      </c>
      <c r="F625">
        <v>9624007</v>
      </c>
      <c r="G625">
        <v>0</v>
      </c>
      <c r="L625" t="s">
        <v>8</v>
      </c>
      <c r="M625" t="s">
        <v>7</v>
      </c>
      <c r="N625" t="s">
        <v>7</v>
      </c>
      <c r="P625">
        <f t="shared" si="989"/>
        <v>-1</v>
      </c>
      <c r="Q625">
        <f t="shared" si="990"/>
        <v>-9624007</v>
      </c>
      <c r="R625">
        <f t="shared" si="991"/>
        <v>-470536683.51395512</v>
      </c>
      <c r="S625">
        <f t="shared" si="992"/>
        <v>-4705.3668351395509</v>
      </c>
      <c r="T625">
        <f t="shared" si="993"/>
        <v>-4.705366835139551</v>
      </c>
    </row>
    <row r="626" spans="1:20" x14ac:dyDescent="0.25">
      <c r="A626" s="5">
        <v>43967</v>
      </c>
      <c r="B626">
        <v>5.2880000000000002E-3</v>
      </c>
      <c r="C626">
        <v>5.6950000000000004E-3</v>
      </c>
      <c r="D626">
        <v>5.2709999999999996E-3</v>
      </c>
      <c r="E626">
        <v>5.6039999999999996E-3</v>
      </c>
      <c r="F626">
        <v>4109649</v>
      </c>
      <c r="G626">
        <v>0</v>
      </c>
      <c r="L626" t="s">
        <v>8</v>
      </c>
      <c r="M626" t="s">
        <v>7</v>
      </c>
      <c r="N626" t="s">
        <v>7</v>
      </c>
      <c r="P626">
        <f t="shared" si="989"/>
        <v>0.57075471698112912</v>
      </c>
      <c r="Q626">
        <f t="shared" si="990"/>
        <v>2345601.5518867802</v>
      </c>
      <c r="R626">
        <f t="shared" si="991"/>
        <v>-460912676.51395512</v>
      </c>
      <c r="S626">
        <f t="shared" si="992"/>
        <v>-4609.126765139551</v>
      </c>
      <c r="T626">
        <f t="shared" si="993"/>
        <v>-4.6091267651395507</v>
      </c>
    </row>
    <row r="627" spans="1:20" x14ac:dyDescent="0.25">
      <c r="A627" s="5">
        <v>43966</v>
      </c>
      <c r="B627">
        <v>5.4530000000000004E-3</v>
      </c>
      <c r="C627">
        <v>5.6540000000000002E-3</v>
      </c>
      <c r="D627">
        <v>5.2500000000000003E-3</v>
      </c>
      <c r="E627">
        <v>5.3740000000000003E-3</v>
      </c>
      <c r="F627">
        <v>8991618</v>
      </c>
      <c r="G627">
        <v>0</v>
      </c>
      <c r="L627" t="s">
        <v>7</v>
      </c>
      <c r="M627" t="s">
        <v>7</v>
      </c>
      <c r="N627" t="s">
        <v>7</v>
      </c>
      <c r="P627">
        <f t="shared" si="989"/>
        <v>-0.38613861386138604</v>
      </c>
      <c r="Q627">
        <f t="shared" si="990"/>
        <v>-3472010.9108910882</v>
      </c>
      <c r="R627">
        <f t="shared" si="991"/>
        <v>-463258278.06584191</v>
      </c>
      <c r="S627">
        <f t="shared" si="992"/>
        <v>-4632.5827806584193</v>
      </c>
      <c r="T627">
        <f t="shared" si="993"/>
        <v>-4.632582780658419</v>
      </c>
    </row>
    <row r="628" spans="1:20" x14ac:dyDescent="0.25">
      <c r="A628" s="5">
        <v>43965</v>
      </c>
      <c r="B628">
        <v>5.2969999999999996E-3</v>
      </c>
      <c r="C628">
        <v>6.3509999999999999E-3</v>
      </c>
      <c r="D628">
        <v>5.2009999999999999E-3</v>
      </c>
      <c r="E628">
        <v>5.4440000000000001E-3</v>
      </c>
      <c r="F628">
        <v>35187259</v>
      </c>
      <c r="G628">
        <v>0</v>
      </c>
      <c r="L628" t="s">
        <v>8</v>
      </c>
      <c r="M628" t="s">
        <v>8</v>
      </c>
      <c r="N628" t="s">
        <v>7</v>
      </c>
      <c r="P628">
        <f t="shared" si="989"/>
        <v>-0.57739130434782582</v>
      </c>
      <c r="Q628">
        <f t="shared" si="990"/>
        <v>-20316817.370434772</v>
      </c>
      <c r="R628">
        <f t="shared" si="991"/>
        <v>-459786267.1549508</v>
      </c>
      <c r="S628">
        <f t="shared" si="992"/>
        <v>-4597.8626715495084</v>
      </c>
      <c r="T628">
        <f t="shared" si="993"/>
        <v>-4.5978626715495086</v>
      </c>
    </row>
    <row r="629" spans="1:20" x14ac:dyDescent="0.25">
      <c r="A629" s="5">
        <v>43964</v>
      </c>
      <c r="B629">
        <v>5.4349999999999997E-3</v>
      </c>
      <c r="C629">
        <v>5.5999999999999999E-3</v>
      </c>
      <c r="D629">
        <v>5.2009999999999999E-3</v>
      </c>
      <c r="E629">
        <v>5.2969999999999996E-3</v>
      </c>
      <c r="F629">
        <v>6124608</v>
      </c>
      <c r="G629">
        <v>0</v>
      </c>
      <c r="L629" t="s">
        <v>7</v>
      </c>
      <c r="M629" t="s">
        <v>8</v>
      </c>
      <c r="N629" t="s">
        <v>7</v>
      </c>
      <c r="P629">
        <f t="shared" si="989"/>
        <v>-0.51879699248120437</v>
      </c>
      <c r="Q629">
        <f t="shared" si="990"/>
        <v>-3177428.2105263243</v>
      </c>
      <c r="R629">
        <f t="shared" si="991"/>
        <v>-439469449.78451604</v>
      </c>
      <c r="S629">
        <f t="shared" si="992"/>
        <v>-4394.6944978451602</v>
      </c>
      <c r="T629">
        <f t="shared" si="993"/>
        <v>-4.3946944978451601</v>
      </c>
    </row>
    <row r="630" spans="1:20" x14ac:dyDescent="0.25">
      <c r="A630" s="5">
        <v>43963</v>
      </c>
      <c r="B630">
        <v>5.215E-3</v>
      </c>
      <c r="C630">
        <v>5.6979999999999999E-3</v>
      </c>
      <c r="D630">
        <v>5.104E-3</v>
      </c>
      <c r="E630">
        <v>5.3769999999999998E-3</v>
      </c>
      <c r="F630">
        <v>8214181</v>
      </c>
      <c r="G630">
        <v>0</v>
      </c>
      <c r="L630" t="s">
        <v>8</v>
      </c>
      <c r="M630" t="s">
        <v>8</v>
      </c>
      <c r="N630" t="s">
        <v>7</v>
      </c>
      <c r="P630">
        <f t="shared" si="989"/>
        <v>-8.0808080808081328E-2</v>
      </c>
      <c r="Q630">
        <f t="shared" si="990"/>
        <v>-663772.20202020626</v>
      </c>
      <c r="R630">
        <f t="shared" si="991"/>
        <v>-436292021.57398969</v>
      </c>
      <c r="S630">
        <f t="shared" si="992"/>
        <v>-4362.9202157398968</v>
      </c>
      <c r="T630">
        <f t="shared" si="993"/>
        <v>-4.362920215739897</v>
      </c>
    </row>
    <row r="631" spans="1:20" x14ac:dyDescent="0.25">
      <c r="A631" s="5">
        <v>43962</v>
      </c>
      <c r="B631">
        <v>5.241E-3</v>
      </c>
      <c r="C631">
        <v>5.5999999999999999E-3</v>
      </c>
      <c r="D631">
        <v>5.0020000000000004E-3</v>
      </c>
      <c r="E631">
        <v>5.2750000000000002E-3</v>
      </c>
      <c r="F631">
        <v>12013593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-8.6956521739130432E-2</v>
      </c>
      <c r="Q631">
        <f t="shared" si="990"/>
        <v>-1044660.2608695652</v>
      </c>
      <c r="R631">
        <f t="shared" si="991"/>
        <v>-435628249.37196946</v>
      </c>
      <c r="S631">
        <f t="shared" si="992"/>
        <v>-4356.2824937196947</v>
      </c>
      <c r="T631">
        <f t="shared" si="993"/>
        <v>-4.3562824937196947</v>
      </c>
    </row>
    <row r="632" spans="1:20" x14ac:dyDescent="0.25">
      <c r="A632" s="5">
        <v>43961</v>
      </c>
      <c r="B632">
        <v>5.5490000000000001E-3</v>
      </c>
      <c r="C632">
        <v>5.803E-3</v>
      </c>
      <c r="D632">
        <v>4.901E-3</v>
      </c>
      <c r="E632">
        <v>5.1929999999999997E-3</v>
      </c>
      <c r="F632">
        <v>20042035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-0.35254988913525559</v>
      </c>
      <c r="Q632">
        <f t="shared" si="990"/>
        <v>-7065817.2172949119</v>
      </c>
      <c r="R632">
        <f t="shared" si="991"/>
        <v>-434583589.1110999</v>
      </c>
      <c r="S632">
        <f t="shared" si="992"/>
        <v>-4345.835891110999</v>
      </c>
      <c r="T632">
        <f t="shared" si="993"/>
        <v>-4.3458358911109993</v>
      </c>
    </row>
    <row r="633" spans="1:20" x14ac:dyDescent="0.25">
      <c r="A633" s="5">
        <v>43960</v>
      </c>
      <c r="B633">
        <v>5.7990000000000003E-3</v>
      </c>
      <c r="C633">
        <v>6.1500000000000001E-3</v>
      </c>
      <c r="D633">
        <v>5.3819999999999996E-3</v>
      </c>
      <c r="E633">
        <v>5.6270000000000001E-3</v>
      </c>
      <c r="F633">
        <v>11392908</v>
      </c>
      <c r="G633">
        <v>0</v>
      </c>
      <c r="L633" t="s">
        <v>7</v>
      </c>
      <c r="M633" t="s">
        <v>7</v>
      </c>
      <c r="N633" t="s">
        <v>7</v>
      </c>
      <c r="P633">
        <f t="shared" si="989"/>
        <v>-0.36197916666666591</v>
      </c>
      <c r="Q633">
        <f t="shared" si="990"/>
        <v>-4123995.3437499912</v>
      </c>
      <c r="R633">
        <f t="shared" si="991"/>
        <v>-427517771.89380497</v>
      </c>
      <c r="S633">
        <f t="shared" si="992"/>
        <v>-4275.17771893805</v>
      </c>
      <c r="T633">
        <f t="shared" si="993"/>
        <v>-4.2751777189380498</v>
      </c>
    </row>
    <row r="634" spans="1:20" x14ac:dyDescent="0.25">
      <c r="A634" s="5">
        <v>43959</v>
      </c>
      <c r="B634">
        <v>5.3200000000000001E-3</v>
      </c>
      <c r="C634">
        <v>6.1960000000000001E-3</v>
      </c>
      <c r="D634">
        <v>5.2789999999999998E-3</v>
      </c>
      <c r="E634">
        <v>5.7990000000000003E-3</v>
      </c>
      <c r="F634">
        <v>11922595</v>
      </c>
      <c r="G634">
        <v>0</v>
      </c>
      <c r="L634" t="s">
        <v>8</v>
      </c>
      <c r="M634" t="s">
        <v>7</v>
      </c>
      <c r="N634" t="s">
        <v>7</v>
      </c>
      <c r="P634">
        <f t="shared" si="989"/>
        <v>0.13413304252998984</v>
      </c>
      <c r="Q634">
        <f t="shared" si="990"/>
        <v>1599213.9422028442</v>
      </c>
      <c r="R634">
        <f t="shared" si="991"/>
        <v>-423393776.55005497</v>
      </c>
      <c r="S634">
        <f t="shared" si="992"/>
        <v>-4233.9377655005501</v>
      </c>
      <c r="T634">
        <f t="shared" si="993"/>
        <v>-4.2339377655005501</v>
      </c>
    </row>
    <row r="635" spans="1:20" x14ac:dyDescent="0.25">
      <c r="A635" s="5">
        <v>43958</v>
      </c>
      <c r="B635">
        <v>5.6369999999999996E-3</v>
      </c>
      <c r="C635">
        <v>6.1000000000000004E-3</v>
      </c>
      <c r="D635">
        <v>5.1520000000000003E-3</v>
      </c>
      <c r="E635">
        <v>5.2909999999999997E-3</v>
      </c>
      <c r="F635">
        <v>20498032</v>
      </c>
      <c r="G635">
        <v>0</v>
      </c>
      <c r="L635" t="s">
        <v>7</v>
      </c>
      <c r="M635" t="s">
        <v>7</v>
      </c>
      <c r="N635" t="s">
        <v>7</v>
      </c>
      <c r="P635">
        <f t="shared" si="989"/>
        <v>-0.70675105485232204</v>
      </c>
      <c r="Q635">
        <f t="shared" si="990"/>
        <v>-14487005.738396652</v>
      </c>
      <c r="R635">
        <f t="shared" si="991"/>
        <v>-424992990.49225783</v>
      </c>
      <c r="S635">
        <f t="shared" si="992"/>
        <v>-4249.9299049225783</v>
      </c>
      <c r="T635">
        <f t="shared" si="993"/>
        <v>-4.2499299049225785</v>
      </c>
    </row>
    <row r="636" spans="1:20" x14ac:dyDescent="0.25">
      <c r="A636" s="5">
        <v>43957</v>
      </c>
      <c r="B636">
        <v>5.79E-3</v>
      </c>
      <c r="C636">
        <v>5.829E-3</v>
      </c>
      <c r="D636">
        <v>5.6020000000000002E-3</v>
      </c>
      <c r="E636">
        <v>5.6369999999999996E-3</v>
      </c>
      <c r="F636">
        <v>8903578</v>
      </c>
      <c r="G636">
        <v>0</v>
      </c>
      <c r="L636" t="s">
        <v>7</v>
      </c>
      <c r="M636" t="s">
        <v>7</v>
      </c>
      <c r="N636" t="s">
        <v>7</v>
      </c>
      <c r="P636">
        <f t="shared" si="989"/>
        <v>-0.69162995594714116</v>
      </c>
      <c r="Q636">
        <f t="shared" si="990"/>
        <v>-6157981.2599119348</v>
      </c>
      <c r="R636">
        <f t="shared" si="991"/>
        <v>-410505984.75386119</v>
      </c>
      <c r="S636">
        <f t="shared" si="992"/>
        <v>-4105.0598475386123</v>
      </c>
      <c r="T636">
        <f t="shared" si="993"/>
        <v>-4.1050598475386124</v>
      </c>
    </row>
    <row r="637" spans="1:20" x14ac:dyDescent="0.25">
      <c r="A637" s="5">
        <v>43956</v>
      </c>
      <c r="B637">
        <v>5.7990000000000003E-3</v>
      </c>
      <c r="C637">
        <v>5.999E-3</v>
      </c>
      <c r="D637">
        <v>5.751E-3</v>
      </c>
      <c r="E637">
        <v>5.7660000000000003E-3</v>
      </c>
      <c r="F637">
        <v>5666015</v>
      </c>
      <c r="G637">
        <v>0</v>
      </c>
      <c r="L637" t="s">
        <v>7</v>
      </c>
      <c r="M637" t="s">
        <v>7</v>
      </c>
      <c r="N637" t="s">
        <v>7</v>
      </c>
      <c r="P637">
        <f t="shared" si="989"/>
        <v>-0.87903225806451402</v>
      </c>
      <c r="Q637">
        <f t="shared" si="990"/>
        <v>-4980609.9596774075</v>
      </c>
      <c r="R637">
        <f t="shared" si="991"/>
        <v>-404348003.49394923</v>
      </c>
      <c r="S637">
        <f t="shared" si="992"/>
        <v>-4043.4800349394923</v>
      </c>
      <c r="T637">
        <f t="shared" si="993"/>
        <v>-4.0434800349394919</v>
      </c>
    </row>
    <row r="638" spans="1:20" x14ac:dyDescent="0.25">
      <c r="A638" s="5">
        <v>43955</v>
      </c>
      <c r="B638">
        <v>5.8910000000000004E-3</v>
      </c>
      <c r="C638">
        <v>5.9369999999999996E-3</v>
      </c>
      <c r="D638">
        <v>5.5999999999999999E-3</v>
      </c>
      <c r="E638">
        <v>5.7829999999999999E-3</v>
      </c>
      <c r="F638">
        <v>5597547</v>
      </c>
      <c r="G638">
        <v>0</v>
      </c>
      <c r="L638" t="s">
        <v>7</v>
      </c>
      <c r="M638" t="s">
        <v>7</v>
      </c>
      <c r="N638" t="s">
        <v>7</v>
      </c>
      <c r="P638">
        <f t="shared" si="989"/>
        <v>8.6053412462909235E-2</v>
      </c>
      <c r="Q638">
        <f t="shared" si="990"/>
        <v>481688.02077152021</v>
      </c>
      <c r="R638">
        <f t="shared" si="991"/>
        <v>-399367393.53427184</v>
      </c>
      <c r="S638">
        <f t="shared" si="992"/>
        <v>-3993.6739353427183</v>
      </c>
      <c r="T638">
        <f t="shared" si="993"/>
        <v>-3.9936739353427182</v>
      </c>
    </row>
    <row r="639" spans="1:20" x14ac:dyDescent="0.25">
      <c r="A639" s="5">
        <v>43954</v>
      </c>
      <c r="B639">
        <v>6.1399999999999996E-3</v>
      </c>
      <c r="C639">
        <v>6.5539999999999999E-3</v>
      </c>
      <c r="D639">
        <v>5.7999999999999996E-3</v>
      </c>
      <c r="E639">
        <v>5.8910000000000004E-3</v>
      </c>
      <c r="F639">
        <v>21181956</v>
      </c>
      <c r="G639">
        <v>0</v>
      </c>
      <c r="L639" t="s">
        <v>7</v>
      </c>
      <c r="M639" t="s">
        <v>7</v>
      </c>
      <c r="N639" t="s">
        <v>7</v>
      </c>
      <c r="P639">
        <f t="shared" si="989"/>
        <v>-0.75862068965517038</v>
      </c>
      <c r="Q639">
        <f t="shared" si="990"/>
        <v>-16069070.068965474</v>
      </c>
      <c r="R639">
        <f t="shared" si="991"/>
        <v>-399849081.55504334</v>
      </c>
      <c r="S639">
        <f t="shared" si="992"/>
        <v>-3998.4908155504336</v>
      </c>
      <c r="T639">
        <f t="shared" si="993"/>
        <v>-3.9984908155504337</v>
      </c>
    </row>
    <row r="640" spans="1:20" x14ac:dyDescent="0.25">
      <c r="A640" s="5">
        <v>43953</v>
      </c>
      <c r="B640">
        <v>6.0109999999999999E-3</v>
      </c>
      <c r="C640">
        <v>6.1999999999999998E-3</v>
      </c>
      <c r="D640">
        <v>5.8999999999999999E-3</v>
      </c>
      <c r="E640">
        <v>6.1110000000000001E-3</v>
      </c>
      <c r="F640">
        <v>3507876</v>
      </c>
      <c r="G640">
        <v>0</v>
      </c>
      <c r="L640" t="s">
        <v>7</v>
      </c>
      <c r="M640" t="s">
        <v>7</v>
      </c>
      <c r="N640" t="s">
        <v>7</v>
      </c>
      <c r="P640">
        <f t="shared" si="989"/>
        <v>0.40666666666666873</v>
      </c>
      <c r="Q640">
        <f t="shared" si="990"/>
        <v>1426536.2400000072</v>
      </c>
      <c r="R640">
        <f t="shared" si="991"/>
        <v>-383780011.48607785</v>
      </c>
      <c r="S640">
        <f t="shared" si="992"/>
        <v>-3837.8001148607786</v>
      </c>
      <c r="T640">
        <f t="shared" si="993"/>
        <v>-3.8378001148607788</v>
      </c>
    </row>
    <row r="641" spans="1:20" x14ac:dyDescent="0.25">
      <c r="A641" s="5">
        <v>43952</v>
      </c>
      <c r="B641">
        <v>5.7460000000000002E-3</v>
      </c>
      <c r="C641">
        <v>6.3790000000000001E-3</v>
      </c>
      <c r="D641">
        <v>5.7390000000000002E-3</v>
      </c>
      <c r="E641">
        <v>5.9449999999999998E-3</v>
      </c>
      <c r="F641">
        <v>10236159</v>
      </c>
      <c r="G641">
        <v>0</v>
      </c>
      <c r="L641" t="s">
        <v>8</v>
      </c>
      <c r="M641" t="s">
        <v>7</v>
      </c>
      <c r="N641" t="s">
        <v>7</v>
      </c>
      <c r="P641">
        <f t="shared" si="989"/>
        <v>-0.35625000000000123</v>
      </c>
      <c r="Q641">
        <f t="shared" si="990"/>
        <v>-3646631.6437500124</v>
      </c>
      <c r="R641">
        <f t="shared" si="991"/>
        <v>-385206547.72607785</v>
      </c>
      <c r="S641">
        <f t="shared" si="992"/>
        <v>-3852.0654772607786</v>
      </c>
      <c r="T641">
        <f t="shared" si="993"/>
        <v>-3.8520654772607785</v>
      </c>
    </row>
    <row r="642" spans="1:20" x14ac:dyDescent="0.25">
      <c r="A642" s="5">
        <v>43951</v>
      </c>
      <c r="B642">
        <v>5.9069999999999999E-3</v>
      </c>
      <c r="C642">
        <v>6.2789999999999999E-3</v>
      </c>
      <c r="D642">
        <v>5.7120000000000001E-3</v>
      </c>
      <c r="E642">
        <v>5.7479999999999996E-3</v>
      </c>
      <c r="F642">
        <v>14318198</v>
      </c>
      <c r="G642">
        <v>0</v>
      </c>
      <c r="L642" t="s">
        <v>8</v>
      </c>
      <c r="M642" t="s">
        <v>7</v>
      </c>
      <c r="N642" t="s">
        <v>7</v>
      </c>
      <c r="P642">
        <f t="shared" si="989"/>
        <v>-0.87301587301587447</v>
      </c>
      <c r="Q642">
        <f t="shared" si="990"/>
        <v>-12500014.126984147</v>
      </c>
      <c r="R642">
        <f t="shared" si="991"/>
        <v>-381559916.08232784</v>
      </c>
      <c r="S642">
        <f t="shared" si="992"/>
        <v>-3815.5991608232785</v>
      </c>
      <c r="T642">
        <f t="shared" si="993"/>
        <v>-3.8155991608232784</v>
      </c>
    </row>
    <row r="643" spans="1:20" x14ac:dyDescent="0.25">
      <c r="A643" s="5">
        <v>43950</v>
      </c>
      <c r="B643">
        <v>5.7520000000000002E-3</v>
      </c>
      <c r="C643">
        <v>6.0390000000000001E-3</v>
      </c>
      <c r="D643">
        <v>5.7450000000000001E-3</v>
      </c>
      <c r="E643">
        <v>5.8789999999999997E-3</v>
      </c>
      <c r="F643">
        <v>14901246</v>
      </c>
      <c r="G643">
        <v>0</v>
      </c>
      <c r="L643" t="s">
        <v>7</v>
      </c>
      <c r="M643" t="s">
        <v>7</v>
      </c>
      <c r="N643" t="s">
        <v>7</v>
      </c>
      <c r="P643">
        <f t="shared" si="989"/>
        <v>-8.8435374149662752E-2</v>
      </c>
      <c r="Q643">
        <f t="shared" si="990"/>
        <v>-1317797.2653061654</v>
      </c>
      <c r="R643">
        <f t="shared" si="991"/>
        <v>-369059901.95534372</v>
      </c>
      <c r="S643">
        <f t="shared" si="992"/>
        <v>-3690.5990195534373</v>
      </c>
      <c r="T643">
        <f t="shared" si="993"/>
        <v>-3.6905990195534373</v>
      </c>
    </row>
    <row r="644" spans="1:20" x14ac:dyDescent="0.25">
      <c r="A644" s="5">
        <v>43949</v>
      </c>
      <c r="B644">
        <v>5.8269999999999997E-3</v>
      </c>
      <c r="C644">
        <v>5.8970000000000003E-3</v>
      </c>
      <c r="D644">
        <v>5.7080000000000004E-3</v>
      </c>
      <c r="E644">
        <v>5.7609999999999996E-3</v>
      </c>
      <c r="F644">
        <v>3175121</v>
      </c>
      <c r="G644">
        <v>0</v>
      </c>
      <c r="L644" t="s">
        <v>7</v>
      </c>
      <c r="M644" t="s">
        <v>7</v>
      </c>
      <c r="N644" t="s">
        <v>7</v>
      </c>
      <c r="P644">
        <f t="shared" si="989"/>
        <v>-0.43915343915344712</v>
      </c>
      <c r="Q644">
        <f t="shared" si="990"/>
        <v>-1394365.3068783323</v>
      </c>
      <c r="R644">
        <f t="shared" si="991"/>
        <v>-367742104.69003755</v>
      </c>
      <c r="S644">
        <f t="shared" si="992"/>
        <v>-3677.4210469003756</v>
      </c>
      <c r="T644">
        <f t="shared" si="993"/>
        <v>-3.6774210469003754</v>
      </c>
    </row>
    <row r="645" spans="1:20" x14ac:dyDescent="0.25">
      <c r="A645" s="5">
        <v>43948</v>
      </c>
      <c r="B645">
        <v>5.9119999999999997E-3</v>
      </c>
      <c r="C645">
        <v>6.0000000000000001E-3</v>
      </c>
      <c r="D645">
        <v>5.7219999999999997E-3</v>
      </c>
      <c r="E645">
        <v>5.8149999999999999E-3</v>
      </c>
      <c r="F645">
        <v>4975259</v>
      </c>
      <c r="G645">
        <v>0</v>
      </c>
      <c r="L645" t="s">
        <v>7</v>
      </c>
      <c r="M645" t="s">
        <v>7</v>
      </c>
      <c r="N645" t="s">
        <v>7</v>
      </c>
      <c r="P645">
        <f t="shared" si="989"/>
        <v>-0.33093525179856081</v>
      </c>
      <c r="Q645">
        <f t="shared" si="990"/>
        <v>-1646488.5899280559</v>
      </c>
      <c r="R645">
        <f t="shared" si="991"/>
        <v>-366347739.38315922</v>
      </c>
      <c r="S645">
        <f t="shared" si="992"/>
        <v>-3663.4773938315921</v>
      </c>
      <c r="T645">
        <f t="shared" si="993"/>
        <v>-3.6634773938315921</v>
      </c>
    </row>
    <row r="646" spans="1:20" x14ac:dyDescent="0.25">
      <c r="A646" s="5">
        <v>43947</v>
      </c>
      <c r="B646">
        <v>5.8799999999999998E-3</v>
      </c>
      <c r="C646">
        <v>5.9959999999999996E-3</v>
      </c>
      <c r="D646">
        <v>5.6670000000000002E-3</v>
      </c>
      <c r="E646">
        <v>5.9059999999999998E-3</v>
      </c>
      <c r="F646">
        <v>12908405</v>
      </c>
      <c r="G646">
        <v>0</v>
      </c>
      <c r="L646" t="s">
        <v>7</v>
      </c>
      <c r="M646" t="s">
        <v>7</v>
      </c>
      <c r="N646" t="s">
        <v>7</v>
      </c>
      <c r="P646">
        <f t="shared" ref="P646:P709" si="994">IF(C646=D646,0,((E646-D646)-(C646-E646))/(C646-D646))</f>
        <v>0.45288753799392123</v>
      </c>
      <c r="Q646">
        <f t="shared" ref="Q646:Q709" si="995">F646*P646</f>
        <v>5846055.7598784231</v>
      </c>
      <c r="R646">
        <f t="shared" ref="R646:R709" si="996">R647+Q646</f>
        <v>-364701250.79323119</v>
      </c>
      <c r="S646">
        <f t="shared" ref="S646:S709" si="997">R646/100000</f>
        <v>-3647.012507932312</v>
      </c>
      <c r="T646">
        <f t="shared" ref="T646:T709" si="998">S646/1000</f>
        <v>-3.6470125079323119</v>
      </c>
    </row>
    <row r="647" spans="1:20" x14ac:dyDescent="0.25">
      <c r="A647" s="5">
        <v>43946</v>
      </c>
      <c r="B647">
        <v>5.9699999999999996E-3</v>
      </c>
      <c r="C647">
        <v>6.5700000000000003E-3</v>
      </c>
      <c r="D647">
        <v>5.7530000000000003E-3</v>
      </c>
      <c r="E647">
        <v>5.875E-3</v>
      </c>
      <c r="F647">
        <v>25045874</v>
      </c>
      <c r="G647">
        <v>0</v>
      </c>
      <c r="L647" t="s">
        <v>8</v>
      </c>
      <c r="M647" t="s">
        <v>8</v>
      </c>
      <c r="N647" t="s">
        <v>7</v>
      </c>
      <c r="P647">
        <f t="shared" si="994"/>
        <v>-0.70134638922888692</v>
      </c>
      <c r="Q647">
        <f t="shared" si="995"/>
        <v>-17565833.294981658</v>
      </c>
      <c r="R647">
        <f t="shared" si="996"/>
        <v>-370547306.55310959</v>
      </c>
      <c r="S647">
        <f t="shared" si="997"/>
        <v>-3705.4730655310959</v>
      </c>
      <c r="T647">
        <f t="shared" si="998"/>
        <v>-3.7054730655310961</v>
      </c>
    </row>
    <row r="648" spans="1:20" x14ac:dyDescent="0.25">
      <c r="A648" s="5">
        <v>43945</v>
      </c>
      <c r="B648">
        <v>5.7099999999999998E-3</v>
      </c>
      <c r="C648">
        <v>6.0480000000000004E-3</v>
      </c>
      <c r="D648">
        <v>5.6800000000000002E-3</v>
      </c>
      <c r="E648">
        <v>5.9150000000000001E-3</v>
      </c>
      <c r="F648">
        <v>4200047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0.27717391304347716</v>
      </c>
      <c r="Q648">
        <f t="shared" si="995"/>
        <v>1164143.4619565171</v>
      </c>
      <c r="R648">
        <f t="shared" si="996"/>
        <v>-352981473.25812793</v>
      </c>
      <c r="S648">
        <f t="shared" si="997"/>
        <v>-3529.8147325812793</v>
      </c>
      <c r="T648">
        <f t="shared" si="998"/>
        <v>-3.5298147325812792</v>
      </c>
    </row>
    <row r="649" spans="1:20" x14ac:dyDescent="0.25">
      <c r="A649" s="5">
        <v>43944</v>
      </c>
      <c r="B649">
        <v>5.6860000000000001E-3</v>
      </c>
      <c r="C649">
        <v>5.8650000000000004E-3</v>
      </c>
      <c r="D649">
        <v>5.4729999999999996E-3</v>
      </c>
      <c r="E649">
        <v>5.7270000000000003E-3</v>
      </c>
      <c r="F649">
        <v>8447044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0.29591836734693977</v>
      </c>
      <c r="Q649">
        <f t="shared" si="995"/>
        <v>2499635.4693877636</v>
      </c>
      <c r="R649">
        <f t="shared" si="996"/>
        <v>-354145616.72008443</v>
      </c>
      <c r="S649">
        <f t="shared" si="997"/>
        <v>-3541.4561672008444</v>
      </c>
      <c r="T649">
        <f t="shared" si="998"/>
        <v>-3.5414561672008444</v>
      </c>
    </row>
    <row r="650" spans="1:20" x14ac:dyDescent="0.25">
      <c r="A650" s="5">
        <v>43943</v>
      </c>
      <c r="B650">
        <v>5.3E-3</v>
      </c>
      <c r="C650">
        <v>5.6990000000000001E-3</v>
      </c>
      <c r="D650">
        <v>5.2729999999999999E-3</v>
      </c>
      <c r="E650">
        <v>5.64E-3</v>
      </c>
      <c r="F650">
        <v>7437005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0.72300469483568075</v>
      </c>
      <c r="Q650">
        <f t="shared" si="995"/>
        <v>5376989.5305164317</v>
      </c>
      <c r="R650">
        <f t="shared" si="996"/>
        <v>-356645252.1894722</v>
      </c>
      <c r="S650">
        <f t="shared" si="997"/>
        <v>-3566.4525218947219</v>
      </c>
      <c r="T650">
        <f t="shared" si="998"/>
        <v>-3.5664525218947221</v>
      </c>
    </row>
    <row r="651" spans="1:20" x14ac:dyDescent="0.25">
      <c r="A651" s="5">
        <v>43942</v>
      </c>
      <c r="B651">
        <v>5.4320000000000002E-3</v>
      </c>
      <c r="C651">
        <v>5.4320000000000002E-3</v>
      </c>
      <c r="D651">
        <v>5.1999999999999998E-3</v>
      </c>
      <c r="E651">
        <v>5.3049999999999998E-3</v>
      </c>
      <c r="F651">
        <v>3382354</v>
      </c>
      <c r="G651">
        <v>0</v>
      </c>
      <c r="L651" t="s">
        <v>7</v>
      </c>
      <c r="M651" t="s">
        <v>7</v>
      </c>
      <c r="N651" t="s">
        <v>7</v>
      </c>
      <c r="P651">
        <f t="shared" si="994"/>
        <v>-9.482758620689774E-2</v>
      </c>
      <c r="Q651">
        <f t="shared" si="995"/>
        <v>-320740.46551724541</v>
      </c>
      <c r="R651">
        <f t="shared" si="996"/>
        <v>-362022241.71998864</v>
      </c>
      <c r="S651">
        <f t="shared" si="997"/>
        <v>-3620.2224171998864</v>
      </c>
      <c r="T651">
        <f t="shared" si="998"/>
        <v>-3.6202224171998862</v>
      </c>
    </row>
    <row r="652" spans="1:20" x14ac:dyDescent="0.25">
      <c r="A652" s="5">
        <v>43941</v>
      </c>
      <c r="B652">
        <v>5.5710000000000004E-3</v>
      </c>
      <c r="C652">
        <v>5.6779999999999999E-3</v>
      </c>
      <c r="D652">
        <v>5.3E-3</v>
      </c>
      <c r="E652">
        <v>5.3470000000000002E-3</v>
      </c>
      <c r="F652">
        <v>3991849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-0.75132275132275039</v>
      </c>
      <c r="Q652">
        <f t="shared" si="995"/>
        <v>-2999166.9735449697</v>
      </c>
      <c r="R652">
        <f t="shared" si="996"/>
        <v>-361701501.25447142</v>
      </c>
      <c r="S652">
        <f t="shared" si="997"/>
        <v>-3617.0150125447144</v>
      </c>
      <c r="T652">
        <f t="shared" si="998"/>
        <v>-3.6170150125447145</v>
      </c>
    </row>
    <row r="653" spans="1:20" x14ac:dyDescent="0.25">
      <c r="A653" s="5">
        <v>43940</v>
      </c>
      <c r="B653">
        <v>5.757E-3</v>
      </c>
      <c r="C653">
        <v>5.7999999999999996E-3</v>
      </c>
      <c r="D653">
        <v>5.5250000000000004E-3</v>
      </c>
      <c r="E653">
        <v>5.6179999999999997E-3</v>
      </c>
      <c r="F653">
        <v>3659129</v>
      </c>
      <c r="G653">
        <v>0</v>
      </c>
      <c r="L653" t="s">
        <v>8</v>
      </c>
      <c r="M653" t="s">
        <v>7</v>
      </c>
      <c r="N653" t="s">
        <v>7</v>
      </c>
      <c r="P653">
        <f t="shared" si="994"/>
        <v>-0.32363636363636655</v>
      </c>
      <c r="Q653">
        <f t="shared" si="995"/>
        <v>-1184227.2036363743</v>
      </c>
      <c r="R653">
        <f t="shared" si="996"/>
        <v>-358702334.28092647</v>
      </c>
      <c r="S653">
        <f t="shared" si="997"/>
        <v>-3587.0233428092647</v>
      </c>
      <c r="T653">
        <f t="shared" si="998"/>
        <v>-3.5870233428092648</v>
      </c>
    </row>
    <row r="654" spans="1:20" x14ac:dyDescent="0.25">
      <c r="A654" s="5">
        <v>43939</v>
      </c>
      <c r="B654">
        <v>5.5989999999999998E-3</v>
      </c>
      <c r="C654">
        <v>5.8209999999999998E-3</v>
      </c>
      <c r="D654">
        <v>5.509E-3</v>
      </c>
      <c r="E654">
        <v>5.79E-3</v>
      </c>
      <c r="F654">
        <v>10544971</v>
      </c>
      <c r="G654">
        <v>0</v>
      </c>
      <c r="L654" t="s">
        <v>8</v>
      </c>
      <c r="M654" t="s">
        <v>7</v>
      </c>
      <c r="N654" t="s">
        <v>7</v>
      </c>
      <c r="P654">
        <f t="shared" si="994"/>
        <v>0.80128205128205254</v>
      </c>
      <c r="Q654">
        <f t="shared" si="995"/>
        <v>8449495.993589757</v>
      </c>
      <c r="R654">
        <f t="shared" si="996"/>
        <v>-357518107.07729012</v>
      </c>
      <c r="S654">
        <f t="shared" si="997"/>
        <v>-3575.181070772901</v>
      </c>
      <c r="T654">
        <f t="shared" si="998"/>
        <v>-3.575181070772901</v>
      </c>
    </row>
    <row r="655" spans="1:20" x14ac:dyDescent="0.25">
      <c r="A655" s="5">
        <v>43938</v>
      </c>
      <c r="B655">
        <v>5.607E-3</v>
      </c>
      <c r="C655">
        <v>5.607E-3</v>
      </c>
      <c r="D655">
        <v>5.4079999999999996E-3</v>
      </c>
      <c r="E655">
        <v>5.5710000000000004E-3</v>
      </c>
      <c r="F655">
        <v>2949963</v>
      </c>
      <c r="G655">
        <v>0</v>
      </c>
      <c r="L655" t="s">
        <v>7</v>
      </c>
      <c r="M655" t="s">
        <v>7</v>
      </c>
      <c r="N655" t="s">
        <v>7</v>
      </c>
      <c r="P655">
        <f t="shared" si="994"/>
        <v>0.63819095477387433</v>
      </c>
      <c r="Q655">
        <f t="shared" si="995"/>
        <v>1882639.7035176028</v>
      </c>
      <c r="R655">
        <f t="shared" si="996"/>
        <v>-365967603.07087988</v>
      </c>
      <c r="S655">
        <f t="shared" si="997"/>
        <v>-3659.6760307087989</v>
      </c>
      <c r="T655">
        <f t="shared" si="998"/>
        <v>-3.6596760307087988</v>
      </c>
    </row>
    <row r="656" spans="1:20" x14ac:dyDescent="0.25">
      <c r="A656" s="5">
        <v>43937</v>
      </c>
      <c r="B656">
        <v>5.4099999999999999E-3</v>
      </c>
      <c r="C656">
        <v>5.6420000000000003E-3</v>
      </c>
      <c r="D656">
        <v>5.2859999999999999E-3</v>
      </c>
      <c r="E656">
        <v>5.5719999999999997E-3</v>
      </c>
      <c r="F656">
        <v>4860178</v>
      </c>
      <c r="G656">
        <v>0</v>
      </c>
      <c r="L656" t="s">
        <v>7</v>
      </c>
      <c r="M656" t="s">
        <v>7</v>
      </c>
      <c r="N656" t="s">
        <v>7</v>
      </c>
      <c r="P656">
        <f t="shared" si="994"/>
        <v>0.60674157303370491</v>
      </c>
      <c r="Q656">
        <f t="shared" si="995"/>
        <v>2948872.0449438058</v>
      </c>
      <c r="R656">
        <f t="shared" si="996"/>
        <v>-367850242.77439749</v>
      </c>
      <c r="S656">
        <f t="shared" si="997"/>
        <v>-3678.5024277439747</v>
      </c>
      <c r="T656">
        <f t="shared" si="998"/>
        <v>-3.6785024277439748</v>
      </c>
    </row>
    <row r="657" spans="1:20" x14ac:dyDescent="0.25">
      <c r="A657" s="5">
        <v>43936</v>
      </c>
      <c r="B657">
        <v>5.3800000000000002E-3</v>
      </c>
      <c r="C657">
        <v>5.6030000000000003E-3</v>
      </c>
      <c r="D657">
        <v>5.3600000000000002E-3</v>
      </c>
      <c r="E657">
        <v>5.4720000000000003E-3</v>
      </c>
      <c r="F657">
        <v>3255968</v>
      </c>
      <c r="G657">
        <v>0</v>
      </c>
      <c r="L657" t="s">
        <v>7</v>
      </c>
      <c r="M657" t="s">
        <v>7</v>
      </c>
      <c r="N657" t="s">
        <v>7</v>
      </c>
      <c r="P657">
        <f t="shared" si="994"/>
        <v>-7.818930041152225E-2</v>
      </c>
      <c r="Q657">
        <f t="shared" si="995"/>
        <v>-254581.86008230329</v>
      </c>
      <c r="R657">
        <f t="shared" si="996"/>
        <v>-370799114.8193413</v>
      </c>
      <c r="S657">
        <f t="shared" si="997"/>
        <v>-3707.9911481934132</v>
      </c>
      <c r="T657">
        <f t="shared" si="998"/>
        <v>-3.7079911481934134</v>
      </c>
    </row>
    <row r="658" spans="1:20" x14ac:dyDescent="0.25">
      <c r="A658" s="5">
        <v>43935</v>
      </c>
      <c r="B658">
        <v>5.2059999999999997E-3</v>
      </c>
      <c r="C658">
        <v>6.2899999999999996E-3</v>
      </c>
      <c r="D658">
        <v>5.1879999999999999E-3</v>
      </c>
      <c r="E658">
        <v>5.4330000000000003E-3</v>
      </c>
      <c r="F658">
        <v>35696210</v>
      </c>
      <c r="G658">
        <v>0</v>
      </c>
      <c r="L658" t="s">
        <v>8</v>
      </c>
      <c r="M658" t="s">
        <v>8</v>
      </c>
      <c r="N658" t="s">
        <v>7</v>
      </c>
      <c r="P658">
        <f t="shared" si="994"/>
        <v>-0.55535390199636936</v>
      </c>
      <c r="Q658">
        <f t="shared" si="995"/>
        <v>-19824029.509981818</v>
      </c>
      <c r="R658">
        <f t="shared" si="996"/>
        <v>-370544532.95925897</v>
      </c>
      <c r="S658">
        <f t="shared" si="997"/>
        <v>-3705.4453295925896</v>
      </c>
      <c r="T658">
        <f t="shared" si="998"/>
        <v>-3.7054453295925898</v>
      </c>
    </row>
    <row r="659" spans="1:20" x14ac:dyDescent="0.25">
      <c r="A659" s="5">
        <v>43934</v>
      </c>
      <c r="B659">
        <v>5.4460000000000003E-3</v>
      </c>
      <c r="C659">
        <v>5.4609999999999997E-3</v>
      </c>
      <c r="D659">
        <v>5.1289999999999999E-3</v>
      </c>
      <c r="E659">
        <v>5.2119999999999996E-3</v>
      </c>
      <c r="F659">
        <v>14561671</v>
      </c>
      <c r="G659">
        <v>0</v>
      </c>
      <c r="L659" t="s">
        <v>7</v>
      </c>
      <c r="M659" t="s">
        <v>7</v>
      </c>
      <c r="N659" t="s">
        <v>7</v>
      </c>
      <c r="P659">
        <f t="shared" si="994"/>
        <v>-0.50000000000000133</v>
      </c>
      <c r="Q659">
        <f t="shared" si="995"/>
        <v>-7280835.5000000196</v>
      </c>
      <c r="R659">
        <f t="shared" si="996"/>
        <v>-350720503.44927716</v>
      </c>
      <c r="S659">
        <f t="shared" si="997"/>
        <v>-3507.2050344927716</v>
      </c>
      <c r="T659">
        <f t="shared" si="998"/>
        <v>-3.5072050344927717</v>
      </c>
    </row>
    <row r="660" spans="1:20" x14ac:dyDescent="0.25">
      <c r="A660" s="5">
        <v>43933</v>
      </c>
      <c r="B660">
        <v>5.8380000000000003E-3</v>
      </c>
      <c r="C660">
        <v>6.1599999999999997E-3</v>
      </c>
      <c r="D660">
        <v>5.4450000000000002E-3</v>
      </c>
      <c r="E660">
        <v>5.489E-3</v>
      </c>
      <c r="F660">
        <v>53794339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-0.87692307692307747</v>
      </c>
      <c r="Q660">
        <f t="shared" si="995"/>
        <v>-47173497.276923105</v>
      </c>
      <c r="R660">
        <f t="shared" si="996"/>
        <v>-343439667.94927716</v>
      </c>
      <c r="S660">
        <f t="shared" si="997"/>
        <v>-3434.3966794927715</v>
      </c>
      <c r="T660">
        <f t="shared" si="998"/>
        <v>-3.4343966794927714</v>
      </c>
    </row>
    <row r="661" spans="1:20" x14ac:dyDescent="0.25">
      <c r="A661" s="5">
        <v>43932</v>
      </c>
      <c r="B661">
        <v>5.0200000000000002E-3</v>
      </c>
      <c r="C661">
        <v>7.4149999999999997E-3</v>
      </c>
      <c r="D661">
        <v>4.9309999999999996E-3</v>
      </c>
      <c r="E661">
        <v>5.8409999999999998E-3</v>
      </c>
      <c r="F661">
        <v>97118547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-0.26731078904991934</v>
      </c>
      <c r="Q661">
        <f t="shared" si="995"/>
        <v>-25960835.429951675</v>
      </c>
      <c r="R661">
        <f t="shared" si="996"/>
        <v>-296266170.67235404</v>
      </c>
      <c r="S661">
        <f t="shared" si="997"/>
        <v>-2962.6617067235406</v>
      </c>
      <c r="T661">
        <f t="shared" si="998"/>
        <v>-2.9626617067235408</v>
      </c>
    </row>
    <row r="662" spans="1:20" x14ac:dyDescent="0.25">
      <c r="A662" s="5">
        <v>43931</v>
      </c>
      <c r="B662">
        <v>5.4660000000000004E-3</v>
      </c>
      <c r="C662">
        <v>5.4660000000000004E-3</v>
      </c>
      <c r="D662">
        <v>4.653E-3</v>
      </c>
      <c r="E662">
        <v>5.0070000000000002E-3</v>
      </c>
      <c r="F662">
        <v>8579616</v>
      </c>
      <c r="G662">
        <v>0</v>
      </c>
      <c r="L662" t="s">
        <v>7</v>
      </c>
      <c r="M662" t="s">
        <v>7</v>
      </c>
      <c r="N662" t="s">
        <v>7</v>
      </c>
      <c r="P662">
        <f t="shared" si="994"/>
        <v>-0.12915129151291516</v>
      </c>
      <c r="Q662">
        <f t="shared" si="995"/>
        <v>-1108068.4870848712</v>
      </c>
      <c r="R662">
        <f t="shared" si="996"/>
        <v>-270305335.24240237</v>
      </c>
      <c r="S662">
        <f t="shared" si="997"/>
        <v>-2703.0533524240236</v>
      </c>
      <c r="T662">
        <f t="shared" si="998"/>
        <v>-2.7030533524240234</v>
      </c>
    </row>
    <row r="663" spans="1:20" x14ac:dyDescent="0.25">
      <c r="A663" s="5">
        <v>43930</v>
      </c>
      <c r="B663">
        <v>5.4599999999999996E-3</v>
      </c>
      <c r="C663">
        <v>5.5599999999999998E-3</v>
      </c>
      <c r="D663">
        <v>5.3680000000000004E-3</v>
      </c>
      <c r="E663">
        <v>5.4209999999999996E-3</v>
      </c>
      <c r="F663">
        <v>4462817</v>
      </c>
      <c r="G663">
        <v>0</v>
      </c>
      <c r="L663" t="s">
        <v>7</v>
      </c>
      <c r="M663" t="s">
        <v>7</v>
      </c>
      <c r="N663" t="s">
        <v>7</v>
      </c>
      <c r="P663">
        <f t="shared" si="994"/>
        <v>-0.44791666666667318</v>
      </c>
      <c r="Q663">
        <f t="shared" si="995"/>
        <v>-1998970.1145833624</v>
      </c>
      <c r="R663">
        <f t="shared" si="996"/>
        <v>-269197266.75531751</v>
      </c>
      <c r="S663">
        <f t="shared" si="997"/>
        <v>-2691.9726675531751</v>
      </c>
      <c r="T663">
        <f t="shared" si="998"/>
        <v>-2.6919726675531752</v>
      </c>
    </row>
    <row r="664" spans="1:20" x14ac:dyDescent="0.25">
      <c r="A664" s="5">
        <v>43929</v>
      </c>
      <c r="B664">
        <v>5.4559999999999999E-3</v>
      </c>
      <c r="C664">
        <v>5.666E-3</v>
      </c>
      <c r="D664">
        <v>5.3949999999999996E-3</v>
      </c>
      <c r="E664">
        <v>5.4320000000000002E-3</v>
      </c>
      <c r="F664">
        <v>5592853</v>
      </c>
      <c r="G664">
        <v>0</v>
      </c>
      <c r="L664" t="s">
        <v>7</v>
      </c>
      <c r="M664" t="s">
        <v>7</v>
      </c>
      <c r="N664" t="s">
        <v>7</v>
      </c>
      <c r="P664">
        <f t="shared" si="994"/>
        <v>-0.72693726937268988</v>
      </c>
      <c r="Q664">
        <f t="shared" si="995"/>
        <v>-4065653.2878228566</v>
      </c>
      <c r="R664">
        <f t="shared" si="996"/>
        <v>-267198296.64073414</v>
      </c>
      <c r="S664">
        <f t="shared" si="997"/>
        <v>-2671.9829664073413</v>
      </c>
      <c r="T664">
        <f t="shared" si="998"/>
        <v>-2.6719829664073411</v>
      </c>
    </row>
    <row r="665" spans="1:20" x14ac:dyDescent="0.25">
      <c r="A665" s="5">
        <v>43928</v>
      </c>
      <c r="B665">
        <v>5.5669999999999999E-3</v>
      </c>
      <c r="C665">
        <v>5.6470000000000001E-3</v>
      </c>
      <c r="D665">
        <v>5.3030000000000004E-3</v>
      </c>
      <c r="E665">
        <v>5.3870000000000003E-3</v>
      </c>
      <c r="F665">
        <v>9158989</v>
      </c>
      <c r="G665">
        <v>0</v>
      </c>
      <c r="L665" t="s">
        <v>7</v>
      </c>
      <c r="M665" t="s">
        <v>7</v>
      </c>
      <c r="N665" t="s">
        <v>7</v>
      </c>
      <c r="P665">
        <f t="shared" si="994"/>
        <v>-0.51162790697674443</v>
      </c>
      <c r="Q665">
        <f t="shared" si="995"/>
        <v>-4685994.3720930256</v>
      </c>
      <c r="R665">
        <f t="shared" si="996"/>
        <v>-263132643.35291129</v>
      </c>
      <c r="S665">
        <f t="shared" si="997"/>
        <v>-2631.3264335291128</v>
      </c>
      <c r="T665">
        <f t="shared" si="998"/>
        <v>-2.6313264335291127</v>
      </c>
    </row>
    <row r="666" spans="1:20" x14ac:dyDescent="0.25">
      <c r="A666" s="5">
        <v>43927</v>
      </c>
      <c r="B666">
        <v>5.2599999999999999E-3</v>
      </c>
      <c r="C666">
        <v>5.7990000000000003E-3</v>
      </c>
      <c r="D666">
        <v>5.2220000000000001E-3</v>
      </c>
      <c r="E666">
        <v>5.5399999999999998E-3</v>
      </c>
      <c r="F666">
        <v>29420699</v>
      </c>
      <c r="G666">
        <v>0</v>
      </c>
      <c r="L666" t="s">
        <v>8</v>
      </c>
      <c r="M666" t="s">
        <v>7</v>
      </c>
      <c r="N666" t="s">
        <v>7</v>
      </c>
      <c r="P666">
        <f t="shared" si="994"/>
        <v>0.10225303292894131</v>
      </c>
      <c r="Q666">
        <f t="shared" si="995"/>
        <v>3008355.7036394705</v>
      </c>
      <c r="R666">
        <f t="shared" si="996"/>
        <v>-258446648.98081827</v>
      </c>
      <c r="S666">
        <f t="shared" si="997"/>
        <v>-2584.4664898081828</v>
      </c>
      <c r="T666">
        <f t="shared" si="998"/>
        <v>-2.5844664898081828</v>
      </c>
    </row>
    <row r="667" spans="1:20" x14ac:dyDescent="0.25">
      <c r="A667" s="5">
        <v>43926</v>
      </c>
      <c r="B667">
        <v>5.653E-3</v>
      </c>
      <c r="C667">
        <v>5.7019999999999996E-3</v>
      </c>
      <c r="D667">
        <v>5.1440000000000001E-3</v>
      </c>
      <c r="E667">
        <v>5.2589999999999998E-3</v>
      </c>
      <c r="F667">
        <v>12391152</v>
      </c>
      <c r="G667">
        <v>0</v>
      </c>
      <c r="L667" t="s">
        <v>7</v>
      </c>
      <c r="M667" t="s">
        <v>7</v>
      </c>
      <c r="N667" t="s">
        <v>7</v>
      </c>
      <c r="P667">
        <f t="shared" si="994"/>
        <v>-0.58781362007168547</v>
      </c>
      <c r="Q667">
        <f t="shared" si="995"/>
        <v>-7283687.9139785059</v>
      </c>
      <c r="R667">
        <f t="shared" si="996"/>
        <v>-261455004.68445775</v>
      </c>
      <c r="S667">
        <f t="shared" si="997"/>
        <v>-2614.5500468445775</v>
      </c>
      <c r="T667">
        <f t="shared" si="998"/>
        <v>-2.6145500468445775</v>
      </c>
    </row>
    <row r="668" spans="1:20" x14ac:dyDescent="0.25">
      <c r="A668" s="5">
        <v>43925</v>
      </c>
      <c r="B668">
        <v>5.5589999999999997E-3</v>
      </c>
      <c r="C668">
        <v>6.7999999999999996E-3</v>
      </c>
      <c r="D668">
        <v>5.4159999999999998E-3</v>
      </c>
      <c r="E668">
        <v>5.6080000000000001E-3</v>
      </c>
      <c r="F668">
        <v>35337776</v>
      </c>
      <c r="G668">
        <v>0</v>
      </c>
      <c r="L668" t="s">
        <v>7</v>
      </c>
      <c r="M668" t="s">
        <v>7</v>
      </c>
      <c r="N668" t="s">
        <v>8</v>
      </c>
      <c r="P668">
        <f t="shared" si="994"/>
        <v>-0.72254335260115554</v>
      </c>
      <c r="Q668">
        <f t="shared" si="995"/>
        <v>-25533075.144508652</v>
      </c>
      <c r="R668">
        <f t="shared" si="996"/>
        <v>-254171316.77047923</v>
      </c>
      <c r="S668">
        <f t="shared" si="997"/>
        <v>-2541.7131677047923</v>
      </c>
      <c r="T668">
        <f t="shared" si="998"/>
        <v>-2.5417131677047924</v>
      </c>
    </row>
    <row r="669" spans="1:20" x14ac:dyDescent="0.25">
      <c r="A669" s="5">
        <v>43924</v>
      </c>
      <c r="B669">
        <v>5.4169999999999999E-3</v>
      </c>
      <c r="C669">
        <v>7.0559999999999998E-3</v>
      </c>
      <c r="D669">
        <v>5.2189999999999997E-3</v>
      </c>
      <c r="E669">
        <v>5.5180000000000003E-3</v>
      </c>
      <c r="F669">
        <v>77914999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-0.67446924333151803</v>
      </c>
      <c r="Q669">
        <f t="shared" si="995"/>
        <v>-52551270.419705987</v>
      </c>
      <c r="R669">
        <f t="shared" si="996"/>
        <v>-228638241.62597057</v>
      </c>
      <c r="S669">
        <f t="shared" si="997"/>
        <v>-2286.3824162597057</v>
      </c>
      <c r="T669">
        <f t="shared" si="998"/>
        <v>-2.2863824162597055</v>
      </c>
    </row>
    <row r="670" spans="1:20" x14ac:dyDescent="0.25">
      <c r="A670" s="5">
        <v>43923</v>
      </c>
      <c r="B670">
        <v>4.7910000000000001E-3</v>
      </c>
      <c r="C670">
        <v>6.0910000000000001E-3</v>
      </c>
      <c r="D670">
        <v>4.4980000000000003E-3</v>
      </c>
      <c r="E670">
        <v>5.4180000000000001E-3</v>
      </c>
      <c r="F670">
        <v>83217122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0.15505335844318885</v>
      </c>
      <c r="Q670">
        <f t="shared" si="995"/>
        <v>12903094.246076576</v>
      </c>
      <c r="R670">
        <f t="shared" si="996"/>
        <v>-176086971.20626459</v>
      </c>
      <c r="S670">
        <f t="shared" si="997"/>
        <v>-1760.8697120626459</v>
      </c>
      <c r="T670">
        <f t="shared" si="998"/>
        <v>-1.760869712062646</v>
      </c>
    </row>
    <row r="671" spans="1:20" x14ac:dyDescent="0.25">
      <c r="A671" s="5">
        <v>43922</v>
      </c>
      <c r="B671">
        <v>4.4409999999999996E-3</v>
      </c>
      <c r="C671">
        <v>4.7910000000000001E-3</v>
      </c>
      <c r="D671">
        <v>4.1729999999999996E-3</v>
      </c>
      <c r="E671">
        <v>4.7910000000000001E-3</v>
      </c>
      <c r="F671">
        <v>5529229</v>
      </c>
      <c r="G671">
        <v>0</v>
      </c>
      <c r="L671" t="s">
        <v>8</v>
      </c>
      <c r="M671" t="s">
        <v>7</v>
      </c>
      <c r="N671" t="s">
        <v>7</v>
      </c>
      <c r="P671">
        <f t="shared" si="994"/>
        <v>1</v>
      </c>
      <c r="Q671">
        <f t="shared" si="995"/>
        <v>5529229</v>
      </c>
      <c r="R671">
        <f t="shared" si="996"/>
        <v>-188990065.45234117</v>
      </c>
      <c r="S671">
        <f t="shared" si="997"/>
        <v>-1889.9006545234117</v>
      </c>
      <c r="T671">
        <f t="shared" si="998"/>
        <v>-1.8899006545234118</v>
      </c>
    </row>
    <row r="672" spans="1:20" x14ac:dyDescent="0.25">
      <c r="A672" s="5">
        <v>43921</v>
      </c>
      <c r="B672">
        <v>4.3819999999999996E-3</v>
      </c>
      <c r="C672">
        <v>4.5339999999999998E-3</v>
      </c>
      <c r="D672">
        <v>4.3090000000000003E-3</v>
      </c>
      <c r="E672">
        <v>4.4409999999999996E-3</v>
      </c>
      <c r="F672">
        <v>1605051</v>
      </c>
      <c r="G672">
        <v>0</v>
      </c>
      <c r="L672" t="s">
        <v>8</v>
      </c>
      <c r="M672" t="s">
        <v>7</v>
      </c>
      <c r="N672" t="s">
        <v>7</v>
      </c>
      <c r="P672">
        <f t="shared" si="994"/>
        <v>0.17333333333332973</v>
      </c>
      <c r="Q672">
        <f t="shared" si="995"/>
        <v>278208.8399999942</v>
      </c>
      <c r="R672">
        <f t="shared" si="996"/>
        <v>-194519294.45234117</v>
      </c>
      <c r="S672">
        <f t="shared" si="997"/>
        <v>-1945.1929445234116</v>
      </c>
      <c r="T672">
        <f t="shared" si="998"/>
        <v>-1.9451929445234115</v>
      </c>
    </row>
    <row r="673" spans="1:20" x14ac:dyDescent="0.25">
      <c r="A673" s="5">
        <v>43920</v>
      </c>
      <c r="B673">
        <v>4.1570000000000001E-3</v>
      </c>
      <c r="C673">
        <v>4.4840000000000001E-3</v>
      </c>
      <c r="D673">
        <v>4.1009999999999996E-3</v>
      </c>
      <c r="E673">
        <v>4.3819999999999996E-3</v>
      </c>
      <c r="F673">
        <v>5948383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0.46736292428198234</v>
      </c>
      <c r="Q673">
        <f t="shared" si="995"/>
        <v>2780053.6736292308</v>
      </c>
      <c r="R673">
        <f t="shared" si="996"/>
        <v>-194797503.29234117</v>
      </c>
      <c r="S673">
        <f t="shared" si="997"/>
        <v>-1947.9750329234116</v>
      </c>
      <c r="T673">
        <f t="shared" si="998"/>
        <v>-1.9479750329234116</v>
      </c>
    </row>
    <row r="674" spans="1:20" x14ac:dyDescent="0.25">
      <c r="A674" s="5">
        <v>43919</v>
      </c>
      <c r="B674">
        <v>4.3169999999999997E-3</v>
      </c>
      <c r="C674">
        <v>4.3359999999999996E-3</v>
      </c>
      <c r="D674">
        <v>4.104E-3</v>
      </c>
      <c r="E674">
        <v>4.1570000000000001E-3</v>
      </c>
      <c r="F674">
        <v>2602371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-0.54310344827586043</v>
      </c>
      <c r="Q674">
        <f t="shared" si="995"/>
        <v>-1413356.6637930991</v>
      </c>
      <c r="R674">
        <f t="shared" si="996"/>
        <v>-197577556.9659704</v>
      </c>
      <c r="S674">
        <f t="shared" si="997"/>
        <v>-1975.7755696597039</v>
      </c>
      <c r="T674">
        <f t="shared" si="998"/>
        <v>-1.9757755696597039</v>
      </c>
    </row>
    <row r="675" spans="1:20" x14ac:dyDescent="0.25">
      <c r="A675" s="5">
        <v>43918</v>
      </c>
      <c r="B675">
        <v>4.3509999999999998E-3</v>
      </c>
      <c r="C675">
        <v>4.4720000000000003E-3</v>
      </c>
      <c r="D675">
        <v>4.1009999999999996E-3</v>
      </c>
      <c r="E675">
        <v>4.3169999999999997E-3</v>
      </c>
      <c r="F675">
        <v>2431697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0.1644204851752003</v>
      </c>
      <c r="Q675">
        <f t="shared" si="995"/>
        <v>399820.80053907906</v>
      </c>
      <c r="R675">
        <f t="shared" si="996"/>
        <v>-196164200.30217731</v>
      </c>
      <c r="S675">
        <f t="shared" si="997"/>
        <v>-1961.642003021773</v>
      </c>
      <c r="T675">
        <f t="shared" si="998"/>
        <v>-1.9616420030217729</v>
      </c>
    </row>
    <row r="676" spans="1:20" x14ac:dyDescent="0.25">
      <c r="A676" s="5">
        <v>43917</v>
      </c>
      <c r="B676">
        <v>4.6080000000000001E-3</v>
      </c>
      <c r="C676">
        <v>4.7270000000000003E-3</v>
      </c>
      <c r="D676">
        <v>4.2469999999999999E-3</v>
      </c>
      <c r="E676">
        <v>4.4010000000000004E-3</v>
      </c>
      <c r="F676">
        <v>6929210</v>
      </c>
      <c r="G676">
        <v>0</v>
      </c>
      <c r="L676" t="s">
        <v>7</v>
      </c>
      <c r="M676" t="s">
        <v>7</v>
      </c>
      <c r="N676" t="s">
        <v>7</v>
      </c>
      <c r="P676">
        <f t="shared" si="994"/>
        <v>-0.35833333333333184</v>
      </c>
      <c r="Q676">
        <f t="shared" si="995"/>
        <v>-2482966.9166666563</v>
      </c>
      <c r="R676">
        <f t="shared" si="996"/>
        <v>-196564021.10271639</v>
      </c>
      <c r="S676">
        <f t="shared" si="997"/>
        <v>-1965.6402110271638</v>
      </c>
      <c r="T676">
        <f t="shared" si="998"/>
        <v>-1.9656402110271638</v>
      </c>
    </row>
    <row r="677" spans="1:20" x14ac:dyDescent="0.25">
      <c r="A677" s="5">
        <v>43916</v>
      </c>
      <c r="B677">
        <v>4.7499999999999999E-3</v>
      </c>
      <c r="C677">
        <v>4.7999999999999996E-3</v>
      </c>
      <c r="D677">
        <v>4.4860000000000004E-3</v>
      </c>
      <c r="E677">
        <v>4.6299999999999996E-3</v>
      </c>
      <c r="F677">
        <v>11606785</v>
      </c>
      <c r="G677">
        <v>0</v>
      </c>
      <c r="L677" t="s">
        <v>7</v>
      </c>
      <c r="M677" t="s">
        <v>7</v>
      </c>
      <c r="N677" t="s">
        <v>7</v>
      </c>
      <c r="P677">
        <f t="shared" si="994"/>
        <v>-8.2802547770703561E-2</v>
      </c>
      <c r="Q677">
        <f t="shared" si="995"/>
        <v>-961071.3694267855</v>
      </c>
      <c r="R677">
        <f t="shared" si="996"/>
        <v>-194081054.18604973</v>
      </c>
      <c r="S677">
        <f t="shared" si="997"/>
        <v>-1940.8105418604973</v>
      </c>
      <c r="T677">
        <f t="shared" si="998"/>
        <v>-1.9408105418604973</v>
      </c>
    </row>
    <row r="678" spans="1:20" x14ac:dyDescent="0.25">
      <c r="A678" s="5">
        <v>43915</v>
      </c>
      <c r="B678">
        <v>5.078E-3</v>
      </c>
      <c r="C678">
        <v>5.1289999999999999E-3</v>
      </c>
      <c r="D678">
        <v>4.6350000000000002E-3</v>
      </c>
      <c r="E678">
        <v>4.7070000000000002E-3</v>
      </c>
      <c r="F678">
        <v>9978614</v>
      </c>
      <c r="G678">
        <v>0</v>
      </c>
      <c r="L678" t="s">
        <v>7</v>
      </c>
      <c r="M678" t="s">
        <v>7</v>
      </c>
      <c r="N678" t="s">
        <v>7</v>
      </c>
      <c r="P678">
        <f t="shared" si="994"/>
        <v>-0.70850202429149767</v>
      </c>
      <c r="Q678">
        <f t="shared" si="995"/>
        <v>-7069868.2186234789</v>
      </c>
      <c r="R678">
        <f t="shared" si="996"/>
        <v>-193119982.81662294</v>
      </c>
      <c r="S678">
        <f t="shared" si="997"/>
        <v>-1931.1998281662295</v>
      </c>
      <c r="T678">
        <f t="shared" si="998"/>
        <v>-1.9311998281662295</v>
      </c>
    </row>
    <row r="679" spans="1:20" x14ac:dyDescent="0.25">
      <c r="A679" s="5">
        <v>43914</v>
      </c>
      <c r="B679">
        <v>5.6189999999999999E-3</v>
      </c>
      <c r="C679">
        <v>5.7749999999999998E-3</v>
      </c>
      <c r="D679">
        <v>4.9389999999999998E-3</v>
      </c>
      <c r="E679">
        <v>5.1570000000000001E-3</v>
      </c>
      <c r="F679">
        <v>24390242</v>
      </c>
      <c r="G679">
        <v>0</v>
      </c>
      <c r="L679" t="s">
        <v>7</v>
      </c>
      <c r="M679" t="s">
        <v>7</v>
      </c>
      <c r="N679" t="s">
        <v>7</v>
      </c>
      <c r="P679">
        <f t="shared" si="994"/>
        <v>-0.47846889952153032</v>
      </c>
      <c r="Q679">
        <f t="shared" si="995"/>
        <v>-11669972.248803809</v>
      </c>
      <c r="R679">
        <f t="shared" si="996"/>
        <v>-186050114.59799945</v>
      </c>
      <c r="S679">
        <f t="shared" si="997"/>
        <v>-1860.5011459799946</v>
      </c>
      <c r="T679">
        <f t="shared" si="998"/>
        <v>-1.8605011459799945</v>
      </c>
    </row>
    <row r="680" spans="1:20" x14ac:dyDescent="0.25">
      <c r="A680" s="5">
        <v>43913</v>
      </c>
      <c r="B680">
        <v>4.9779999999999998E-3</v>
      </c>
      <c r="C680">
        <v>7.6899999999999998E-3</v>
      </c>
      <c r="D680">
        <v>4.6239999999999996E-3</v>
      </c>
      <c r="E680">
        <v>5.6100000000000004E-3</v>
      </c>
      <c r="F680">
        <v>65590165</v>
      </c>
      <c r="G680">
        <v>0</v>
      </c>
      <c r="L680" t="s">
        <v>8</v>
      </c>
      <c r="M680" t="s">
        <v>8</v>
      </c>
      <c r="N680" t="s">
        <v>8</v>
      </c>
      <c r="P680">
        <f t="shared" si="994"/>
        <v>-0.35681669928245224</v>
      </c>
      <c r="Q680">
        <f t="shared" si="995"/>
        <v>-23403666.180691425</v>
      </c>
      <c r="R680">
        <f t="shared" si="996"/>
        <v>-174380142.34919563</v>
      </c>
      <c r="S680">
        <f t="shared" si="997"/>
        <v>-1743.8014234919563</v>
      </c>
      <c r="T680">
        <f t="shared" si="998"/>
        <v>-1.7438014234919563</v>
      </c>
    </row>
    <row r="681" spans="1:20" x14ac:dyDescent="0.25">
      <c r="A681" s="5">
        <v>43912</v>
      </c>
      <c r="B681">
        <v>4.9940000000000002E-3</v>
      </c>
      <c r="C681">
        <v>5.4790000000000004E-3</v>
      </c>
      <c r="D681">
        <v>4.7019999999999996E-3</v>
      </c>
      <c r="E681">
        <v>5.0870000000000004E-3</v>
      </c>
      <c r="F681">
        <v>10753226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-9.0090090090079629E-3</v>
      </c>
      <c r="Q681">
        <f t="shared" si="995"/>
        <v>-96875.909909898663</v>
      </c>
      <c r="R681">
        <f t="shared" si="996"/>
        <v>-150976476.16850421</v>
      </c>
      <c r="S681">
        <f t="shared" si="997"/>
        <v>-1509.764761685042</v>
      </c>
      <c r="T681">
        <f t="shared" si="998"/>
        <v>-1.509764761685042</v>
      </c>
    </row>
    <row r="682" spans="1:20" x14ac:dyDescent="0.25">
      <c r="A682" s="5">
        <v>43911</v>
      </c>
      <c r="B682">
        <v>4.895E-3</v>
      </c>
      <c r="C682">
        <v>5.4999999999999997E-3</v>
      </c>
      <c r="D682">
        <v>4.6249999999999998E-3</v>
      </c>
      <c r="E682">
        <v>4.9940000000000002E-3</v>
      </c>
      <c r="F682">
        <v>8851983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-0.15657142857142756</v>
      </c>
      <c r="Q682">
        <f t="shared" si="995"/>
        <v>-1385967.623999991</v>
      </c>
      <c r="R682">
        <f t="shared" si="996"/>
        <v>-150879600.2585943</v>
      </c>
      <c r="S682">
        <f t="shared" si="997"/>
        <v>-1508.7960025859431</v>
      </c>
      <c r="T682">
        <f t="shared" si="998"/>
        <v>-1.508796002585943</v>
      </c>
    </row>
    <row r="683" spans="1:20" x14ac:dyDescent="0.25">
      <c r="A683" s="5">
        <v>43910</v>
      </c>
      <c r="B683">
        <v>4.9979999999999998E-3</v>
      </c>
      <c r="C683">
        <v>5.5719999999999997E-3</v>
      </c>
      <c r="D683">
        <v>4.6860000000000001E-3</v>
      </c>
      <c r="E683">
        <v>4.8960000000000002E-3</v>
      </c>
      <c r="F683">
        <v>12982329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-0.52595936794582343</v>
      </c>
      <c r="Q683">
        <f t="shared" si="995"/>
        <v>-6828177.555304734</v>
      </c>
      <c r="R683">
        <f t="shared" si="996"/>
        <v>-149493632.63459432</v>
      </c>
      <c r="S683">
        <f t="shared" si="997"/>
        <v>-1494.9363263459431</v>
      </c>
      <c r="T683">
        <f t="shared" si="998"/>
        <v>-1.4949363263459432</v>
      </c>
    </row>
    <row r="684" spans="1:20" x14ac:dyDescent="0.25">
      <c r="A684" s="5">
        <v>43909</v>
      </c>
      <c r="B684">
        <v>4.2929999999999999E-3</v>
      </c>
      <c r="C684">
        <v>5.0829999999999998E-3</v>
      </c>
      <c r="D684">
        <v>4.2379999999999996E-3</v>
      </c>
      <c r="E684">
        <v>5.0000000000000001E-3</v>
      </c>
      <c r="F684">
        <v>3389312</v>
      </c>
      <c r="G684">
        <v>0</v>
      </c>
      <c r="L684" t="s">
        <v>8</v>
      </c>
      <c r="M684" t="s">
        <v>8</v>
      </c>
      <c r="N684" t="s">
        <v>7</v>
      </c>
      <c r="P684">
        <f t="shared" si="994"/>
        <v>0.80355029585798887</v>
      </c>
      <c r="Q684">
        <f t="shared" si="995"/>
        <v>2723482.660355032</v>
      </c>
      <c r="R684">
        <f t="shared" si="996"/>
        <v>-142665455.07928959</v>
      </c>
      <c r="S684">
        <f t="shared" si="997"/>
        <v>-1426.6545507928959</v>
      </c>
      <c r="T684">
        <f t="shared" si="998"/>
        <v>-1.4266545507928958</v>
      </c>
    </row>
    <row r="685" spans="1:20" x14ac:dyDescent="0.25">
      <c r="A685" s="5">
        <v>43908</v>
      </c>
      <c r="B685">
        <v>4.3220000000000003E-3</v>
      </c>
      <c r="C685">
        <v>4.4759999999999999E-3</v>
      </c>
      <c r="D685">
        <v>4.0000000000000001E-3</v>
      </c>
      <c r="E685">
        <v>4.2199999999999998E-3</v>
      </c>
      <c r="F685">
        <v>2639273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-7.5630252100841289E-2</v>
      </c>
      <c r="Q685">
        <f t="shared" si="995"/>
        <v>-199608.88235294368</v>
      </c>
      <c r="R685">
        <f t="shared" si="996"/>
        <v>-145388937.73964462</v>
      </c>
      <c r="S685">
        <f t="shared" si="997"/>
        <v>-1453.8893773964462</v>
      </c>
      <c r="T685">
        <f t="shared" si="998"/>
        <v>-1.4538893773964463</v>
      </c>
    </row>
    <row r="686" spans="1:20" x14ac:dyDescent="0.25">
      <c r="A686" s="5">
        <v>43907</v>
      </c>
      <c r="B686">
        <v>4.1869999999999997E-3</v>
      </c>
      <c r="C686">
        <v>4.5240000000000002E-3</v>
      </c>
      <c r="D686">
        <v>4.0419999999999996E-3</v>
      </c>
      <c r="E686">
        <v>4.326E-3</v>
      </c>
      <c r="F686">
        <v>4761923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0.17842323651452285</v>
      </c>
      <c r="Q686">
        <f t="shared" si="995"/>
        <v>849637.71369294624</v>
      </c>
      <c r="R686">
        <f t="shared" si="996"/>
        <v>-145189328.85729167</v>
      </c>
      <c r="S686">
        <f t="shared" si="997"/>
        <v>-1451.8932885729166</v>
      </c>
      <c r="T686">
        <f t="shared" si="998"/>
        <v>-1.4518932885729166</v>
      </c>
    </row>
    <row r="687" spans="1:20" x14ac:dyDescent="0.25">
      <c r="A687" s="5">
        <v>43906</v>
      </c>
      <c r="B687">
        <v>4.7010000000000003E-3</v>
      </c>
      <c r="C687">
        <v>4.7559999999999998E-3</v>
      </c>
      <c r="D687">
        <v>3.8289999999999999E-3</v>
      </c>
      <c r="E687">
        <v>4.1469999999999996E-3</v>
      </c>
      <c r="F687">
        <v>6132552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-0.31391585760517854</v>
      </c>
      <c r="Q687">
        <f t="shared" si="995"/>
        <v>-1925105.320388353</v>
      </c>
      <c r="R687">
        <f t="shared" si="996"/>
        <v>-146038966.5709846</v>
      </c>
      <c r="S687">
        <f t="shared" si="997"/>
        <v>-1460.389665709846</v>
      </c>
      <c r="T687">
        <f t="shared" si="998"/>
        <v>-1.4603896657098461</v>
      </c>
    </row>
    <row r="688" spans="1:20" x14ac:dyDescent="0.25">
      <c r="A688" s="5">
        <v>43905</v>
      </c>
      <c r="B688">
        <v>4.8209999999999998E-3</v>
      </c>
      <c r="C688">
        <v>5.3E-3</v>
      </c>
      <c r="D688">
        <v>4.4999999999999997E-3</v>
      </c>
      <c r="E688">
        <v>4.7000000000000002E-3</v>
      </c>
      <c r="F688">
        <v>8560805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-0.49999999999999889</v>
      </c>
      <c r="Q688">
        <f t="shared" si="995"/>
        <v>-4280402.4999999907</v>
      </c>
      <c r="R688">
        <f t="shared" si="996"/>
        <v>-144113861.25059626</v>
      </c>
      <c r="S688">
        <f t="shared" si="997"/>
        <v>-1441.1386125059626</v>
      </c>
      <c r="T688">
        <f t="shared" si="998"/>
        <v>-1.4411386125059626</v>
      </c>
    </row>
    <row r="689" spans="1:20" x14ac:dyDescent="0.25">
      <c r="A689" s="5">
        <v>43904</v>
      </c>
      <c r="B689">
        <v>4.3870000000000003E-3</v>
      </c>
      <c r="C689">
        <v>5.1999999999999998E-3</v>
      </c>
      <c r="D689">
        <v>4.2069999999999998E-3</v>
      </c>
      <c r="E689">
        <v>4.7580000000000001E-3</v>
      </c>
      <c r="F689">
        <v>12210925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0.10976837865055447</v>
      </c>
      <c r="Q689">
        <f t="shared" si="995"/>
        <v>1340373.4390735219</v>
      </c>
      <c r="R689">
        <f t="shared" si="996"/>
        <v>-139833458.75059626</v>
      </c>
      <c r="S689">
        <f t="shared" si="997"/>
        <v>-1398.3345875059626</v>
      </c>
      <c r="T689">
        <f t="shared" si="998"/>
        <v>-1.3983345875059627</v>
      </c>
    </row>
    <row r="690" spans="1:20" x14ac:dyDescent="0.25">
      <c r="A690" s="5">
        <v>43903</v>
      </c>
      <c r="B690">
        <v>3.4650000000000002E-3</v>
      </c>
      <c r="C690">
        <v>4.4999999999999997E-3</v>
      </c>
      <c r="D690">
        <v>2.274E-3</v>
      </c>
      <c r="E690">
        <v>4.4999999999999997E-3</v>
      </c>
      <c r="F690">
        <v>16509090</v>
      </c>
      <c r="G690">
        <v>0</v>
      </c>
      <c r="L690" t="s">
        <v>8</v>
      </c>
      <c r="M690" t="s">
        <v>8</v>
      </c>
      <c r="N690" t="s">
        <v>8</v>
      </c>
      <c r="P690">
        <f t="shared" si="994"/>
        <v>1</v>
      </c>
      <c r="Q690">
        <f t="shared" si="995"/>
        <v>16509090</v>
      </c>
      <c r="R690">
        <f t="shared" si="996"/>
        <v>-141173832.18966979</v>
      </c>
      <c r="S690">
        <f t="shared" si="997"/>
        <v>-1411.7383218966979</v>
      </c>
      <c r="T690">
        <f t="shared" si="998"/>
        <v>-1.4117383218966979</v>
      </c>
    </row>
    <row r="691" spans="1:20" x14ac:dyDescent="0.25">
      <c r="A691" s="5">
        <v>43902</v>
      </c>
      <c r="B691">
        <v>7.5979999999999997E-3</v>
      </c>
      <c r="C691">
        <v>7.5979999999999997E-3</v>
      </c>
      <c r="D691">
        <v>1.8E-3</v>
      </c>
      <c r="E691">
        <v>3.483E-3</v>
      </c>
      <c r="F691">
        <v>18144865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-0.41945498447740598</v>
      </c>
      <c r="Q691">
        <f t="shared" si="995"/>
        <v>-7610954.0669196267</v>
      </c>
      <c r="R691">
        <f t="shared" si="996"/>
        <v>-157682922.18966979</v>
      </c>
      <c r="S691">
        <f t="shared" si="997"/>
        <v>-1576.8292218966978</v>
      </c>
      <c r="T691">
        <f t="shared" si="998"/>
        <v>-1.5768292218966979</v>
      </c>
    </row>
    <row r="692" spans="1:20" x14ac:dyDescent="0.25">
      <c r="A692" s="5">
        <v>43901</v>
      </c>
      <c r="B692">
        <v>7.6E-3</v>
      </c>
      <c r="C692">
        <v>7.9000000000000008E-3</v>
      </c>
      <c r="D692">
        <v>7.2030000000000002E-3</v>
      </c>
      <c r="E692">
        <v>7.5969999999999996E-3</v>
      </c>
      <c r="F692">
        <v>4671437</v>
      </c>
      <c r="G692">
        <v>0</v>
      </c>
      <c r="L692" t="s">
        <v>7</v>
      </c>
      <c r="M692" t="s">
        <v>7</v>
      </c>
      <c r="N692" t="s">
        <v>8</v>
      </c>
      <c r="P692">
        <f t="shared" si="994"/>
        <v>0.13055954088952385</v>
      </c>
      <c r="Q692">
        <f t="shared" si="995"/>
        <v>609900.67001433461</v>
      </c>
      <c r="R692">
        <f t="shared" si="996"/>
        <v>-150071968.12275016</v>
      </c>
      <c r="S692">
        <f t="shared" si="997"/>
        <v>-1500.7196812275017</v>
      </c>
      <c r="T692">
        <f t="shared" si="998"/>
        <v>-1.5007196812275017</v>
      </c>
    </row>
    <row r="693" spans="1:20" x14ac:dyDescent="0.25">
      <c r="A693" s="5">
        <v>43900</v>
      </c>
      <c r="B693">
        <v>7.5799999999999999E-3</v>
      </c>
      <c r="C693">
        <v>7.8399999999999997E-3</v>
      </c>
      <c r="D693">
        <v>7.2820000000000003E-3</v>
      </c>
      <c r="E693">
        <v>7.5950000000000002E-3</v>
      </c>
      <c r="F693">
        <v>2543310</v>
      </c>
      <c r="G693">
        <v>0</v>
      </c>
      <c r="L693" t="s">
        <v>8</v>
      </c>
      <c r="M693" t="s">
        <v>7</v>
      </c>
      <c r="N693" t="s">
        <v>8</v>
      </c>
      <c r="P693">
        <f t="shared" si="994"/>
        <v>0.12186379928315487</v>
      </c>
      <c r="Q693">
        <f t="shared" si="995"/>
        <v>309937.41935484059</v>
      </c>
      <c r="R693">
        <f t="shared" si="996"/>
        <v>-150681868.79276448</v>
      </c>
      <c r="S693">
        <f t="shared" si="997"/>
        <v>-1506.8186879276448</v>
      </c>
      <c r="T693">
        <f t="shared" si="998"/>
        <v>-1.5068186879276448</v>
      </c>
    </row>
    <row r="694" spans="1:20" x14ac:dyDescent="0.25">
      <c r="A694" s="5">
        <v>43899</v>
      </c>
      <c r="B694">
        <v>7.7419999999999998E-3</v>
      </c>
      <c r="C694">
        <v>8.1989999999999997E-3</v>
      </c>
      <c r="D694">
        <v>7.1999999999999998E-3</v>
      </c>
      <c r="E694">
        <v>7.6E-3</v>
      </c>
      <c r="F694">
        <v>3594003</v>
      </c>
      <c r="G694">
        <v>0</v>
      </c>
      <c r="L694" t="s">
        <v>7</v>
      </c>
      <c r="M694" t="s">
        <v>7</v>
      </c>
      <c r="N694" t="s">
        <v>8</v>
      </c>
      <c r="P694">
        <f t="shared" si="994"/>
        <v>-0.19919919919919873</v>
      </c>
      <c r="Q694">
        <f t="shared" si="995"/>
        <v>-715922.5195195179</v>
      </c>
      <c r="R694">
        <f t="shared" si="996"/>
        <v>-150991806.21211931</v>
      </c>
      <c r="S694">
        <f t="shared" si="997"/>
        <v>-1509.9180621211931</v>
      </c>
      <c r="T694">
        <f t="shared" si="998"/>
        <v>-1.5099180621211932</v>
      </c>
    </row>
    <row r="695" spans="1:20" x14ac:dyDescent="0.25">
      <c r="A695" s="5">
        <v>43898</v>
      </c>
      <c r="B695">
        <v>9.0290000000000006E-3</v>
      </c>
      <c r="C695">
        <v>9.0819999999999998E-3</v>
      </c>
      <c r="D695">
        <v>7.7000000000000002E-3</v>
      </c>
      <c r="E695">
        <v>7.7999999999999996E-3</v>
      </c>
      <c r="F695">
        <v>4942327</v>
      </c>
      <c r="G695">
        <v>0</v>
      </c>
      <c r="L695" t="s">
        <v>8</v>
      </c>
      <c r="M695" t="s">
        <v>8</v>
      </c>
      <c r="N695" t="s">
        <v>8</v>
      </c>
      <c r="P695">
        <f t="shared" si="994"/>
        <v>-0.85528219971056518</v>
      </c>
      <c r="Q695">
        <f t="shared" si="995"/>
        <v>-4227084.3082489185</v>
      </c>
      <c r="R695">
        <f t="shared" si="996"/>
        <v>-150275883.6925998</v>
      </c>
      <c r="S695">
        <f t="shared" si="997"/>
        <v>-1502.7588369259981</v>
      </c>
      <c r="T695">
        <f t="shared" si="998"/>
        <v>-1.5027588369259981</v>
      </c>
    </row>
    <row r="696" spans="1:20" x14ac:dyDescent="0.25">
      <c r="A696" s="5">
        <v>43897</v>
      </c>
      <c r="B696">
        <v>9.7999999999999997E-3</v>
      </c>
      <c r="C696">
        <v>0.01</v>
      </c>
      <c r="D696">
        <v>5.0350000000000004E-3</v>
      </c>
      <c r="E696">
        <v>9.0629999999999999E-3</v>
      </c>
      <c r="F696">
        <v>13281262</v>
      </c>
      <c r="G696">
        <v>0</v>
      </c>
      <c r="L696" t="s">
        <v>7</v>
      </c>
      <c r="M696" t="s">
        <v>7</v>
      </c>
      <c r="N696" t="s">
        <v>7</v>
      </c>
      <c r="P696">
        <f t="shared" si="994"/>
        <v>0.62255790533736133</v>
      </c>
      <c r="Q696">
        <f t="shared" si="995"/>
        <v>8268354.650956694</v>
      </c>
      <c r="R696">
        <f t="shared" si="996"/>
        <v>-146048799.3843509</v>
      </c>
      <c r="S696">
        <f t="shared" si="997"/>
        <v>-1460.487993843509</v>
      </c>
      <c r="T696">
        <f t="shared" si="998"/>
        <v>-1.4604879938435089</v>
      </c>
    </row>
    <row r="697" spans="1:20" x14ac:dyDescent="0.25">
      <c r="A697" s="5">
        <v>43896</v>
      </c>
      <c r="B697">
        <v>9.1789999999999997E-3</v>
      </c>
      <c r="C697">
        <v>1.0097999999999999E-2</v>
      </c>
      <c r="D697">
        <v>9.0109999999999999E-3</v>
      </c>
      <c r="E697">
        <v>9.7769999999999992E-3</v>
      </c>
      <c r="F697">
        <v>13756292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0.40938362465501327</v>
      </c>
      <c r="Q697">
        <f t="shared" si="995"/>
        <v>5631600.6807727618</v>
      </c>
      <c r="R697">
        <f t="shared" si="996"/>
        <v>-154317154.03530759</v>
      </c>
      <c r="S697">
        <f t="shared" si="997"/>
        <v>-1543.1715403530759</v>
      </c>
      <c r="T697">
        <f t="shared" si="998"/>
        <v>-1.5431715403530759</v>
      </c>
    </row>
    <row r="698" spans="1:20" x14ac:dyDescent="0.25">
      <c r="A698" s="5">
        <v>43895</v>
      </c>
      <c r="B698">
        <v>8.5749999999999993E-3</v>
      </c>
      <c r="C698">
        <v>9.3399999999999993E-3</v>
      </c>
      <c r="D698">
        <v>8.574E-3</v>
      </c>
      <c r="E698">
        <v>9.1789999999999997E-3</v>
      </c>
      <c r="F698">
        <v>7134298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0.57963446475195868</v>
      </c>
      <c r="Q698">
        <f t="shared" si="995"/>
        <v>4135285.0026109694</v>
      </c>
      <c r="R698">
        <f t="shared" si="996"/>
        <v>-159948754.71608034</v>
      </c>
      <c r="S698">
        <f t="shared" si="997"/>
        <v>-1599.4875471608034</v>
      </c>
      <c r="T698">
        <f t="shared" si="998"/>
        <v>-1.5994875471608034</v>
      </c>
    </row>
    <row r="699" spans="1:20" x14ac:dyDescent="0.25">
      <c r="A699" s="5">
        <v>43894</v>
      </c>
      <c r="B699">
        <v>8.2660000000000008E-3</v>
      </c>
      <c r="C699">
        <v>8.9999999999999993E-3</v>
      </c>
      <c r="D699">
        <v>8.2579999999999997E-3</v>
      </c>
      <c r="E699">
        <v>8.6E-3</v>
      </c>
      <c r="F699">
        <v>6192044</v>
      </c>
      <c r="G699">
        <v>0</v>
      </c>
      <c r="L699" t="s">
        <v>8</v>
      </c>
      <c r="M699" t="s">
        <v>8</v>
      </c>
      <c r="N699" t="s">
        <v>7</v>
      </c>
      <c r="P699">
        <f t="shared" si="994"/>
        <v>-7.8167115902963685E-2</v>
      </c>
      <c r="Q699">
        <f t="shared" si="995"/>
        <v>-484014.22102425084</v>
      </c>
      <c r="R699">
        <f t="shared" si="996"/>
        <v>-164084039.71869132</v>
      </c>
      <c r="S699">
        <f t="shared" si="997"/>
        <v>-1640.8403971869132</v>
      </c>
      <c r="T699">
        <f t="shared" si="998"/>
        <v>-1.6408403971869132</v>
      </c>
    </row>
    <row r="700" spans="1:20" x14ac:dyDescent="0.25">
      <c r="A700" s="5">
        <v>43893</v>
      </c>
      <c r="B700">
        <v>8.3759999999999998E-3</v>
      </c>
      <c r="C700">
        <v>8.4880000000000008E-3</v>
      </c>
      <c r="D700">
        <v>8.0999999999999996E-3</v>
      </c>
      <c r="E700">
        <v>8.2660000000000008E-3</v>
      </c>
      <c r="F700">
        <v>2127330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-0.14432989690721285</v>
      </c>
      <c r="Q700">
        <f t="shared" si="995"/>
        <v>-307037.31958762108</v>
      </c>
      <c r="R700">
        <f t="shared" si="996"/>
        <v>-163600025.49766707</v>
      </c>
      <c r="S700">
        <f t="shared" si="997"/>
        <v>-1636.0002549766707</v>
      </c>
      <c r="T700">
        <f t="shared" si="998"/>
        <v>-1.6360002549766708</v>
      </c>
    </row>
    <row r="701" spans="1:20" x14ac:dyDescent="0.25">
      <c r="A701" s="5">
        <v>43892</v>
      </c>
      <c r="B701">
        <v>7.9170000000000004E-3</v>
      </c>
      <c r="C701">
        <v>8.4309999999999993E-3</v>
      </c>
      <c r="D701">
        <v>7.8630000000000002E-3</v>
      </c>
      <c r="E701">
        <v>8.3009999999999994E-3</v>
      </c>
      <c r="F701">
        <v>1497330</v>
      </c>
      <c r="G701">
        <v>0</v>
      </c>
      <c r="L701" t="s">
        <v>7</v>
      </c>
      <c r="M701" t="s">
        <v>7</v>
      </c>
      <c r="N701" t="s">
        <v>7</v>
      </c>
      <c r="P701">
        <f t="shared" si="994"/>
        <v>0.54225352112676017</v>
      </c>
      <c r="Q701">
        <f t="shared" si="995"/>
        <v>811932.46478873177</v>
      </c>
      <c r="R701">
        <f t="shared" si="996"/>
        <v>-163292988.17807946</v>
      </c>
      <c r="S701">
        <f t="shared" si="997"/>
        <v>-1632.9298817807946</v>
      </c>
      <c r="T701">
        <f t="shared" si="998"/>
        <v>-1.6329298817807947</v>
      </c>
    </row>
    <row r="702" spans="1:20" x14ac:dyDescent="0.25">
      <c r="A702" s="5">
        <v>43891</v>
      </c>
      <c r="B702">
        <v>8.2400000000000008E-3</v>
      </c>
      <c r="C702">
        <v>8.2900000000000005E-3</v>
      </c>
      <c r="D702">
        <v>7.835E-3</v>
      </c>
      <c r="E702">
        <v>8.0630000000000007E-3</v>
      </c>
      <c r="F702">
        <v>2193458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2.1978021978043931E-3</v>
      </c>
      <c r="Q702">
        <f t="shared" si="995"/>
        <v>4820.7868131916284</v>
      </c>
      <c r="R702">
        <f t="shared" si="996"/>
        <v>-164104920.64286819</v>
      </c>
      <c r="S702">
        <f t="shared" si="997"/>
        <v>-1641.0492064286818</v>
      </c>
      <c r="T702">
        <f t="shared" si="998"/>
        <v>-1.6410492064286819</v>
      </c>
    </row>
    <row r="703" spans="1:20" x14ac:dyDescent="0.25">
      <c r="A703" s="5">
        <v>43890</v>
      </c>
      <c r="B703">
        <v>8.2000000000000007E-3</v>
      </c>
      <c r="C703">
        <v>8.5000000000000006E-3</v>
      </c>
      <c r="D703">
        <v>8.0000000000000002E-3</v>
      </c>
      <c r="E703">
        <v>8.2030000000000002E-3</v>
      </c>
      <c r="F703">
        <v>3232518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-0.1880000000000005</v>
      </c>
      <c r="Q703">
        <f t="shared" si="995"/>
        <v>-607713.38400000159</v>
      </c>
      <c r="R703">
        <f t="shared" si="996"/>
        <v>-164109741.42968139</v>
      </c>
      <c r="S703">
        <f t="shared" si="997"/>
        <v>-1641.0974142968139</v>
      </c>
      <c r="T703">
        <f t="shared" si="998"/>
        <v>-1.641097414296814</v>
      </c>
    </row>
    <row r="704" spans="1:20" x14ac:dyDescent="0.25">
      <c r="A704" s="5">
        <v>43889</v>
      </c>
      <c r="B704">
        <v>8.123E-3</v>
      </c>
      <c r="C704">
        <v>8.2679999999999993E-3</v>
      </c>
      <c r="D704">
        <v>7.7289999999999998E-3</v>
      </c>
      <c r="E704">
        <v>8.1980000000000004E-3</v>
      </c>
      <c r="F704">
        <v>1332534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0.74025974025974417</v>
      </c>
      <c r="Q704">
        <f t="shared" si="995"/>
        <v>986421.27272727794</v>
      </c>
      <c r="R704">
        <f t="shared" si="996"/>
        <v>-163502028.04568139</v>
      </c>
      <c r="S704">
        <f t="shared" si="997"/>
        <v>-1635.0202804568139</v>
      </c>
      <c r="T704">
        <f t="shared" si="998"/>
        <v>-1.6350202804568139</v>
      </c>
    </row>
    <row r="705" spans="1:20" x14ac:dyDescent="0.25">
      <c r="A705" s="5">
        <v>43888</v>
      </c>
      <c r="B705">
        <v>7.7000000000000002E-3</v>
      </c>
      <c r="C705">
        <v>8.4989999999999996E-3</v>
      </c>
      <c r="D705">
        <v>7.5009999999999999E-3</v>
      </c>
      <c r="E705">
        <v>8.1209999999999997E-3</v>
      </c>
      <c r="F705">
        <v>1812874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0.24248496993987984</v>
      </c>
      <c r="Q705">
        <f t="shared" si="995"/>
        <v>439594.69739478972</v>
      </c>
      <c r="R705">
        <f t="shared" si="996"/>
        <v>-164488449.31840867</v>
      </c>
      <c r="S705">
        <f t="shared" si="997"/>
        <v>-1644.8844931840868</v>
      </c>
      <c r="T705">
        <f t="shared" si="998"/>
        <v>-1.6448844931840867</v>
      </c>
    </row>
    <row r="706" spans="1:20" x14ac:dyDescent="0.25">
      <c r="A706" s="5">
        <v>43887</v>
      </c>
      <c r="B706">
        <v>8.5290000000000001E-3</v>
      </c>
      <c r="C706">
        <v>8.5649999999999997E-3</v>
      </c>
      <c r="D706">
        <v>7.3000000000000001E-3</v>
      </c>
      <c r="E706">
        <v>7.7190000000000002E-3</v>
      </c>
      <c r="F706">
        <v>5554084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-0.33754940711462417</v>
      </c>
      <c r="Q706">
        <f t="shared" si="995"/>
        <v>-1874777.7612648204</v>
      </c>
      <c r="R706">
        <f t="shared" si="996"/>
        <v>-164928044.01580346</v>
      </c>
      <c r="S706">
        <f t="shared" si="997"/>
        <v>-1649.2804401580345</v>
      </c>
      <c r="T706">
        <f t="shared" si="998"/>
        <v>-1.6492804401580345</v>
      </c>
    </row>
    <row r="707" spans="1:20" x14ac:dyDescent="0.25">
      <c r="A707" s="5">
        <v>43886</v>
      </c>
      <c r="B707">
        <v>9.3449999999999991E-3</v>
      </c>
      <c r="C707">
        <v>9.4920000000000004E-3</v>
      </c>
      <c r="D707">
        <v>8.3999999999999995E-3</v>
      </c>
      <c r="E707">
        <v>8.5959999999999995E-3</v>
      </c>
      <c r="F707">
        <v>3407464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-0.6410256410256413</v>
      </c>
      <c r="Q707">
        <f t="shared" si="995"/>
        <v>-2184271.7948717959</v>
      </c>
      <c r="R707">
        <f t="shared" si="996"/>
        <v>-163053266.25453863</v>
      </c>
      <c r="S707">
        <f t="shared" si="997"/>
        <v>-1630.5326625453863</v>
      </c>
      <c r="T707">
        <f t="shared" si="998"/>
        <v>-1.6305326625453862</v>
      </c>
    </row>
    <row r="708" spans="1:20" x14ac:dyDescent="0.25">
      <c r="A708" s="5">
        <v>43885</v>
      </c>
      <c r="B708">
        <v>1.008E-2</v>
      </c>
      <c r="C708">
        <v>1.0101000000000001E-2</v>
      </c>
      <c r="D708">
        <v>9.1999999999999998E-3</v>
      </c>
      <c r="E708">
        <v>9.3790000000000002E-3</v>
      </c>
      <c r="F708">
        <v>3495004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-0.60266370699223049</v>
      </c>
      <c r="Q708">
        <f t="shared" si="995"/>
        <v>-2106312.0665926733</v>
      </c>
      <c r="R708">
        <f t="shared" si="996"/>
        <v>-160868994.45966682</v>
      </c>
      <c r="S708">
        <f t="shared" si="997"/>
        <v>-1608.6899445966683</v>
      </c>
      <c r="T708">
        <f t="shared" si="998"/>
        <v>-1.6086899445966683</v>
      </c>
    </row>
    <row r="709" spans="1:20" x14ac:dyDescent="0.25">
      <c r="A709" s="5">
        <v>43884</v>
      </c>
      <c r="B709">
        <v>9.7719999999999994E-3</v>
      </c>
      <c r="C709">
        <v>1.01E-2</v>
      </c>
      <c r="D709">
        <v>9.6249999999999999E-3</v>
      </c>
      <c r="E709">
        <v>1.008E-2</v>
      </c>
      <c r="F709">
        <v>2589428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0.91578947368421393</v>
      </c>
      <c r="Q709">
        <f t="shared" si="995"/>
        <v>2371370.9052631669</v>
      </c>
      <c r="R709">
        <f t="shared" si="996"/>
        <v>-158762682.39307415</v>
      </c>
      <c r="S709">
        <f t="shared" si="997"/>
        <v>-1587.6268239307415</v>
      </c>
      <c r="T709">
        <f t="shared" si="998"/>
        <v>-1.5876268239307414</v>
      </c>
    </row>
    <row r="710" spans="1:20" x14ac:dyDescent="0.25">
      <c r="A710" s="5">
        <v>43883</v>
      </c>
      <c r="B710">
        <v>9.7000000000000003E-3</v>
      </c>
      <c r="C710">
        <v>1.0196999999999999E-2</v>
      </c>
      <c r="D710">
        <v>9.4999999999999998E-3</v>
      </c>
      <c r="E710">
        <v>9.5659999999999999E-3</v>
      </c>
      <c r="F710">
        <v>3438954</v>
      </c>
      <c r="G710">
        <v>0</v>
      </c>
      <c r="L710" t="s">
        <v>7</v>
      </c>
      <c r="M710" t="s">
        <v>7</v>
      </c>
      <c r="N710" t="s">
        <v>7</v>
      </c>
      <c r="P710">
        <f t="shared" ref="P710:P766" si="999">IF(C710=D710,0,((E710-D710)-(C710-E710))/(C710-D710))</f>
        <v>-0.81061692969870847</v>
      </c>
      <c r="Q710">
        <f t="shared" ref="Q710:Q766" si="1000">F710*P710</f>
        <v>-2787674.3328550924</v>
      </c>
      <c r="R710">
        <f t="shared" ref="R710:R766" si="1001">R711+Q710</f>
        <v>-161134053.29833731</v>
      </c>
      <c r="S710">
        <f t="shared" ref="S710:S766" si="1002">R710/100000</f>
        <v>-1611.3405329833731</v>
      </c>
      <c r="T710">
        <f t="shared" ref="T710:T766" si="1003">S710/1000</f>
        <v>-1.6113405329833732</v>
      </c>
    </row>
    <row r="711" spans="1:20" x14ac:dyDescent="0.25">
      <c r="A711" s="5">
        <v>43882</v>
      </c>
      <c r="B711">
        <v>9.894E-3</v>
      </c>
      <c r="C711">
        <v>1.0499E-2</v>
      </c>
      <c r="D711">
        <v>9.5910000000000006E-3</v>
      </c>
      <c r="E711">
        <v>9.7000000000000003E-3</v>
      </c>
      <c r="F711">
        <v>5903365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-0.75991189427312811</v>
      </c>
      <c r="Q711">
        <f t="shared" si="1000"/>
        <v>-4486037.2797356853</v>
      </c>
      <c r="R711">
        <f t="shared" si="1001"/>
        <v>-158346378.96548221</v>
      </c>
      <c r="S711">
        <f t="shared" si="1002"/>
        <v>-1583.463789654822</v>
      </c>
      <c r="T711">
        <f t="shared" si="1003"/>
        <v>-1.583463789654822</v>
      </c>
    </row>
    <row r="712" spans="1:20" x14ac:dyDescent="0.25">
      <c r="A712" s="5">
        <v>43881</v>
      </c>
      <c r="B712">
        <v>9.3279999999999995E-3</v>
      </c>
      <c r="C712">
        <v>9.8989999999999998E-3</v>
      </c>
      <c r="D712">
        <v>9.0100000000000006E-3</v>
      </c>
      <c r="E712">
        <v>9.6190000000000008E-3</v>
      </c>
      <c r="F712">
        <v>4224104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0.37007874015748199</v>
      </c>
      <c r="Q712">
        <f t="shared" si="1000"/>
        <v>1563251.0866141804</v>
      </c>
      <c r="R712">
        <f t="shared" si="1001"/>
        <v>-153860341.68574652</v>
      </c>
      <c r="S712">
        <f t="shared" si="1002"/>
        <v>-1538.6034168574652</v>
      </c>
      <c r="T712">
        <f t="shared" si="1003"/>
        <v>-1.5386034168574652</v>
      </c>
    </row>
    <row r="713" spans="1:20" x14ac:dyDescent="0.25">
      <c r="A713" s="5">
        <v>43880</v>
      </c>
      <c r="B713">
        <v>1.0300999999999999E-2</v>
      </c>
      <c r="C713">
        <v>1.0800000000000001E-2</v>
      </c>
      <c r="D713">
        <v>8.9009999999999992E-3</v>
      </c>
      <c r="E713">
        <v>9.3310000000000008E-3</v>
      </c>
      <c r="F713">
        <v>7417332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-0.54713006845708134</v>
      </c>
      <c r="Q713">
        <f t="shared" si="1000"/>
        <v>-4058245.3649289003</v>
      </c>
      <c r="R713">
        <f t="shared" si="1001"/>
        <v>-155423592.77236071</v>
      </c>
      <c r="S713">
        <f t="shared" si="1002"/>
        <v>-1554.2359277236071</v>
      </c>
      <c r="T713">
        <f t="shared" si="1003"/>
        <v>-1.5542359277236071</v>
      </c>
    </row>
    <row r="714" spans="1:20" x14ac:dyDescent="0.25">
      <c r="A714" s="5">
        <v>43879</v>
      </c>
      <c r="B714">
        <v>1.0215E-2</v>
      </c>
      <c r="C714">
        <v>1.0599000000000001E-2</v>
      </c>
      <c r="D714">
        <v>9.8040000000000002E-3</v>
      </c>
      <c r="E714">
        <v>1.0344000000000001E-2</v>
      </c>
      <c r="F714">
        <v>5944491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0.35849056603773627</v>
      </c>
      <c r="Q714">
        <f t="shared" si="1000"/>
        <v>2131043.9433962288</v>
      </c>
      <c r="R714">
        <f t="shared" si="1001"/>
        <v>-151365347.40743181</v>
      </c>
      <c r="S714">
        <f t="shared" si="1002"/>
        <v>-1513.6534740743182</v>
      </c>
      <c r="T714">
        <f t="shared" si="1003"/>
        <v>-1.5136534740743182</v>
      </c>
    </row>
    <row r="715" spans="1:20" x14ac:dyDescent="0.25">
      <c r="A715" s="5">
        <v>43878</v>
      </c>
      <c r="B715">
        <v>1.0460000000000001E-2</v>
      </c>
      <c r="C715">
        <v>1.0500000000000001E-2</v>
      </c>
      <c r="D715">
        <v>9.0720000000000002E-3</v>
      </c>
      <c r="E715">
        <v>1.021E-2</v>
      </c>
      <c r="F715">
        <v>9575901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0.59383753501400527</v>
      </c>
      <c r="Q715">
        <f t="shared" si="1000"/>
        <v>5686529.445378148</v>
      </c>
      <c r="R715">
        <f t="shared" si="1001"/>
        <v>-153496391.35082805</v>
      </c>
      <c r="S715">
        <f t="shared" si="1002"/>
        <v>-1534.9639135082805</v>
      </c>
      <c r="T715">
        <f t="shared" si="1003"/>
        <v>-1.5349639135082804</v>
      </c>
    </row>
    <row r="716" spans="1:20" x14ac:dyDescent="0.25">
      <c r="A716" s="5">
        <v>43877</v>
      </c>
      <c r="B716">
        <v>1.1001E-2</v>
      </c>
      <c r="C716">
        <v>1.1755E-2</v>
      </c>
      <c r="D716">
        <v>9.7890000000000008E-3</v>
      </c>
      <c r="E716">
        <v>1.0460000000000001E-2</v>
      </c>
      <c r="F716">
        <v>11302716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-0.31739572736520849</v>
      </c>
      <c r="Q716">
        <f t="shared" si="1000"/>
        <v>-3587433.76602238</v>
      </c>
      <c r="R716">
        <f t="shared" si="1001"/>
        <v>-159182920.79620621</v>
      </c>
      <c r="S716">
        <f t="shared" si="1002"/>
        <v>-1591.8292079620621</v>
      </c>
      <c r="T716">
        <f t="shared" si="1003"/>
        <v>-1.5918292079620622</v>
      </c>
    </row>
    <row r="717" spans="1:20" x14ac:dyDescent="0.25">
      <c r="A717" s="5">
        <v>43876</v>
      </c>
      <c r="B717">
        <v>1.2596E-2</v>
      </c>
      <c r="C717">
        <v>1.2751E-2</v>
      </c>
      <c r="D717">
        <v>1.0651000000000001E-2</v>
      </c>
      <c r="E717">
        <v>1.1069000000000001E-2</v>
      </c>
      <c r="F717">
        <v>14542712</v>
      </c>
      <c r="G717">
        <v>0</v>
      </c>
      <c r="L717" t="s">
        <v>7</v>
      </c>
      <c r="M717" t="s">
        <v>7</v>
      </c>
      <c r="N717" t="s">
        <v>8</v>
      </c>
      <c r="P717">
        <f t="shared" si="999"/>
        <v>-0.60190476190476183</v>
      </c>
      <c r="Q717">
        <f t="shared" si="1000"/>
        <v>-8753327.6038095225</v>
      </c>
      <c r="R717">
        <f t="shared" si="1001"/>
        <v>-155595487.03018382</v>
      </c>
      <c r="S717">
        <f t="shared" si="1002"/>
        <v>-1555.9548703018381</v>
      </c>
      <c r="T717">
        <f t="shared" si="1003"/>
        <v>-1.5559548703018382</v>
      </c>
    </row>
    <row r="718" spans="1:20" x14ac:dyDescent="0.25">
      <c r="A718" s="5">
        <v>43875</v>
      </c>
      <c r="B718">
        <v>1.2050999999999999E-2</v>
      </c>
      <c r="C718">
        <v>1.3498E-2</v>
      </c>
      <c r="D718">
        <v>1.1946E-2</v>
      </c>
      <c r="E718">
        <v>1.2640999999999999E-2</v>
      </c>
      <c r="F718">
        <v>14509867</v>
      </c>
      <c r="G718">
        <v>0</v>
      </c>
      <c r="L718" t="s">
        <v>8</v>
      </c>
      <c r="M718" t="s">
        <v>7</v>
      </c>
      <c r="N718" t="s">
        <v>8</v>
      </c>
      <c r="P718">
        <f t="shared" si="999"/>
        <v>-0.10438144329896955</v>
      </c>
      <c r="Q718">
        <f t="shared" si="1000"/>
        <v>-1514560.8595360895</v>
      </c>
      <c r="R718">
        <f t="shared" si="1001"/>
        <v>-146842159.42637429</v>
      </c>
      <c r="S718">
        <f t="shared" si="1002"/>
        <v>-1468.4215942637429</v>
      </c>
      <c r="T718">
        <f t="shared" si="1003"/>
        <v>-1.4684215942637429</v>
      </c>
    </row>
    <row r="719" spans="1:20" x14ac:dyDescent="0.25">
      <c r="A719" s="5">
        <v>43874</v>
      </c>
      <c r="B719">
        <v>1.4001E-2</v>
      </c>
      <c r="C719">
        <v>1.4102999999999999E-2</v>
      </c>
      <c r="D719">
        <v>1.1599999999999999E-2</v>
      </c>
      <c r="E719">
        <v>1.2045E-2</v>
      </c>
      <c r="F719">
        <v>27702631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-0.64442668797442992</v>
      </c>
      <c r="Q719">
        <f t="shared" si="1000"/>
        <v>-17852314.743507769</v>
      </c>
      <c r="R719">
        <f t="shared" si="1001"/>
        <v>-145327598.5668382</v>
      </c>
      <c r="S719">
        <f t="shared" si="1002"/>
        <v>-1453.275985668382</v>
      </c>
      <c r="T719">
        <f t="shared" si="1003"/>
        <v>-1.4532759856683819</v>
      </c>
    </row>
    <row r="720" spans="1:20" x14ac:dyDescent="0.25">
      <c r="A720" s="5">
        <v>43873</v>
      </c>
      <c r="B720">
        <v>1.09E-2</v>
      </c>
      <c r="C720">
        <v>1.4429000000000001E-2</v>
      </c>
      <c r="D720">
        <v>1.0718E-2</v>
      </c>
      <c r="E720">
        <v>1.4147E-2</v>
      </c>
      <c r="F720">
        <v>73672347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0.84801940177849588</v>
      </c>
      <c r="Q720">
        <f t="shared" si="1000"/>
        <v>62475579.630557768</v>
      </c>
      <c r="R720">
        <f t="shared" si="1001"/>
        <v>-127475283.82333043</v>
      </c>
      <c r="S720">
        <f t="shared" si="1002"/>
        <v>-1274.7528382333044</v>
      </c>
      <c r="T720">
        <f t="shared" si="1003"/>
        <v>-1.2747528382333044</v>
      </c>
    </row>
    <row r="721" spans="1:20" x14ac:dyDescent="0.25">
      <c r="A721" s="5">
        <v>43872</v>
      </c>
      <c r="B721">
        <v>1.0272E-2</v>
      </c>
      <c r="C721">
        <v>1.1191E-2</v>
      </c>
      <c r="D721">
        <v>1.008E-2</v>
      </c>
      <c r="E721">
        <v>1.0838E-2</v>
      </c>
      <c r="F721">
        <v>20571862</v>
      </c>
      <c r="G721">
        <v>0</v>
      </c>
      <c r="L721" t="s">
        <v>8</v>
      </c>
      <c r="M721" t="s">
        <v>7</v>
      </c>
      <c r="N721" t="s">
        <v>8</v>
      </c>
      <c r="P721">
        <f t="shared" si="999"/>
        <v>0.36453645364536558</v>
      </c>
      <c r="Q721">
        <f t="shared" si="1000"/>
        <v>7499193.6183618577</v>
      </c>
      <c r="R721">
        <f t="shared" si="1001"/>
        <v>-189950863.45388821</v>
      </c>
      <c r="S721">
        <f t="shared" si="1002"/>
        <v>-1899.508634538882</v>
      </c>
      <c r="T721">
        <f t="shared" si="1003"/>
        <v>-1.8995086345388821</v>
      </c>
    </row>
    <row r="722" spans="1:20" x14ac:dyDescent="0.25">
      <c r="A722" s="5">
        <v>43871</v>
      </c>
      <c r="B722">
        <v>1.0205000000000001E-2</v>
      </c>
      <c r="C722">
        <v>1.0496E-2</v>
      </c>
      <c r="D722">
        <v>9.5919999999999998E-3</v>
      </c>
      <c r="E722">
        <v>1.0286999999999999E-2</v>
      </c>
      <c r="F722">
        <v>9002046</v>
      </c>
      <c r="G722">
        <v>0</v>
      </c>
      <c r="L722" t="s">
        <v>7</v>
      </c>
      <c r="M722" t="s">
        <v>7</v>
      </c>
      <c r="N722" t="s">
        <v>8</v>
      </c>
      <c r="P722">
        <f t="shared" si="999"/>
        <v>0.53761061946902478</v>
      </c>
      <c r="Q722">
        <f t="shared" si="1000"/>
        <v>4839595.5265486566</v>
      </c>
      <c r="R722">
        <f t="shared" si="1001"/>
        <v>-197450057.07225007</v>
      </c>
      <c r="S722">
        <f t="shared" si="1002"/>
        <v>-1974.5005707225007</v>
      </c>
      <c r="T722">
        <f t="shared" si="1003"/>
        <v>-1.9745005707225007</v>
      </c>
    </row>
    <row r="723" spans="1:20" x14ac:dyDescent="0.25">
      <c r="A723" s="5">
        <v>43870</v>
      </c>
      <c r="B723">
        <v>1.0399E-2</v>
      </c>
      <c r="C723">
        <v>1.0669E-2</v>
      </c>
      <c r="D723">
        <v>9.7999999999999997E-3</v>
      </c>
      <c r="E723">
        <v>1.0204E-2</v>
      </c>
      <c r="F723">
        <v>10523245</v>
      </c>
      <c r="G723">
        <v>0</v>
      </c>
      <c r="L723" t="s">
        <v>8</v>
      </c>
      <c r="M723" t="s">
        <v>7</v>
      </c>
      <c r="N723" t="s">
        <v>8</v>
      </c>
      <c r="P723">
        <f t="shared" si="999"/>
        <v>-7.0195627157652804E-2</v>
      </c>
      <c r="Q723">
        <f t="shared" si="1000"/>
        <v>-738685.78250863403</v>
      </c>
      <c r="R723">
        <f t="shared" si="1001"/>
        <v>-202289652.59879872</v>
      </c>
      <c r="S723">
        <f t="shared" si="1002"/>
        <v>-2022.8965259879872</v>
      </c>
      <c r="T723">
        <f t="shared" si="1003"/>
        <v>-2.0228965259879872</v>
      </c>
    </row>
    <row r="724" spans="1:20" x14ac:dyDescent="0.25">
      <c r="A724" s="5">
        <v>43869</v>
      </c>
      <c r="B724">
        <v>1.0352E-2</v>
      </c>
      <c r="C724">
        <v>1.0699999999999999E-2</v>
      </c>
      <c r="D724">
        <v>9.4999999999999998E-3</v>
      </c>
      <c r="E724">
        <v>1.0399E-2</v>
      </c>
      <c r="F724">
        <v>16302321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0.49833333333333457</v>
      </c>
      <c r="Q724">
        <f t="shared" si="1000"/>
        <v>8123989.9650000203</v>
      </c>
      <c r="R724">
        <f t="shared" si="1001"/>
        <v>-201550966.81629008</v>
      </c>
      <c r="S724">
        <f t="shared" si="1002"/>
        <v>-2015.5096681629009</v>
      </c>
      <c r="T724">
        <f t="shared" si="1003"/>
        <v>-2.0155096681629008</v>
      </c>
    </row>
    <row r="725" spans="1:20" x14ac:dyDescent="0.25">
      <c r="A725" s="5">
        <v>43868</v>
      </c>
      <c r="B725">
        <v>1.0085999999999999E-2</v>
      </c>
      <c r="C725">
        <v>1.2500000000000001E-2</v>
      </c>
      <c r="D725">
        <v>9.7999999999999997E-3</v>
      </c>
      <c r="E725">
        <v>1.03E-2</v>
      </c>
      <c r="F725">
        <v>82852059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-0.62962962962962943</v>
      </c>
      <c r="Q725">
        <f t="shared" si="1000"/>
        <v>-52166111.222222209</v>
      </c>
      <c r="R725">
        <f t="shared" si="1001"/>
        <v>-209674956.78129011</v>
      </c>
      <c r="S725">
        <f t="shared" si="1002"/>
        <v>-2096.7495678129012</v>
      </c>
      <c r="T725">
        <f t="shared" si="1003"/>
        <v>-2.0967495678129011</v>
      </c>
    </row>
    <row r="726" spans="1:20" x14ac:dyDescent="0.25">
      <c r="A726" s="5">
        <v>43867</v>
      </c>
      <c r="B726">
        <v>8.6E-3</v>
      </c>
      <c r="C726">
        <v>1.15E-2</v>
      </c>
      <c r="D726">
        <v>8.3289999999999996E-3</v>
      </c>
      <c r="E726">
        <v>0.01</v>
      </c>
      <c r="F726">
        <v>47446656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5.3926206244087352E-2</v>
      </c>
      <c r="Q726">
        <f t="shared" si="1000"/>
        <v>2558618.1570482645</v>
      </c>
      <c r="R726">
        <f t="shared" si="1001"/>
        <v>-157508845.5590679</v>
      </c>
      <c r="S726">
        <f t="shared" si="1002"/>
        <v>-1575.0884555906791</v>
      </c>
      <c r="T726">
        <f t="shared" si="1003"/>
        <v>-1.5750884555906792</v>
      </c>
    </row>
    <row r="727" spans="1:20" x14ac:dyDescent="0.25">
      <c r="A727" s="5">
        <v>43866</v>
      </c>
      <c r="B727">
        <v>8.4770000000000002E-3</v>
      </c>
      <c r="C727">
        <v>8.8299999999999993E-3</v>
      </c>
      <c r="D727">
        <v>8.3000000000000001E-3</v>
      </c>
      <c r="E727">
        <v>8.6E-3</v>
      </c>
      <c r="F727">
        <v>10070586</v>
      </c>
      <c r="G727">
        <v>0</v>
      </c>
      <c r="L727" t="s">
        <v>7</v>
      </c>
      <c r="M727" t="s">
        <v>8</v>
      </c>
      <c r="N727" t="s">
        <v>7</v>
      </c>
      <c r="P727">
        <f t="shared" si="999"/>
        <v>0.13207547169811457</v>
      </c>
      <c r="Q727">
        <f t="shared" si="1000"/>
        <v>1330077.3962264287</v>
      </c>
      <c r="R727">
        <f t="shared" si="1001"/>
        <v>-160067463.71611616</v>
      </c>
      <c r="S727">
        <f t="shared" si="1002"/>
        <v>-1600.6746371611616</v>
      </c>
      <c r="T727">
        <f t="shared" si="1003"/>
        <v>-1.6006746371611615</v>
      </c>
    </row>
    <row r="728" spans="1:20" x14ac:dyDescent="0.25">
      <c r="A728" s="5">
        <v>43865</v>
      </c>
      <c r="B728">
        <v>8.5550000000000001E-3</v>
      </c>
      <c r="C728">
        <v>9.1000000000000004E-3</v>
      </c>
      <c r="D728">
        <v>8.3000000000000001E-3</v>
      </c>
      <c r="E728">
        <v>8.4290000000000007E-3</v>
      </c>
      <c r="F728">
        <v>12990709</v>
      </c>
      <c r="G728">
        <v>0</v>
      </c>
      <c r="L728" t="s">
        <v>8</v>
      </c>
      <c r="M728" t="s">
        <v>8</v>
      </c>
      <c r="N728" t="s">
        <v>7</v>
      </c>
      <c r="P728">
        <f t="shared" si="999"/>
        <v>-0.67749999999999855</v>
      </c>
      <c r="Q728">
        <f t="shared" si="1000"/>
        <v>-8801205.3474999815</v>
      </c>
      <c r="R728">
        <f t="shared" si="1001"/>
        <v>-161397541.1123426</v>
      </c>
      <c r="S728">
        <f t="shared" si="1002"/>
        <v>-1613.9754111234261</v>
      </c>
      <c r="T728">
        <f t="shared" si="1003"/>
        <v>-1.6139754111234261</v>
      </c>
    </row>
    <row r="729" spans="1:20" x14ac:dyDescent="0.25">
      <c r="A729" s="5">
        <v>43864</v>
      </c>
      <c r="B729">
        <v>8.541E-3</v>
      </c>
      <c r="C729">
        <v>8.7500000000000008E-3</v>
      </c>
      <c r="D729">
        <v>8.2869999999999992E-3</v>
      </c>
      <c r="E729">
        <v>8.5009999999999999E-3</v>
      </c>
      <c r="F729">
        <v>4569847</v>
      </c>
      <c r="G729">
        <v>0</v>
      </c>
      <c r="L729" t="s">
        <v>7</v>
      </c>
      <c r="M729" t="s">
        <v>8</v>
      </c>
      <c r="N729" t="s">
        <v>7</v>
      </c>
      <c r="P729">
        <f t="shared" si="999"/>
        <v>-7.5593952483801699E-2</v>
      </c>
      <c r="Q729">
        <f t="shared" si="1000"/>
        <v>-345452.79697624373</v>
      </c>
      <c r="R729">
        <f t="shared" si="1001"/>
        <v>-152596335.76484263</v>
      </c>
      <c r="S729">
        <f t="shared" si="1002"/>
        <v>-1525.9633576484264</v>
      </c>
      <c r="T729">
        <f t="shared" si="1003"/>
        <v>-1.5259633576484264</v>
      </c>
    </row>
    <row r="730" spans="1:20" x14ac:dyDescent="0.25">
      <c r="A730" s="5">
        <v>43863</v>
      </c>
      <c r="B730">
        <v>8.9999999999999993E-3</v>
      </c>
      <c r="C730">
        <v>9.0449999999999992E-3</v>
      </c>
      <c r="D730">
        <v>8.3999999999999995E-3</v>
      </c>
      <c r="E730">
        <v>8.5360000000000002E-3</v>
      </c>
      <c r="F730">
        <v>5965016</v>
      </c>
      <c r="G730">
        <v>0</v>
      </c>
      <c r="L730" t="s">
        <v>7</v>
      </c>
      <c r="M730" t="s">
        <v>8</v>
      </c>
      <c r="N730" t="s">
        <v>7</v>
      </c>
      <c r="P730">
        <f t="shared" si="999"/>
        <v>-0.57829457364340853</v>
      </c>
      <c r="Q730">
        <f t="shared" si="1000"/>
        <v>-3449536.38449611</v>
      </c>
      <c r="R730">
        <f t="shared" si="1001"/>
        <v>-152250882.96786639</v>
      </c>
      <c r="S730">
        <f t="shared" si="1002"/>
        <v>-1522.5088296786639</v>
      </c>
      <c r="T730">
        <f t="shared" si="1003"/>
        <v>-1.522508829678664</v>
      </c>
    </row>
    <row r="731" spans="1:20" x14ac:dyDescent="0.25">
      <c r="A731" s="5">
        <v>43862</v>
      </c>
      <c r="B731">
        <v>8.4989999999999996E-3</v>
      </c>
      <c r="C731">
        <v>9.3290000000000005E-3</v>
      </c>
      <c r="D731">
        <v>8.4200000000000004E-3</v>
      </c>
      <c r="E731">
        <v>9.0699999999999999E-3</v>
      </c>
      <c r="F731">
        <v>7401777</v>
      </c>
      <c r="G731">
        <v>0</v>
      </c>
      <c r="L731" t="s">
        <v>8</v>
      </c>
      <c r="M731" t="s">
        <v>8</v>
      </c>
      <c r="N731" t="s">
        <v>7</v>
      </c>
      <c r="P731">
        <f t="shared" si="999"/>
        <v>0.43014301430142898</v>
      </c>
      <c r="Q731">
        <f t="shared" si="1000"/>
        <v>3183822.6699669883</v>
      </c>
      <c r="R731">
        <f t="shared" si="1001"/>
        <v>-148801346.58337027</v>
      </c>
      <c r="S731">
        <f t="shared" si="1002"/>
        <v>-1488.0134658337026</v>
      </c>
      <c r="T731">
        <f t="shared" si="1003"/>
        <v>-1.4880134658337025</v>
      </c>
    </row>
    <row r="732" spans="1:20" x14ac:dyDescent="0.25">
      <c r="A732" s="5">
        <v>43861</v>
      </c>
      <c r="B732">
        <v>8.1930000000000006E-3</v>
      </c>
      <c r="C732">
        <v>8.5000000000000006E-3</v>
      </c>
      <c r="D732">
        <v>8.0999999999999996E-3</v>
      </c>
      <c r="E732">
        <v>8.4989999999999996E-3</v>
      </c>
      <c r="F732">
        <v>5030881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0.994999999999995</v>
      </c>
      <c r="Q732">
        <f t="shared" si="1000"/>
        <v>5005726.5949999746</v>
      </c>
      <c r="R732">
        <f t="shared" si="1001"/>
        <v>-151985169.25333726</v>
      </c>
      <c r="S732">
        <f t="shared" si="1002"/>
        <v>-1519.8516925333727</v>
      </c>
      <c r="T732">
        <f t="shared" si="1003"/>
        <v>-1.5198516925333727</v>
      </c>
    </row>
    <row r="733" spans="1:20" x14ac:dyDescent="0.25">
      <c r="A733" s="5">
        <v>43860</v>
      </c>
      <c r="B733">
        <v>8.3999999999999995E-3</v>
      </c>
      <c r="C733">
        <v>8.8000000000000005E-3</v>
      </c>
      <c r="D733">
        <v>7.8729999999999998E-3</v>
      </c>
      <c r="E733">
        <v>8.2279999999999992E-3</v>
      </c>
      <c r="F733">
        <v>12650208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-0.23408845738943013</v>
      </c>
      <c r="Q733">
        <f t="shared" si="1000"/>
        <v>-2961267.6763754282</v>
      </c>
      <c r="R733">
        <f t="shared" si="1001"/>
        <v>-156990895.84833723</v>
      </c>
      <c r="S733">
        <f t="shared" si="1002"/>
        <v>-1569.9089584833723</v>
      </c>
      <c r="T733">
        <f t="shared" si="1003"/>
        <v>-1.5699089584833723</v>
      </c>
    </row>
    <row r="734" spans="1:20" x14ac:dyDescent="0.25">
      <c r="A734" s="5">
        <v>43859</v>
      </c>
      <c r="B734">
        <v>8.4130000000000003E-3</v>
      </c>
      <c r="C734">
        <v>8.8800000000000007E-3</v>
      </c>
      <c r="D734">
        <v>8.1790000000000005E-3</v>
      </c>
      <c r="E734">
        <v>8.3999999999999995E-3</v>
      </c>
      <c r="F734">
        <v>11021665</v>
      </c>
      <c r="G734">
        <v>0</v>
      </c>
      <c r="L734" t="s">
        <v>8</v>
      </c>
      <c r="M734" t="s">
        <v>7</v>
      </c>
      <c r="N734" t="s">
        <v>7</v>
      </c>
      <c r="P734">
        <f t="shared" si="999"/>
        <v>-0.36947218259629416</v>
      </c>
      <c r="Q734">
        <f t="shared" si="1000"/>
        <v>-4072198.6233951845</v>
      </c>
      <c r="R734">
        <f t="shared" si="1001"/>
        <v>-154029628.17196181</v>
      </c>
      <c r="S734">
        <f t="shared" si="1002"/>
        <v>-1540.296281719618</v>
      </c>
      <c r="T734">
        <f t="shared" si="1003"/>
        <v>-1.540296281719618</v>
      </c>
    </row>
    <row r="735" spans="1:20" x14ac:dyDescent="0.25">
      <c r="A735" s="5">
        <v>43858</v>
      </c>
      <c r="B735">
        <v>8.992E-3</v>
      </c>
      <c r="C735">
        <v>9.0150000000000004E-3</v>
      </c>
      <c r="D735">
        <v>8.2000000000000007E-3</v>
      </c>
      <c r="E735">
        <v>8.4130000000000003E-3</v>
      </c>
      <c r="F735">
        <v>12120317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-0.4773006134969332</v>
      </c>
      <c r="Q735">
        <f t="shared" si="1000"/>
        <v>-5785034.7398773087</v>
      </c>
      <c r="R735">
        <f t="shared" si="1001"/>
        <v>-149957429.54856664</v>
      </c>
      <c r="S735">
        <f t="shared" si="1002"/>
        <v>-1499.5742954856664</v>
      </c>
      <c r="T735">
        <f t="shared" si="1003"/>
        <v>-1.4995742954856663</v>
      </c>
    </row>
    <row r="736" spans="1:20" x14ac:dyDescent="0.25">
      <c r="A736" s="5">
        <v>43857</v>
      </c>
      <c r="B736">
        <v>9.3980000000000001E-3</v>
      </c>
      <c r="C736">
        <v>9.417E-3</v>
      </c>
      <c r="D736">
        <v>8.8240000000000002E-3</v>
      </c>
      <c r="E736">
        <v>8.8280000000000008E-3</v>
      </c>
      <c r="F736">
        <v>9702776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-0.98650927487352269</v>
      </c>
      <c r="Q736">
        <f t="shared" si="1000"/>
        <v>-9571878.5160202198</v>
      </c>
      <c r="R736">
        <f t="shared" si="1001"/>
        <v>-144172394.80868933</v>
      </c>
      <c r="S736">
        <f t="shared" si="1002"/>
        <v>-1441.7239480868932</v>
      </c>
      <c r="T736">
        <f t="shared" si="1003"/>
        <v>-1.4417239480868931</v>
      </c>
    </row>
    <row r="737" spans="1:20" x14ac:dyDescent="0.25">
      <c r="A737" s="5">
        <v>43856</v>
      </c>
      <c r="B737">
        <v>9.7380000000000001E-3</v>
      </c>
      <c r="C737">
        <v>9.8340000000000007E-3</v>
      </c>
      <c r="D737">
        <v>9.1990000000000006E-3</v>
      </c>
      <c r="E737">
        <v>9.3939999999999996E-3</v>
      </c>
      <c r="F737">
        <v>12009691</v>
      </c>
      <c r="G737">
        <v>0</v>
      </c>
      <c r="L737" t="s">
        <v>7</v>
      </c>
      <c r="M737" t="s">
        <v>7</v>
      </c>
      <c r="N737" t="s">
        <v>7</v>
      </c>
      <c r="P737">
        <f t="shared" si="999"/>
        <v>-0.38582677165354662</v>
      </c>
      <c r="Q737">
        <f t="shared" si="1000"/>
        <v>-4633660.307086654</v>
      </c>
      <c r="R737">
        <f t="shared" si="1001"/>
        <v>-134600516.29266912</v>
      </c>
      <c r="S737">
        <f t="shared" si="1002"/>
        <v>-1346.0051629266911</v>
      </c>
      <c r="T737">
        <f t="shared" si="1003"/>
        <v>-1.3460051629266911</v>
      </c>
    </row>
    <row r="738" spans="1:20" x14ac:dyDescent="0.25">
      <c r="A738" s="5">
        <v>43855</v>
      </c>
      <c r="B738">
        <v>9.6679999999999995E-3</v>
      </c>
      <c r="C738">
        <v>1.0323000000000001E-2</v>
      </c>
      <c r="D738">
        <v>9.3179999999999999E-3</v>
      </c>
      <c r="E738">
        <v>9.7800000000000005E-3</v>
      </c>
      <c r="F738">
        <v>18352827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-8.0597014925372551E-2</v>
      </c>
      <c r="Q738">
        <f t="shared" si="1000"/>
        <v>-1479183.0716417804</v>
      </c>
      <c r="R738">
        <f t="shared" si="1001"/>
        <v>-129966855.98558247</v>
      </c>
      <c r="S738">
        <f t="shared" si="1002"/>
        <v>-1299.6685598558247</v>
      </c>
      <c r="T738">
        <f t="shared" si="1003"/>
        <v>-1.2996685598558246</v>
      </c>
    </row>
    <row r="739" spans="1:20" x14ac:dyDescent="0.25">
      <c r="A739" s="5">
        <v>43854</v>
      </c>
      <c r="B739">
        <v>9.7370000000000009E-3</v>
      </c>
      <c r="C739">
        <v>1.0031E-2</v>
      </c>
      <c r="D739">
        <v>9.1009999999999997E-3</v>
      </c>
      <c r="E739">
        <v>9.6659999999999992E-3</v>
      </c>
      <c r="F739">
        <v>20897521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0.21505376344085886</v>
      </c>
      <c r="Q739">
        <f t="shared" si="1000"/>
        <v>4494090.5376343802</v>
      </c>
      <c r="R739">
        <f t="shared" si="1001"/>
        <v>-128487672.9139407</v>
      </c>
      <c r="S739">
        <f t="shared" si="1002"/>
        <v>-1284.876729139407</v>
      </c>
      <c r="T739">
        <f t="shared" si="1003"/>
        <v>-1.284876729139407</v>
      </c>
    </row>
    <row r="740" spans="1:20" x14ac:dyDescent="0.25">
      <c r="A740" s="5">
        <v>43853</v>
      </c>
      <c r="B740">
        <v>1.1435000000000001E-2</v>
      </c>
      <c r="C740">
        <v>1.1599999999999999E-2</v>
      </c>
      <c r="D740">
        <v>9.4999999999999998E-3</v>
      </c>
      <c r="E740">
        <v>9.8899999999999995E-3</v>
      </c>
      <c r="F740">
        <v>30156264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-0.62857142857142878</v>
      </c>
      <c r="Q740">
        <f t="shared" si="1000"/>
        <v>-18955365.94285715</v>
      </c>
      <c r="R740">
        <f t="shared" si="1001"/>
        <v>-132981763.45157507</v>
      </c>
      <c r="S740">
        <f t="shared" si="1002"/>
        <v>-1329.8176345157508</v>
      </c>
      <c r="T740">
        <f t="shared" si="1003"/>
        <v>-1.3298176345157509</v>
      </c>
    </row>
    <row r="741" spans="1:20" x14ac:dyDescent="0.25">
      <c r="A741" s="5">
        <v>43852</v>
      </c>
      <c r="B741">
        <v>1.205E-2</v>
      </c>
      <c r="C741">
        <v>1.26E-2</v>
      </c>
      <c r="D741">
        <v>1.11E-2</v>
      </c>
      <c r="E741">
        <v>1.1440000000000001E-2</v>
      </c>
      <c r="F741">
        <v>40233287</v>
      </c>
      <c r="G741">
        <v>0</v>
      </c>
      <c r="L741" t="s">
        <v>7</v>
      </c>
      <c r="M741" t="s">
        <v>7</v>
      </c>
      <c r="N741" t="s">
        <v>7</v>
      </c>
      <c r="P741">
        <f t="shared" si="999"/>
        <v>-0.54666666666666652</v>
      </c>
      <c r="Q741">
        <f t="shared" si="1000"/>
        <v>-21994196.893333327</v>
      </c>
      <c r="R741">
        <f t="shared" si="1001"/>
        <v>-114026397.50871792</v>
      </c>
      <c r="S741">
        <f t="shared" si="1002"/>
        <v>-1140.2639750871792</v>
      </c>
      <c r="T741">
        <f t="shared" si="1003"/>
        <v>-1.1402639750871792</v>
      </c>
    </row>
    <row r="742" spans="1:20" x14ac:dyDescent="0.25">
      <c r="A742" s="5">
        <v>43851</v>
      </c>
      <c r="B742">
        <v>1.3010000000000001E-2</v>
      </c>
      <c r="C742">
        <v>1.7399999999999999E-2</v>
      </c>
      <c r="D742">
        <v>1.155E-2</v>
      </c>
      <c r="E742">
        <v>1.2E-2</v>
      </c>
      <c r="F742">
        <v>108765328</v>
      </c>
      <c r="G742">
        <v>0</v>
      </c>
      <c r="P742">
        <f t="shared" si="999"/>
        <v>-0.84615384615384592</v>
      </c>
      <c r="Q742">
        <f t="shared" si="1000"/>
        <v>-92032200.615384594</v>
      </c>
      <c r="R742">
        <f t="shared" si="1001"/>
        <v>-92032200.615384594</v>
      </c>
      <c r="S742">
        <f t="shared" si="1002"/>
        <v>-920.3220061538459</v>
      </c>
      <c r="T742">
        <f t="shared" si="1003"/>
        <v>-0.92032200615384585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ON789" sqref="ON78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$A$788</v>
      </c>
      <c r="D111" s="1" t="str">
        <f>ADDRESS(C121-1,D121,1,1)</f>
        <v>$ON$788</v>
      </c>
      <c r="E111"/>
    </row>
    <row r="112" spans="1:5" x14ac:dyDescent="0.25">
      <c r="A112" s="7">
        <v>12164.144957890772</v>
      </c>
      <c r="C112" s="1" t="str">
        <f>ADDRESS(C121,1,1,1)</f>
        <v>$A$789</v>
      </c>
      <c r="D112" s="1" t="str">
        <f>ADDRESS(C121,D121-1,1,1)</f>
        <v>$OM$789</v>
      </c>
      <c r="E112"/>
    </row>
    <row r="113" spans="1:5" x14ac:dyDescent="0.25">
      <c r="A113" s="7">
        <v>11925.63231165762</v>
      </c>
      <c r="C113" s="1" t="str">
        <f>ADDRESS(C121+1,1,1,1)</f>
        <v>$A$790</v>
      </c>
      <c r="D113" s="1" t="str">
        <f>ADDRESS(C121-1,D121+1,1,1)</f>
        <v>$OO$788</v>
      </c>
    </row>
    <row r="114" spans="1:5" x14ac:dyDescent="0.25">
      <c r="A114" s="7">
        <v>11691.796383978059</v>
      </c>
      <c r="C114" s="1" t="str">
        <f>ADDRESS(C121,D121,1,1)</f>
        <v>$ON$789</v>
      </c>
      <c r="D114" s="1" t="str">
        <f>ADDRESS(C121+1,D121+1,1,1)</f>
        <v>$OO$790</v>
      </c>
    </row>
    <row r="115" spans="1:5" x14ac:dyDescent="0.25">
      <c r="A115" s="7">
        <v>11462.545474488292</v>
      </c>
      <c r="C115" s="1" t="str">
        <f>ADDRESS(C121+1,D121,1,1)</f>
        <v>$ON$790</v>
      </c>
    </row>
    <row r="116" spans="1:5" x14ac:dyDescent="0.25">
      <c r="A116" s="7">
        <v>11237.789680870874</v>
      </c>
      <c r="C116" s="1">
        <f>C117-1</f>
        <v>788</v>
      </c>
    </row>
    <row r="117" spans="1:5" x14ac:dyDescent="0.25">
      <c r="A117" s="7">
        <v>11017.440863598895</v>
      </c>
      <c r="C117" s="1">
        <f>C121</f>
        <v>789</v>
      </c>
      <c r="D117" s="1">
        <f>D121</f>
        <v>404</v>
      </c>
    </row>
    <row r="118" spans="1:5" x14ac:dyDescent="0.25">
      <c r="A118" s="7">
        <v>10801.412611371465</v>
      </c>
      <c r="C118" s="1">
        <f>C117+1</f>
        <v>790</v>
      </c>
      <c r="D118" s="1">
        <f>D117+1</f>
        <v>405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789</v>
      </c>
      <c r="D121" s="19">
        <v>404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R789</v>
      </c>
      <c r="D123" s="1" t="str">
        <f>"C"&amp;D121</f>
        <v>C404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1.8313244937921913E-2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6" x14ac:dyDescent="0.25">
      <c r="A657" s="7">
        <v>0.25002761412179503</v>
      </c>
      <c r="B657"/>
      <c r="C657"/>
      <c r="D657"/>
      <c r="E657"/>
      <c r="F657" s="27" t="s">
        <v>7</v>
      </c>
    </row>
    <row r="658" spans="1:6" x14ac:dyDescent="0.25">
      <c r="A658" s="7">
        <v>0.24512511188411276</v>
      </c>
      <c r="B658"/>
      <c r="C658"/>
      <c r="D658"/>
      <c r="E658"/>
      <c r="F658" s="27" t="s">
        <v>7</v>
      </c>
    </row>
    <row r="659" spans="1:6" x14ac:dyDescent="0.25">
      <c r="A659" s="7">
        <v>0.24031873714128701</v>
      </c>
      <c r="B659"/>
      <c r="C659"/>
      <c r="D659"/>
      <c r="E659"/>
      <c r="F659" s="27" t="s">
        <v>7</v>
      </c>
    </row>
    <row r="660" spans="1:6" x14ac:dyDescent="0.25">
      <c r="A660" s="7">
        <v>0.23560660504047748</v>
      </c>
      <c r="B660"/>
      <c r="C660"/>
      <c r="D660"/>
      <c r="E660"/>
      <c r="F660" s="27" t="s">
        <v>7</v>
      </c>
    </row>
    <row r="661" spans="1:6" x14ac:dyDescent="0.25">
      <c r="A661" s="7">
        <v>0.23098686768674265</v>
      </c>
      <c r="B661"/>
      <c r="C661"/>
      <c r="D661"/>
      <c r="E661"/>
      <c r="F661" s="27" t="s">
        <v>7</v>
      </c>
    </row>
    <row r="662" spans="1:6" x14ac:dyDescent="0.25">
      <c r="A662" s="7">
        <v>0.22645771341837515</v>
      </c>
      <c r="B662"/>
      <c r="C662"/>
      <c r="D662"/>
      <c r="E662"/>
      <c r="F662" s="27" t="s">
        <v>7</v>
      </c>
    </row>
    <row r="663" spans="1:6" x14ac:dyDescent="0.25">
      <c r="A663" s="7">
        <v>0.22201736609644623</v>
      </c>
      <c r="B663"/>
      <c r="C663"/>
      <c r="D663"/>
      <c r="E663"/>
      <c r="F663" s="27" t="s">
        <v>7</v>
      </c>
    </row>
    <row r="664" spans="1:6" x14ac:dyDescent="0.25">
      <c r="A664" s="7">
        <v>0.21766408440828061</v>
      </c>
      <c r="B664"/>
      <c r="C664"/>
      <c r="D664"/>
      <c r="E664"/>
      <c r="F664" s="27" t="s">
        <v>7</v>
      </c>
    </row>
    <row r="665" spans="1:6" x14ac:dyDescent="0.25">
      <c r="A665" s="7">
        <v>0.21339616118458882</v>
      </c>
      <c r="B665"/>
      <c r="C665"/>
      <c r="D665"/>
      <c r="E665"/>
      <c r="F665" s="27" t="s">
        <v>7</v>
      </c>
    </row>
    <row r="666" spans="1:6" x14ac:dyDescent="0.25">
      <c r="A666" s="7">
        <v>0.20921192272998904</v>
      </c>
      <c r="B666"/>
      <c r="C666"/>
      <c r="D666"/>
      <c r="E666"/>
      <c r="F666" s="27" t="s">
        <v>7</v>
      </c>
    </row>
    <row r="667" spans="1:6" x14ac:dyDescent="0.25">
      <c r="A667" s="7">
        <v>0.20510972816665593</v>
      </c>
      <c r="B667"/>
      <c r="C667"/>
      <c r="D667"/>
      <c r="E667"/>
      <c r="F667" s="27" t="s">
        <v>7</v>
      </c>
    </row>
    <row r="668" spans="1:6" x14ac:dyDescent="0.25">
      <c r="A668" s="7">
        <v>0.20108796879083912</v>
      </c>
      <c r="B668"/>
      <c r="C668"/>
      <c r="D668"/>
      <c r="E668"/>
      <c r="F668" s="27" t="s">
        <v>7</v>
      </c>
    </row>
    <row r="669" spans="1:6" x14ac:dyDescent="0.25">
      <c r="A669" s="7">
        <v>0.19714506744199917</v>
      </c>
      <c r="B669"/>
      <c r="C669"/>
      <c r="D669"/>
      <c r="E669"/>
      <c r="F669" s="27" t="s">
        <v>7</v>
      </c>
    </row>
    <row r="670" spans="1:6" x14ac:dyDescent="0.25">
      <c r="A670" s="7">
        <v>0.19327947788431293</v>
      </c>
      <c r="B670"/>
      <c r="C670"/>
      <c r="D670"/>
      <c r="E670"/>
      <c r="F670" s="27" t="s">
        <v>7</v>
      </c>
    </row>
    <row r="671" spans="1:6" x14ac:dyDescent="0.25">
      <c r="A671" s="7">
        <v>0.18948968420030682</v>
      </c>
      <c r="B671"/>
      <c r="C671"/>
      <c r="D671"/>
      <c r="E671"/>
      <c r="F671" s="27" t="s">
        <v>7</v>
      </c>
    </row>
    <row r="672" spans="1:6" x14ac:dyDescent="0.25">
      <c r="A672" s="7">
        <v>0.18577420019637925</v>
      </c>
      <c r="B672"/>
      <c r="C672"/>
      <c r="D672"/>
      <c r="E672"/>
      <c r="F672" s="27" t="s">
        <v>7</v>
      </c>
    </row>
    <row r="673" spans="1:6" x14ac:dyDescent="0.25">
      <c r="A673" s="7">
        <v>0.18213156881997963</v>
      </c>
      <c r="B673"/>
      <c r="C673"/>
      <c r="D673"/>
      <c r="E673"/>
      <c r="F673" s="27" t="s">
        <v>7</v>
      </c>
    </row>
    <row r="674" spans="1:6" x14ac:dyDescent="0.25">
      <c r="A674" s="7">
        <v>0.17856036158821534</v>
      </c>
      <c r="B674"/>
      <c r="C674"/>
      <c r="D674"/>
      <c r="E674"/>
      <c r="F674" s="27" t="s">
        <v>7</v>
      </c>
    </row>
    <row r="675" spans="1:6" x14ac:dyDescent="0.25">
      <c r="A675" s="7">
        <v>0.17505917802766208</v>
      </c>
      <c r="B675"/>
      <c r="C675"/>
      <c r="D675"/>
      <c r="E675"/>
      <c r="F675" s="27" t="s">
        <v>7</v>
      </c>
    </row>
    <row r="676" spans="1:6" x14ac:dyDescent="0.25">
      <c r="A676" s="7">
        <v>0.17162664512515888</v>
      </c>
      <c r="B676"/>
      <c r="C676"/>
      <c r="D676"/>
      <c r="E676"/>
      <c r="F676" s="27" t="s">
        <v>7</v>
      </c>
    </row>
    <row r="677" spans="1:6" x14ac:dyDescent="0.25">
      <c r="A677" s="7">
        <v>0.16826141678937145</v>
      </c>
      <c r="B677"/>
      <c r="C677"/>
      <c r="D677"/>
      <c r="E677"/>
      <c r="F677" s="27" t="s">
        <v>7</v>
      </c>
    </row>
    <row r="678" spans="1:6" x14ac:dyDescent="0.25">
      <c r="A678" s="7">
        <v>0.16496217332291319</v>
      </c>
      <c r="B678"/>
      <c r="C678"/>
      <c r="D678"/>
      <c r="E678"/>
      <c r="F678" s="27" t="s">
        <v>7</v>
      </c>
    </row>
    <row r="679" spans="1:6" x14ac:dyDescent="0.25">
      <c r="A679" s="7">
        <v>0.16172762090481685</v>
      </c>
      <c r="B679"/>
      <c r="C679"/>
      <c r="D679"/>
      <c r="E679"/>
      <c r="F679" s="27" t="s">
        <v>7</v>
      </c>
    </row>
    <row r="680" spans="1:6" x14ac:dyDescent="0.25">
      <c r="A680" s="7">
        <v>0.15855649108315376</v>
      </c>
      <c r="B680"/>
      <c r="C680"/>
      <c r="D680"/>
      <c r="E680"/>
      <c r="F680" s="27" t="s">
        <v>7</v>
      </c>
    </row>
    <row r="681" spans="1:6" x14ac:dyDescent="0.25">
      <c r="A681" s="7">
        <v>0.15544754027760171</v>
      </c>
      <c r="B681"/>
      <c r="C681"/>
      <c r="D681"/>
      <c r="E681"/>
      <c r="F681" s="27" t="s">
        <v>7</v>
      </c>
    </row>
    <row r="682" spans="1:6" x14ac:dyDescent="0.25">
      <c r="A682" s="7">
        <v>0.15239954929176638</v>
      </c>
      <c r="B682"/>
      <c r="C682"/>
      <c r="D682"/>
      <c r="E682"/>
      <c r="F682" s="27" t="s">
        <v>7</v>
      </c>
    </row>
    <row r="683" spans="1:6" x14ac:dyDescent="0.25">
      <c r="A683" s="7">
        <v>0.14941132283506509</v>
      </c>
      <c r="B683"/>
      <c r="C683"/>
      <c r="D683"/>
      <c r="E683"/>
      <c r="F683" s="27" t="s">
        <v>7</v>
      </c>
    </row>
    <row r="684" spans="1:6" x14ac:dyDescent="0.25">
      <c r="A684" s="7">
        <v>0.14648168905398537</v>
      </c>
      <c r="B684"/>
      <c r="C684"/>
      <c r="D684"/>
      <c r="E684"/>
      <c r="F684" s="27" t="s">
        <v>7</v>
      </c>
    </row>
    <row r="685" spans="1:6" x14ac:dyDescent="0.25">
      <c r="A685" s="7">
        <v>0.14360949907253467</v>
      </c>
      <c r="B685"/>
      <c r="C685"/>
      <c r="D685"/>
      <c r="E685"/>
      <c r="F685" s="27" t="s">
        <v>7</v>
      </c>
    </row>
    <row r="686" spans="1:6" x14ac:dyDescent="0.25">
      <c r="A686" s="7">
        <v>0.14079362654170066</v>
      </c>
      <c r="B686"/>
      <c r="C686"/>
      <c r="D686"/>
      <c r="E686"/>
      <c r="F686" s="27" t="s">
        <v>7</v>
      </c>
    </row>
    <row r="687" spans="1:6" x14ac:dyDescent="0.25">
      <c r="A687" s="7">
        <v>0.13803296719774574</v>
      </c>
      <c r="B687"/>
      <c r="C687"/>
      <c r="D687"/>
      <c r="E687"/>
      <c r="F687" s="27" t="s">
        <v>7</v>
      </c>
    </row>
    <row r="688" spans="1:6" x14ac:dyDescent="0.25">
      <c r="A688" s="7">
        <v>0.1353264384291625</v>
      </c>
      <c r="B688"/>
      <c r="C688"/>
      <c r="D688"/>
      <c r="E688"/>
      <c r="F688" s="27" t="s">
        <v>7</v>
      </c>
    </row>
    <row r="689" spans="1:254" x14ac:dyDescent="0.25">
      <c r="A689" s="7">
        <v>0.13267297885212009</v>
      </c>
      <c r="B689"/>
      <c r="C689"/>
      <c r="D689"/>
      <c r="E689"/>
      <c r="F689" s="27" t="s">
        <v>7</v>
      </c>
    </row>
    <row r="690" spans="1:254" x14ac:dyDescent="0.25">
      <c r="A690" s="7">
        <v>0.13007154789423539</v>
      </c>
      <c r="B690"/>
      <c r="C690"/>
      <c r="D690"/>
      <c r="E690"/>
      <c r="F690" s="27" t="s">
        <v>7</v>
      </c>
    </row>
    <row r="691" spans="1:254" x14ac:dyDescent="0.25">
      <c r="A691" s="7">
        <v>0.12752112538650529</v>
      </c>
      <c r="B691"/>
      <c r="C691"/>
      <c r="D691"/>
      <c r="E691"/>
      <c r="F691" s="27" t="s">
        <v>7</v>
      </c>
    </row>
    <row r="692" spans="1:254" x14ac:dyDescent="0.25">
      <c r="A692" s="7">
        <v>0.12502071116324048</v>
      </c>
      <c r="B692"/>
      <c r="C692"/>
      <c r="D692"/>
      <c r="E692"/>
      <c r="F692" s="27" t="s">
        <v>7</v>
      </c>
    </row>
    <row r="693" spans="1:254" x14ac:dyDescent="0.25">
      <c r="A693" s="7">
        <v>0.1225693246698436</v>
      </c>
      <c r="B693"/>
      <c r="C693"/>
      <c r="D693"/>
      <c r="E693"/>
      <c r="F693" s="27" t="s">
        <v>7</v>
      </c>
    </row>
    <row r="694" spans="1:254" x14ac:dyDescent="0.25">
      <c r="A694" s="7">
        <v>0.12016600457827803</v>
      </c>
      <c r="B694"/>
      <c r="C694"/>
      <c r="D694"/>
      <c r="E694"/>
      <c r="F694" s="27" t="s">
        <v>7</v>
      </c>
    </row>
    <row r="695" spans="1:254" x14ac:dyDescent="0.25">
      <c r="A695" s="7">
        <v>0.1178098084100765</v>
      </c>
      <c r="B695"/>
      <c r="C695"/>
      <c r="D695"/>
      <c r="E695"/>
      <c r="F695" s="27" t="s">
        <v>7</v>
      </c>
      <c r="IS695" s="27" t="s">
        <v>8</v>
      </c>
    </row>
    <row r="696" spans="1:254" x14ac:dyDescent="0.25">
      <c r="A696" s="7">
        <v>0.11549981216674166</v>
      </c>
      <c r="B696"/>
      <c r="C696"/>
      <c r="D696"/>
      <c r="E696"/>
      <c r="F696" s="27" t="s">
        <v>7</v>
      </c>
      <c r="IS696" s="27" t="s">
        <v>8</v>
      </c>
      <c r="IT696" s="27" t="s">
        <v>7</v>
      </c>
    </row>
    <row r="697" spans="1:254" x14ac:dyDescent="0.25">
      <c r="A697" s="7">
        <v>0.11323510996739378</v>
      </c>
      <c r="B697"/>
      <c r="C697"/>
      <c r="D697"/>
      <c r="E697"/>
      <c r="F697" s="27" t="s">
        <v>7</v>
      </c>
      <c r="IS697" s="27" t="s">
        <v>8</v>
      </c>
      <c r="IT697" s="27" t="s">
        <v>7</v>
      </c>
    </row>
    <row r="698" spans="1:254" x14ac:dyDescent="0.25">
      <c r="A698" s="7">
        <v>0.11101481369352331</v>
      </c>
      <c r="B698"/>
      <c r="C698"/>
      <c r="D698"/>
      <c r="E698"/>
      <c r="F698" s="27" t="s">
        <v>7</v>
      </c>
      <c r="IS698" s="27" t="s">
        <v>8</v>
      </c>
      <c r="IT698" s="27" t="s">
        <v>7</v>
      </c>
    </row>
    <row r="699" spans="1:254" x14ac:dyDescent="0.25">
      <c r="A699" s="7">
        <v>0.10883805264070913</v>
      </c>
      <c r="B699"/>
      <c r="C699"/>
      <c r="D699"/>
      <c r="E699"/>
      <c r="F699" s="27" t="s">
        <v>7</v>
      </c>
      <c r="IS699" s="27" t="s">
        <v>8</v>
      </c>
      <c r="IT699" s="27" t="s">
        <v>7</v>
      </c>
    </row>
    <row r="700" spans="1:254" x14ac:dyDescent="0.25">
      <c r="A700" s="7">
        <v>0.10670397317716582</v>
      </c>
      <c r="B700"/>
      <c r="C700"/>
      <c r="D700"/>
      <c r="E700"/>
      <c r="F700" s="27" t="s">
        <v>7</v>
      </c>
      <c r="IS700" s="27" t="s">
        <v>8</v>
      </c>
      <c r="IT700" s="27" t="s">
        <v>7</v>
      </c>
    </row>
    <row r="701" spans="1:254" x14ac:dyDescent="0.25">
      <c r="A701" s="7">
        <v>0.1046117384089861</v>
      </c>
      <c r="B701"/>
      <c r="C701"/>
      <c r="D701"/>
      <c r="E701"/>
      <c r="F701" s="27" t="s">
        <v>7</v>
      </c>
      <c r="IS701" s="27" t="s">
        <v>8</v>
      </c>
      <c r="IT701" s="27" t="s">
        <v>7</v>
      </c>
    </row>
    <row r="702" spans="1:254" x14ac:dyDescent="0.25">
      <c r="A702" s="7">
        <v>0.10256052785194716</v>
      </c>
      <c r="B702"/>
      <c r="C702"/>
      <c r="D702"/>
      <c r="E702"/>
      <c r="F702" s="27" t="s">
        <v>7</v>
      </c>
      <c r="IS702" s="27" t="s">
        <v>8</v>
      </c>
      <c r="IT702" s="27" t="s">
        <v>7</v>
      </c>
    </row>
    <row r="703" spans="1:254" x14ac:dyDescent="0.25">
      <c r="A703" s="7">
        <v>0.10054953710975212</v>
      </c>
      <c r="B703"/>
      <c r="C703"/>
      <c r="D703"/>
      <c r="E703"/>
      <c r="F703" s="27" t="s">
        <v>7</v>
      </c>
      <c r="IS703" s="27" t="s">
        <v>8</v>
      </c>
      <c r="IT703" s="27" t="s">
        <v>7</v>
      </c>
    </row>
    <row r="704" spans="1:254" x14ac:dyDescent="0.25">
      <c r="A704" s="7">
        <v>9.8577977558580512E-2</v>
      </c>
      <c r="B704"/>
      <c r="C704"/>
      <c r="D704"/>
      <c r="E704"/>
      <c r="F704" s="27" t="s">
        <v>7</v>
      </c>
      <c r="IS704" s="27" t="s">
        <v>8</v>
      </c>
      <c r="IT704" s="27" t="s">
        <v>7</v>
      </c>
    </row>
    <row r="705" spans="1:254" x14ac:dyDescent="0.25">
      <c r="A705" s="7">
        <v>9.6645076037824032E-2</v>
      </c>
      <c r="B705"/>
      <c r="C705"/>
      <c r="D705"/>
      <c r="E705"/>
      <c r="F705" s="27" t="s">
        <v>7</v>
      </c>
      <c r="IS705" s="27" t="s">
        <v>8</v>
      </c>
      <c r="IT705" s="27" t="s">
        <v>7</v>
      </c>
    </row>
    <row r="706" spans="1:254" x14ac:dyDescent="0.25">
      <c r="A706" s="7">
        <v>9.4750074546886304E-2</v>
      </c>
      <c r="B706"/>
      <c r="C706"/>
      <c r="D706"/>
      <c r="E706"/>
      <c r="F706" s="27" t="s">
        <v>7</v>
      </c>
      <c r="IS706" s="27" t="s">
        <v>8</v>
      </c>
      <c r="IT706" s="27" t="s">
        <v>7</v>
      </c>
    </row>
    <row r="707" spans="1:254" x14ac:dyDescent="0.25">
      <c r="A707" s="7">
        <v>9.2892229947927743E-2</v>
      </c>
      <c r="B707"/>
      <c r="C707"/>
      <c r="D707"/>
      <c r="E707"/>
      <c r="F707" s="27" t="s">
        <v>7</v>
      </c>
      <c r="IS707" s="27" t="s">
        <v>8</v>
      </c>
      <c r="IT707" s="27" t="s">
        <v>7</v>
      </c>
    </row>
    <row r="708" spans="1:254" x14ac:dyDescent="0.25">
      <c r="A708" s="7">
        <v>9.1070813674438963E-2</v>
      </c>
      <c r="B708"/>
      <c r="C708"/>
      <c r="D708"/>
      <c r="E708"/>
      <c r="F708" s="27" t="s">
        <v>7</v>
      </c>
      <c r="IA708" s="27" t="s">
        <v>8</v>
      </c>
      <c r="IS708" s="27" t="s">
        <v>8</v>
      </c>
      <c r="IT708" s="27" t="s">
        <v>7</v>
      </c>
    </row>
    <row r="709" spans="1:254" x14ac:dyDescent="0.25">
      <c r="A709" s="7">
        <v>8.9285111445528392E-2</v>
      </c>
      <c r="B709"/>
      <c r="C709"/>
      <c r="D709"/>
      <c r="E709"/>
      <c r="F709" s="27" t="s">
        <v>7</v>
      </c>
      <c r="IA709" s="27" t="s">
        <v>8</v>
      </c>
      <c r="IB709" s="27" t="s">
        <v>7</v>
      </c>
      <c r="IS709" s="27" t="s">
        <v>8</v>
      </c>
      <c r="IT709" s="27" t="s">
        <v>7</v>
      </c>
    </row>
    <row r="710" spans="1:254" x14ac:dyDescent="0.25">
      <c r="A710" s="7">
        <v>8.7534422985812155E-2</v>
      </c>
      <c r="B710"/>
      <c r="C710"/>
      <c r="D710"/>
      <c r="E710"/>
      <c r="F710" s="27" t="s">
        <v>7</v>
      </c>
      <c r="IA710" s="27" t="s">
        <v>8</v>
      </c>
      <c r="IB710" s="27" t="s">
        <v>7</v>
      </c>
      <c r="IC710" s="27" t="s">
        <v>8</v>
      </c>
      <c r="IS710" s="27" t="s">
        <v>8</v>
      </c>
      <c r="IT710" s="27" t="s">
        <v>7</v>
      </c>
    </row>
    <row r="711" spans="1:254" x14ac:dyDescent="0.25">
      <c r="A711" s="7">
        <v>8.5818061750796232E-2</v>
      </c>
      <c r="B711"/>
      <c r="C711"/>
      <c r="D711"/>
      <c r="E711"/>
      <c r="F711" s="27" t="s">
        <v>7</v>
      </c>
      <c r="IA711" s="27" t="s">
        <v>8</v>
      </c>
      <c r="IB711" s="27" t="s">
        <v>7</v>
      </c>
      <c r="IC711" s="27" t="s">
        <v>8</v>
      </c>
      <c r="ID711" s="27" t="s">
        <v>7</v>
      </c>
      <c r="IS711" s="27" t="s">
        <v>8</v>
      </c>
      <c r="IT711" s="27" t="s">
        <v>7</v>
      </c>
    </row>
    <row r="712" spans="1:254" x14ac:dyDescent="0.25">
      <c r="A712" s="7">
        <v>8.4135354657643366E-2</v>
      </c>
      <c r="B712"/>
      <c r="C712"/>
      <c r="D712"/>
      <c r="E712"/>
      <c r="F712" s="27" t="s">
        <v>7</v>
      </c>
      <c r="IA712" s="27" t="s">
        <v>8</v>
      </c>
      <c r="IB712" s="27" t="s">
        <v>7</v>
      </c>
      <c r="IC712" s="27" t="s">
        <v>8</v>
      </c>
      <c r="ID712" s="27" t="s">
        <v>7</v>
      </c>
      <c r="IS712" s="27" t="s">
        <v>8</v>
      </c>
      <c r="IT712" s="27" t="s">
        <v>7</v>
      </c>
    </row>
    <row r="713" spans="1:254" x14ac:dyDescent="0.25">
      <c r="A713" s="7">
        <v>8.248564182121898E-2</v>
      </c>
      <c r="B713"/>
      <c r="C713"/>
      <c r="D713"/>
      <c r="E713"/>
      <c r="F713" s="27" t="s">
        <v>7</v>
      </c>
      <c r="IA713" s="27" t="s">
        <v>8</v>
      </c>
      <c r="IB713" s="27" t="s">
        <v>7</v>
      </c>
      <c r="IC713" s="27" t="s">
        <v>8</v>
      </c>
      <c r="ID713" s="27" t="s">
        <v>7</v>
      </c>
      <c r="IS713" s="27" t="s">
        <v>8</v>
      </c>
      <c r="IT713" s="27" t="s">
        <v>7</v>
      </c>
    </row>
    <row r="714" spans="1:254" x14ac:dyDescent="0.25">
      <c r="A714" s="7">
        <v>8.0868276295312735E-2</v>
      </c>
      <c r="B714"/>
      <c r="C714"/>
      <c r="D714"/>
      <c r="E714"/>
      <c r="F714" s="27" t="s">
        <v>7</v>
      </c>
      <c r="IA714" s="27" t="s">
        <v>8</v>
      </c>
      <c r="IB714" s="27" t="s">
        <v>7</v>
      </c>
      <c r="IC714" s="27" t="s">
        <v>8</v>
      </c>
      <c r="ID714" s="27" t="s">
        <v>7</v>
      </c>
      <c r="IO714" s="27" t="s">
        <v>8</v>
      </c>
      <c r="IQ714" s="27" t="s">
        <v>8</v>
      </c>
      <c r="IS714" s="27" t="s">
        <v>8</v>
      </c>
      <c r="IT714" s="27" t="s">
        <v>7</v>
      </c>
    </row>
    <row r="715" spans="1:254" x14ac:dyDescent="0.25">
      <c r="A715" s="7">
        <v>7.9282623818934056E-2</v>
      </c>
      <c r="B715"/>
      <c r="C715"/>
      <c r="D715"/>
      <c r="E715"/>
      <c r="F715" s="27" t="s">
        <v>7</v>
      </c>
      <c r="IA715" s="27" t="s">
        <v>8</v>
      </c>
      <c r="IB715" s="27" t="s">
        <v>7</v>
      </c>
      <c r="IC715" s="27" t="s">
        <v>8</v>
      </c>
      <c r="ID715" s="27" t="s">
        <v>7</v>
      </c>
      <c r="IO715" s="27" t="s">
        <v>8</v>
      </c>
      <c r="IP715" s="27" t="s">
        <v>7</v>
      </c>
      <c r="IQ715" s="27" t="s">
        <v>8</v>
      </c>
      <c r="IR715" s="27" t="s">
        <v>7</v>
      </c>
      <c r="IS715" s="27" t="s">
        <v>8</v>
      </c>
      <c r="IT715" s="27" t="s">
        <v>7</v>
      </c>
    </row>
    <row r="716" spans="1:254" x14ac:dyDescent="0.25">
      <c r="A716" s="7">
        <v>7.7728062567582412E-2</v>
      </c>
      <c r="B716"/>
      <c r="C716"/>
      <c r="D716"/>
      <c r="E716"/>
      <c r="F716" s="27" t="s">
        <v>7</v>
      </c>
      <c r="IA716" s="27" t="s">
        <v>8</v>
      </c>
      <c r="IB716" s="27" t="s">
        <v>7</v>
      </c>
      <c r="IC716" s="27" t="s">
        <v>8</v>
      </c>
      <c r="ID716" s="27" t="s">
        <v>7</v>
      </c>
      <c r="IO716" s="27" t="s">
        <v>8</v>
      </c>
      <c r="IP716" s="27" t="s">
        <v>7</v>
      </c>
      <c r="IQ716" s="27" t="s">
        <v>8</v>
      </c>
      <c r="IR716" s="27" t="s">
        <v>7</v>
      </c>
      <c r="IS716" s="27" t="s">
        <v>8</v>
      </c>
      <c r="IT716" s="27" t="s">
        <v>7</v>
      </c>
    </row>
    <row r="717" spans="1:254" x14ac:dyDescent="0.25">
      <c r="A717" s="7">
        <v>7.6203982909394521E-2</v>
      </c>
      <c r="B717"/>
      <c r="C717"/>
      <c r="D717"/>
      <c r="E717"/>
      <c r="F717" s="27" t="s">
        <v>7</v>
      </c>
      <c r="IA717" s="27" t="s">
        <v>8</v>
      </c>
      <c r="IB717" s="27" t="s">
        <v>7</v>
      </c>
      <c r="IC717" s="27" t="s">
        <v>8</v>
      </c>
      <c r="ID717" s="27" t="s">
        <v>7</v>
      </c>
      <c r="IO717" s="27" t="s">
        <v>8</v>
      </c>
      <c r="IP717" s="27" t="s">
        <v>7</v>
      </c>
      <c r="IQ717" s="27" t="s">
        <v>8</v>
      </c>
      <c r="IR717" s="27" t="s">
        <v>7</v>
      </c>
      <c r="IS717" s="27" t="s">
        <v>8</v>
      </c>
      <c r="IT717" s="27" t="s">
        <v>7</v>
      </c>
    </row>
    <row r="718" spans="1:254" x14ac:dyDescent="0.25">
      <c r="A718" s="7">
        <v>7.4709787166073058E-2</v>
      </c>
      <c r="B718"/>
      <c r="C718"/>
      <c r="D718"/>
      <c r="E718"/>
      <c r="F718" s="27" t="s">
        <v>7</v>
      </c>
      <c r="IA718" s="27" t="s">
        <v>8</v>
      </c>
      <c r="IB718" s="27" t="s">
        <v>7</v>
      </c>
      <c r="IC718" s="27" t="s">
        <v>8</v>
      </c>
      <c r="ID718" s="27" t="s">
        <v>7</v>
      </c>
      <c r="IO718" s="27" t="s">
        <v>8</v>
      </c>
      <c r="IP718" s="27" t="s">
        <v>7</v>
      </c>
      <c r="IQ718" s="27" t="s">
        <v>8</v>
      </c>
      <c r="IR718" s="27" t="s">
        <v>7</v>
      </c>
      <c r="IS718" s="27" t="s">
        <v>8</v>
      </c>
      <c r="IT718" s="27" t="s">
        <v>7</v>
      </c>
    </row>
    <row r="719" spans="1:254" x14ac:dyDescent="0.25">
      <c r="A719" s="7">
        <v>7.3244889378503E-2</v>
      </c>
      <c r="B719"/>
      <c r="C719"/>
      <c r="D719"/>
      <c r="E719"/>
      <c r="F719" s="27" t="s">
        <v>7</v>
      </c>
      <c r="IA719" s="27" t="s">
        <v>8</v>
      </c>
      <c r="IB719" s="27" t="s">
        <v>7</v>
      </c>
      <c r="IC719" s="27" t="s">
        <v>8</v>
      </c>
      <c r="ID719" s="27" t="s">
        <v>7</v>
      </c>
      <c r="IO719" s="27" t="s">
        <v>8</v>
      </c>
      <c r="IP719" s="27" t="s">
        <v>7</v>
      </c>
      <c r="IQ719" s="27" t="s">
        <v>8</v>
      </c>
      <c r="IR719" s="27" t="s">
        <v>7</v>
      </c>
      <c r="IS719" s="27" t="s">
        <v>8</v>
      </c>
      <c r="IT719" s="27" t="s">
        <v>7</v>
      </c>
    </row>
    <row r="720" spans="1:254" x14ac:dyDescent="0.25">
      <c r="A720" s="7">
        <v>7.1808715076963722E-2</v>
      </c>
      <c r="B720"/>
      <c r="C720"/>
      <c r="D720"/>
      <c r="E720"/>
      <c r="F720" s="27" t="s">
        <v>7</v>
      </c>
      <c r="IA720" s="27" t="s">
        <v>8</v>
      </c>
      <c r="IB720" s="27" t="s">
        <v>7</v>
      </c>
      <c r="IC720" s="27" t="s">
        <v>8</v>
      </c>
      <c r="ID720" s="27" t="s">
        <v>7</v>
      </c>
      <c r="IO720" s="27" t="s">
        <v>8</v>
      </c>
      <c r="IP720" s="27" t="s">
        <v>7</v>
      </c>
      <c r="IQ720" s="27" t="s">
        <v>8</v>
      </c>
      <c r="IR720" s="27" t="s">
        <v>7</v>
      </c>
      <c r="IS720" s="27" t="s">
        <v>8</v>
      </c>
      <c r="IT720" s="27" t="s">
        <v>7</v>
      </c>
    </row>
    <row r="721" spans="1:372" x14ac:dyDescent="0.25">
      <c r="A721" s="7">
        <v>7.0400701055846782E-2</v>
      </c>
      <c r="B721"/>
      <c r="C721"/>
      <c r="D721"/>
      <c r="E721"/>
      <c r="F721" s="27" t="s">
        <v>7</v>
      </c>
      <c r="IA721" s="27" t="s">
        <v>8</v>
      </c>
      <c r="IB721" s="27" t="s">
        <v>7</v>
      </c>
      <c r="IC721" s="27" t="s">
        <v>8</v>
      </c>
      <c r="ID721" s="27" t="s">
        <v>7</v>
      </c>
      <c r="IO721" s="27" t="s">
        <v>8</v>
      </c>
      <c r="IP721" s="27" t="s">
        <v>7</v>
      </c>
      <c r="IQ721" s="27" t="s">
        <v>8</v>
      </c>
      <c r="IR721" s="27" t="s">
        <v>7</v>
      </c>
      <c r="IS721" s="27" t="s">
        <v>8</v>
      </c>
      <c r="IT721" s="27" t="s">
        <v>7</v>
      </c>
    </row>
    <row r="722" spans="1:372" x14ac:dyDescent="0.25">
      <c r="A722" s="7">
        <v>6.9020295152790956E-2</v>
      </c>
      <c r="B722"/>
      <c r="C722"/>
      <c r="D722"/>
      <c r="E722"/>
      <c r="F722" s="27" t="s">
        <v>7</v>
      </c>
      <c r="IA722" s="27" t="s">
        <v>8</v>
      </c>
      <c r="IB722" s="27" t="s">
        <v>7</v>
      </c>
      <c r="IC722" s="27" t="s">
        <v>8</v>
      </c>
      <c r="ID722" s="27" t="s">
        <v>7</v>
      </c>
      <c r="IO722" s="27" t="s">
        <v>8</v>
      </c>
      <c r="IP722" s="27" t="s">
        <v>7</v>
      </c>
      <c r="IQ722" s="27" t="s">
        <v>8</v>
      </c>
      <c r="IR722" s="27" t="s">
        <v>7</v>
      </c>
      <c r="IS722" s="27" t="s">
        <v>8</v>
      </c>
      <c r="IT722" s="27" t="s">
        <v>7</v>
      </c>
    </row>
    <row r="723" spans="1:372" x14ac:dyDescent="0.25">
      <c r="A723" s="7">
        <v>6.7666956032147993E-2</v>
      </c>
      <c r="B723"/>
      <c r="C723"/>
      <c r="D723"/>
      <c r="E723"/>
      <c r="F723" s="27" t="s">
        <v>7</v>
      </c>
      <c r="IA723" s="27" t="s">
        <v>8</v>
      </c>
      <c r="IB723" s="27" t="s">
        <v>7</v>
      </c>
      <c r="IC723" s="27" t="s">
        <v>8</v>
      </c>
      <c r="ID723" s="27" t="s">
        <v>7</v>
      </c>
      <c r="IG723" s="27" t="s">
        <v>8</v>
      </c>
      <c r="IO723" s="27" t="s">
        <v>8</v>
      </c>
      <c r="IP723" s="27" t="s">
        <v>7</v>
      </c>
      <c r="IQ723" s="27" t="s">
        <v>8</v>
      </c>
      <c r="IR723" s="27" t="s">
        <v>7</v>
      </c>
      <c r="IT723" s="27" t="s">
        <v>7</v>
      </c>
    </row>
    <row r="724" spans="1:372" x14ac:dyDescent="0.25">
      <c r="A724" s="7">
        <v>6.6340152972694105E-2</v>
      </c>
      <c r="B724"/>
      <c r="C724"/>
      <c r="D724"/>
      <c r="E724"/>
      <c r="F724" s="27" t="s">
        <v>7</v>
      </c>
      <c r="IA724" s="27" t="s">
        <v>8</v>
      </c>
      <c r="IB724" s="27" t="s">
        <v>7</v>
      </c>
      <c r="IC724" s="27" t="s">
        <v>8</v>
      </c>
      <c r="ID724" s="27" t="s">
        <v>7</v>
      </c>
      <c r="IE724" s="27" t="s">
        <v>8</v>
      </c>
      <c r="IG724" s="27" t="s">
        <v>8</v>
      </c>
      <c r="IH724" s="27" t="s">
        <v>7</v>
      </c>
      <c r="IO724" s="27" t="s">
        <v>8</v>
      </c>
      <c r="IP724" s="27" t="s">
        <v>7</v>
      </c>
      <c r="IQ724" s="27" t="s">
        <v>8</v>
      </c>
      <c r="IT724" s="27" t="s">
        <v>7</v>
      </c>
    </row>
    <row r="725" spans="1:372" x14ac:dyDescent="0.25">
      <c r="A725" s="7">
        <v>6.5039365659504023E-2</v>
      </c>
      <c r="B725"/>
      <c r="C725"/>
      <c r="D725"/>
      <c r="E725"/>
      <c r="F725" s="27" t="s">
        <v>7</v>
      </c>
      <c r="IA725" s="27" t="s">
        <v>8</v>
      </c>
      <c r="IB725" s="27" t="s">
        <v>7</v>
      </c>
      <c r="IC725" s="27" t="s">
        <v>8</v>
      </c>
      <c r="ID725" s="27" t="s">
        <v>7</v>
      </c>
      <c r="IE725" s="27" t="s">
        <v>8</v>
      </c>
      <c r="IF725" s="27" t="s">
        <v>7</v>
      </c>
      <c r="IG725" s="27" t="s">
        <v>8</v>
      </c>
      <c r="IH725" s="27" t="s">
        <v>7</v>
      </c>
      <c r="IO725" s="27" t="s">
        <v>8</v>
      </c>
      <c r="IP725" s="27" t="s">
        <v>7</v>
      </c>
      <c r="IQ725" s="27" t="s">
        <v>8</v>
      </c>
      <c r="IT725" s="27" t="s">
        <v>7</v>
      </c>
      <c r="NG725" s="27" t="s">
        <v>8</v>
      </c>
    </row>
    <row r="726" spans="1:372" x14ac:dyDescent="0.25">
      <c r="A726" s="7">
        <v>6.3764083979905906E-2</v>
      </c>
      <c r="B726"/>
      <c r="C726"/>
      <c r="D726"/>
      <c r="E726"/>
      <c r="F726" s="27" t="s">
        <v>7</v>
      </c>
      <c r="IA726" s="27" t="s">
        <v>8</v>
      </c>
      <c r="IB726" s="27" t="s">
        <v>7</v>
      </c>
      <c r="IC726" s="27" t="s">
        <v>8</v>
      </c>
      <c r="ID726" s="27" t="s">
        <v>7</v>
      </c>
      <c r="IE726" s="27" t="s">
        <v>8</v>
      </c>
      <c r="IF726" s="27" t="s">
        <v>7</v>
      </c>
      <c r="IG726" s="27" t="s">
        <v>8</v>
      </c>
      <c r="IH726" s="27" t="s">
        <v>7</v>
      </c>
      <c r="IO726" s="27" t="s">
        <v>8</v>
      </c>
      <c r="IP726" s="27" t="s">
        <v>7</v>
      </c>
      <c r="IQ726" s="27" t="s">
        <v>8</v>
      </c>
      <c r="IT726" s="27" t="s">
        <v>7</v>
      </c>
      <c r="IU726" s="27" t="s">
        <v>8</v>
      </c>
      <c r="NA726" s="27" t="s">
        <v>8</v>
      </c>
      <c r="NG726" s="27" t="s">
        <v>8</v>
      </c>
      <c r="NH726" s="27" t="s">
        <v>7</v>
      </c>
    </row>
    <row r="727" spans="1:372" x14ac:dyDescent="0.25">
      <c r="A727" s="7">
        <v>6.251380782343717E-2</v>
      </c>
      <c r="B727"/>
      <c r="C727"/>
      <c r="D727"/>
      <c r="E727"/>
      <c r="F727" s="27" t="s">
        <v>7</v>
      </c>
      <c r="HS727" s="27" t="s">
        <v>8</v>
      </c>
      <c r="IA727" s="27" t="s">
        <v>8</v>
      </c>
      <c r="IB727" s="27" t="s">
        <v>7</v>
      </c>
      <c r="IC727" s="27" t="s">
        <v>8</v>
      </c>
      <c r="ID727" s="27" t="s">
        <v>7</v>
      </c>
      <c r="IE727" s="27" t="s">
        <v>8</v>
      </c>
      <c r="IF727" s="27" t="s">
        <v>7</v>
      </c>
      <c r="IG727" s="27" t="s">
        <v>8</v>
      </c>
      <c r="IH727" s="27" t="s">
        <v>7</v>
      </c>
      <c r="IO727" s="27" t="s">
        <v>8</v>
      </c>
      <c r="IP727" s="27" t="s">
        <v>7</v>
      </c>
      <c r="IQ727" s="27" t="s">
        <v>8</v>
      </c>
      <c r="IT727" s="27" t="s">
        <v>7</v>
      </c>
      <c r="IU727" s="27" t="s">
        <v>8</v>
      </c>
      <c r="IV727" s="27" t="s">
        <v>7</v>
      </c>
      <c r="NA727" s="27" t="s">
        <v>8</v>
      </c>
      <c r="NB727" s="27" t="s">
        <v>7</v>
      </c>
      <c r="NG727" s="27" t="s">
        <v>8</v>
      </c>
      <c r="NH727" s="27" t="s">
        <v>7</v>
      </c>
    </row>
    <row r="728" spans="1:372" x14ac:dyDescent="0.25">
      <c r="A728" s="7">
        <v>6.1288046885722716E-2</v>
      </c>
      <c r="B728"/>
      <c r="C728"/>
      <c r="D728"/>
      <c r="E728"/>
      <c r="F728" s="27" t="s">
        <v>7</v>
      </c>
      <c r="HS728" s="27" t="s">
        <v>8</v>
      </c>
      <c r="HT728" s="27" t="s">
        <v>7</v>
      </c>
      <c r="IA728" s="27" t="s">
        <v>8</v>
      </c>
      <c r="IB728" s="27" t="s">
        <v>7</v>
      </c>
      <c r="IC728" s="27" t="s">
        <v>8</v>
      </c>
      <c r="ID728" s="27" t="s">
        <v>7</v>
      </c>
      <c r="IE728" s="27" t="s">
        <v>8</v>
      </c>
      <c r="IF728" s="27" t="s">
        <v>7</v>
      </c>
      <c r="IG728" s="27" t="s">
        <v>8</v>
      </c>
      <c r="IH728" s="27" t="s">
        <v>7</v>
      </c>
      <c r="IO728" s="27" t="s">
        <v>8</v>
      </c>
      <c r="IP728" s="27" t="s">
        <v>7</v>
      </c>
      <c r="IT728" s="27" t="s">
        <v>7</v>
      </c>
      <c r="IU728" s="27" t="s">
        <v>8</v>
      </c>
      <c r="IV728" s="27" t="s">
        <v>7</v>
      </c>
      <c r="NA728" s="27" t="s">
        <v>8</v>
      </c>
      <c r="NB728" s="27" t="s">
        <v>7</v>
      </c>
      <c r="NG728" s="27" t="s">
        <v>8</v>
      </c>
      <c r="NH728" s="27" t="s">
        <v>7</v>
      </c>
    </row>
    <row r="729" spans="1:372" x14ac:dyDescent="0.25">
      <c r="A729" s="7">
        <v>6.0086320476198739E-2</v>
      </c>
      <c r="B729"/>
      <c r="C729"/>
      <c r="D729"/>
      <c r="E729"/>
      <c r="F729" s="27" t="s">
        <v>7</v>
      </c>
      <c r="HS729" s="27" t="s">
        <v>8</v>
      </c>
      <c r="HT729" s="27" t="s">
        <v>7</v>
      </c>
      <c r="IA729" s="27" t="s">
        <v>8</v>
      </c>
      <c r="IB729" s="27" t="s">
        <v>7</v>
      </c>
      <c r="IC729" s="27" t="s">
        <v>8</v>
      </c>
      <c r="ID729" s="27" t="s">
        <v>7</v>
      </c>
      <c r="IF729" s="27" t="s">
        <v>7</v>
      </c>
      <c r="IG729" s="27" t="s">
        <v>8</v>
      </c>
      <c r="IH729" s="27" t="s">
        <v>7</v>
      </c>
      <c r="IO729" s="27" t="s">
        <v>8</v>
      </c>
      <c r="IT729" s="27" t="s">
        <v>7</v>
      </c>
      <c r="IU729" s="27" t="s">
        <v>8</v>
      </c>
      <c r="IV729" s="27" t="s">
        <v>7</v>
      </c>
      <c r="NA729" s="27" t="s">
        <v>8</v>
      </c>
      <c r="NB729" s="27" t="s">
        <v>7</v>
      </c>
      <c r="NG729" s="27" t="s">
        <v>8</v>
      </c>
      <c r="NH729" s="27" t="s">
        <v>7</v>
      </c>
    </row>
    <row r="730" spans="1:372" x14ac:dyDescent="0.25">
      <c r="A730" s="7">
        <v>5.8908157329606609E-2</v>
      </c>
      <c r="B730"/>
      <c r="C730"/>
      <c r="D730"/>
      <c r="E730"/>
      <c r="F730" s="27" t="s">
        <v>7</v>
      </c>
      <c r="HS730" s="27" t="s">
        <v>8</v>
      </c>
      <c r="HT730" s="27" t="s">
        <v>7</v>
      </c>
      <c r="HW730" s="27" t="s">
        <v>8</v>
      </c>
      <c r="IA730" s="27" t="s">
        <v>8</v>
      </c>
      <c r="IB730" s="27" t="s">
        <v>7</v>
      </c>
      <c r="IC730" s="27" t="s">
        <v>8</v>
      </c>
      <c r="IF730" s="27" t="s">
        <v>7</v>
      </c>
      <c r="IG730" s="27" t="s">
        <v>8</v>
      </c>
      <c r="IH730" s="27" t="s">
        <v>7</v>
      </c>
      <c r="IO730" s="27" t="s">
        <v>8</v>
      </c>
      <c r="IT730" s="27" t="s">
        <v>7</v>
      </c>
      <c r="IU730" s="27" t="s">
        <v>8</v>
      </c>
      <c r="IV730" s="27" t="s">
        <v>7</v>
      </c>
      <c r="NA730" s="27" t="s">
        <v>8</v>
      </c>
      <c r="NB730" s="27" t="s">
        <v>7</v>
      </c>
      <c r="NG730" s="27" t="s">
        <v>8</v>
      </c>
      <c r="NH730" s="27" t="s">
        <v>7</v>
      </c>
    </row>
    <row r="731" spans="1:372" x14ac:dyDescent="0.25">
      <c r="A731" s="7">
        <v>5.7753095421182947E-2</v>
      </c>
      <c r="B731"/>
      <c r="C731"/>
      <c r="D731"/>
      <c r="E731"/>
      <c r="F731" s="27" t="s">
        <v>7</v>
      </c>
      <c r="HS731" s="27" t="s">
        <v>8</v>
      </c>
      <c r="HT731" s="27" t="s">
        <v>7</v>
      </c>
      <c r="HW731" s="27" t="s">
        <v>8</v>
      </c>
      <c r="HX731" s="27" t="s">
        <v>7</v>
      </c>
      <c r="IA731" s="27" t="s">
        <v>8</v>
      </c>
      <c r="IB731" s="27" t="s">
        <v>7</v>
      </c>
      <c r="IC731" s="27" t="s">
        <v>8</v>
      </c>
      <c r="IF731" s="27" t="s">
        <v>7</v>
      </c>
      <c r="IH731" s="27" t="s">
        <v>7</v>
      </c>
      <c r="IO731" s="27" t="s">
        <v>8</v>
      </c>
      <c r="IT731" s="27" t="s">
        <v>7</v>
      </c>
      <c r="IU731" s="27" t="s">
        <v>8</v>
      </c>
      <c r="IV731" s="27" t="s">
        <v>7</v>
      </c>
      <c r="NA731" s="27" t="s">
        <v>8</v>
      </c>
      <c r="NB731" s="27" t="s">
        <v>7</v>
      </c>
      <c r="NG731" s="27" t="s">
        <v>8</v>
      </c>
      <c r="NH731" s="27" t="s">
        <v>7</v>
      </c>
    </row>
    <row r="732" spans="1:372" x14ac:dyDescent="0.25">
      <c r="A732" s="7">
        <v>5.6620681785473484E-2</v>
      </c>
      <c r="B732"/>
      <c r="C732"/>
      <c r="D732"/>
      <c r="E732"/>
      <c r="F732" s="27" t="s">
        <v>7</v>
      </c>
      <c r="HS732" s="27" t="s">
        <v>8</v>
      </c>
      <c r="HT732" s="27" t="s">
        <v>7</v>
      </c>
      <c r="HU732" s="27" t="s">
        <v>8</v>
      </c>
      <c r="HW732" s="27" t="s">
        <v>8</v>
      </c>
      <c r="HX732" s="27" t="s">
        <v>7</v>
      </c>
      <c r="HY732" s="27" t="s">
        <v>8</v>
      </c>
      <c r="IA732" s="27" t="s">
        <v>8</v>
      </c>
      <c r="IB732" s="27" t="s">
        <v>7</v>
      </c>
      <c r="IH732" s="27" t="s">
        <v>7</v>
      </c>
      <c r="IO732" s="27" t="s">
        <v>8</v>
      </c>
      <c r="IT732" s="27" t="s">
        <v>7</v>
      </c>
      <c r="IU732" s="27" t="s">
        <v>8</v>
      </c>
      <c r="IV732" s="27" t="s">
        <v>7</v>
      </c>
      <c r="NA732" s="27" t="s">
        <v>8</v>
      </c>
      <c r="NB732" s="27" t="s">
        <v>7</v>
      </c>
      <c r="NG732" s="27" t="s">
        <v>8</v>
      </c>
      <c r="NH732" s="27" t="s">
        <v>7</v>
      </c>
    </row>
    <row r="733" spans="1:372" x14ac:dyDescent="0.25">
      <c r="A733" s="7">
        <v>5.5510472338699497E-2</v>
      </c>
      <c r="B733"/>
      <c r="C733"/>
      <c r="D733"/>
      <c r="E733"/>
      <c r="F733" s="27" t="s">
        <v>7</v>
      </c>
      <c r="HS733" s="27" t="s">
        <v>8</v>
      </c>
      <c r="HT733" s="27" t="s">
        <v>7</v>
      </c>
      <c r="HU733" s="27" t="s">
        <v>8</v>
      </c>
      <c r="HV733" s="27" t="s">
        <v>7</v>
      </c>
      <c r="HW733" s="27" t="s">
        <v>8</v>
      </c>
      <c r="HX733" s="27" t="s">
        <v>7</v>
      </c>
      <c r="HY733" s="27" t="s">
        <v>8</v>
      </c>
      <c r="HZ733" s="27" t="s">
        <v>7</v>
      </c>
      <c r="IA733" s="27" t="s">
        <v>8</v>
      </c>
      <c r="IH733" s="27" t="s">
        <v>7</v>
      </c>
      <c r="IO733" s="27" t="s">
        <v>8</v>
      </c>
      <c r="IT733" s="27" t="s">
        <v>7</v>
      </c>
      <c r="IU733" s="27" t="s">
        <v>8</v>
      </c>
      <c r="IV733" s="27" t="s">
        <v>7</v>
      </c>
      <c r="NA733" s="27" t="s">
        <v>8</v>
      </c>
      <c r="NB733" s="27" t="s">
        <v>7</v>
      </c>
      <c r="NG733" s="27" t="s">
        <v>8</v>
      </c>
      <c r="NH733" s="27" t="s">
        <v>7</v>
      </c>
    </row>
    <row r="734" spans="1:372" x14ac:dyDescent="0.25">
      <c r="A734" s="7">
        <v>5.4422031704607354E-2</v>
      </c>
      <c r="B734"/>
      <c r="C734"/>
      <c r="D734"/>
      <c r="E734"/>
      <c r="F734" s="27" t="s">
        <v>7</v>
      </c>
      <c r="HS734" s="27" t="s">
        <v>8</v>
      </c>
      <c r="HT734" s="27" t="s">
        <v>7</v>
      </c>
      <c r="HU734" s="27" t="s">
        <v>8</v>
      </c>
      <c r="HV734" s="27" t="s">
        <v>7</v>
      </c>
      <c r="HW734" s="27" t="s">
        <v>8</v>
      </c>
      <c r="HX734" s="27" t="s">
        <v>7</v>
      </c>
      <c r="HY734" s="27" t="s">
        <v>8</v>
      </c>
      <c r="HZ734" s="27" t="s">
        <v>7</v>
      </c>
      <c r="IA734" s="27" t="s">
        <v>8</v>
      </c>
      <c r="IH734" s="27" t="s">
        <v>7</v>
      </c>
      <c r="IO734" s="27" t="s">
        <v>8</v>
      </c>
      <c r="IT734" s="27" t="s">
        <v>7</v>
      </c>
      <c r="IV734" s="27" t="s">
        <v>7</v>
      </c>
      <c r="NA734" s="27" t="s">
        <v>8</v>
      </c>
      <c r="NB734" s="27" t="s">
        <v>7</v>
      </c>
      <c r="NG734" s="27" t="s">
        <v>8</v>
      </c>
      <c r="NH734" s="27" t="s">
        <v>7</v>
      </c>
    </row>
    <row r="735" spans="1:372" x14ac:dyDescent="0.25">
      <c r="A735" s="7">
        <v>5.3354933043732705E-2</v>
      </c>
      <c r="B735"/>
      <c r="C735"/>
      <c r="D735"/>
      <c r="E735"/>
      <c r="F735" s="27" t="s">
        <v>7</v>
      </c>
      <c r="HQ735" s="27" t="s">
        <v>8</v>
      </c>
      <c r="HS735" s="27" t="s">
        <v>8</v>
      </c>
      <c r="HT735" s="27" t="s">
        <v>7</v>
      </c>
      <c r="HU735" s="27" t="s">
        <v>8</v>
      </c>
      <c r="HV735" s="27" t="s">
        <v>7</v>
      </c>
      <c r="HW735" s="27" t="s">
        <v>8</v>
      </c>
      <c r="HX735" s="27" t="s">
        <v>7</v>
      </c>
      <c r="HY735" s="27" t="s">
        <v>8</v>
      </c>
      <c r="HZ735" s="27" t="s">
        <v>7</v>
      </c>
      <c r="IA735" s="27" t="s">
        <v>8</v>
      </c>
      <c r="IH735" s="27" t="s">
        <v>7</v>
      </c>
      <c r="IO735" s="27" t="s">
        <v>8</v>
      </c>
      <c r="IV735" s="27" t="s">
        <v>7</v>
      </c>
      <c r="NA735" s="27" t="s">
        <v>8</v>
      </c>
      <c r="NB735" s="27" t="s">
        <v>7</v>
      </c>
      <c r="NG735" s="27" t="s">
        <v>8</v>
      </c>
      <c r="NH735" s="27" t="s">
        <v>7</v>
      </c>
    </row>
    <row r="736" spans="1:372" x14ac:dyDescent="0.25">
      <c r="A736" s="7">
        <v>5.2308757886012455E-2</v>
      </c>
      <c r="B736"/>
      <c r="C736"/>
      <c r="D736"/>
      <c r="E736"/>
      <c r="F736" s="27" t="s">
        <v>7</v>
      </c>
      <c r="HQ736" s="27" t="s">
        <v>8</v>
      </c>
      <c r="HR736" s="27" t="s">
        <v>7</v>
      </c>
      <c r="HS736" s="27" t="s">
        <v>8</v>
      </c>
      <c r="HT736" s="27" t="s">
        <v>7</v>
      </c>
      <c r="HU736" s="27" t="s">
        <v>8</v>
      </c>
      <c r="HV736" s="27" t="s">
        <v>7</v>
      </c>
      <c r="HW736" s="27" t="s">
        <v>8</v>
      </c>
      <c r="HX736" s="27" t="s">
        <v>7</v>
      </c>
      <c r="HZ736" s="27" t="s">
        <v>7</v>
      </c>
      <c r="IA736" s="27" t="s">
        <v>8</v>
      </c>
      <c r="IH736" s="27" t="s">
        <v>7</v>
      </c>
      <c r="IO736" s="27" t="s">
        <v>8</v>
      </c>
      <c r="IV736" s="27" t="s">
        <v>7</v>
      </c>
      <c r="IW736" s="27" t="s">
        <v>8</v>
      </c>
      <c r="NA736" s="27" t="s">
        <v>8</v>
      </c>
      <c r="NB736" s="27" t="s">
        <v>7</v>
      </c>
      <c r="NG736" s="27" t="s">
        <v>8</v>
      </c>
      <c r="NH736" s="27" t="s">
        <v>7</v>
      </c>
    </row>
    <row r="737" spans="1:388" x14ac:dyDescent="0.25">
      <c r="A737" s="7">
        <v>5.1283095966678877E-2</v>
      </c>
      <c r="B737"/>
      <c r="C737"/>
      <c r="D737"/>
      <c r="E737"/>
      <c r="F737" s="27" t="s">
        <v>7</v>
      </c>
      <c r="HQ737" s="27" t="s">
        <v>8</v>
      </c>
      <c r="HR737" s="27" t="s">
        <v>7</v>
      </c>
      <c r="HS737" s="27" t="s">
        <v>8</v>
      </c>
      <c r="HT737" s="27" t="s">
        <v>7</v>
      </c>
      <c r="HU737" s="27" t="s">
        <v>8</v>
      </c>
      <c r="HV737" s="27" t="s">
        <v>7</v>
      </c>
      <c r="HZ737" s="27" t="s">
        <v>7</v>
      </c>
      <c r="IA737" s="27" t="s">
        <v>8</v>
      </c>
      <c r="IH737" s="27" t="s">
        <v>7</v>
      </c>
      <c r="IO737" s="27" t="s">
        <v>8</v>
      </c>
      <c r="IV737" s="27" t="s">
        <v>7</v>
      </c>
      <c r="IW737" s="27" t="s">
        <v>8</v>
      </c>
      <c r="IX737" s="27" t="s">
        <v>7</v>
      </c>
      <c r="LG737" s="27" t="s">
        <v>8</v>
      </c>
      <c r="NA737" s="27" t="s">
        <v>8</v>
      </c>
      <c r="NB737" s="27" t="s">
        <v>7</v>
      </c>
      <c r="NG737" s="27" t="s">
        <v>8</v>
      </c>
      <c r="NH737" s="27" t="s">
        <v>7</v>
      </c>
    </row>
    <row r="738" spans="1:388" x14ac:dyDescent="0.25">
      <c r="A738" s="7">
        <v>5.0277545065371444E-2</v>
      </c>
      <c r="B738"/>
      <c r="C738"/>
      <c r="D738"/>
      <c r="E738"/>
      <c r="F738" s="27" t="s">
        <v>7</v>
      </c>
      <c r="HQ738" s="27" t="s">
        <v>8</v>
      </c>
      <c r="HR738" s="27" t="s">
        <v>7</v>
      </c>
      <c r="HS738" s="27" t="s">
        <v>8</v>
      </c>
      <c r="HT738" s="27" t="s">
        <v>7</v>
      </c>
      <c r="HU738" s="27" t="s">
        <v>8</v>
      </c>
      <c r="HZ738" s="27" t="s">
        <v>7</v>
      </c>
      <c r="IA738" s="27" t="s">
        <v>8</v>
      </c>
      <c r="IH738" s="27" t="s">
        <v>7</v>
      </c>
      <c r="IO738" s="27" t="s">
        <v>8</v>
      </c>
      <c r="IV738" s="27" t="s">
        <v>7</v>
      </c>
      <c r="IW738" s="27" t="s">
        <v>8</v>
      </c>
      <c r="IX738" s="27" t="s">
        <v>7</v>
      </c>
      <c r="LG738" s="27" t="s">
        <v>8</v>
      </c>
      <c r="LH738" s="27" t="s">
        <v>7</v>
      </c>
      <c r="NA738" s="27" t="s">
        <v>8</v>
      </c>
      <c r="NB738" s="27" t="s">
        <v>7</v>
      </c>
      <c r="NG738" s="27" t="s">
        <v>8</v>
      </c>
      <c r="NH738" s="27" t="s">
        <v>7</v>
      </c>
      <c r="NQ738" s="27" t="s">
        <v>8</v>
      </c>
    </row>
    <row r="739" spans="1:388" x14ac:dyDescent="0.25">
      <c r="A739" s="7">
        <v>4.9291710848403378E-2</v>
      </c>
      <c r="B739"/>
      <c r="C739"/>
      <c r="D739"/>
      <c r="E739"/>
      <c r="F739" s="27" t="s">
        <v>7</v>
      </c>
      <c r="HQ739" s="27" t="s">
        <v>8</v>
      </c>
      <c r="HR739" s="27" t="s">
        <v>7</v>
      </c>
      <c r="HS739" s="27" t="s">
        <v>8</v>
      </c>
      <c r="HT739" s="27" t="s">
        <v>7</v>
      </c>
      <c r="HU739" s="27" t="s">
        <v>8</v>
      </c>
      <c r="HZ739" s="27" t="s">
        <v>7</v>
      </c>
      <c r="IA739" s="27" t="s">
        <v>8</v>
      </c>
      <c r="IH739" s="27" t="s">
        <v>7</v>
      </c>
      <c r="IO739" s="27" t="s">
        <v>8</v>
      </c>
      <c r="IV739" s="27" t="s">
        <v>7</v>
      </c>
      <c r="IW739" s="27" t="s">
        <v>8</v>
      </c>
      <c r="IX739" s="27" t="s">
        <v>7</v>
      </c>
      <c r="LG739" s="27" t="s">
        <v>8</v>
      </c>
      <c r="LH739" s="27" t="s">
        <v>7</v>
      </c>
      <c r="NA739" s="27" t="s">
        <v>8</v>
      </c>
      <c r="NB739" s="27" t="s">
        <v>7</v>
      </c>
      <c r="NG739" s="27" t="s">
        <v>8</v>
      </c>
      <c r="NH739" s="27" t="s">
        <v>7</v>
      </c>
      <c r="NQ739" s="27" t="s">
        <v>8</v>
      </c>
      <c r="NR739" s="27" t="s">
        <v>7</v>
      </c>
    </row>
    <row r="740" spans="1:388" x14ac:dyDescent="0.25">
      <c r="A740" s="7">
        <v>4.8325206714120959E-2</v>
      </c>
      <c r="B740"/>
      <c r="C740"/>
      <c r="D740"/>
      <c r="E740"/>
      <c r="F740" s="27" t="s">
        <v>7</v>
      </c>
      <c r="HQ740" s="27" t="s">
        <v>8</v>
      </c>
      <c r="HR740" s="27" t="s">
        <v>7</v>
      </c>
      <c r="HS740" s="27" t="s">
        <v>8</v>
      </c>
      <c r="HT740" s="27" t="s">
        <v>7</v>
      </c>
      <c r="HZ740" s="27" t="s">
        <v>7</v>
      </c>
      <c r="IA740" s="27" t="s">
        <v>8</v>
      </c>
      <c r="IH740" s="27" t="s">
        <v>7</v>
      </c>
      <c r="II740" s="27" t="s">
        <v>8</v>
      </c>
      <c r="IM740" s="27" t="s">
        <v>8</v>
      </c>
      <c r="IO740" s="27" t="s">
        <v>8</v>
      </c>
      <c r="IV740" s="27" t="s">
        <v>7</v>
      </c>
      <c r="IW740" s="27" t="s">
        <v>8</v>
      </c>
      <c r="IX740" s="27" t="s">
        <v>7</v>
      </c>
      <c r="LG740" s="27" t="s">
        <v>8</v>
      </c>
      <c r="LH740" s="27" t="s">
        <v>7</v>
      </c>
      <c r="NA740" s="27" t="s">
        <v>8</v>
      </c>
      <c r="NB740" s="27" t="s">
        <v>7</v>
      </c>
      <c r="NG740" s="27" t="s">
        <v>8</v>
      </c>
      <c r="NH740" s="27" t="s">
        <v>7</v>
      </c>
      <c r="NQ740" s="27" t="s">
        <v>8</v>
      </c>
      <c r="NR740" s="27" t="s">
        <v>7</v>
      </c>
    </row>
    <row r="741" spans="1:388" x14ac:dyDescent="0.25">
      <c r="A741" s="7">
        <v>4.7377653641295057E-2</v>
      </c>
      <c r="B741"/>
      <c r="C741"/>
      <c r="D741"/>
      <c r="E741"/>
      <c r="F741" s="27" t="s">
        <v>7</v>
      </c>
      <c r="HQ741" s="27" t="s">
        <v>8</v>
      </c>
      <c r="HR741" s="27" t="s">
        <v>7</v>
      </c>
      <c r="HS741" s="27" t="s">
        <v>8</v>
      </c>
      <c r="HZ741" s="27" t="s">
        <v>7</v>
      </c>
      <c r="IA741" s="27" t="s">
        <v>8</v>
      </c>
      <c r="IH741" s="27" t="s">
        <v>7</v>
      </c>
      <c r="II741" s="27" t="s">
        <v>8</v>
      </c>
      <c r="IJ741" s="27" t="s">
        <v>7</v>
      </c>
      <c r="IM741" s="27" t="s">
        <v>8</v>
      </c>
      <c r="IN741" s="27" t="s">
        <v>7</v>
      </c>
      <c r="IO741" s="27" t="s">
        <v>8</v>
      </c>
      <c r="IV741" s="27" t="s">
        <v>7</v>
      </c>
      <c r="IW741" s="27" t="s">
        <v>8</v>
      </c>
      <c r="IX741" s="27" t="s">
        <v>7</v>
      </c>
      <c r="LG741" s="27" t="s">
        <v>8</v>
      </c>
      <c r="LH741" s="27" t="s">
        <v>7</v>
      </c>
      <c r="NA741" s="27" t="s">
        <v>8</v>
      </c>
      <c r="NB741" s="27" t="s">
        <v>7</v>
      </c>
      <c r="NC741" s="27" t="s">
        <v>8</v>
      </c>
      <c r="NG741" s="27" t="s">
        <v>8</v>
      </c>
      <c r="NH741" s="27" t="s">
        <v>7</v>
      </c>
      <c r="NQ741" s="27" t="s">
        <v>8</v>
      </c>
      <c r="NR741" s="27" t="s">
        <v>7</v>
      </c>
    </row>
    <row r="742" spans="1:388" x14ac:dyDescent="0.25">
      <c r="A742" s="7">
        <v>4.644868004048535E-2</v>
      </c>
      <c r="B742"/>
      <c r="C742"/>
      <c r="D742"/>
      <c r="E742"/>
      <c r="F742" s="27" t="s">
        <v>7</v>
      </c>
      <c r="HQ742" s="27" t="s">
        <v>8</v>
      </c>
      <c r="HR742" s="27" t="s">
        <v>7</v>
      </c>
      <c r="HS742" s="27" t="s">
        <v>8</v>
      </c>
      <c r="HZ742" s="27" t="s">
        <v>7</v>
      </c>
      <c r="IA742" s="27" t="s">
        <v>8</v>
      </c>
      <c r="IH742" s="27" t="s">
        <v>7</v>
      </c>
      <c r="II742" s="27" t="s">
        <v>8</v>
      </c>
      <c r="IJ742" s="27" t="s">
        <v>7</v>
      </c>
      <c r="IM742" s="27" t="s">
        <v>8</v>
      </c>
      <c r="IN742" s="27" t="s">
        <v>7</v>
      </c>
      <c r="IO742" s="27" t="s">
        <v>8</v>
      </c>
      <c r="IV742" s="27" t="s">
        <v>7</v>
      </c>
      <c r="IW742" s="27" t="s">
        <v>8</v>
      </c>
      <c r="IX742" s="27" t="s">
        <v>7</v>
      </c>
      <c r="LG742" s="27" t="s">
        <v>8</v>
      </c>
      <c r="LH742" s="27" t="s">
        <v>7</v>
      </c>
      <c r="NA742" s="27" t="s">
        <v>8</v>
      </c>
      <c r="NB742" s="27" t="s">
        <v>7</v>
      </c>
      <c r="NC742" s="27" t="s">
        <v>8</v>
      </c>
      <c r="ND742" s="27" t="s">
        <v>7</v>
      </c>
      <c r="NG742" s="27" t="s">
        <v>8</v>
      </c>
      <c r="NH742" s="27" t="s">
        <v>7</v>
      </c>
      <c r="NQ742" s="27" t="s">
        <v>8</v>
      </c>
      <c r="NR742" s="27" t="s">
        <v>7</v>
      </c>
    </row>
    <row r="743" spans="1:388" x14ac:dyDescent="0.25">
      <c r="A743" s="7">
        <v>4.5537921608318974E-2</v>
      </c>
      <c r="B743"/>
      <c r="C743"/>
      <c r="D743"/>
      <c r="E743"/>
      <c r="F743" s="27" t="s">
        <v>7</v>
      </c>
      <c r="HQ743" s="27" t="s">
        <v>8</v>
      </c>
      <c r="HR743" s="27" t="s">
        <v>7</v>
      </c>
      <c r="HS743" s="27" t="s">
        <v>8</v>
      </c>
      <c r="HZ743" s="27" t="s">
        <v>7</v>
      </c>
      <c r="IA743" s="27" t="s">
        <v>8</v>
      </c>
      <c r="IH743" s="27" t="s">
        <v>7</v>
      </c>
      <c r="II743" s="27" t="s">
        <v>8</v>
      </c>
      <c r="IJ743" s="27" t="s">
        <v>7</v>
      </c>
      <c r="IM743" s="27" t="s">
        <v>8</v>
      </c>
      <c r="IN743" s="27" t="s">
        <v>7</v>
      </c>
      <c r="IO743" s="27" t="s">
        <v>8</v>
      </c>
      <c r="IV743" s="27" t="s">
        <v>7</v>
      </c>
      <c r="IX743" s="27" t="s">
        <v>7</v>
      </c>
      <c r="LG743" s="27" t="s">
        <v>8</v>
      </c>
      <c r="LH743" s="27" t="s">
        <v>7</v>
      </c>
      <c r="NA743" s="27" t="s">
        <v>8</v>
      </c>
      <c r="NB743" s="27" t="s">
        <v>7</v>
      </c>
      <c r="NC743" s="27" t="s">
        <v>8</v>
      </c>
      <c r="ND743" s="27" t="s">
        <v>7</v>
      </c>
      <c r="NG743" s="27" t="s">
        <v>8</v>
      </c>
      <c r="NH743" s="27" t="s">
        <v>7</v>
      </c>
      <c r="NQ743" s="27" t="s">
        <v>8</v>
      </c>
      <c r="NR743" s="27" t="s">
        <v>7</v>
      </c>
    </row>
    <row r="744" spans="1:388" x14ac:dyDescent="0.25">
      <c r="A744" s="7">
        <v>4.4645021184626446E-2</v>
      </c>
      <c r="B744"/>
      <c r="C744"/>
      <c r="D744"/>
      <c r="E744"/>
      <c r="F744" s="27" t="s">
        <v>7</v>
      </c>
      <c r="HQ744" s="27" t="s">
        <v>8</v>
      </c>
      <c r="HR744" s="27" t="s">
        <v>7</v>
      </c>
      <c r="HS744" s="27" t="s">
        <v>8</v>
      </c>
      <c r="HZ744" s="27" t="s">
        <v>7</v>
      </c>
      <c r="IH744" s="27" t="s">
        <v>7</v>
      </c>
      <c r="II744" s="27" t="s">
        <v>8</v>
      </c>
      <c r="IJ744" s="27" t="s">
        <v>7</v>
      </c>
      <c r="IM744" s="27" t="s">
        <v>8</v>
      </c>
      <c r="IN744" s="27" t="s">
        <v>7</v>
      </c>
      <c r="IO744" s="27" t="s">
        <v>8</v>
      </c>
      <c r="IX744" s="27" t="s">
        <v>7</v>
      </c>
      <c r="LG744" s="27" t="s">
        <v>8</v>
      </c>
      <c r="LH744" s="27" t="s">
        <v>7</v>
      </c>
      <c r="MG744" s="27" t="s">
        <v>8</v>
      </c>
      <c r="NA744" s="27" t="s">
        <v>8</v>
      </c>
      <c r="NB744" s="27" t="s">
        <v>7</v>
      </c>
      <c r="NC744" s="27" t="s">
        <v>8</v>
      </c>
      <c r="ND744" s="27" t="s">
        <v>7</v>
      </c>
      <c r="NG744" s="27" t="s">
        <v>8</v>
      </c>
      <c r="NH744" s="27" t="s">
        <v>7</v>
      </c>
      <c r="NQ744" s="27" t="s">
        <v>8</v>
      </c>
      <c r="NR744" s="27" t="s">
        <v>7</v>
      </c>
    </row>
    <row r="745" spans="1:388" x14ac:dyDescent="0.25">
      <c r="A745" s="7">
        <v>4.3769628612378868E-2</v>
      </c>
      <c r="B745"/>
      <c r="C745"/>
      <c r="D745"/>
      <c r="E745"/>
      <c r="F745" s="27" t="s">
        <v>7</v>
      </c>
      <c r="HQ745" s="27" t="s">
        <v>8</v>
      </c>
      <c r="HR745" s="27" t="s">
        <v>7</v>
      </c>
      <c r="HS745" s="27" t="s">
        <v>8</v>
      </c>
      <c r="IH745" s="27" t="s">
        <v>7</v>
      </c>
      <c r="II745" s="27" t="s">
        <v>8</v>
      </c>
      <c r="IJ745" s="27" t="s">
        <v>7</v>
      </c>
      <c r="IM745" s="27" t="s">
        <v>8</v>
      </c>
      <c r="IN745" s="27" t="s">
        <v>7</v>
      </c>
      <c r="IO745" s="27" t="s">
        <v>8</v>
      </c>
      <c r="IX745" s="27" t="s">
        <v>7</v>
      </c>
      <c r="LG745" s="27" t="s">
        <v>8</v>
      </c>
      <c r="LH745" s="27" t="s">
        <v>7</v>
      </c>
      <c r="MG745" s="27" t="s">
        <v>8</v>
      </c>
      <c r="MH745" s="27" t="s">
        <v>7</v>
      </c>
      <c r="NA745" s="27" t="s">
        <v>8</v>
      </c>
      <c r="NB745" s="27" t="s">
        <v>7</v>
      </c>
      <c r="NC745" s="27" t="s">
        <v>8</v>
      </c>
      <c r="ND745" s="27" t="s">
        <v>7</v>
      </c>
      <c r="NG745" s="27" t="s">
        <v>8</v>
      </c>
      <c r="NH745" s="27" t="s">
        <v>7</v>
      </c>
      <c r="NQ745" s="27" t="s">
        <v>8</v>
      </c>
      <c r="NR745" s="27" t="s">
        <v>7</v>
      </c>
    </row>
    <row r="746" spans="1:388" x14ac:dyDescent="0.25">
      <c r="A746" s="7">
        <v>4.2911400600371442E-2</v>
      </c>
      <c r="B746"/>
      <c r="C746"/>
      <c r="D746"/>
      <c r="E746"/>
      <c r="F746" s="27" t="s">
        <v>7</v>
      </c>
      <c r="HQ746" s="27" t="s">
        <v>8</v>
      </c>
      <c r="HR746" s="27" t="s">
        <v>7</v>
      </c>
      <c r="HS746" s="27" t="s">
        <v>8</v>
      </c>
      <c r="IH746" s="27" t="s">
        <v>7</v>
      </c>
      <c r="II746" s="27" t="s">
        <v>8</v>
      </c>
      <c r="IJ746" s="27" t="s">
        <v>7</v>
      </c>
      <c r="IM746" s="27" t="s">
        <v>8</v>
      </c>
      <c r="IN746" s="27" t="s">
        <v>7</v>
      </c>
      <c r="IX746" s="27" t="s">
        <v>7</v>
      </c>
      <c r="JO746" s="27" t="s">
        <v>8</v>
      </c>
      <c r="LG746" s="27" t="s">
        <v>8</v>
      </c>
      <c r="LH746" s="27" t="s">
        <v>7</v>
      </c>
      <c r="MG746" s="27" t="s">
        <v>8</v>
      </c>
      <c r="MH746" s="27" t="s">
        <v>7</v>
      </c>
      <c r="NA746" s="27" t="s">
        <v>8</v>
      </c>
      <c r="NB746" s="27" t="s">
        <v>7</v>
      </c>
      <c r="NC746" s="27" t="s">
        <v>8</v>
      </c>
      <c r="ND746" s="27" t="s">
        <v>7</v>
      </c>
      <c r="NG746" s="27" t="s">
        <v>8</v>
      </c>
      <c r="NH746" s="27" t="s">
        <v>7</v>
      </c>
      <c r="NM746" s="27" t="s">
        <v>8</v>
      </c>
      <c r="NQ746" s="27" t="s">
        <v>8</v>
      </c>
      <c r="NR746" s="27" t="s">
        <v>7</v>
      </c>
    </row>
    <row r="747" spans="1:388" x14ac:dyDescent="0.25">
      <c r="A747" s="7">
        <v>4.2070000588599457E-2</v>
      </c>
      <c r="B747"/>
      <c r="C747"/>
      <c r="D747"/>
      <c r="E747"/>
      <c r="F747" s="27" t="s">
        <v>7</v>
      </c>
      <c r="HQ747" s="27" t="s">
        <v>8</v>
      </c>
      <c r="HR747" s="27" t="s">
        <v>7</v>
      </c>
      <c r="HS747" s="27" t="s">
        <v>8</v>
      </c>
      <c r="IH747" s="27" t="s">
        <v>7</v>
      </c>
      <c r="II747" s="27" t="s">
        <v>8</v>
      </c>
      <c r="IJ747" s="27" t="s">
        <v>7</v>
      </c>
      <c r="IM747" s="27" t="s">
        <v>8</v>
      </c>
      <c r="IX747" s="27" t="s">
        <v>7</v>
      </c>
      <c r="JO747" s="27" t="s">
        <v>8</v>
      </c>
      <c r="JP747" s="27" t="s">
        <v>7</v>
      </c>
      <c r="LG747" s="27" t="s">
        <v>8</v>
      </c>
      <c r="LH747" s="27" t="s">
        <v>7</v>
      </c>
      <c r="MG747" s="27" t="s">
        <v>8</v>
      </c>
      <c r="MH747" s="27" t="s">
        <v>7</v>
      </c>
      <c r="NA747" s="27" t="s">
        <v>8</v>
      </c>
      <c r="NB747" s="27" t="s">
        <v>7</v>
      </c>
      <c r="NC747" s="27" t="s">
        <v>8</v>
      </c>
      <c r="ND747" s="27" t="s">
        <v>7</v>
      </c>
      <c r="NG747" s="27" t="s">
        <v>8</v>
      </c>
      <c r="NH747" s="27" t="s">
        <v>7</v>
      </c>
      <c r="NM747" s="27" t="s">
        <v>8</v>
      </c>
      <c r="NN747" s="27" t="s">
        <v>7</v>
      </c>
      <c r="NQ747" s="27" t="s">
        <v>8</v>
      </c>
      <c r="NR747" s="27" t="s">
        <v>7</v>
      </c>
    </row>
    <row r="748" spans="1:388" x14ac:dyDescent="0.25">
      <c r="A748" s="7">
        <v>4.1245098616273977E-2</v>
      </c>
      <c r="B748"/>
      <c r="C748"/>
      <c r="D748"/>
      <c r="E748"/>
      <c r="F748" s="27" t="s">
        <v>7</v>
      </c>
      <c r="HQ748" s="27" t="s">
        <v>8</v>
      </c>
      <c r="HR748" s="27" t="s">
        <v>7</v>
      </c>
      <c r="IH748" s="27" t="s">
        <v>7</v>
      </c>
      <c r="IJ748" s="27" t="s">
        <v>7</v>
      </c>
      <c r="IM748" s="27" t="s">
        <v>8</v>
      </c>
      <c r="IX748" s="27" t="s">
        <v>7</v>
      </c>
      <c r="JO748" s="27" t="s">
        <v>8</v>
      </c>
      <c r="JP748" s="27" t="s">
        <v>7</v>
      </c>
      <c r="LG748" s="27" t="s">
        <v>8</v>
      </c>
      <c r="LH748" s="27" t="s">
        <v>7</v>
      </c>
      <c r="MG748" s="27" t="s">
        <v>8</v>
      </c>
      <c r="MH748" s="27" t="s">
        <v>7</v>
      </c>
      <c r="NA748" s="27" t="s">
        <v>8</v>
      </c>
      <c r="NB748" s="27" t="s">
        <v>7</v>
      </c>
      <c r="NC748" s="27" t="s">
        <v>8</v>
      </c>
      <c r="ND748" s="27" t="s">
        <v>7</v>
      </c>
      <c r="NG748" s="27" t="s">
        <v>8</v>
      </c>
      <c r="NH748" s="27" t="s">
        <v>7</v>
      </c>
      <c r="NI748" s="27" t="s">
        <v>8</v>
      </c>
      <c r="NM748" s="27" t="s">
        <v>8</v>
      </c>
      <c r="NN748" s="27" t="s">
        <v>7</v>
      </c>
      <c r="NQ748" s="27" t="s">
        <v>8</v>
      </c>
      <c r="NR748" s="27" t="s">
        <v>7</v>
      </c>
    </row>
    <row r="749" spans="1:388" x14ac:dyDescent="0.25">
      <c r="A749" s="7">
        <v>4.043637119242547E-2</v>
      </c>
      <c r="B749"/>
      <c r="C749"/>
      <c r="D749"/>
      <c r="E749"/>
      <c r="F749" s="27" t="s">
        <v>7</v>
      </c>
      <c r="DG749" s="27" t="s">
        <v>8</v>
      </c>
      <c r="HQ749" s="27" t="s">
        <v>8</v>
      </c>
      <c r="IJ749" s="27" t="s">
        <v>7</v>
      </c>
      <c r="IM749" s="27" t="s">
        <v>8</v>
      </c>
      <c r="IX749" s="27" t="s">
        <v>7</v>
      </c>
      <c r="JO749" s="27" t="s">
        <v>8</v>
      </c>
      <c r="JP749" s="27" t="s">
        <v>7</v>
      </c>
      <c r="LG749" s="27" t="s">
        <v>8</v>
      </c>
      <c r="LH749" s="27" t="s">
        <v>7</v>
      </c>
      <c r="LI749" s="27" t="s">
        <v>8</v>
      </c>
      <c r="MG749" s="27" t="s">
        <v>8</v>
      </c>
      <c r="MH749" s="27" t="s">
        <v>7</v>
      </c>
      <c r="NA749" s="27" t="s">
        <v>8</v>
      </c>
      <c r="NB749" s="27" t="s">
        <v>7</v>
      </c>
      <c r="NC749" s="27" t="s">
        <v>8</v>
      </c>
      <c r="ND749" s="27" t="s">
        <v>7</v>
      </c>
      <c r="NG749" s="27" t="s">
        <v>8</v>
      </c>
      <c r="NH749" s="27" t="s">
        <v>7</v>
      </c>
      <c r="NI749" s="27" t="s">
        <v>8</v>
      </c>
      <c r="NJ749" s="27" t="s">
        <v>7</v>
      </c>
      <c r="NM749" s="27" t="s">
        <v>8</v>
      </c>
      <c r="NN749" s="27" t="s">
        <v>7</v>
      </c>
      <c r="NQ749" s="27" t="s">
        <v>8</v>
      </c>
      <c r="NR749" s="27" t="s">
        <v>7</v>
      </c>
      <c r="NW749" s="27" t="s">
        <v>8</v>
      </c>
    </row>
    <row r="750" spans="1:388" x14ac:dyDescent="0.25">
      <c r="A750" s="7">
        <v>3.9643501169044582E-2</v>
      </c>
      <c r="B750"/>
      <c r="C750"/>
      <c r="D750"/>
      <c r="E750"/>
      <c r="F750" s="27" t="s">
        <v>7</v>
      </c>
      <c r="DG750" s="27" t="s">
        <v>8</v>
      </c>
      <c r="DH750" s="27" t="s">
        <v>7</v>
      </c>
      <c r="HM750" s="27" t="s">
        <v>8</v>
      </c>
      <c r="HQ750" s="27" t="s">
        <v>8</v>
      </c>
      <c r="IJ750" s="27" t="s">
        <v>7</v>
      </c>
      <c r="IM750" s="27" t="s">
        <v>8</v>
      </c>
      <c r="IX750" s="27" t="s">
        <v>7</v>
      </c>
      <c r="JO750" s="27" t="s">
        <v>8</v>
      </c>
      <c r="JP750" s="27" t="s">
        <v>7</v>
      </c>
      <c r="LG750" s="27" t="s">
        <v>8</v>
      </c>
      <c r="LH750" s="27" t="s">
        <v>7</v>
      </c>
      <c r="LI750" s="27" t="s">
        <v>8</v>
      </c>
      <c r="LJ750" s="27" t="s">
        <v>7</v>
      </c>
      <c r="MG750" s="27" t="s">
        <v>8</v>
      </c>
      <c r="MH750" s="27" t="s">
        <v>7</v>
      </c>
      <c r="MW750" s="27" t="s">
        <v>8</v>
      </c>
      <c r="NA750" s="27" t="s">
        <v>8</v>
      </c>
      <c r="NB750" s="27" t="s">
        <v>7</v>
      </c>
      <c r="NC750" s="27" t="s">
        <v>8</v>
      </c>
      <c r="ND750" s="27" t="s">
        <v>7</v>
      </c>
      <c r="NG750" s="27" t="s">
        <v>8</v>
      </c>
      <c r="NH750" s="27" t="s">
        <v>7</v>
      </c>
      <c r="NI750" s="27" t="s">
        <v>8</v>
      </c>
      <c r="NJ750" s="27" t="s">
        <v>7</v>
      </c>
      <c r="NM750" s="27" t="s">
        <v>8</v>
      </c>
      <c r="NN750" s="27" t="s">
        <v>7</v>
      </c>
      <c r="NQ750" s="27" t="s">
        <v>8</v>
      </c>
      <c r="NR750" s="27" t="s">
        <v>7</v>
      </c>
      <c r="NW750" s="27" t="s">
        <v>8</v>
      </c>
      <c r="NX750" s="27" t="s">
        <v>7</v>
      </c>
    </row>
    <row r="751" spans="1:388" x14ac:dyDescent="0.25">
      <c r="A751" s="7">
        <v>3.8866177616710372E-2</v>
      </c>
      <c r="B751"/>
      <c r="C751"/>
      <c r="D751"/>
      <c r="E751"/>
      <c r="F751" s="27" t="s">
        <v>7</v>
      </c>
      <c r="DG751" s="27" t="s">
        <v>8</v>
      </c>
      <c r="DH751" s="27" t="s">
        <v>7</v>
      </c>
      <c r="HM751" s="27" t="s">
        <v>8</v>
      </c>
      <c r="HN751" s="27" t="s">
        <v>7</v>
      </c>
      <c r="HQ751" s="27" t="s">
        <v>8</v>
      </c>
      <c r="IJ751" s="27" t="s">
        <v>7</v>
      </c>
      <c r="IM751" s="27" t="s">
        <v>8</v>
      </c>
      <c r="IX751" s="27" t="s">
        <v>7</v>
      </c>
      <c r="IY751" s="27" t="s">
        <v>8</v>
      </c>
      <c r="JO751" s="27" t="s">
        <v>8</v>
      </c>
      <c r="JP751" s="27" t="s">
        <v>7</v>
      </c>
      <c r="LG751" s="27" t="s">
        <v>8</v>
      </c>
      <c r="LH751" s="27" t="s">
        <v>7</v>
      </c>
      <c r="LI751" s="27" t="s">
        <v>8</v>
      </c>
      <c r="LJ751" s="27" t="s">
        <v>7</v>
      </c>
      <c r="LK751" s="27" t="s">
        <v>8</v>
      </c>
      <c r="MG751" s="27" t="s">
        <v>8</v>
      </c>
      <c r="MH751" s="27" t="s">
        <v>7</v>
      </c>
      <c r="MW751" s="27" t="s">
        <v>8</v>
      </c>
      <c r="MX751" s="27" t="s">
        <v>7</v>
      </c>
      <c r="NA751" s="27" t="s">
        <v>8</v>
      </c>
      <c r="NB751" s="27" t="s">
        <v>7</v>
      </c>
      <c r="NC751" s="27" t="s">
        <v>8</v>
      </c>
      <c r="ND751" s="27" t="s">
        <v>7</v>
      </c>
      <c r="NG751" s="27" t="s">
        <v>8</v>
      </c>
      <c r="NH751" s="27" t="s">
        <v>7</v>
      </c>
      <c r="NI751" s="27" t="s">
        <v>8</v>
      </c>
      <c r="NJ751" s="27" t="s">
        <v>7</v>
      </c>
      <c r="NM751" s="27" t="s">
        <v>8</v>
      </c>
      <c r="NN751" s="27" t="s">
        <v>7</v>
      </c>
      <c r="NQ751" s="27" t="s">
        <v>8</v>
      </c>
      <c r="NR751" s="27" t="s">
        <v>7</v>
      </c>
      <c r="NW751" s="27" t="s">
        <v>8</v>
      </c>
      <c r="NX751" s="27" t="s">
        <v>7</v>
      </c>
    </row>
    <row r="752" spans="1:388" x14ac:dyDescent="0.25">
      <c r="A752" s="7">
        <v>3.8104095702657229E-2</v>
      </c>
      <c r="B752"/>
      <c r="C752"/>
      <c r="D752"/>
      <c r="E752"/>
      <c r="F752" s="27" t="s">
        <v>7</v>
      </c>
      <c r="DG752" s="27" t="s">
        <v>8</v>
      </c>
      <c r="DH752" s="27" t="s">
        <v>7</v>
      </c>
      <c r="HM752" s="27" t="s">
        <v>8</v>
      </c>
      <c r="HN752" s="27" t="s">
        <v>7</v>
      </c>
      <c r="HQ752" s="27" t="s">
        <v>8</v>
      </c>
      <c r="IJ752" s="27" t="s">
        <v>7</v>
      </c>
      <c r="IM752" s="27" t="s">
        <v>8</v>
      </c>
      <c r="IX752" s="27" t="s">
        <v>7</v>
      </c>
      <c r="IY752" s="27" t="s">
        <v>8</v>
      </c>
      <c r="IZ752" s="27" t="s">
        <v>7</v>
      </c>
      <c r="JM752" s="27" t="s">
        <v>8</v>
      </c>
      <c r="JO752" s="27" t="s">
        <v>8</v>
      </c>
      <c r="JP752" s="27" t="s">
        <v>7</v>
      </c>
      <c r="LG752" s="27" t="s">
        <v>8</v>
      </c>
      <c r="LH752" s="27" t="s">
        <v>7</v>
      </c>
      <c r="LI752" s="27" t="s">
        <v>8</v>
      </c>
      <c r="LJ752" s="27" t="s">
        <v>7</v>
      </c>
      <c r="LK752" s="27" t="s">
        <v>8</v>
      </c>
      <c r="LL752" s="27" t="s">
        <v>7</v>
      </c>
      <c r="MG752" s="27" t="s">
        <v>8</v>
      </c>
      <c r="MH752" s="27" t="s">
        <v>7</v>
      </c>
      <c r="MW752" s="27" t="s">
        <v>8</v>
      </c>
      <c r="MX752" s="27" t="s">
        <v>7</v>
      </c>
      <c r="NA752" s="27" t="s">
        <v>8</v>
      </c>
      <c r="NB752" s="27" t="s">
        <v>7</v>
      </c>
      <c r="NC752" s="27" t="s">
        <v>8</v>
      </c>
      <c r="ND752" s="27" t="s">
        <v>7</v>
      </c>
      <c r="NG752" s="27" t="s">
        <v>8</v>
      </c>
      <c r="NH752" s="27" t="s">
        <v>7</v>
      </c>
      <c r="NI752" s="27" t="s">
        <v>8</v>
      </c>
      <c r="NJ752" s="27" t="s">
        <v>7</v>
      </c>
      <c r="NK752" s="27" t="s">
        <v>8</v>
      </c>
      <c r="NM752" s="27" t="s">
        <v>8</v>
      </c>
      <c r="NN752" s="27" t="s">
        <v>7</v>
      </c>
      <c r="NQ752" s="27" t="s">
        <v>8</v>
      </c>
      <c r="NR752" s="27" t="s">
        <v>7</v>
      </c>
      <c r="NU752" s="27" t="s">
        <v>8</v>
      </c>
      <c r="NW752" s="27" t="s">
        <v>8</v>
      </c>
      <c r="NX752" s="27" t="s">
        <v>7</v>
      </c>
    </row>
    <row r="753" spans="1:398" x14ac:dyDescent="0.25">
      <c r="A753" s="7">
        <v>3.7356956571232579E-2</v>
      </c>
      <c r="B753"/>
      <c r="C753"/>
      <c r="D753"/>
      <c r="E753"/>
      <c r="F753" s="27" t="s">
        <v>7</v>
      </c>
      <c r="DG753" s="27" t="s">
        <v>8</v>
      </c>
      <c r="DH753" s="27" t="s">
        <v>7</v>
      </c>
      <c r="HM753" s="27" t="s">
        <v>8</v>
      </c>
      <c r="HN753" s="27" t="s">
        <v>7</v>
      </c>
      <c r="HO753" s="27" t="s">
        <v>8</v>
      </c>
      <c r="HQ753" s="27" t="s">
        <v>8</v>
      </c>
      <c r="IJ753" s="27" t="s">
        <v>7</v>
      </c>
      <c r="IK753" s="27" t="s">
        <v>8</v>
      </c>
      <c r="IM753" s="27" t="s">
        <v>8</v>
      </c>
      <c r="IX753" s="27" t="s">
        <v>7</v>
      </c>
      <c r="IY753" s="27" t="s">
        <v>8</v>
      </c>
      <c r="IZ753" s="27" t="s">
        <v>7</v>
      </c>
      <c r="JM753" s="27" t="s">
        <v>8</v>
      </c>
      <c r="JN753" s="27" t="s">
        <v>7</v>
      </c>
      <c r="JO753" s="27" t="s">
        <v>8</v>
      </c>
      <c r="JP753" s="27" t="s">
        <v>7</v>
      </c>
      <c r="LG753" s="27" t="s">
        <v>8</v>
      </c>
      <c r="LH753" s="27" t="s">
        <v>7</v>
      </c>
      <c r="LI753" s="27" t="s">
        <v>8</v>
      </c>
      <c r="LJ753" s="27" t="s">
        <v>7</v>
      </c>
      <c r="LK753" s="27" t="s">
        <v>8</v>
      </c>
      <c r="LL753" s="27" t="s">
        <v>7</v>
      </c>
      <c r="LM753" s="27" t="s">
        <v>8</v>
      </c>
      <c r="MG753" s="27" t="s">
        <v>8</v>
      </c>
      <c r="MH753" s="27" t="s">
        <v>7</v>
      </c>
      <c r="MI753" s="27" t="s">
        <v>8</v>
      </c>
      <c r="MK753" s="27" t="s">
        <v>8</v>
      </c>
      <c r="MS753" s="27" t="s">
        <v>8</v>
      </c>
      <c r="MU753" s="27" t="s">
        <v>8</v>
      </c>
      <c r="MW753" s="27" t="s">
        <v>8</v>
      </c>
      <c r="MX753" s="27" t="s">
        <v>7</v>
      </c>
      <c r="NA753" s="27" t="s">
        <v>8</v>
      </c>
      <c r="NB753" s="27" t="s">
        <v>7</v>
      </c>
      <c r="NC753" s="27" t="s">
        <v>8</v>
      </c>
      <c r="ND753" s="27" t="s">
        <v>7</v>
      </c>
      <c r="NG753" s="27" t="s">
        <v>8</v>
      </c>
      <c r="NH753" s="27" t="s">
        <v>7</v>
      </c>
      <c r="NI753" s="27" t="s">
        <v>8</v>
      </c>
      <c r="NJ753" s="27" t="s">
        <v>7</v>
      </c>
      <c r="NK753" s="27" t="s">
        <v>8</v>
      </c>
      <c r="NL753" s="27" t="s">
        <v>7</v>
      </c>
      <c r="NM753" s="27" t="s">
        <v>8</v>
      </c>
      <c r="NN753" s="27" t="s">
        <v>7</v>
      </c>
      <c r="NQ753" s="27" t="s">
        <v>8</v>
      </c>
      <c r="NR753" s="27" t="s">
        <v>7</v>
      </c>
      <c r="NU753" s="27" t="s">
        <v>8</v>
      </c>
      <c r="NV753" s="27" t="s">
        <v>7</v>
      </c>
      <c r="NW753" s="27" t="s">
        <v>8</v>
      </c>
      <c r="NX753" s="27" t="s">
        <v>7</v>
      </c>
      <c r="NY753" s="27" t="s">
        <v>8</v>
      </c>
      <c r="OA753" s="27" t="s">
        <v>8</v>
      </c>
    </row>
    <row r="754" spans="1:398" x14ac:dyDescent="0.25">
      <c r="A754" s="7">
        <v>3.6624467226698605E-2</v>
      </c>
      <c r="B754"/>
      <c r="C754"/>
      <c r="D754"/>
      <c r="E754"/>
      <c r="F754" s="27" t="s">
        <v>7</v>
      </c>
      <c r="DG754" s="27" t="s">
        <v>8</v>
      </c>
      <c r="DH754" s="27" t="s">
        <v>7</v>
      </c>
      <c r="HM754" s="27" t="s">
        <v>8</v>
      </c>
      <c r="HN754" s="27" t="s">
        <v>7</v>
      </c>
      <c r="HO754" s="27" t="s">
        <v>8</v>
      </c>
      <c r="HP754" s="27" t="s">
        <v>7</v>
      </c>
      <c r="HQ754" s="27" t="s">
        <v>8</v>
      </c>
      <c r="IJ754" s="27" t="s">
        <v>7</v>
      </c>
      <c r="IK754" s="27" t="s">
        <v>8</v>
      </c>
      <c r="IL754" s="27" t="s">
        <v>7</v>
      </c>
      <c r="IM754" s="27" t="s">
        <v>8</v>
      </c>
      <c r="IX754" s="27" t="s">
        <v>7</v>
      </c>
      <c r="IY754" s="27" t="s">
        <v>8</v>
      </c>
      <c r="IZ754" s="27" t="s">
        <v>7</v>
      </c>
      <c r="JE754" s="27" t="s">
        <v>8</v>
      </c>
      <c r="JM754" s="27" t="s">
        <v>8</v>
      </c>
      <c r="JN754" s="27" t="s">
        <v>7</v>
      </c>
      <c r="JO754" s="27" t="s">
        <v>8</v>
      </c>
      <c r="JP754" s="27" t="s">
        <v>7</v>
      </c>
      <c r="LG754" s="27" t="s">
        <v>8</v>
      </c>
      <c r="LH754" s="27" t="s">
        <v>7</v>
      </c>
      <c r="LI754" s="27" t="s">
        <v>8</v>
      </c>
      <c r="LJ754" s="27" t="s">
        <v>7</v>
      </c>
      <c r="LK754" s="27" t="s">
        <v>8</v>
      </c>
      <c r="LL754" s="27" t="s">
        <v>7</v>
      </c>
      <c r="LM754" s="27" t="s">
        <v>8</v>
      </c>
      <c r="LN754" s="27" t="s">
        <v>7</v>
      </c>
      <c r="MG754" s="27" t="s">
        <v>8</v>
      </c>
      <c r="MH754" s="27" t="s">
        <v>7</v>
      </c>
      <c r="MI754" s="27" t="s">
        <v>8</v>
      </c>
      <c r="MJ754" s="27" t="s">
        <v>7</v>
      </c>
      <c r="MK754" s="27" t="s">
        <v>8</v>
      </c>
      <c r="ML754" s="27" t="s">
        <v>7</v>
      </c>
      <c r="MM754" s="27" t="s">
        <v>8</v>
      </c>
      <c r="MS754" s="27" t="s">
        <v>8</v>
      </c>
      <c r="MT754" s="27" t="s">
        <v>7</v>
      </c>
      <c r="MU754" s="27" t="s">
        <v>8</v>
      </c>
      <c r="MV754" s="27" t="s">
        <v>7</v>
      </c>
      <c r="MW754" s="27" t="s">
        <v>8</v>
      </c>
      <c r="MX754" s="27" t="s">
        <v>7</v>
      </c>
      <c r="NA754" s="27" t="s">
        <v>8</v>
      </c>
      <c r="NB754" s="27" t="s">
        <v>7</v>
      </c>
      <c r="NC754" s="27" t="s">
        <v>8</v>
      </c>
      <c r="ND754" s="27" t="s">
        <v>7</v>
      </c>
      <c r="NE754" s="27" t="s">
        <v>8</v>
      </c>
      <c r="NG754" s="27" t="s">
        <v>8</v>
      </c>
      <c r="NH754" s="27" t="s">
        <v>7</v>
      </c>
      <c r="NI754" s="27" t="s">
        <v>8</v>
      </c>
      <c r="NJ754" s="27" t="s">
        <v>7</v>
      </c>
      <c r="NK754" s="27" t="s">
        <v>8</v>
      </c>
      <c r="NL754" s="27" t="s">
        <v>7</v>
      </c>
      <c r="NM754" s="27" t="s">
        <v>8</v>
      </c>
      <c r="NN754" s="27" t="s">
        <v>7</v>
      </c>
      <c r="NO754" s="27" t="s">
        <v>8</v>
      </c>
      <c r="NQ754" s="27" t="s">
        <v>8</v>
      </c>
      <c r="NR754" s="27" t="s">
        <v>7</v>
      </c>
      <c r="NU754" s="27" t="s">
        <v>8</v>
      </c>
      <c r="NV754" s="27" t="s">
        <v>7</v>
      </c>
      <c r="NW754" s="27" t="s">
        <v>8</v>
      </c>
      <c r="NX754" s="27" t="s">
        <v>7</v>
      </c>
      <c r="NY754" s="27" t="s">
        <v>8</v>
      </c>
      <c r="NZ754" s="27" t="s">
        <v>7</v>
      </c>
      <c r="OA754" s="27" t="s">
        <v>8</v>
      </c>
      <c r="OB754" s="27" t="s">
        <v>7</v>
      </c>
    </row>
    <row r="755" spans="1:398" x14ac:dyDescent="0.25">
      <c r="A755" s="7">
        <v>3.5906340418331961E-2</v>
      </c>
      <c r="B755"/>
      <c r="C755"/>
      <c r="D755"/>
      <c r="E755"/>
      <c r="F755" s="27" t="s">
        <v>7</v>
      </c>
      <c r="DG755" s="27" t="s">
        <v>8</v>
      </c>
      <c r="DH755" s="27" t="s">
        <v>7</v>
      </c>
      <c r="HI755" s="27" t="s">
        <v>8</v>
      </c>
      <c r="HK755" s="27" t="s">
        <v>8</v>
      </c>
      <c r="HM755" s="27" t="s">
        <v>8</v>
      </c>
      <c r="HN755" s="27" t="s">
        <v>7</v>
      </c>
      <c r="HO755" s="27" t="s">
        <v>8</v>
      </c>
      <c r="HP755" s="27" t="s">
        <v>7</v>
      </c>
      <c r="HQ755" s="27" t="s">
        <v>8</v>
      </c>
      <c r="IJ755" s="27" t="s">
        <v>7</v>
      </c>
      <c r="IK755" s="27" t="s">
        <v>8</v>
      </c>
      <c r="IL755" s="27" t="s">
        <v>7</v>
      </c>
      <c r="IM755" s="27" t="s">
        <v>8</v>
      </c>
      <c r="IX755" s="27" t="s">
        <v>7</v>
      </c>
      <c r="IY755" s="27" t="s">
        <v>8</v>
      </c>
      <c r="IZ755" s="27" t="s">
        <v>7</v>
      </c>
      <c r="JC755" s="27" t="s">
        <v>8</v>
      </c>
      <c r="JE755" s="27" t="s">
        <v>8</v>
      </c>
      <c r="JF755" s="27" t="s">
        <v>7</v>
      </c>
      <c r="JM755" s="27" t="s">
        <v>8</v>
      </c>
      <c r="JN755" s="27" t="s">
        <v>7</v>
      </c>
      <c r="JO755" s="27" t="s">
        <v>8</v>
      </c>
      <c r="JP755" s="27" t="s">
        <v>7</v>
      </c>
      <c r="JS755" s="27" t="s">
        <v>8</v>
      </c>
      <c r="LG755" s="27" t="s">
        <v>8</v>
      </c>
      <c r="LH755" s="27" t="s">
        <v>7</v>
      </c>
      <c r="LI755" s="27" t="s">
        <v>8</v>
      </c>
      <c r="LJ755" s="27" t="s">
        <v>7</v>
      </c>
      <c r="LK755" s="27" t="s">
        <v>8</v>
      </c>
      <c r="LL755" s="27" t="s">
        <v>7</v>
      </c>
      <c r="LM755" s="27" t="s">
        <v>8</v>
      </c>
      <c r="LN755" s="27" t="s">
        <v>7</v>
      </c>
      <c r="LO755" s="27" t="s">
        <v>8</v>
      </c>
      <c r="ME755" s="27" t="s">
        <v>8</v>
      </c>
      <c r="MG755" s="27" t="s">
        <v>8</v>
      </c>
      <c r="MH755" s="27" t="s">
        <v>7</v>
      </c>
      <c r="MI755" s="27" t="s">
        <v>8</v>
      </c>
      <c r="MJ755" s="27" t="s">
        <v>7</v>
      </c>
      <c r="MK755" s="27" t="s">
        <v>8</v>
      </c>
      <c r="ML755" s="27" t="s">
        <v>7</v>
      </c>
      <c r="MM755" s="27" t="s">
        <v>8</v>
      </c>
      <c r="MN755" s="27" t="s">
        <v>7</v>
      </c>
      <c r="MS755" s="27" t="s">
        <v>8</v>
      </c>
      <c r="MT755" s="27" t="s">
        <v>7</v>
      </c>
      <c r="MU755" s="27" t="s">
        <v>8</v>
      </c>
      <c r="MV755" s="27" t="s">
        <v>7</v>
      </c>
      <c r="MW755" s="27" t="s">
        <v>8</v>
      </c>
      <c r="MX755" s="27" t="s">
        <v>7</v>
      </c>
      <c r="NA755" s="27" t="s">
        <v>8</v>
      </c>
      <c r="NB755" s="27" t="s">
        <v>7</v>
      </c>
      <c r="NC755" s="27" t="s">
        <v>8</v>
      </c>
      <c r="ND755" s="27" t="s">
        <v>7</v>
      </c>
      <c r="NE755" s="27" t="s">
        <v>8</v>
      </c>
      <c r="NF755" s="27" t="s">
        <v>7</v>
      </c>
      <c r="NG755" s="27" t="s">
        <v>8</v>
      </c>
      <c r="NH755" s="27" t="s">
        <v>7</v>
      </c>
      <c r="NI755" s="27" t="s">
        <v>8</v>
      </c>
      <c r="NJ755" s="27" t="s">
        <v>7</v>
      </c>
      <c r="NK755" s="27" t="s">
        <v>8</v>
      </c>
      <c r="NL755" s="27" t="s">
        <v>7</v>
      </c>
      <c r="NM755" s="27" t="s">
        <v>8</v>
      </c>
      <c r="NN755" s="27" t="s">
        <v>7</v>
      </c>
      <c r="NO755" s="27" t="s">
        <v>8</v>
      </c>
      <c r="NP755" s="27" t="s">
        <v>7</v>
      </c>
      <c r="NQ755" s="27" t="s">
        <v>8</v>
      </c>
      <c r="NR755" s="27" t="s">
        <v>7</v>
      </c>
      <c r="NU755" s="27" t="s">
        <v>8</v>
      </c>
      <c r="NV755" s="27" t="s">
        <v>7</v>
      </c>
      <c r="NW755" s="27" t="s">
        <v>8</v>
      </c>
      <c r="NX755" s="27" t="s">
        <v>7</v>
      </c>
      <c r="NY755" s="27" t="s">
        <v>8</v>
      </c>
      <c r="NZ755" s="27" t="s">
        <v>7</v>
      </c>
      <c r="OA755" s="27" t="s">
        <v>8</v>
      </c>
      <c r="OB755" s="27" t="s">
        <v>7</v>
      </c>
    </row>
    <row r="756" spans="1:398" x14ac:dyDescent="0.25">
      <c r="A756" s="7">
        <v>3.5202294527776436E-2</v>
      </c>
      <c r="B756"/>
      <c r="C756"/>
      <c r="D756"/>
      <c r="E756"/>
      <c r="F756" s="27" t="s">
        <v>7</v>
      </c>
      <c r="DG756" s="27" t="s">
        <v>8</v>
      </c>
      <c r="DH756" s="27" t="s">
        <v>7</v>
      </c>
      <c r="HG756" s="27" t="s">
        <v>8</v>
      </c>
      <c r="HI756" s="27" t="s">
        <v>8</v>
      </c>
      <c r="HJ756" s="27" t="s">
        <v>7</v>
      </c>
      <c r="HK756" s="27" t="s">
        <v>8</v>
      </c>
      <c r="HL756" s="27" t="s">
        <v>7</v>
      </c>
      <c r="HM756" s="27" t="s">
        <v>8</v>
      </c>
      <c r="HN756" s="27" t="s">
        <v>7</v>
      </c>
      <c r="HO756" s="27" t="s">
        <v>8</v>
      </c>
      <c r="HP756" s="27" t="s">
        <v>7</v>
      </c>
      <c r="HQ756" s="27" t="s">
        <v>8</v>
      </c>
      <c r="IJ756" s="27" t="s">
        <v>7</v>
      </c>
      <c r="IK756" s="27" t="s">
        <v>8</v>
      </c>
      <c r="IL756" s="27" t="s">
        <v>7</v>
      </c>
      <c r="IM756" s="27" t="s">
        <v>8</v>
      </c>
      <c r="IX756" s="27" t="s">
        <v>7</v>
      </c>
      <c r="IY756" s="27" t="s">
        <v>8</v>
      </c>
      <c r="IZ756" s="27" t="s">
        <v>7</v>
      </c>
      <c r="JC756" s="27" t="s">
        <v>8</v>
      </c>
      <c r="JD756" s="27" t="s">
        <v>7</v>
      </c>
      <c r="JE756" s="27" t="s">
        <v>8</v>
      </c>
      <c r="JF756" s="27" t="s">
        <v>7</v>
      </c>
      <c r="JM756" s="27" t="s">
        <v>8</v>
      </c>
      <c r="JN756" s="27" t="s">
        <v>7</v>
      </c>
      <c r="JO756" s="27" t="s">
        <v>8</v>
      </c>
      <c r="JP756" s="27" t="s">
        <v>7</v>
      </c>
      <c r="JS756" s="27" t="s">
        <v>8</v>
      </c>
      <c r="JT756" s="27" t="s">
        <v>7</v>
      </c>
      <c r="KW756" s="27" t="s">
        <v>8</v>
      </c>
      <c r="KY756" s="27" t="s">
        <v>8</v>
      </c>
      <c r="LG756" s="27" t="s">
        <v>8</v>
      </c>
      <c r="LH756" s="27" t="s">
        <v>7</v>
      </c>
      <c r="LI756" s="27" t="s">
        <v>8</v>
      </c>
      <c r="LJ756" s="27" t="s">
        <v>7</v>
      </c>
      <c r="LK756" s="27" t="s">
        <v>8</v>
      </c>
      <c r="LL756" s="27" t="s">
        <v>7</v>
      </c>
      <c r="LM756" s="27" t="s">
        <v>8</v>
      </c>
      <c r="LN756" s="27" t="s">
        <v>7</v>
      </c>
      <c r="LO756" s="27" t="s">
        <v>8</v>
      </c>
      <c r="LP756" s="27" t="s">
        <v>7</v>
      </c>
      <c r="ME756" s="27" t="s">
        <v>8</v>
      </c>
      <c r="MF756" s="27" t="s">
        <v>7</v>
      </c>
      <c r="MG756" s="27" t="s">
        <v>8</v>
      </c>
      <c r="MH756" s="27" t="s">
        <v>7</v>
      </c>
      <c r="MI756" s="27" t="s">
        <v>8</v>
      </c>
      <c r="MJ756" s="27" t="s">
        <v>7</v>
      </c>
      <c r="MK756" s="27" t="s">
        <v>8</v>
      </c>
      <c r="ML756" s="27" t="s">
        <v>7</v>
      </c>
      <c r="MM756" s="27" t="s">
        <v>8</v>
      </c>
      <c r="MN756" s="27" t="s">
        <v>7</v>
      </c>
      <c r="MO756" s="27" t="s">
        <v>8</v>
      </c>
      <c r="MQ756" s="27" t="s">
        <v>8</v>
      </c>
      <c r="MS756" s="27" t="s">
        <v>8</v>
      </c>
      <c r="MT756" s="27" t="s">
        <v>7</v>
      </c>
      <c r="MU756" s="27" t="s">
        <v>8</v>
      </c>
      <c r="MV756" s="27" t="s">
        <v>7</v>
      </c>
      <c r="MW756" s="27" t="s">
        <v>8</v>
      </c>
      <c r="MX756" s="27" t="s">
        <v>7</v>
      </c>
      <c r="NA756" s="27" t="s">
        <v>8</v>
      </c>
      <c r="NB756" s="27" t="s">
        <v>7</v>
      </c>
      <c r="NC756" s="27" t="s">
        <v>8</v>
      </c>
      <c r="ND756" s="27" t="s">
        <v>7</v>
      </c>
      <c r="NE756" s="27" t="s">
        <v>8</v>
      </c>
      <c r="NF756" s="27" t="s">
        <v>7</v>
      </c>
      <c r="NG756" s="27" t="s">
        <v>8</v>
      </c>
      <c r="NH756" s="27" t="s">
        <v>7</v>
      </c>
      <c r="NI756" s="27" t="s">
        <v>8</v>
      </c>
      <c r="NJ756" s="27" t="s">
        <v>7</v>
      </c>
      <c r="NK756" s="27" t="s">
        <v>8</v>
      </c>
      <c r="NL756" s="27" t="s">
        <v>7</v>
      </c>
      <c r="NM756" s="27" t="s">
        <v>8</v>
      </c>
      <c r="NN756" s="27" t="s">
        <v>7</v>
      </c>
      <c r="NO756" s="27" t="s">
        <v>8</v>
      </c>
      <c r="NP756" s="27" t="s">
        <v>7</v>
      </c>
      <c r="NQ756" s="27" t="s">
        <v>8</v>
      </c>
      <c r="NR756" s="27" t="s">
        <v>7</v>
      </c>
      <c r="NS756" s="27" t="s">
        <v>8</v>
      </c>
      <c r="NU756" s="27" t="s">
        <v>8</v>
      </c>
      <c r="NV756" s="27" t="s">
        <v>7</v>
      </c>
      <c r="NX756" s="27" t="s">
        <v>7</v>
      </c>
      <c r="NY756" s="27" t="s">
        <v>8</v>
      </c>
      <c r="NZ756" s="27" t="s">
        <v>7</v>
      </c>
      <c r="OA756" s="27" t="s">
        <v>8</v>
      </c>
      <c r="OB756" s="27" t="s">
        <v>7</v>
      </c>
    </row>
    <row r="757" spans="1:398" x14ac:dyDescent="0.25">
      <c r="A757" s="7">
        <v>3.451205345860435E-2</v>
      </c>
      <c r="B757"/>
      <c r="C757"/>
      <c r="D757"/>
      <c r="E757"/>
      <c r="F757" s="27" t="s">
        <v>7</v>
      </c>
      <c r="DG757" s="27" t="s">
        <v>8</v>
      </c>
      <c r="DH757" s="27" t="s">
        <v>7</v>
      </c>
      <c r="HG757" s="27" t="s">
        <v>8</v>
      </c>
      <c r="HH757" s="27" t="s">
        <v>7</v>
      </c>
      <c r="HI757" s="27" t="s">
        <v>8</v>
      </c>
      <c r="HJ757" s="27" t="s">
        <v>7</v>
      </c>
      <c r="HK757" s="27" t="s">
        <v>8</v>
      </c>
      <c r="HL757" s="27" t="s">
        <v>7</v>
      </c>
      <c r="HM757" s="27" t="s">
        <v>8</v>
      </c>
      <c r="HN757" s="27" t="s">
        <v>7</v>
      </c>
      <c r="HP757" s="27" t="s">
        <v>7</v>
      </c>
      <c r="IJ757" s="27" t="s">
        <v>7</v>
      </c>
      <c r="IK757" s="27" t="s">
        <v>8</v>
      </c>
      <c r="IL757" s="27" t="s">
        <v>7</v>
      </c>
      <c r="IM757" s="27" t="s">
        <v>8</v>
      </c>
      <c r="IX757" s="27" t="s">
        <v>7</v>
      </c>
      <c r="IY757" s="27" t="s">
        <v>8</v>
      </c>
      <c r="IZ757" s="27" t="s">
        <v>7</v>
      </c>
      <c r="JC757" s="27" t="s">
        <v>8</v>
      </c>
      <c r="JD757" s="27" t="s">
        <v>7</v>
      </c>
      <c r="JE757" s="27" t="s">
        <v>8</v>
      </c>
      <c r="JF757" s="27" t="s">
        <v>7</v>
      </c>
      <c r="JM757" s="27" t="s">
        <v>8</v>
      </c>
      <c r="JN757" s="27" t="s">
        <v>7</v>
      </c>
      <c r="JO757" s="27" t="s">
        <v>8</v>
      </c>
      <c r="JP757" s="27" t="s">
        <v>7</v>
      </c>
      <c r="JS757" s="27" t="s">
        <v>8</v>
      </c>
      <c r="JT757" s="27" t="s">
        <v>7</v>
      </c>
      <c r="KW757" s="27" t="s">
        <v>8</v>
      </c>
      <c r="KX757" s="27" t="s">
        <v>7</v>
      </c>
      <c r="KY757" s="27" t="s">
        <v>8</v>
      </c>
      <c r="KZ757" s="27" t="s">
        <v>7</v>
      </c>
      <c r="LA757" s="27" t="s">
        <v>8</v>
      </c>
      <c r="LG757" s="27" t="s">
        <v>8</v>
      </c>
      <c r="LH757" s="27" t="s">
        <v>7</v>
      </c>
      <c r="LI757" s="27" t="s">
        <v>8</v>
      </c>
      <c r="LJ757" s="27" t="s">
        <v>7</v>
      </c>
      <c r="LK757" s="27" t="s">
        <v>8</v>
      </c>
      <c r="LL757" s="27" t="s">
        <v>7</v>
      </c>
      <c r="LM757" s="27" t="s">
        <v>8</v>
      </c>
      <c r="LN757" s="27" t="s">
        <v>7</v>
      </c>
      <c r="LO757" s="27" t="s">
        <v>8</v>
      </c>
      <c r="LP757" s="27" t="s">
        <v>7</v>
      </c>
      <c r="MC757" s="27" t="s">
        <v>8</v>
      </c>
      <c r="ME757" s="27" t="s">
        <v>8</v>
      </c>
      <c r="MF757" s="27" t="s">
        <v>7</v>
      </c>
      <c r="MG757" s="27" t="s">
        <v>8</v>
      </c>
      <c r="MH757" s="27" t="s">
        <v>7</v>
      </c>
      <c r="MJ757" s="27" t="s">
        <v>7</v>
      </c>
      <c r="ML757" s="27" t="s">
        <v>7</v>
      </c>
      <c r="MM757" s="27" t="s">
        <v>8</v>
      </c>
      <c r="MN757" s="27" t="s">
        <v>7</v>
      </c>
      <c r="MO757" s="27" t="s">
        <v>8</v>
      </c>
      <c r="MP757" s="27" t="s">
        <v>7</v>
      </c>
      <c r="MQ757" s="27" t="s">
        <v>8</v>
      </c>
      <c r="MR757" s="27" t="s">
        <v>7</v>
      </c>
      <c r="MS757" s="27" t="s">
        <v>8</v>
      </c>
      <c r="MT757" s="27" t="s">
        <v>7</v>
      </c>
      <c r="MU757" s="27" t="s">
        <v>8</v>
      </c>
      <c r="MV757" s="27" t="s">
        <v>7</v>
      </c>
      <c r="MW757" s="27" t="s">
        <v>8</v>
      </c>
      <c r="MX757" s="27" t="s">
        <v>7</v>
      </c>
      <c r="NA757" s="27" t="s">
        <v>8</v>
      </c>
      <c r="NB757" s="27" t="s">
        <v>7</v>
      </c>
      <c r="ND757" s="27" t="s">
        <v>7</v>
      </c>
      <c r="NE757" s="27" t="s">
        <v>8</v>
      </c>
      <c r="NF757" s="27" t="s">
        <v>7</v>
      </c>
      <c r="NG757" s="27" t="s">
        <v>8</v>
      </c>
      <c r="NH757" s="27" t="s">
        <v>7</v>
      </c>
      <c r="NI757" s="27" t="s">
        <v>8</v>
      </c>
      <c r="NJ757" s="27" t="s">
        <v>7</v>
      </c>
      <c r="NK757" s="27" t="s">
        <v>8</v>
      </c>
      <c r="NL757" s="27" t="s">
        <v>7</v>
      </c>
      <c r="NN757" s="27" t="s">
        <v>7</v>
      </c>
      <c r="NO757" s="27" t="s">
        <v>8</v>
      </c>
      <c r="NP757" s="27" t="s">
        <v>7</v>
      </c>
      <c r="NQ757" s="27" t="s">
        <v>8</v>
      </c>
      <c r="NR757" s="27" t="s">
        <v>7</v>
      </c>
      <c r="NS757" s="27" t="s">
        <v>8</v>
      </c>
      <c r="NT757" s="27" t="s">
        <v>7</v>
      </c>
      <c r="NU757" s="27" t="s">
        <v>8</v>
      </c>
      <c r="NX757" s="27" t="s">
        <v>7</v>
      </c>
      <c r="NY757" s="27" t="s">
        <v>8</v>
      </c>
      <c r="NZ757" s="27" t="s">
        <v>7</v>
      </c>
      <c r="OB757" s="27" t="s">
        <v>7</v>
      </c>
    </row>
    <row r="758" spans="1:398" x14ac:dyDescent="0.25">
      <c r="A758" s="7">
        <v>3.3835346528043479E-2</v>
      </c>
      <c r="B758"/>
      <c r="C758"/>
      <c r="D758"/>
      <c r="E758"/>
      <c r="F758" s="27" t="s">
        <v>7</v>
      </c>
      <c r="DG758" s="27" t="s">
        <v>8</v>
      </c>
      <c r="DH758" s="27" t="s">
        <v>7</v>
      </c>
      <c r="HG758" s="27" t="s">
        <v>8</v>
      </c>
      <c r="HH758" s="27" t="s">
        <v>7</v>
      </c>
      <c r="HI758" s="27" t="s">
        <v>8</v>
      </c>
      <c r="HJ758" s="27" t="s">
        <v>7</v>
      </c>
      <c r="HK758" s="27" t="s">
        <v>8</v>
      </c>
      <c r="HL758" s="27" t="s">
        <v>7</v>
      </c>
      <c r="HM758" s="27" t="s">
        <v>8</v>
      </c>
      <c r="IJ758" s="27" t="s">
        <v>7</v>
      </c>
      <c r="IK758" s="27" t="s">
        <v>8</v>
      </c>
      <c r="IL758" s="27" t="s">
        <v>7</v>
      </c>
      <c r="IM758" s="27" t="s">
        <v>8</v>
      </c>
      <c r="IX758" s="27" t="s">
        <v>7</v>
      </c>
      <c r="IY758" s="27" t="s">
        <v>8</v>
      </c>
      <c r="IZ758" s="27" t="s">
        <v>7</v>
      </c>
      <c r="JC758" s="27" t="s">
        <v>8</v>
      </c>
      <c r="JD758" s="27" t="s">
        <v>7</v>
      </c>
      <c r="JE758" s="27" t="s">
        <v>8</v>
      </c>
      <c r="JF758" s="27" t="s">
        <v>7</v>
      </c>
      <c r="JM758" s="27" t="s">
        <v>8</v>
      </c>
      <c r="JN758" s="27" t="s">
        <v>7</v>
      </c>
      <c r="JO758" s="27" t="s">
        <v>8</v>
      </c>
      <c r="JP758" s="27" t="s">
        <v>7</v>
      </c>
      <c r="JQ758" s="27" t="s">
        <v>8</v>
      </c>
      <c r="JS758" s="27" t="s">
        <v>8</v>
      </c>
      <c r="JT758" s="27" t="s">
        <v>7</v>
      </c>
      <c r="KW758" s="27" t="s">
        <v>8</v>
      </c>
      <c r="KX758" s="27" t="s">
        <v>7</v>
      </c>
      <c r="KY758" s="27" t="s">
        <v>8</v>
      </c>
      <c r="KZ758" s="27" t="s">
        <v>7</v>
      </c>
      <c r="LA758" s="27" t="s">
        <v>8</v>
      </c>
      <c r="LB758" s="27" t="s">
        <v>7</v>
      </c>
      <c r="LG758" s="27" t="s">
        <v>8</v>
      </c>
      <c r="LH758" s="27" t="s">
        <v>7</v>
      </c>
      <c r="LI758" s="27" t="s">
        <v>8</v>
      </c>
      <c r="LJ758" s="27" t="s">
        <v>7</v>
      </c>
      <c r="LK758" s="27" t="s">
        <v>8</v>
      </c>
      <c r="LL758" s="27" t="s">
        <v>7</v>
      </c>
      <c r="LM758" s="27" t="s">
        <v>8</v>
      </c>
      <c r="LN758" s="27" t="s">
        <v>7</v>
      </c>
      <c r="LP758" s="27" t="s">
        <v>7</v>
      </c>
      <c r="MC758" s="27" t="s">
        <v>8</v>
      </c>
      <c r="MD758" s="27" t="s">
        <v>7</v>
      </c>
      <c r="ME758" s="27" t="s">
        <v>8</v>
      </c>
      <c r="MF758" s="27" t="s">
        <v>7</v>
      </c>
      <c r="MG758" s="27" t="s">
        <v>8</v>
      </c>
      <c r="ML758" s="27" t="s">
        <v>7</v>
      </c>
      <c r="MN758" s="27" t="s">
        <v>7</v>
      </c>
      <c r="MO758" s="27" t="s">
        <v>8</v>
      </c>
      <c r="MP758" s="27" t="s">
        <v>7</v>
      </c>
      <c r="MQ758" s="27" t="s">
        <v>8</v>
      </c>
      <c r="MR758" s="27" t="s">
        <v>7</v>
      </c>
      <c r="MS758" s="27" t="s">
        <v>8</v>
      </c>
      <c r="MT758" s="27" t="s">
        <v>7</v>
      </c>
      <c r="MU758" s="27" t="s">
        <v>8</v>
      </c>
      <c r="MV758" s="27" t="s">
        <v>7</v>
      </c>
      <c r="MX758" s="27" t="s">
        <v>7</v>
      </c>
      <c r="NA758" s="27" t="s">
        <v>8</v>
      </c>
      <c r="ND758" s="27" t="s">
        <v>7</v>
      </c>
      <c r="NE758" s="27" t="s">
        <v>8</v>
      </c>
      <c r="NF758" s="27" t="s">
        <v>7</v>
      </c>
      <c r="NG758" s="27" t="s">
        <v>8</v>
      </c>
      <c r="NH758" s="27" t="s">
        <v>7</v>
      </c>
      <c r="NI758" s="27" t="s">
        <v>8</v>
      </c>
      <c r="NJ758" s="27" t="s">
        <v>7</v>
      </c>
      <c r="NK758" s="27" t="s">
        <v>8</v>
      </c>
      <c r="NN758" s="27" t="s">
        <v>7</v>
      </c>
      <c r="NO758" s="27" t="s">
        <v>8</v>
      </c>
      <c r="NP758" s="27" t="s">
        <v>7</v>
      </c>
      <c r="NQ758" s="27" t="s">
        <v>8</v>
      </c>
      <c r="NR758" s="27" t="s">
        <v>7</v>
      </c>
      <c r="NS758" s="27" t="s">
        <v>8</v>
      </c>
      <c r="NT758" s="27" t="s">
        <v>7</v>
      </c>
      <c r="NU758" s="27" t="s">
        <v>8</v>
      </c>
      <c r="NX758" s="27" t="s">
        <v>7</v>
      </c>
      <c r="OB758" s="27" t="s">
        <v>7</v>
      </c>
    </row>
    <row r="759" spans="1:398" x14ac:dyDescent="0.25">
      <c r="A759" s="7">
        <v>3.3171908360826938E-2</v>
      </c>
      <c r="B759"/>
      <c r="C759"/>
      <c r="D759"/>
      <c r="E759"/>
      <c r="F759" s="27" t="s">
        <v>7</v>
      </c>
      <c r="DG759" s="27" t="s">
        <v>8</v>
      </c>
      <c r="DH759" s="27" t="s">
        <v>7</v>
      </c>
      <c r="HG759" s="27" t="s">
        <v>8</v>
      </c>
      <c r="HH759" s="27" t="s">
        <v>7</v>
      </c>
      <c r="HI759" s="27" t="s">
        <v>8</v>
      </c>
      <c r="HJ759" s="27" t="s">
        <v>7</v>
      </c>
      <c r="HK759" s="27" t="s">
        <v>8</v>
      </c>
      <c r="HL759" s="27" t="s">
        <v>7</v>
      </c>
      <c r="HM759" s="27" t="s">
        <v>8</v>
      </c>
      <c r="IJ759" s="27" t="s">
        <v>7</v>
      </c>
      <c r="IK759" s="27" t="s">
        <v>8</v>
      </c>
      <c r="IL759" s="27" t="s">
        <v>7</v>
      </c>
      <c r="IM759" s="27" t="s">
        <v>8</v>
      </c>
      <c r="IX759" s="27" t="s">
        <v>7</v>
      </c>
      <c r="IY759" s="27" t="s">
        <v>8</v>
      </c>
      <c r="IZ759" s="27" t="s">
        <v>7</v>
      </c>
      <c r="JC759" s="27" t="s">
        <v>8</v>
      </c>
      <c r="JD759" s="27" t="s">
        <v>7</v>
      </c>
      <c r="JE759" s="27" t="s">
        <v>8</v>
      </c>
      <c r="JF759" s="27" t="s">
        <v>7</v>
      </c>
      <c r="JK759" s="27" t="s">
        <v>8</v>
      </c>
      <c r="JM759" s="27" t="s">
        <v>8</v>
      </c>
      <c r="JN759" s="27" t="s">
        <v>7</v>
      </c>
      <c r="JO759" s="27" t="s">
        <v>8</v>
      </c>
      <c r="JP759" s="27" t="s">
        <v>7</v>
      </c>
      <c r="JQ759" s="27" t="s">
        <v>8</v>
      </c>
      <c r="JR759" s="27" t="s">
        <v>7</v>
      </c>
      <c r="JS759" s="27" t="s">
        <v>8</v>
      </c>
      <c r="JT759" s="27" t="s">
        <v>7</v>
      </c>
      <c r="KS759" s="27" t="s">
        <v>8</v>
      </c>
      <c r="KW759" s="27" t="s">
        <v>8</v>
      </c>
      <c r="KX759" s="27" t="s">
        <v>7</v>
      </c>
      <c r="KY759" s="27" t="s">
        <v>8</v>
      </c>
      <c r="KZ759" s="27" t="s">
        <v>7</v>
      </c>
      <c r="LA759" s="27" t="s">
        <v>8</v>
      </c>
      <c r="LB759" s="27" t="s">
        <v>7</v>
      </c>
      <c r="LC759" s="27" t="s">
        <v>8</v>
      </c>
      <c r="LG759" s="27" t="s">
        <v>8</v>
      </c>
      <c r="LH759" s="27" t="s">
        <v>7</v>
      </c>
      <c r="LI759" s="27" t="s">
        <v>8</v>
      </c>
      <c r="LJ759" s="27" t="s">
        <v>7</v>
      </c>
      <c r="LK759" s="27" t="s">
        <v>8</v>
      </c>
      <c r="LL759" s="27" t="s">
        <v>7</v>
      </c>
      <c r="LM759" s="27" t="s">
        <v>8</v>
      </c>
      <c r="LP759" s="27" t="s">
        <v>7</v>
      </c>
      <c r="MC759" s="27" t="s">
        <v>8</v>
      </c>
      <c r="MD759" s="27" t="s">
        <v>7</v>
      </c>
      <c r="ME759" s="27" t="s">
        <v>8</v>
      </c>
      <c r="MF759" s="27" t="s">
        <v>7</v>
      </c>
      <c r="MG759" s="27" t="s">
        <v>8</v>
      </c>
      <c r="MN759" s="27" t="s">
        <v>7</v>
      </c>
      <c r="MO759" s="27" t="s">
        <v>8</v>
      </c>
      <c r="MP759" s="27" t="s">
        <v>7</v>
      </c>
      <c r="MR759" s="27" t="s">
        <v>7</v>
      </c>
      <c r="MT759" s="27" t="s">
        <v>7</v>
      </c>
      <c r="MX759" s="27" t="s">
        <v>7</v>
      </c>
      <c r="NA759" s="27" t="s">
        <v>8</v>
      </c>
      <c r="ND759" s="27" t="s">
        <v>7</v>
      </c>
      <c r="NF759" s="27" t="s">
        <v>7</v>
      </c>
      <c r="NG759" s="27" t="s">
        <v>8</v>
      </c>
      <c r="NH759" s="27" t="s">
        <v>7</v>
      </c>
      <c r="NI759" s="27" t="s">
        <v>8</v>
      </c>
      <c r="NJ759" s="27" t="s">
        <v>7</v>
      </c>
      <c r="NK759" s="27" t="s">
        <v>8</v>
      </c>
      <c r="NN759" s="27" t="s">
        <v>7</v>
      </c>
      <c r="NO759" s="27" t="s">
        <v>8</v>
      </c>
      <c r="NP759" s="27" t="s">
        <v>7</v>
      </c>
      <c r="NQ759" s="27" t="s">
        <v>8</v>
      </c>
      <c r="NR759" s="27" t="s">
        <v>7</v>
      </c>
      <c r="NS759" s="27" t="s">
        <v>8</v>
      </c>
      <c r="NT759" s="27" t="s">
        <v>7</v>
      </c>
      <c r="NU759" s="27" t="s">
        <v>8</v>
      </c>
      <c r="OB759" s="27" t="s">
        <v>7</v>
      </c>
    </row>
    <row r="760" spans="1:398" x14ac:dyDescent="0.25">
      <c r="A760" s="7">
        <v>3.2521478785124451E-2</v>
      </c>
      <c r="B760"/>
      <c r="C760"/>
      <c r="D760"/>
      <c r="E760"/>
      <c r="F760" s="27" t="s">
        <v>7</v>
      </c>
      <c r="DG760" s="27" t="s">
        <v>8</v>
      </c>
      <c r="DH760" s="27" t="s">
        <v>7</v>
      </c>
      <c r="HG760" s="27" t="s">
        <v>8</v>
      </c>
      <c r="HH760" s="27" t="s">
        <v>7</v>
      </c>
      <c r="HI760" s="27" t="s">
        <v>8</v>
      </c>
      <c r="HJ760" s="27" t="s">
        <v>7</v>
      </c>
      <c r="HK760" s="27" t="s">
        <v>8</v>
      </c>
      <c r="HL760" s="27" t="s">
        <v>7</v>
      </c>
      <c r="HM760" s="27" t="s">
        <v>8</v>
      </c>
      <c r="IJ760" s="27" t="s">
        <v>7</v>
      </c>
      <c r="IK760" s="27" t="s">
        <v>8</v>
      </c>
      <c r="IL760" s="27" t="s">
        <v>7</v>
      </c>
      <c r="IM760" s="27" t="s">
        <v>8</v>
      </c>
      <c r="IX760" s="27" t="s">
        <v>7</v>
      </c>
      <c r="IY760" s="27" t="s">
        <v>8</v>
      </c>
      <c r="IZ760" s="27" t="s">
        <v>7</v>
      </c>
      <c r="JC760" s="27" t="s">
        <v>8</v>
      </c>
      <c r="JD760" s="27" t="s">
        <v>7</v>
      </c>
      <c r="JE760" s="27" t="s">
        <v>8</v>
      </c>
      <c r="JF760" s="27" t="s">
        <v>7</v>
      </c>
      <c r="JK760" s="27" t="s">
        <v>8</v>
      </c>
      <c r="JL760" s="27" t="s">
        <v>7</v>
      </c>
      <c r="JM760" s="27" t="s">
        <v>8</v>
      </c>
      <c r="JN760" s="27" t="s">
        <v>7</v>
      </c>
      <c r="JO760" s="27" t="s">
        <v>8</v>
      </c>
      <c r="JP760" s="27" t="s">
        <v>7</v>
      </c>
      <c r="JQ760" s="27" t="s">
        <v>8</v>
      </c>
      <c r="JR760" s="27" t="s">
        <v>7</v>
      </c>
      <c r="JS760" s="27" t="s">
        <v>8</v>
      </c>
      <c r="JT760" s="27" t="s">
        <v>7</v>
      </c>
      <c r="KS760" s="27" t="s">
        <v>8</v>
      </c>
      <c r="KT760" s="27" t="s">
        <v>7</v>
      </c>
      <c r="KU760" s="27" t="s">
        <v>8</v>
      </c>
      <c r="KW760" s="27" t="s">
        <v>8</v>
      </c>
      <c r="KX760" s="27" t="s">
        <v>7</v>
      </c>
      <c r="KY760" s="27" t="s">
        <v>8</v>
      </c>
      <c r="KZ760" s="27" t="s">
        <v>7</v>
      </c>
      <c r="LA760" s="27" t="s">
        <v>8</v>
      </c>
      <c r="LB760" s="27" t="s">
        <v>7</v>
      </c>
      <c r="LC760" s="27" t="s">
        <v>8</v>
      </c>
      <c r="LD760" s="27" t="s">
        <v>7</v>
      </c>
      <c r="LE760" s="27" t="s">
        <v>8</v>
      </c>
      <c r="LG760" s="27" t="s">
        <v>8</v>
      </c>
      <c r="LH760" s="27" t="s">
        <v>7</v>
      </c>
      <c r="LI760" s="27" t="s">
        <v>8</v>
      </c>
      <c r="LJ760" s="27" t="s">
        <v>7</v>
      </c>
      <c r="LL760" s="27" t="s">
        <v>7</v>
      </c>
      <c r="LM760" s="27" t="s">
        <v>8</v>
      </c>
      <c r="LP760" s="27" t="s">
        <v>7</v>
      </c>
      <c r="LW760" s="27" t="s">
        <v>8</v>
      </c>
      <c r="MA760" s="27" t="s">
        <v>8</v>
      </c>
      <c r="MC760" s="27" t="s">
        <v>8</v>
      </c>
      <c r="MD760" s="27" t="s">
        <v>7</v>
      </c>
      <c r="ME760" s="27" t="s">
        <v>8</v>
      </c>
      <c r="MF760" s="27" t="s">
        <v>7</v>
      </c>
      <c r="MG760" s="27" t="s">
        <v>8</v>
      </c>
      <c r="MN760" s="27" t="s">
        <v>7</v>
      </c>
      <c r="MO760" s="27" t="s">
        <v>8</v>
      </c>
      <c r="MX760" s="27" t="s">
        <v>7</v>
      </c>
      <c r="MY760" s="27" t="s">
        <v>8</v>
      </c>
      <c r="NA760" s="27" t="s">
        <v>8</v>
      </c>
      <c r="NF760" s="27" t="s">
        <v>7</v>
      </c>
      <c r="NH760" s="27" t="s">
        <v>7</v>
      </c>
      <c r="NI760" s="27" t="s">
        <v>8</v>
      </c>
      <c r="NJ760" s="27" t="s">
        <v>7</v>
      </c>
      <c r="NN760" s="27" t="s">
        <v>7</v>
      </c>
      <c r="NP760" s="27" t="s">
        <v>7</v>
      </c>
      <c r="NQ760" s="27" t="s">
        <v>8</v>
      </c>
      <c r="NR760" s="27" t="s">
        <v>7</v>
      </c>
      <c r="NS760" s="27" t="s">
        <v>8</v>
      </c>
      <c r="NT760" s="27" t="s">
        <v>7</v>
      </c>
      <c r="OB760" s="27" t="s">
        <v>7</v>
      </c>
    </row>
    <row r="761" spans="1:398" x14ac:dyDescent="0.25">
      <c r="A761" s="7">
        <v>3.1883802730514173E-2</v>
      </c>
      <c r="B761"/>
      <c r="C761"/>
      <c r="D761"/>
      <c r="E761"/>
      <c r="F761" s="27" t="s">
        <v>7</v>
      </c>
      <c r="DG761" s="27" t="s">
        <v>8</v>
      </c>
      <c r="DH761" s="27" t="s">
        <v>7</v>
      </c>
      <c r="HG761" s="27" t="s">
        <v>8</v>
      </c>
      <c r="HH761" s="27" t="s">
        <v>7</v>
      </c>
      <c r="HI761" s="27" t="s">
        <v>8</v>
      </c>
      <c r="HJ761" s="27" t="s">
        <v>7</v>
      </c>
      <c r="HK761" s="27" t="s">
        <v>8</v>
      </c>
      <c r="HL761" s="27" t="s">
        <v>7</v>
      </c>
      <c r="HM761" s="27" t="s">
        <v>8</v>
      </c>
      <c r="IJ761" s="27" t="s">
        <v>7</v>
      </c>
      <c r="IK761" s="27" t="s">
        <v>8</v>
      </c>
      <c r="IL761" s="27" t="s">
        <v>7</v>
      </c>
      <c r="IM761" s="27" t="s">
        <v>8</v>
      </c>
      <c r="IX761" s="27" t="s">
        <v>7</v>
      </c>
      <c r="IY761" s="27" t="s">
        <v>8</v>
      </c>
      <c r="IZ761" s="27" t="s">
        <v>7</v>
      </c>
      <c r="JC761" s="27" t="s">
        <v>8</v>
      </c>
      <c r="JD761" s="27" t="s">
        <v>7</v>
      </c>
      <c r="JE761" s="27" t="s">
        <v>8</v>
      </c>
      <c r="JF761" s="27" t="s">
        <v>7</v>
      </c>
      <c r="JG761" s="27" t="s">
        <v>8</v>
      </c>
      <c r="JK761" s="27" t="s">
        <v>8</v>
      </c>
      <c r="JL761" s="27" t="s">
        <v>7</v>
      </c>
      <c r="JM761" s="27" t="s">
        <v>8</v>
      </c>
      <c r="JN761" s="27" t="s">
        <v>7</v>
      </c>
      <c r="JO761" s="27" t="s">
        <v>8</v>
      </c>
      <c r="JP761" s="27" t="s">
        <v>7</v>
      </c>
      <c r="JQ761" s="27" t="s">
        <v>8</v>
      </c>
      <c r="JR761" s="27" t="s">
        <v>7</v>
      </c>
      <c r="JT761" s="27" t="s">
        <v>7</v>
      </c>
      <c r="KS761" s="27" t="s">
        <v>8</v>
      </c>
      <c r="KT761" s="27" t="s">
        <v>7</v>
      </c>
      <c r="KU761" s="27" t="s">
        <v>8</v>
      </c>
      <c r="KV761" s="27" t="s">
        <v>7</v>
      </c>
      <c r="KW761" s="27" t="s">
        <v>8</v>
      </c>
      <c r="KX761" s="27" t="s">
        <v>7</v>
      </c>
      <c r="KZ761" s="27" t="s">
        <v>7</v>
      </c>
      <c r="LA761" s="27" t="s">
        <v>8</v>
      </c>
      <c r="LB761" s="27" t="s">
        <v>7</v>
      </c>
      <c r="LC761" s="27" t="s">
        <v>8</v>
      </c>
      <c r="LD761" s="27" t="s">
        <v>7</v>
      </c>
      <c r="LE761" s="27" t="s">
        <v>8</v>
      </c>
      <c r="LF761" s="27" t="s">
        <v>7</v>
      </c>
      <c r="LG761" s="27" t="s">
        <v>8</v>
      </c>
      <c r="LH761" s="27" t="s">
        <v>7</v>
      </c>
      <c r="LI761" s="27" t="s">
        <v>8</v>
      </c>
      <c r="LL761" s="27" t="s">
        <v>7</v>
      </c>
      <c r="LM761" s="27" t="s">
        <v>8</v>
      </c>
      <c r="LP761" s="27" t="s">
        <v>7</v>
      </c>
      <c r="LW761" s="27" t="s">
        <v>8</v>
      </c>
      <c r="LX761" s="27" t="s">
        <v>7</v>
      </c>
      <c r="MA761" s="27" t="s">
        <v>8</v>
      </c>
      <c r="MB761" s="27" t="s">
        <v>7</v>
      </c>
      <c r="MC761" s="27" t="s">
        <v>8</v>
      </c>
      <c r="MD761" s="27" t="s">
        <v>7</v>
      </c>
      <c r="ME761" s="27" t="s">
        <v>8</v>
      </c>
      <c r="MF761" s="27" t="s">
        <v>7</v>
      </c>
      <c r="MG761" s="27" t="s">
        <v>8</v>
      </c>
      <c r="MN761" s="27" t="s">
        <v>7</v>
      </c>
      <c r="MO761" s="27" t="s">
        <v>8</v>
      </c>
      <c r="MX761" s="27" t="s">
        <v>7</v>
      </c>
      <c r="MY761" s="27" t="s">
        <v>8</v>
      </c>
      <c r="MZ761" s="27" t="s">
        <v>7</v>
      </c>
      <c r="NA761" s="27" t="s">
        <v>8</v>
      </c>
      <c r="NH761" s="27" t="s">
        <v>7</v>
      </c>
      <c r="NI761" s="27" t="s">
        <v>8</v>
      </c>
      <c r="NP761" s="27" t="s">
        <v>7</v>
      </c>
      <c r="NQ761" s="27" t="s">
        <v>8</v>
      </c>
      <c r="NR761" s="27" t="s">
        <v>7</v>
      </c>
      <c r="OB761" s="27" t="s">
        <v>7</v>
      </c>
    </row>
    <row r="762" spans="1:398" x14ac:dyDescent="0.25">
      <c r="A762" s="7">
        <v>3.1258630127955073E-2</v>
      </c>
      <c r="B762"/>
      <c r="C762"/>
      <c r="D762"/>
      <c r="E762"/>
      <c r="F762" s="27" t="s">
        <v>7</v>
      </c>
      <c r="DG762" s="27" t="s">
        <v>8</v>
      </c>
      <c r="DH762" s="27" t="s">
        <v>7</v>
      </c>
      <c r="GU762" s="27" t="s">
        <v>8</v>
      </c>
      <c r="HG762" s="27" t="s">
        <v>8</v>
      </c>
      <c r="HH762" s="27" t="s">
        <v>7</v>
      </c>
      <c r="HI762" s="27" t="s">
        <v>8</v>
      </c>
      <c r="HJ762" s="27" t="s">
        <v>7</v>
      </c>
      <c r="HK762" s="27" t="s">
        <v>8</v>
      </c>
      <c r="HL762" s="27" t="s">
        <v>7</v>
      </c>
      <c r="HM762" s="27" t="s">
        <v>8</v>
      </c>
      <c r="IJ762" s="27" t="s">
        <v>7</v>
      </c>
      <c r="IK762" s="27" t="s">
        <v>8</v>
      </c>
      <c r="IL762" s="27" t="s">
        <v>7</v>
      </c>
      <c r="IX762" s="27" t="s">
        <v>7</v>
      </c>
      <c r="IY762" s="27" t="s">
        <v>8</v>
      </c>
      <c r="IZ762" s="27" t="s">
        <v>7</v>
      </c>
      <c r="JC762" s="27" t="s">
        <v>8</v>
      </c>
      <c r="JD762" s="27" t="s">
        <v>7</v>
      </c>
      <c r="JE762" s="27" t="s">
        <v>8</v>
      </c>
      <c r="JF762" s="27" t="s">
        <v>7</v>
      </c>
      <c r="JG762" s="27" t="s">
        <v>8</v>
      </c>
      <c r="JH762" s="27" t="s">
        <v>7</v>
      </c>
      <c r="JK762" s="27" t="s">
        <v>8</v>
      </c>
      <c r="JL762" s="27" t="s">
        <v>7</v>
      </c>
      <c r="JM762" s="27" t="s">
        <v>8</v>
      </c>
      <c r="JN762" s="27" t="s">
        <v>7</v>
      </c>
      <c r="JO762" s="27" t="s">
        <v>8</v>
      </c>
      <c r="JP762" s="27" t="s">
        <v>7</v>
      </c>
      <c r="JQ762" s="27" t="s">
        <v>8</v>
      </c>
      <c r="JT762" s="27" t="s">
        <v>7</v>
      </c>
      <c r="KS762" s="27" t="s">
        <v>8</v>
      </c>
      <c r="KT762" s="27" t="s">
        <v>7</v>
      </c>
      <c r="KU762" s="27" t="s">
        <v>8</v>
      </c>
      <c r="KV762" s="27" t="s">
        <v>7</v>
      </c>
      <c r="KW762" s="27" t="s">
        <v>8</v>
      </c>
      <c r="KZ762" s="27" t="s">
        <v>7</v>
      </c>
      <c r="LA762" s="27" t="s">
        <v>8</v>
      </c>
      <c r="LB762" s="27" t="s">
        <v>7</v>
      </c>
      <c r="LC762" s="27" t="s">
        <v>8</v>
      </c>
      <c r="LD762" s="27" t="s">
        <v>7</v>
      </c>
      <c r="LE762" s="27" t="s">
        <v>8</v>
      </c>
      <c r="LF762" s="27" t="s">
        <v>7</v>
      </c>
      <c r="LG762" s="27" t="s">
        <v>8</v>
      </c>
      <c r="LH762" s="27" t="s">
        <v>7</v>
      </c>
      <c r="LI762" s="27" t="s">
        <v>8</v>
      </c>
      <c r="LL762" s="27" t="s">
        <v>7</v>
      </c>
      <c r="LP762" s="27" t="s">
        <v>7</v>
      </c>
      <c r="LW762" s="27" t="s">
        <v>8</v>
      </c>
      <c r="LX762" s="27" t="s">
        <v>7</v>
      </c>
      <c r="MA762" s="27" t="s">
        <v>8</v>
      </c>
      <c r="MB762" s="27" t="s">
        <v>7</v>
      </c>
      <c r="MC762" s="27" t="s">
        <v>8</v>
      </c>
      <c r="MD762" s="27" t="s">
        <v>7</v>
      </c>
      <c r="ME762" s="27" t="s">
        <v>8</v>
      </c>
      <c r="MF762" s="27" t="s">
        <v>7</v>
      </c>
      <c r="MG762" s="27" t="s">
        <v>8</v>
      </c>
      <c r="MN762" s="27" t="s">
        <v>7</v>
      </c>
      <c r="MO762" s="27" t="s">
        <v>8</v>
      </c>
      <c r="MX762" s="27" t="s">
        <v>7</v>
      </c>
      <c r="MY762" s="27" t="s">
        <v>8</v>
      </c>
      <c r="MZ762" s="27" t="s">
        <v>7</v>
      </c>
      <c r="NA762" s="27" t="s">
        <v>8</v>
      </c>
      <c r="NH762" s="27" t="s">
        <v>7</v>
      </c>
      <c r="NI762" s="27" t="s">
        <v>8</v>
      </c>
      <c r="NP762" s="27" t="s">
        <v>7</v>
      </c>
      <c r="NQ762" s="27" t="s">
        <v>8</v>
      </c>
      <c r="OB762" s="27" t="s">
        <v>7</v>
      </c>
    </row>
    <row r="763" spans="1:398" x14ac:dyDescent="0.25">
      <c r="A763" s="7">
        <v>3.064571581172066E-2</v>
      </c>
      <c r="B763"/>
      <c r="C763"/>
      <c r="D763"/>
      <c r="E763"/>
      <c r="F763" s="27" t="s">
        <v>7</v>
      </c>
      <c r="DG763" s="27" t="s">
        <v>8</v>
      </c>
      <c r="DH763" s="27" t="s">
        <v>7</v>
      </c>
      <c r="GU763" s="27" t="s">
        <v>8</v>
      </c>
      <c r="GV763" s="27" t="s">
        <v>7</v>
      </c>
      <c r="HG763" s="27" t="s">
        <v>8</v>
      </c>
      <c r="HH763" s="27" t="s">
        <v>7</v>
      </c>
      <c r="HI763" s="27" t="s">
        <v>8</v>
      </c>
      <c r="HJ763" s="27" t="s">
        <v>7</v>
      </c>
      <c r="HK763" s="27" t="s">
        <v>8</v>
      </c>
      <c r="HL763" s="27" t="s">
        <v>7</v>
      </c>
      <c r="HM763" s="27" t="s">
        <v>8</v>
      </c>
      <c r="IJ763" s="27" t="s">
        <v>7</v>
      </c>
      <c r="IK763" s="27" t="s">
        <v>8</v>
      </c>
      <c r="IX763" s="27" t="s">
        <v>7</v>
      </c>
      <c r="IY763" s="27" t="s">
        <v>8</v>
      </c>
      <c r="IZ763" s="27" t="s">
        <v>7</v>
      </c>
      <c r="JA763" s="27" t="s">
        <v>8</v>
      </c>
      <c r="JC763" s="27" t="s">
        <v>8</v>
      </c>
      <c r="JD763" s="27" t="s">
        <v>7</v>
      </c>
      <c r="JE763" s="27" t="s">
        <v>8</v>
      </c>
      <c r="JF763" s="27" t="s">
        <v>7</v>
      </c>
      <c r="JG763" s="27" t="s">
        <v>8</v>
      </c>
      <c r="JH763" s="27" t="s">
        <v>7</v>
      </c>
      <c r="JK763" s="27" t="s">
        <v>8</v>
      </c>
      <c r="JL763" s="27" t="s">
        <v>7</v>
      </c>
      <c r="JM763" s="27" t="s">
        <v>8</v>
      </c>
      <c r="JN763" s="27" t="s">
        <v>7</v>
      </c>
      <c r="JO763" s="27" t="s">
        <v>8</v>
      </c>
      <c r="JP763" s="27" t="s">
        <v>7</v>
      </c>
      <c r="JQ763" s="27" t="s">
        <v>8</v>
      </c>
      <c r="JT763" s="27" t="s">
        <v>7</v>
      </c>
      <c r="KS763" s="27" t="s">
        <v>8</v>
      </c>
      <c r="KT763" s="27" t="s">
        <v>7</v>
      </c>
      <c r="KU763" s="27" t="s">
        <v>8</v>
      </c>
      <c r="KV763" s="27" t="s">
        <v>7</v>
      </c>
      <c r="KW763" s="27" t="s">
        <v>8</v>
      </c>
      <c r="KZ763" s="27" t="s">
        <v>7</v>
      </c>
      <c r="LA763" s="27" t="s">
        <v>8</v>
      </c>
      <c r="LB763" s="27" t="s">
        <v>7</v>
      </c>
      <c r="LC763" s="27" t="s">
        <v>8</v>
      </c>
      <c r="LD763" s="27" t="s">
        <v>7</v>
      </c>
      <c r="LF763" s="27" t="s">
        <v>7</v>
      </c>
      <c r="LH763" s="27" t="s">
        <v>7</v>
      </c>
      <c r="LI763" s="27" t="s">
        <v>8</v>
      </c>
      <c r="LP763" s="27" t="s">
        <v>7</v>
      </c>
      <c r="LQ763" s="27" t="s">
        <v>8</v>
      </c>
      <c r="LW763" s="27" t="s">
        <v>8</v>
      </c>
      <c r="LX763" s="27" t="s">
        <v>7</v>
      </c>
      <c r="LY763" s="27" t="s">
        <v>8</v>
      </c>
      <c r="MA763" s="27" t="s">
        <v>8</v>
      </c>
      <c r="MB763" s="27" t="s">
        <v>7</v>
      </c>
      <c r="MC763" s="27" t="s">
        <v>8</v>
      </c>
      <c r="MD763" s="27" t="s">
        <v>7</v>
      </c>
      <c r="ME763" s="27" t="s">
        <v>8</v>
      </c>
      <c r="MF763" s="27" t="s">
        <v>7</v>
      </c>
      <c r="MN763" s="27" t="s">
        <v>7</v>
      </c>
      <c r="MO763" s="27" t="s">
        <v>8</v>
      </c>
      <c r="MX763" s="27" t="s">
        <v>7</v>
      </c>
      <c r="MZ763" s="27" t="s">
        <v>7</v>
      </c>
      <c r="NA763" s="27" t="s">
        <v>8</v>
      </c>
      <c r="NH763" s="27" t="s">
        <v>7</v>
      </c>
      <c r="NI763" s="27" t="s">
        <v>8</v>
      </c>
      <c r="NP763" s="27" t="s">
        <v>7</v>
      </c>
      <c r="NQ763" s="27" t="s">
        <v>8</v>
      </c>
      <c r="OB763" s="27" t="s">
        <v>7</v>
      </c>
    </row>
    <row r="764" spans="1:398" x14ac:dyDescent="0.25">
      <c r="A764" s="7">
        <v>3.0044819423255549E-2</v>
      </c>
      <c r="B764"/>
      <c r="C764"/>
      <c r="D764"/>
      <c r="E764"/>
      <c r="F764" s="27" t="s">
        <v>7</v>
      </c>
      <c r="DG764" s="27" t="s">
        <v>8</v>
      </c>
      <c r="DH764" s="27" t="s">
        <v>7</v>
      </c>
      <c r="GU764" s="27" t="s">
        <v>8</v>
      </c>
      <c r="GV764" s="27" t="s">
        <v>7</v>
      </c>
      <c r="HG764" s="27" t="s">
        <v>8</v>
      </c>
      <c r="HH764" s="27" t="s">
        <v>7</v>
      </c>
      <c r="HI764" s="27" t="s">
        <v>8</v>
      </c>
      <c r="HJ764" s="27" t="s">
        <v>7</v>
      </c>
      <c r="HK764" s="27" t="s">
        <v>8</v>
      </c>
      <c r="HL764" s="27" t="s">
        <v>7</v>
      </c>
      <c r="IJ764" s="27" t="s">
        <v>7</v>
      </c>
      <c r="IK764" s="27" t="s">
        <v>8</v>
      </c>
      <c r="IX764" s="27" t="s">
        <v>7</v>
      </c>
      <c r="IY764" s="27" t="s">
        <v>8</v>
      </c>
      <c r="IZ764" s="27" t="s">
        <v>7</v>
      </c>
      <c r="JA764" s="27" t="s">
        <v>8</v>
      </c>
      <c r="JB764" s="27" t="s">
        <v>7</v>
      </c>
      <c r="JC764" s="27" t="s">
        <v>8</v>
      </c>
      <c r="JD764" s="27" t="s">
        <v>7</v>
      </c>
      <c r="JE764" s="27" t="s">
        <v>8</v>
      </c>
      <c r="JF764" s="27" t="s">
        <v>7</v>
      </c>
      <c r="JG764" s="27" t="s">
        <v>8</v>
      </c>
      <c r="JH764" s="27" t="s">
        <v>7</v>
      </c>
      <c r="JI764" s="27" t="s">
        <v>8</v>
      </c>
      <c r="JK764" s="27" t="s">
        <v>8</v>
      </c>
      <c r="JL764" s="27" t="s">
        <v>7</v>
      </c>
      <c r="JM764" s="27" t="s">
        <v>8</v>
      </c>
      <c r="JN764" s="27" t="s">
        <v>7</v>
      </c>
      <c r="JO764" s="27" t="s">
        <v>8</v>
      </c>
      <c r="JP764" s="27" t="s">
        <v>7</v>
      </c>
      <c r="JQ764" s="27" t="s">
        <v>8</v>
      </c>
      <c r="JT764" s="27" t="s">
        <v>7</v>
      </c>
      <c r="JU764" s="27" t="s">
        <v>8</v>
      </c>
      <c r="KS764" s="27" t="s">
        <v>8</v>
      </c>
      <c r="KT764" s="27" t="s">
        <v>7</v>
      </c>
      <c r="KU764" s="27" t="s">
        <v>8</v>
      </c>
      <c r="KV764" s="27" t="s">
        <v>7</v>
      </c>
      <c r="KW764" s="27" t="s">
        <v>8</v>
      </c>
      <c r="KZ764" s="27" t="s">
        <v>7</v>
      </c>
      <c r="LA764" s="27" t="s">
        <v>8</v>
      </c>
      <c r="LB764" s="27" t="s">
        <v>7</v>
      </c>
      <c r="LH764" s="27" t="s">
        <v>7</v>
      </c>
      <c r="LI764" s="27" t="s">
        <v>8</v>
      </c>
      <c r="LP764" s="27" t="s">
        <v>7</v>
      </c>
      <c r="LQ764" s="27" t="s">
        <v>8</v>
      </c>
      <c r="LR764" s="27" t="s">
        <v>7</v>
      </c>
      <c r="LW764" s="27" t="s">
        <v>8</v>
      </c>
      <c r="LX764" s="27" t="s">
        <v>7</v>
      </c>
      <c r="LY764" s="27" t="s">
        <v>8</v>
      </c>
      <c r="LZ764" s="27" t="s">
        <v>7</v>
      </c>
      <c r="MA764" s="27" t="s">
        <v>8</v>
      </c>
      <c r="MB764" s="27" t="s">
        <v>7</v>
      </c>
      <c r="MC764" s="27" t="s">
        <v>8</v>
      </c>
      <c r="MD764" s="27" t="s">
        <v>7</v>
      </c>
      <c r="ME764" s="27" t="s">
        <v>8</v>
      </c>
      <c r="MN764" s="27" t="s">
        <v>7</v>
      </c>
      <c r="MZ764" s="27" t="s">
        <v>7</v>
      </c>
      <c r="NA764" s="27" t="s">
        <v>8</v>
      </c>
      <c r="NH764" s="27" t="s">
        <v>7</v>
      </c>
      <c r="NI764" s="27" t="s">
        <v>8</v>
      </c>
      <c r="NP764" s="27" t="s">
        <v>7</v>
      </c>
      <c r="NQ764" s="27" t="s">
        <v>8</v>
      </c>
      <c r="OB764" s="27" t="s">
        <v>7</v>
      </c>
      <c r="OC764" s="27" t="s">
        <v>8</v>
      </c>
    </row>
    <row r="765" spans="1:398" x14ac:dyDescent="0.25">
      <c r="A765" s="7">
        <v>2.9455705316917203E-2</v>
      </c>
      <c r="B765"/>
      <c r="C765"/>
      <c r="D765"/>
      <c r="E765"/>
      <c r="F765" s="27" t="s">
        <v>7</v>
      </c>
      <c r="DG765" s="27" t="s">
        <v>8</v>
      </c>
      <c r="DH765" s="27" t="s">
        <v>7</v>
      </c>
      <c r="GU765" s="27" t="s">
        <v>8</v>
      </c>
      <c r="GV765" s="27" t="s">
        <v>7</v>
      </c>
      <c r="GY765" s="27" t="s">
        <v>8</v>
      </c>
      <c r="HG765" s="27" t="s">
        <v>8</v>
      </c>
      <c r="HH765" s="27" t="s">
        <v>7</v>
      </c>
      <c r="HI765" s="27" t="s">
        <v>8</v>
      </c>
      <c r="HJ765" s="27" t="s">
        <v>7</v>
      </c>
      <c r="IJ765" s="27" t="s">
        <v>7</v>
      </c>
      <c r="IX765" s="27" t="s">
        <v>7</v>
      </c>
      <c r="IY765" s="27" t="s">
        <v>8</v>
      </c>
      <c r="IZ765" s="27" t="s">
        <v>7</v>
      </c>
      <c r="JA765" s="27" t="s">
        <v>8</v>
      </c>
      <c r="JB765" s="27" t="s">
        <v>7</v>
      </c>
      <c r="JC765" s="27" t="s">
        <v>8</v>
      </c>
      <c r="JD765" s="27" t="s">
        <v>7</v>
      </c>
      <c r="JE765" s="27" t="s">
        <v>8</v>
      </c>
      <c r="JF765" s="27" t="s">
        <v>7</v>
      </c>
      <c r="JG765" s="27" t="s">
        <v>8</v>
      </c>
      <c r="JH765" s="27" t="s">
        <v>7</v>
      </c>
      <c r="JI765" s="27" t="s">
        <v>8</v>
      </c>
      <c r="JJ765" s="27" t="s">
        <v>7</v>
      </c>
      <c r="JK765" s="27" t="s">
        <v>8</v>
      </c>
      <c r="JL765" s="27" t="s">
        <v>7</v>
      </c>
      <c r="JM765" s="27" t="s">
        <v>8</v>
      </c>
      <c r="JN765" s="27" t="s">
        <v>7</v>
      </c>
      <c r="JO765" s="27" t="s">
        <v>8</v>
      </c>
      <c r="JP765" s="27" t="s">
        <v>7</v>
      </c>
      <c r="JQ765" s="27" t="s">
        <v>8</v>
      </c>
      <c r="JT765" s="27" t="s">
        <v>7</v>
      </c>
      <c r="JU765" s="27" t="s">
        <v>8</v>
      </c>
      <c r="JV765" s="27" t="s">
        <v>7</v>
      </c>
      <c r="KS765" s="27" t="s">
        <v>8</v>
      </c>
      <c r="KT765" s="27" t="s">
        <v>7</v>
      </c>
      <c r="KU765" s="27" t="s">
        <v>8</v>
      </c>
      <c r="KV765" s="27" t="s">
        <v>7</v>
      </c>
      <c r="KW765" s="27" t="s">
        <v>8</v>
      </c>
      <c r="KZ765" s="27" t="s">
        <v>7</v>
      </c>
      <c r="LH765" s="27" t="s">
        <v>7</v>
      </c>
      <c r="LP765" s="27" t="s">
        <v>7</v>
      </c>
      <c r="LQ765" s="27" t="s">
        <v>8</v>
      </c>
      <c r="LR765" s="27" t="s">
        <v>7</v>
      </c>
      <c r="LW765" s="27" t="s">
        <v>8</v>
      </c>
      <c r="LX765" s="27" t="s">
        <v>7</v>
      </c>
      <c r="LY765" s="27" t="s">
        <v>8</v>
      </c>
      <c r="LZ765" s="27" t="s">
        <v>7</v>
      </c>
      <c r="MA765" s="27" t="s">
        <v>8</v>
      </c>
      <c r="MB765" s="27" t="s">
        <v>7</v>
      </c>
      <c r="MD765" s="27" t="s">
        <v>7</v>
      </c>
      <c r="ME765" s="27" t="s">
        <v>8</v>
      </c>
      <c r="MZ765" s="27" t="s">
        <v>7</v>
      </c>
      <c r="NA765" s="27" t="s">
        <v>8</v>
      </c>
      <c r="NH765" s="27" t="s">
        <v>7</v>
      </c>
      <c r="NI765" s="27" t="s">
        <v>8</v>
      </c>
      <c r="NP765" s="27" t="s">
        <v>7</v>
      </c>
      <c r="NQ765" s="27" t="s">
        <v>8</v>
      </c>
      <c r="OB765" s="27" t="s">
        <v>7</v>
      </c>
      <c r="OC765" s="27" t="s">
        <v>8</v>
      </c>
      <c r="OD765" s="27" t="s">
        <v>7</v>
      </c>
      <c r="OG765" s="27" t="s">
        <v>8</v>
      </c>
    </row>
    <row r="766" spans="1:398" x14ac:dyDescent="0.25">
      <c r="A766" s="7">
        <v>2.8878142467565884E-2</v>
      </c>
      <c r="B766"/>
      <c r="C766"/>
      <c r="D766"/>
      <c r="E766"/>
      <c r="F766" s="27" t="s">
        <v>7</v>
      </c>
      <c r="DG766" s="27" t="s">
        <v>8</v>
      </c>
      <c r="DH766" s="27" t="s">
        <v>7</v>
      </c>
      <c r="GU766" s="27" t="s">
        <v>8</v>
      </c>
      <c r="GV766" s="27" t="s">
        <v>7</v>
      </c>
      <c r="GY766" s="27" t="s">
        <v>8</v>
      </c>
      <c r="GZ766" s="27" t="s">
        <v>7</v>
      </c>
      <c r="HG766" s="27" t="s">
        <v>8</v>
      </c>
      <c r="HH766" s="27" t="s">
        <v>7</v>
      </c>
      <c r="HI766" s="27" t="s">
        <v>8</v>
      </c>
      <c r="IX766" s="27" t="s">
        <v>7</v>
      </c>
      <c r="IY766" s="27" t="s">
        <v>8</v>
      </c>
      <c r="IZ766" s="27" t="s">
        <v>7</v>
      </c>
      <c r="JA766" s="27" t="s">
        <v>8</v>
      </c>
      <c r="JB766" s="27" t="s">
        <v>7</v>
      </c>
      <c r="JC766" s="27" t="s">
        <v>8</v>
      </c>
      <c r="JD766" s="27" t="s">
        <v>7</v>
      </c>
      <c r="JE766" s="27" t="s">
        <v>8</v>
      </c>
      <c r="JF766" s="27" t="s">
        <v>7</v>
      </c>
      <c r="JG766" s="27" t="s">
        <v>8</v>
      </c>
      <c r="JH766" s="27" t="s">
        <v>7</v>
      </c>
      <c r="JI766" s="27" t="s">
        <v>8</v>
      </c>
      <c r="JJ766" s="27" t="s">
        <v>7</v>
      </c>
      <c r="JK766" s="27" t="s">
        <v>8</v>
      </c>
      <c r="JL766" s="27" t="s">
        <v>7</v>
      </c>
      <c r="JM766" s="27" t="s">
        <v>8</v>
      </c>
      <c r="JN766" s="27" t="s">
        <v>7</v>
      </c>
      <c r="JO766" s="27" t="s">
        <v>8</v>
      </c>
      <c r="JP766" s="27" t="s">
        <v>7</v>
      </c>
      <c r="JT766" s="27" t="s">
        <v>7</v>
      </c>
      <c r="JU766" s="27" t="s">
        <v>8</v>
      </c>
      <c r="JV766" s="27" t="s">
        <v>7</v>
      </c>
      <c r="KS766" s="27" t="s">
        <v>8</v>
      </c>
      <c r="KT766" s="27" t="s">
        <v>7</v>
      </c>
      <c r="KU766" s="27" t="s">
        <v>8</v>
      </c>
      <c r="KV766" s="27" t="s">
        <v>7</v>
      </c>
      <c r="LP766" s="27" t="s">
        <v>7</v>
      </c>
      <c r="LQ766" s="27" t="s">
        <v>8</v>
      </c>
      <c r="LR766" s="27" t="s">
        <v>7</v>
      </c>
      <c r="LS766" s="27" t="s">
        <v>8</v>
      </c>
      <c r="LW766" s="27" t="s">
        <v>8</v>
      </c>
      <c r="LX766" s="27" t="s">
        <v>7</v>
      </c>
      <c r="LY766" s="27" t="s">
        <v>8</v>
      </c>
      <c r="LZ766" s="27" t="s">
        <v>7</v>
      </c>
      <c r="MA766" s="27" t="s">
        <v>8</v>
      </c>
      <c r="MD766" s="27" t="s">
        <v>7</v>
      </c>
      <c r="ME766" s="27" t="s">
        <v>8</v>
      </c>
      <c r="MZ766" s="27" t="s">
        <v>7</v>
      </c>
      <c r="NH766" s="27" t="s">
        <v>7</v>
      </c>
      <c r="NP766" s="27" t="s">
        <v>7</v>
      </c>
      <c r="NQ766" s="27" t="s">
        <v>8</v>
      </c>
      <c r="OB766" s="27" t="s">
        <v>7</v>
      </c>
      <c r="OC766" s="27" t="s">
        <v>8</v>
      </c>
      <c r="OD766" s="27" t="s">
        <v>7</v>
      </c>
      <c r="OE766" s="27" t="s">
        <v>8</v>
      </c>
      <c r="OG766" s="27" t="s">
        <v>8</v>
      </c>
      <c r="OH766" s="27" t="s">
        <v>7</v>
      </c>
    </row>
    <row r="767" spans="1:398" x14ac:dyDescent="0.25">
      <c r="A767" s="7">
        <v>2.8311904379966554E-2</v>
      </c>
      <c r="B767"/>
      <c r="C767"/>
      <c r="D767"/>
      <c r="E767"/>
      <c r="F767" s="27" t="s">
        <v>7</v>
      </c>
      <c r="DG767" s="27" t="s">
        <v>8</v>
      </c>
      <c r="DH767" s="27" t="s">
        <v>7</v>
      </c>
      <c r="GU767" s="27" t="s">
        <v>8</v>
      </c>
      <c r="GV767" s="27" t="s">
        <v>7</v>
      </c>
      <c r="GY767" s="27" t="s">
        <v>8</v>
      </c>
      <c r="GZ767" s="27" t="s">
        <v>7</v>
      </c>
      <c r="HG767" s="27" t="s">
        <v>8</v>
      </c>
      <c r="HH767" s="27" t="s">
        <v>7</v>
      </c>
      <c r="HI767" s="27" t="s">
        <v>8</v>
      </c>
      <c r="IX767" s="27" t="s">
        <v>7</v>
      </c>
      <c r="IY767" s="27" t="s">
        <v>8</v>
      </c>
      <c r="IZ767" s="27" t="s">
        <v>7</v>
      </c>
      <c r="JA767" s="27" t="s">
        <v>8</v>
      </c>
      <c r="JB767" s="27" t="s">
        <v>7</v>
      </c>
      <c r="JC767" s="27" t="s">
        <v>8</v>
      </c>
      <c r="JD767" s="27" t="s">
        <v>7</v>
      </c>
      <c r="JE767" s="27" t="s">
        <v>8</v>
      </c>
      <c r="JF767" s="27" t="s">
        <v>7</v>
      </c>
      <c r="JG767" s="27" t="s">
        <v>8</v>
      </c>
      <c r="JH767" s="27" t="s">
        <v>7</v>
      </c>
      <c r="JI767" s="27" t="s">
        <v>8</v>
      </c>
      <c r="JJ767" s="27" t="s">
        <v>7</v>
      </c>
      <c r="JK767" s="27" t="s">
        <v>8</v>
      </c>
      <c r="JL767" s="27" t="s">
        <v>7</v>
      </c>
      <c r="JM767" s="27" t="s">
        <v>8</v>
      </c>
      <c r="JN767" s="27" t="s">
        <v>7</v>
      </c>
      <c r="JO767" s="27" t="s">
        <v>8</v>
      </c>
      <c r="JT767" s="27" t="s">
        <v>7</v>
      </c>
      <c r="JU767" s="27" t="s">
        <v>8</v>
      </c>
      <c r="JV767" s="27" t="s">
        <v>7</v>
      </c>
      <c r="KO767" s="27" t="s">
        <v>8</v>
      </c>
      <c r="KS767" s="27" t="s">
        <v>8</v>
      </c>
      <c r="KT767" s="27" t="s">
        <v>7</v>
      </c>
      <c r="KU767" s="27" t="s">
        <v>8</v>
      </c>
      <c r="LP767" s="27" t="s">
        <v>7</v>
      </c>
      <c r="LQ767" s="27" t="s">
        <v>8</v>
      </c>
      <c r="LR767" s="27" t="s">
        <v>7</v>
      </c>
      <c r="LS767" s="27" t="s">
        <v>8</v>
      </c>
      <c r="LT767" s="27" t="s">
        <v>7</v>
      </c>
      <c r="LW767" s="27" t="s">
        <v>8</v>
      </c>
      <c r="LX767" s="27" t="s">
        <v>7</v>
      </c>
      <c r="LZ767" s="27" t="s">
        <v>7</v>
      </c>
      <c r="MA767" s="27" t="s">
        <v>8</v>
      </c>
      <c r="MD767" s="27" t="s">
        <v>7</v>
      </c>
      <c r="ME767" s="27" t="s">
        <v>8</v>
      </c>
      <c r="NP767" s="27" t="s">
        <v>7</v>
      </c>
      <c r="NQ767" s="27" t="s">
        <v>8</v>
      </c>
      <c r="OB767" s="27" t="s">
        <v>7</v>
      </c>
      <c r="OC767" s="27" t="s">
        <v>8</v>
      </c>
      <c r="OD767" s="27" t="s">
        <v>7</v>
      </c>
      <c r="OE767" s="27" t="s">
        <v>8</v>
      </c>
      <c r="OF767" s="27" t="s">
        <v>7</v>
      </c>
      <c r="OG767" s="27" t="s">
        <v>8</v>
      </c>
      <c r="OH767" s="27" t="s">
        <v>7</v>
      </c>
    </row>
    <row r="768" spans="1:398" x14ac:dyDescent="0.25">
      <c r="A768" s="7">
        <v>2.7756768999967207E-2</v>
      </c>
      <c r="B768"/>
      <c r="C768"/>
      <c r="D768"/>
      <c r="E768"/>
      <c r="F768" s="27" t="s">
        <v>7</v>
      </c>
      <c r="DG768" s="27" t="s">
        <v>8</v>
      </c>
      <c r="DH768" s="27" t="s">
        <v>7</v>
      </c>
      <c r="GU768" s="27" t="s">
        <v>8</v>
      </c>
      <c r="GV768" s="27" t="s">
        <v>7</v>
      </c>
      <c r="GW768" s="27" t="s">
        <v>8</v>
      </c>
      <c r="GY768" s="27" t="s">
        <v>8</v>
      </c>
      <c r="GZ768" s="27" t="s">
        <v>7</v>
      </c>
      <c r="HG768" s="27" t="s">
        <v>8</v>
      </c>
      <c r="HH768" s="27" t="s">
        <v>7</v>
      </c>
      <c r="HI768" s="27" t="s">
        <v>8</v>
      </c>
      <c r="IX768" s="27" t="s">
        <v>7</v>
      </c>
      <c r="IY768" s="27" t="s">
        <v>8</v>
      </c>
      <c r="IZ768" s="27" t="s">
        <v>7</v>
      </c>
      <c r="JA768" s="27" t="s">
        <v>8</v>
      </c>
      <c r="JB768" s="27" t="s">
        <v>7</v>
      </c>
      <c r="JC768" s="27" t="s">
        <v>8</v>
      </c>
      <c r="JD768" s="27" t="s">
        <v>7</v>
      </c>
      <c r="JE768" s="27" t="s">
        <v>8</v>
      </c>
      <c r="JF768" s="27" t="s">
        <v>7</v>
      </c>
      <c r="JG768" s="27" t="s">
        <v>8</v>
      </c>
      <c r="JH768" s="27" t="s">
        <v>7</v>
      </c>
      <c r="JI768" s="27" t="s">
        <v>8</v>
      </c>
      <c r="JJ768" s="27" t="s">
        <v>7</v>
      </c>
      <c r="JL768" s="27" t="s">
        <v>7</v>
      </c>
      <c r="JM768" s="27" t="s">
        <v>8</v>
      </c>
      <c r="JN768" s="27" t="s">
        <v>7</v>
      </c>
      <c r="JO768" s="27" t="s">
        <v>8</v>
      </c>
      <c r="JT768" s="27" t="s">
        <v>7</v>
      </c>
      <c r="JV768" s="27" t="s">
        <v>7</v>
      </c>
      <c r="KO768" s="27" t="s">
        <v>8</v>
      </c>
      <c r="KP768" s="27" t="s">
        <v>7</v>
      </c>
      <c r="KS768" s="27" t="s">
        <v>8</v>
      </c>
      <c r="KT768" s="27" t="s">
        <v>7</v>
      </c>
      <c r="KU768" s="27" t="s">
        <v>8</v>
      </c>
      <c r="LP768" s="27" t="s">
        <v>7</v>
      </c>
      <c r="LQ768" s="27" t="s">
        <v>8</v>
      </c>
      <c r="LR768" s="27" t="s">
        <v>7</v>
      </c>
      <c r="LS768" s="27" t="s">
        <v>8</v>
      </c>
      <c r="LT768" s="27" t="s">
        <v>7</v>
      </c>
      <c r="LU768" s="27" t="s">
        <v>8</v>
      </c>
      <c r="LW768" s="27" t="s">
        <v>8</v>
      </c>
      <c r="LZ768" s="27" t="s">
        <v>7</v>
      </c>
      <c r="MD768" s="27" t="s">
        <v>7</v>
      </c>
      <c r="ME768" s="27" t="s">
        <v>8</v>
      </c>
      <c r="NP768" s="27" t="s">
        <v>7</v>
      </c>
      <c r="OB768" s="27" t="s">
        <v>7</v>
      </c>
      <c r="OC768" s="27" t="s">
        <v>8</v>
      </c>
      <c r="OD768" s="27" t="s">
        <v>7</v>
      </c>
      <c r="OE768" s="27" t="s">
        <v>8</v>
      </c>
      <c r="OF768" s="27" t="s">
        <v>7</v>
      </c>
      <c r="OG768" s="27" t="s">
        <v>8</v>
      </c>
      <c r="OH768" s="27" t="s">
        <v>7</v>
      </c>
    </row>
    <row r="769" spans="1:403" x14ac:dyDescent="0.25">
      <c r="A769" s="7">
        <v>2.7212518627418834E-2</v>
      </c>
      <c r="B769"/>
      <c r="C769"/>
      <c r="D769"/>
      <c r="E769"/>
      <c r="F769" s="27" t="s">
        <v>7</v>
      </c>
      <c r="DG769" s="27" t="s">
        <v>8</v>
      </c>
      <c r="DH769" s="27" t="s">
        <v>7</v>
      </c>
      <c r="GU769" s="27" t="s">
        <v>8</v>
      </c>
      <c r="GV769" s="27" t="s">
        <v>7</v>
      </c>
      <c r="GW769" s="27" t="s">
        <v>8</v>
      </c>
      <c r="GX769" s="27" t="s">
        <v>7</v>
      </c>
      <c r="GY769" s="27" t="s">
        <v>8</v>
      </c>
      <c r="GZ769" s="27" t="s">
        <v>7</v>
      </c>
      <c r="HG769" s="27" t="s">
        <v>8</v>
      </c>
      <c r="HH769" s="27" t="s">
        <v>7</v>
      </c>
      <c r="HI769" s="27" t="s">
        <v>8</v>
      </c>
      <c r="IX769" s="27" t="s">
        <v>7</v>
      </c>
      <c r="IY769" s="27" t="s">
        <v>8</v>
      </c>
      <c r="IZ769" s="27" t="s">
        <v>7</v>
      </c>
      <c r="JA769" s="27" t="s">
        <v>8</v>
      </c>
      <c r="JB769" s="27" t="s">
        <v>7</v>
      </c>
      <c r="JC769" s="27" t="s">
        <v>8</v>
      </c>
      <c r="JD769" s="27" t="s">
        <v>7</v>
      </c>
      <c r="JE769" s="27" t="s">
        <v>8</v>
      </c>
      <c r="JF769" s="27" t="s">
        <v>7</v>
      </c>
      <c r="JG769" s="27" t="s">
        <v>8</v>
      </c>
      <c r="JH769" s="27" t="s">
        <v>7</v>
      </c>
      <c r="JI769" s="27" t="s">
        <v>8</v>
      </c>
      <c r="JL769" s="27" t="s">
        <v>7</v>
      </c>
      <c r="JN769" s="27" t="s">
        <v>7</v>
      </c>
      <c r="JO769" s="27" t="s">
        <v>8</v>
      </c>
      <c r="JV769" s="27" t="s">
        <v>7</v>
      </c>
      <c r="KO769" s="27" t="s">
        <v>8</v>
      </c>
      <c r="KP769" s="27" t="s">
        <v>7</v>
      </c>
      <c r="KS769" s="27" t="s">
        <v>8</v>
      </c>
      <c r="KT769" s="27" t="s">
        <v>7</v>
      </c>
      <c r="LP769" s="27" t="s">
        <v>7</v>
      </c>
      <c r="LQ769" s="27" t="s">
        <v>8</v>
      </c>
      <c r="LR769" s="27" t="s">
        <v>7</v>
      </c>
      <c r="LS769" s="27" t="s">
        <v>8</v>
      </c>
      <c r="LT769" s="27" t="s">
        <v>7</v>
      </c>
      <c r="LU769" s="27" t="s">
        <v>8</v>
      </c>
      <c r="LV769" s="27" t="s">
        <v>7</v>
      </c>
      <c r="LW769" s="27" t="s">
        <v>8</v>
      </c>
      <c r="MD769" s="27" t="s">
        <v>7</v>
      </c>
      <c r="OB769" s="27" t="s">
        <v>7</v>
      </c>
      <c r="OD769" s="27" t="s">
        <v>7</v>
      </c>
      <c r="OE769" s="27" t="s">
        <v>8</v>
      </c>
      <c r="OF769" s="27" t="s">
        <v>7</v>
      </c>
      <c r="OH769" s="27" t="s">
        <v>7</v>
      </c>
    </row>
    <row r="770" spans="1:403" x14ac:dyDescent="0.25">
      <c r="A770" s="7">
        <v>2.6678939830802779E-2</v>
      </c>
      <c r="B770"/>
      <c r="C770"/>
      <c r="D770"/>
      <c r="E770"/>
      <c r="F770" s="27" t="s">
        <v>7</v>
      </c>
      <c r="DG770" s="27" t="s">
        <v>8</v>
      </c>
      <c r="DH770" s="27" t="s">
        <v>7</v>
      </c>
      <c r="GU770" s="27" t="s">
        <v>8</v>
      </c>
      <c r="GV770" s="27" t="s">
        <v>7</v>
      </c>
      <c r="GW770" s="27" t="s">
        <v>8</v>
      </c>
      <c r="GX770" s="27" t="s">
        <v>7</v>
      </c>
      <c r="GY770" s="27" t="s">
        <v>8</v>
      </c>
      <c r="GZ770" s="27" t="s">
        <v>7</v>
      </c>
      <c r="HG770" s="27" t="s">
        <v>8</v>
      </c>
      <c r="HH770" s="27" t="s">
        <v>7</v>
      </c>
      <c r="HI770" s="27" t="s">
        <v>8</v>
      </c>
      <c r="IX770" s="27" t="s">
        <v>7</v>
      </c>
      <c r="IY770" s="27" t="s">
        <v>8</v>
      </c>
      <c r="IZ770" s="27" t="s">
        <v>7</v>
      </c>
      <c r="JA770" s="27" t="s">
        <v>8</v>
      </c>
      <c r="JB770" s="27" t="s">
        <v>7</v>
      </c>
      <c r="JC770" s="27" t="s">
        <v>8</v>
      </c>
      <c r="JD770" s="27" t="s">
        <v>7</v>
      </c>
      <c r="JF770" s="27" t="s">
        <v>7</v>
      </c>
      <c r="JG770" s="27" t="s">
        <v>8</v>
      </c>
      <c r="JH770" s="27" t="s">
        <v>7</v>
      </c>
      <c r="JI770" s="27" t="s">
        <v>8</v>
      </c>
      <c r="JN770" s="27" t="s">
        <v>7</v>
      </c>
      <c r="JO770" s="27" t="s">
        <v>8</v>
      </c>
      <c r="JV770" s="27" t="s">
        <v>7</v>
      </c>
      <c r="KO770" s="27" t="s">
        <v>8</v>
      </c>
      <c r="KP770" s="27" t="s">
        <v>7</v>
      </c>
      <c r="KQ770" s="27" t="s">
        <v>8</v>
      </c>
      <c r="KS770" s="27" t="s">
        <v>8</v>
      </c>
      <c r="LP770" s="27" t="s">
        <v>7</v>
      </c>
      <c r="LQ770" s="27" t="s">
        <v>8</v>
      </c>
      <c r="LR770" s="27" t="s">
        <v>7</v>
      </c>
      <c r="LS770" s="27" t="s">
        <v>8</v>
      </c>
      <c r="LT770" s="27" t="s">
        <v>7</v>
      </c>
      <c r="LU770" s="27" t="s">
        <v>8</v>
      </c>
      <c r="LV770" s="27" t="s">
        <v>7</v>
      </c>
      <c r="LW770" s="27" t="s">
        <v>8</v>
      </c>
      <c r="OD770" s="27" t="s">
        <v>7</v>
      </c>
      <c r="OE770" s="27" t="s">
        <v>8</v>
      </c>
      <c r="OH770" s="27" t="s">
        <v>7</v>
      </c>
    </row>
    <row r="771" spans="1:403" x14ac:dyDescent="0.25">
      <c r="A771" s="7">
        <v>2.615582336353214E-2</v>
      </c>
      <c r="B771"/>
      <c r="C771"/>
      <c r="D771"/>
      <c r="E771"/>
      <c r="F771" s="27" t="s">
        <v>7</v>
      </c>
      <c r="DG771" s="27" t="s">
        <v>8</v>
      </c>
      <c r="DH771" s="27" t="s">
        <v>7</v>
      </c>
      <c r="GU771" s="27" t="s">
        <v>8</v>
      </c>
      <c r="GV771" s="27" t="s">
        <v>7</v>
      </c>
      <c r="GW771" s="27" t="s">
        <v>8</v>
      </c>
      <c r="GX771" s="27" t="s">
        <v>7</v>
      </c>
      <c r="GY771" s="27" t="s">
        <v>8</v>
      </c>
      <c r="GZ771" s="27" t="s">
        <v>7</v>
      </c>
      <c r="HG771" s="27" t="s">
        <v>8</v>
      </c>
      <c r="HH771" s="27" t="s">
        <v>7</v>
      </c>
      <c r="HI771" s="27" t="s">
        <v>8</v>
      </c>
      <c r="IX771" s="27" t="s">
        <v>7</v>
      </c>
      <c r="IY771" s="27" t="s">
        <v>8</v>
      </c>
      <c r="IZ771" s="27" t="s">
        <v>7</v>
      </c>
      <c r="JA771" s="27" t="s">
        <v>8</v>
      </c>
      <c r="JB771" s="27" t="s">
        <v>7</v>
      </c>
      <c r="JC771" s="27" t="s">
        <v>8</v>
      </c>
      <c r="JF771" s="27" t="s">
        <v>7</v>
      </c>
      <c r="JG771" s="27" t="s">
        <v>8</v>
      </c>
      <c r="JH771" s="27" t="s">
        <v>7</v>
      </c>
      <c r="JN771" s="27" t="s">
        <v>7</v>
      </c>
      <c r="JO771" s="27" t="s">
        <v>8</v>
      </c>
      <c r="JV771" s="27" t="s">
        <v>7</v>
      </c>
      <c r="KO771" s="27" t="s">
        <v>8</v>
      </c>
      <c r="KP771" s="27" t="s">
        <v>7</v>
      </c>
      <c r="KQ771" s="27" t="s">
        <v>8</v>
      </c>
      <c r="KR771" s="27" t="s">
        <v>7</v>
      </c>
      <c r="KS771" s="27" t="s">
        <v>8</v>
      </c>
      <c r="LP771" s="27" t="s">
        <v>7</v>
      </c>
      <c r="LQ771" s="27" t="s">
        <v>8</v>
      </c>
      <c r="LR771" s="27" t="s">
        <v>7</v>
      </c>
      <c r="LS771" s="27" t="s">
        <v>8</v>
      </c>
      <c r="LT771" s="27" t="s">
        <v>7</v>
      </c>
      <c r="LU771" s="27" t="s">
        <v>8</v>
      </c>
      <c r="LV771" s="27" t="s">
        <v>7</v>
      </c>
      <c r="LW771" s="27" t="s">
        <v>8</v>
      </c>
      <c r="OD771" s="27" t="s">
        <v>7</v>
      </c>
      <c r="OE771" s="27" t="s">
        <v>8</v>
      </c>
      <c r="OH771" s="27" t="s">
        <v>7</v>
      </c>
      <c r="OI771" s="27" t="s">
        <v>8</v>
      </c>
    </row>
    <row r="772" spans="1:403" x14ac:dyDescent="0.25">
      <c r="A772" s="7">
        <v>2.5642964081894253E-2</v>
      </c>
      <c r="B772"/>
      <c r="C772"/>
      <c r="D772"/>
      <c r="E772"/>
      <c r="F772" s="27" t="s">
        <v>7</v>
      </c>
      <c r="DG772" s="27" t="s">
        <v>8</v>
      </c>
      <c r="DH772" s="27" t="s">
        <v>7</v>
      </c>
      <c r="GU772" s="27" t="s">
        <v>8</v>
      </c>
      <c r="GV772" s="27" t="s">
        <v>7</v>
      </c>
      <c r="GW772" s="27" t="s">
        <v>8</v>
      </c>
      <c r="GX772" s="27" t="s">
        <v>7</v>
      </c>
      <c r="GY772" s="27" t="s">
        <v>8</v>
      </c>
      <c r="GZ772" s="27" t="s">
        <v>7</v>
      </c>
      <c r="HG772" s="27" t="s">
        <v>8</v>
      </c>
      <c r="HH772" s="27" t="s">
        <v>7</v>
      </c>
      <c r="HI772" s="27" t="s">
        <v>8</v>
      </c>
      <c r="IX772" s="27" t="s">
        <v>7</v>
      </c>
      <c r="IY772" s="27" t="s">
        <v>8</v>
      </c>
      <c r="IZ772" s="27" t="s">
        <v>7</v>
      </c>
      <c r="JA772" s="27" t="s">
        <v>8</v>
      </c>
      <c r="JB772" s="27" t="s">
        <v>7</v>
      </c>
      <c r="JC772" s="27" t="s">
        <v>8</v>
      </c>
      <c r="JF772" s="27" t="s">
        <v>7</v>
      </c>
      <c r="JG772" s="27" t="s">
        <v>8</v>
      </c>
      <c r="JN772" s="27" t="s">
        <v>7</v>
      </c>
      <c r="JO772" s="27" t="s">
        <v>8</v>
      </c>
      <c r="JV772" s="27" t="s">
        <v>7</v>
      </c>
      <c r="JW772" s="27" t="s">
        <v>8</v>
      </c>
      <c r="KE772" s="27" t="s">
        <v>8</v>
      </c>
      <c r="KO772" s="27" t="s">
        <v>8</v>
      </c>
      <c r="KP772" s="27" t="s">
        <v>7</v>
      </c>
      <c r="KQ772" s="27" t="s">
        <v>8</v>
      </c>
      <c r="KR772" s="27" t="s">
        <v>7</v>
      </c>
      <c r="KS772" s="27" t="s">
        <v>8</v>
      </c>
      <c r="LP772" s="27" t="s">
        <v>7</v>
      </c>
      <c r="LQ772" s="27" t="s">
        <v>8</v>
      </c>
      <c r="LR772" s="27" t="s">
        <v>7</v>
      </c>
      <c r="LT772" s="27" t="s">
        <v>7</v>
      </c>
      <c r="LU772" s="27" t="s">
        <v>8</v>
      </c>
      <c r="LV772" s="27" t="s">
        <v>7</v>
      </c>
      <c r="LW772" s="27" t="s">
        <v>8</v>
      </c>
      <c r="OD772" s="27" t="s">
        <v>7</v>
      </c>
      <c r="OE772" s="27" t="s">
        <v>8</v>
      </c>
      <c r="OH772" s="27" t="s">
        <v>7</v>
      </c>
      <c r="OI772" s="27" t="s">
        <v>8</v>
      </c>
      <c r="OJ772" s="27" t="s">
        <v>7</v>
      </c>
    </row>
    <row r="773" spans="1:403" x14ac:dyDescent="0.25">
      <c r="A773" s="7">
        <v>2.5140160864602207E-2</v>
      </c>
      <c r="B773"/>
      <c r="C773"/>
      <c r="D773"/>
      <c r="E773"/>
      <c r="F773" s="27" t="s">
        <v>7</v>
      </c>
      <c r="DG773" s="27" t="s">
        <v>8</v>
      </c>
      <c r="DH773" s="27" t="s">
        <v>7</v>
      </c>
      <c r="GU773" s="27" t="s">
        <v>8</v>
      </c>
      <c r="GV773" s="27" t="s">
        <v>7</v>
      </c>
      <c r="GW773" s="27" t="s">
        <v>8</v>
      </c>
      <c r="GX773" s="27" t="s">
        <v>7</v>
      </c>
      <c r="GZ773" s="27" t="s">
        <v>7</v>
      </c>
      <c r="HG773" s="27" t="s">
        <v>8</v>
      </c>
      <c r="HH773" s="27" t="s">
        <v>7</v>
      </c>
      <c r="HI773" s="27" t="s">
        <v>8</v>
      </c>
      <c r="IX773" s="27" t="s">
        <v>7</v>
      </c>
      <c r="IY773" s="27" t="s">
        <v>8</v>
      </c>
      <c r="IZ773" s="27" t="s">
        <v>7</v>
      </c>
      <c r="JB773" s="27" t="s">
        <v>7</v>
      </c>
      <c r="JC773" s="27" t="s">
        <v>8</v>
      </c>
      <c r="JF773" s="27" t="s">
        <v>7</v>
      </c>
      <c r="JG773" s="27" t="s">
        <v>8</v>
      </c>
      <c r="JN773" s="27" t="s">
        <v>7</v>
      </c>
      <c r="JO773" s="27" t="s">
        <v>8</v>
      </c>
      <c r="JV773" s="27" t="s">
        <v>7</v>
      </c>
      <c r="JW773" s="27" t="s">
        <v>8</v>
      </c>
      <c r="JX773" s="27" t="s">
        <v>7</v>
      </c>
      <c r="KE773" s="27" t="s">
        <v>8</v>
      </c>
      <c r="KF773" s="27" t="s">
        <v>7</v>
      </c>
      <c r="KG773" s="27" t="s">
        <v>8</v>
      </c>
      <c r="KO773" s="27" t="s">
        <v>8</v>
      </c>
      <c r="KP773" s="27" t="s">
        <v>7</v>
      </c>
      <c r="KQ773" s="27" t="s">
        <v>8</v>
      </c>
      <c r="KR773" s="27" t="s">
        <v>7</v>
      </c>
      <c r="LP773" s="27" t="s">
        <v>7</v>
      </c>
      <c r="LQ773" s="27" t="s">
        <v>8</v>
      </c>
      <c r="LT773" s="27" t="s">
        <v>7</v>
      </c>
      <c r="LV773" s="27" t="s">
        <v>7</v>
      </c>
      <c r="LW773" s="27" t="s">
        <v>8</v>
      </c>
      <c r="OD773" s="27" t="s">
        <v>7</v>
      </c>
      <c r="OH773" s="27" t="s">
        <v>7</v>
      </c>
      <c r="OI773" s="27" t="s">
        <v>8</v>
      </c>
      <c r="OJ773" s="27" t="s">
        <v>7</v>
      </c>
    </row>
    <row r="774" spans="1:403" x14ac:dyDescent="0.25">
      <c r="A774" s="7">
        <v>2.4647216533923735E-2</v>
      </c>
      <c r="B774"/>
      <c r="C774"/>
      <c r="D774"/>
      <c r="E774"/>
      <c r="F774" s="27" t="s">
        <v>7</v>
      </c>
      <c r="DG774" s="27" t="s">
        <v>8</v>
      </c>
      <c r="DH774" s="27" t="s">
        <v>7</v>
      </c>
      <c r="GU774" s="27" t="s">
        <v>8</v>
      </c>
      <c r="GV774" s="27" t="s">
        <v>7</v>
      </c>
      <c r="GW774" s="27" t="s">
        <v>8</v>
      </c>
      <c r="GZ774" s="27" t="s">
        <v>7</v>
      </c>
      <c r="HG774" s="27" t="s">
        <v>8</v>
      </c>
      <c r="HH774" s="27" t="s">
        <v>7</v>
      </c>
      <c r="HI774" s="27" t="s">
        <v>8</v>
      </c>
      <c r="IX774" s="27" t="s">
        <v>7</v>
      </c>
      <c r="JB774" s="27" t="s">
        <v>7</v>
      </c>
      <c r="JC774" s="27" t="s">
        <v>8</v>
      </c>
      <c r="JF774" s="27" t="s">
        <v>7</v>
      </c>
      <c r="JN774" s="27" t="s">
        <v>7</v>
      </c>
      <c r="JO774" s="27" t="s">
        <v>8</v>
      </c>
      <c r="JV774" s="27" t="s">
        <v>7</v>
      </c>
      <c r="JW774" s="27" t="s">
        <v>8</v>
      </c>
      <c r="JX774" s="27" t="s">
        <v>7</v>
      </c>
      <c r="KA774" s="27" t="s">
        <v>8</v>
      </c>
      <c r="KC774" s="27" t="s">
        <v>8</v>
      </c>
      <c r="KE774" s="27" t="s">
        <v>8</v>
      </c>
      <c r="KF774" s="27" t="s">
        <v>7</v>
      </c>
      <c r="KG774" s="27" t="s">
        <v>8</v>
      </c>
      <c r="KH774" s="27" t="s">
        <v>7</v>
      </c>
      <c r="KO774" s="27" t="s">
        <v>8</v>
      </c>
      <c r="KP774" s="27" t="s">
        <v>7</v>
      </c>
      <c r="KQ774" s="27" t="s">
        <v>8</v>
      </c>
      <c r="LP774" s="27" t="s">
        <v>7</v>
      </c>
      <c r="LQ774" s="27" t="s">
        <v>8</v>
      </c>
      <c r="LV774" s="27" t="s">
        <v>7</v>
      </c>
      <c r="LW774" s="27" t="s">
        <v>8</v>
      </c>
      <c r="OH774" s="27" t="s">
        <v>7</v>
      </c>
      <c r="OJ774" s="27" t="s">
        <v>7</v>
      </c>
    </row>
    <row r="775" spans="1:403" x14ac:dyDescent="0.25">
      <c r="A775" s="7">
        <v>2.4163937778356601E-2</v>
      </c>
      <c r="B775"/>
      <c r="C775"/>
      <c r="D775"/>
      <c r="E775"/>
      <c r="F775" s="27" t="s">
        <v>7</v>
      </c>
      <c r="DG775" s="27" t="s">
        <v>8</v>
      </c>
      <c r="DH775" s="27" t="s">
        <v>7</v>
      </c>
      <c r="GS775" s="27" t="s">
        <v>8</v>
      </c>
      <c r="GU775" s="27" t="s">
        <v>8</v>
      </c>
      <c r="GV775" s="27" t="s">
        <v>7</v>
      </c>
      <c r="GW775" s="27" t="s">
        <v>8</v>
      </c>
      <c r="GZ775" s="27" t="s">
        <v>7</v>
      </c>
      <c r="HG775" s="27" t="s">
        <v>8</v>
      </c>
      <c r="HH775" s="27" t="s">
        <v>7</v>
      </c>
      <c r="HI775" s="27" t="s">
        <v>8</v>
      </c>
      <c r="JB775" s="27" t="s">
        <v>7</v>
      </c>
      <c r="JC775" s="27" t="s">
        <v>8</v>
      </c>
      <c r="JN775" s="27" t="s">
        <v>7</v>
      </c>
      <c r="JO775" s="27" t="s">
        <v>8</v>
      </c>
      <c r="JV775" s="27" t="s">
        <v>7</v>
      </c>
      <c r="JW775" s="27" t="s">
        <v>8</v>
      </c>
      <c r="JX775" s="27" t="s">
        <v>7</v>
      </c>
      <c r="JY775" s="27" t="s">
        <v>8</v>
      </c>
      <c r="KA775" s="27" t="s">
        <v>8</v>
      </c>
      <c r="KB775" s="27" t="s">
        <v>7</v>
      </c>
      <c r="KC775" s="27" t="s">
        <v>8</v>
      </c>
      <c r="KD775" s="27" t="s">
        <v>7</v>
      </c>
      <c r="KE775" s="27" t="s">
        <v>8</v>
      </c>
      <c r="KF775" s="27" t="s">
        <v>7</v>
      </c>
      <c r="KG775" s="27" t="s">
        <v>8</v>
      </c>
      <c r="KH775" s="27" t="s">
        <v>7</v>
      </c>
      <c r="KO775" s="27" t="s">
        <v>8</v>
      </c>
      <c r="KP775" s="27" t="s">
        <v>7</v>
      </c>
      <c r="KQ775" s="27" t="s">
        <v>8</v>
      </c>
      <c r="LP775" s="27" t="s">
        <v>7</v>
      </c>
      <c r="LV775" s="27" t="s">
        <v>7</v>
      </c>
      <c r="LW775" s="27" t="s">
        <v>8</v>
      </c>
      <c r="OJ775" s="27" t="s">
        <v>7</v>
      </c>
    </row>
    <row r="776" spans="1:403" x14ac:dyDescent="0.25">
      <c r="A776" s="7">
        <v>2.3690135076820197E-2</v>
      </c>
      <c r="B776"/>
      <c r="C776"/>
      <c r="D776"/>
      <c r="E776"/>
      <c r="F776" s="27" t="s">
        <v>7</v>
      </c>
      <c r="DG776" s="27" t="s">
        <v>8</v>
      </c>
      <c r="DH776" s="27" t="s">
        <v>7</v>
      </c>
      <c r="GQ776" s="27" t="s">
        <v>8</v>
      </c>
      <c r="GS776" s="27" t="s">
        <v>8</v>
      </c>
      <c r="GT776" s="27" t="s">
        <v>7</v>
      </c>
      <c r="GU776" s="27" t="s">
        <v>8</v>
      </c>
      <c r="GV776" s="27" t="s">
        <v>7</v>
      </c>
      <c r="GZ776" s="27" t="s">
        <v>7</v>
      </c>
      <c r="HG776" s="27" t="s">
        <v>8</v>
      </c>
      <c r="HH776" s="27" t="s">
        <v>7</v>
      </c>
      <c r="HI776" s="27" t="s">
        <v>8</v>
      </c>
      <c r="JB776" s="27" t="s">
        <v>7</v>
      </c>
      <c r="JC776" s="27" t="s">
        <v>8</v>
      </c>
      <c r="JN776" s="27" t="s">
        <v>7</v>
      </c>
      <c r="JV776" s="27" t="s">
        <v>7</v>
      </c>
      <c r="JW776" s="27" t="s">
        <v>8</v>
      </c>
      <c r="JX776" s="27" t="s">
        <v>7</v>
      </c>
      <c r="JY776" s="27" t="s">
        <v>8</v>
      </c>
      <c r="JZ776" s="27" t="s">
        <v>7</v>
      </c>
      <c r="KA776" s="27" t="s">
        <v>8</v>
      </c>
      <c r="KB776" s="27" t="s">
        <v>7</v>
      </c>
      <c r="KC776" s="27" t="s">
        <v>8</v>
      </c>
      <c r="KD776" s="27" t="s">
        <v>7</v>
      </c>
      <c r="KE776" s="27" t="s">
        <v>8</v>
      </c>
      <c r="KF776" s="27" t="s">
        <v>7</v>
      </c>
      <c r="KG776" s="27" t="s">
        <v>8</v>
      </c>
      <c r="KH776" s="27" t="s">
        <v>7</v>
      </c>
      <c r="KK776" s="27" t="s">
        <v>8</v>
      </c>
      <c r="KO776" s="27" t="s">
        <v>8</v>
      </c>
      <c r="KP776" s="27" t="s">
        <v>7</v>
      </c>
      <c r="LV776" s="27" t="s">
        <v>7</v>
      </c>
      <c r="OJ776" s="27" t="s">
        <v>7</v>
      </c>
    </row>
    <row r="777" spans="1:403" x14ac:dyDescent="0.25">
      <c r="A777" s="7">
        <v>2.3225622624333527E-2</v>
      </c>
      <c r="B777"/>
      <c r="C777"/>
      <c r="D777"/>
      <c r="E777"/>
      <c r="F777" s="27" t="s">
        <v>7</v>
      </c>
      <c r="DG777" s="27" t="s">
        <v>8</v>
      </c>
      <c r="DH777" s="27" t="s">
        <v>7</v>
      </c>
      <c r="GQ777" s="27" t="s">
        <v>8</v>
      </c>
      <c r="GR777" s="27" t="s">
        <v>7</v>
      </c>
      <c r="GS777" s="27" t="s">
        <v>8</v>
      </c>
      <c r="GT777" s="27" t="s">
        <v>7</v>
      </c>
      <c r="GU777" s="27" t="s">
        <v>8</v>
      </c>
      <c r="GZ777" s="27" t="s">
        <v>7</v>
      </c>
      <c r="HG777" s="27" t="s">
        <v>8</v>
      </c>
      <c r="HH777" s="27" t="s">
        <v>7</v>
      </c>
      <c r="JB777" s="27" t="s">
        <v>7</v>
      </c>
      <c r="JC777" s="27" t="s">
        <v>8</v>
      </c>
      <c r="JV777" s="27" t="s">
        <v>7</v>
      </c>
      <c r="JW777" s="27" t="s">
        <v>8</v>
      </c>
      <c r="JX777" s="27" t="s">
        <v>7</v>
      </c>
      <c r="JY777" s="27" t="s">
        <v>8</v>
      </c>
      <c r="JZ777" s="27" t="s">
        <v>7</v>
      </c>
      <c r="KA777" s="27" t="s">
        <v>8</v>
      </c>
      <c r="KB777" s="27" t="s">
        <v>7</v>
      </c>
      <c r="KC777" s="27" t="s">
        <v>8</v>
      </c>
      <c r="KD777" s="27" t="s">
        <v>7</v>
      </c>
      <c r="KE777" s="27" t="s">
        <v>8</v>
      </c>
      <c r="KF777" s="27" t="s">
        <v>7</v>
      </c>
      <c r="KG777" s="27" t="s">
        <v>8</v>
      </c>
      <c r="KH777" s="27" t="s">
        <v>7</v>
      </c>
      <c r="KK777" s="27" t="s">
        <v>8</v>
      </c>
      <c r="KL777" s="27" t="s">
        <v>7</v>
      </c>
      <c r="KO777" s="27" t="s">
        <v>8</v>
      </c>
      <c r="OJ777" s="27" t="s">
        <v>7</v>
      </c>
    </row>
    <row r="778" spans="1:403" x14ac:dyDescent="0.25">
      <c r="A778" s="7">
        <v>2.2770218259150519E-2</v>
      </c>
      <c r="B778"/>
      <c r="C778"/>
      <c r="D778"/>
      <c r="E778"/>
      <c r="F778" s="27" t="s">
        <v>7</v>
      </c>
      <c r="DG778" s="27" t="s">
        <v>8</v>
      </c>
      <c r="DH778" s="27" t="s">
        <v>7</v>
      </c>
      <c r="GQ778" s="27" t="s">
        <v>8</v>
      </c>
      <c r="GR778" s="27" t="s">
        <v>7</v>
      </c>
      <c r="GS778" s="27" t="s">
        <v>8</v>
      </c>
      <c r="GT778" s="27" t="s">
        <v>7</v>
      </c>
      <c r="GU778" s="27" t="s">
        <v>8</v>
      </c>
      <c r="GZ778" s="27" t="s">
        <v>7</v>
      </c>
      <c r="HG778" s="27" t="s">
        <v>8</v>
      </c>
      <c r="JB778" s="27" t="s">
        <v>7</v>
      </c>
      <c r="JC778" s="27" t="s">
        <v>8</v>
      </c>
      <c r="JV778" s="27" t="s">
        <v>7</v>
      </c>
      <c r="JW778" s="27" t="s">
        <v>8</v>
      </c>
      <c r="JX778" s="27" t="s">
        <v>7</v>
      </c>
      <c r="JY778" s="27" t="s">
        <v>8</v>
      </c>
      <c r="JZ778" s="27" t="s">
        <v>7</v>
      </c>
      <c r="KA778" s="27" t="s">
        <v>8</v>
      </c>
      <c r="KB778" s="27" t="s">
        <v>7</v>
      </c>
      <c r="KC778" s="27" t="s">
        <v>8</v>
      </c>
      <c r="KD778" s="27" t="s">
        <v>7</v>
      </c>
      <c r="KE778" s="27" t="s">
        <v>8</v>
      </c>
      <c r="KF778" s="27" t="s">
        <v>7</v>
      </c>
      <c r="KG778" s="27" t="s">
        <v>8</v>
      </c>
      <c r="KH778" s="27" t="s">
        <v>7</v>
      </c>
      <c r="KK778" s="27" t="s">
        <v>8</v>
      </c>
      <c r="KL778" s="27" t="s">
        <v>7</v>
      </c>
      <c r="KO778" s="27" t="s">
        <v>8</v>
      </c>
      <c r="OJ778" s="27" t="s">
        <v>7</v>
      </c>
    </row>
    <row r="779" spans="1:403" x14ac:dyDescent="0.25">
      <c r="A779" s="7">
        <v>2.2323743391324039E-2</v>
      </c>
      <c r="B779"/>
      <c r="C779"/>
      <c r="D779"/>
      <c r="E779"/>
      <c r="F779" s="27" t="s">
        <v>7</v>
      </c>
      <c r="DG779" s="27" t="s">
        <v>8</v>
      </c>
      <c r="DH779" s="27" t="s">
        <v>7</v>
      </c>
      <c r="GQ779" s="27" t="s">
        <v>8</v>
      </c>
      <c r="GR779" s="27" t="s">
        <v>7</v>
      </c>
      <c r="GS779" s="27" t="s">
        <v>8</v>
      </c>
      <c r="GT779" s="27" t="s">
        <v>7</v>
      </c>
      <c r="GU779" s="27" t="s">
        <v>8</v>
      </c>
      <c r="GZ779" s="27" t="s">
        <v>7</v>
      </c>
      <c r="HG779" s="27" t="s">
        <v>8</v>
      </c>
      <c r="JB779" s="27" t="s">
        <v>7</v>
      </c>
      <c r="JC779" s="27" t="s">
        <v>8</v>
      </c>
      <c r="JV779" s="27" t="s">
        <v>7</v>
      </c>
      <c r="JW779" s="27" t="s">
        <v>8</v>
      </c>
      <c r="JX779" s="27" t="s">
        <v>7</v>
      </c>
      <c r="JY779" s="27" t="s">
        <v>8</v>
      </c>
      <c r="JZ779" s="27" t="s">
        <v>7</v>
      </c>
      <c r="KA779" s="27" t="s">
        <v>8</v>
      </c>
      <c r="KB779" s="27" t="s">
        <v>7</v>
      </c>
      <c r="KC779" s="27" t="s">
        <v>8</v>
      </c>
      <c r="KD779" s="27" t="s">
        <v>7</v>
      </c>
      <c r="KE779" s="27" t="s">
        <v>8</v>
      </c>
      <c r="KF779" s="27" t="s">
        <v>7</v>
      </c>
      <c r="KG779" s="27" t="s">
        <v>8</v>
      </c>
      <c r="KH779" s="27" t="s">
        <v>7</v>
      </c>
      <c r="KK779" s="27" t="s">
        <v>8</v>
      </c>
      <c r="KL779" s="27" t="s">
        <v>7</v>
      </c>
      <c r="KM779" s="27" t="s">
        <v>8</v>
      </c>
      <c r="KO779" s="27" t="s">
        <v>8</v>
      </c>
      <c r="OJ779" s="27" t="s">
        <v>7</v>
      </c>
    </row>
    <row r="780" spans="1:403" x14ac:dyDescent="0.25">
      <c r="A780" s="7">
        <v>2.188602293267063E-2</v>
      </c>
      <c r="B780"/>
      <c r="C780"/>
      <c r="D780"/>
      <c r="E780"/>
      <c r="F780" s="27" t="s">
        <v>7</v>
      </c>
      <c r="DG780" s="27" t="s">
        <v>8</v>
      </c>
      <c r="DH780" s="27" t="s">
        <v>7</v>
      </c>
      <c r="GQ780" s="27" t="s">
        <v>8</v>
      </c>
      <c r="GR780" s="27" t="s">
        <v>7</v>
      </c>
      <c r="GS780" s="27" t="s">
        <v>8</v>
      </c>
      <c r="GT780" s="27" t="s">
        <v>7</v>
      </c>
      <c r="GU780" s="27" t="s">
        <v>8</v>
      </c>
      <c r="GZ780" s="27" t="s">
        <v>7</v>
      </c>
      <c r="HA780" s="27" t="s">
        <v>8</v>
      </c>
      <c r="HG780" s="27" t="s">
        <v>8</v>
      </c>
      <c r="JB780" s="27" t="s">
        <v>7</v>
      </c>
      <c r="JC780" s="27" t="s">
        <v>8</v>
      </c>
      <c r="JV780" s="27" t="s">
        <v>7</v>
      </c>
      <c r="JW780" s="27" t="s">
        <v>8</v>
      </c>
      <c r="JX780" s="27" t="s">
        <v>7</v>
      </c>
      <c r="JY780" s="27" t="s">
        <v>8</v>
      </c>
      <c r="JZ780" s="27" t="s">
        <v>7</v>
      </c>
      <c r="KA780" s="27" t="s">
        <v>8</v>
      </c>
      <c r="KB780" s="27" t="s">
        <v>7</v>
      </c>
      <c r="KC780" s="27" t="s">
        <v>8</v>
      </c>
      <c r="KD780" s="27" t="s">
        <v>7</v>
      </c>
      <c r="KF780" s="27" t="s">
        <v>7</v>
      </c>
      <c r="KG780" s="27" t="s">
        <v>8</v>
      </c>
      <c r="KH780" s="27" t="s">
        <v>7</v>
      </c>
      <c r="KK780" s="27" t="s">
        <v>8</v>
      </c>
      <c r="KL780" s="27" t="s">
        <v>7</v>
      </c>
      <c r="KM780" s="27" t="s">
        <v>8</v>
      </c>
      <c r="KN780" s="27" t="s">
        <v>7</v>
      </c>
      <c r="KO780" s="27" t="s">
        <v>8</v>
      </c>
      <c r="OJ780" s="27" t="s">
        <v>7</v>
      </c>
    </row>
    <row r="781" spans="1:403" x14ac:dyDescent="0.25">
      <c r="A781" s="7">
        <v>2.1456885228108461E-2</v>
      </c>
      <c r="B781"/>
      <c r="C781"/>
      <c r="D781"/>
      <c r="E781"/>
      <c r="F781" s="27" t="s">
        <v>7</v>
      </c>
      <c r="DG781" s="27" t="s">
        <v>8</v>
      </c>
      <c r="DH781" s="27" t="s">
        <v>7</v>
      </c>
      <c r="GQ781" s="27" t="s">
        <v>8</v>
      </c>
      <c r="GR781" s="27" t="s">
        <v>7</v>
      </c>
      <c r="GS781" s="27" t="s">
        <v>8</v>
      </c>
      <c r="GT781" s="27" t="s">
        <v>7</v>
      </c>
      <c r="GU781" s="27" t="s">
        <v>8</v>
      </c>
      <c r="GZ781" s="27" t="s">
        <v>7</v>
      </c>
      <c r="HA781" s="27" t="s">
        <v>8</v>
      </c>
      <c r="HB781" s="27" t="s">
        <v>7</v>
      </c>
      <c r="HG781" s="27" t="s">
        <v>8</v>
      </c>
      <c r="JB781" s="27" t="s">
        <v>7</v>
      </c>
      <c r="JC781" s="27" t="s">
        <v>8</v>
      </c>
      <c r="JV781" s="27" t="s">
        <v>7</v>
      </c>
      <c r="JW781" s="27" t="s">
        <v>8</v>
      </c>
      <c r="JX781" s="27" t="s">
        <v>7</v>
      </c>
      <c r="JY781" s="27" t="s">
        <v>8</v>
      </c>
      <c r="JZ781" s="27" t="s">
        <v>7</v>
      </c>
      <c r="KA781" s="27" t="s">
        <v>8</v>
      </c>
      <c r="KB781" s="27" t="s">
        <v>7</v>
      </c>
      <c r="KF781" s="27" t="s">
        <v>7</v>
      </c>
      <c r="KH781" s="27" t="s">
        <v>7</v>
      </c>
      <c r="KK781" s="27" t="s">
        <v>8</v>
      </c>
      <c r="KL781" s="27" t="s">
        <v>7</v>
      </c>
      <c r="KM781" s="27" t="s">
        <v>8</v>
      </c>
      <c r="KN781" s="27" t="s">
        <v>7</v>
      </c>
      <c r="KO781" s="27" t="s">
        <v>8</v>
      </c>
      <c r="OJ781" s="27" t="s">
        <v>7</v>
      </c>
    </row>
    <row r="782" spans="1:403" x14ac:dyDescent="0.25">
      <c r="A782" s="7">
        <v>2.1036161988341632E-2</v>
      </c>
      <c r="B782"/>
      <c r="C782"/>
      <c r="D782"/>
      <c r="E782"/>
      <c r="F782" s="27" t="s">
        <v>7</v>
      </c>
      <c r="DG782" s="27" t="s">
        <v>8</v>
      </c>
      <c r="DH782" s="27" t="s">
        <v>7</v>
      </c>
      <c r="GQ782" s="27" t="s">
        <v>8</v>
      </c>
      <c r="GR782" s="27" t="s">
        <v>7</v>
      </c>
      <c r="GS782" s="27" t="s">
        <v>8</v>
      </c>
      <c r="GT782" s="27" t="s">
        <v>7</v>
      </c>
      <c r="GU782" s="27" t="s">
        <v>8</v>
      </c>
      <c r="GZ782" s="27" t="s">
        <v>7</v>
      </c>
      <c r="HA782" s="27" t="s">
        <v>8</v>
      </c>
      <c r="HB782" s="27" t="s">
        <v>7</v>
      </c>
      <c r="HG782" s="27" t="s">
        <v>8</v>
      </c>
      <c r="JB782" s="27" t="s">
        <v>7</v>
      </c>
      <c r="JC782" s="27" t="s">
        <v>8</v>
      </c>
      <c r="JV782" s="27" t="s">
        <v>7</v>
      </c>
      <c r="JW782" s="27" t="s">
        <v>8</v>
      </c>
      <c r="JX782" s="27" t="s">
        <v>7</v>
      </c>
      <c r="JY782" s="27" t="s">
        <v>8</v>
      </c>
      <c r="JZ782" s="27" t="s">
        <v>7</v>
      </c>
      <c r="KA782" s="27" t="s">
        <v>8</v>
      </c>
      <c r="KH782" s="27" t="s">
        <v>7</v>
      </c>
      <c r="KK782" s="27" t="s">
        <v>8</v>
      </c>
      <c r="KL782" s="27" t="s">
        <v>7</v>
      </c>
      <c r="KN782" s="27" t="s">
        <v>7</v>
      </c>
      <c r="KO782" s="27" t="s">
        <v>8</v>
      </c>
      <c r="OJ782" s="27" t="s">
        <v>7</v>
      </c>
    </row>
    <row r="783" spans="1:403" x14ac:dyDescent="0.25">
      <c r="A783" s="7">
        <v>2.0623688223864345E-2</v>
      </c>
      <c r="B783"/>
      <c r="C783"/>
      <c r="D783"/>
      <c r="E783"/>
      <c r="F783" s="27" t="s">
        <v>7</v>
      </c>
      <c r="DG783" s="27" t="s">
        <v>8</v>
      </c>
      <c r="DH783" s="27" t="s">
        <v>7</v>
      </c>
      <c r="GQ783" s="27" t="s">
        <v>8</v>
      </c>
      <c r="GR783" s="27" t="s">
        <v>7</v>
      </c>
      <c r="GS783" s="27" t="s">
        <v>8</v>
      </c>
      <c r="GT783" s="27" t="s">
        <v>7</v>
      </c>
      <c r="GU783" s="27" t="s">
        <v>8</v>
      </c>
      <c r="GZ783" s="27" t="s">
        <v>7</v>
      </c>
      <c r="HA783" s="27" t="s">
        <v>8</v>
      </c>
      <c r="HB783" s="27" t="s">
        <v>7</v>
      </c>
      <c r="HC783" s="27" t="s">
        <v>8</v>
      </c>
      <c r="HG783" s="27" t="s">
        <v>8</v>
      </c>
      <c r="JB783" s="27" t="s">
        <v>7</v>
      </c>
      <c r="JC783" s="27" t="s">
        <v>8</v>
      </c>
      <c r="JV783" s="27" t="s">
        <v>7</v>
      </c>
      <c r="JW783" s="27" t="s">
        <v>8</v>
      </c>
      <c r="JX783" s="27" t="s">
        <v>7</v>
      </c>
      <c r="JY783" s="27" t="s">
        <v>8</v>
      </c>
      <c r="JZ783" s="27" t="s">
        <v>7</v>
      </c>
      <c r="KA783" s="27" t="s">
        <v>8</v>
      </c>
      <c r="KH783" s="27" t="s">
        <v>7</v>
      </c>
      <c r="KI783" s="27" t="s">
        <v>8</v>
      </c>
      <c r="KK783" s="27" t="s">
        <v>8</v>
      </c>
      <c r="KN783" s="27" t="s">
        <v>7</v>
      </c>
      <c r="OJ783" s="27" t="s">
        <v>7</v>
      </c>
    </row>
    <row r="784" spans="1:403" x14ac:dyDescent="0.25">
      <c r="A784" s="7">
        <v>2.021930218025916E-2</v>
      </c>
      <c r="B784"/>
      <c r="C784"/>
      <c r="D784"/>
      <c r="E784"/>
      <c r="F784" s="27" t="s">
        <v>7</v>
      </c>
      <c r="DG784" s="27" t="s">
        <v>8</v>
      </c>
      <c r="DH784" s="27" t="s">
        <v>7</v>
      </c>
      <c r="GQ784" s="27" t="s">
        <v>8</v>
      </c>
      <c r="GR784" s="27" t="s">
        <v>7</v>
      </c>
      <c r="GS784" s="27" t="s">
        <v>8</v>
      </c>
      <c r="GT784" s="27" t="s">
        <v>7</v>
      </c>
      <c r="GU784" s="27" t="s">
        <v>8</v>
      </c>
      <c r="GZ784" s="27" t="s">
        <v>7</v>
      </c>
      <c r="HA784" s="27" t="s">
        <v>8</v>
      </c>
      <c r="HB784" s="27" t="s">
        <v>7</v>
      </c>
      <c r="HC784" s="27" t="s">
        <v>8</v>
      </c>
      <c r="HD784" s="27" t="s">
        <v>7</v>
      </c>
      <c r="HG784" s="27" t="s">
        <v>8</v>
      </c>
      <c r="JB784" s="27" t="s">
        <v>7</v>
      </c>
      <c r="JC784" s="27" t="s">
        <v>8</v>
      </c>
      <c r="JV784" s="27" t="s">
        <v>7</v>
      </c>
      <c r="JW784" s="27" t="s">
        <v>8</v>
      </c>
      <c r="JX784" s="27" t="s">
        <v>7</v>
      </c>
      <c r="JY784" s="27" t="s">
        <v>8</v>
      </c>
      <c r="JZ784" s="27" t="s">
        <v>7</v>
      </c>
      <c r="KH784" s="27" t="s">
        <v>7</v>
      </c>
      <c r="KI784" s="27" t="s">
        <v>8</v>
      </c>
      <c r="KJ784" s="27" t="s">
        <v>7</v>
      </c>
      <c r="KK784" s="27" t="s">
        <v>8</v>
      </c>
      <c r="OJ784" s="27" t="s">
        <v>7</v>
      </c>
      <c r="OM784" s="27" t="s">
        <v>8</v>
      </c>
    </row>
    <row r="785" spans="1:404" x14ac:dyDescent="0.25">
      <c r="A785" s="7">
        <v>1.9822845274763884E-2</v>
      </c>
      <c r="B785"/>
      <c r="C785"/>
      <c r="D785"/>
      <c r="E785"/>
      <c r="F785" s="27" t="s">
        <v>7</v>
      </c>
      <c r="DG785" s="27" t="s">
        <v>8</v>
      </c>
      <c r="DH785" s="27" t="s">
        <v>7</v>
      </c>
      <c r="GQ785" s="27" t="s">
        <v>8</v>
      </c>
      <c r="GR785" s="27" t="s">
        <v>7</v>
      </c>
      <c r="GS785" s="27" t="s">
        <v>8</v>
      </c>
      <c r="GT785" s="27" t="s">
        <v>7</v>
      </c>
      <c r="GU785" s="27" t="s">
        <v>8</v>
      </c>
      <c r="GZ785" s="27" t="s">
        <v>7</v>
      </c>
      <c r="HA785" s="27" t="s">
        <v>8</v>
      </c>
      <c r="HB785" s="27" t="s">
        <v>7</v>
      </c>
      <c r="HC785" s="27" t="s">
        <v>8</v>
      </c>
      <c r="HD785" s="27" t="s">
        <v>7</v>
      </c>
      <c r="HE785" s="27" t="s">
        <v>8</v>
      </c>
      <c r="HG785" s="27" t="s">
        <v>8</v>
      </c>
      <c r="JB785" s="27" t="s">
        <v>7</v>
      </c>
      <c r="JC785" s="27" t="s">
        <v>8</v>
      </c>
      <c r="JV785" s="27" t="s">
        <v>7</v>
      </c>
      <c r="JW785" s="27" t="s">
        <v>8</v>
      </c>
      <c r="JX785" s="27" t="s">
        <v>7</v>
      </c>
      <c r="JY785" s="27" t="s">
        <v>8</v>
      </c>
      <c r="KH785" s="27" t="s">
        <v>7</v>
      </c>
      <c r="KI785" s="27" t="s">
        <v>8</v>
      </c>
      <c r="KJ785" s="27" t="s">
        <v>7</v>
      </c>
      <c r="KK785" s="27" t="s">
        <v>8</v>
      </c>
      <c r="OJ785" s="27" t="s">
        <v>7</v>
      </c>
      <c r="OK785" s="27" t="s">
        <v>8</v>
      </c>
      <c r="OM785" s="27" t="s">
        <v>8</v>
      </c>
      <c r="ON785" s="27" t="s">
        <v>7</v>
      </c>
    </row>
    <row r="786" spans="1:404" x14ac:dyDescent="0.25">
      <c r="A786" s="7">
        <v>1.9434162034082238E-2</v>
      </c>
      <c r="B786"/>
      <c r="C786"/>
      <c r="D786"/>
      <c r="E786"/>
      <c r="F786" s="27" t="s">
        <v>7</v>
      </c>
      <c r="DG786" s="27" t="s">
        <v>8</v>
      </c>
      <c r="DH786" s="27" t="s">
        <v>7</v>
      </c>
      <c r="GO786" s="27" t="s">
        <v>8</v>
      </c>
      <c r="GQ786" s="27" t="s">
        <v>8</v>
      </c>
      <c r="GR786" s="27" t="s">
        <v>7</v>
      </c>
      <c r="GT786" s="27" t="s">
        <v>7</v>
      </c>
      <c r="GU786" s="27" t="s">
        <v>8</v>
      </c>
      <c r="GZ786" s="27" t="s">
        <v>7</v>
      </c>
      <c r="HA786" s="27" t="s">
        <v>8</v>
      </c>
      <c r="HB786" s="27" t="s">
        <v>7</v>
      </c>
      <c r="HC786" s="27" t="s">
        <v>8</v>
      </c>
      <c r="HD786" s="27" t="s">
        <v>7</v>
      </c>
      <c r="HE786" s="27" t="s">
        <v>8</v>
      </c>
      <c r="HF786" s="27" t="s">
        <v>7</v>
      </c>
      <c r="HG786" s="27" t="s">
        <v>8</v>
      </c>
      <c r="JB786" s="27" t="s">
        <v>7</v>
      </c>
      <c r="JC786" s="27" t="s">
        <v>8</v>
      </c>
      <c r="JV786" s="27" t="s">
        <v>7</v>
      </c>
      <c r="JW786" s="27" t="s">
        <v>8</v>
      </c>
      <c r="JX786" s="27" t="s">
        <v>7</v>
      </c>
      <c r="JY786" s="27" t="s">
        <v>8</v>
      </c>
      <c r="KH786" s="27" t="s">
        <v>7</v>
      </c>
      <c r="KI786" s="27" t="s">
        <v>8</v>
      </c>
      <c r="KJ786" s="27" t="s">
        <v>7</v>
      </c>
      <c r="OJ786" s="27" t="s">
        <v>7</v>
      </c>
      <c r="OK786" s="27" t="s">
        <v>8</v>
      </c>
      <c r="OL786" s="27" t="s">
        <v>7</v>
      </c>
      <c r="OM786" s="27" t="s">
        <v>8</v>
      </c>
      <c r="ON786" s="27" t="s">
        <v>7</v>
      </c>
    </row>
    <row r="787" spans="1:404" x14ac:dyDescent="0.25">
      <c r="A787" s="7">
        <v>1.9053100033413959E-2</v>
      </c>
      <c r="B787"/>
      <c r="C787"/>
      <c r="D787"/>
      <c r="E787"/>
      <c r="F787" s="27" t="s">
        <v>7</v>
      </c>
      <c r="DG787" s="27" t="s">
        <v>8</v>
      </c>
      <c r="DH787" s="27" t="s">
        <v>7</v>
      </c>
      <c r="GO787" s="27" t="s">
        <v>8</v>
      </c>
      <c r="GP787" s="27" t="s">
        <v>7</v>
      </c>
      <c r="GQ787" s="27" t="s">
        <v>8</v>
      </c>
      <c r="GT787" s="27" t="s">
        <v>7</v>
      </c>
      <c r="GZ787" s="27" t="s">
        <v>7</v>
      </c>
      <c r="HA787" s="27" t="s">
        <v>8</v>
      </c>
      <c r="HB787" s="27" t="s">
        <v>7</v>
      </c>
      <c r="HC787" s="27" t="s">
        <v>8</v>
      </c>
      <c r="HD787" s="27" t="s">
        <v>7</v>
      </c>
      <c r="HE787" s="27" t="s">
        <v>8</v>
      </c>
      <c r="HF787" s="27" t="s">
        <v>7</v>
      </c>
      <c r="HG787" s="27" t="s">
        <v>8</v>
      </c>
      <c r="JB787" s="27" t="s">
        <v>7</v>
      </c>
      <c r="JC787" s="27" t="s">
        <v>8</v>
      </c>
      <c r="JV787" s="27" t="s">
        <v>7</v>
      </c>
      <c r="JW787" s="27" t="s">
        <v>8</v>
      </c>
      <c r="JX787" s="27" t="s">
        <v>7</v>
      </c>
      <c r="JY787" s="27" t="s">
        <v>8</v>
      </c>
      <c r="KH787" s="27" t="s">
        <v>7</v>
      </c>
      <c r="KI787" s="27" t="s">
        <v>8</v>
      </c>
      <c r="OJ787" s="27" t="s">
        <v>7</v>
      </c>
      <c r="OK787" s="27" t="s">
        <v>8</v>
      </c>
      <c r="OL787" s="27" t="s">
        <v>7</v>
      </c>
      <c r="OM787" s="27" t="s">
        <v>8</v>
      </c>
      <c r="ON787" s="27" t="s">
        <v>7</v>
      </c>
    </row>
    <row r="788" spans="1:404" x14ac:dyDescent="0.25">
      <c r="A788" s="7">
        <v>1.867950983668035E-2</v>
      </c>
      <c r="B788"/>
      <c r="C788"/>
      <c r="D788"/>
      <c r="E788"/>
      <c r="F788" s="27" t="s">
        <v>7</v>
      </c>
      <c r="DG788" s="27" t="s">
        <v>8</v>
      </c>
      <c r="DH788" s="27" t="s">
        <v>7</v>
      </c>
      <c r="GO788" s="27" t="s">
        <v>8</v>
      </c>
      <c r="GP788" s="27" t="s">
        <v>7</v>
      </c>
      <c r="GQ788" s="27" t="s">
        <v>8</v>
      </c>
      <c r="GZ788" s="27" t="s">
        <v>7</v>
      </c>
      <c r="HA788" s="27" t="s">
        <v>8</v>
      </c>
      <c r="HB788" s="27" t="s">
        <v>7</v>
      </c>
      <c r="HC788" s="27" t="s">
        <v>8</v>
      </c>
      <c r="HD788" s="27" t="s">
        <v>7</v>
      </c>
      <c r="HE788" s="27" t="s">
        <v>8</v>
      </c>
      <c r="HF788" s="27" t="s">
        <v>7</v>
      </c>
      <c r="HG788" s="27" t="s">
        <v>8</v>
      </c>
      <c r="JB788" s="27" t="s">
        <v>7</v>
      </c>
      <c r="JC788" s="27" t="s">
        <v>8</v>
      </c>
      <c r="JV788" s="27" t="s">
        <v>7</v>
      </c>
      <c r="JW788" s="27" t="s">
        <v>8</v>
      </c>
      <c r="JX788" s="27" t="s">
        <v>7</v>
      </c>
      <c r="KH788" s="27" t="s">
        <v>7</v>
      </c>
      <c r="KI788" s="27" t="s">
        <v>8</v>
      </c>
      <c r="OJ788" s="27" t="s">
        <v>7</v>
      </c>
      <c r="OK788" s="27" t="s">
        <v>8</v>
      </c>
      <c r="OL788" s="27" t="s">
        <v>7</v>
      </c>
      <c r="OM788" s="27" t="s">
        <v>8</v>
      </c>
      <c r="ON788" s="27" t="s">
        <v>7</v>
      </c>
    </row>
    <row r="789" spans="1:404" x14ac:dyDescent="0.25">
      <c r="A789" s="7">
        <v>1.8313244937921913E-2</v>
      </c>
      <c r="B789"/>
      <c r="C789"/>
      <c r="D789"/>
      <c r="E789"/>
      <c r="F789" s="27" t="s">
        <v>7</v>
      </c>
      <c r="DG789" s="27" t="s">
        <v>8</v>
      </c>
      <c r="DH789" s="27" t="s">
        <v>7</v>
      </c>
      <c r="GO789" s="27" t="s">
        <v>8</v>
      </c>
      <c r="GP789" s="27" t="s">
        <v>7</v>
      </c>
      <c r="GQ789" s="27" t="s">
        <v>8</v>
      </c>
      <c r="GZ789" s="27" t="s">
        <v>7</v>
      </c>
      <c r="HA789" s="27" t="s">
        <v>8</v>
      </c>
      <c r="HB789" s="27" t="s">
        <v>7</v>
      </c>
      <c r="HC789" s="27" t="s">
        <v>8</v>
      </c>
      <c r="HD789" s="27" t="s">
        <v>7</v>
      </c>
      <c r="HE789" s="27" t="s">
        <v>8</v>
      </c>
      <c r="HF789" s="27" t="s">
        <v>7</v>
      </c>
      <c r="HG789" s="27" t="s">
        <v>8</v>
      </c>
      <c r="JB789" s="27" t="s">
        <v>7</v>
      </c>
      <c r="JC789" s="27" t="s">
        <v>8</v>
      </c>
      <c r="JV789" s="27" t="s">
        <v>7</v>
      </c>
      <c r="JW789" s="27" t="s">
        <v>8</v>
      </c>
      <c r="KH789" s="27" t="s">
        <v>7</v>
      </c>
      <c r="KI789" s="27" t="s">
        <v>8</v>
      </c>
      <c r="OJ789" s="27" t="s">
        <v>7</v>
      </c>
      <c r="OK789" s="27" t="s">
        <v>8</v>
      </c>
      <c r="OL789" s="27" t="s">
        <v>7</v>
      </c>
      <c r="OM789" s="27" t="s">
        <v>8</v>
      </c>
      <c r="ON789" s="27" t="s">
        <v>7</v>
      </c>
    </row>
    <row r="790" spans="1:404" x14ac:dyDescent="0.25">
      <c r="A790" s="7">
        <v>1.7954161703845013E-2</v>
      </c>
      <c r="B790"/>
      <c r="C790"/>
      <c r="D790"/>
      <c r="E790"/>
      <c r="F790" s="27" t="s">
        <v>7</v>
      </c>
      <c r="DG790" s="27" t="s">
        <v>8</v>
      </c>
      <c r="DH790" s="27" t="s">
        <v>7</v>
      </c>
      <c r="DO790" s="27" t="s">
        <v>8</v>
      </c>
      <c r="GO790" s="27" t="s">
        <v>8</v>
      </c>
      <c r="GP790" s="27" t="s">
        <v>7</v>
      </c>
      <c r="GQ790" s="27" t="s">
        <v>8</v>
      </c>
      <c r="GZ790" s="27" t="s">
        <v>7</v>
      </c>
      <c r="HA790" s="27" t="s">
        <v>8</v>
      </c>
      <c r="HB790" s="27" t="s">
        <v>7</v>
      </c>
      <c r="HC790" s="27" t="s">
        <v>8</v>
      </c>
      <c r="HD790" s="27" t="s">
        <v>7</v>
      </c>
      <c r="HE790" s="27" t="s">
        <v>8</v>
      </c>
      <c r="HF790" s="27" t="s">
        <v>7</v>
      </c>
      <c r="JB790" s="27" t="s">
        <v>7</v>
      </c>
      <c r="JC790" s="27" t="s">
        <v>8</v>
      </c>
      <c r="JV790" s="27" t="s">
        <v>7</v>
      </c>
      <c r="JW790" s="27" t="s">
        <v>8</v>
      </c>
      <c r="KH790" s="18" t="s">
        <v>7</v>
      </c>
      <c r="KI790" s="27" t="s">
        <v>8</v>
      </c>
      <c r="OJ790" s="27" t="s">
        <v>7</v>
      </c>
      <c r="OK790" s="27" t="s">
        <v>8</v>
      </c>
      <c r="OL790" s="27" t="s">
        <v>7</v>
      </c>
      <c r="OM790" s="27" t="s">
        <v>8</v>
      </c>
    </row>
    <row r="791" spans="1:404" x14ac:dyDescent="0.25">
      <c r="A791" s="7">
        <v>1.7602119317495109E-2</v>
      </c>
      <c r="B791"/>
      <c r="C791"/>
      <c r="D791"/>
      <c r="E791"/>
      <c r="F791" s="27" t="s">
        <v>7</v>
      </c>
      <c r="DG791" s="27" t="s">
        <v>8</v>
      </c>
      <c r="DH791" s="27" t="s">
        <v>7</v>
      </c>
      <c r="DO791" s="27" t="s">
        <v>8</v>
      </c>
      <c r="DP791" s="27" t="s">
        <v>7</v>
      </c>
      <c r="GO791" s="27" t="s">
        <v>8</v>
      </c>
      <c r="GP791" s="27" t="s">
        <v>7</v>
      </c>
      <c r="GQ791" s="27" t="s">
        <v>8</v>
      </c>
      <c r="GZ791" s="27" t="s">
        <v>7</v>
      </c>
      <c r="HA791" s="27" t="s">
        <v>8</v>
      </c>
      <c r="HB791" s="27" t="s">
        <v>7</v>
      </c>
      <c r="HC791" s="27" t="s">
        <v>8</v>
      </c>
      <c r="HD791" s="27" t="s">
        <v>7</v>
      </c>
      <c r="HE791" s="27" t="s">
        <v>8</v>
      </c>
      <c r="JB791" s="27" t="s">
        <v>7</v>
      </c>
      <c r="JV791" s="27" t="s">
        <v>7</v>
      </c>
      <c r="JW791" s="27" t="s">
        <v>8</v>
      </c>
      <c r="KH791" s="27" t="s">
        <v>7</v>
      </c>
      <c r="KI791" s="27" t="s">
        <v>8</v>
      </c>
      <c r="OJ791" s="27" t="s">
        <v>7</v>
      </c>
      <c r="OK791" s="27" t="s">
        <v>8</v>
      </c>
      <c r="OL791" s="27" t="s">
        <v>7</v>
      </c>
      <c r="OM791" s="27" t="s">
        <v>8</v>
      </c>
    </row>
    <row r="792" spans="1:404" x14ac:dyDescent="0.25">
      <c r="A792" s="7">
        <v>1.7256979723034419E-2</v>
      </c>
      <c r="B792"/>
      <c r="C792"/>
      <c r="D792"/>
      <c r="E792"/>
      <c r="F792" s="27" t="s">
        <v>7</v>
      </c>
      <c r="DG792" s="27" t="s">
        <v>8</v>
      </c>
      <c r="DH792" s="27" t="s">
        <v>7</v>
      </c>
      <c r="DO792" s="27" t="s">
        <v>8</v>
      </c>
      <c r="DP792" s="27" t="s">
        <v>7</v>
      </c>
      <c r="GO792" s="27" t="s">
        <v>8</v>
      </c>
      <c r="GP792" s="27" t="s">
        <v>7</v>
      </c>
      <c r="GQ792" s="27" t="s">
        <v>8</v>
      </c>
      <c r="GZ792" s="27" t="s">
        <v>7</v>
      </c>
      <c r="HA792" s="27" t="s">
        <v>8</v>
      </c>
      <c r="HB792" s="27" t="s">
        <v>7</v>
      </c>
      <c r="HD792" s="27" t="s">
        <v>7</v>
      </c>
      <c r="HE792" s="27" t="s">
        <v>8</v>
      </c>
      <c r="JV792" s="27" t="s">
        <v>7</v>
      </c>
      <c r="KH792" s="27" t="s">
        <v>7</v>
      </c>
      <c r="KI792" s="27" t="s">
        <v>8</v>
      </c>
      <c r="OJ792" s="27" t="s">
        <v>7</v>
      </c>
      <c r="OL792" s="27" t="s">
        <v>7</v>
      </c>
      <c r="OM792" s="27" t="s">
        <v>8</v>
      </c>
    </row>
    <row r="793" spans="1:404" x14ac:dyDescent="0.25">
      <c r="A793" s="7">
        <v>1.6918607571602372E-2</v>
      </c>
      <c r="B793"/>
      <c r="C793"/>
      <c r="D793"/>
      <c r="E793"/>
      <c r="F793" s="27" t="s">
        <v>7</v>
      </c>
      <c r="DG793" s="27" t="s">
        <v>8</v>
      </c>
      <c r="DH793" s="27" t="s">
        <v>7</v>
      </c>
      <c r="DO793" s="27" t="s">
        <v>8</v>
      </c>
      <c r="DP793" s="27" t="s">
        <v>7</v>
      </c>
      <c r="GO793" s="27" t="s">
        <v>8</v>
      </c>
      <c r="GP793" s="27" t="s">
        <v>7</v>
      </c>
      <c r="GQ793" s="27" t="s">
        <v>8</v>
      </c>
      <c r="GZ793" s="27" t="s">
        <v>7</v>
      </c>
      <c r="HA793" s="27" t="s">
        <v>8</v>
      </c>
      <c r="HD793" s="27" t="s">
        <v>7</v>
      </c>
      <c r="HE793" s="27" t="s">
        <v>8</v>
      </c>
      <c r="KH793" s="27" t="s">
        <v>7</v>
      </c>
      <c r="KI793" s="27" t="s">
        <v>8</v>
      </c>
      <c r="OL793" s="27" t="s">
        <v>7</v>
      </c>
      <c r="OM793" s="27" t="s">
        <v>8</v>
      </c>
    </row>
    <row r="794" spans="1:404" x14ac:dyDescent="0.25">
      <c r="A794" s="7">
        <v>1.6586870168237622E-2</v>
      </c>
      <c r="B794"/>
      <c r="C794"/>
      <c r="D794"/>
      <c r="E794"/>
      <c r="F794" s="27" t="s">
        <v>7</v>
      </c>
      <c r="DG794" s="27" t="s">
        <v>8</v>
      </c>
      <c r="DH794" s="27" t="s">
        <v>7</v>
      </c>
      <c r="DO794" s="27" t="s">
        <v>8</v>
      </c>
      <c r="DP794" s="27" t="s">
        <v>7</v>
      </c>
      <c r="GK794" s="27" t="s">
        <v>8</v>
      </c>
      <c r="GO794" s="27" t="s">
        <v>8</v>
      </c>
      <c r="GP794" s="27" t="s">
        <v>7</v>
      </c>
      <c r="GQ794" s="27" t="s">
        <v>8</v>
      </c>
      <c r="GZ794" s="27" t="s">
        <v>7</v>
      </c>
      <c r="HA794" s="27" t="s">
        <v>8</v>
      </c>
      <c r="HD794" s="27" t="s">
        <v>7</v>
      </c>
      <c r="KH794" s="27" t="s">
        <v>7</v>
      </c>
      <c r="KI794" s="27" t="s">
        <v>8</v>
      </c>
      <c r="OL794" s="27" t="s">
        <v>7</v>
      </c>
      <c r="OM794" s="27" t="s">
        <v>8</v>
      </c>
    </row>
    <row r="795" spans="1:404" x14ac:dyDescent="0.25">
      <c r="A795" s="7">
        <v>1.6261637419840807E-2</v>
      </c>
      <c r="B795"/>
      <c r="C795"/>
      <c r="D795"/>
      <c r="E795"/>
      <c r="F795" s="27" t="s">
        <v>7</v>
      </c>
      <c r="DG795" s="27" t="s">
        <v>8</v>
      </c>
      <c r="DH795" s="27" t="s">
        <v>7</v>
      </c>
      <c r="DO795" s="27" t="s">
        <v>8</v>
      </c>
      <c r="DP795" s="27" t="s">
        <v>7</v>
      </c>
      <c r="GK795" s="27" t="s">
        <v>8</v>
      </c>
      <c r="GL795" s="27" t="s">
        <v>7</v>
      </c>
      <c r="GM795" s="27" t="s">
        <v>8</v>
      </c>
      <c r="GO795" s="27" t="s">
        <v>8</v>
      </c>
      <c r="GP795" s="27" t="s">
        <v>7</v>
      </c>
      <c r="GQ795" s="27" t="s">
        <v>8</v>
      </c>
      <c r="GZ795" s="27" t="s">
        <v>7</v>
      </c>
      <c r="HA795" s="27" t="s">
        <v>8</v>
      </c>
      <c r="KH795" s="27" t="s">
        <v>7</v>
      </c>
      <c r="KI795" s="27" t="s">
        <v>8</v>
      </c>
      <c r="OL795" s="27" t="s">
        <v>7</v>
      </c>
      <c r="OM795" s="27" t="s">
        <v>8</v>
      </c>
    </row>
    <row r="796" spans="1:404" x14ac:dyDescent="0.25">
      <c r="A796" s="7">
        <v>1.5942781784157655E-2</v>
      </c>
      <c r="B796"/>
      <c r="C796"/>
      <c r="D796"/>
      <c r="E796"/>
      <c r="F796" s="27" t="s">
        <v>7</v>
      </c>
      <c r="DG796" s="27" t="s">
        <v>8</v>
      </c>
      <c r="DH796" s="27" t="s">
        <v>7</v>
      </c>
      <c r="DO796" s="27" t="s">
        <v>8</v>
      </c>
      <c r="DP796" s="27" t="s">
        <v>7</v>
      </c>
      <c r="GK796" s="27" t="s">
        <v>8</v>
      </c>
      <c r="GL796" s="27" t="s">
        <v>7</v>
      </c>
      <c r="GM796" s="27" t="s">
        <v>8</v>
      </c>
      <c r="GN796" s="27" t="s">
        <v>7</v>
      </c>
      <c r="GO796" s="27" t="s">
        <v>8</v>
      </c>
      <c r="GP796" s="27" t="s">
        <v>7</v>
      </c>
      <c r="GQ796" s="27" t="s">
        <v>8</v>
      </c>
      <c r="GZ796" s="27" t="s">
        <v>7</v>
      </c>
      <c r="HA796" s="27" t="s">
        <v>8</v>
      </c>
      <c r="KH796" s="27" t="s">
        <v>7</v>
      </c>
      <c r="KI796" s="27" t="s">
        <v>8</v>
      </c>
      <c r="OL796" s="27" t="s">
        <v>7</v>
      </c>
    </row>
    <row r="797" spans="1:404" x14ac:dyDescent="0.25">
      <c r="A797" s="7">
        <v>1.5630178219762408E-2</v>
      </c>
      <c r="B797"/>
      <c r="C797"/>
      <c r="D797"/>
      <c r="E797"/>
      <c r="F797" s="27" t="s">
        <v>7</v>
      </c>
      <c r="DG797" s="27" t="s">
        <v>8</v>
      </c>
      <c r="DH797" s="27" t="s">
        <v>7</v>
      </c>
      <c r="DI797" s="27" t="s">
        <v>8</v>
      </c>
      <c r="DO797" s="27" t="s">
        <v>8</v>
      </c>
      <c r="DP797" s="27" t="s">
        <v>7</v>
      </c>
      <c r="FI797" s="27" t="s">
        <v>8</v>
      </c>
      <c r="GK797" s="27" t="s">
        <v>8</v>
      </c>
      <c r="GL797" s="27" t="s">
        <v>7</v>
      </c>
      <c r="GM797" s="27" t="s">
        <v>8</v>
      </c>
      <c r="GN797" s="27" t="s">
        <v>7</v>
      </c>
      <c r="GO797" s="27" t="s">
        <v>8</v>
      </c>
      <c r="GP797" s="27" t="s">
        <v>7</v>
      </c>
      <c r="GQ797" s="27" t="s">
        <v>8</v>
      </c>
      <c r="GZ797" s="27" t="s">
        <v>7</v>
      </c>
      <c r="HA797" s="27" t="s">
        <v>8</v>
      </c>
      <c r="KH797" s="27" t="s">
        <v>7</v>
      </c>
    </row>
    <row r="798" spans="1:404" x14ac:dyDescent="0.25">
      <c r="A798" s="7">
        <v>1.5323704137021967E-2</v>
      </c>
      <c r="B798"/>
      <c r="C798"/>
      <c r="D798"/>
      <c r="E798"/>
      <c r="F798" s="27" t="s">
        <v>7</v>
      </c>
      <c r="DG798" s="27" t="s">
        <v>8</v>
      </c>
      <c r="DH798" s="27" t="s">
        <v>7</v>
      </c>
      <c r="DI798" s="27" t="s">
        <v>8</v>
      </c>
      <c r="DJ798" s="27" t="s">
        <v>7</v>
      </c>
      <c r="DO798" s="27" t="s">
        <v>8</v>
      </c>
      <c r="DP798" s="27" t="s">
        <v>7</v>
      </c>
      <c r="FI798" s="27" t="s">
        <v>8</v>
      </c>
      <c r="FJ798" s="27" t="s">
        <v>7</v>
      </c>
      <c r="GK798" s="27" t="s">
        <v>8</v>
      </c>
      <c r="GL798" s="27" t="s">
        <v>7</v>
      </c>
      <c r="GM798" s="27" t="s">
        <v>8</v>
      </c>
      <c r="GN798" s="27" t="s">
        <v>7</v>
      </c>
      <c r="GO798" s="27" t="s">
        <v>8</v>
      </c>
      <c r="GP798" s="27" t="s">
        <v>7</v>
      </c>
      <c r="GQ798" s="27" t="s">
        <v>8</v>
      </c>
      <c r="GZ798" s="27" t="s">
        <v>7</v>
      </c>
    </row>
    <row r="799" spans="1:404" x14ac:dyDescent="0.25">
      <c r="A799" s="7">
        <v>1.5023239350021535E-2</v>
      </c>
      <c r="B799"/>
      <c r="C799"/>
      <c r="D799"/>
      <c r="E799"/>
      <c r="F799" s="27" t="s">
        <v>7</v>
      </c>
      <c r="DG799" s="27" t="s">
        <v>8</v>
      </c>
      <c r="DH799" s="27" t="s">
        <v>7</v>
      </c>
      <c r="DI799" s="27" t="s">
        <v>8</v>
      </c>
      <c r="DJ799" s="27" t="s">
        <v>7</v>
      </c>
      <c r="DM799" s="27" t="s">
        <v>8</v>
      </c>
      <c r="DO799" s="27" t="s">
        <v>8</v>
      </c>
      <c r="DP799" s="27" t="s">
        <v>7</v>
      </c>
      <c r="FI799" s="27" t="s">
        <v>8</v>
      </c>
      <c r="FJ799" s="27" t="s">
        <v>7</v>
      </c>
      <c r="GK799" s="27" t="s">
        <v>8</v>
      </c>
      <c r="GL799" s="27" t="s">
        <v>7</v>
      </c>
      <c r="GM799" s="27" t="s">
        <v>8</v>
      </c>
      <c r="GN799" s="27" t="s">
        <v>7</v>
      </c>
      <c r="GO799" s="27" t="s">
        <v>8</v>
      </c>
      <c r="GP799" s="27" t="s">
        <v>7</v>
      </c>
    </row>
    <row r="800" spans="1:404" x14ac:dyDescent="0.25">
      <c r="A800" s="7">
        <v>1.4728666029432878E-2</v>
      </c>
      <c r="B800"/>
      <c r="C800"/>
      <c r="D800"/>
      <c r="E800"/>
      <c r="F800" s="27" t="s">
        <v>7</v>
      </c>
      <c r="DG800" s="27" t="s">
        <v>8</v>
      </c>
      <c r="DH800" s="27" t="s">
        <v>7</v>
      </c>
      <c r="DI800" s="27" t="s">
        <v>8</v>
      </c>
      <c r="DJ800" s="27" t="s">
        <v>7</v>
      </c>
      <c r="DM800" s="27" t="s">
        <v>8</v>
      </c>
      <c r="DN800" s="27" t="s">
        <v>7</v>
      </c>
      <c r="DO800" s="27" t="s">
        <v>8</v>
      </c>
      <c r="DP800" s="27" t="s">
        <v>7</v>
      </c>
      <c r="FI800" s="27" t="s">
        <v>8</v>
      </c>
      <c r="FJ800" s="27" t="s">
        <v>7</v>
      </c>
      <c r="GK800" s="27" t="s">
        <v>8</v>
      </c>
      <c r="GL800" s="27" t="s">
        <v>7</v>
      </c>
      <c r="GM800" s="27" t="s">
        <v>8</v>
      </c>
      <c r="GN800" s="27" t="s">
        <v>7</v>
      </c>
      <c r="GO800" s="27" t="s">
        <v>8</v>
      </c>
    </row>
    <row r="801" spans="1:197" x14ac:dyDescent="0.25">
      <c r="A801" s="7">
        <v>1.4439868656306743E-2</v>
      </c>
      <c r="B801"/>
      <c r="C801"/>
      <c r="D801"/>
      <c r="E801"/>
      <c r="F801" s="27" t="s">
        <v>7</v>
      </c>
      <c r="DG801" s="27" t="s">
        <v>8</v>
      </c>
      <c r="DH801" s="27" t="s">
        <v>7</v>
      </c>
      <c r="DI801" s="27" t="s">
        <v>8</v>
      </c>
      <c r="DJ801" s="27" t="s">
        <v>7</v>
      </c>
      <c r="DM801" s="27" t="s">
        <v>8</v>
      </c>
      <c r="DN801" s="27" t="s">
        <v>7</v>
      </c>
      <c r="DO801" s="27" t="s">
        <v>8</v>
      </c>
      <c r="DP801" s="27" t="s">
        <v>7</v>
      </c>
      <c r="FI801" s="27" t="s">
        <v>8</v>
      </c>
      <c r="FJ801" s="27" t="s">
        <v>7</v>
      </c>
      <c r="GK801" s="27" t="s">
        <v>8</v>
      </c>
      <c r="GL801" s="27" t="s">
        <v>7</v>
      </c>
      <c r="GM801" s="27" t="s">
        <v>8</v>
      </c>
      <c r="GN801" s="27" t="s">
        <v>7</v>
      </c>
      <c r="GO801" s="27" t="s">
        <v>8</v>
      </c>
    </row>
    <row r="802" spans="1:197" x14ac:dyDescent="0.25">
      <c r="A802" s="7">
        <v>1.4156733976771318E-2</v>
      </c>
      <c r="B802"/>
      <c r="C802"/>
      <c r="D802"/>
      <c r="E802"/>
      <c r="F802" s="27" t="s">
        <v>7</v>
      </c>
      <c r="S802" s="27" t="s">
        <v>8</v>
      </c>
      <c r="DG802" s="27" t="s">
        <v>8</v>
      </c>
      <c r="DH802" s="27" t="s">
        <v>7</v>
      </c>
      <c r="DI802" s="27" t="s">
        <v>8</v>
      </c>
      <c r="DJ802" s="27" t="s">
        <v>7</v>
      </c>
      <c r="DM802" s="27" t="s">
        <v>8</v>
      </c>
      <c r="DN802" s="27" t="s">
        <v>7</v>
      </c>
      <c r="DO802" s="27" t="s">
        <v>8</v>
      </c>
      <c r="DP802" s="27" t="s">
        <v>7</v>
      </c>
      <c r="FI802" s="27" t="s">
        <v>8</v>
      </c>
      <c r="FJ802" s="27" t="s">
        <v>7</v>
      </c>
      <c r="GK802" s="27" t="s">
        <v>8</v>
      </c>
      <c r="GL802" s="27" t="s">
        <v>7</v>
      </c>
      <c r="GN802" s="27" t="s">
        <v>7</v>
      </c>
      <c r="GO802" s="27" t="s">
        <v>8</v>
      </c>
    </row>
    <row r="803" spans="1:197" x14ac:dyDescent="0.25">
      <c r="A803" s="7">
        <v>1.3879150957618939E-2</v>
      </c>
      <c r="B803"/>
      <c r="C803"/>
      <c r="D803"/>
      <c r="E803"/>
      <c r="F803" s="27" t="s">
        <v>7</v>
      </c>
      <c r="S803" s="27" t="s">
        <v>8</v>
      </c>
      <c r="T803" s="27" t="s">
        <v>7</v>
      </c>
      <c r="DG803" s="27" t="s">
        <v>8</v>
      </c>
      <c r="DH803" s="27" t="s">
        <v>7</v>
      </c>
      <c r="DI803" s="27" t="s">
        <v>8</v>
      </c>
      <c r="DJ803" s="27" t="s">
        <v>7</v>
      </c>
      <c r="DK803" s="27" t="s">
        <v>8</v>
      </c>
      <c r="DM803" s="27" t="s">
        <v>8</v>
      </c>
      <c r="DN803" s="27" t="s">
        <v>7</v>
      </c>
      <c r="DO803" s="27" t="s">
        <v>8</v>
      </c>
      <c r="DP803" s="27" t="s">
        <v>7</v>
      </c>
      <c r="FI803" s="27" t="s">
        <v>8</v>
      </c>
      <c r="FJ803" s="27" t="s">
        <v>7</v>
      </c>
      <c r="GI803" s="27" t="s">
        <v>8</v>
      </c>
      <c r="GK803" s="27" t="s">
        <v>8</v>
      </c>
      <c r="GN803" s="27" t="s">
        <v>7</v>
      </c>
      <c r="GO803" s="27" t="s">
        <v>8</v>
      </c>
    </row>
    <row r="804" spans="1:197" x14ac:dyDescent="0.25">
      <c r="A804" s="7">
        <v>1.3607010742763666E-2</v>
      </c>
      <c r="B804"/>
      <c r="C804"/>
      <c r="D804"/>
      <c r="E804"/>
      <c r="F804" s="27" t="s">
        <v>7</v>
      </c>
      <c r="S804" s="27" t="s">
        <v>8</v>
      </c>
      <c r="T804" s="27" t="s">
        <v>7</v>
      </c>
      <c r="DG804" s="27" t="s">
        <v>8</v>
      </c>
      <c r="DH804" s="27" t="s">
        <v>7</v>
      </c>
      <c r="DI804" s="27" t="s">
        <v>8</v>
      </c>
      <c r="DJ804" s="27" t="s">
        <v>7</v>
      </c>
      <c r="DK804" s="27" t="s">
        <v>8</v>
      </c>
      <c r="DL804" s="27" t="s">
        <v>7</v>
      </c>
      <c r="DM804" s="27" t="s">
        <v>8</v>
      </c>
      <c r="DN804" s="27" t="s">
        <v>7</v>
      </c>
      <c r="DO804" s="27" t="s">
        <v>8</v>
      </c>
      <c r="DP804" s="27" t="s">
        <v>7</v>
      </c>
      <c r="FI804" s="27" t="s">
        <v>8</v>
      </c>
      <c r="FJ804" s="27" t="s">
        <v>7</v>
      </c>
      <c r="GI804" s="27" t="s">
        <v>8</v>
      </c>
      <c r="GJ804" s="27" t="s">
        <v>7</v>
      </c>
      <c r="GK804" s="27" t="s">
        <v>8</v>
      </c>
      <c r="GN804" s="27" t="s">
        <v>7</v>
      </c>
      <c r="GO804" s="27" t="s">
        <v>8</v>
      </c>
    </row>
    <row r="805" spans="1:197" x14ac:dyDescent="0.25">
      <c r="A805" s="7">
        <v>1.3340206610552614E-2</v>
      </c>
      <c r="B805"/>
      <c r="C805"/>
      <c r="D805"/>
      <c r="E805"/>
      <c r="F805" s="27" t="s">
        <v>7</v>
      </c>
      <c r="S805" s="27" t="s">
        <v>8</v>
      </c>
      <c r="T805" s="27" t="s">
        <v>7</v>
      </c>
      <c r="U805" s="27" t="s">
        <v>8</v>
      </c>
      <c r="DG805" s="27" t="s">
        <v>8</v>
      </c>
      <c r="DH805" s="27" t="s">
        <v>7</v>
      </c>
      <c r="DI805" s="27" t="s">
        <v>8</v>
      </c>
      <c r="DJ805" s="27" t="s">
        <v>7</v>
      </c>
      <c r="DK805" s="27" t="s">
        <v>8</v>
      </c>
      <c r="DL805" s="27" t="s">
        <v>7</v>
      </c>
      <c r="DM805" s="27" t="s">
        <v>8</v>
      </c>
      <c r="DN805" s="27" t="s">
        <v>7</v>
      </c>
      <c r="DO805" s="27" t="s">
        <v>8</v>
      </c>
      <c r="DP805" s="27" t="s">
        <v>7</v>
      </c>
      <c r="FI805" s="27" t="s">
        <v>8</v>
      </c>
      <c r="FJ805" s="27" t="s">
        <v>7</v>
      </c>
      <c r="GI805" s="27" t="s">
        <v>8</v>
      </c>
      <c r="GJ805" s="27" t="s">
        <v>7</v>
      </c>
      <c r="GK805" s="27" t="s">
        <v>8</v>
      </c>
      <c r="GN805" s="27" t="s">
        <v>7</v>
      </c>
      <c r="GO805" s="27" t="s">
        <v>8</v>
      </c>
    </row>
    <row r="806" spans="1:197" x14ac:dyDescent="0.25">
      <c r="A806" s="7">
        <v>1.3078633931914328E-2</v>
      </c>
      <c r="B806"/>
      <c r="C806"/>
      <c r="D806"/>
      <c r="E806"/>
      <c r="F806" s="27" t="s">
        <v>7</v>
      </c>
      <c r="S806" s="27" t="s">
        <v>8</v>
      </c>
      <c r="T806" s="27" t="s">
        <v>7</v>
      </c>
      <c r="U806" s="27" t="s">
        <v>8</v>
      </c>
      <c r="V806" s="27" t="s">
        <v>7</v>
      </c>
      <c r="DG806" s="27" t="s">
        <v>8</v>
      </c>
      <c r="DH806" s="27" t="s">
        <v>7</v>
      </c>
      <c r="DI806" s="27" t="s">
        <v>8</v>
      </c>
      <c r="DJ806" s="27" t="s">
        <v>7</v>
      </c>
      <c r="DK806" s="27" t="s">
        <v>8</v>
      </c>
      <c r="DL806" s="27" t="s">
        <v>7</v>
      </c>
      <c r="DM806" s="27" t="s">
        <v>8</v>
      </c>
      <c r="DN806" s="27" t="s">
        <v>7</v>
      </c>
      <c r="DO806" s="27" t="s">
        <v>8</v>
      </c>
      <c r="DP806" s="27" t="s">
        <v>7</v>
      </c>
      <c r="DQ806" s="27" t="s">
        <v>8</v>
      </c>
      <c r="FI806" s="27" t="s">
        <v>8</v>
      </c>
      <c r="FJ806" s="27" t="s">
        <v>7</v>
      </c>
      <c r="GI806" s="27" t="s">
        <v>8</v>
      </c>
      <c r="GJ806" s="27" t="s">
        <v>7</v>
      </c>
      <c r="GK806" s="27" t="s">
        <v>8</v>
      </c>
      <c r="GN806" s="27" t="s">
        <v>7</v>
      </c>
    </row>
    <row r="807" spans="1:197" x14ac:dyDescent="0.25">
      <c r="A807" s="7">
        <v>1.2822190129327771E-2</v>
      </c>
      <c r="B807"/>
      <c r="C807"/>
      <c r="D807"/>
      <c r="E807"/>
      <c r="F807" s="27" t="s">
        <v>7</v>
      </c>
      <c r="S807" s="27" t="s">
        <v>8</v>
      </c>
      <c r="T807" s="27" t="s">
        <v>7</v>
      </c>
      <c r="U807" s="27" t="s">
        <v>8</v>
      </c>
      <c r="V807" s="27" t="s">
        <v>7</v>
      </c>
      <c r="DE807" s="27" t="s">
        <v>8</v>
      </c>
      <c r="DG807" s="27" t="s">
        <v>8</v>
      </c>
      <c r="DH807" s="27" t="s">
        <v>7</v>
      </c>
      <c r="DI807" s="27" t="s">
        <v>8</v>
      </c>
      <c r="DJ807" s="27" t="s">
        <v>7</v>
      </c>
      <c r="DK807" s="27" t="s">
        <v>8</v>
      </c>
      <c r="DL807" s="27" t="s">
        <v>7</v>
      </c>
      <c r="DM807" s="27" t="s">
        <v>8</v>
      </c>
      <c r="DN807" s="27" t="s">
        <v>7</v>
      </c>
      <c r="DO807" s="27" t="s">
        <v>8</v>
      </c>
      <c r="DP807" s="27" t="s">
        <v>7</v>
      </c>
      <c r="DQ807" s="27" t="s">
        <v>8</v>
      </c>
      <c r="DR807" s="27" t="s">
        <v>7</v>
      </c>
      <c r="FI807" s="27" t="s">
        <v>8</v>
      </c>
      <c r="FJ807" s="27" t="s">
        <v>7</v>
      </c>
      <c r="GI807" s="27" t="s">
        <v>8</v>
      </c>
      <c r="GJ807" s="27" t="s">
        <v>7</v>
      </c>
      <c r="GK807" s="27" t="s">
        <v>8</v>
      </c>
    </row>
    <row r="808" spans="1:197" x14ac:dyDescent="0.25">
      <c r="A808" s="7">
        <v>1.2570774636595854E-2</v>
      </c>
      <c r="B808"/>
      <c r="C808"/>
      <c r="D808"/>
      <c r="E808"/>
      <c r="F808" s="27" t="s">
        <v>7</v>
      </c>
      <c r="S808" s="27" t="s">
        <v>8</v>
      </c>
      <c r="T808" s="27" t="s">
        <v>7</v>
      </c>
      <c r="U808" s="27" t="s">
        <v>8</v>
      </c>
      <c r="V808" s="27" t="s">
        <v>7</v>
      </c>
      <c r="DE808" s="27" t="s">
        <v>8</v>
      </c>
      <c r="DF808" s="27" t="s">
        <v>7</v>
      </c>
      <c r="DG808" s="27" t="s">
        <v>8</v>
      </c>
      <c r="DH808" s="27" t="s">
        <v>7</v>
      </c>
      <c r="DI808" s="27" t="s">
        <v>8</v>
      </c>
      <c r="DJ808" s="27" t="s">
        <v>7</v>
      </c>
      <c r="DK808" s="27" t="s">
        <v>8</v>
      </c>
      <c r="DL808" s="27" t="s">
        <v>7</v>
      </c>
      <c r="DM808" s="27" t="s">
        <v>8</v>
      </c>
      <c r="DN808" s="27" t="s">
        <v>7</v>
      </c>
      <c r="DP808" s="27" t="s">
        <v>7</v>
      </c>
      <c r="DQ808" s="27" t="s">
        <v>8</v>
      </c>
      <c r="DR808" s="27" t="s">
        <v>7</v>
      </c>
      <c r="DS808" s="27" t="s">
        <v>8</v>
      </c>
      <c r="FI808" s="27" t="s">
        <v>8</v>
      </c>
      <c r="FJ808" s="27" t="s">
        <v>7</v>
      </c>
      <c r="GE808" s="27" t="s">
        <v>8</v>
      </c>
      <c r="GI808" s="27" t="s">
        <v>8</v>
      </c>
      <c r="GJ808" s="27" t="s">
        <v>7</v>
      </c>
      <c r="GK808" s="27" t="s">
        <v>8</v>
      </c>
    </row>
    <row r="809" spans="1:197" x14ac:dyDescent="0.25">
      <c r="A809" s="7">
        <v>1.23242888594077E-2</v>
      </c>
      <c r="B809"/>
      <c r="C809"/>
      <c r="D809"/>
      <c r="E809"/>
      <c r="F809" s="27" t="s">
        <v>7</v>
      </c>
      <c r="O809" s="27" t="s">
        <v>8</v>
      </c>
      <c r="S809" s="27" t="s">
        <v>8</v>
      </c>
      <c r="T809" s="27" t="s">
        <v>7</v>
      </c>
      <c r="U809" s="27" t="s">
        <v>8</v>
      </c>
      <c r="V809" s="27" t="s">
        <v>7</v>
      </c>
      <c r="DE809" s="27" t="s">
        <v>8</v>
      </c>
      <c r="DF809" s="27" t="s">
        <v>7</v>
      </c>
      <c r="DG809" s="27" t="s">
        <v>8</v>
      </c>
      <c r="DH809" s="27" t="s">
        <v>7</v>
      </c>
      <c r="DI809" s="27" t="s">
        <v>8</v>
      </c>
      <c r="DJ809" s="27" t="s">
        <v>7</v>
      </c>
      <c r="DK809" s="27" t="s">
        <v>8</v>
      </c>
      <c r="DL809" s="27" t="s">
        <v>7</v>
      </c>
      <c r="DM809" s="27" t="s">
        <v>8</v>
      </c>
      <c r="DP809" s="27" t="s">
        <v>7</v>
      </c>
      <c r="DQ809" s="27" t="s">
        <v>8</v>
      </c>
      <c r="DR809" s="27" t="s">
        <v>7</v>
      </c>
      <c r="DS809" s="27" t="s">
        <v>8</v>
      </c>
      <c r="DT809" s="27" t="s">
        <v>7</v>
      </c>
      <c r="FI809" s="27" t="s">
        <v>8</v>
      </c>
      <c r="FJ809" s="27" t="s">
        <v>7</v>
      </c>
      <c r="FK809" s="27" t="s">
        <v>8</v>
      </c>
      <c r="GE809" s="27" t="s">
        <v>8</v>
      </c>
      <c r="GF809" s="27" t="s">
        <v>7</v>
      </c>
      <c r="GI809" s="27" t="s">
        <v>8</v>
      </c>
      <c r="GJ809" s="27" t="s">
        <v>7</v>
      </c>
      <c r="GK809" s="27" t="s">
        <v>8</v>
      </c>
    </row>
    <row r="810" spans="1:197" x14ac:dyDescent="0.25">
      <c r="A810" s="7">
        <v>1.2082636136674216E-2</v>
      </c>
      <c r="B810"/>
      <c r="C810"/>
      <c r="D810"/>
      <c r="E810"/>
      <c r="F810" s="27" t="s">
        <v>7</v>
      </c>
      <c r="O810" s="27" t="s">
        <v>8</v>
      </c>
      <c r="P810" s="27" t="s">
        <v>7</v>
      </c>
      <c r="S810" s="27" t="s">
        <v>8</v>
      </c>
      <c r="T810" s="27" t="s">
        <v>7</v>
      </c>
      <c r="U810" s="27" t="s">
        <v>8</v>
      </c>
      <c r="V810" s="27" t="s">
        <v>7</v>
      </c>
      <c r="DE810" s="27" t="s">
        <v>8</v>
      </c>
      <c r="DF810" s="27" t="s">
        <v>7</v>
      </c>
      <c r="DG810" s="27" t="s">
        <v>8</v>
      </c>
      <c r="DH810" s="27" t="s">
        <v>7</v>
      </c>
      <c r="DJ810" s="27" t="s">
        <v>7</v>
      </c>
      <c r="DK810" s="27" t="s">
        <v>8</v>
      </c>
      <c r="DL810" s="27" t="s">
        <v>7</v>
      </c>
      <c r="DP810" s="27" t="s">
        <v>7</v>
      </c>
      <c r="DQ810" s="27" t="s">
        <v>8</v>
      </c>
      <c r="DR810" s="27" t="s">
        <v>7</v>
      </c>
      <c r="DS810" s="27" t="s">
        <v>8</v>
      </c>
      <c r="DT810" s="27" t="s">
        <v>7</v>
      </c>
      <c r="FI810" s="27" t="s">
        <v>8</v>
      </c>
      <c r="FJ810" s="27" t="s">
        <v>7</v>
      </c>
      <c r="FK810" s="27" t="s">
        <v>8</v>
      </c>
      <c r="FL810" s="27" t="s">
        <v>7</v>
      </c>
      <c r="GE810" s="27" t="s">
        <v>8</v>
      </c>
      <c r="GF810" s="27" t="s">
        <v>7</v>
      </c>
      <c r="GI810" s="27" t="s">
        <v>8</v>
      </c>
      <c r="GJ810" s="27" t="s">
        <v>7</v>
      </c>
      <c r="GK810" s="27" t="s">
        <v>8</v>
      </c>
    </row>
    <row r="811" spans="1:197" x14ac:dyDescent="0.25">
      <c r="A811" s="7">
        <v>1.184572170262178E-2</v>
      </c>
      <c r="B811"/>
      <c r="C811"/>
      <c r="D811"/>
      <c r="E811"/>
      <c r="F811" s="27" t="s">
        <v>7</v>
      </c>
      <c r="O811" s="27" t="s">
        <v>8</v>
      </c>
      <c r="P811" s="27" t="s">
        <v>7</v>
      </c>
      <c r="S811" s="27" t="s">
        <v>8</v>
      </c>
      <c r="T811" s="27" t="s">
        <v>7</v>
      </c>
      <c r="U811" s="27" t="s">
        <v>8</v>
      </c>
      <c r="V811" s="27" t="s">
        <v>7</v>
      </c>
      <c r="DE811" s="27" t="s">
        <v>8</v>
      </c>
      <c r="DF811" s="27" t="s">
        <v>7</v>
      </c>
      <c r="DG811" s="27" t="s">
        <v>8</v>
      </c>
      <c r="DJ811" s="27" t="s">
        <v>7</v>
      </c>
      <c r="DK811" s="27" t="s">
        <v>8</v>
      </c>
      <c r="DP811" s="27" t="s">
        <v>7</v>
      </c>
      <c r="DQ811" s="27" t="s">
        <v>8</v>
      </c>
      <c r="DR811" s="27" t="s">
        <v>7</v>
      </c>
      <c r="DS811" s="27" t="s">
        <v>8</v>
      </c>
      <c r="DT811" s="27" t="s">
        <v>7</v>
      </c>
      <c r="FI811" s="27" t="s">
        <v>8</v>
      </c>
      <c r="FJ811" s="27" t="s">
        <v>7</v>
      </c>
      <c r="FK811" s="27" t="s">
        <v>8</v>
      </c>
      <c r="FL811" s="27" t="s">
        <v>7</v>
      </c>
      <c r="GE811" s="27" t="s">
        <v>8</v>
      </c>
      <c r="GF811" s="27" t="s">
        <v>7</v>
      </c>
      <c r="GG811" s="27" t="s">
        <v>8</v>
      </c>
      <c r="GI811" s="27" t="s">
        <v>8</v>
      </c>
      <c r="GJ811" s="27" t="s">
        <v>7</v>
      </c>
      <c r="GK811" s="27" t="s">
        <v>8</v>
      </c>
    </row>
    <row r="812" spans="1:197" x14ac:dyDescent="0.25">
      <c r="A812" s="7">
        <v>1.1613452649629196E-2</v>
      </c>
      <c r="B812"/>
      <c r="C812"/>
      <c r="D812"/>
      <c r="E812"/>
      <c r="F812" s="27" t="s">
        <v>7</v>
      </c>
      <c r="O812" s="27" t="s">
        <v>8</v>
      </c>
      <c r="P812" s="27" t="s">
        <v>7</v>
      </c>
      <c r="S812" s="27" t="s">
        <v>8</v>
      </c>
      <c r="T812" s="27" t="s">
        <v>7</v>
      </c>
      <c r="V812" s="27" t="s">
        <v>7</v>
      </c>
      <c r="DE812" s="27" t="s">
        <v>8</v>
      </c>
      <c r="DF812" s="27" t="s">
        <v>7</v>
      </c>
      <c r="DG812" s="27" t="s">
        <v>8</v>
      </c>
      <c r="DJ812" s="27" t="s">
        <v>7</v>
      </c>
      <c r="DP812" s="27" t="s">
        <v>7</v>
      </c>
      <c r="DQ812" s="27" t="s">
        <v>8</v>
      </c>
      <c r="DR812" s="27" t="s">
        <v>7</v>
      </c>
      <c r="DS812" s="27" t="s">
        <v>8</v>
      </c>
      <c r="DT812" s="27" t="s">
        <v>7</v>
      </c>
      <c r="FI812" s="27" t="s">
        <v>8</v>
      </c>
      <c r="FJ812" s="27" t="s">
        <v>7</v>
      </c>
      <c r="FK812" s="27" t="s">
        <v>8</v>
      </c>
      <c r="FL812" s="27" t="s">
        <v>7</v>
      </c>
      <c r="GE812" s="27" t="s">
        <v>8</v>
      </c>
      <c r="GF812" s="27" t="s">
        <v>7</v>
      </c>
      <c r="GG812" s="27" t="s">
        <v>8</v>
      </c>
      <c r="GH812" s="27" t="s">
        <v>7</v>
      </c>
      <c r="GI812" s="27" t="s">
        <v>8</v>
      </c>
      <c r="GJ812" s="27" t="s">
        <v>7</v>
      </c>
      <c r="GK812" s="27" t="s">
        <v>8</v>
      </c>
    </row>
    <row r="813" spans="1:197" x14ac:dyDescent="0.25">
      <c r="A813" s="7">
        <v>1.138573789179333E-2</v>
      </c>
      <c r="B813"/>
      <c r="C813"/>
      <c r="D813"/>
      <c r="E813"/>
      <c r="F813" s="27" t="s">
        <v>7</v>
      </c>
      <c r="O813" s="27" t="s">
        <v>8</v>
      </c>
      <c r="P813" s="27" t="s">
        <v>7</v>
      </c>
      <c r="S813" s="27" t="s">
        <v>8</v>
      </c>
      <c r="V813" s="27" t="s">
        <v>7</v>
      </c>
      <c r="DE813" s="27" t="s">
        <v>8</v>
      </c>
      <c r="DF813" s="27" t="s">
        <v>7</v>
      </c>
      <c r="DG813" s="27" t="s">
        <v>8</v>
      </c>
      <c r="DP813" s="27" t="s">
        <v>7</v>
      </c>
      <c r="DQ813" s="27" t="s">
        <v>8</v>
      </c>
      <c r="DR813" s="27" t="s">
        <v>7</v>
      </c>
      <c r="DS813" s="27" t="s">
        <v>8</v>
      </c>
      <c r="DT813" s="27" t="s">
        <v>7</v>
      </c>
      <c r="FI813" s="27" t="s">
        <v>8</v>
      </c>
      <c r="FJ813" s="27" t="s">
        <v>7</v>
      </c>
      <c r="FK813" s="27" t="s">
        <v>8</v>
      </c>
      <c r="FL813" s="27" t="s">
        <v>7</v>
      </c>
      <c r="GE813" s="27" t="s">
        <v>8</v>
      </c>
      <c r="GF813" s="27" t="s">
        <v>7</v>
      </c>
      <c r="GG813" s="27" t="s">
        <v>8</v>
      </c>
      <c r="GH813" s="27" t="s">
        <v>7</v>
      </c>
      <c r="GI813" s="27" t="s">
        <v>8</v>
      </c>
      <c r="GJ813" s="27" t="s">
        <v>7</v>
      </c>
    </row>
    <row r="814" spans="1:197" x14ac:dyDescent="0.25">
      <c r="A814" s="7">
        <v>1.1162488129209149E-2</v>
      </c>
      <c r="B814"/>
      <c r="C814"/>
      <c r="D814"/>
      <c r="E814"/>
      <c r="F814" s="27" t="s">
        <v>7</v>
      </c>
      <c r="O814" s="27" t="s">
        <v>8</v>
      </c>
      <c r="P814" s="27" t="s">
        <v>7</v>
      </c>
      <c r="S814" s="27" t="s">
        <v>8</v>
      </c>
      <c r="V814" s="27" t="s">
        <v>7</v>
      </c>
      <c r="DE814" s="27" t="s">
        <v>8</v>
      </c>
      <c r="DF814" s="27" t="s">
        <v>7</v>
      </c>
      <c r="DG814" s="27" t="s">
        <v>8</v>
      </c>
      <c r="DP814" s="27" t="s">
        <v>7</v>
      </c>
      <c r="DR814" s="27" t="s">
        <v>7</v>
      </c>
      <c r="DS814" s="27" t="s">
        <v>8</v>
      </c>
      <c r="DT814" s="27" t="s">
        <v>7</v>
      </c>
      <c r="DU814" s="27" t="s">
        <v>8</v>
      </c>
      <c r="FI814" s="27" t="s">
        <v>8</v>
      </c>
      <c r="FJ814" s="27" t="s">
        <v>7</v>
      </c>
      <c r="FK814" s="27" t="s">
        <v>8</v>
      </c>
      <c r="FL814" s="27" t="s">
        <v>7</v>
      </c>
      <c r="GE814" s="27" t="s">
        <v>8</v>
      </c>
      <c r="GF814" s="27" t="s">
        <v>7</v>
      </c>
      <c r="GG814" s="27" t="s">
        <v>8</v>
      </c>
      <c r="GH814" s="27" t="s">
        <v>7</v>
      </c>
      <c r="GI814" s="27" t="s">
        <v>8</v>
      </c>
    </row>
    <row r="815" spans="1:197" x14ac:dyDescent="0.25">
      <c r="A815" s="7">
        <v>1.0943615812950145E-2</v>
      </c>
      <c r="B815"/>
      <c r="C815"/>
      <c r="D815"/>
      <c r="E815"/>
      <c r="F815" s="27" t="s">
        <v>7</v>
      </c>
      <c r="O815" s="27" t="s">
        <v>8</v>
      </c>
      <c r="P815" s="27" t="s">
        <v>7</v>
      </c>
      <c r="S815" s="27" t="s">
        <v>8</v>
      </c>
      <c r="V815" s="27" t="s">
        <v>7</v>
      </c>
      <c r="DE815" s="27" t="s">
        <v>8</v>
      </c>
      <c r="DF815" s="27" t="s">
        <v>7</v>
      </c>
      <c r="DG815" s="27" t="s">
        <v>8</v>
      </c>
      <c r="DR815" s="27" t="s">
        <v>7</v>
      </c>
      <c r="DT815" s="27" t="s">
        <v>7</v>
      </c>
      <c r="DU815" s="27" t="s">
        <v>8</v>
      </c>
      <c r="DV815" s="27" t="s">
        <v>7</v>
      </c>
      <c r="DW815" s="27" t="s">
        <v>8</v>
      </c>
      <c r="FI815" s="27" t="s">
        <v>8</v>
      </c>
      <c r="FJ815" s="27" t="s">
        <v>7</v>
      </c>
      <c r="FK815" s="27" t="s">
        <v>8</v>
      </c>
      <c r="FL815" s="27" t="s">
        <v>7</v>
      </c>
      <c r="FQ815" s="27" t="s">
        <v>8</v>
      </c>
      <c r="GC815" s="27" t="s">
        <v>8</v>
      </c>
      <c r="GE815" s="27" t="s">
        <v>8</v>
      </c>
      <c r="GF815" s="27" t="s">
        <v>7</v>
      </c>
      <c r="GG815" s="27" t="s">
        <v>8</v>
      </c>
      <c r="GH815" s="27" t="s">
        <v>7</v>
      </c>
      <c r="GI815" s="27" t="s">
        <v>8</v>
      </c>
    </row>
    <row r="816" spans="1:197" x14ac:dyDescent="0.25">
      <c r="A816" s="7">
        <v>1.0729035110735436E-2</v>
      </c>
      <c r="B816"/>
      <c r="C816"/>
      <c r="D816"/>
      <c r="E816"/>
      <c r="F816" s="27" t="s">
        <v>7</v>
      </c>
      <c r="O816" s="27" t="s">
        <v>8</v>
      </c>
      <c r="P816" s="27" t="s">
        <v>7</v>
      </c>
      <c r="S816" s="27" t="s">
        <v>8</v>
      </c>
      <c r="V816" s="27" t="s">
        <v>7</v>
      </c>
      <c r="W816" s="27" t="s">
        <v>8</v>
      </c>
      <c r="DE816" s="27" t="s">
        <v>8</v>
      </c>
      <c r="DF816" s="27" t="s">
        <v>7</v>
      </c>
      <c r="DG816" s="27" t="s">
        <v>8</v>
      </c>
      <c r="DT816" s="27" t="s">
        <v>7</v>
      </c>
      <c r="DU816" s="27" t="s">
        <v>8</v>
      </c>
      <c r="DV816" s="27" t="s">
        <v>7</v>
      </c>
      <c r="DW816" s="27" t="s">
        <v>8</v>
      </c>
      <c r="DX816" s="27" t="s">
        <v>7</v>
      </c>
      <c r="FI816" s="27" t="s">
        <v>8</v>
      </c>
      <c r="FJ816" s="27" t="s">
        <v>7</v>
      </c>
      <c r="FK816" s="27" t="s">
        <v>8</v>
      </c>
      <c r="FL816" s="27" t="s">
        <v>7</v>
      </c>
      <c r="FQ816" s="27" t="s">
        <v>8</v>
      </c>
      <c r="FR816" s="27" t="s">
        <v>7</v>
      </c>
      <c r="GC816" s="27" t="s">
        <v>8</v>
      </c>
      <c r="GD816" s="27" t="s">
        <v>7</v>
      </c>
      <c r="GE816" s="27" t="s">
        <v>8</v>
      </c>
      <c r="GF816" s="27" t="s">
        <v>7</v>
      </c>
      <c r="GG816" s="27" t="s">
        <v>8</v>
      </c>
      <c r="GH816" s="27" t="s">
        <v>7</v>
      </c>
      <c r="GI816" s="27" t="s">
        <v>8</v>
      </c>
    </row>
    <row r="817" spans="1:191" x14ac:dyDescent="0.25">
      <c r="A817" s="7">
        <v>1.0518661873270036E-2</v>
      </c>
      <c r="B817"/>
      <c r="C817"/>
      <c r="D817"/>
      <c r="E817"/>
      <c r="F817" s="27" t="s">
        <v>7</v>
      </c>
      <c r="O817" s="27" t="s">
        <v>8</v>
      </c>
      <c r="P817" s="27" t="s">
        <v>7</v>
      </c>
      <c r="Q817" s="27" t="s">
        <v>8</v>
      </c>
      <c r="S817" s="27" t="s">
        <v>8</v>
      </c>
      <c r="V817" s="27" t="s">
        <v>7</v>
      </c>
      <c r="W817" s="27" t="s">
        <v>8</v>
      </c>
      <c r="X817" s="27" t="s">
        <v>7</v>
      </c>
      <c r="DE817" s="27" t="s">
        <v>8</v>
      </c>
      <c r="DF817" s="27" t="s">
        <v>7</v>
      </c>
      <c r="DG817" s="27" t="s">
        <v>8</v>
      </c>
      <c r="DT817" s="27" t="s">
        <v>7</v>
      </c>
      <c r="DU817" s="27" t="s">
        <v>8</v>
      </c>
      <c r="DV817" s="27" t="s">
        <v>7</v>
      </c>
      <c r="DW817" s="27" t="s">
        <v>8</v>
      </c>
      <c r="DX817" s="27" t="s">
        <v>7</v>
      </c>
      <c r="FI817" s="27" t="s">
        <v>8</v>
      </c>
      <c r="FJ817" s="27" t="s">
        <v>7</v>
      </c>
      <c r="FK817" s="27" t="s">
        <v>8</v>
      </c>
      <c r="FL817" s="27" t="s">
        <v>7</v>
      </c>
      <c r="FQ817" s="27" t="s">
        <v>8</v>
      </c>
      <c r="FR817" s="27" t="s">
        <v>7</v>
      </c>
      <c r="FW817" s="27" t="s">
        <v>8</v>
      </c>
      <c r="GC817" s="27" t="s">
        <v>8</v>
      </c>
      <c r="GD817" s="27" t="s">
        <v>7</v>
      </c>
      <c r="GE817" s="27" t="s">
        <v>8</v>
      </c>
      <c r="GF817" s="27" t="s">
        <v>7</v>
      </c>
      <c r="GG817" s="27" t="s">
        <v>8</v>
      </c>
      <c r="GH817" s="27" t="s">
        <v>7</v>
      </c>
      <c r="GI817" s="27" t="s">
        <v>8</v>
      </c>
    </row>
    <row r="818" spans="1:191" x14ac:dyDescent="0.25">
      <c r="A818" s="7">
        <v>1.0312413601245135E-2</v>
      </c>
      <c r="B818"/>
      <c r="C818"/>
      <c r="D818"/>
      <c r="E818"/>
      <c r="F818" s="27" t="s">
        <v>7</v>
      </c>
      <c r="G818" s="27" t="s">
        <v>8</v>
      </c>
      <c r="O818" s="27" t="s">
        <v>8</v>
      </c>
      <c r="P818" s="27" t="s">
        <v>7</v>
      </c>
      <c r="Q818" s="27" t="s">
        <v>8</v>
      </c>
      <c r="R818" s="27" t="s">
        <v>7</v>
      </c>
      <c r="S818" s="27" t="s">
        <v>8</v>
      </c>
      <c r="V818" s="27" t="s">
        <v>7</v>
      </c>
      <c r="W818" s="27" t="s">
        <v>8</v>
      </c>
      <c r="X818" s="27" t="s">
        <v>7</v>
      </c>
      <c r="Y818" s="27" t="s">
        <v>8</v>
      </c>
      <c r="DA818" s="27" t="s">
        <v>8</v>
      </c>
      <c r="DE818" s="27" t="s">
        <v>8</v>
      </c>
      <c r="DF818" s="27" t="s">
        <v>7</v>
      </c>
      <c r="DG818" s="27" t="s">
        <v>8</v>
      </c>
      <c r="DT818" s="27" t="s">
        <v>7</v>
      </c>
      <c r="DU818" s="27" t="s">
        <v>8</v>
      </c>
      <c r="DV818" s="27" t="s">
        <v>7</v>
      </c>
      <c r="DW818" s="27" t="s">
        <v>8</v>
      </c>
      <c r="DX818" s="27" t="s">
        <v>7</v>
      </c>
      <c r="FI818" s="27" t="s">
        <v>8</v>
      </c>
      <c r="FJ818" s="27" t="s">
        <v>7</v>
      </c>
      <c r="FK818" s="27" t="s">
        <v>8</v>
      </c>
      <c r="FL818" s="27" t="s">
        <v>7</v>
      </c>
      <c r="FO818" s="27" t="s">
        <v>8</v>
      </c>
      <c r="FQ818" s="27" t="s">
        <v>8</v>
      </c>
      <c r="FR818" s="27" t="s">
        <v>7</v>
      </c>
      <c r="FW818" s="27" t="s">
        <v>8</v>
      </c>
      <c r="FX818" s="27" t="s">
        <v>7</v>
      </c>
      <c r="FY818" s="27" t="s">
        <v>8</v>
      </c>
      <c r="GA818" s="27" t="s">
        <v>8</v>
      </c>
      <c r="GC818" s="27" t="s">
        <v>8</v>
      </c>
      <c r="GD818" s="27" t="s">
        <v>7</v>
      </c>
      <c r="GE818" s="27" t="s">
        <v>8</v>
      </c>
      <c r="GF818" s="27" t="s">
        <v>7</v>
      </c>
      <c r="GG818" s="27" t="s">
        <v>8</v>
      </c>
      <c r="GH818" s="27" t="s">
        <v>7</v>
      </c>
      <c r="GI818" s="27" t="s">
        <v>8</v>
      </c>
    </row>
    <row r="819" spans="1:191" x14ac:dyDescent="0.25">
      <c r="A819" s="7">
        <v>1.0110209412985426E-2</v>
      </c>
      <c r="B819"/>
      <c r="C819"/>
      <c r="D819"/>
      <c r="E819"/>
      <c r="F819" s="27" t="s">
        <v>7</v>
      </c>
      <c r="G819" s="27" t="s">
        <v>8</v>
      </c>
      <c r="H819" s="27" t="s">
        <v>7</v>
      </c>
      <c r="O819" s="27" t="s">
        <v>8</v>
      </c>
      <c r="P819" s="27" t="s">
        <v>7</v>
      </c>
      <c r="Q819" s="27" t="s">
        <v>8</v>
      </c>
      <c r="R819" s="27" t="s">
        <v>7</v>
      </c>
      <c r="S819" s="27" t="s">
        <v>8</v>
      </c>
      <c r="V819" s="27" t="s">
        <v>7</v>
      </c>
      <c r="W819" s="27" t="s">
        <v>8</v>
      </c>
      <c r="X819" s="27" t="s">
        <v>7</v>
      </c>
      <c r="Y819" s="27" t="s">
        <v>8</v>
      </c>
      <c r="Z819" s="27" t="s">
        <v>7</v>
      </c>
      <c r="BW819" s="27" t="s">
        <v>8</v>
      </c>
      <c r="DA819" s="27" t="s">
        <v>8</v>
      </c>
      <c r="DB819" s="27" t="s">
        <v>7</v>
      </c>
      <c r="DE819" s="27" t="s">
        <v>8</v>
      </c>
      <c r="DF819" s="27" t="s">
        <v>7</v>
      </c>
      <c r="DG819" s="27" t="s">
        <v>8</v>
      </c>
      <c r="DT819" s="27" t="s">
        <v>7</v>
      </c>
      <c r="DU819" s="27" t="s">
        <v>8</v>
      </c>
      <c r="DV819" s="27" t="s">
        <v>7</v>
      </c>
      <c r="DW819" s="27" t="s">
        <v>8</v>
      </c>
      <c r="DX819" s="27" t="s">
        <v>7</v>
      </c>
      <c r="FI819" s="27" t="s">
        <v>8</v>
      </c>
      <c r="FJ819" s="27" t="s">
        <v>7</v>
      </c>
      <c r="FK819" s="27" t="s">
        <v>8</v>
      </c>
      <c r="FL819" s="27" t="s">
        <v>7</v>
      </c>
      <c r="FO819" s="27" t="s">
        <v>8</v>
      </c>
      <c r="FP819" s="27" t="s">
        <v>7</v>
      </c>
      <c r="FQ819" s="27" t="s">
        <v>8</v>
      </c>
      <c r="FR819" s="27" t="s">
        <v>7</v>
      </c>
      <c r="FW819" s="27" t="s">
        <v>8</v>
      </c>
      <c r="FX819" s="27" t="s">
        <v>7</v>
      </c>
      <c r="FY819" s="27" t="s">
        <v>8</v>
      </c>
      <c r="FZ819" s="27" t="s">
        <v>7</v>
      </c>
      <c r="GA819" s="27" t="s">
        <v>8</v>
      </c>
      <c r="GB819" s="27" t="s">
        <v>7</v>
      </c>
      <c r="GC819" s="27" t="s">
        <v>8</v>
      </c>
      <c r="GD819" s="27" t="s">
        <v>7</v>
      </c>
      <c r="GE819" s="27" t="s">
        <v>8</v>
      </c>
      <c r="GF819" s="27" t="s">
        <v>7</v>
      </c>
      <c r="GG819" s="27" t="s">
        <v>8</v>
      </c>
      <c r="GH819" s="27" t="s">
        <v>7</v>
      </c>
      <c r="GI819" s="27" t="s">
        <v>8</v>
      </c>
    </row>
    <row r="820" spans="1:191" x14ac:dyDescent="0.25">
      <c r="A820" s="7">
        <v>9.9119700127308103E-3</v>
      </c>
      <c r="B820"/>
      <c r="C820"/>
      <c r="D820"/>
      <c r="E820"/>
      <c r="F820" s="27" t="s">
        <v>7</v>
      </c>
      <c r="G820" s="27" t="s">
        <v>8</v>
      </c>
      <c r="H820" s="27" t="s">
        <v>7</v>
      </c>
      <c r="O820" s="27" t="s">
        <v>8</v>
      </c>
      <c r="P820" s="27" t="s">
        <v>7</v>
      </c>
      <c r="Q820" s="27" t="s">
        <v>8</v>
      </c>
      <c r="R820" s="27" t="s">
        <v>7</v>
      </c>
      <c r="S820" s="27" t="s">
        <v>8</v>
      </c>
      <c r="V820" s="27" t="s">
        <v>7</v>
      </c>
      <c r="W820" s="27" t="s">
        <v>8</v>
      </c>
      <c r="X820" s="27" t="s">
        <v>7</v>
      </c>
      <c r="Y820" s="27" t="s">
        <v>8</v>
      </c>
      <c r="Z820" s="27" t="s">
        <v>7</v>
      </c>
      <c r="AE820" s="27" t="s">
        <v>8</v>
      </c>
      <c r="BU820" s="27" t="s">
        <v>8</v>
      </c>
      <c r="BW820" s="27" t="s">
        <v>8</v>
      </c>
      <c r="BX820" s="27" t="s">
        <v>7</v>
      </c>
      <c r="DA820" s="27" t="s">
        <v>8</v>
      </c>
      <c r="DB820" s="27" t="s">
        <v>7</v>
      </c>
      <c r="DE820" s="27" t="s">
        <v>8</v>
      </c>
      <c r="DF820" s="27" t="s">
        <v>7</v>
      </c>
      <c r="DG820" s="27" t="s">
        <v>8</v>
      </c>
      <c r="DT820" s="27" t="s">
        <v>7</v>
      </c>
      <c r="DU820" s="27" t="s">
        <v>8</v>
      </c>
      <c r="DV820" s="27" t="s">
        <v>7</v>
      </c>
      <c r="DX820" s="27" t="s">
        <v>7</v>
      </c>
      <c r="FI820" s="27" t="s">
        <v>8</v>
      </c>
      <c r="FJ820" s="27" t="s">
        <v>7</v>
      </c>
      <c r="FK820" s="27" t="s">
        <v>8</v>
      </c>
      <c r="FL820" s="27" t="s">
        <v>7</v>
      </c>
      <c r="FO820" s="27" t="s">
        <v>8</v>
      </c>
      <c r="FP820" s="27" t="s">
        <v>7</v>
      </c>
      <c r="FQ820" s="27" t="s">
        <v>8</v>
      </c>
      <c r="FR820" s="27" t="s">
        <v>7</v>
      </c>
      <c r="FU820" s="27" t="s">
        <v>8</v>
      </c>
      <c r="FW820" s="27" t="s">
        <v>8</v>
      </c>
      <c r="FX820" s="27" t="s">
        <v>7</v>
      </c>
      <c r="FY820" s="27" t="s">
        <v>8</v>
      </c>
      <c r="FZ820" s="27" t="s">
        <v>7</v>
      </c>
      <c r="GA820" s="27" t="s">
        <v>8</v>
      </c>
      <c r="GB820" s="27" t="s">
        <v>7</v>
      </c>
      <c r="GC820" s="27" t="s">
        <v>8</v>
      </c>
      <c r="GD820" s="27" t="s">
        <v>7</v>
      </c>
      <c r="GE820" s="27" t="s">
        <v>8</v>
      </c>
      <c r="GF820" s="27" t="s">
        <v>7</v>
      </c>
      <c r="GG820" s="27" t="s">
        <v>8</v>
      </c>
      <c r="GH820" s="27" t="s">
        <v>7</v>
      </c>
      <c r="GI820" s="27" t="s">
        <v>8</v>
      </c>
    </row>
    <row r="821" spans="1:191" x14ac:dyDescent="0.25">
      <c r="A821" s="7">
        <v>9.717617659540009E-3</v>
      </c>
      <c r="B821"/>
      <c r="C821"/>
      <c r="D821"/>
      <c r="E821"/>
      <c r="F821" s="27" t="s">
        <v>7</v>
      </c>
      <c r="G821" s="27" t="s">
        <v>8</v>
      </c>
      <c r="H821" s="27" t="s">
        <v>7</v>
      </c>
      <c r="O821" s="27" t="s">
        <v>8</v>
      </c>
      <c r="P821" s="27" t="s">
        <v>7</v>
      </c>
      <c r="Q821" s="27" t="s">
        <v>8</v>
      </c>
      <c r="R821" s="27" t="s">
        <v>7</v>
      </c>
      <c r="V821" s="27" t="s">
        <v>7</v>
      </c>
      <c r="W821" s="27" t="s">
        <v>8</v>
      </c>
      <c r="X821" s="27" t="s">
        <v>7</v>
      </c>
      <c r="Y821" s="27" t="s">
        <v>8</v>
      </c>
      <c r="Z821" s="27" t="s">
        <v>7</v>
      </c>
      <c r="AE821" s="27" t="s">
        <v>8</v>
      </c>
      <c r="AF821" s="27" t="s">
        <v>7</v>
      </c>
      <c r="BU821" s="27" t="s">
        <v>8</v>
      </c>
      <c r="BV821" s="27" t="s">
        <v>7</v>
      </c>
      <c r="BW821" s="27" t="s">
        <v>8</v>
      </c>
      <c r="BX821" s="27" t="s">
        <v>7</v>
      </c>
      <c r="DA821" s="27" t="s">
        <v>8</v>
      </c>
      <c r="DB821" s="27" t="s">
        <v>7</v>
      </c>
      <c r="DC821" s="27" t="s">
        <v>8</v>
      </c>
      <c r="DE821" s="27" t="s">
        <v>8</v>
      </c>
      <c r="DF821" s="27" t="s">
        <v>7</v>
      </c>
      <c r="DG821" s="27" t="s">
        <v>8</v>
      </c>
      <c r="DT821" s="27" t="s">
        <v>7</v>
      </c>
      <c r="DU821" s="27" t="s">
        <v>8</v>
      </c>
      <c r="DX821" s="27" t="s">
        <v>7</v>
      </c>
      <c r="EU821" s="27" t="s">
        <v>8</v>
      </c>
      <c r="FI821" s="27" t="s">
        <v>8</v>
      </c>
      <c r="FJ821" s="27" t="s">
        <v>7</v>
      </c>
      <c r="FL821" s="27" t="s">
        <v>7</v>
      </c>
      <c r="FO821" s="27" t="s">
        <v>8</v>
      </c>
      <c r="FP821" s="27" t="s">
        <v>7</v>
      </c>
      <c r="FQ821" s="27" t="s">
        <v>8</v>
      </c>
      <c r="FR821" s="27" t="s">
        <v>7</v>
      </c>
      <c r="FU821" s="27" t="s">
        <v>8</v>
      </c>
      <c r="FV821" s="27" t="s">
        <v>7</v>
      </c>
      <c r="FW821" s="27" t="s">
        <v>8</v>
      </c>
      <c r="FX821" s="27" t="s">
        <v>7</v>
      </c>
      <c r="FY821" s="27" t="s">
        <v>8</v>
      </c>
      <c r="FZ821" s="27" t="s">
        <v>7</v>
      </c>
      <c r="GA821" s="27" t="s">
        <v>8</v>
      </c>
      <c r="GB821" s="27" t="s">
        <v>7</v>
      </c>
      <c r="GC821" s="27" t="s">
        <v>8</v>
      </c>
      <c r="GD821" s="27" t="s">
        <v>7</v>
      </c>
      <c r="GE821" s="27" t="s">
        <v>8</v>
      </c>
      <c r="GF821" s="27" t="s">
        <v>7</v>
      </c>
      <c r="GG821" s="27" t="s">
        <v>8</v>
      </c>
      <c r="GH821" s="27" t="s">
        <v>7</v>
      </c>
      <c r="GI821" s="27" t="s">
        <v>8</v>
      </c>
    </row>
    <row r="822" spans="1:191" x14ac:dyDescent="0.25">
      <c r="A822" s="7">
        <v>9.5270761368039299E-3</v>
      </c>
      <c r="B822"/>
      <c r="C822"/>
      <c r="D822"/>
      <c r="E822"/>
      <c r="F822" s="27" t="s">
        <v>7</v>
      </c>
      <c r="G822" s="27" t="s">
        <v>8</v>
      </c>
      <c r="H822" s="27" t="s">
        <v>7</v>
      </c>
      <c r="O822" s="27" t="s">
        <v>8</v>
      </c>
      <c r="P822" s="27" t="s">
        <v>7</v>
      </c>
      <c r="V822" s="27" t="s">
        <v>7</v>
      </c>
      <c r="W822" s="27" t="s">
        <v>8</v>
      </c>
      <c r="X822" s="27" t="s">
        <v>7</v>
      </c>
      <c r="Y822" s="27" t="s">
        <v>8</v>
      </c>
      <c r="Z822" s="27" t="s">
        <v>7</v>
      </c>
      <c r="AE822" s="27" t="s">
        <v>8</v>
      </c>
      <c r="AF822" s="27" t="s">
        <v>7</v>
      </c>
      <c r="BU822" s="27" t="s">
        <v>8</v>
      </c>
      <c r="BV822" s="27" t="s">
        <v>7</v>
      </c>
      <c r="BW822" s="27" t="s">
        <v>8</v>
      </c>
      <c r="BX822" s="27" t="s">
        <v>7</v>
      </c>
      <c r="DA822" s="27" t="s">
        <v>8</v>
      </c>
      <c r="DB822" s="27" t="s">
        <v>7</v>
      </c>
      <c r="DC822" s="27" t="s">
        <v>8</v>
      </c>
      <c r="DD822" s="27" t="s">
        <v>7</v>
      </c>
      <c r="DE822" s="27" t="s">
        <v>8</v>
      </c>
      <c r="DF822" s="27" t="s">
        <v>7</v>
      </c>
      <c r="DG822" s="27" t="s">
        <v>8</v>
      </c>
      <c r="DT822" s="27" t="s">
        <v>7</v>
      </c>
      <c r="DU822" s="27" t="s">
        <v>8</v>
      </c>
      <c r="DX822" s="27" t="s">
        <v>7</v>
      </c>
      <c r="EU822" s="27" t="s">
        <v>8</v>
      </c>
      <c r="EV822" s="27" t="s">
        <v>7</v>
      </c>
      <c r="FI822" s="27" t="s">
        <v>8</v>
      </c>
      <c r="FL822" s="27" t="s">
        <v>7</v>
      </c>
      <c r="FO822" s="27" t="s">
        <v>8</v>
      </c>
      <c r="FP822" s="27" t="s">
        <v>7</v>
      </c>
      <c r="FQ822" s="27" t="s">
        <v>8</v>
      </c>
      <c r="FR822" s="27" t="s">
        <v>7</v>
      </c>
      <c r="FU822" s="27" t="s">
        <v>8</v>
      </c>
      <c r="FV822" s="27" t="s">
        <v>7</v>
      </c>
      <c r="FW822" s="27" t="s">
        <v>8</v>
      </c>
      <c r="FX822" s="27" t="s">
        <v>7</v>
      </c>
      <c r="FY822" s="27" t="s">
        <v>8</v>
      </c>
      <c r="FZ822" s="27" t="s">
        <v>7</v>
      </c>
      <c r="GA822" s="27" t="s">
        <v>8</v>
      </c>
      <c r="GB822" s="27" t="s">
        <v>7</v>
      </c>
      <c r="GC822" s="27" t="s">
        <v>8</v>
      </c>
      <c r="GD822" s="27" t="s">
        <v>7</v>
      </c>
      <c r="GE822" s="27" t="s">
        <v>8</v>
      </c>
      <c r="GF822" s="27" t="s">
        <v>7</v>
      </c>
      <c r="GG822" s="27" t="s">
        <v>8</v>
      </c>
      <c r="GH822" s="27" t="s">
        <v>7</v>
      </c>
      <c r="GI822" s="27" t="s">
        <v>8</v>
      </c>
    </row>
    <row r="823" spans="1:191" x14ac:dyDescent="0.25">
      <c r="A823" s="7">
        <v>9.3402707223567936E-3</v>
      </c>
      <c r="B823"/>
      <c r="C823"/>
      <c r="D823"/>
      <c r="E823"/>
      <c r="F823" s="27" t="s">
        <v>7</v>
      </c>
      <c r="G823" s="27" t="s">
        <v>8</v>
      </c>
      <c r="H823" s="27" t="s">
        <v>7</v>
      </c>
      <c r="O823" s="27" t="s">
        <v>8</v>
      </c>
      <c r="V823" s="27" t="s">
        <v>7</v>
      </c>
      <c r="W823" s="27" t="s">
        <v>8</v>
      </c>
      <c r="X823" s="27" t="s">
        <v>7</v>
      </c>
      <c r="Y823" s="27" t="s">
        <v>8</v>
      </c>
      <c r="Z823" s="27" t="s">
        <v>7</v>
      </c>
      <c r="AE823" s="27" t="s">
        <v>8</v>
      </c>
      <c r="AF823" s="27" t="s">
        <v>7</v>
      </c>
      <c r="BU823" s="27" t="s">
        <v>8</v>
      </c>
      <c r="BV823" s="27" t="s">
        <v>7</v>
      </c>
      <c r="BW823" s="27" t="s">
        <v>8</v>
      </c>
      <c r="BX823" s="27" t="s">
        <v>7</v>
      </c>
      <c r="DA823" s="27" t="s">
        <v>8</v>
      </c>
      <c r="DB823" s="27" t="s">
        <v>7</v>
      </c>
      <c r="DC823" s="27" t="s">
        <v>8</v>
      </c>
      <c r="DD823" s="27" t="s">
        <v>7</v>
      </c>
      <c r="DE823" s="27" t="s">
        <v>8</v>
      </c>
      <c r="DF823" s="27" t="s">
        <v>7</v>
      </c>
      <c r="DT823" s="27" t="s">
        <v>7</v>
      </c>
      <c r="DX823" s="27" t="s">
        <v>7</v>
      </c>
      <c r="EU823" s="27" t="s">
        <v>8</v>
      </c>
      <c r="EV823" s="27" t="s">
        <v>7</v>
      </c>
      <c r="FI823" s="27" t="s">
        <v>8</v>
      </c>
      <c r="FL823" s="27" t="s">
        <v>7</v>
      </c>
      <c r="FM823" s="27" t="s">
        <v>8</v>
      </c>
      <c r="FO823" s="27" t="s">
        <v>8</v>
      </c>
      <c r="FP823" s="27" t="s">
        <v>7</v>
      </c>
      <c r="FQ823" s="27" t="s">
        <v>8</v>
      </c>
      <c r="FR823" s="27" t="s">
        <v>7</v>
      </c>
      <c r="FS823" s="27" t="s">
        <v>8</v>
      </c>
      <c r="FU823" s="27" t="s">
        <v>8</v>
      </c>
      <c r="FV823" s="27" t="s">
        <v>7</v>
      </c>
      <c r="FW823" s="27" t="s">
        <v>8</v>
      </c>
      <c r="FX823" s="27" t="s">
        <v>7</v>
      </c>
      <c r="FY823" s="27" t="s">
        <v>8</v>
      </c>
      <c r="FZ823" s="27" t="s">
        <v>7</v>
      </c>
      <c r="GA823" s="27" t="s">
        <v>8</v>
      </c>
      <c r="GB823" s="27" t="s">
        <v>7</v>
      </c>
      <c r="GD823" s="27" t="s">
        <v>7</v>
      </c>
      <c r="GE823" s="27" t="s">
        <v>8</v>
      </c>
      <c r="GF823" s="27" t="s">
        <v>7</v>
      </c>
      <c r="GG823" s="27" t="s">
        <v>8</v>
      </c>
      <c r="GH823" s="27" t="s">
        <v>7</v>
      </c>
      <c r="GI823" s="27" t="s">
        <v>8</v>
      </c>
    </row>
    <row r="824" spans="1:191" x14ac:dyDescent="0.25">
      <c r="A824" s="7">
        <v>9.1571281591733261E-3</v>
      </c>
      <c r="B824"/>
      <c r="C824"/>
      <c r="D824"/>
      <c r="E824"/>
      <c r="F824" s="27" t="s">
        <v>7</v>
      </c>
      <c r="H824" s="27" t="s">
        <v>7</v>
      </c>
      <c r="K824" s="27" t="s">
        <v>8</v>
      </c>
      <c r="O824" s="27" t="s">
        <v>8</v>
      </c>
      <c r="V824" s="27" t="s">
        <v>7</v>
      </c>
      <c r="X824" s="27" t="s">
        <v>7</v>
      </c>
      <c r="Z824" s="27" t="s">
        <v>7</v>
      </c>
      <c r="AE824" s="27" t="s">
        <v>8</v>
      </c>
      <c r="AF824" s="27" t="s">
        <v>7</v>
      </c>
      <c r="BU824" s="27" t="s">
        <v>8</v>
      </c>
      <c r="BV824" s="27" t="s">
        <v>7</v>
      </c>
      <c r="BW824" s="27" t="s">
        <v>8</v>
      </c>
      <c r="BX824" s="27" t="s">
        <v>7</v>
      </c>
      <c r="CQ824" s="27" t="s">
        <v>8</v>
      </c>
      <c r="DA824" s="27" t="s">
        <v>8</v>
      </c>
      <c r="DB824" s="27" t="s">
        <v>7</v>
      </c>
      <c r="DC824" s="27" t="s">
        <v>8</v>
      </c>
      <c r="DD824" s="27" t="s">
        <v>7</v>
      </c>
      <c r="DE824" s="27" t="s">
        <v>8</v>
      </c>
      <c r="DX824" s="27" t="s">
        <v>7</v>
      </c>
      <c r="EK824" s="27" t="s">
        <v>8</v>
      </c>
      <c r="EU824" s="27" t="s">
        <v>8</v>
      </c>
      <c r="EV824" s="27" t="s">
        <v>7</v>
      </c>
      <c r="EW824" s="27" t="s">
        <v>8</v>
      </c>
      <c r="FI824" s="27" t="s">
        <v>8</v>
      </c>
      <c r="FL824" s="27" t="s">
        <v>7</v>
      </c>
      <c r="FM824" s="27" t="s">
        <v>8</v>
      </c>
      <c r="FN824" s="27" t="s">
        <v>7</v>
      </c>
      <c r="FO824" s="27" t="s">
        <v>8</v>
      </c>
      <c r="FP824" s="27" t="s">
        <v>7</v>
      </c>
      <c r="FQ824" s="27" t="s">
        <v>8</v>
      </c>
      <c r="FR824" s="27" t="s">
        <v>7</v>
      </c>
      <c r="FS824" s="27" t="s">
        <v>8</v>
      </c>
      <c r="FT824" s="27" t="s">
        <v>7</v>
      </c>
      <c r="FU824" s="27" t="s">
        <v>8</v>
      </c>
      <c r="FV824" s="27" t="s">
        <v>7</v>
      </c>
      <c r="FW824" s="27" t="s">
        <v>8</v>
      </c>
      <c r="FX824" s="27" t="s">
        <v>7</v>
      </c>
      <c r="FY824" s="27" t="s">
        <v>8</v>
      </c>
      <c r="FZ824" s="27" t="s">
        <v>7</v>
      </c>
      <c r="GA824" s="27" t="s">
        <v>8</v>
      </c>
      <c r="GD824" s="27" t="s">
        <v>7</v>
      </c>
      <c r="GF824" s="27" t="s">
        <v>7</v>
      </c>
      <c r="GG824" s="27" t="s">
        <v>8</v>
      </c>
      <c r="GH824" s="27" t="s">
        <v>7</v>
      </c>
      <c r="GI824" s="27" t="s">
        <v>8</v>
      </c>
    </row>
    <row r="825" spans="1:191" x14ac:dyDescent="0.25">
      <c r="A825" s="7">
        <v>8.9775766266405148E-3</v>
      </c>
      <c r="B825"/>
      <c r="C825"/>
      <c r="D825"/>
      <c r="E825"/>
      <c r="H825" s="27" t="s">
        <v>7</v>
      </c>
      <c r="K825" s="27" t="s">
        <v>8</v>
      </c>
      <c r="L825" s="27" t="s">
        <v>7</v>
      </c>
      <c r="M825" s="27" t="s">
        <v>8</v>
      </c>
      <c r="O825" s="27" t="s">
        <v>8</v>
      </c>
      <c r="Z825" s="27" t="s">
        <v>7</v>
      </c>
      <c r="AE825" s="27" t="s">
        <v>8</v>
      </c>
      <c r="AF825" s="27" t="s">
        <v>7</v>
      </c>
      <c r="AG825" s="27" t="s">
        <v>8</v>
      </c>
      <c r="BU825" s="27" t="s">
        <v>8</v>
      </c>
      <c r="BV825" s="27" t="s">
        <v>7</v>
      </c>
      <c r="BW825" s="27" t="s">
        <v>8</v>
      </c>
      <c r="BX825" s="27" t="s">
        <v>7</v>
      </c>
      <c r="CQ825" s="27" t="s">
        <v>8</v>
      </c>
      <c r="CR825" s="27" t="s">
        <v>7</v>
      </c>
      <c r="DA825" s="27" t="s">
        <v>8</v>
      </c>
      <c r="DB825" s="27" t="s">
        <v>7</v>
      </c>
      <c r="DC825" s="27" t="s">
        <v>8</v>
      </c>
      <c r="DD825" s="27" t="s">
        <v>7</v>
      </c>
      <c r="DE825" s="27" t="s">
        <v>8</v>
      </c>
      <c r="DX825" s="27" t="s">
        <v>7</v>
      </c>
      <c r="EK825" s="27" t="s">
        <v>8</v>
      </c>
      <c r="EL825" s="27" t="s">
        <v>7</v>
      </c>
      <c r="EU825" s="27" t="s">
        <v>8</v>
      </c>
      <c r="EV825" s="27" t="s">
        <v>7</v>
      </c>
      <c r="EW825" s="27" t="s">
        <v>8</v>
      </c>
      <c r="EX825" s="27" t="s">
        <v>7</v>
      </c>
      <c r="FI825" s="27" t="s">
        <v>8</v>
      </c>
      <c r="FL825" s="27" t="s">
        <v>7</v>
      </c>
      <c r="FM825" s="27" t="s">
        <v>8</v>
      </c>
      <c r="FN825" s="27" t="s">
        <v>7</v>
      </c>
      <c r="FO825" s="27" t="s">
        <v>8</v>
      </c>
      <c r="FP825" s="27" t="s">
        <v>7</v>
      </c>
      <c r="FQ825" s="27" t="s">
        <v>8</v>
      </c>
      <c r="FR825" s="27" t="s">
        <v>7</v>
      </c>
      <c r="FS825" s="27" t="s">
        <v>8</v>
      </c>
      <c r="FT825" s="27" t="s">
        <v>7</v>
      </c>
      <c r="FU825" s="27" t="s">
        <v>8</v>
      </c>
      <c r="FV825" s="27" t="s">
        <v>7</v>
      </c>
      <c r="FW825" s="27" t="s">
        <v>8</v>
      </c>
      <c r="FX825" s="27" t="s">
        <v>7</v>
      </c>
      <c r="FY825" s="27" t="s">
        <v>8</v>
      </c>
      <c r="FZ825" s="27" t="s">
        <v>7</v>
      </c>
      <c r="GA825" s="27" t="s">
        <v>8</v>
      </c>
      <c r="GF825" s="27" t="s">
        <v>7</v>
      </c>
      <c r="GG825" s="27" t="s">
        <v>8</v>
      </c>
      <c r="GH825" s="27" t="s">
        <v>7</v>
      </c>
    </row>
    <row r="826" spans="1:191" x14ac:dyDescent="0.25">
      <c r="A826" s="7">
        <v>8.8015457123926614E-3</v>
      </c>
      <c r="B826"/>
      <c r="C826"/>
      <c r="D826"/>
      <c r="E826"/>
      <c r="H826" s="27" t="s">
        <v>7</v>
      </c>
      <c r="I826" s="27" t="s">
        <v>8</v>
      </c>
      <c r="K826" s="27" t="s">
        <v>8</v>
      </c>
      <c r="L826" s="27" t="s">
        <v>7</v>
      </c>
      <c r="M826" s="27" t="s">
        <v>8</v>
      </c>
      <c r="N826" s="27" t="s">
        <v>7</v>
      </c>
      <c r="O826" s="27" t="s">
        <v>8</v>
      </c>
      <c r="Z826" s="27" t="s">
        <v>7</v>
      </c>
      <c r="AE826" s="27" t="s">
        <v>8</v>
      </c>
      <c r="AF826" s="27" t="s">
        <v>7</v>
      </c>
      <c r="AG826" s="27" t="s">
        <v>8</v>
      </c>
      <c r="AH826" s="27" t="s">
        <v>7</v>
      </c>
      <c r="BU826" s="27" t="s">
        <v>8</v>
      </c>
      <c r="BV826" s="27" t="s">
        <v>7</v>
      </c>
      <c r="BW826" s="27" t="s">
        <v>8</v>
      </c>
      <c r="BX826" s="27" t="s">
        <v>7</v>
      </c>
      <c r="CO826" s="27" t="s">
        <v>8</v>
      </c>
      <c r="CQ826" s="27" t="s">
        <v>8</v>
      </c>
      <c r="CR826" s="27" t="s">
        <v>7</v>
      </c>
      <c r="CY826" s="27" t="s">
        <v>8</v>
      </c>
      <c r="DA826" s="27" t="s">
        <v>8</v>
      </c>
      <c r="DB826" s="27" t="s">
        <v>7</v>
      </c>
      <c r="DD826" s="27" t="s">
        <v>7</v>
      </c>
      <c r="DE826" s="27" t="s">
        <v>8</v>
      </c>
      <c r="DX826" s="27" t="s">
        <v>7</v>
      </c>
      <c r="EK826" s="27" t="s">
        <v>8</v>
      </c>
      <c r="EL826" s="27" t="s">
        <v>7</v>
      </c>
      <c r="EU826" s="27" t="s">
        <v>8</v>
      </c>
      <c r="EV826" s="27" t="s">
        <v>7</v>
      </c>
      <c r="EW826" s="27" t="s">
        <v>8</v>
      </c>
      <c r="EX826" s="27" t="s">
        <v>7</v>
      </c>
      <c r="FI826" s="27" t="s">
        <v>8</v>
      </c>
      <c r="FL826" s="27" t="s">
        <v>7</v>
      </c>
      <c r="FM826" s="27" t="s">
        <v>8</v>
      </c>
      <c r="FN826" s="27" t="s">
        <v>7</v>
      </c>
      <c r="FO826" s="27" t="s">
        <v>8</v>
      </c>
      <c r="FP826" s="27" t="s">
        <v>7</v>
      </c>
      <c r="FQ826" s="27" t="s">
        <v>8</v>
      </c>
      <c r="FR826" s="27" t="s">
        <v>7</v>
      </c>
      <c r="FS826" s="27" t="s">
        <v>8</v>
      </c>
      <c r="FT826" s="27" t="s">
        <v>7</v>
      </c>
      <c r="FU826" s="27" t="s">
        <v>8</v>
      </c>
      <c r="FV826" s="27" t="s">
        <v>7</v>
      </c>
      <c r="FW826" s="27" t="s">
        <v>8</v>
      </c>
      <c r="FX826" s="27" t="s">
        <v>7</v>
      </c>
      <c r="FY826" s="27" t="s">
        <v>8</v>
      </c>
      <c r="FZ826" s="27" t="s">
        <v>7</v>
      </c>
      <c r="GA826" s="27" t="s">
        <v>8</v>
      </c>
      <c r="GF826" s="27" t="s">
        <v>7</v>
      </c>
      <c r="GG826" s="27" t="s">
        <v>8</v>
      </c>
    </row>
    <row r="827" spans="1:191" x14ac:dyDescent="0.25">
      <c r="A827" s="7">
        <v>8.6289663846986879E-3</v>
      </c>
      <c r="B827"/>
      <c r="C827"/>
      <c r="D827"/>
      <c r="E827"/>
      <c r="H827" s="27" t="s">
        <v>7</v>
      </c>
      <c r="I827" s="27" t="s">
        <v>8</v>
      </c>
      <c r="J827" s="27" t="s">
        <v>7</v>
      </c>
      <c r="K827" s="27" t="s">
        <v>8</v>
      </c>
      <c r="L827" s="27" t="s">
        <v>7</v>
      </c>
      <c r="M827" s="27" t="s">
        <v>8</v>
      </c>
      <c r="N827" s="27" t="s">
        <v>7</v>
      </c>
      <c r="O827" s="27" t="s">
        <v>8</v>
      </c>
      <c r="Z827" s="27" t="s">
        <v>7</v>
      </c>
      <c r="AE827" s="27" t="s">
        <v>8</v>
      </c>
      <c r="AF827" s="27" t="s">
        <v>7</v>
      </c>
      <c r="AG827" s="27" t="s">
        <v>8</v>
      </c>
      <c r="AH827" s="27" t="s">
        <v>7</v>
      </c>
      <c r="BU827" s="27" t="s">
        <v>8</v>
      </c>
      <c r="BV827" s="27" t="s">
        <v>7</v>
      </c>
      <c r="BW827" s="27" t="s">
        <v>8</v>
      </c>
      <c r="BX827" s="27" t="s">
        <v>7</v>
      </c>
      <c r="BY827" s="27" t="s">
        <v>8</v>
      </c>
      <c r="CO827" s="27" t="s">
        <v>8</v>
      </c>
      <c r="CP827" s="27" t="s">
        <v>7</v>
      </c>
      <c r="CQ827" s="27" t="s">
        <v>8</v>
      </c>
      <c r="CR827" s="27" t="s">
        <v>7</v>
      </c>
      <c r="CY827" s="27" t="s">
        <v>8</v>
      </c>
      <c r="CZ827" s="27" t="s">
        <v>7</v>
      </c>
      <c r="DA827" s="27" t="s">
        <v>8</v>
      </c>
      <c r="DD827" s="27" t="s">
        <v>7</v>
      </c>
      <c r="DX827" s="27" t="s">
        <v>7</v>
      </c>
      <c r="EK827" s="27" t="s">
        <v>8</v>
      </c>
      <c r="EL827" s="27" t="s">
        <v>7</v>
      </c>
      <c r="EU827" s="27" t="s">
        <v>8</v>
      </c>
      <c r="EV827" s="27" t="s">
        <v>7</v>
      </c>
      <c r="EW827" s="27" t="s">
        <v>8</v>
      </c>
      <c r="EX827" s="27" t="s">
        <v>7</v>
      </c>
      <c r="FI827" s="27" t="s">
        <v>8</v>
      </c>
      <c r="FL827" s="27" t="s">
        <v>7</v>
      </c>
      <c r="FM827" s="27" t="s">
        <v>8</v>
      </c>
      <c r="FN827" s="27" t="s">
        <v>7</v>
      </c>
      <c r="FO827" s="27" t="s">
        <v>8</v>
      </c>
      <c r="FP827" s="27" t="s">
        <v>7</v>
      </c>
      <c r="FQ827" s="27" t="s">
        <v>8</v>
      </c>
      <c r="FR827" s="27" t="s">
        <v>7</v>
      </c>
      <c r="FS827" s="27" t="s">
        <v>8</v>
      </c>
      <c r="FT827" s="27" t="s">
        <v>7</v>
      </c>
      <c r="FV827" s="27" t="s">
        <v>7</v>
      </c>
      <c r="FW827" s="27" t="s">
        <v>8</v>
      </c>
      <c r="FX827" s="27" t="s">
        <v>7</v>
      </c>
      <c r="FY827" s="27" t="s">
        <v>8</v>
      </c>
      <c r="FZ827" s="27" t="s">
        <v>7</v>
      </c>
      <c r="GA827" s="27" t="s">
        <v>8</v>
      </c>
      <c r="GF827" s="27" t="s">
        <v>7</v>
      </c>
    </row>
    <row r="828" spans="1:191" x14ac:dyDescent="0.25">
      <c r="A828" s="7">
        <v>8.4597709653908715E-3</v>
      </c>
      <c r="B828"/>
      <c r="C828"/>
      <c r="D828"/>
      <c r="E828"/>
      <c r="H828" s="27" t="s">
        <v>7</v>
      </c>
      <c r="I828" s="27" t="s">
        <v>8</v>
      </c>
      <c r="J828" s="27" t="s">
        <v>7</v>
      </c>
      <c r="K828" s="27" t="s">
        <v>8</v>
      </c>
      <c r="L828" s="27" t="s">
        <v>7</v>
      </c>
      <c r="M828" s="27" t="s">
        <v>8</v>
      </c>
      <c r="N828" s="27" t="s">
        <v>7</v>
      </c>
      <c r="Z828" s="27" t="s">
        <v>7</v>
      </c>
      <c r="AA828" s="27" t="s">
        <v>8</v>
      </c>
      <c r="AC828" s="27" t="s">
        <v>8</v>
      </c>
      <c r="AE828" s="27" t="s">
        <v>8</v>
      </c>
      <c r="AF828" s="27" t="s">
        <v>7</v>
      </c>
      <c r="AG828" s="27" t="s">
        <v>8</v>
      </c>
      <c r="AH828" s="27" t="s">
        <v>7</v>
      </c>
      <c r="BU828" s="27" t="s">
        <v>8</v>
      </c>
      <c r="BV828" s="27" t="s">
        <v>7</v>
      </c>
      <c r="BX828" s="27" t="s">
        <v>7</v>
      </c>
      <c r="BY828" s="27" t="s">
        <v>8</v>
      </c>
      <c r="BZ828" s="27" t="s">
        <v>7</v>
      </c>
      <c r="CO828" s="27" t="s">
        <v>8</v>
      </c>
      <c r="CP828" s="27" t="s">
        <v>7</v>
      </c>
      <c r="CQ828" s="27" t="s">
        <v>8</v>
      </c>
      <c r="CR828" s="27" t="s">
        <v>7</v>
      </c>
      <c r="CW828" s="27" t="s">
        <v>8</v>
      </c>
      <c r="CY828" s="27" t="s">
        <v>8</v>
      </c>
      <c r="CZ828" s="27" t="s">
        <v>7</v>
      </c>
      <c r="DA828" s="27" t="s">
        <v>8</v>
      </c>
      <c r="DX828" s="27" t="s">
        <v>7</v>
      </c>
      <c r="EE828" s="27" t="s">
        <v>8</v>
      </c>
      <c r="EK828" s="27" t="s">
        <v>8</v>
      </c>
      <c r="EL828" s="27" t="s">
        <v>7</v>
      </c>
      <c r="EU828" s="27" t="s">
        <v>8</v>
      </c>
      <c r="EV828" s="27" t="s">
        <v>7</v>
      </c>
      <c r="EW828" s="27" t="s">
        <v>8</v>
      </c>
      <c r="EX828" s="27" t="s">
        <v>7</v>
      </c>
      <c r="EY828" s="27" t="s">
        <v>8</v>
      </c>
      <c r="FI828" s="27" t="s">
        <v>8</v>
      </c>
      <c r="FL828" s="27" t="s">
        <v>7</v>
      </c>
      <c r="FM828" s="27" t="s">
        <v>8</v>
      </c>
      <c r="FN828" s="27" t="s">
        <v>7</v>
      </c>
      <c r="FP828" s="27" t="s">
        <v>7</v>
      </c>
      <c r="FQ828" s="27" t="s">
        <v>8</v>
      </c>
      <c r="FR828" s="27" t="s">
        <v>7</v>
      </c>
      <c r="FS828" s="27" t="s">
        <v>8</v>
      </c>
      <c r="FV828" s="27" t="s">
        <v>7</v>
      </c>
      <c r="FX828" s="27" t="s">
        <v>7</v>
      </c>
      <c r="FY828" s="27" t="s">
        <v>8</v>
      </c>
      <c r="FZ828" s="27" t="s">
        <v>7</v>
      </c>
    </row>
    <row r="829" spans="1:191" x14ac:dyDescent="0.25">
      <c r="A829" s="7">
        <v>8.2938931033243839E-3</v>
      </c>
      <c r="B829"/>
      <c r="C829"/>
      <c r="D829"/>
      <c r="E829"/>
      <c r="H829" s="27" t="s">
        <v>7</v>
      </c>
      <c r="J829" s="27" t="s">
        <v>7</v>
      </c>
      <c r="K829" s="27" t="s">
        <v>8</v>
      </c>
      <c r="L829" s="27" t="s">
        <v>7</v>
      </c>
      <c r="Z829" s="27" t="s">
        <v>7</v>
      </c>
      <c r="AA829" s="27" t="s">
        <v>8</v>
      </c>
      <c r="AB829" s="27" t="s">
        <v>7</v>
      </c>
      <c r="AC829" s="27" t="s">
        <v>8</v>
      </c>
      <c r="AD829" s="27" t="s">
        <v>7</v>
      </c>
      <c r="AE829" s="27" t="s">
        <v>8</v>
      </c>
      <c r="AF829" s="27" t="s">
        <v>7</v>
      </c>
      <c r="AG829" s="27" t="s">
        <v>8</v>
      </c>
      <c r="AH829" s="27" t="s">
        <v>7</v>
      </c>
      <c r="BU829" s="27" t="s">
        <v>8</v>
      </c>
      <c r="BX829" s="27" t="s">
        <v>7</v>
      </c>
      <c r="BY829" s="27" t="s">
        <v>8</v>
      </c>
      <c r="BZ829" s="27" t="s">
        <v>7</v>
      </c>
      <c r="CA829" s="27" t="s">
        <v>8</v>
      </c>
      <c r="CM829" s="27" t="s">
        <v>8</v>
      </c>
      <c r="CO829" s="27" t="s">
        <v>8</v>
      </c>
      <c r="CP829" s="27" t="s">
        <v>7</v>
      </c>
      <c r="CQ829" s="27" t="s">
        <v>8</v>
      </c>
      <c r="CR829" s="27" t="s">
        <v>7</v>
      </c>
      <c r="CW829" s="27" t="s">
        <v>8</v>
      </c>
      <c r="CX829" s="27" t="s">
        <v>7</v>
      </c>
      <c r="CY829" s="27" t="s">
        <v>8</v>
      </c>
      <c r="CZ829" s="27" t="s">
        <v>7</v>
      </c>
      <c r="DA829" s="27" t="s">
        <v>8</v>
      </c>
      <c r="DX829" s="27" t="s">
        <v>7</v>
      </c>
      <c r="EA829" s="27" t="s">
        <v>8</v>
      </c>
      <c r="EE829" s="27" t="s">
        <v>8</v>
      </c>
      <c r="EF829" s="27" t="s">
        <v>7</v>
      </c>
      <c r="EK829" s="27" t="s">
        <v>8</v>
      </c>
      <c r="EL829" s="27" t="s">
        <v>7</v>
      </c>
      <c r="EO829" s="27" t="s">
        <v>8</v>
      </c>
      <c r="ES829" s="27" t="s">
        <v>8</v>
      </c>
      <c r="EU829" s="27" t="s">
        <v>8</v>
      </c>
      <c r="EV829" s="27" t="s">
        <v>7</v>
      </c>
      <c r="EW829" s="27" t="s">
        <v>8</v>
      </c>
      <c r="EX829" s="27" t="s">
        <v>7</v>
      </c>
      <c r="EY829" s="27" t="s">
        <v>8</v>
      </c>
      <c r="EZ829" s="27" t="s">
        <v>7</v>
      </c>
      <c r="FE829" s="27" t="s">
        <v>8</v>
      </c>
      <c r="FI829" s="27" t="s">
        <v>8</v>
      </c>
      <c r="FL829" s="27" t="s">
        <v>7</v>
      </c>
      <c r="FM829" s="27" t="s">
        <v>8</v>
      </c>
      <c r="FP829" s="27" t="s">
        <v>7</v>
      </c>
      <c r="FQ829" s="27" t="s">
        <v>8</v>
      </c>
      <c r="FR829" s="27" t="s">
        <v>7</v>
      </c>
      <c r="FS829" s="27" t="s">
        <v>8</v>
      </c>
      <c r="FX829" s="27" t="s">
        <v>7</v>
      </c>
      <c r="FY829" s="27" t="s">
        <v>8</v>
      </c>
    </row>
    <row r="830" spans="1:191" x14ac:dyDescent="0.25">
      <c r="A830" s="7">
        <v>8.1312677483572383E-3</v>
      </c>
      <c r="B830"/>
      <c r="C830"/>
      <c r="D830"/>
      <c r="E830"/>
      <c r="J830" s="27" t="s">
        <v>7</v>
      </c>
      <c r="K830" s="27" t="s">
        <v>8</v>
      </c>
      <c r="Z830" s="27" t="s">
        <v>7</v>
      </c>
      <c r="AA830" s="27" t="s">
        <v>8</v>
      </c>
      <c r="AB830" s="27" t="s">
        <v>7</v>
      </c>
      <c r="AC830" s="27" t="s">
        <v>8</v>
      </c>
      <c r="AD830" s="27" t="s">
        <v>7</v>
      </c>
      <c r="AE830" s="27" t="s">
        <v>8</v>
      </c>
      <c r="AF830" s="27" t="s">
        <v>7</v>
      </c>
      <c r="AG830" s="27" t="s">
        <v>8</v>
      </c>
      <c r="AH830" s="27" t="s">
        <v>7</v>
      </c>
      <c r="BU830" s="27" t="s">
        <v>8</v>
      </c>
      <c r="BX830" s="27" t="s">
        <v>7</v>
      </c>
      <c r="BY830" s="27" t="s">
        <v>8</v>
      </c>
      <c r="BZ830" s="27" t="s">
        <v>7</v>
      </c>
      <c r="CA830" s="27" t="s">
        <v>8</v>
      </c>
      <c r="CB830" s="27" t="s">
        <v>7</v>
      </c>
      <c r="CM830" s="27" t="s">
        <v>8</v>
      </c>
      <c r="CN830" s="27" t="s">
        <v>7</v>
      </c>
      <c r="CO830" s="27" t="s">
        <v>8</v>
      </c>
      <c r="CP830" s="27" t="s">
        <v>7</v>
      </c>
      <c r="CQ830" s="27" t="s">
        <v>8</v>
      </c>
      <c r="CR830" s="27" t="s">
        <v>7</v>
      </c>
      <c r="CW830" s="27" t="s">
        <v>8</v>
      </c>
      <c r="CX830" s="27" t="s">
        <v>7</v>
      </c>
      <c r="CY830" s="27" t="s">
        <v>8</v>
      </c>
      <c r="CZ830" s="27" t="s">
        <v>7</v>
      </c>
      <c r="DA830" s="27" t="s">
        <v>8</v>
      </c>
      <c r="DX830" s="27" t="s">
        <v>7</v>
      </c>
      <c r="DY830" s="27" t="s">
        <v>8</v>
      </c>
      <c r="EA830" s="27" t="s">
        <v>8</v>
      </c>
      <c r="EB830" s="27" t="s">
        <v>7</v>
      </c>
      <c r="EE830" s="27" t="s">
        <v>8</v>
      </c>
      <c r="EF830" s="27" t="s">
        <v>7</v>
      </c>
      <c r="EG830" s="27" t="s">
        <v>8</v>
      </c>
      <c r="EK830" s="27" t="s">
        <v>8</v>
      </c>
      <c r="EL830" s="27" t="s">
        <v>7</v>
      </c>
      <c r="EO830" s="27" t="s">
        <v>8</v>
      </c>
      <c r="EP830" s="27" t="s">
        <v>7</v>
      </c>
      <c r="EQ830" s="27" t="s">
        <v>8</v>
      </c>
      <c r="ES830" s="27" t="s">
        <v>8</v>
      </c>
      <c r="ET830" s="27" t="s">
        <v>7</v>
      </c>
      <c r="EU830" s="27" t="s">
        <v>8</v>
      </c>
      <c r="EV830" s="27" t="s">
        <v>7</v>
      </c>
      <c r="EW830" s="27" t="s">
        <v>8</v>
      </c>
      <c r="EX830" s="27" t="s">
        <v>7</v>
      </c>
      <c r="EY830" s="27" t="s">
        <v>8</v>
      </c>
      <c r="EZ830" s="27" t="s">
        <v>7</v>
      </c>
      <c r="FA830" s="27" t="s">
        <v>8</v>
      </c>
      <c r="FE830" s="27" t="s">
        <v>8</v>
      </c>
      <c r="FF830" s="27" t="s">
        <v>7</v>
      </c>
      <c r="FG830" s="27" t="s">
        <v>8</v>
      </c>
      <c r="FI830" s="27" t="s">
        <v>8</v>
      </c>
      <c r="FL830" s="27" t="s">
        <v>7</v>
      </c>
      <c r="FM830" s="27" t="s">
        <v>8</v>
      </c>
      <c r="FP830" s="27" t="s">
        <v>7</v>
      </c>
      <c r="FQ830" s="27" t="s">
        <v>8</v>
      </c>
      <c r="FR830" s="27" t="s">
        <v>7</v>
      </c>
      <c r="FS830" s="27" t="s">
        <v>8</v>
      </c>
      <c r="FX830" s="27" t="s">
        <v>7</v>
      </c>
      <c r="FY830" s="27" t="s">
        <v>8</v>
      </c>
    </row>
    <row r="831" spans="1:191" x14ac:dyDescent="0.25">
      <c r="A831" s="7">
        <v>7.9718311258404305E-3</v>
      </c>
      <c r="B831"/>
      <c r="C831"/>
      <c r="D831"/>
      <c r="E831"/>
      <c r="J831" s="27" t="s">
        <v>7</v>
      </c>
      <c r="Z831" s="27" t="s">
        <v>7</v>
      </c>
      <c r="AA831" s="27" t="s">
        <v>8</v>
      </c>
      <c r="AB831" s="27" t="s">
        <v>7</v>
      </c>
      <c r="AC831" s="27" t="s">
        <v>8</v>
      </c>
      <c r="AD831" s="27" t="s">
        <v>7</v>
      </c>
      <c r="AF831" s="27" t="s">
        <v>7</v>
      </c>
      <c r="AG831" s="27" t="s">
        <v>8</v>
      </c>
      <c r="AH831" s="27" t="s">
        <v>7</v>
      </c>
      <c r="BU831" s="27" t="s">
        <v>8</v>
      </c>
      <c r="BX831" s="27" t="s">
        <v>7</v>
      </c>
      <c r="BY831" s="27" t="s">
        <v>8</v>
      </c>
      <c r="BZ831" s="27" t="s">
        <v>7</v>
      </c>
      <c r="CA831" s="27" t="s">
        <v>8</v>
      </c>
      <c r="CB831" s="27" t="s">
        <v>7</v>
      </c>
      <c r="CC831" s="27" t="s">
        <v>8</v>
      </c>
      <c r="CI831" s="27" t="s">
        <v>8</v>
      </c>
      <c r="CM831" s="27" t="s">
        <v>8</v>
      </c>
      <c r="CN831" s="27" t="s">
        <v>7</v>
      </c>
      <c r="CO831" s="27" t="s">
        <v>8</v>
      </c>
      <c r="CP831" s="27" t="s">
        <v>7</v>
      </c>
      <c r="CR831" s="27" t="s">
        <v>7</v>
      </c>
      <c r="CW831" s="27" t="s">
        <v>8</v>
      </c>
      <c r="CX831" s="27" t="s">
        <v>7</v>
      </c>
      <c r="CY831" s="27" t="s">
        <v>8</v>
      </c>
      <c r="CZ831" s="27" t="s">
        <v>7</v>
      </c>
      <c r="DX831" s="27" t="s">
        <v>7</v>
      </c>
      <c r="DY831" s="27" t="s">
        <v>8</v>
      </c>
      <c r="DZ831" s="27" t="s">
        <v>7</v>
      </c>
      <c r="EA831" s="27" t="s">
        <v>8</v>
      </c>
      <c r="EB831" s="27" t="s">
        <v>7</v>
      </c>
      <c r="EE831" s="27" t="s">
        <v>8</v>
      </c>
      <c r="EF831" s="27" t="s">
        <v>7</v>
      </c>
      <c r="EG831" s="27" t="s">
        <v>8</v>
      </c>
      <c r="EH831" s="27" t="s">
        <v>7</v>
      </c>
      <c r="EK831" s="27" t="s">
        <v>8</v>
      </c>
      <c r="EL831" s="27" t="s">
        <v>7</v>
      </c>
      <c r="EM831" s="27" t="s">
        <v>8</v>
      </c>
      <c r="EO831" s="27" t="s">
        <v>8</v>
      </c>
      <c r="EP831" s="27" t="s">
        <v>7</v>
      </c>
      <c r="EQ831" s="27" t="s">
        <v>8</v>
      </c>
      <c r="ER831" s="27" t="s">
        <v>7</v>
      </c>
      <c r="ES831" s="27" t="s">
        <v>8</v>
      </c>
      <c r="ET831" s="27" t="s">
        <v>7</v>
      </c>
      <c r="EU831" s="27" t="s">
        <v>8</v>
      </c>
      <c r="EV831" s="27" t="s">
        <v>7</v>
      </c>
      <c r="EW831" s="27" t="s">
        <v>8</v>
      </c>
      <c r="EX831" s="27" t="s">
        <v>7</v>
      </c>
      <c r="EY831" s="27" t="s">
        <v>8</v>
      </c>
      <c r="EZ831" s="27" t="s">
        <v>7</v>
      </c>
      <c r="FA831" s="27" t="s">
        <v>8</v>
      </c>
      <c r="FB831" s="27" t="s">
        <v>7</v>
      </c>
      <c r="FE831" s="27" t="s">
        <v>8</v>
      </c>
      <c r="FF831" s="27" t="s">
        <v>7</v>
      </c>
      <c r="FG831" s="27" t="s">
        <v>8</v>
      </c>
      <c r="FH831" s="27" t="s">
        <v>7</v>
      </c>
      <c r="FI831" s="27" t="s">
        <v>8</v>
      </c>
      <c r="FL831" s="27" t="s">
        <v>7</v>
      </c>
      <c r="FM831" s="27" t="s">
        <v>8</v>
      </c>
      <c r="FP831" s="27" t="s">
        <v>7</v>
      </c>
      <c r="FQ831" s="27" t="s">
        <v>8</v>
      </c>
      <c r="FR831" s="27" t="s">
        <v>7</v>
      </c>
      <c r="FS831" s="27" t="s">
        <v>8</v>
      </c>
      <c r="FX831" s="27" t="s">
        <v>7</v>
      </c>
    </row>
    <row r="832" spans="1:191" x14ac:dyDescent="0.25">
      <c r="A832" s="7">
        <v>7.8155207116082648E-3</v>
      </c>
      <c r="B832"/>
      <c r="C832"/>
      <c r="D832"/>
      <c r="E832"/>
      <c r="Z832" s="27" t="s">
        <v>7</v>
      </c>
      <c r="AA832" s="27" t="s">
        <v>8</v>
      </c>
      <c r="AB832" s="27" t="s">
        <v>7</v>
      </c>
      <c r="AF832" s="27" t="s">
        <v>7</v>
      </c>
      <c r="AG832" s="27" t="s">
        <v>8</v>
      </c>
      <c r="AH832" s="27" t="s">
        <v>7</v>
      </c>
      <c r="AI832" s="27" t="s">
        <v>8</v>
      </c>
      <c r="BU832" s="27" t="s">
        <v>8</v>
      </c>
      <c r="BX832" s="27" t="s">
        <v>7</v>
      </c>
      <c r="BY832" s="27" t="s">
        <v>8</v>
      </c>
      <c r="BZ832" s="27" t="s">
        <v>7</v>
      </c>
      <c r="CA832" s="27" t="s">
        <v>8</v>
      </c>
      <c r="CB832" s="27" t="s">
        <v>7</v>
      </c>
      <c r="CC832" s="27" t="s">
        <v>8</v>
      </c>
      <c r="CD832" s="27" t="s">
        <v>7</v>
      </c>
      <c r="CI832" s="27" t="s">
        <v>8</v>
      </c>
      <c r="CJ832" s="27" t="s">
        <v>7</v>
      </c>
      <c r="CM832" s="27" t="s">
        <v>8</v>
      </c>
      <c r="CN832" s="27" t="s">
        <v>7</v>
      </c>
      <c r="CR832" s="27" t="s">
        <v>7</v>
      </c>
      <c r="CS832" s="27" t="s">
        <v>8</v>
      </c>
      <c r="CW832" s="27" t="s">
        <v>8</v>
      </c>
      <c r="CX832" s="27" t="s">
        <v>7</v>
      </c>
      <c r="DX832" s="27" t="s">
        <v>7</v>
      </c>
      <c r="DY832" s="27" t="s">
        <v>8</v>
      </c>
      <c r="DZ832" s="27" t="s">
        <v>7</v>
      </c>
      <c r="EA832" s="27" t="s">
        <v>8</v>
      </c>
      <c r="EB832" s="27" t="s">
        <v>7</v>
      </c>
      <c r="EE832" s="27" t="s">
        <v>8</v>
      </c>
      <c r="EF832" s="27" t="s">
        <v>7</v>
      </c>
      <c r="EG832" s="27" t="s">
        <v>8</v>
      </c>
      <c r="EH832" s="27" t="s">
        <v>7</v>
      </c>
      <c r="EK832" s="27" t="s">
        <v>8</v>
      </c>
      <c r="EL832" s="27" t="s">
        <v>7</v>
      </c>
      <c r="EM832" s="27" t="s">
        <v>8</v>
      </c>
      <c r="EN832" s="27" t="s">
        <v>7</v>
      </c>
      <c r="EO832" s="27" t="s">
        <v>8</v>
      </c>
      <c r="EP832" s="27" t="s">
        <v>7</v>
      </c>
      <c r="EQ832" s="27" t="s">
        <v>8</v>
      </c>
      <c r="ER832" s="27" t="s">
        <v>7</v>
      </c>
      <c r="ES832" s="27" t="s">
        <v>8</v>
      </c>
      <c r="ET832" s="27" t="s">
        <v>7</v>
      </c>
      <c r="EU832" s="27" t="s">
        <v>8</v>
      </c>
      <c r="EV832" s="27" t="s">
        <v>7</v>
      </c>
      <c r="EW832" s="27" t="s">
        <v>8</v>
      </c>
      <c r="EX832" s="27" t="s">
        <v>7</v>
      </c>
      <c r="EY832" s="27" t="s">
        <v>8</v>
      </c>
      <c r="EZ832" s="27" t="s">
        <v>7</v>
      </c>
      <c r="FA832" s="27" t="s">
        <v>8</v>
      </c>
      <c r="FB832" s="27" t="s">
        <v>7</v>
      </c>
      <c r="FC832" s="27" t="s">
        <v>8</v>
      </c>
      <c r="FE832" s="27" t="s">
        <v>8</v>
      </c>
      <c r="FF832" s="27" t="s">
        <v>7</v>
      </c>
      <c r="FG832" s="27" t="s">
        <v>8</v>
      </c>
      <c r="FH832" s="27" t="s">
        <v>7</v>
      </c>
      <c r="FI832" s="27" t="s">
        <v>8</v>
      </c>
      <c r="FL832" s="27" t="s">
        <v>7</v>
      </c>
      <c r="FM832" s="27" t="s">
        <v>8</v>
      </c>
      <c r="FP832" s="27" t="s">
        <v>7</v>
      </c>
      <c r="FQ832" s="27" t="s">
        <v>8</v>
      </c>
      <c r="FR832" s="27" t="s">
        <v>7</v>
      </c>
      <c r="FS832" s="27" t="s">
        <v>8</v>
      </c>
    </row>
    <row r="833" spans="1:174" x14ac:dyDescent="0.25">
      <c r="A833" s="7">
        <v>7.6622752074590825E-3</v>
      </c>
      <c r="B833"/>
      <c r="C833"/>
      <c r="D833"/>
      <c r="E833"/>
      <c r="Z833" s="27" t="s">
        <v>7</v>
      </c>
      <c r="AA833" s="27" t="s">
        <v>8</v>
      </c>
      <c r="AF833" s="27" t="s">
        <v>7</v>
      </c>
      <c r="AG833" s="27" t="s">
        <v>8</v>
      </c>
      <c r="AH833" s="27" t="s">
        <v>7</v>
      </c>
      <c r="AI833" s="27" t="s">
        <v>8</v>
      </c>
      <c r="AJ833" s="27" t="s">
        <v>7</v>
      </c>
      <c r="AQ833" s="27" t="s">
        <v>8</v>
      </c>
      <c r="BU833" s="27" t="s">
        <v>8</v>
      </c>
      <c r="BX833" s="27" t="s">
        <v>7</v>
      </c>
      <c r="BY833" s="27" t="s">
        <v>8</v>
      </c>
      <c r="BZ833" s="27" t="s">
        <v>7</v>
      </c>
      <c r="CA833" s="27" t="s">
        <v>8</v>
      </c>
      <c r="CB833" s="27" t="s">
        <v>7</v>
      </c>
      <c r="CC833" s="27" t="s">
        <v>8</v>
      </c>
      <c r="CD833" s="27" t="s">
        <v>7</v>
      </c>
      <c r="CI833" s="27" t="s">
        <v>8</v>
      </c>
      <c r="CJ833" s="27" t="s">
        <v>7</v>
      </c>
      <c r="CM833" s="27" t="s">
        <v>8</v>
      </c>
      <c r="CR833" s="27" t="s">
        <v>7</v>
      </c>
      <c r="CS833" s="27" t="s">
        <v>8</v>
      </c>
      <c r="CT833" s="27" t="s">
        <v>7</v>
      </c>
      <c r="CW833" s="27" t="s">
        <v>8</v>
      </c>
      <c r="DX833" s="27" t="s">
        <v>7</v>
      </c>
      <c r="DZ833" s="27" t="s">
        <v>7</v>
      </c>
      <c r="EA833" s="27" t="s">
        <v>8</v>
      </c>
      <c r="EB833" s="27" t="s">
        <v>7</v>
      </c>
      <c r="EC833" s="27" t="s">
        <v>8</v>
      </c>
      <c r="EE833" s="27" t="s">
        <v>8</v>
      </c>
      <c r="EF833" s="27" t="s">
        <v>7</v>
      </c>
      <c r="EG833" s="27" t="s">
        <v>8</v>
      </c>
      <c r="EH833" s="27" t="s">
        <v>7</v>
      </c>
      <c r="EK833" s="27" t="s">
        <v>8</v>
      </c>
      <c r="EL833" s="27" t="s">
        <v>7</v>
      </c>
      <c r="EM833" s="27" t="s">
        <v>8</v>
      </c>
      <c r="EN833" s="27" t="s">
        <v>7</v>
      </c>
      <c r="EO833" s="27" t="s">
        <v>8</v>
      </c>
      <c r="EP833" s="27" t="s">
        <v>7</v>
      </c>
      <c r="EQ833" s="27" t="s">
        <v>8</v>
      </c>
      <c r="ER833" s="27" t="s">
        <v>7</v>
      </c>
      <c r="ES833" s="27" t="s">
        <v>8</v>
      </c>
      <c r="ET833" s="27" t="s">
        <v>7</v>
      </c>
      <c r="EU833" s="27" t="s">
        <v>8</v>
      </c>
      <c r="EV833" s="27" t="s">
        <v>7</v>
      </c>
      <c r="EW833" s="27" t="s">
        <v>8</v>
      </c>
      <c r="EX833" s="27" t="s">
        <v>7</v>
      </c>
      <c r="EY833" s="27" t="s">
        <v>8</v>
      </c>
      <c r="EZ833" s="27" t="s">
        <v>7</v>
      </c>
      <c r="FA833" s="27" t="s">
        <v>8</v>
      </c>
      <c r="FB833" s="27" t="s">
        <v>7</v>
      </c>
      <c r="FC833" s="27" t="s">
        <v>8</v>
      </c>
      <c r="FD833" s="27" t="s">
        <v>7</v>
      </c>
      <c r="FE833" s="27" t="s">
        <v>8</v>
      </c>
      <c r="FF833" s="27" t="s">
        <v>7</v>
      </c>
      <c r="FH833" s="27" t="s">
        <v>7</v>
      </c>
      <c r="FI833" s="27" t="s">
        <v>8</v>
      </c>
      <c r="FL833" s="27" t="s">
        <v>7</v>
      </c>
      <c r="FP833" s="27" t="s">
        <v>7</v>
      </c>
      <c r="FQ833" s="27" t="s">
        <v>8</v>
      </c>
      <c r="FR833" s="27" t="s">
        <v>7</v>
      </c>
    </row>
    <row r="834" spans="1:174" x14ac:dyDescent="0.25">
      <c r="A834" s="7">
        <v>7.5120345171167469E-3</v>
      </c>
      <c r="B834"/>
      <c r="C834"/>
      <c r="D834"/>
      <c r="E834"/>
      <c r="Z834" s="27" t="s">
        <v>7</v>
      </c>
      <c r="AA834" s="27" t="s">
        <v>8</v>
      </c>
      <c r="AF834" s="27" t="s">
        <v>7</v>
      </c>
      <c r="AG834" s="27" t="s">
        <v>8</v>
      </c>
      <c r="AH834" s="27" t="s">
        <v>7</v>
      </c>
      <c r="AI834" s="27" t="s">
        <v>8</v>
      </c>
      <c r="AJ834" s="27" t="s">
        <v>7</v>
      </c>
      <c r="AQ834" s="27" t="s">
        <v>8</v>
      </c>
      <c r="AR834" s="27" t="s">
        <v>7</v>
      </c>
      <c r="BU834" s="27" t="s">
        <v>8</v>
      </c>
      <c r="BX834" s="27" t="s">
        <v>7</v>
      </c>
      <c r="BY834" s="27" t="s">
        <v>8</v>
      </c>
      <c r="BZ834" s="27" t="s">
        <v>7</v>
      </c>
      <c r="CA834" s="27" t="s">
        <v>8</v>
      </c>
      <c r="CB834" s="27" t="s">
        <v>7</v>
      </c>
      <c r="CD834" s="27" t="s">
        <v>7</v>
      </c>
      <c r="CI834" s="27" t="s">
        <v>8</v>
      </c>
      <c r="CJ834" s="27" t="s">
        <v>7</v>
      </c>
      <c r="CK834" s="27" t="s">
        <v>8</v>
      </c>
      <c r="CM834" s="27" t="s">
        <v>8</v>
      </c>
      <c r="CR834" s="27" t="s">
        <v>7</v>
      </c>
      <c r="CS834" s="27" t="s">
        <v>8</v>
      </c>
      <c r="CT834" s="27" t="s">
        <v>7</v>
      </c>
      <c r="CU834" s="27" t="s">
        <v>8</v>
      </c>
      <c r="CW834" s="27" t="s">
        <v>8</v>
      </c>
      <c r="DZ834" s="27" t="s">
        <v>7</v>
      </c>
      <c r="EA834" s="27" t="s">
        <v>8</v>
      </c>
      <c r="EB834" s="27" t="s">
        <v>7</v>
      </c>
      <c r="EC834" s="27" t="s">
        <v>8</v>
      </c>
      <c r="ED834" s="27" t="s">
        <v>7</v>
      </c>
      <c r="EE834" s="27" t="s">
        <v>8</v>
      </c>
      <c r="EF834" s="27" t="s">
        <v>7</v>
      </c>
      <c r="EG834" s="27" t="s">
        <v>8</v>
      </c>
      <c r="EH834" s="27" t="s">
        <v>7</v>
      </c>
      <c r="EK834" s="27" t="s">
        <v>8</v>
      </c>
      <c r="EL834" s="27" t="s">
        <v>7</v>
      </c>
      <c r="EM834" s="27" t="s">
        <v>8</v>
      </c>
      <c r="EN834" s="27" t="s">
        <v>7</v>
      </c>
      <c r="EO834" s="27" t="s">
        <v>8</v>
      </c>
      <c r="EP834" s="27" t="s">
        <v>7</v>
      </c>
      <c r="ER834" s="27" t="s">
        <v>7</v>
      </c>
      <c r="ET834" s="27" t="s">
        <v>7</v>
      </c>
      <c r="EU834" s="27" t="s">
        <v>8</v>
      </c>
      <c r="EV834" s="27" t="s">
        <v>7</v>
      </c>
      <c r="EW834" s="27" t="s">
        <v>8</v>
      </c>
      <c r="EX834" s="27" t="s">
        <v>7</v>
      </c>
      <c r="EY834" s="27" t="s">
        <v>8</v>
      </c>
      <c r="EZ834" s="27" t="s">
        <v>7</v>
      </c>
      <c r="FB834" s="27" t="s">
        <v>7</v>
      </c>
      <c r="FC834" s="27" t="s">
        <v>8</v>
      </c>
      <c r="FD834" s="27" t="s">
        <v>7</v>
      </c>
      <c r="FE834" s="27" t="s">
        <v>8</v>
      </c>
      <c r="FH834" s="27" t="s">
        <v>7</v>
      </c>
      <c r="FI834" s="27" t="s">
        <v>8</v>
      </c>
      <c r="FP834" s="27" t="s">
        <v>7</v>
      </c>
      <c r="FQ834" s="27" t="s">
        <v>8</v>
      </c>
    </row>
    <row r="835" spans="1:174" x14ac:dyDescent="0.25">
      <c r="A835" s="7">
        <v>7.3647397226634772E-3</v>
      </c>
      <c r="B835"/>
      <c r="C835"/>
      <c r="D835"/>
      <c r="E835"/>
      <c r="Z835" s="27" t="s">
        <v>7</v>
      </c>
      <c r="AF835" s="27" t="s">
        <v>7</v>
      </c>
      <c r="AG835" s="27" t="s">
        <v>8</v>
      </c>
      <c r="AH835" s="27" t="s">
        <v>7</v>
      </c>
      <c r="AI835" s="27" t="s">
        <v>8</v>
      </c>
      <c r="AJ835" s="27" t="s">
        <v>7</v>
      </c>
      <c r="AQ835" s="27" t="s">
        <v>8</v>
      </c>
      <c r="AR835" s="27" t="s">
        <v>7</v>
      </c>
      <c r="AW835" s="27" t="s">
        <v>8</v>
      </c>
      <c r="BO835" s="27" t="s">
        <v>8</v>
      </c>
      <c r="BU835" s="27" t="s">
        <v>8</v>
      </c>
      <c r="BX835" s="27" t="s">
        <v>7</v>
      </c>
      <c r="BY835" s="27" t="s">
        <v>8</v>
      </c>
      <c r="BZ835" s="27" t="s">
        <v>7</v>
      </c>
      <c r="CA835" s="27" t="s">
        <v>8</v>
      </c>
      <c r="CD835" s="27" t="s">
        <v>7</v>
      </c>
      <c r="CE835" s="27" t="s">
        <v>8</v>
      </c>
      <c r="CG835" s="27" t="s">
        <v>8</v>
      </c>
      <c r="CI835" s="27" t="s">
        <v>8</v>
      </c>
      <c r="CJ835" s="27" t="s">
        <v>7</v>
      </c>
      <c r="CK835" s="27" t="s">
        <v>8</v>
      </c>
      <c r="CL835" s="27" t="s">
        <v>7</v>
      </c>
      <c r="CM835" s="27" t="s">
        <v>8</v>
      </c>
      <c r="CR835" s="27" t="s">
        <v>7</v>
      </c>
      <c r="CS835" s="27" t="s">
        <v>8</v>
      </c>
      <c r="CT835" s="27" t="s">
        <v>7</v>
      </c>
      <c r="CU835" s="27" t="s">
        <v>8</v>
      </c>
      <c r="CV835" s="27" t="s">
        <v>7</v>
      </c>
      <c r="CW835" s="27" t="s">
        <v>8</v>
      </c>
      <c r="DZ835" s="27" t="s">
        <v>7</v>
      </c>
      <c r="EA835" s="27" t="s">
        <v>8</v>
      </c>
      <c r="EB835" s="27" t="s">
        <v>7</v>
      </c>
      <c r="EC835" s="27" t="s">
        <v>8</v>
      </c>
      <c r="ED835" s="27" t="s">
        <v>7</v>
      </c>
      <c r="EE835" s="27" t="s">
        <v>8</v>
      </c>
      <c r="EF835" s="27" t="s">
        <v>7</v>
      </c>
      <c r="EG835" s="27" t="s">
        <v>8</v>
      </c>
      <c r="EH835" s="27" t="s">
        <v>7</v>
      </c>
      <c r="EK835" s="27" t="s">
        <v>8</v>
      </c>
      <c r="EL835" s="27" t="s">
        <v>7</v>
      </c>
      <c r="EM835" s="27" t="s">
        <v>8</v>
      </c>
      <c r="EN835" s="27" t="s">
        <v>7</v>
      </c>
      <c r="EO835" s="27" t="s">
        <v>8</v>
      </c>
      <c r="ET835" s="27" t="s">
        <v>7</v>
      </c>
      <c r="EU835" s="27" t="s">
        <v>8</v>
      </c>
      <c r="EV835" s="27" t="s">
        <v>7</v>
      </c>
      <c r="EX835" s="27" t="s">
        <v>7</v>
      </c>
      <c r="EY835" s="27" t="s">
        <v>8</v>
      </c>
      <c r="FB835" s="27" t="s">
        <v>7</v>
      </c>
      <c r="FC835" s="27" t="s">
        <v>8</v>
      </c>
      <c r="FD835" s="27" t="s">
        <v>7</v>
      </c>
      <c r="FE835" s="27" t="s">
        <v>8</v>
      </c>
      <c r="FH835" s="27" t="s">
        <v>7</v>
      </c>
      <c r="FP835" s="27" t="s">
        <v>7</v>
      </c>
      <c r="FQ835" s="27" t="s">
        <v>8</v>
      </c>
    </row>
    <row r="836" spans="1:174" x14ac:dyDescent="0.25">
      <c r="A836" s="7">
        <v>7.2203330614347815E-3</v>
      </c>
      <c r="B836"/>
      <c r="C836"/>
      <c r="D836"/>
      <c r="E836"/>
      <c r="AF836" s="27" t="s">
        <v>7</v>
      </c>
      <c r="AG836" s="27" t="s">
        <v>8</v>
      </c>
      <c r="AH836" s="27" t="s">
        <v>7</v>
      </c>
      <c r="AJ836" s="27" t="s">
        <v>7</v>
      </c>
      <c r="AQ836" s="27" t="s">
        <v>8</v>
      </c>
      <c r="AR836" s="27" t="s">
        <v>7</v>
      </c>
      <c r="AW836" s="27" t="s">
        <v>8</v>
      </c>
      <c r="AX836" s="27" t="s">
        <v>7</v>
      </c>
      <c r="BO836" s="27" t="s">
        <v>8</v>
      </c>
      <c r="BP836" s="27" t="s">
        <v>7</v>
      </c>
      <c r="BU836" s="27" t="s">
        <v>8</v>
      </c>
      <c r="BX836" s="27" t="s">
        <v>7</v>
      </c>
      <c r="BY836" s="27" t="s">
        <v>8</v>
      </c>
      <c r="BZ836" s="27" t="s">
        <v>7</v>
      </c>
      <c r="CD836" s="27" t="s">
        <v>7</v>
      </c>
      <c r="CE836" s="27" t="s">
        <v>8</v>
      </c>
      <c r="CF836" s="27" t="s">
        <v>7</v>
      </c>
      <c r="CG836" s="27" t="s">
        <v>8</v>
      </c>
      <c r="CH836" s="27" t="s">
        <v>7</v>
      </c>
      <c r="CI836" s="27" t="s">
        <v>8</v>
      </c>
      <c r="CJ836" s="27" t="s">
        <v>7</v>
      </c>
      <c r="CK836" s="27" t="s">
        <v>8</v>
      </c>
      <c r="CL836" s="27" t="s">
        <v>7</v>
      </c>
      <c r="CM836" s="27" t="s">
        <v>8</v>
      </c>
      <c r="CR836" s="27" t="s">
        <v>7</v>
      </c>
      <c r="CS836" s="27" t="s">
        <v>8</v>
      </c>
      <c r="CT836" s="27" t="s">
        <v>7</v>
      </c>
      <c r="CU836" s="27" t="s">
        <v>8</v>
      </c>
      <c r="CV836" s="27" t="s">
        <v>7</v>
      </c>
      <c r="CW836" s="27" t="s">
        <v>8</v>
      </c>
      <c r="DZ836" s="27" t="s">
        <v>7</v>
      </c>
      <c r="EA836" s="27" t="s">
        <v>8</v>
      </c>
      <c r="EB836" s="27" t="s">
        <v>7</v>
      </c>
      <c r="EC836" s="27" t="s">
        <v>8</v>
      </c>
      <c r="ED836" s="27" t="s">
        <v>7</v>
      </c>
      <c r="EE836" s="27" t="s">
        <v>8</v>
      </c>
      <c r="EF836" s="27" t="s">
        <v>7</v>
      </c>
      <c r="EG836" s="27" t="s">
        <v>8</v>
      </c>
      <c r="EH836" s="27" t="s">
        <v>7</v>
      </c>
      <c r="EK836" s="27" t="s">
        <v>8</v>
      </c>
      <c r="EL836" s="27" t="s">
        <v>7</v>
      </c>
      <c r="EM836" s="27" t="s">
        <v>8</v>
      </c>
      <c r="EN836" s="27" t="s">
        <v>7</v>
      </c>
      <c r="ET836" s="27" t="s">
        <v>7</v>
      </c>
      <c r="EU836" s="27" t="s">
        <v>8</v>
      </c>
      <c r="EX836" s="27" t="s">
        <v>7</v>
      </c>
      <c r="EY836" s="27" t="s">
        <v>8</v>
      </c>
      <c r="FB836" s="27" t="s">
        <v>7</v>
      </c>
      <c r="FD836" s="27" t="s">
        <v>7</v>
      </c>
      <c r="FE836" s="27" t="s">
        <v>8</v>
      </c>
      <c r="FP836" s="27" t="s">
        <v>7</v>
      </c>
      <c r="FQ836" s="27" t="s">
        <v>8</v>
      </c>
    </row>
    <row r="837" spans="1:174" x14ac:dyDescent="0.25">
      <c r="A837" s="7">
        <v>7.0787579033674327E-3</v>
      </c>
      <c r="B837"/>
      <c r="C837"/>
      <c r="D837"/>
      <c r="E837"/>
      <c r="AF837" s="27" t="s">
        <v>7</v>
      </c>
      <c r="AG837" s="27" t="s">
        <v>8</v>
      </c>
      <c r="AJ837" s="27" t="s">
        <v>7</v>
      </c>
      <c r="AQ837" s="27" t="s">
        <v>8</v>
      </c>
      <c r="AR837" s="27" t="s">
        <v>7</v>
      </c>
      <c r="AW837" s="27" t="s">
        <v>8</v>
      </c>
      <c r="AX837" s="27" t="s">
        <v>7</v>
      </c>
      <c r="BO837" s="27" t="s">
        <v>8</v>
      </c>
      <c r="BP837" s="27" t="s">
        <v>7</v>
      </c>
      <c r="BS837" s="27" t="s">
        <v>8</v>
      </c>
      <c r="BU837" s="27" t="s">
        <v>8</v>
      </c>
      <c r="BX837" s="27" t="s">
        <v>7</v>
      </c>
      <c r="CD837" s="27" t="s">
        <v>7</v>
      </c>
      <c r="CE837" s="27" t="s">
        <v>8</v>
      </c>
      <c r="CF837" s="27" t="s">
        <v>7</v>
      </c>
      <c r="CG837" s="27" t="s">
        <v>8</v>
      </c>
      <c r="CH837" s="27" t="s">
        <v>7</v>
      </c>
      <c r="CI837" s="27" t="s">
        <v>8</v>
      </c>
      <c r="CJ837" s="27" t="s">
        <v>7</v>
      </c>
      <c r="CL837" s="27" t="s">
        <v>7</v>
      </c>
      <c r="CM837" s="27" t="s">
        <v>8</v>
      </c>
      <c r="CR837" s="27" t="s">
        <v>7</v>
      </c>
      <c r="CS837" s="27" t="s">
        <v>8</v>
      </c>
      <c r="CT837" s="27" t="s">
        <v>7</v>
      </c>
      <c r="CV837" s="27" t="s">
        <v>7</v>
      </c>
      <c r="DZ837" s="27" t="s">
        <v>7</v>
      </c>
      <c r="EA837" s="27" t="s">
        <v>8</v>
      </c>
      <c r="EB837" s="27" t="s">
        <v>7</v>
      </c>
      <c r="EC837" s="27" t="s">
        <v>8</v>
      </c>
      <c r="ED837" s="27" t="s">
        <v>7</v>
      </c>
      <c r="EE837" s="27" t="s">
        <v>8</v>
      </c>
      <c r="EF837" s="27" t="s">
        <v>7</v>
      </c>
      <c r="EG837" s="27" t="s">
        <v>8</v>
      </c>
      <c r="EH837" s="27" t="s">
        <v>7</v>
      </c>
      <c r="EK837" s="27" t="s">
        <v>8</v>
      </c>
      <c r="EL837" s="27" t="s">
        <v>7</v>
      </c>
      <c r="ET837" s="27" t="s">
        <v>7</v>
      </c>
      <c r="EU837" s="27" t="s">
        <v>8</v>
      </c>
      <c r="EX837" s="27" t="s">
        <v>7</v>
      </c>
      <c r="EY837" s="27" t="s">
        <v>8</v>
      </c>
      <c r="FD837" s="27" t="s">
        <v>7</v>
      </c>
      <c r="FE837" s="27" t="s">
        <v>8</v>
      </c>
      <c r="FP837" s="27" t="s">
        <v>7</v>
      </c>
      <c r="FQ837" s="27" t="s">
        <v>8</v>
      </c>
    </row>
    <row r="838" spans="1:174" x14ac:dyDescent="0.25">
      <c r="A838" s="7">
        <v>6.9399587287916013E-3</v>
      </c>
      <c r="B838"/>
      <c r="C838"/>
      <c r="D838"/>
      <c r="E838"/>
      <c r="AF838" s="27" t="s">
        <v>7</v>
      </c>
      <c r="AG838" s="27" t="s">
        <v>8</v>
      </c>
      <c r="AJ838" s="27" t="s">
        <v>7</v>
      </c>
      <c r="AQ838" s="27" t="s">
        <v>8</v>
      </c>
      <c r="AR838" s="27" t="s">
        <v>7</v>
      </c>
      <c r="AS838" s="27" t="s">
        <v>8</v>
      </c>
      <c r="AW838" s="27" t="s">
        <v>8</v>
      </c>
      <c r="AX838" s="27" t="s">
        <v>7</v>
      </c>
      <c r="BO838" s="27" t="s">
        <v>8</v>
      </c>
      <c r="BP838" s="27" t="s">
        <v>7</v>
      </c>
      <c r="BS838" s="27" t="s">
        <v>8</v>
      </c>
      <c r="BT838" s="27" t="s">
        <v>7</v>
      </c>
      <c r="BU838" s="27" t="s">
        <v>8</v>
      </c>
      <c r="CD838" s="27" t="s">
        <v>7</v>
      </c>
      <c r="CF838" s="27" t="s">
        <v>7</v>
      </c>
      <c r="CG838" s="27" t="s">
        <v>8</v>
      </c>
      <c r="CH838" s="27" t="s">
        <v>7</v>
      </c>
      <c r="CI838" s="27" t="s">
        <v>8</v>
      </c>
      <c r="CL838" s="27" t="s">
        <v>7</v>
      </c>
      <c r="CM838" s="27" t="s">
        <v>8</v>
      </c>
      <c r="CR838" s="27" t="s">
        <v>7</v>
      </c>
      <c r="DZ838" s="27" t="s">
        <v>7</v>
      </c>
      <c r="EA838" s="27" t="s">
        <v>8</v>
      </c>
      <c r="EB838" s="27" t="s">
        <v>7</v>
      </c>
      <c r="ED838" s="27" t="s">
        <v>7</v>
      </c>
      <c r="EE838" s="27" t="s">
        <v>8</v>
      </c>
      <c r="EF838" s="27" t="s">
        <v>7</v>
      </c>
      <c r="EG838" s="27" t="s">
        <v>8</v>
      </c>
      <c r="EH838" s="27" t="s">
        <v>7</v>
      </c>
      <c r="EK838" s="27" t="s">
        <v>8</v>
      </c>
      <c r="ET838" s="27" t="s">
        <v>7</v>
      </c>
      <c r="EU838" s="27" t="s">
        <v>8</v>
      </c>
      <c r="EX838" s="27" t="s">
        <v>7</v>
      </c>
      <c r="FD838" s="27" t="s">
        <v>7</v>
      </c>
      <c r="FE838" s="27" t="s">
        <v>8</v>
      </c>
      <c r="FP838" s="27" t="s">
        <v>7</v>
      </c>
    </row>
    <row r="839" spans="1:174" x14ac:dyDescent="0.25">
      <c r="A839" s="7">
        <v>6.8038811066584333E-3</v>
      </c>
      <c r="B839"/>
      <c r="C839"/>
      <c r="D839"/>
      <c r="E839"/>
      <c r="AF839" s="27" t="s">
        <v>7</v>
      </c>
      <c r="AG839" s="27" t="s">
        <v>8</v>
      </c>
      <c r="AJ839" s="27" t="s">
        <v>7</v>
      </c>
      <c r="AQ839" s="27" t="s">
        <v>8</v>
      </c>
      <c r="AR839" s="27" t="s">
        <v>7</v>
      </c>
      <c r="AS839" s="27" t="s">
        <v>8</v>
      </c>
      <c r="AT839" s="27" t="s">
        <v>7</v>
      </c>
      <c r="AW839" s="27" t="s">
        <v>8</v>
      </c>
      <c r="AX839" s="27" t="s">
        <v>7</v>
      </c>
      <c r="BO839" s="27" t="s">
        <v>8</v>
      </c>
      <c r="BP839" s="27" t="s">
        <v>7</v>
      </c>
      <c r="BS839" s="27" t="s">
        <v>8</v>
      </c>
      <c r="BT839" s="27" t="s">
        <v>7</v>
      </c>
      <c r="BU839" s="27" t="s">
        <v>8</v>
      </c>
      <c r="CF839" s="27" t="s">
        <v>7</v>
      </c>
      <c r="CG839" s="27" t="s">
        <v>8</v>
      </c>
      <c r="CH839" s="27" t="s">
        <v>7</v>
      </c>
      <c r="CI839" s="27" t="s">
        <v>8</v>
      </c>
      <c r="CL839" s="27" t="s">
        <v>7</v>
      </c>
      <c r="DZ839" s="27" t="s">
        <v>7</v>
      </c>
      <c r="ED839" s="27" t="s">
        <v>7</v>
      </c>
      <c r="EE839" s="27" t="s">
        <v>8</v>
      </c>
      <c r="EF839" s="27" t="s">
        <v>7</v>
      </c>
      <c r="EH839" s="27" t="s">
        <v>7</v>
      </c>
      <c r="EK839" s="27" t="s">
        <v>8</v>
      </c>
      <c r="ET839" s="27" t="s">
        <v>7</v>
      </c>
      <c r="EU839" s="27" t="s">
        <v>8</v>
      </c>
      <c r="FD839" s="27" t="s">
        <v>7</v>
      </c>
      <c r="FE839" s="27" t="s">
        <v>8</v>
      </c>
    </row>
    <row r="840" spans="1:174" x14ac:dyDescent="0.25">
      <c r="A840" s="7">
        <v>6.6704716731945425E-3</v>
      </c>
      <c r="B840"/>
      <c r="C840"/>
      <c r="D840"/>
      <c r="E840"/>
      <c r="AF840" s="27" t="s">
        <v>7</v>
      </c>
      <c r="AG840" s="27" t="s">
        <v>8</v>
      </c>
      <c r="AJ840" s="27" t="s">
        <v>7</v>
      </c>
      <c r="AQ840" s="27" t="s">
        <v>8</v>
      </c>
      <c r="AR840" s="27" t="s">
        <v>7</v>
      </c>
      <c r="AS840" s="27" t="s">
        <v>8</v>
      </c>
      <c r="AT840" s="27" t="s">
        <v>7</v>
      </c>
      <c r="AW840" s="27" t="s">
        <v>8</v>
      </c>
      <c r="AX840" s="27" t="s">
        <v>7</v>
      </c>
      <c r="BO840" s="27" t="s">
        <v>8</v>
      </c>
      <c r="BP840" s="27" t="s">
        <v>7</v>
      </c>
      <c r="BS840" s="27" t="s">
        <v>8</v>
      </c>
      <c r="BT840" s="27" t="s">
        <v>7</v>
      </c>
      <c r="BU840" s="27" t="s">
        <v>8</v>
      </c>
      <c r="CF840" s="27" t="s">
        <v>7</v>
      </c>
      <c r="CG840" s="27" t="s">
        <v>8</v>
      </c>
      <c r="CH840" s="27" t="s">
        <v>7</v>
      </c>
      <c r="CI840" s="27" t="s">
        <v>8</v>
      </c>
      <c r="ED840" s="27" t="s">
        <v>7</v>
      </c>
      <c r="EH840" s="27" t="s">
        <v>7</v>
      </c>
      <c r="EI840" s="27" t="s">
        <v>8</v>
      </c>
      <c r="EK840" s="27" t="s">
        <v>8</v>
      </c>
      <c r="ET840" s="27" t="s">
        <v>7</v>
      </c>
      <c r="FD840" s="27" t="s">
        <v>7</v>
      </c>
    </row>
    <row r="841" spans="1:174" x14ac:dyDescent="0.25">
      <c r="A841" s="7">
        <v>6.5396781109750427E-3</v>
      </c>
      <c r="B841"/>
      <c r="C841"/>
      <c r="D841"/>
      <c r="E841"/>
      <c r="AF841" s="27" t="s">
        <v>7</v>
      </c>
      <c r="AG841" s="27" t="s">
        <v>8</v>
      </c>
      <c r="AJ841" s="27" t="s">
        <v>7</v>
      </c>
      <c r="AQ841" s="27" t="s">
        <v>8</v>
      </c>
      <c r="AR841" s="27" t="s">
        <v>7</v>
      </c>
      <c r="AS841" s="27" t="s">
        <v>8</v>
      </c>
      <c r="AT841" s="27" t="s">
        <v>7</v>
      </c>
      <c r="AW841" s="27" t="s">
        <v>8</v>
      </c>
      <c r="AX841" s="27" t="s">
        <v>7</v>
      </c>
      <c r="BC841" s="27" t="s">
        <v>8</v>
      </c>
      <c r="BO841" s="27" t="s">
        <v>8</v>
      </c>
      <c r="BP841" s="27" t="s">
        <v>7</v>
      </c>
      <c r="BQ841" s="27" t="s">
        <v>8</v>
      </c>
      <c r="BS841" s="27" t="s">
        <v>8</v>
      </c>
      <c r="BT841" s="27" t="s">
        <v>7</v>
      </c>
      <c r="CF841" s="27" t="s">
        <v>7</v>
      </c>
      <c r="CG841" s="27" t="s">
        <v>8</v>
      </c>
      <c r="CH841" s="27" t="s">
        <v>7</v>
      </c>
      <c r="EH841" s="27" t="s">
        <v>7</v>
      </c>
      <c r="EI841" s="27" t="s">
        <v>8</v>
      </c>
      <c r="EJ841" s="27" t="s">
        <v>7</v>
      </c>
      <c r="EK841" s="27" t="s">
        <v>8</v>
      </c>
    </row>
    <row r="842" spans="1:174" x14ac:dyDescent="0.25">
      <c r="A842" s="7">
        <v>6.4114491284069045E-3</v>
      </c>
      <c r="B842"/>
      <c r="C842"/>
      <c r="D842"/>
      <c r="E842"/>
      <c r="AF842" s="27" t="s">
        <v>7</v>
      </c>
      <c r="AG842" s="27" t="s">
        <v>8</v>
      </c>
      <c r="AJ842" s="27" t="s">
        <v>7</v>
      </c>
      <c r="AQ842" s="27" t="s">
        <v>8</v>
      </c>
      <c r="AR842" s="27" t="s">
        <v>7</v>
      </c>
      <c r="AS842" s="27" t="s">
        <v>8</v>
      </c>
      <c r="AT842" s="27" t="s">
        <v>7</v>
      </c>
      <c r="AW842" s="27" t="s">
        <v>8</v>
      </c>
      <c r="AX842" s="27" t="s">
        <v>7</v>
      </c>
      <c r="BC842" s="27" t="s">
        <v>8</v>
      </c>
      <c r="BD842" s="27" t="s">
        <v>7</v>
      </c>
      <c r="BO842" s="27" t="s">
        <v>8</v>
      </c>
      <c r="BP842" s="27" t="s">
        <v>7</v>
      </c>
      <c r="BQ842" s="27" t="s">
        <v>8</v>
      </c>
      <c r="BR842" s="27" t="s">
        <v>7</v>
      </c>
      <c r="BS842" s="27" t="s">
        <v>8</v>
      </c>
      <c r="CF842" s="27" t="s">
        <v>7</v>
      </c>
      <c r="CG842" s="27" t="s">
        <v>8</v>
      </c>
      <c r="EH842" s="27" t="s">
        <v>7</v>
      </c>
      <c r="EI842" s="27" t="s">
        <v>8</v>
      </c>
      <c r="EJ842" s="27" t="s">
        <v>7</v>
      </c>
      <c r="EK842" s="27" t="s">
        <v>8</v>
      </c>
    </row>
    <row r="843" spans="1:174" x14ac:dyDescent="0.25">
      <c r="A843" s="7">
        <v>6.2857344396146115E-3</v>
      </c>
      <c r="B843"/>
      <c r="C843"/>
      <c r="D843"/>
      <c r="E843"/>
      <c r="AF843" s="27" t="s">
        <v>7</v>
      </c>
      <c r="AG843" s="27" t="s">
        <v>8</v>
      </c>
      <c r="AJ843" s="27" t="s">
        <v>7</v>
      </c>
      <c r="AQ843" s="27" t="s">
        <v>8</v>
      </c>
      <c r="AR843" s="27" t="s">
        <v>7</v>
      </c>
      <c r="AS843" s="27" t="s">
        <v>8</v>
      </c>
      <c r="AT843" s="27" t="s">
        <v>7</v>
      </c>
      <c r="AW843" s="27" t="s">
        <v>8</v>
      </c>
      <c r="AX843" s="27" t="s">
        <v>7</v>
      </c>
      <c r="AY843" s="27" t="s">
        <v>8</v>
      </c>
      <c r="BC843" s="27" t="s">
        <v>8</v>
      </c>
      <c r="BD843" s="27" t="s">
        <v>7</v>
      </c>
      <c r="BE843" s="27" t="s">
        <v>8</v>
      </c>
      <c r="BK843" s="27" t="s">
        <v>8</v>
      </c>
      <c r="BO843" s="27" t="s">
        <v>8</v>
      </c>
      <c r="BP843" s="27" t="s">
        <v>7</v>
      </c>
      <c r="BQ843" s="27" t="s">
        <v>8</v>
      </c>
      <c r="BR843" s="27" t="s">
        <v>7</v>
      </c>
      <c r="BS843" s="27" t="s">
        <v>8</v>
      </c>
      <c r="CF843" s="27" t="s">
        <v>7</v>
      </c>
      <c r="CG843" s="27" t="s">
        <v>8</v>
      </c>
      <c r="EH843" s="27" t="s">
        <v>7</v>
      </c>
      <c r="EI843" s="27" t="s">
        <v>8</v>
      </c>
      <c r="EJ843" s="27" t="s">
        <v>7</v>
      </c>
      <c r="EK843" s="27" t="s">
        <v>8</v>
      </c>
    </row>
    <row r="844" spans="1:174" x14ac:dyDescent="0.25">
      <c r="A844" s="7">
        <v>6.1624847447202076E-3</v>
      </c>
      <c r="B844"/>
      <c r="C844"/>
      <c r="D844"/>
      <c r="E844"/>
      <c r="AF844" s="27" t="s">
        <v>7</v>
      </c>
      <c r="AG844" s="27" t="s">
        <v>8</v>
      </c>
      <c r="AJ844" s="27" t="s">
        <v>7</v>
      </c>
      <c r="AQ844" s="27" t="s">
        <v>8</v>
      </c>
      <c r="AR844" s="27" t="s">
        <v>7</v>
      </c>
      <c r="AS844" s="27" t="s">
        <v>8</v>
      </c>
      <c r="AT844" s="27" t="s">
        <v>7</v>
      </c>
      <c r="AW844" s="27" t="s">
        <v>8</v>
      </c>
      <c r="AX844" s="27" t="s">
        <v>7</v>
      </c>
      <c r="AY844" s="27" t="s">
        <v>8</v>
      </c>
      <c r="AZ844" s="27" t="s">
        <v>7</v>
      </c>
      <c r="BC844" s="27" t="s">
        <v>8</v>
      </c>
      <c r="BD844" s="27" t="s">
        <v>7</v>
      </c>
      <c r="BE844" s="27" t="s">
        <v>8</v>
      </c>
      <c r="BF844" s="27" t="s">
        <v>7</v>
      </c>
      <c r="BG844" s="27" t="s">
        <v>8</v>
      </c>
      <c r="BK844" s="27" t="s">
        <v>8</v>
      </c>
      <c r="BL844" s="27" t="s">
        <v>7</v>
      </c>
      <c r="BO844" s="27" t="s">
        <v>8</v>
      </c>
      <c r="BP844" s="27" t="s">
        <v>7</v>
      </c>
      <c r="BQ844" s="27" t="s">
        <v>8</v>
      </c>
      <c r="BR844" s="27" t="s">
        <v>7</v>
      </c>
      <c r="BS844" s="27" t="s">
        <v>8</v>
      </c>
      <c r="CF844" s="27" t="s">
        <v>7</v>
      </c>
      <c r="CG844" s="27" t="s">
        <v>8</v>
      </c>
      <c r="EH844" s="27" t="s">
        <v>7</v>
      </c>
      <c r="EI844" s="27" t="s">
        <v>8</v>
      </c>
      <c r="EJ844" s="27" t="s">
        <v>7</v>
      </c>
      <c r="EK844" s="27" t="s">
        <v>8</v>
      </c>
    </row>
    <row r="845" spans="1:174" x14ac:dyDescent="0.25">
      <c r="A845" s="7">
        <v>6.0416517105100079E-3</v>
      </c>
      <c r="B845"/>
      <c r="C845"/>
      <c r="D845"/>
      <c r="E845"/>
      <c r="AF845" s="27" t="s">
        <v>7</v>
      </c>
      <c r="AG845" s="27" t="s">
        <v>8</v>
      </c>
      <c r="AJ845" s="27" t="s">
        <v>7</v>
      </c>
      <c r="AQ845" s="27" t="s">
        <v>8</v>
      </c>
      <c r="AR845" s="27" t="s">
        <v>7</v>
      </c>
      <c r="AS845" s="27" t="s">
        <v>8</v>
      </c>
      <c r="AT845" s="27" t="s">
        <v>7</v>
      </c>
      <c r="AW845" s="27" t="s">
        <v>8</v>
      </c>
      <c r="AX845" s="27" t="s">
        <v>7</v>
      </c>
      <c r="AY845" s="27" t="s">
        <v>8</v>
      </c>
      <c r="AZ845" s="27" t="s">
        <v>7</v>
      </c>
      <c r="BC845" s="27" t="s">
        <v>8</v>
      </c>
      <c r="BD845" s="27" t="s">
        <v>7</v>
      </c>
      <c r="BE845" s="27" t="s">
        <v>8</v>
      </c>
      <c r="BF845" s="27" t="s">
        <v>7</v>
      </c>
      <c r="BG845" s="27" t="s">
        <v>8</v>
      </c>
      <c r="BH845" s="27" t="s">
        <v>7</v>
      </c>
      <c r="BK845" s="27" t="s">
        <v>8</v>
      </c>
      <c r="BL845" s="27" t="s">
        <v>7</v>
      </c>
      <c r="BO845" s="27" t="s">
        <v>8</v>
      </c>
      <c r="BP845" s="27" t="s">
        <v>7</v>
      </c>
      <c r="BQ845" s="27" t="s">
        <v>8</v>
      </c>
      <c r="BR845" s="27" t="s">
        <v>7</v>
      </c>
      <c r="BS845" s="27" t="s">
        <v>8</v>
      </c>
      <c r="CF845" s="27" t="s">
        <v>7</v>
      </c>
      <c r="CG845" s="27" t="s">
        <v>8</v>
      </c>
      <c r="EH845" s="27" t="s">
        <v>7</v>
      </c>
      <c r="EJ845" s="27" t="s">
        <v>7</v>
      </c>
      <c r="EK845" s="27" t="s">
        <v>8</v>
      </c>
    </row>
    <row r="846" spans="1:174" x14ac:dyDescent="0.25">
      <c r="A846" s="7">
        <v>5.9231879514803996E-3</v>
      </c>
      <c r="B846"/>
      <c r="C846"/>
      <c r="D846"/>
      <c r="E846"/>
      <c r="AF846" s="27" t="s">
        <v>7</v>
      </c>
      <c r="AG846" s="27" t="s">
        <v>8</v>
      </c>
      <c r="AJ846" s="27" t="s">
        <v>7</v>
      </c>
      <c r="AQ846" s="27" t="s">
        <v>8</v>
      </c>
      <c r="AR846" s="27" t="s">
        <v>7</v>
      </c>
      <c r="AS846" s="27" t="s">
        <v>8</v>
      </c>
      <c r="AT846" s="27" t="s">
        <v>7</v>
      </c>
      <c r="AW846" s="27" t="s">
        <v>8</v>
      </c>
      <c r="AX846" s="27" t="s">
        <v>7</v>
      </c>
      <c r="AY846" s="27" t="s">
        <v>8</v>
      </c>
      <c r="AZ846" s="27" t="s">
        <v>7</v>
      </c>
      <c r="BC846" s="27" t="s">
        <v>8</v>
      </c>
      <c r="BD846" s="27" t="s">
        <v>7</v>
      </c>
      <c r="BE846" s="27" t="s">
        <v>8</v>
      </c>
      <c r="BF846" s="27" t="s">
        <v>7</v>
      </c>
      <c r="BG846" s="27" t="s">
        <v>8</v>
      </c>
      <c r="BH846" s="27" t="s">
        <v>7</v>
      </c>
      <c r="BK846" s="27" t="s">
        <v>8</v>
      </c>
      <c r="BL846" s="27" t="s">
        <v>7</v>
      </c>
      <c r="BO846" s="27" t="s">
        <v>8</v>
      </c>
      <c r="BP846" s="27" t="s">
        <v>7</v>
      </c>
      <c r="BQ846" s="27" t="s">
        <v>8</v>
      </c>
      <c r="BR846" s="27" t="s">
        <v>7</v>
      </c>
      <c r="BS846" s="27" t="s">
        <v>8</v>
      </c>
      <c r="CF846" s="27" t="s">
        <v>7</v>
      </c>
      <c r="EJ846" s="27" t="s">
        <v>7</v>
      </c>
      <c r="EK846" s="27" t="s">
        <v>8</v>
      </c>
    </row>
    <row r="847" spans="1:174" x14ac:dyDescent="0.25">
      <c r="A847" s="7">
        <v>5.8070470112552936E-3</v>
      </c>
      <c r="B847"/>
      <c r="C847"/>
      <c r="D847"/>
      <c r="E847"/>
      <c r="AF847" s="27" t="s">
        <v>7</v>
      </c>
      <c r="AG847" s="27" t="s">
        <v>8</v>
      </c>
      <c r="AJ847" s="27" t="s">
        <v>7</v>
      </c>
      <c r="AQ847" s="27" t="s">
        <v>8</v>
      </c>
      <c r="AR847" s="27" t="s">
        <v>7</v>
      </c>
      <c r="AS847" s="27" t="s">
        <v>8</v>
      </c>
      <c r="AT847" s="27" t="s">
        <v>7</v>
      </c>
      <c r="AW847" s="27" t="s">
        <v>8</v>
      </c>
      <c r="AX847" s="27" t="s">
        <v>7</v>
      </c>
      <c r="AY847" s="27" t="s">
        <v>8</v>
      </c>
      <c r="AZ847" s="27" t="s">
        <v>7</v>
      </c>
      <c r="BA847" s="27" t="s">
        <v>8</v>
      </c>
      <c r="BC847" s="27" t="s">
        <v>8</v>
      </c>
      <c r="BD847" s="27" t="s">
        <v>7</v>
      </c>
      <c r="BE847" s="27" t="s">
        <v>8</v>
      </c>
      <c r="BF847" s="27" t="s">
        <v>7</v>
      </c>
      <c r="BG847" s="27" t="s">
        <v>8</v>
      </c>
      <c r="BH847" s="27" t="s">
        <v>7</v>
      </c>
      <c r="BK847" s="27" t="s">
        <v>8</v>
      </c>
      <c r="BL847" s="27" t="s">
        <v>7</v>
      </c>
      <c r="BO847" s="27" t="s">
        <v>8</v>
      </c>
      <c r="BP847" s="27" t="s">
        <v>7</v>
      </c>
      <c r="BR847" s="27" t="s">
        <v>7</v>
      </c>
      <c r="EJ847" s="27" t="s">
        <v>7</v>
      </c>
      <c r="EK847" s="27" t="s">
        <v>8</v>
      </c>
    </row>
    <row r="848" spans="1:174" x14ac:dyDescent="0.25">
      <c r="A848" s="7">
        <v>5.6931833443679353E-3</v>
      </c>
      <c r="B848"/>
      <c r="C848"/>
      <c r="D848"/>
      <c r="E848"/>
      <c r="AF848" s="27" t="s">
        <v>7</v>
      </c>
      <c r="AG848" s="27" t="s">
        <v>8</v>
      </c>
      <c r="AJ848" s="27" t="s">
        <v>7</v>
      </c>
      <c r="AQ848" s="27" t="s">
        <v>8</v>
      </c>
      <c r="AR848" s="27" t="s">
        <v>7</v>
      </c>
      <c r="AS848" s="27" t="s">
        <v>8</v>
      </c>
      <c r="AT848" s="27" t="s">
        <v>7</v>
      </c>
      <c r="AU848" s="27" t="s">
        <v>8</v>
      </c>
      <c r="AW848" s="27" t="s">
        <v>8</v>
      </c>
      <c r="AX848" s="27" t="s">
        <v>7</v>
      </c>
      <c r="AY848" s="27" t="s">
        <v>8</v>
      </c>
      <c r="AZ848" s="27" t="s">
        <v>7</v>
      </c>
      <c r="BA848" s="27" t="s">
        <v>8</v>
      </c>
      <c r="BB848" s="27" t="s">
        <v>7</v>
      </c>
      <c r="BC848" s="27" t="s">
        <v>8</v>
      </c>
      <c r="BD848" s="27" t="s">
        <v>7</v>
      </c>
      <c r="BF848" s="27" t="s">
        <v>7</v>
      </c>
      <c r="BG848" s="27" t="s">
        <v>8</v>
      </c>
      <c r="BH848" s="27" t="s">
        <v>7</v>
      </c>
      <c r="BI848" s="27" t="s">
        <v>8</v>
      </c>
      <c r="BK848" s="27" t="s">
        <v>8</v>
      </c>
      <c r="BL848" s="27" t="s">
        <v>7</v>
      </c>
      <c r="BM848" s="27" t="s">
        <v>8</v>
      </c>
      <c r="BO848" s="27" t="s">
        <v>8</v>
      </c>
      <c r="EJ848" s="27" t="s">
        <v>7</v>
      </c>
      <c r="EK848" s="27" t="s">
        <v>8</v>
      </c>
    </row>
    <row r="849" spans="1:141" x14ac:dyDescent="0.25">
      <c r="A849" s="7">
        <v>5.5815522983999367E-3</v>
      </c>
      <c r="B849"/>
      <c r="C849"/>
      <c r="D849"/>
      <c r="E849"/>
      <c r="AF849" s="27" t="s">
        <v>7</v>
      </c>
      <c r="AG849" s="27" t="s">
        <v>8</v>
      </c>
      <c r="AJ849" s="27" t="s">
        <v>7</v>
      </c>
      <c r="AQ849" s="27" t="s">
        <v>8</v>
      </c>
      <c r="AR849" s="27" t="s">
        <v>7</v>
      </c>
      <c r="AS849" s="27" t="s">
        <v>8</v>
      </c>
      <c r="AT849" s="27" t="s">
        <v>7</v>
      </c>
      <c r="AU849" s="27" t="s">
        <v>8</v>
      </c>
      <c r="AV849" s="27" t="s">
        <v>7</v>
      </c>
      <c r="AW849" s="27" t="s">
        <v>8</v>
      </c>
      <c r="AX849" s="27" t="s">
        <v>7</v>
      </c>
      <c r="AY849" s="27" t="s">
        <v>8</v>
      </c>
      <c r="AZ849" s="27" t="s">
        <v>7</v>
      </c>
      <c r="BA849" s="27" t="s">
        <v>8</v>
      </c>
      <c r="BB849" s="27" t="s">
        <v>7</v>
      </c>
      <c r="BC849" s="27" t="s">
        <v>8</v>
      </c>
      <c r="BF849" s="27" t="s">
        <v>7</v>
      </c>
      <c r="BG849" s="27" t="s">
        <v>8</v>
      </c>
      <c r="BH849" s="27" t="s">
        <v>7</v>
      </c>
      <c r="BI849" s="27" t="s">
        <v>8</v>
      </c>
      <c r="BJ849" s="27" t="s">
        <v>7</v>
      </c>
      <c r="BK849" s="27" t="s">
        <v>8</v>
      </c>
      <c r="BL849" s="27" t="s">
        <v>7</v>
      </c>
      <c r="BM849" s="27" t="s">
        <v>8</v>
      </c>
      <c r="BN849" s="27" t="s">
        <v>7</v>
      </c>
      <c r="BO849" s="27" t="s">
        <v>8</v>
      </c>
      <c r="EJ849" s="27" t="s">
        <v>7</v>
      </c>
      <c r="EK849" s="27" t="s">
        <v>8</v>
      </c>
    </row>
    <row r="850" spans="1:141" x14ac:dyDescent="0.25">
      <c r="A850" s="7">
        <v>5.4721100964705257E-3</v>
      </c>
      <c r="B850"/>
      <c r="C850"/>
      <c r="D850"/>
      <c r="E850"/>
      <c r="AF850" s="27" t="s">
        <v>7</v>
      </c>
      <c r="AG850" s="27" t="s">
        <v>8</v>
      </c>
      <c r="AJ850" s="27" t="s">
        <v>7</v>
      </c>
      <c r="AO850" s="27" t="s">
        <v>8</v>
      </c>
      <c r="AQ850" s="27" t="s">
        <v>8</v>
      </c>
      <c r="AR850" s="27" t="s">
        <v>7</v>
      </c>
      <c r="AS850" s="27" t="s">
        <v>8</v>
      </c>
      <c r="AT850" s="27" t="s">
        <v>7</v>
      </c>
      <c r="AU850" s="27" t="s">
        <v>8</v>
      </c>
      <c r="AV850" s="27" t="s">
        <v>7</v>
      </c>
      <c r="AW850" s="27" t="s">
        <v>8</v>
      </c>
      <c r="AX850" s="27" t="s">
        <v>7</v>
      </c>
      <c r="AY850" s="27" t="s">
        <v>8</v>
      </c>
      <c r="AZ850" s="27" t="s">
        <v>7</v>
      </c>
      <c r="BA850" s="27" t="s">
        <v>8</v>
      </c>
      <c r="BB850" s="27" t="s">
        <v>7</v>
      </c>
      <c r="BC850" s="27" t="s">
        <v>8</v>
      </c>
      <c r="BF850" s="27" t="s">
        <v>7</v>
      </c>
      <c r="BG850" s="27" t="s">
        <v>8</v>
      </c>
      <c r="BH850" s="27" t="s">
        <v>7</v>
      </c>
      <c r="BI850" s="27" t="s">
        <v>8</v>
      </c>
      <c r="BJ850" s="27" t="s">
        <v>7</v>
      </c>
      <c r="BK850" s="27" t="s">
        <v>8</v>
      </c>
      <c r="BL850" s="27" t="s">
        <v>7</v>
      </c>
      <c r="BM850" s="27" t="s">
        <v>8</v>
      </c>
      <c r="BN850" s="27" t="s">
        <v>7</v>
      </c>
      <c r="BO850" s="27" t="s">
        <v>8</v>
      </c>
      <c r="EJ850" s="27" t="s">
        <v>7</v>
      </c>
      <c r="EK850" s="27" t="s">
        <v>8</v>
      </c>
    </row>
    <row r="851" spans="1:141" x14ac:dyDescent="0.25">
      <c r="A851" s="7">
        <v>5.3648138200691423E-3</v>
      </c>
      <c r="B851"/>
      <c r="C851"/>
      <c r="D851"/>
      <c r="E851"/>
      <c r="AF851" s="27" t="s">
        <v>7</v>
      </c>
      <c r="AG851" s="27" t="s">
        <v>8</v>
      </c>
      <c r="AJ851" s="27" t="s">
        <v>7</v>
      </c>
      <c r="AO851" s="27" t="s">
        <v>8</v>
      </c>
      <c r="AP851" s="27" t="s">
        <v>7</v>
      </c>
      <c r="AQ851" s="27" t="s">
        <v>8</v>
      </c>
      <c r="AR851" s="27" t="s">
        <v>7</v>
      </c>
      <c r="AS851" s="27" t="s">
        <v>8</v>
      </c>
      <c r="AT851" s="27" t="s">
        <v>7</v>
      </c>
      <c r="AU851" s="27" t="s">
        <v>8</v>
      </c>
      <c r="AV851" s="27" t="s">
        <v>7</v>
      </c>
      <c r="AW851" s="27" t="s">
        <v>8</v>
      </c>
      <c r="AX851" s="27" t="s">
        <v>7</v>
      </c>
      <c r="AY851" s="27" t="s">
        <v>8</v>
      </c>
      <c r="AZ851" s="27" t="s">
        <v>7</v>
      </c>
      <c r="BB851" s="27" t="s">
        <v>7</v>
      </c>
      <c r="BC851" s="27" t="s">
        <v>8</v>
      </c>
      <c r="BF851" s="27" t="s">
        <v>7</v>
      </c>
      <c r="BG851" s="27" t="s">
        <v>8</v>
      </c>
      <c r="BH851" s="27" t="s">
        <v>7</v>
      </c>
      <c r="BI851" s="27" t="s">
        <v>8</v>
      </c>
      <c r="BJ851" s="27" t="s">
        <v>7</v>
      </c>
      <c r="BK851" s="27" t="s">
        <v>8</v>
      </c>
      <c r="BL851" s="27" t="s">
        <v>7</v>
      </c>
      <c r="BM851" s="27" t="s">
        <v>8</v>
      </c>
      <c r="BN851" s="27" t="s">
        <v>7</v>
      </c>
      <c r="BO851" s="27" t="s">
        <v>8</v>
      </c>
      <c r="EJ851" s="27" t="s">
        <v>7</v>
      </c>
    </row>
    <row r="852" spans="1:141" x14ac:dyDescent="0.25">
      <c r="A852" s="7">
        <v>5.2596213922246494E-3</v>
      </c>
      <c r="B852"/>
      <c r="C852"/>
      <c r="D852"/>
      <c r="E852"/>
      <c r="AF852" s="27" t="s">
        <v>7</v>
      </c>
      <c r="AG852" s="27" t="s">
        <v>8</v>
      </c>
      <c r="AJ852" s="27" t="s">
        <v>7</v>
      </c>
      <c r="AK852" s="27" t="s">
        <v>8</v>
      </c>
      <c r="AO852" s="27" t="s">
        <v>8</v>
      </c>
      <c r="AP852" s="27" t="s">
        <v>7</v>
      </c>
      <c r="AQ852" s="27" t="s">
        <v>8</v>
      </c>
      <c r="AR852" s="27" t="s">
        <v>7</v>
      </c>
      <c r="AS852" s="27" t="s">
        <v>8</v>
      </c>
      <c r="AT852" s="27" t="s">
        <v>7</v>
      </c>
      <c r="AU852" s="27" t="s">
        <v>8</v>
      </c>
      <c r="AV852" s="27" t="s">
        <v>7</v>
      </c>
      <c r="AW852" s="27" t="s">
        <v>8</v>
      </c>
      <c r="AX852" s="27" t="s">
        <v>7</v>
      </c>
      <c r="AY852" s="27" t="s">
        <v>8</v>
      </c>
      <c r="BB852" s="27" t="s">
        <v>7</v>
      </c>
      <c r="BF852" s="27" t="s">
        <v>7</v>
      </c>
      <c r="BG852" s="27" t="s">
        <v>8</v>
      </c>
      <c r="BH852" s="27" t="s">
        <v>7</v>
      </c>
      <c r="BI852" s="27" t="s">
        <v>8</v>
      </c>
      <c r="BJ852" s="27" t="s">
        <v>7</v>
      </c>
      <c r="BL852" s="27" t="s">
        <v>7</v>
      </c>
      <c r="BN852" s="27" t="s">
        <v>7</v>
      </c>
    </row>
    <row r="853" spans="1:141" x14ac:dyDescent="0.25">
      <c r="A853" s="7">
        <v>5.1564915610045588E-3</v>
      </c>
      <c r="B853"/>
      <c r="C853"/>
      <c r="D853"/>
      <c r="E853"/>
      <c r="AF853" s="27" t="s">
        <v>7</v>
      </c>
      <c r="AG853" s="27" t="s">
        <v>8</v>
      </c>
      <c r="AJ853" s="27" t="s">
        <v>7</v>
      </c>
      <c r="AK853" s="27" t="s">
        <v>8</v>
      </c>
      <c r="AL853" s="27" t="s">
        <v>7</v>
      </c>
      <c r="AO853" s="27" t="s">
        <v>8</v>
      </c>
      <c r="AP853" s="27" t="s">
        <v>7</v>
      </c>
      <c r="AQ853" s="27" t="s">
        <v>8</v>
      </c>
      <c r="AR853" s="27" t="s">
        <v>7</v>
      </c>
      <c r="AS853" s="27" t="s">
        <v>8</v>
      </c>
      <c r="AT853" s="27" t="s">
        <v>7</v>
      </c>
      <c r="AV853" s="27" t="s">
        <v>7</v>
      </c>
      <c r="AW853" s="27" t="s">
        <v>8</v>
      </c>
      <c r="AX853" s="27" t="s">
        <v>7</v>
      </c>
      <c r="BF853" s="27" t="s">
        <v>7</v>
      </c>
      <c r="BH853" s="27" t="s">
        <v>7</v>
      </c>
      <c r="BI853" s="27" t="s">
        <v>8</v>
      </c>
    </row>
    <row r="854" spans="1:141" x14ac:dyDescent="0.25">
      <c r="A854" s="7">
        <v>5.0553838833378023E-3</v>
      </c>
      <c r="B854"/>
      <c r="C854"/>
      <c r="D854"/>
      <c r="E854"/>
      <c r="AF854" s="27" t="s">
        <v>7</v>
      </c>
      <c r="AJ854" s="27" t="s">
        <v>7</v>
      </c>
      <c r="AK854" s="27" t="s">
        <v>8</v>
      </c>
      <c r="AL854" s="27" t="s">
        <v>7</v>
      </c>
      <c r="AO854" s="27" t="s">
        <v>8</v>
      </c>
      <c r="AP854" s="27" t="s">
        <v>7</v>
      </c>
      <c r="AQ854" s="27" t="s">
        <v>8</v>
      </c>
      <c r="AR854" s="27" t="s">
        <v>7</v>
      </c>
      <c r="AS854" s="27" t="s">
        <v>8</v>
      </c>
      <c r="AV854" s="27" t="s">
        <v>7</v>
      </c>
      <c r="AW854" s="27" t="s">
        <v>8</v>
      </c>
      <c r="BH854" s="27" t="s">
        <v>7</v>
      </c>
      <c r="BI854" s="27" t="s">
        <v>8</v>
      </c>
    </row>
    <row r="855" spans="1:141" x14ac:dyDescent="0.25">
      <c r="A855" s="7">
        <v>4.9562587091547079E-3</v>
      </c>
      <c r="B855"/>
      <c r="C855"/>
      <c r="D855"/>
      <c r="E855"/>
      <c r="AJ855" s="27" t="s">
        <v>7</v>
      </c>
      <c r="AK855" s="27" t="s">
        <v>8</v>
      </c>
      <c r="AL855" s="27" t="s">
        <v>7</v>
      </c>
      <c r="AO855" s="27" t="s">
        <v>8</v>
      </c>
      <c r="AP855" s="27" t="s">
        <v>7</v>
      </c>
      <c r="AQ855" s="27" t="s">
        <v>8</v>
      </c>
      <c r="AR855" s="27" t="s">
        <v>7</v>
      </c>
      <c r="AS855" s="27" t="s">
        <v>8</v>
      </c>
      <c r="AV855" s="27" t="s">
        <v>7</v>
      </c>
      <c r="AW855" s="27" t="s">
        <v>8</v>
      </c>
      <c r="BH855" s="27" t="s">
        <v>7</v>
      </c>
    </row>
    <row r="856" spans="1:141" x14ac:dyDescent="0.25">
      <c r="A856" s="7">
        <v>4.8590771658379491E-3</v>
      </c>
      <c r="B856"/>
      <c r="C856"/>
      <c r="D856"/>
      <c r="E856"/>
      <c r="AJ856" s="27" t="s">
        <v>7</v>
      </c>
      <c r="AK856" s="27" t="s">
        <v>8</v>
      </c>
      <c r="AL856" s="27" t="s">
        <v>7</v>
      </c>
      <c r="AO856" s="27" t="s">
        <v>8</v>
      </c>
      <c r="AP856" s="27" t="s">
        <v>7</v>
      </c>
      <c r="AQ856" s="27" t="s">
        <v>8</v>
      </c>
      <c r="AR856" s="27" t="s">
        <v>7</v>
      </c>
      <c r="AS856" s="27" t="s">
        <v>8</v>
      </c>
      <c r="AV856" s="27" t="s">
        <v>7</v>
      </c>
      <c r="AW856" s="27" t="s">
        <v>8</v>
      </c>
    </row>
    <row r="857" spans="1:141" x14ac:dyDescent="0.25">
      <c r="A857" s="7">
        <v>4.7638011429783815E-3</v>
      </c>
      <c r="B857"/>
      <c r="C857"/>
      <c r="D857"/>
      <c r="E857"/>
      <c r="AJ857" s="27" t="s">
        <v>7</v>
      </c>
      <c r="AK857" s="27" t="s">
        <v>8</v>
      </c>
      <c r="AL857" s="27" t="s">
        <v>7</v>
      </c>
      <c r="AO857" s="27" t="s">
        <v>8</v>
      </c>
      <c r="AP857" s="27" t="s">
        <v>7</v>
      </c>
      <c r="AQ857" s="27" t="s">
        <v>8</v>
      </c>
      <c r="AR857" s="27" t="s">
        <v>7</v>
      </c>
      <c r="AS857" s="27" t="s">
        <v>8</v>
      </c>
      <c r="AV857" s="27" t="s">
        <v>7</v>
      </c>
      <c r="AW857" s="27" t="s">
        <v>8</v>
      </c>
    </row>
    <row r="858" spans="1:141" x14ac:dyDescent="0.25">
      <c r="A858" s="7">
        <v>4.6703932774297859E-3</v>
      </c>
      <c r="B858"/>
      <c r="C858"/>
      <c r="D858"/>
      <c r="E858"/>
      <c r="AJ858" s="27" t="s">
        <v>7</v>
      </c>
      <c r="AK858" s="27" t="s">
        <v>8</v>
      </c>
      <c r="AL858" s="27" t="s">
        <v>7</v>
      </c>
      <c r="AO858" s="27" t="s">
        <v>8</v>
      </c>
      <c r="AP858" s="27" t="s">
        <v>7</v>
      </c>
      <c r="AR858" s="27" t="s">
        <v>7</v>
      </c>
      <c r="AS858" s="27" t="s">
        <v>8</v>
      </c>
      <c r="AV858" s="27" t="s">
        <v>7</v>
      </c>
    </row>
    <row r="859" spans="1:141" x14ac:dyDescent="0.25">
      <c r="A859" s="7">
        <v>4.5788169386566527E-3</v>
      </c>
      <c r="B859"/>
      <c r="C859"/>
      <c r="D859"/>
      <c r="E859"/>
      <c r="AJ859" s="27" t="s">
        <v>7</v>
      </c>
      <c r="AK859" s="27" t="s">
        <v>8</v>
      </c>
      <c r="AL859" s="27" t="s">
        <v>7</v>
      </c>
      <c r="AO859" s="27" t="s">
        <v>8</v>
      </c>
      <c r="AR859" s="27" t="s">
        <v>7</v>
      </c>
      <c r="AS859" s="27" t="s">
        <v>8</v>
      </c>
    </row>
    <row r="860" spans="1:141" x14ac:dyDescent="0.25">
      <c r="A860" s="7">
        <v>4.4890362143692672E-3</v>
      </c>
      <c r="B860"/>
      <c r="C860"/>
      <c r="D860"/>
      <c r="E860"/>
      <c r="AJ860" s="27" t="s">
        <v>7</v>
      </c>
      <c r="AK860" s="27" t="s">
        <v>8</v>
      </c>
      <c r="AL860" s="27" t="s">
        <v>7</v>
      </c>
      <c r="AM860" s="27" t="s">
        <v>8</v>
      </c>
      <c r="AO860" s="27" t="s">
        <v>8</v>
      </c>
      <c r="AR860" s="27" t="s">
        <v>7</v>
      </c>
      <c r="AS860" s="27" t="s">
        <v>8</v>
      </c>
    </row>
    <row r="861" spans="1:141" x14ac:dyDescent="0.25">
      <c r="A861" s="7">
        <v>4.4010158964404578E-3</v>
      </c>
      <c r="B861"/>
      <c r="C861"/>
      <c r="D861"/>
      <c r="E861"/>
      <c r="AJ861" s="27" t="s">
        <v>7</v>
      </c>
      <c r="AK861" s="27" t="s">
        <v>8</v>
      </c>
      <c r="AL861" s="27" t="s">
        <v>7</v>
      </c>
      <c r="AM861" s="27" t="s">
        <v>8</v>
      </c>
      <c r="AN861" s="27" t="s">
        <v>7</v>
      </c>
      <c r="AO861" s="27" t="s">
        <v>8</v>
      </c>
      <c r="AR861" s="27" t="s">
        <v>7</v>
      </c>
      <c r="AS861" s="27" t="s">
        <v>8</v>
      </c>
    </row>
    <row r="862" spans="1:141" x14ac:dyDescent="0.25">
      <c r="A862" s="7">
        <v>4.314721467098488E-3</v>
      </c>
      <c r="B862"/>
      <c r="C862"/>
      <c r="D862"/>
      <c r="E862"/>
      <c r="AJ862" s="27" t="s">
        <v>7</v>
      </c>
      <c r="AK862" s="27" t="s">
        <v>8</v>
      </c>
      <c r="AL862" s="27" t="s">
        <v>7</v>
      </c>
      <c r="AM862" s="27" t="s">
        <v>8</v>
      </c>
      <c r="AN862" s="27" t="s">
        <v>7</v>
      </c>
      <c r="AO862" s="27" t="s">
        <v>8</v>
      </c>
      <c r="AR862" s="27" t="s">
        <v>7</v>
      </c>
      <c r="AS862" s="27" t="s">
        <v>8</v>
      </c>
    </row>
    <row r="863" spans="1:141" x14ac:dyDescent="0.25">
      <c r="A863" s="7">
        <v>4.2301190853906746E-3</v>
      </c>
      <c r="B863"/>
      <c r="C863"/>
      <c r="D863"/>
      <c r="E863"/>
      <c r="AJ863" s="27" t="s">
        <v>7</v>
      </c>
      <c r="AK863" s="27" t="s">
        <v>8</v>
      </c>
      <c r="AL863" s="27" t="s">
        <v>7</v>
      </c>
      <c r="AM863" s="27" t="s">
        <v>8</v>
      </c>
      <c r="AN863" s="27" t="s">
        <v>7</v>
      </c>
      <c r="AO863" s="27" t="s">
        <v>8</v>
      </c>
      <c r="AR863" s="27" t="s">
        <v>7</v>
      </c>
      <c r="AS863" s="27" t="s">
        <v>8</v>
      </c>
    </row>
    <row r="864" spans="1:141" x14ac:dyDescent="0.25">
      <c r="A864" s="7">
        <v>4.1471755739124266E-3</v>
      </c>
      <c r="B864"/>
      <c r="C864"/>
      <c r="D864"/>
      <c r="E864"/>
      <c r="AJ864" s="27" t="s">
        <v>7</v>
      </c>
      <c r="AK864" s="27" t="s">
        <v>8</v>
      </c>
      <c r="AL864" s="27" t="s">
        <v>7</v>
      </c>
      <c r="AM864" s="27" t="s">
        <v>8</v>
      </c>
      <c r="AN864" s="27" t="s">
        <v>7</v>
      </c>
      <c r="AO864" s="27" t="s">
        <v>8</v>
      </c>
      <c r="AR864" s="27" t="s">
        <v>7</v>
      </c>
    </row>
    <row r="865" spans="1:40" x14ac:dyDescent="0.25">
      <c r="A865" s="7">
        <v>4.0658584057964966E-3</v>
      </c>
      <c r="B865"/>
      <c r="C865"/>
      <c r="D865"/>
      <c r="E865"/>
      <c r="AJ865" s="27" t="s">
        <v>7</v>
      </c>
      <c r="AK865" s="27" t="s">
        <v>8</v>
      </c>
      <c r="AL865" s="27" t="s">
        <v>7</v>
      </c>
      <c r="AM865" s="27" t="s">
        <v>8</v>
      </c>
      <c r="AN865" s="27" t="s">
        <v>7</v>
      </c>
    </row>
    <row r="866" spans="1:40" x14ac:dyDescent="0.25">
      <c r="A866" s="7">
        <v>3.9861356919573491E-3</v>
      </c>
      <c r="B866"/>
      <c r="C866"/>
      <c r="D866"/>
      <c r="E866"/>
      <c r="AJ866" s="27" t="s">
        <v>7</v>
      </c>
      <c r="AK866" s="27" t="s">
        <v>8</v>
      </c>
      <c r="AL866" s="27" t="s">
        <v>7</v>
      </c>
      <c r="AM866" s="27" t="s">
        <v>8</v>
      </c>
    </row>
    <row r="867" spans="1:40" x14ac:dyDescent="0.25">
      <c r="A867" s="7">
        <v>3.9079761685856364E-3</v>
      </c>
      <c r="B867"/>
      <c r="C867"/>
      <c r="D867"/>
      <c r="E867"/>
      <c r="AJ867" s="27" t="s">
        <v>7</v>
      </c>
      <c r="AK867" s="27" t="s">
        <v>8</v>
      </c>
      <c r="AL867" s="27" t="s">
        <v>7</v>
      </c>
      <c r="AM867" s="27" t="s">
        <v>8</v>
      </c>
    </row>
    <row r="868" spans="1:40" x14ac:dyDescent="0.25">
      <c r="A868" s="7">
        <v>3.8313491848878793E-3</v>
      </c>
      <c r="B868"/>
      <c r="C868"/>
      <c r="D868"/>
      <c r="E868"/>
      <c r="AJ868" s="27" t="s">
        <v>7</v>
      </c>
      <c r="AK868" s="27" t="s">
        <v>8</v>
      </c>
      <c r="AL868" s="27" t="s">
        <v>7</v>
      </c>
    </row>
    <row r="869" spans="1:40" x14ac:dyDescent="0.25">
      <c r="A869" s="7">
        <v>3.7562246910665485E-3</v>
      </c>
      <c r="B869"/>
      <c r="C869"/>
      <c r="D869"/>
      <c r="E869"/>
      <c r="AJ869" s="27" t="s">
        <v>7</v>
      </c>
      <c r="AK869" s="27" t="s">
        <v>8</v>
      </c>
    </row>
    <row r="870" spans="1:40" x14ac:dyDescent="0.25">
      <c r="A870" s="7">
        <v>3.6825732265358315E-3</v>
      </c>
      <c r="B870"/>
      <c r="C870"/>
      <c r="D870"/>
      <c r="E870"/>
      <c r="AJ870" s="27" t="s">
        <v>7</v>
      </c>
      <c r="AK870" s="27" t="s">
        <v>8</v>
      </c>
    </row>
    <row r="871" spans="1:40" x14ac:dyDescent="0.25">
      <c r="A871" s="7">
        <v>3.6103659083684624E-3</v>
      </c>
      <c r="B871"/>
      <c r="C871"/>
      <c r="D871"/>
      <c r="E871"/>
      <c r="AJ871" s="27" t="s">
        <v>7</v>
      </c>
      <c r="AK871" s="27" t="s">
        <v>8</v>
      </c>
    </row>
    <row r="872" spans="1:40" x14ac:dyDescent="0.25">
      <c r="A872" s="7">
        <v>3.539574419969081E-3</v>
      </c>
      <c r="B872"/>
      <c r="C872"/>
      <c r="D872"/>
      <c r="E872"/>
      <c r="AJ872" s="27" t="s">
        <v>7</v>
      </c>
      <c r="AK872" s="27" t="s">
        <v>8</v>
      </c>
    </row>
    <row r="873" spans="1:40" x14ac:dyDescent="0.25">
      <c r="A873" s="7">
        <v>3.4701709999696872E-3</v>
      </c>
      <c r="B873"/>
      <c r="C873"/>
      <c r="D873"/>
      <c r="E873"/>
      <c r="AJ873" s="27" t="s">
        <v>7</v>
      </c>
      <c r="AK873" s="27" t="s">
        <v>8</v>
      </c>
    </row>
    <row r="874" spans="1:40" x14ac:dyDescent="0.25">
      <c r="A874" s="7">
        <v>3.4021284313428307E-3</v>
      </c>
      <c r="B874"/>
      <c r="C874"/>
      <c r="D874"/>
      <c r="E874"/>
      <c r="AJ874" s="27" t="s">
        <v>7</v>
      </c>
      <c r="AK874" s="27" t="s">
        <v>8</v>
      </c>
    </row>
    <row r="875" spans="1:40" x14ac:dyDescent="0.25">
      <c r="A875" s="7">
        <v>3.3354200307282654E-3</v>
      </c>
      <c r="B875"/>
      <c r="C875"/>
      <c r="D875"/>
      <c r="E875"/>
      <c r="AJ875" s="27" t="s">
        <v>7</v>
      </c>
      <c r="AK875" s="27" t="s">
        <v>8</v>
      </c>
    </row>
    <row r="876" spans="1:40" x14ac:dyDescent="0.25">
      <c r="A876" s="7">
        <v>3.2700196379688881E-3</v>
      </c>
      <c r="B876"/>
      <c r="C876"/>
      <c r="D876"/>
      <c r="E876"/>
      <c r="AJ876" s="27" t="s">
        <v>7</v>
      </c>
      <c r="AK876" s="27" t="s">
        <v>8</v>
      </c>
    </row>
    <row r="877" spans="1:40" x14ac:dyDescent="0.25">
      <c r="A877" s="7">
        <v>3.205901605851851E-3</v>
      </c>
      <c r="B877"/>
      <c r="C877"/>
      <c r="D877"/>
      <c r="E877"/>
      <c r="AJ877" s="27" t="s">
        <v>7</v>
      </c>
      <c r="AK877" s="27" t="s">
        <v>8</v>
      </c>
    </row>
    <row r="878" spans="1:40" x14ac:dyDescent="0.25">
      <c r="A878" s="7">
        <v>3.1430407900508344E-3</v>
      </c>
      <c r="B878"/>
      <c r="C878"/>
      <c r="D878"/>
      <c r="E878"/>
      <c r="AJ878" s="27" t="s">
        <v>7</v>
      </c>
      <c r="AK878" s="27" t="s">
        <v>8</v>
      </c>
    </row>
    <row r="879" spans="1:40" x14ac:dyDescent="0.25">
      <c r="A879" s="7">
        <v>3.0814125392655241E-3</v>
      </c>
      <c r="B879"/>
      <c r="C879"/>
      <c r="D879"/>
      <c r="E879"/>
      <c r="AJ879" s="27" t="s">
        <v>7</v>
      </c>
      <c r="AK879" s="27" t="s">
        <v>8</v>
      </c>
    </row>
    <row r="880" spans="1:40" x14ac:dyDescent="0.25">
      <c r="A880" s="7">
        <v>3.0209926855544354E-3</v>
      </c>
      <c r="B880"/>
      <c r="C880"/>
      <c r="D880"/>
      <c r="E880"/>
      <c r="AJ880" s="27" t="s">
        <v>7</v>
      </c>
      <c r="AK880" s="27" t="s">
        <v>8</v>
      </c>
    </row>
    <row r="881" spans="1:37" x14ac:dyDescent="0.25">
      <c r="A881" s="7">
        <v>2.9617575348572897E-3</v>
      </c>
      <c r="B881"/>
      <c r="C881"/>
      <c r="D881"/>
      <c r="E881"/>
      <c r="AJ881" s="27" t="s">
        <v>7</v>
      </c>
      <c r="AK881" s="27" t="s">
        <v>8</v>
      </c>
    </row>
    <row r="882" spans="1:37" x14ac:dyDescent="0.25">
      <c r="A882" s="7">
        <v>2.9036838577032251E-3</v>
      </c>
      <c r="B882"/>
      <c r="C882"/>
      <c r="D882"/>
      <c r="E882"/>
      <c r="AJ882" s="27" t="s">
        <v>7</v>
      </c>
      <c r="AK882" s="27" t="s">
        <v>8</v>
      </c>
    </row>
    <row r="883" spans="1:37" x14ac:dyDescent="0.25">
      <c r="A883" s="7">
        <v>2.8467488801012012E-3</v>
      </c>
      <c r="B883"/>
      <c r="C883"/>
      <c r="D883"/>
      <c r="E883"/>
      <c r="AJ883" s="27" t="s">
        <v>7</v>
      </c>
      <c r="AK883" s="27" t="s">
        <v>8</v>
      </c>
    </row>
    <row r="884" spans="1:37" x14ac:dyDescent="0.25">
      <c r="A884" s="7">
        <v>2.7909302746090209E-3</v>
      </c>
      <c r="B884"/>
      <c r="C884"/>
      <c r="D884"/>
      <c r="E884"/>
      <c r="AJ884" s="27" t="s">
        <v>7</v>
      </c>
      <c r="AK884" s="27" t="s">
        <v>8</v>
      </c>
    </row>
    <row r="885" spans="1:37" x14ac:dyDescent="0.25">
      <c r="A885" s="7">
        <v>2.7362061515774716E-3</v>
      </c>
      <c r="B885"/>
      <c r="C885"/>
      <c r="D885"/>
      <c r="E885"/>
      <c r="AJ885" s="27" t="s">
        <v>7</v>
      </c>
      <c r="AK885" s="27" t="s">
        <v>8</v>
      </c>
    </row>
    <row r="886" spans="1:37" x14ac:dyDescent="0.25">
      <c r="A886" s="7">
        <v>2.6825550505661486E-3</v>
      </c>
      <c r="B886"/>
      <c r="C886"/>
      <c r="D886"/>
      <c r="E886"/>
      <c r="AJ886" s="27" t="s">
        <v>7</v>
      </c>
      <c r="AK886" s="27" t="s">
        <v>8</v>
      </c>
    </row>
    <row r="887" spans="1:37" x14ac:dyDescent="0.25">
      <c r="A887" s="7">
        <v>2.6299559319275965E-3</v>
      </c>
      <c r="B887"/>
      <c r="C887"/>
      <c r="D887"/>
      <c r="E887"/>
      <c r="AJ887" s="27" t="s">
        <v>7</v>
      </c>
      <c r="AK887" s="27" t="s">
        <v>8</v>
      </c>
    </row>
    <row r="888" spans="1:37" x14ac:dyDescent="0.25">
      <c r="A888" s="7">
        <v>2.578388168556467E-3</v>
      </c>
      <c r="B888"/>
      <c r="C888"/>
      <c r="D888"/>
      <c r="E888"/>
      <c r="AJ888" s="27" t="s">
        <v>7</v>
      </c>
      <c r="AK888" s="27" t="s">
        <v>8</v>
      </c>
    </row>
    <row r="889" spans="1:37" x14ac:dyDescent="0.25">
      <c r="A889" s="7">
        <v>2.5278315378004577E-3</v>
      </c>
      <c r="B889"/>
      <c r="C889"/>
      <c r="D889"/>
      <c r="E889"/>
      <c r="AJ889" s="27" t="s">
        <v>7</v>
      </c>
      <c r="AK889" s="27" t="s">
        <v>8</v>
      </c>
    </row>
    <row r="890" spans="1:37" x14ac:dyDescent="0.25">
      <c r="A890" s="7">
        <v>2.4782662135298603E-3</v>
      </c>
      <c r="B890"/>
      <c r="C890"/>
      <c r="D890"/>
      <c r="E890"/>
      <c r="AJ890" s="27" t="s">
        <v>7</v>
      </c>
      <c r="AK890" s="27" t="s">
        <v>8</v>
      </c>
    </row>
    <row r="891" spans="1:37" x14ac:dyDescent="0.25">
      <c r="A891" s="7">
        <v>2.4296727583626083E-3</v>
      </c>
      <c r="B891"/>
      <c r="C891"/>
      <c r="D891"/>
      <c r="E891"/>
      <c r="AJ891" s="27" t="s">
        <v>7</v>
      </c>
      <c r="AK891" s="27" t="s">
        <v>8</v>
      </c>
    </row>
    <row r="892" spans="1:37" x14ac:dyDescent="0.25">
      <c r="A892" s="7">
        <v>2.3820321160417726E-3</v>
      </c>
      <c r="B892"/>
      <c r="C892"/>
      <c r="D892"/>
      <c r="E892"/>
      <c r="AJ892" s="27" t="s">
        <v>7</v>
      </c>
      <c r="AK892" s="27" t="s">
        <v>8</v>
      </c>
    </row>
    <row r="893" spans="1:37" x14ac:dyDescent="0.25">
      <c r="A893" s="7">
        <v>2.3353256039625224E-3</v>
      </c>
      <c r="B893"/>
      <c r="C893"/>
      <c r="D893"/>
      <c r="E893"/>
      <c r="AJ893" s="27" t="s">
        <v>7</v>
      </c>
      <c r="AK893" s="27" t="s">
        <v>8</v>
      </c>
    </row>
    <row r="894" spans="1:37" x14ac:dyDescent="0.25">
      <c r="A894" s="7">
        <v>2.2895349058456101E-3</v>
      </c>
      <c r="B894"/>
      <c r="C894"/>
      <c r="D894"/>
      <c r="E894"/>
      <c r="AJ894" s="27" t="s">
        <v>7</v>
      </c>
      <c r="AK894" s="27" t="s">
        <v>8</v>
      </c>
    </row>
    <row r="895" spans="1:37" x14ac:dyDescent="0.25">
      <c r="A895" s="7">
        <v>2.24464206455452E-3</v>
      </c>
      <c r="B895"/>
      <c r="C895"/>
      <c r="D895"/>
      <c r="E895"/>
      <c r="AJ895" s="27" t="s">
        <v>7</v>
      </c>
      <c r="AK895" s="27" t="s">
        <v>8</v>
      </c>
    </row>
    <row r="896" spans="1:37" x14ac:dyDescent="0.25">
      <c r="A896" s="7">
        <v>2.200629475053451E-3</v>
      </c>
      <c r="B896"/>
      <c r="C896"/>
      <c r="D896"/>
      <c r="E896"/>
      <c r="AJ896" s="27" t="s">
        <v>7</v>
      </c>
      <c r="AK896" s="27" t="s">
        <v>8</v>
      </c>
    </row>
    <row r="897" spans="1:37" x14ac:dyDescent="0.25">
      <c r="A897" s="7">
        <v>2.1574798775033832E-3</v>
      </c>
      <c r="B897"/>
      <c r="C897"/>
      <c r="D897"/>
      <c r="E897"/>
      <c r="AJ897" s="27" t="s">
        <v>7</v>
      </c>
      <c r="AK897" s="27" t="s">
        <v>8</v>
      </c>
    </row>
    <row r="898" spans="1:37" x14ac:dyDescent="0.25">
      <c r="A898" s="7">
        <v>2.115176350493513E-3</v>
      </c>
      <c r="B898"/>
      <c r="C898"/>
      <c r="D898"/>
      <c r="E898"/>
      <c r="AJ898" s="27" t="s">
        <v>7</v>
      </c>
      <c r="AK898" s="27" t="s">
        <v>8</v>
      </c>
    </row>
    <row r="899" spans="1:37" x14ac:dyDescent="0.25">
      <c r="A899" s="7">
        <v>2.0737023044054047E-3</v>
      </c>
      <c r="B899"/>
      <c r="C899"/>
      <c r="D899"/>
      <c r="E899"/>
      <c r="AJ899" s="27" t="s">
        <v>7</v>
      </c>
      <c r="AK899" s="27" t="s">
        <v>8</v>
      </c>
    </row>
    <row r="900" spans="1:37" x14ac:dyDescent="0.25">
      <c r="A900" s="7">
        <v>2.0330414749072595E-3</v>
      </c>
      <c r="B900"/>
      <c r="C900"/>
      <c r="D900"/>
      <c r="E900"/>
      <c r="AJ900" s="27" t="s">
        <v>7</v>
      </c>
      <c r="AK900" s="27" t="s">
        <v>8</v>
      </c>
    </row>
    <row r="901" spans="1:37" x14ac:dyDescent="0.25">
      <c r="A901" s="7">
        <v>1.9931779165757446E-3</v>
      </c>
      <c r="B901"/>
      <c r="C901"/>
      <c r="D901"/>
      <c r="E901"/>
      <c r="AJ901" s="27" t="s">
        <v>7</v>
      </c>
      <c r="AK901" s="27" t="s">
        <v>8</v>
      </c>
    </row>
    <row r="902" spans="1:37" x14ac:dyDescent="0.25">
      <c r="A902" s="7">
        <v>1.954095996642887E-3</v>
      </c>
      <c r="B902"/>
      <c r="C902"/>
      <c r="D902"/>
      <c r="E902"/>
      <c r="AJ902" s="27" t="s">
        <v>7</v>
      </c>
      <c r="AK902" s="27" t="s">
        <v>8</v>
      </c>
    </row>
    <row r="903" spans="1:37" x14ac:dyDescent="0.25">
      <c r="A903" s="7">
        <v>1.9157803888655755E-3</v>
      </c>
      <c r="B903"/>
      <c r="C903"/>
      <c r="D903"/>
      <c r="E903"/>
      <c r="AJ903" s="27" t="s">
        <v>7</v>
      </c>
      <c r="AK903" s="27" t="s">
        <v>8</v>
      </c>
    </row>
    <row r="904" spans="1:37" x14ac:dyDescent="0.25">
      <c r="A904" s="7">
        <v>1.8782160675152703E-3</v>
      </c>
      <c r="B904"/>
      <c r="C904"/>
      <c r="D904"/>
      <c r="E904"/>
      <c r="AJ904" s="27" t="s">
        <v>7</v>
      </c>
      <c r="AK904" s="27" t="s">
        <v>8</v>
      </c>
    </row>
    <row r="905" spans="1:37" x14ac:dyDescent="0.25">
      <c r="A905" s="7">
        <v>1.8413883014855592E-3</v>
      </c>
      <c r="B905"/>
      <c r="C905"/>
      <c r="D905"/>
      <c r="E905"/>
      <c r="AJ905" s="27" t="s">
        <v>7</v>
      </c>
      <c r="AK905" s="27" t="s">
        <v>8</v>
      </c>
    </row>
    <row r="906" spans="1:37" x14ac:dyDescent="0.25">
      <c r="A906" s="7">
        <v>1.8052826485152542E-3</v>
      </c>
      <c r="B906"/>
      <c r="C906"/>
      <c r="D906"/>
      <c r="E906"/>
      <c r="AJ906" s="27" t="s">
        <v>7</v>
      </c>
    </row>
    <row r="907" spans="1:37" x14ac:dyDescent="0.25">
      <c r="A907" s="7">
        <v>1.7698849495247592E-3</v>
      </c>
      <c r="B907"/>
      <c r="C907"/>
      <c r="D907"/>
      <c r="E907"/>
    </row>
    <row r="908" spans="1:37" x14ac:dyDescent="0.25">
      <c r="A908" s="7">
        <v>1.7351813230634893E-3</v>
      </c>
      <c r="B908"/>
      <c r="C908"/>
      <c r="D908"/>
      <c r="E908"/>
    </row>
    <row r="909" spans="1:37" x14ac:dyDescent="0.25">
      <c r="A909" s="7">
        <v>1.701158159866166E-3</v>
      </c>
      <c r="B909"/>
      <c r="C909"/>
      <c r="D909"/>
      <c r="E909"/>
    </row>
    <row r="910" spans="1:37" x14ac:dyDescent="0.25">
      <c r="A910" s="7">
        <v>1.6678021175158492E-3</v>
      </c>
      <c r="B910"/>
      <c r="C910"/>
      <c r="D910"/>
      <c r="E910"/>
    </row>
    <row r="911" spans="1:37" x14ac:dyDescent="0.25">
      <c r="A911" s="7">
        <v>1.6351001152116167E-3</v>
      </c>
      <c r="B911"/>
      <c r="C911"/>
      <c r="D911"/>
      <c r="E911"/>
    </row>
    <row r="912" spans="1:37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143" operator="equal">
      <formula>$U$1</formula>
    </cfRule>
    <cfRule type="cellIs" dxfId="89" priority="1144" operator="equal">
      <formula>$S$1</formula>
    </cfRule>
  </conditionalFormatting>
  <conditionalFormatting sqref="D27">
    <cfRule type="cellIs" dxfId="88" priority="1141" operator="equal">
      <formula>$S$1</formula>
    </cfRule>
    <cfRule type="cellIs" dxfId="87" priority="1142" operator="equal">
      <formula>$U$1</formula>
    </cfRule>
  </conditionalFormatting>
  <conditionalFormatting sqref="C164">
    <cfRule type="cellIs" dxfId="86" priority="1139" operator="equal">
      <formula>$U$1</formula>
    </cfRule>
    <cfRule type="cellIs" dxfId="85" priority="1140" operator="equal">
      <formula>$S$1</formula>
    </cfRule>
  </conditionalFormatting>
  <conditionalFormatting sqref="D164">
    <cfRule type="cellIs" dxfId="84" priority="1137" operator="equal">
      <formula>$S$1</formula>
    </cfRule>
    <cfRule type="cellIs" dxfId="83" priority="1138" operator="equal">
      <formula>$U$1</formula>
    </cfRule>
  </conditionalFormatting>
  <conditionalFormatting sqref="C55">
    <cfRule type="cellIs" dxfId="82" priority="1135" operator="equal">
      <formula>$U$1</formula>
    </cfRule>
    <cfRule type="cellIs" dxfId="81" priority="1136" operator="equal">
      <formula>$S$1</formula>
    </cfRule>
  </conditionalFormatting>
  <conditionalFormatting sqref="D55">
    <cfRule type="cellIs" dxfId="80" priority="1133" operator="equal">
      <formula>$S$1</formula>
    </cfRule>
    <cfRule type="cellIs" dxfId="79" priority="1134" operator="equal">
      <formula>$U$1</formula>
    </cfRule>
  </conditionalFormatting>
  <conditionalFormatting sqref="C89">
    <cfRule type="cellIs" dxfId="78" priority="1131" operator="equal">
      <formula>$U$1</formula>
    </cfRule>
    <cfRule type="cellIs" dxfId="77" priority="1132" operator="equal">
      <formula>$S$1</formula>
    </cfRule>
  </conditionalFormatting>
  <conditionalFormatting sqref="D89">
    <cfRule type="cellIs" dxfId="76" priority="1129" operator="equal">
      <formula>$S$1</formula>
    </cfRule>
    <cfRule type="cellIs" dxfId="75" priority="1130" operator="equal">
      <formula>$U$1</formula>
    </cfRule>
  </conditionalFormatting>
  <conditionalFormatting sqref="C136">
    <cfRule type="cellIs" dxfId="74" priority="1127" operator="equal">
      <formula>$U$1</formula>
    </cfRule>
    <cfRule type="cellIs" dxfId="73" priority="1128" operator="equal">
      <formula>$S$1</formula>
    </cfRule>
  </conditionalFormatting>
  <conditionalFormatting sqref="D136">
    <cfRule type="cellIs" dxfId="72" priority="1125" operator="equal">
      <formula>$S$1</formula>
    </cfRule>
    <cfRule type="cellIs" dxfId="71" priority="1126" operator="equal">
      <formula>$U$1</formula>
    </cfRule>
  </conditionalFormatting>
  <conditionalFormatting sqref="C1">
    <cfRule type="cellIs" dxfId="70" priority="112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GU320" sqref="GU32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$A$319</v>
      </c>
      <c r="D111" s="1" t="str">
        <f>ADDRESS(C121-1,D121,1,1)</f>
        <v>$GU$319</v>
      </c>
      <c r="E111"/>
    </row>
    <row r="112" spans="1:5" x14ac:dyDescent="0.25">
      <c r="A112" s="30">
        <v>515.50191262726139</v>
      </c>
      <c r="C112" s="1" t="str">
        <f>ADDRESS(C121,1,1,1)</f>
        <v>$A$320</v>
      </c>
      <c r="D112" s="1" t="str">
        <f>ADDRESS(C121,D121-1,1,1)</f>
        <v>$GT$320</v>
      </c>
      <c r="E112"/>
    </row>
    <row r="113" spans="1:5" x14ac:dyDescent="0.25">
      <c r="A113" s="30">
        <v>490.95420250215363</v>
      </c>
      <c r="C113" s="1" t="str">
        <f>ADDRESS(C121+1,1,1,1)</f>
        <v>$A$321</v>
      </c>
      <c r="D113" s="1" t="str">
        <f>ADDRESS(C121-1,D121+1,1,1)</f>
        <v>$GV$319</v>
      </c>
    </row>
    <row r="114" spans="1:5" x14ac:dyDescent="0.25">
      <c r="A114" s="30">
        <v>467.57543095443202</v>
      </c>
      <c r="C114" s="1" t="str">
        <f>ADDRESS(C121,D121,1,1)</f>
        <v>$GU$320</v>
      </c>
      <c r="D114" s="1" t="str">
        <f>ADDRESS(C121+1,D121+1,1,1)</f>
        <v>$GV$321</v>
      </c>
    </row>
    <row r="115" spans="1:5" x14ac:dyDescent="0.25">
      <c r="A115" s="30">
        <v>445.30993424231622</v>
      </c>
      <c r="C115" s="1" t="str">
        <f>ADDRESS(C121+1,D121,1,1)</f>
        <v>$GU$321</v>
      </c>
    </row>
    <row r="116" spans="1:5" x14ac:dyDescent="0.25">
      <c r="A116" s="30">
        <v>424.10469927839637</v>
      </c>
      <c r="C116" s="1">
        <f>C117-1</f>
        <v>319</v>
      </c>
    </row>
    <row r="117" spans="1:5" x14ac:dyDescent="0.25">
      <c r="A117" s="30">
        <v>403.9092374079965</v>
      </c>
      <c r="C117" s="1">
        <f>C121</f>
        <v>320</v>
      </c>
      <c r="D117" s="1">
        <f>D121</f>
        <v>203</v>
      </c>
    </row>
    <row r="118" spans="1:5" x14ac:dyDescent="0.25">
      <c r="A118" s="30">
        <v>384.6754641980919</v>
      </c>
      <c r="C118" s="1">
        <f>C117+1</f>
        <v>321</v>
      </c>
      <c r="D118" s="1">
        <f>D117+1</f>
        <v>204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320</v>
      </c>
      <c r="D121" s="19">
        <v>203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R320</v>
      </c>
      <c r="D123" s="1" t="str">
        <f>"C"&amp;D121</f>
        <v>C203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2.0176975860150829E-2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136" x14ac:dyDescent="0.25">
      <c r="A273" s="30">
        <v>0.19987253960121379</v>
      </c>
      <c r="B273"/>
      <c r="C273"/>
      <c r="D273"/>
      <c r="E273"/>
      <c r="F273" s="27" t="s">
        <v>7</v>
      </c>
    </row>
    <row r="274" spans="1:136" x14ac:dyDescent="0.25">
      <c r="A274" s="30">
        <v>0.19035479962020352</v>
      </c>
      <c r="B274"/>
      <c r="C274"/>
      <c r="D274"/>
      <c r="E274"/>
      <c r="F274" s="27" t="s">
        <v>7</v>
      </c>
    </row>
    <row r="275" spans="1:136" x14ac:dyDescent="0.25">
      <c r="A275" s="30">
        <v>0.18129028535257471</v>
      </c>
      <c r="B275"/>
      <c r="C275"/>
      <c r="D275"/>
      <c r="E275"/>
      <c r="F275" s="27" t="s">
        <v>7</v>
      </c>
    </row>
    <row r="276" spans="1:136" x14ac:dyDescent="0.25">
      <c r="A276" s="30">
        <v>0.17265741462149967</v>
      </c>
      <c r="B276"/>
      <c r="C276"/>
      <c r="D276"/>
      <c r="E276"/>
      <c r="F276" s="27" t="s">
        <v>7</v>
      </c>
    </row>
    <row r="277" spans="1:136" x14ac:dyDescent="0.25">
      <c r="A277" s="30">
        <v>0.16443563297285677</v>
      </c>
      <c r="B277"/>
      <c r="C277"/>
      <c r="D277"/>
      <c r="E277"/>
      <c r="F277" s="27" t="s">
        <v>7</v>
      </c>
    </row>
    <row r="278" spans="1:136" x14ac:dyDescent="0.25">
      <c r="A278" s="30">
        <v>0.15660536473605399</v>
      </c>
      <c r="B278"/>
      <c r="C278"/>
      <c r="D278"/>
      <c r="E278"/>
      <c r="F278" s="27" t="s">
        <v>7</v>
      </c>
    </row>
    <row r="279" spans="1:136" x14ac:dyDescent="0.25">
      <c r="A279" s="30">
        <v>0.14914796641528946</v>
      </c>
      <c r="B279"/>
      <c r="C279"/>
      <c r="D279"/>
      <c r="E279"/>
      <c r="F279" s="27" t="s">
        <v>7</v>
      </c>
    </row>
    <row r="280" spans="1:136" x14ac:dyDescent="0.25">
      <c r="A280" s="30">
        <v>0.14204568230027562</v>
      </c>
      <c r="B280"/>
      <c r="C280"/>
      <c r="D280"/>
      <c r="E280"/>
      <c r="F280" s="27" t="s">
        <v>7</v>
      </c>
    </row>
    <row r="281" spans="1:136" x14ac:dyDescent="0.25">
      <c r="A281" s="30">
        <v>0.13528160219073862</v>
      </c>
      <c r="B281"/>
      <c r="C281"/>
      <c r="D281"/>
      <c r="E281"/>
      <c r="F281" s="27" t="s">
        <v>7</v>
      </c>
    </row>
    <row r="282" spans="1:136" x14ac:dyDescent="0.25">
      <c r="A282" s="30">
        <v>0.12883962113403674</v>
      </c>
      <c r="B282"/>
      <c r="C282"/>
      <c r="D282"/>
      <c r="E282"/>
      <c r="F282" s="27" t="s">
        <v>7</v>
      </c>
    </row>
    <row r="283" spans="1:136" x14ac:dyDescent="0.25">
      <c r="A283" s="30">
        <v>0.12270440108003494</v>
      </c>
      <c r="B283"/>
      <c r="C283"/>
      <c r="D283"/>
      <c r="E283"/>
      <c r="F283" s="27" t="s">
        <v>7</v>
      </c>
    </row>
    <row r="284" spans="1:136" x14ac:dyDescent="0.25">
      <c r="A284" s="30">
        <v>0.11686133436193799</v>
      </c>
      <c r="B284"/>
      <c r="C284"/>
      <c r="D284"/>
      <c r="E284"/>
      <c r="F284" s="27" t="s">
        <v>7</v>
      </c>
      <c r="EE284" s="27" t="s">
        <v>8</v>
      </c>
    </row>
    <row r="285" spans="1:136" x14ac:dyDescent="0.25">
      <c r="A285" s="30">
        <v>0.11129650891613138</v>
      </c>
      <c r="B285"/>
      <c r="C285"/>
      <c r="D285"/>
      <c r="E285"/>
      <c r="F285" s="27" t="s">
        <v>7</v>
      </c>
      <c r="EE285" s="27" t="s">
        <v>8</v>
      </c>
      <c r="EF285" s="27" t="s">
        <v>7</v>
      </c>
    </row>
    <row r="286" spans="1:136" x14ac:dyDescent="0.25">
      <c r="A286" s="30">
        <v>0.10599667515822032</v>
      </c>
      <c r="B286"/>
      <c r="C286"/>
      <c r="D286"/>
      <c r="E286"/>
      <c r="F286" s="27" t="s">
        <v>7</v>
      </c>
      <c r="EE286" s="27" t="s">
        <v>8</v>
      </c>
      <c r="EF286" s="27" t="s">
        <v>7</v>
      </c>
    </row>
    <row r="287" spans="1:136" x14ac:dyDescent="0.25">
      <c r="A287" s="30">
        <v>0.10094921443640027</v>
      </c>
      <c r="B287"/>
      <c r="C287"/>
      <c r="D287"/>
      <c r="E287"/>
      <c r="F287" s="27" t="s">
        <v>7</v>
      </c>
      <c r="EE287" s="27" t="s">
        <v>8</v>
      </c>
      <c r="EF287" s="27" t="s">
        <v>7</v>
      </c>
    </row>
    <row r="288" spans="1:136" x14ac:dyDescent="0.25">
      <c r="A288" s="30">
        <v>9.6142108987047836E-2</v>
      </c>
      <c r="B288"/>
      <c r="C288"/>
      <c r="D288"/>
      <c r="E288"/>
      <c r="F288" s="27" t="s">
        <v>7</v>
      </c>
      <c r="EE288" s="27" t="s">
        <v>8</v>
      </c>
      <c r="EF288" s="27" t="s">
        <v>7</v>
      </c>
    </row>
    <row r="289" spans="1:200" x14ac:dyDescent="0.25">
      <c r="A289" s="30">
        <v>9.1563913320997906E-2</v>
      </c>
      <c r="B289"/>
      <c r="C289"/>
      <c r="D289"/>
      <c r="E289"/>
      <c r="F289" s="27" t="s">
        <v>7</v>
      </c>
      <c r="DS289" s="27" t="s">
        <v>8</v>
      </c>
      <c r="EE289" s="27" t="s">
        <v>8</v>
      </c>
      <c r="EF289" s="27" t="s">
        <v>7</v>
      </c>
    </row>
    <row r="290" spans="1:200" x14ac:dyDescent="0.25">
      <c r="A290" s="30">
        <v>8.7203726972378923E-2</v>
      </c>
      <c r="B290"/>
      <c r="C290"/>
      <c r="D290"/>
      <c r="E290"/>
      <c r="F290" s="27" t="s">
        <v>7</v>
      </c>
      <c r="DS290" s="27" t="s">
        <v>8</v>
      </c>
      <c r="DT290" s="27" t="s">
        <v>7</v>
      </c>
      <c r="DU290" s="27" t="s">
        <v>8</v>
      </c>
      <c r="EE290" s="27" t="s">
        <v>8</v>
      </c>
      <c r="EF290" s="27" t="s">
        <v>7</v>
      </c>
    </row>
    <row r="291" spans="1:200" x14ac:dyDescent="0.25">
      <c r="A291" s="30">
        <v>8.3051168545122747E-2</v>
      </c>
      <c r="B291"/>
      <c r="C291"/>
      <c r="D291"/>
      <c r="E291"/>
      <c r="F291" s="27" t="s">
        <v>7</v>
      </c>
      <c r="DS291" s="27" t="s">
        <v>8</v>
      </c>
      <c r="DT291" s="27" t="s">
        <v>7</v>
      </c>
      <c r="DU291" s="27" t="s">
        <v>8</v>
      </c>
      <c r="DV291" s="27" t="s">
        <v>7</v>
      </c>
      <c r="EE291" s="27" t="s">
        <v>8</v>
      </c>
      <c r="EF291" s="27" t="s">
        <v>7</v>
      </c>
    </row>
    <row r="292" spans="1:200" x14ac:dyDescent="0.25">
      <c r="A292" s="30">
        <v>7.9096350995354961E-2</v>
      </c>
      <c r="B292"/>
      <c r="C292"/>
      <c r="D292"/>
      <c r="E292"/>
      <c r="F292" s="27" t="s">
        <v>7</v>
      </c>
      <c r="DS292" s="27" t="s">
        <v>8</v>
      </c>
      <c r="DT292" s="27" t="s">
        <v>7</v>
      </c>
      <c r="DU292" s="27" t="s">
        <v>8</v>
      </c>
      <c r="DV292" s="27" t="s">
        <v>7</v>
      </c>
      <c r="EA292" s="27" t="s">
        <v>8</v>
      </c>
      <c r="EC292" s="27" t="s">
        <v>8</v>
      </c>
      <c r="EE292" s="27" t="s">
        <v>8</v>
      </c>
      <c r="EF292" s="27" t="s">
        <v>7</v>
      </c>
    </row>
    <row r="293" spans="1:200" x14ac:dyDescent="0.25">
      <c r="A293" s="30">
        <v>7.5329858090814217E-2</v>
      </c>
      <c r="B293"/>
      <c r="C293"/>
      <c r="D293"/>
      <c r="E293"/>
      <c r="F293" s="27" t="s">
        <v>7</v>
      </c>
      <c r="DS293" s="27" t="s">
        <v>8</v>
      </c>
      <c r="DT293" s="27" t="s">
        <v>7</v>
      </c>
      <c r="DU293" s="27" t="s">
        <v>8</v>
      </c>
      <c r="DV293" s="27" t="s">
        <v>7</v>
      </c>
      <c r="EA293" s="27" t="s">
        <v>8</v>
      </c>
      <c r="EB293" s="27" t="s">
        <v>7</v>
      </c>
      <c r="EC293" s="27" t="s">
        <v>8</v>
      </c>
      <c r="ED293" s="27" t="s">
        <v>7</v>
      </c>
      <c r="EE293" s="27" t="s">
        <v>8</v>
      </c>
      <c r="EF293" s="27" t="s">
        <v>7</v>
      </c>
    </row>
    <row r="294" spans="1:200" x14ac:dyDescent="0.25">
      <c r="A294" s="30">
        <v>7.1742721991251604E-2</v>
      </c>
      <c r="B294"/>
      <c r="C294"/>
      <c r="D294"/>
      <c r="E294"/>
      <c r="F294" s="27" t="s">
        <v>7</v>
      </c>
      <c r="DS294" s="27" t="s">
        <v>8</v>
      </c>
      <c r="DT294" s="27" t="s">
        <v>7</v>
      </c>
      <c r="DU294" s="27" t="s">
        <v>8</v>
      </c>
      <c r="DV294" s="27" t="s">
        <v>7</v>
      </c>
      <c r="EA294" s="27" t="s">
        <v>8</v>
      </c>
      <c r="EB294" s="27" t="s">
        <v>7</v>
      </c>
      <c r="EC294" s="27" t="s">
        <v>8</v>
      </c>
      <c r="ED294" s="27" t="s">
        <v>7</v>
      </c>
      <c r="EE294" s="27" t="s">
        <v>8</v>
      </c>
      <c r="EF294" s="27" t="s">
        <v>7</v>
      </c>
    </row>
    <row r="295" spans="1:200" x14ac:dyDescent="0.25">
      <c r="A295" s="30">
        <v>6.8326401896430078E-2</v>
      </c>
      <c r="B295"/>
      <c r="C295"/>
      <c r="D295"/>
      <c r="E295"/>
      <c r="F295" s="27" t="s">
        <v>7</v>
      </c>
      <c r="DS295" s="27" t="s">
        <v>8</v>
      </c>
      <c r="DT295" s="27" t="s">
        <v>7</v>
      </c>
      <c r="DU295" s="27" t="s">
        <v>8</v>
      </c>
      <c r="DV295" s="27" t="s">
        <v>7</v>
      </c>
      <c r="DW295" s="27" t="s">
        <v>8</v>
      </c>
      <c r="EA295" s="27" t="s">
        <v>8</v>
      </c>
      <c r="EB295" s="27" t="s">
        <v>7</v>
      </c>
      <c r="EC295" s="27" t="s">
        <v>8</v>
      </c>
      <c r="ED295" s="27" t="s">
        <v>7</v>
      </c>
      <c r="EF295" s="27" t="s">
        <v>7</v>
      </c>
    </row>
    <row r="296" spans="1:200" x14ac:dyDescent="0.25">
      <c r="A296" s="30">
        <v>6.5072763710885759E-2</v>
      </c>
      <c r="B296"/>
      <c r="C296"/>
      <c r="D296"/>
      <c r="E296"/>
      <c r="F296" s="27" t="s">
        <v>7</v>
      </c>
      <c r="DS296" s="27" t="s">
        <v>8</v>
      </c>
      <c r="DT296" s="27" t="s">
        <v>7</v>
      </c>
      <c r="DU296" s="27" t="s">
        <v>8</v>
      </c>
      <c r="DV296" s="27" t="s">
        <v>7</v>
      </c>
      <c r="DW296" s="27" t="s">
        <v>8</v>
      </c>
      <c r="DX296" s="27" t="s">
        <v>7</v>
      </c>
      <c r="EA296" s="27" t="s">
        <v>8</v>
      </c>
      <c r="EB296" s="27" t="s">
        <v>7</v>
      </c>
      <c r="EC296" s="27" t="s">
        <v>8</v>
      </c>
      <c r="EF296" s="27" t="s">
        <v>7</v>
      </c>
      <c r="GK296" s="27" t="s">
        <v>8</v>
      </c>
    </row>
    <row r="297" spans="1:200" x14ac:dyDescent="0.25">
      <c r="A297" s="30">
        <v>6.197406067703403E-2</v>
      </c>
      <c r="B297"/>
      <c r="C297"/>
      <c r="D297"/>
      <c r="E297"/>
      <c r="F297" s="27" t="s">
        <v>7</v>
      </c>
      <c r="DO297" s="27" t="s">
        <v>8</v>
      </c>
      <c r="DS297" s="27" t="s">
        <v>8</v>
      </c>
      <c r="DT297" s="27" t="s">
        <v>7</v>
      </c>
      <c r="DU297" s="27" t="s">
        <v>8</v>
      </c>
      <c r="DV297" s="27" t="s">
        <v>7</v>
      </c>
      <c r="DW297" s="27" t="s">
        <v>8</v>
      </c>
      <c r="DX297" s="27" t="s">
        <v>7</v>
      </c>
      <c r="EA297" s="27" t="s">
        <v>8</v>
      </c>
      <c r="EB297" s="27" t="s">
        <v>7</v>
      </c>
      <c r="EF297" s="27" t="s">
        <v>7</v>
      </c>
      <c r="GG297" s="27" t="s">
        <v>8</v>
      </c>
      <c r="GK297" s="27" t="s">
        <v>8</v>
      </c>
      <c r="GL297" s="27" t="s">
        <v>7</v>
      </c>
    </row>
    <row r="298" spans="1:200" x14ac:dyDescent="0.25">
      <c r="A298" s="30">
        <v>5.9022914930508576E-2</v>
      </c>
      <c r="B298"/>
      <c r="C298"/>
      <c r="D298"/>
      <c r="E298"/>
      <c r="F298" s="27" t="s">
        <v>7</v>
      </c>
      <c r="DO298" s="27" t="s">
        <v>8</v>
      </c>
      <c r="DP298" s="27" t="s">
        <v>7</v>
      </c>
      <c r="DQ298" s="27" t="s">
        <v>8</v>
      </c>
      <c r="DS298" s="27" t="s">
        <v>8</v>
      </c>
      <c r="DT298" s="27" t="s">
        <v>7</v>
      </c>
      <c r="DU298" s="27" t="s">
        <v>8</v>
      </c>
      <c r="DV298" s="27" t="s">
        <v>7</v>
      </c>
      <c r="DX298" s="27" t="s">
        <v>7</v>
      </c>
      <c r="EA298" s="27" t="s">
        <v>8</v>
      </c>
      <c r="EF298" s="27" t="s">
        <v>7</v>
      </c>
      <c r="GG298" s="27" t="s">
        <v>8</v>
      </c>
      <c r="GH298" s="27" t="s">
        <v>7</v>
      </c>
      <c r="GK298" s="27" t="s">
        <v>8</v>
      </c>
      <c r="GL298" s="27" t="s">
        <v>7</v>
      </c>
    </row>
    <row r="299" spans="1:200" x14ac:dyDescent="0.25">
      <c r="A299" s="30">
        <v>5.6212299933817669E-2</v>
      </c>
      <c r="B299"/>
      <c r="C299"/>
      <c r="D299"/>
      <c r="E299"/>
      <c r="F299" s="27" t="s">
        <v>7</v>
      </c>
      <c r="DO299" s="27" t="s">
        <v>8</v>
      </c>
      <c r="DP299" s="27" t="s">
        <v>7</v>
      </c>
      <c r="DQ299" s="27" t="s">
        <v>8</v>
      </c>
      <c r="DR299" s="27" t="s">
        <v>7</v>
      </c>
      <c r="DS299" s="27" t="s">
        <v>8</v>
      </c>
      <c r="DT299" s="27" t="s">
        <v>7</v>
      </c>
      <c r="DX299" s="27" t="s">
        <v>7</v>
      </c>
      <c r="EA299" s="27" t="s">
        <v>8</v>
      </c>
      <c r="EF299" s="27" t="s">
        <v>7</v>
      </c>
      <c r="GG299" s="27" t="s">
        <v>8</v>
      </c>
      <c r="GH299" s="27" t="s">
        <v>7</v>
      </c>
      <c r="GK299" s="27" t="s">
        <v>8</v>
      </c>
      <c r="GL299" s="27" t="s">
        <v>7</v>
      </c>
    </row>
    <row r="300" spans="1:200" x14ac:dyDescent="0.25">
      <c r="A300" s="30">
        <v>5.3535523746492994E-2</v>
      </c>
      <c r="B300"/>
      <c r="C300"/>
      <c r="D300"/>
      <c r="E300"/>
      <c r="F300" s="27" t="s">
        <v>7</v>
      </c>
      <c r="DM300" s="27" t="s">
        <v>8</v>
      </c>
      <c r="DO300" s="27" t="s">
        <v>8</v>
      </c>
      <c r="DP300" s="27" t="s">
        <v>7</v>
      </c>
      <c r="DQ300" s="27" t="s">
        <v>8</v>
      </c>
      <c r="DR300" s="27" t="s">
        <v>7</v>
      </c>
      <c r="DS300" s="27" t="s">
        <v>8</v>
      </c>
      <c r="DX300" s="27" t="s">
        <v>7</v>
      </c>
      <c r="EA300" s="27" t="s">
        <v>8</v>
      </c>
      <c r="EF300" s="27" t="s">
        <v>7</v>
      </c>
      <c r="GG300" s="27" t="s">
        <v>8</v>
      </c>
      <c r="GH300" s="27" t="s">
        <v>7</v>
      </c>
      <c r="GK300" s="27" t="s">
        <v>8</v>
      </c>
      <c r="GL300" s="27" t="s">
        <v>7</v>
      </c>
    </row>
    <row r="301" spans="1:200" x14ac:dyDescent="0.25">
      <c r="A301" s="30">
        <v>5.0986213091898068E-2</v>
      </c>
      <c r="B301"/>
      <c r="C301"/>
      <c r="D301"/>
      <c r="E301"/>
      <c r="F301" s="27" t="s">
        <v>7</v>
      </c>
      <c r="DM301" s="27" t="s">
        <v>8</v>
      </c>
      <c r="DN301" s="27" t="s">
        <v>7</v>
      </c>
      <c r="DO301" s="27" t="s">
        <v>8</v>
      </c>
      <c r="DP301" s="27" t="s">
        <v>7</v>
      </c>
      <c r="DQ301" s="27" t="s">
        <v>8</v>
      </c>
      <c r="DR301" s="27" t="s">
        <v>7</v>
      </c>
      <c r="DS301" s="27" t="s">
        <v>8</v>
      </c>
      <c r="DX301" s="27" t="s">
        <v>7</v>
      </c>
      <c r="EA301" s="27" t="s">
        <v>8</v>
      </c>
      <c r="EF301" s="27" t="s">
        <v>7</v>
      </c>
      <c r="FM301" s="27" t="s">
        <v>8</v>
      </c>
      <c r="GG301" s="27" t="s">
        <v>8</v>
      </c>
      <c r="GH301" s="27" t="s">
        <v>7</v>
      </c>
      <c r="GK301" s="27" t="s">
        <v>8</v>
      </c>
      <c r="GL301" s="27" t="s">
        <v>7</v>
      </c>
    </row>
    <row r="302" spans="1:200" x14ac:dyDescent="0.25">
      <c r="A302" s="30">
        <v>4.8558298182760043E-2</v>
      </c>
      <c r="B302"/>
      <c r="C302"/>
      <c r="D302"/>
      <c r="E302"/>
      <c r="F302" s="27" t="s">
        <v>7</v>
      </c>
      <c r="DM302" s="27" t="s">
        <v>8</v>
      </c>
      <c r="DN302" s="27" t="s">
        <v>7</v>
      </c>
      <c r="DO302" s="27" t="s">
        <v>8</v>
      </c>
      <c r="DP302" s="27" t="s">
        <v>7</v>
      </c>
      <c r="DR302" s="27" t="s">
        <v>7</v>
      </c>
      <c r="DS302" s="27" t="s">
        <v>8</v>
      </c>
      <c r="DX302" s="27" t="s">
        <v>7</v>
      </c>
      <c r="EA302" s="27" t="s">
        <v>8</v>
      </c>
      <c r="EF302" s="27" t="s">
        <v>7</v>
      </c>
      <c r="FM302" s="27" t="s">
        <v>8</v>
      </c>
      <c r="FN302" s="27" t="s">
        <v>7</v>
      </c>
      <c r="GG302" s="27" t="s">
        <v>8</v>
      </c>
      <c r="GH302" s="27" t="s">
        <v>7</v>
      </c>
      <c r="GK302" s="27" t="s">
        <v>8</v>
      </c>
      <c r="GL302" s="27" t="s">
        <v>7</v>
      </c>
      <c r="GQ302" s="27" t="s">
        <v>8</v>
      </c>
    </row>
    <row r="303" spans="1:200" x14ac:dyDescent="0.25">
      <c r="A303" s="30">
        <v>4.6245998269295263E-2</v>
      </c>
      <c r="B303"/>
      <c r="C303"/>
      <c r="D303"/>
      <c r="E303"/>
      <c r="F303" s="27" t="s">
        <v>7</v>
      </c>
      <c r="DM303" s="27" t="s">
        <v>8</v>
      </c>
      <c r="DN303" s="27" t="s">
        <v>7</v>
      </c>
      <c r="DO303" s="27" t="s">
        <v>8</v>
      </c>
      <c r="DR303" s="27" t="s">
        <v>7</v>
      </c>
      <c r="DX303" s="27" t="s">
        <v>7</v>
      </c>
      <c r="EA303" s="27" t="s">
        <v>8</v>
      </c>
      <c r="EF303" s="27" t="s">
        <v>7</v>
      </c>
      <c r="FM303" s="27" t="s">
        <v>8</v>
      </c>
      <c r="FN303" s="27" t="s">
        <v>7</v>
      </c>
      <c r="GG303" s="27" t="s">
        <v>8</v>
      </c>
      <c r="GH303" s="27" t="s">
        <v>7</v>
      </c>
      <c r="GI303" s="27" t="s">
        <v>8</v>
      </c>
      <c r="GK303" s="27" t="s">
        <v>8</v>
      </c>
      <c r="GL303" s="27" t="s">
        <v>7</v>
      </c>
      <c r="GQ303" s="27" t="s">
        <v>8</v>
      </c>
      <c r="GR303" s="27" t="s">
        <v>7</v>
      </c>
    </row>
    <row r="304" spans="1:200" x14ac:dyDescent="0.25">
      <c r="A304" s="30">
        <v>4.4043807875519279E-2</v>
      </c>
      <c r="B304"/>
      <c r="C304"/>
      <c r="D304"/>
      <c r="E304"/>
      <c r="F304" s="27" t="s">
        <v>7</v>
      </c>
      <c r="DM304" s="27" t="s">
        <v>8</v>
      </c>
      <c r="DN304" s="27" t="s">
        <v>7</v>
      </c>
      <c r="DO304" s="27" t="s">
        <v>8</v>
      </c>
      <c r="DX304" s="27" t="s">
        <v>7</v>
      </c>
      <c r="EA304" s="27" t="s">
        <v>8</v>
      </c>
      <c r="EF304" s="27" t="s">
        <v>7</v>
      </c>
      <c r="FM304" s="27" t="s">
        <v>8</v>
      </c>
      <c r="FN304" s="27" t="s">
        <v>7</v>
      </c>
      <c r="GC304" s="27" t="s">
        <v>8</v>
      </c>
      <c r="GG304" s="27" t="s">
        <v>8</v>
      </c>
      <c r="GH304" s="27" t="s">
        <v>7</v>
      </c>
      <c r="GI304" s="27" t="s">
        <v>8</v>
      </c>
      <c r="GJ304" s="27" t="s">
        <v>7</v>
      </c>
      <c r="GK304" s="27" t="s">
        <v>8</v>
      </c>
      <c r="GL304" s="27" t="s">
        <v>7</v>
      </c>
      <c r="GQ304" s="27" t="s">
        <v>8</v>
      </c>
      <c r="GR304" s="27" t="s">
        <v>7</v>
      </c>
    </row>
    <row r="305" spans="1:203" x14ac:dyDescent="0.25">
      <c r="A305" s="30">
        <v>4.1946483690970725E-2</v>
      </c>
      <c r="B305"/>
      <c r="C305"/>
      <c r="D305"/>
      <c r="E305"/>
      <c r="F305" s="27" t="s">
        <v>7</v>
      </c>
      <c r="DM305" s="27" t="s">
        <v>8</v>
      </c>
      <c r="DN305" s="27" t="s">
        <v>7</v>
      </c>
      <c r="DX305" s="27" t="s">
        <v>7</v>
      </c>
      <c r="EA305" s="27" t="s">
        <v>8</v>
      </c>
      <c r="EF305" s="27" t="s">
        <v>7</v>
      </c>
      <c r="EU305" s="27" t="s">
        <v>8</v>
      </c>
      <c r="FM305" s="27" t="s">
        <v>8</v>
      </c>
      <c r="FN305" s="27" t="s">
        <v>7</v>
      </c>
      <c r="GC305" s="27" t="s">
        <v>8</v>
      </c>
      <c r="GD305" s="27" t="s">
        <v>7</v>
      </c>
      <c r="GG305" s="27" t="s">
        <v>8</v>
      </c>
      <c r="GH305" s="27" t="s">
        <v>7</v>
      </c>
      <c r="GI305" s="27" t="s">
        <v>8</v>
      </c>
      <c r="GJ305" s="27" t="s">
        <v>7</v>
      </c>
      <c r="GK305" s="27" t="s">
        <v>8</v>
      </c>
      <c r="GL305" s="27" t="s">
        <v>7</v>
      </c>
      <c r="GO305" s="27" t="s">
        <v>8</v>
      </c>
      <c r="GQ305" s="27" t="s">
        <v>8</v>
      </c>
      <c r="GR305" s="27" t="s">
        <v>7</v>
      </c>
    </row>
    <row r="306" spans="1:203" x14ac:dyDescent="0.25">
      <c r="A306" s="30">
        <v>3.9949032086638768E-2</v>
      </c>
      <c r="B306"/>
      <c r="C306"/>
      <c r="D306"/>
      <c r="E306"/>
      <c r="F306" s="27" t="s">
        <v>7</v>
      </c>
      <c r="AW306" s="27" t="s">
        <v>8</v>
      </c>
      <c r="DM306" s="27" t="s">
        <v>8</v>
      </c>
      <c r="DX306" s="27" t="s">
        <v>7</v>
      </c>
      <c r="EA306" s="27" t="s">
        <v>8</v>
      </c>
      <c r="EF306" s="27" t="s">
        <v>7</v>
      </c>
      <c r="EU306" s="27" t="s">
        <v>8</v>
      </c>
      <c r="EV306" s="27" t="s">
        <v>7</v>
      </c>
      <c r="FM306" s="27" t="s">
        <v>8</v>
      </c>
      <c r="FN306" s="27" t="s">
        <v>7</v>
      </c>
      <c r="FO306" s="27" t="s">
        <v>8</v>
      </c>
      <c r="GC306" s="27" t="s">
        <v>8</v>
      </c>
      <c r="GD306" s="27" t="s">
        <v>7</v>
      </c>
      <c r="GE306" s="27" t="s">
        <v>8</v>
      </c>
      <c r="GG306" s="27" t="s">
        <v>8</v>
      </c>
      <c r="GH306" s="27" t="s">
        <v>7</v>
      </c>
      <c r="GI306" s="27" t="s">
        <v>8</v>
      </c>
      <c r="GJ306" s="27" t="s">
        <v>7</v>
      </c>
      <c r="GK306" s="27" t="s">
        <v>8</v>
      </c>
      <c r="GL306" s="27" t="s">
        <v>7</v>
      </c>
      <c r="GM306" s="27" t="s">
        <v>8</v>
      </c>
      <c r="GO306" s="27" t="s">
        <v>8</v>
      </c>
      <c r="GP306" s="27" t="s">
        <v>7</v>
      </c>
      <c r="GQ306" s="27" t="s">
        <v>8</v>
      </c>
      <c r="GR306" s="27" t="s">
        <v>7</v>
      </c>
      <c r="GS306" s="27" t="s">
        <v>8</v>
      </c>
    </row>
    <row r="307" spans="1:203" x14ac:dyDescent="0.25">
      <c r="A307" s="30">
        <v>3.8046697225370241E-2</v>
      </c>
      <c r="B307"/>
      <c r="C307"/>
      <c r="D307"/>
      <c r="E307"/>
      <c r="F307" s="27" t="s">
        <v>7</v>
      </c>
      <c r="AW307" s="27" t="s">
        <v>8</v>
      </c>
      <c r="AX307" s="27" t="s">
        <v>7</v>
      </c>
      <c r="DM307" s="27" t="s">
        <v>8</v>
      </c>
      <c r="DX307" s="27" t="s">
        <v>7</v>
      </c>
      <c r="EA307" s="27" t="s">
        <v>8</v>
      </c>
      <c r="EF307" s="27" t="s">
        <v>7</v>
      </c>
      <c r="EG307" s="27" t="s">
        <v>8</v>
      </c>
      <c r="ES307" s="27" t="s">
        <v>8</v>
      </c>
      <c r="EU307" s="27" t="s">
        <v>8</v>
      </c>
      <c r="EV307" s="27" t="s">
        <v>7</v>
      </c>
      <c r="FM307" s="27" t="s">
        <v>8</v>
      </c>
      <c r="FN307" s="27" t="s">
        <v>7</v>
      </c>
      <c r="FO307" s="27" t="s">
        <v>8</v>
      </c>
      <c r="FP307" s="27" t="s">
        <v>7</v>
      </c>
      <c r="FQ307" s="27" t="s">
        <v>8</v>
      </c>
      <c r="GC307" s="27" t="s">
        <v>8</v>
      </c>
      <c r="GD307" s="27" t="s">
        <v>7</v>
      </c>
      <c r="GE307" s="27" t="s">
        <v>8</v>
      </c>
      <c r="GF307" s="27" t="s">
        <v>7</v>
      </c>
      <c r="GG307" s="27" t="s">
        <v>8</v>
      </c>
      <c r="GH307" s="27" t="s">
        <v>7</v>
      </c>
      <c r="GI307" s="27" t="s">
        <v>8</v>
      </c>
      <c r="GJ307" s="27" t="s">
        <v>7</v>
      </c>
      <c r="GK307" s="27" t="s">
        <v>8</v>
      </c>
      <c r="GL307" s="27" t="s">
        <v>7</v>
      </c>
      <c r="GM307" s="27" t="s">
        <v>8</v>
      </c>
      <c r="GN307" s="27" t="s">
        <v>7</v>
      </c>
      <c r="GO307" s="27" t="s">
        <v>8</v>
      </c>
      <c r="GP307" s="27" t="s">
        <v>7</v>
      </c>
      <c r="GQ307" s="27" t="s">
        <v>8</v>
      </c>
      <c r="GR307" s="27" t="s">
        <v>7</v>
      </c>
      <c r="GS307" s="27" t="s">
        <v>8</v>
      </c>
      <c r="GT307" s="27" t="s">
        <v>7</v>
      </c>
    </row>
    <row r="308" spans="1:203" x14ac:dyDescent="0.25">
      <c r="A308" s="30">
        <v>3.6234949738447833E-2</v>
      </c>
      <c r="B308"/>
      <c r="C308"/>
      <c r="D308"/>
      <c r="E308"/>
      <c r="F308" s="27" t="s">
        <v>7</v>
      </c>
      <c r="AW308" s="27" t="s">
        <v>8</v>
      </c>
      <c r="AX308" s="27" t="s">
        <v>7</v>
      </c>
      <c r="DI308" s="27" t="s">
        <v>8</v>
      </c>
      <c r="DK308" s="27" t="s">
        <v>8</v>
      </c>
      <c r="DM308" s="27" t="s">
        <v>8</v>
      </c>
      <c r="DX308" s="27" t="s">
        <v>7</v>
      </c>
      <c r="DY308" s="27" t="s">
        <v>8</v>
      </c>
      <c r="EA308" s="27" t="s">
        <v>8</v>
      </c>
      <c r="EF308" s="27" t="s">
        <v>7</v>
      </c>
      <c r="EG308" s="27" t="s">
        <v>8</v>
      </c>
      <c r="EH308" s="27" t="s">
        <v>7</v>
      </c>
      <c r="EK308" s="27" t="s">
        <v>8</v>
      </c>
      <c r="EM308" s="27" t="s">
        <v>8</v>
      </c>
      <c r="ES308" s="27" t="s">
        <v>8</v>
      </c>
      <c r="ET308" s="27" t="s">
        <v>7</v>
      </c>
      <c r="EU308" s="27" t="s">
        <v>8</v>
      </c>
      <c r="EV308" s="27" t="s">
        <v>7</v>
      </c>
      <c r="FM308" s="27" t="s">
        <v>8</v>
      </c>
      <c r="FN308" s="27" t="s">
        <v>7</v>
      </c>
      <c r="FO308" s="27" t="s">
        <v>8</v>
      </c>
      <c r="FP308" s="27" t="s">
        <v>7</v>
      </c>
      <c r="FQ308" s="27" t="s">
        <v>8</v>
      </c>
      <c r="FR308" s="27" t="s">
        <v>7</v>
      </c>
      <c r="FS308" s="27" t="s">
        <v>8</v>
      </c>
      <c r="GA308" s="27" t="s">
        <v>8</v>
      </c>
      <c r="GC308" s="27" t="s">
        <v>8</v>
      </c>
      <c r="GD308" s="27" t="s">
        <v>7</v>
      </c>
      <c r="GE308" s="27" t="s">
        <v>8</v>
      </c>
      <c r="GF308" s="27" t="s">
        <v>7</v>
      </c>
      <c r="GG308" s="27" t="s">
        <v>8</v>
      </c>
      <c r="GH308" s="27" t="s">
        <v>7</v>
      </c>
      <c r="GI308" s="27" t="s">
        <v>8</v>
      </c>
      <c r="GJ308" s="27" t="s">
        <v>7</v>
      </c>
      <c r="GK308" s="27" t="s">
        <v>8</v>
      </c>
      <c r="GL308" s="27" t="s">
        <v>7</v>
      </c>
      <c r="GM308" s="27" t="s">
        <v>8</v>
      </c>
      <c r="GN308" s="27" t="s">
        <v>7</v>
      </c>
      <c r="GO308" s="27" t="s">
        <v>8</v>
      </c>
      <c r="GP308" s="27" t="s">
        <v>7</v>
      </c>
      <c r="GQ308" s="27" t="s">
        <v>8</v>
      </c>
      <c r="GR308" s="27" t="s">
        <v>7</v>
      </c>
      <c r="GS308" s="27" t="s">
        <v>8</v>
      </c>
      <c r="GT308" s="27" t="s">
        <v>7</v>
      </c>
    </row>
    <row r="309" spans="1:203" x14ac:dyDescent="0.25">
      <c r="A309" s="30">
        <v>3.4509475941378875E-2</v>
      </c>
      <c r="B309"/>
      <c r="C309"/>
      <c r="D309"/>
      <c r="E309"/>
      <c r="F309" s="27" t="s">
        <v>7</v>
      </c>
      <c r="AW309" s="27" t="s">
        <v>8</v>
      </c>
      <c r="AX309" s="27" t="s">
        <v>7</v>
      </c>
      <c r="DG309" s="27" t="s">
        <v>8</v>
      </c>
      <c r="DI309" s="27" t="s">
        <v>8</v>
      </c>
      <c r="DJ309" s="27" t="s">
        <v>7</v>
      </c>
      <c r="DK309" s="27" t="s">
        <v>8</v>
      </c>
      <c r="DL309" s="27" t="s">
        <v>7</v>
      </c>
      <c r="DM309" s="27" t="s">
        <v>8</v>
      </c>
      <c r="DX309" s="27" t="s">
        <v>7</v>
      </c>
      <c r="DY309" s="27" t="s">
        <v>8</v>
      </c>
      <c r="DZ309" s="27" t="s">
        <v>7</v>
      </c>
      <c r="EA309" s="27" t="s">
        <v>8</v>
      </c>
      <c r="EF309" s="27" t="s">
        <v>7</v>
      </c>
      <c r="EG309" s="27" t="s">
        <v>8</v>
      </c>
      <c r="EH309" s="27" t="s">
        <v>7</v>
      </c>
      <c r="EK309" s="27" t="s">
        <v>8</v>
      </c>
      <c r="EL309" s="27" t="s">
        <v>7</v>
      </c>
      <c r="EM309" s="27" t="s">
        <v>8</v>
      </c>
      <c r="EN309" s="27" t="s">
        <v>7</v>
      </c>
      <c r="ES309" s="27" t="s">
        <v>8</v>
      </c>
      <c r="ET309" s="27" t="s">
        <v>7</v>
      </c>
      <c r="EU309" s="27" t="s">
        <v>8</v>
      </c>
      <c r="EV309" s="27" t="s">
        <v>7</v>
      </c>
      <c r="EW309" s="27" t="s">
        <v>8</v>
      </c>
      <c r="FK309" s="27" t="s">
        <v>8</v>
      </c>
      <c r="FM309" s="27" t="s">
        <v>8</v>
      </c>
      <c r="FN309" s="27" t="s">
        <v>7</v>
      </c>
      <c r="FO309" s="27" t="s">
        <v>8</v>
      </c>
      <c r="FP309" s="27" t="s">
        <v>7</v>
      </c>
      <c r="FQ309" s="27" t="s">
        <v>8</v>
      </c>
      <c r="FR309" s="27" t="s">
        <v>7</v>
      </c>
      <c r="FS309" s="27" t="s">
        <v>8</v>
      </c>
      <c r="FT309" s="27" t="s">
        <v>7</v>
      </c>
      <c r="FY309" s="27" t="s">
        <v>8</v>
      </c>
      <c r="GA309" s="27" t="s">
        <v>8</v>
      </c>
      <c r="GB309" s="27" t="s">
        <v>7</v>
      </c>
      <c r="GC309" s="27" t="s">
        <v>8</v>
      </c>
      <c r="GD309" s="27" t="s">
        <v>7</v>
      </c>
      <c r="GE309" s="27" t="s">
        <v>8</v>
      </c>
      <c r="GF309" s="27" t="s">
        <v>7</v>
      </c>
      <c r="GG309" s="27" t="s">
        <v>8</v>
      </c>
      <c r="GH309" s="27" t="s">
        <v>7</v>
      </c>
      <c r="GJ309" s="27" t="s">
        <v>7</v>
      </c>
      <c r="GK309" s="27" t="s">
        <v>8</v>
      </c>
      <c r="GL309" s="27" t="s">
        <v>7</v>
      </c>
      <c r="GM309" s="27" t="s">
        <v>8</v>
      </c>
      <c r="GN309" s="27" t="s">
        <v>7</v>
      </c>
      <c r="GO309" s="27" t="s">
        <v>8</v>
      </c>
      <c r="GP309" s="27" t="s">
        <v>7</v>
      </c>
      <c r="GQ309" s="27" t="s">
        <v>8</v>
      </c>
      <c r="GR309" s="27" t="s">
        <v>7</v>
      </c>
      <c r="GS309" s="27" t="s">
        <v>8</v>
      </c>
      <c r="GT309" s="27" t="s">
        <v>7</v>
      </c>
    </row>
    <row r="310" spans="1:203" x14ac:dyDescent="0.25">
      <c r="A310" s="30">
        <v>3.286616756321796E-2</v>
      </c>
      <c r="B310"/>
      <c r="C310"/>
      <c r="D310"/>
      <c r="E310"/>
      <c r="F310" s="27" t="s">
        <v>7</v>
      </c>
      <c r="AW310" s="27" t="s">
        <v>8</v>
      </c>
      <c r="AX310" s="27" t="s">
        <v>7</v>
      </c>
      <c r="DG310" s="27" t="s">
        <v>8</v>
      </c>
      <c r="DH310" s="27" t="s">
        <v>7</v>
      </c>
      <c r="DI310" s="27" t="s">
        <v>8</v>
      </c>
      <c r="DJ310" s="27" t="s">
        <v>7</v>
      </c>
      <c r="DK310" s="27" t="s">
        <v>8</v>
      </c>
      <c r="DL310" s="27" t="s">
        <v>7</v>
      </c>
      <c r="DM310" s="27" t="s">
        <v>8</v>
      </c>
      <c r="DX310" s="27" t="s">
        <v>7</v>
      </c>
      <c r="DY310" s="27" t="s">
        <v>8</v>
      </c>
      <c r="DZ310" s="27" t="s">
        <v>7</v>
      </c>
      <c r="EA310" s="27" t="s">
        <v>8</v>
      </c>
      <c r="EF310" s="27" t="s">
        <v>7</v>
      </c>
      <c r="EG310" s="27" t="s">
        <v>8</v>
      </c>
      <c r="EH310" s="27" t="s">
        <v>7</v>
      </c>
      <c r="EK310" s="27" t="s">
        <v>8</v>
      </c>
      <c r="EL310" s="27" t="s">
        <v>7</v>
      </c>
      <c r="EM310" s="27" t="s">
        <v>8</v>
      </c>
      <c r="EN310" s="27" t="s">
        <v>7</v>
      </c>
      <c r="EQ310" s="27" t="s">
        <v>8</v>
      </c>
      <c r="ES310" s="27" t="s">
        <v>8</v>
      </c>
      <c r="ET310" s="27" t="s">
        <v>7</v>
      </c>
      <c r="EU310" s="27" t="s">
        <v>8</v>
      </c>
      <c r="EV310" s="27" t="s">
        <v>7</v>
      </c>
      <c r="EW310" s="27" t="s">
        <v>8</v>
      </c>
      <c r="EX310" s="27" t="s">
        <v>7</v>
      </c>
      <c r="FI310" s="27" t="s">
        <v>8</v>
      </c>
      <c r="FK310" s="27" t="s">
        <v>8</v>
      </c>
      <c r="FL310" s="27" t="s">
        <v>7</v>
      </c>
      <c r="FM310" s="27" t="s">
        <v>8</v>
      </c>
      <c r="FN310" s="27" t="s">
        <v>7</v>
      </c>
      <c r="FO310" s="27" t="s">
        <v>8</v>
      </c>
      <c r="FP310" s="27" t="s">
        <v>7</v>
      </c>
      <c r="FR310" s="27" t="s">
        <v>7</v>
      </c>
      <c r="FS310" s="27" t="s">
        <v>8</v>
      </c>
      <c r="FT310" s="27" t="s">
        <v>7</v>
      </c>
      <c r="FW310" s="27" t="s">
        <v>8</v>
      </c>
      <c r="FY310" s="27" t="s">
        <v>8</v>
      </c>
      <c r="FZ310" s="27" t="s">
        <v>7</v>
      </c>
      <c r="GA310" s="27" t="s">
        <v>8</v>
      </c>
      <c r="GB310" s="27" t="s">
        <v>7</v>
      </c>
      <c r="GC310" s="27" t="s">
        <v>8</v>
      </c>
      <c r="GD310" s="27" t="s">
        <v>7</v>
      </c>
      <c r="GE310" s="27" t="s">
        <v>8</v>
      </c>
      <c r="GF310" s="27" t="s">
        <v>7</v>
      </c>
      <c r="GG310" s="27" t="s">
        <v>8</v>
      </c>
      <c r="GJ310" s="27" t="s">
        <v>7</v>
      </c>
      <c r="GL310" s="27" t="s">
        <v>7</v>
      </c>
      <c r="GM310" s="27" t="s">
        <v>8</v>
      </c>
      <c r="GN310" s="27" t="s">
        <v>7</v>
      </c>
      <c r="GP310" s="27" t="s">
        <v>7</v>
      </c>
      <c r="GQ310" s="27" t="s">
        <v>8</v>
      </c>
      <c r="GR310" s="27" t="s">
        <v>7</v>
      </c>
      <c r="GT310" s="27" t="s">
        <v>7</v>
      </c>
    </row>
    <row r="311" spans="1:203" x14ac:dyDescent="0.25">
      <c r="A311" s="30">
        <v>3.1301111964969472E-2</v>
      </c>
      <c r="B311"/>
      <c r="C311"/>
      <c r="D311"/>
      <c r="E311"/>
      <c r="F311" s="27" t="s">
        <v>7</v>
      </c>
      <c r="AW311" s="27" t="s">
        <v>8</v>
      </c>
      <c r="AX311" s="27" t="s">
        <v>7</v>
      </c>
      <c r="CY311" s="27" t="s">
        <v>8</v>
      </c>
      <c r="DG311" s="27" t="s">
        <v>8</v>
      </c>
      <c r="DH311" s="27" t="s">
        <v>7</v>
      </c>
      <c r="DI311" s="27" t="s">
        <v>8</v>
      </c>
      <c r="DJ311" s="27" t="s">
        <v>7</v>
      </c>
      <c r="DK311" s="27" t="s">
        <v>8</v>
      </c>
      <c r="DL311" s="27" t="s">
        <v>7</v>
      </c>
      <c r="DM311" s="27" t="s">
        <v>8</v>
      </c>
      <c r="DX311" s="27" t="s">
        <v>7</v>
      </c>
      <c r="DY311" s="27" t="s">
        <v>8</v>
      </c>
      <c r="DZ311" s="27" t="s">
        <v>7</v>
      </c>
      <c r="EF311" s="27" t="s">
        <v>7</v>
      </c>
      <c r="EG311" s="27" t="s">
        <v>8</v>
      </c>
      <c r="EH311" s="27" t="s">
        <v>7</v>
      </c>
      <c r="EK311" s="27" t="s">
        <v>8</v>
      </c>
      <c r="EL311" s="27" t="s">
        <v>7</v>
      </c>
      <c r="EM311" s="27" t="s">
        <v>8</v>
      </c>
      <c r="EN311" s="27" t="s">
        <v>7</v>
      </c>
      <c r="EO311" s="27" t="s">
        <v>8</v>
      </c>
      <c r="EQ311" s="27" t="s">
        <v>8</v>
      </c>
      <c r="ER311" s="27" t="s">
        <v>7</v>
      </c>
      <c r="ES311" s="27" t="s">
        <v>8</v>
      </c>
      <c r="ET311" s="27" t="s">
        <v>7</v>
      </c>
      <c r="EU311" s="27" t="s">
        <v>8</v>
      </c>
      <c r="EV311" s="27" t="s">
        <v>7</v>
      </c>
      <c r="EW311" s="27" t="s">
        <v>8</v>
      </c>
      <c r="EX311" s="27" t="s">
        <v>7</v>
      </c>
      <c r="FI311" s="27" t="s">
        <v>8</v>
      </c>
      <c r="FJ311" s="27" t="s">
        <v>7</v>
      </c>
      <c r="FK311" s="27" t="s">
        <v>8</v>
      </c>
      <c r="FL311" s="27" t="s">
        <v>7</v>
      </c>
      <c r="FM311" s="27" t="s">
        <v>8</v>
      </c>
      <c r="FN311" s="27" t="s">
        <v>7</v>
      </c>
      <c r="FO311" s="27" t="s">
        <v>8</v>
      </c>
      <c r="FR311" s="27" t="s">
        <v>7</v>
      </c>
      <c r="FT311" s="27" t="s">
        <v>7</v>
      </c>
      <c r="FW311" s="27" t="s">
        <v>8</v>
      </c>
      <c r="FX311" s="27" t="s">
        <v>7</v>
      </c>
      <c r="FY311" s="27" t="s">
        <v>8</v>
      </c>
      <c r="FZ311" s="27" t="s">
        <v>7</v>
      </c>
      <c r="GA311" s="27" t="s">
        <v>8</v>
      </c>
      <c r="GB311" s="27" t="s">
        <v>7</v>
      </c>
      <c r="GD311" s="27" t="s">
        <v>7</v>
      </c>
      <c r="GE311" s="27" t="s">
        <v>8</v>
      </c>
      <c r="GF311" s="27" t="s">
        <v>7</v>
      </c>
      <c r="GG311" s="27" t="s">
        <v>8</v>
      </c>
      <c r="GL311" s="27" t="s">
        <v>7</v>
      </c>
      <c r="GM311" s="27" t="s">
        <v>8</v>
      </c>
      <c r="GP311" s="27" t="s">
        <v>7</v>
      </c>
      <c r="GQ311" s="27" t="s">
        <v>8</v>
      </c>
      <c r="GT311" s="27" t="s">
        <v>7</v>
      </c>
    </row>
    <row r="312" spans="1:203" x14ac:dyDescent="0.25">
      <c r="A312" s="30">
        <v>2.9810582823780438E-2</v>
      </c>
      <c r="B312"/>
      <c r="C312"/>
      <c r="D312"/>
      <c r="E312"/>
      <c r="F312" s="27" t="s">
        <v>7</v>
      </c>
      <c r="AW312" s="27" t="s">
        <v>8</v>
      </c>
      <c r="AX312" s="27" t="s">
        <v>7</v>
      </c>
      <c r="CY312" s="27" t="s">
        <v>8</v>
      </c>
      <c r="CZ312" s="27" t="s">
        <v>7</v>
      </c>
      <c r="DA312" s="27" t="s">
        <v>8</v>
      </c>
      <c r="DG312" s="27" t="s">
        <v>8</v>
      </c>
      <c r="DH312" s="27" t="s">
        <v>7</v>
      </c>
      <c r="DI312" s="27" t="s">
        <v>8</v>
      </c>
      <c r="DJ312" s="27" t="s">
        <v>7</v>
      </c>
      <c r="DL312" s="27" t="s">
        <v>7</v>
      </c>
      <c r="DX312" s="27" t="s">
        <v>7</v>
      </c>
      <c r="EF312" s="27" t="s">
        <v>7</v>
      </c>
      <c r="EG312" s="27" t="s">
        <v>8</v>
      </c>
      <c r="EH312" s="27" t="s">
        <v>7</v>
      </c>
      <c r="EI312" s="27" t="s">
        <v>8</v>
      </c>
      <c r="EK312" s="27" t="s">
        <v>8</v>
      </c>
      <c r="EL312" s="27" t="s">
        <v>7</v>
      </c>
      <c r="EM312" s="27" t="s">
        <v>8</v>
      </c>
      <c r="EN312" s="27" t="s">
        <v>7</v>
      </c>
      <c r="EO312" s="27" t="s">
        <v>8</v>
      </c>
      <c r="EP312" s="27" t="s">
        <v>7</v>
      </c>
      <c r="EQ312" s="27" t="s">
        <v>8</v>
      </c>
      <c r="ER312" s="27" t="s">
        <v>7</v>
      </c>
      <c r="ES312" s="27" t="s">
        <v>8</v>
      </c>
      <c r="ET312" s="27" t="s">
        <v>7</v>
      </c>
      <c r="EU312" s="27" t="s">
        <v>8</v>
      </c>
      <c r="EV312" s="27" t="s">
        <v>7</v>
      </c>
      <c r="EX312" s="27" t="s">
        <v>7</v>
      </c>
      <c r="FI312" s="27" t="s">
        <v>8</v>
      </c>
      <c r="FJ312" s="27" t="s">
        <v>7</v>
      </c>
      <c r="FK312" s="27" t="s">
        <v>8</v>
      </c>
      <c r="FL312" s="27" t="s">
        <v>7</v>
      </c>
      <c r="FN312" s="27" t="s">
        <v>7</v>
      </c>
      <c r="FT312" s="27" t="s">
        <v>7</v>
      </c>
      <c r="FU312" s="27" t="s">
        <v>8</v>
      </c>
      <c r="FW312" s="27" t="s">
        <v>8</v>
      </c>
      <c r="FX312" s="27" t="s">
        <v>7</v>
      </c>
      <c r="FY312" s="27" t="s">
        <v>8</v>
      </c>
      <c r="FZ312" s="27" t="s">
        <v>7</v>
      </c>
      <c r="GA312" s="27" t="s">
        <v>8</v>
      </c>
      <c r="GD312" s="27" t="s">
        <v>7</v>
      </c>
      <c r="GF312" s="27" t="s">
        <v>7</v>
      </c>
      <c r="GL312" s="27" t="s">
        <v>7</v>
      </c>
      <c r="GM312" s="27" t="s">
        <v>8</v>
      </c>
      <c r="GP312" s="27" t="s">
        <v>7</v>
      </c>
      <c r="GQ312" s="27" t="s">
        <v>8</v>
      </c>
      <c r="GT312" s="27" t="s">
        <v>7</v>
      </c>
    </row>
    <row r="313" spans="1:203" x14ac:dyDescent="0.25">
      <c r="A313" s="30">
        <v>2.8391031260743264E-2</v>
      </c>
      <c r="B313"/>
      <c r="C313"/>
      <c r="D313"/>
      <c r="E313"/>
      <c r="F313" s="27" t="s">
        <v>7</v>
      </c>
      <c r="AW313" s="27" t="s">
        <v>8</v>
      </c>
      <c r="AX313" s="27" t="s">
        <v>7</v>
      </c>
      <c r="CY313" s="27" t="s">
        <v>8</v>
      </c>
      <c r="CZ313" s="27" t="s">
        <v>7</v>
      </c>
      <c r="DA313" s="27" t="s">
        <v>8</v>
      </c>
      <c r="DB313" s="27" t="s">
        <v>7</v>
      </c>
      <c r="DG313" s="27" t="s">
        <v>8</v>
      </c>
      <c r="DH313" s="27" t="s">
        <v>7</v>
      </c>
      <c r="DI313" s="27" t="s">
        <v>8</v>
      </c>
      <c r="EF313" s="27" t="s">
        <v>7</v>
      </c>
      <c r="EG313" s="27" t="s">
        <v>8</v>
      </c>
      <c r="EH313" s="27" t="s">
        <v>7</v>
      </c>
      <c r="EI313" s="27" t="s">
        <v>8</v>
      </c>
      <c r="EJ313" s="27" t="s">
        <v>7</v>
      </c>
      <c r="EK313" s="27" t="s">
        <v>8</v>
      </c>
      <c r="EL313" s="27" t="s">
        <v>7</v>
      </c>
      <c r="EM313" s="27" t="s">
        <v>8</v>
      </c>
      <c r="EN313" s="27" t="s">
        <v>7</v>
      </c>
      <c r="EO313" s="27" t="s">
        <v>8</v>
      </c>
      <c r="EP313" s="27" t="s">
        <v>7</v>
      </c>
      <c r="EQ313" s="27" t="s">
        <v>8</v>
      </c>
      <c r="ER313" s="27" t="s">
        <v>7</v>
      </c>
      <c r="ET313" s="27" t="s">
        <v>7</v>
      </c>
      <c r="EU313" s="27" t="s">
        <v>8</v>
      </c>
      <c r="EX313" s="27" t="s">
        <v>7</v>
      </c>
      <c r="FG313" s="27" t="s">
        <v>8</v>
      </c>
      <c r="FI313" s="27" t="s">
        <v>8</v>
      </c>
      <c r="FJ313" s="27" t="s">
        <v>7</v>
      </c>
      <c r="FK313" s="27" t="s">
        <v>8</v>
      </c>
      <c r="FT313" s="27" t="s">
        <v>7</v>
      </c>
      <c r="FU313" s="27" t="s">
        <v>8</v>
      </c>
      <c r="FV313" s="27" t="s">
        <v>7</v>
      </c>
      <c r="FW313" s="27" t="s">
        <v>8</v>
      </c>
      <c r="FX313" s="27" t="s">
        <v>7</v>
      </c>
      <c r="FZ313" s="27" t="s">
        <v>7</v>
      </c>
      <c r="GL313" s="27" t="s">
        <v>7</v>
      </c>
      <c r="GP313" s="27" t="s">
        <v>7</v>
      </c>
      <c r="GT313" s="27" t="s">
        <v>7</v>
      </c>
    </row>
    <row r="314" spans="1:203" x14ac:dyDescent="0.25">
      <c r="A314" s="30">
        <v>2.7039077391184052E-2</v>
      </c>
      <c r="B314"/>
      <c r="C314"/>
      <c r="D314"/>
      <c r="E314"/>
      <c r="F314" s="27" t="s">
        <v>7</v>
      </c>
      <c r="AW314" s="27" t="s">
        <v>8</v>
      </c>
      <c r="AX314" s="27" t="s">
        <v>7</v>
      </c>
      <c r="CY314" s="27" t="s">
        <v>8</v>
      </c>
      <c r="CZ314" s="27" t="s">
        <v>7</v>
      </c>
      <c r="DA314" s="27" t="s">
        <v>8</v>
      </c>
      <c r="DB314" s="27" t="s">
        <v>7</v>
      </c>
      <c r="DG314" s="27" t="s">
        <v>8</v>
      </c>
      <c r="DH314" s="27" t="s">
        <v>7</v>
      </c>
      <c r="DI314" s="27" t="s">
        <v>8</v>
      </c>
      <c r="EF314" s="27" t="s">
        <v>7</v>
      </c>
      <c r="EG314" s="27" t="s">
        <v>8</v>
      </c>
      <c r="EH314" s="27" t="s">
        <v>7</v>
      </c>
      <c r="EI314" s="27" t="s">
        <v>8</v>
      </c>
      <c r="EJ314" s="27" t="s">
        <v>7</v>
      </c>
      <c r="EK314" s="27" t="s">
        <v>8</v>
      </c>
      <c r="EL314" s="27" t="s">
        <v>7</v>
      </c>
      <c r="EN314" s="27" t="s">
        <v>7</v>
      </c>
      <c r="EO314" s="27" t="s">
        <v>8</v>
      </c>
      <c r="EP314" s="27" t="s">
        <v>7</v>
      </c>
      <c r="ET314" s="27" t="s">
        <v>7</v>
      </c>
      <c r="EU314" s="27" t="s">
        <v>8</v>
      </c>
      <c r="EX314" s="27" t="s">
        <v>7</v>
      </c>
      <c r="FG314" s="27" t="s">
        <v>8</v>
      </c>
      <c r="FH314" s="27" t="s">
        <v>7</v>
      </c>
      <c r="FI314" s="27" t="s">
        <v>8</v>
      </c>
      <c r="FJ314" s="27" t="s">
        <v>7</v>
      </c>
      <c r="FT314" s="27" t="s">
        <v>7</v>
      </c>
      <c r="FU314" s="27" t="s">
        <v>8</v>
      </c>
      <c r="FV314" s="27" t="s">
        <v>7</v>
      </c>
      <c r="FW314" s="27" t="s">
        <v>8</v>
      </c>
      <c r="GT314" s="27" t="s">
        <v>7</v>
      </c>
    </row>
    <row r="315" spans="1:203" x14ac:dyDescent="0.25">
      <c r="A315" s="30">
        <v>2.5751502277318133E-2</v>
      </c>
      <c r="B315"/>
      <c r="C315"/>
      <c r="D315"/>
      <c r="E315"/>
      <c r="F315" s="27" t="s">
        <v>7</v>
      </c>
      <c r="AW315" s="27" t="s">
        <v>8</v>
      </c>
      <c r="AX315" s="27" t="s">
        <v>7</v>
      </c>
      <c r="CY315" s="27" t="s">
        <v>8</v>
      </c>
      <c r="CZ315" s="27" t="s">
        <v>7</v>
      </c>
      <c r="DA315" s="27" t="s">
        <v>8</v>
      </c>
      <c r="DB315" s="27" t="s">
        <v>7</v>
      </c>
      <c r="DG315" s="27" t="s">
        <v>8</v>
      </c>
      <c r="DH315" s="27" t="s">
        <v>7</v>
      </c>
      <c r="DI315" s="27" t="s">
        <v>8</v>
      </c>
      <c r="EF315" s="27" t="s">
        <v>7</v>
      </c>
      <c r="EG315" s="27" t="s">
        <v>8</v>
      </c>
      <c r="EH315" s="27" t="s">
        <v>7</v>
      </c>
      <c r="EJ315" s="27" t="s">
        <v>7</v>
      </c>
      <c r="EK315" s="27" t="s">
        <v>8</v>
      </c>
      <c r="EN315" s="27" t="s">
        <v>7</v>
      </c>
      <c r="ET315" s="27" t="s">
        <v>7</v>
      </c>
      <c r="EU315" s="27" t="s">
        <v>8</v>
      </c>
      <c r="EX315" s="27" t="s">
        <v>7</v>
      </c>
      <c r="EY315" s="27" t="s">
        <v>8</v>
      </c>
      <c r="FC315" s="27" t="s">
        <v>8</v>
      </c>
      <c r="FG315" s="27" t="s">
        <v>8</v>
      </c>
      <c r="FH315" s="27" t="s">
        <v>7</v>
      </c>
      <c r="FI315" s="27" t="s">
        <v>8</v>
      </c>
      <c r="FT315" s="27" t="s">
        <v>7</v>
      </c>
      <c r="FU315" s="27" t="s">
        <v>8</v>
      </c>
      <c r="FV315" s="27" t="s">
        <v>7</v>
      </c>
      <c r="FW315" s="27" t="s">
        <v>8</v>
      </c>
      <c r="GT315" s="27" t="s">
        <v>7</v>
      </c>
    </row>
    <row r="316" spans="1:203" x14ac:dyDescent="0.25">
      <c r="A316" s="30">
        <v>2.4525240264112496E-2</v>
      </c>
      <c r="B316"/>
      <c r="C316"/>
      <c r="D316"/>
      <c r="E316"/>
      <c r="F316" s="27" t="s">
        <v>7</v>
      </c>
      <c r="AW316" s="27" t="s">
        <v>8</v>
      </c>
      <c r="AX316" s="27" t="s">
        <v>7</v>
      </c>
      <c r="CY316" s="27" t="s">
        <v>8</v>
      </c>
      <c r="CZ316" s="27" t="s">
        <v>7</v>
      </c>
      <c r="DA316" s="27" t="s">
        <v>8</v>
      </c>
      <c r="DB316" s="27" t="s">
        <v>7</v>
      </c>
      <c r="DG316" s="27" t="s">
        <v>8</v>
      </c>
      <c r="DH316" s="27" t="s">
        <v>7</v>
      </c>
      <c r="DI316" s="27" t="s">
        <v>8</v>
      </c>
      <c r="EF316" s="27" t="s">
        <v>7</v>
      </c>
      <c r="EJ316" s="27" t="s">
        <v>7</v>
      </c>
      <c r="EK316" s="27" t="s">
        <v>8</v>
      </c>
      <c r="ET316" s="27" t="s">
        <v>7</v>
      </c>
      <c r="EX316" s="27" t="s">
        <v>7</v>
      </c>
      <c r="EY316" s="27" t="s">
        <v>8</v>
      </c>
      <c r="EZ316" s="27" t="s">
        <v>7</v>
      </c>
      <c r="FA316" s="27" t="s">
        <v>8</v>
      </c>
      <c r="FC316" s="27" t="s">
        <v>8</v>
      </c>
      <c r="FD316" s="27" t="s">
        <v>7</v>
      </c>
      <c r="FE316" s="27" t="s">
        <v>8</v>
      </c>
      <c r="FG316" s="27" t="s">
        <v>8</v>
      </c>
      <c r="FH316" s="27" t="s">
        <v>7</v>
      </c>
      <c r="FT316" s="27" t="s">
        <v>7</v>
      </c>
      <c r="FV316" s="27" t="s">
        <v>7</v>
      </c>
      <c r="GT316" s="27" t="s">
        <v>7</v>
      </c>
    </row>
    <row r="317" spans="1:203" x14ac:dyDescent="0.25">
      <c r="A317" s="30">
        <v>2.3357371680107129E-2</v>
      </c>
      <c r="B317"/>
      <c r="C317"/>
      <c r="D317"/>
      <c r="E317"/>
      <c r="F317" s="27" t="s">
        <v>7</v>
      </c>
      <c r="AW317" s="27" t="s">
        <v>8</v>
      </c>
      <c r="AX317" s="27" t="s">
        <v>7</v>
      </c>
      <c r="CU317" s="27" t="s">
        <v>8</v>
      </c>
      <c r="CW317" s="27" t="s">
        <v>8</v>
      </c>
      <c r="CY317" s="27" t="s">
        <v>8</v>
      </c>
      <c r="CZ317" s="27" t="s">
        <v>7</v>
      </c>
      <c r="DB317" s="27" t="s">
        <v>7</v>
      </c>
      <c r="DG317" s="27" t="s">
        <v>8</v>
      </c>
      <c r="DH317" s="27" t="s">
        <v>7</v>
      </c>
      <c r="EJ317" s="27" t="s">
        <v>7</v>
      </c>
      <c r="EK317" s="27" t="s">
        <v>8</v>
      </c>
      <c r="EX317" s="27" t="s">
        <v>7</v>
      </c>
      <c r="EY317" s="27" t="s">
        <v>8</v>
      </c>
      <c r="EZ317" s="27" t="s">
        <v>7</v>
      </c>
      <c r="FA317" s="27" t="s">
        <v>8</v>
      </c>
      <c r="FB317" s="27" t="s">
        <v>7</v>
      </c>
      <c r="FC317" s="27" t="s">
        <v>8</v>
      </c>
      <c r="FD317" s="27" t="s">
        <v>7</v>
      </c>
      <c r="FE317" s="27" t="s">
        <v>8</v>
      </c>
      <c r="FF317" s="27" t="s">
        <v>7</v>
      </c>
      <c r="FG317" s="27" t="s">
        <v>8</v>
      </c>
      <c r="GT317" s="27" t="s">
        <v>7</v>
      </c>
    </row>
    <row r="318" spans="1:203" x14ac:dyDescent="0.25">
      <c r="A318" s="30">
        <v>2.2245115885816305E-2</v>
      </c>
      <c r="B318"/>
      <c r="C318"/>
      <c r="D318"/>
      <c r="E318"/>
      <c r="F318" s="27" t="s">
        <v>7</v>
      </c>
      <c r="AW318" s="27" t="s">
        <v>8</v>
      </c>
      <c r="AX318" s="27" t="s">
        <v>7</v>
      </c>
      <c r="CU318" s="27" t="s">
        <v>8</v>
      </c>
      <c r="CV318" s="27" t="s">
        <v>7</v>
      </c>
      <c r="CW318" s="27" t="s">
        <v>8</v>
      </c>
      <c r="CX318" s="27" t="s">
        <v>7</v>
      </c>
      <c r="CY318" s="27" t="s">
        <v>8</v>
      </c>
      <c r="DB318" s="27" t="s">
        <v>7</v>
      </c>
      <c r="DC318" s="27" t="s">
        <v>8</v>
      </c>
      <c r="DG318" s="27" t="s">
        <v>8</v>
      </c>
      <c r="EJ318" s="27" t="s">
        <v>7</v>
      </c>
      <c r="EK318" s="27" t="s">
        <v>8</v>
      </c>
      <c r="EX318" s="27" t="s">
        <v>7</v>
      </c>
      <c r="EY318" s="27" t="s">
        <v>8</v>
      </c>
      <c r="EZ318" s="27" t="s">
        <v>7</v>
      </c>
      <c r="FA318" s="27" t="s">
        <v>8</v>
      </c>
      <c r="FB318" s="27" t="s">
        <v>7</v>
      </c>
      <c r="FC318" s="27" t="s">
        <v>8</v>
      </c>
      <c r="FD318" s="27" t="s">
        <v>7</v>
      </c>
      <c r="FE318" s="27" t="s">
        <v>8</v>
      </c>
      <c r="FF318" s="27" t="s">
        <v>7</v>
      </c>
      <c r="FG318" s="27" t="s">
        <v>8</v>
      </c>
      <c r="GT318" s="27" t="s">
        <v>7</v>
      </c>
    </row>
    <row r="319" spans="1:203" x14ac:dyDescent="0.25">
      <c r="A319" s="30">
        <v>2.1185824653158377E-2</v>
      </c>
      <c r="B319"/>
      <c r="C319"/>
      <c r="D319"/>
      <c r="E319"/>
      <c r="F319" s="27" t="s">
        <v>7</v>
      </c>
      <c r="AW319" s="27" t="s">
        <v>8</v>
      </c>
      <c r="AX319" s="27" t="s">
        <v>7</v>
      </c>
      <c r="CU319" s="27" t="s">
        <v>8</v>
      </c>
      <c r="CV319" s="27" t="s">
        <v>7</v>
      </c>
      <c r="CW319" s="27" t="s">
        <v>8</v>
      </c>
      <c r="CX319" s="27" t="s">
        <v>7</v>
      </c>
      <c r="CY319" s="27" t="s">
        <v>8</v>
      </c>
      <c r="DB319" s="27" t="s">
        <v>7</v>
      </c>
      <c r="DC319" s="27" t="s">
        <v>8</v>
      </c>
      <c r="DD319" s="27" t="s">
        <v>7</v>
      </c>
      <c r="DG319" s="27" t="s">
        <v>8</v>
      </c>
      <c r="EJ319" s="27" t="s">
        <v>7</v>
      </c>
      <c r="EK319" s="27" t="s">
        <v>8</v>
      </c>
      <c r="EX319" s="27" t="s">
        <v>7</v>
      </c>
      <c r="EY319" s="27" t="s">
        <v>8</v>
      </c>
      <c r="EZ319" s="27" t="s">
        <v>7</v>
      </c>
      <c r="FA319" s="27" t="s">
        <v>8</v>
      </c>
      <c r="FB319" s="27" t="s">
        <v>7</v>
      </c>
      <c r="FD319" s="27" t="s">
        <v>7</v>
      </c>
      <c r="FF319" s="27" t="s">
        <v>7</v>
      </c>
      <c r="FG319" s="27" t="s">
        <v>8</v>
      </c>
      <c r="GT319" s="27" t="s">
        <v>7</v>
      </c>
    </row>
    <row r="320" spans="1:203" x14ac:dyDescent="0.25">
      <c r="A320" s="30">
        <v>2.0176975860150829E-2</v>
      </c>
      <c r="B320"/>
      <c r="C320"/>
      <c r="D320"/>
      <c r="E320"/>
      <c r="F320" s="27" t="s">
        <v>7</v>
      </c>
      <c r="AW320" s="27" t="s">
        <v>8</v>
      </c>
      <c r="AX320" s="27" t="s">
        <v>7</v>
      </c>
      <c r="CU320" s="27" t="s">
        <v>8</v>
      </c>
      <c r="CV320" s="27" t="s">
        <v>7</v>
      </c>
      <c r="CX320" s="27" t="s">
        <v>7</v>
      </c>
      <c r="CY320" s="27" t="s">
        <v>8</v>
      </c>
      <c r="DB320" s="27" t="s">
        <v>7</v>
      </c>
      <c r="DC320" s="27" t="s">
        <v>8</v>
      </c>
      <c r="DD320" s="27" t="s">
        <v>7</v>
      </c>
      <c r="DE320" s="27" t="s">
        <v>8</v>
      </c>
      <c r="DG320" s="27" t="s">
        <v>8</v>
      </c>
      <c r="EJ320" s="27" t="s">
        <v>7</v>
      </c>
      <c r="EK320" s="27" t="s">
        <v>8</v>
      </c>
      <c r="EX320" s="27" t="s">
        <v>7</v>
      </c>
      <c r="EY320" s="27" t="s">
        <v>8</v>
      </c>
      <c r="EZ320" s="27" t="s">
        <v>7</v>
      </c>
      <c r="FA320" s="27" t="s">
        <v>8</v>
      </c>
      <c r="FF320" s="27" t="s">
        <v>7</v>
      </c>
      <c r="FG320" s="27" t="s">
        <v>8</v>
      </c>
      <c r="GT320" s="27" t="s">
        <v>7</v>
      </c>
      <c r="GU320" s="27" t="s">
        <v>8</v>
      </c>
    </row>
    <row r="321" spans="1:203" x14ac:dyDescent="0.25">
      <c r="A321" s="30">
        <v>1.9216167485857926E-2</v>
      </c>
      <c r="B321"/>
      <c r="C321"/>
      <c r="D321"/>
      <c r="E321"/>
      <c r="F321" s="27" t="s">
        <v>7</v>
      </c>
      <c r="AW321" s="27" t="s">
        <v>8</v>
      </c>
      <c r="AX321" s="27" t="s">
        <v>7</v>
      </c>
      <c r="CS321" s="27" t="s">
        <v>8</v>
      </c>
      <c r="CU321" s="27" t="s">
        <v>8</v>
      </c>
      <c r="CX321" s="27" t="s">
        <v>7</v>
      </c>
      <c r="DB321" s="27" t="s">
        <v>7</v>
      </c>
      <c r="DC321" s="27" t="s">
        <v>8</v>
      </c>
      <c r="DD321" s="27" t="s">
        <v>7</v>
      </c>
      <c r="DE321" s="27" t="s">
        <v>8</v>
      </c>
      <c r="DF321" s="27" t="s">
        <v>7</v>
      </c>
      <c r="DG321" s="27" t="s">
        <v>8</v>
      </c>
      <c r="EJ321" s="27" t="s">
        <v>7</v>
      </c>
      <c r="EK321" s="27" t="s">
        <v>8</v>
      </c>
      <c r="EX321" s="27" t="s">
        <v>7</v>
      </c>
      <c r="EY321" s="27" t="s">
        <v>8</v>
      </c>
      <c r="EZ321" s="27" t="s">
        <v>7</v>
      </c>
      <c r="FF321" s="27" t="s">
        <v>7</v>
      </c>
      <c r="FG321" s="27" t="s">
        <v>8</v>
      </c>
      <c r="GT321" s="27" t="s">
        <v>7</v>
      </c>
      <c r="GU321" s="27" t="s">
        <v>8</v>
      </c>
    </row>
    <row r="322" spans="1:203" x14ac:dyDescent="0.25">
      <c r="A322" s="30">
        <v>1.8301111891293256E-2</v>
      </c>
      <c r="B322"/>
      <c r="C322"/>
      <c r="D322"/>
      <c r="E322"/>
      <c r="F322" s="27" t="s">
        <v>7</v>
      </c>
      <c r="AW322" s="27" t="s">
        <v>8</v>
      </c>
      <c r="AX322" s="27" t="s">
        <v>7</v>
      </c>
      <c r="CS322" s="27" t="s">
        <v>8</v>
      </c>
      <c r="CT322" s="27" t="s">
        <v>7</v>
      </c>
      <c r="CU322" s="27" t="s">
        <v>8</v>
      </c>
      <c r="DB322" s="27" t="s">
        <v>7</v>
      </c>
      <c r="DC322" s="27" t="s">
        <v>8</v>
      </c>
      <c r="DD322" s="27" t="s">
        <v>7</v>
      </c>
      <c r="DE322" s="27" t="s">
        <v>8</v>
      </c>
      <c r="DF322" s="27" t="s">
        <v>7</v>
      </c>
      <c r="DG322" s="27" t="s">
        <v>8</v>
      </c>
      <c r="EJ322" s="27" t="s">
        <v>7</v>
      </c>
      <c r="EX322" s="27" t="s">
        <v>7</v>
      </c>
      <c r="EY322" s="27" t="s">
        <v>8</v>
      </c>
      <c r="FF322" s="18" t="s">
        <v>7</v>
      </c>
      <c r="FG322" s="27" t="s">
        <v>8</v>
      </c>
      <c r="GT322" s="27" t="s">
        <v>7</v>
      </c>
      <c r="GU322" s="27" t="s">
        <v>8</v>
      </c>
    </row>
    <row r="323" spans="1:203" x14ac:dyDescent="0.25">
      <c r="A323" s="30">
        <v>1.7429630372660238E-2</v>
      </c>
      <c r="B323"/>
      <c r="C323"/>
      <c r="D323"/>
      <c r="E323"/>
      <c r="F323" s="27" t="s">
        <v>7</v>
      </c>
      <c r="AW323" s="27" t="s">
        <v>8</v>
      </c>
      <c r="AX323" s="27" t="s">
        <v>7</v>
      </c>
      <c r="BC323" s="27" t="s">
        <v>8</v>
      </c>
      <c r="CS323" s="27" t="s">
        <v>8</v>
      </c>
      <c r="CT323" s="27" t="s">
        <v>7</v>
      </c>
      <c r="CU323" s="27" t="s">
        <v>8</v>
      </c>
      <c r="DB323" s="27" t="s">
        <v>7</v>
      </c>
      <c r="DC323" s="27" t="s">
        <v>8</v>
      </c>
      <c r="DD323" s="27" t="s">
        <v>7</v>
      </c>
      <c r="DF323" s="27" t="s">
        <v>7</v>
      </c>
      <c r="DG323" s="27" t="s">
        <v>8</v>
      </c>
      <c r="EX323" s="27" t="s">
        <v>7</v>
      </c>
      <c r="FF323" s="27" t="s">
        <v>7</v>
      </c>
      <c r="FG323" s="27" t="s">
        <v>8</v>
      </c>
      <c r="GT323" s="27" t="s">
        <v>7</v>
      </c>
      <c r="GU323" s="27" t="s">
        <v>8</v>
      </c>
    </row>
    <row r="324" spans="1:203" x14ac:dyDescent="0.25">
      <c r="A324" s="30">
        <v>1.6599647973962125E-2</v>
      </c>
      <c r="B324"/>
      <c r="C324"/>
      <c r="D324"/>
      <c r="E324"/>
      <c r="F324" s="27" t="s">
        <v>7</v>
      </c>
      <c r="AW324" s="27" t="s">
        <v>8</v>
      </c>
      <c r="AX324" s="27" t="s">
        <v>7</v>
      </c>
      <c r="BC324" s="27" t="s">
        <v>8</v>
      </c>
      <c r="BD324" s="27" t="s">
        <v>7</v>
      </c>
      <c r="CQ324" s="27" t="s">
        <v>8</v>
      </c>
      <c r="CS324" s="27" t="s">
        <v>8</v>
      </c>
      <c r="CT324" s="27" t="s">
        <v>7</v>
      </c>
      <c r="CU324" s="27" t="s">
        <v>8</v>
      </c>
      <c r="DB324" s="27" t="s">
        <v>7</v>
      </c>
      <c r="DC324" s="27" t="s">
        <v>8</v>
      </c>
      <c r="DF324" s="27" t="s">
        <v>7</v>
      </c>
      <c r="FF324" s="27" t="s">
        <v>7</v>
      </c>
      <c r="FG324" s="27" t="s">
        <v>8</v>
      </c>
      <c r="GT324" s="27" t="s">
        <v>7</v>
      </c>
    </row>
    <row r="325" spans="1:203" x14ac:dyDescent="0.25">
      <c r="A325" s="30">
        <v>1.580918854663059E-2</v>
      </c>
      <c r="B325"/>
      <c r="C325"/>
      <c r="D325"/>
      <c r="E325"/>
      <c r="F325" s="27" t="s">
        <v>7</v>
      </c>
      <c r="AW325" s="27" t="s">
        <v>8</v>
      </c>
      <c r="AX325" s="27" t="s">
        <v>7</v>
      </c>
      <c r="BC325" s="27" t="s">
        <v>8</v>
      </c>
      <c r="BD325" s="27" t="s">
        <v>7</v>
      </c>
      <c r="BY325" s="27" t="s">
        <v>8</v>
      </c>
      <c r="CQ325" s="27" t="s">
        <v>8</v>
      </c>
      <c r="CR325" s="27" t="s">
        <v>7</v>
      </c>
      <c r="CS325" s="27" t="s">
        <v>8</v>
      </c>
      <c r="CT325" s="27" t="s">
        <v>7</v>
      </c>
      <c r="CU325" s="27" t="s">
        <v>8</v>
      </c>
      <c r="DB325" s="27" t="s">
        <v>7</v>
      </c>
      <c r="FF325" s="27" t="s">
        <v>7</v>
      </c>
    </row>
    <row r="326" spans="1:203" x14ac:dyDescent="0.25">
      <c r="A326" s="30">
        <v>1.5056370044410079E-2</v>
      </c>
      <c r="B326"/>
      <c r="C326"/>
      <c r="D326"/>
      <c r="E326"/>
      <c r="F326" s="27" t="s">
        <v>7</v>
      </c>
      <c r="AW326" s="27" t="s">
        <v>8</v>
      </c>
      <c r="AX326" s="27" t="s">
        <v>7</v>
      </c>
      <c r="AY326" s="27" t="s">
        <v>8</v>
      </c>
      <c r="BA326" s="27" t="s">
        <v>8</v>
      </c>
      <c r="BC326" s="27" t="s">
        <v>8</v>
      </c>
      <c r="BD326" s="27" t="s">
        <v>7</v>
      </c>
      <c r="BY326" s="27" t="s">
        <v>8</v>
      </c>
      <c r="BZ326" s="27" t="s">
        <v>7</v>
      </c>
      <c r="CQ326" s="27" t="s">
        <v>8</v>
      </c>
      <c r="CR326" s="27" t="s">
        <v>7</v>
      </c>
      <c r="CS326" s="27" t="s">
        <v>8</v>
      </c>
      <c r="CT326" s="27" t="s">
        <v>7</v>
      </c>
    </row>
    <row r="327" spans="1:203" x14ac:dyDescent="0.25">
      <c r="A327" s="30">
        <v>1.4339400042295308E-2</v>
      </c>
      <c r="B327"/>
      <c r="C327"/>
      <c r="D327"/>
      <c r="E327"/>
      <c r="F327" s="27" t="s">
        <v>7</v>
      </c>
      <c r="I327" s="27" t="s">
        <v>8</v>
      </c>
      <c r="AW327" s="27" t="s">
        <v>8</v>
      </c>
      <c r="AX327" s="27" t="s">
        <v>7</v>
      </c>
      <c r="AY327" s="27" t="s">
        <v>8</v>
      </c>
      <c r="AZ327" s="27" t="s">
        <v>7</v>
      </c>
      <c r="BA327" s="27" t="s">
        <v>8</v>
      </c>
      <c r="BB327" s="27" t="s">
        <v>7</v>
      </c>
      <c r="BC327" s="27" t="s">
        <v>8</v>
      </c>
      <c r="BD327" s="27" t="s">
        <v>7</v>
      </c>
      <c r="BY327" s="27" t="s">
        <v>8</v>
      </c>
      <c r="BZ327" s="27" t="s">
        <v>7</v>
      </c>
      <c r="CQ327" s="27" t="s">
        <v>8</v>
      </c>
      <c r="CR327" s="27" t="s">
        <v>7</v>
      </c>
      <c r="CS327" s="27" t="s">
        <v>8</v>
      </c>
    </row>
    <row r="328" spans="1:203" x14ac:dyDescent="0.25">
      <c r="A328" s="30">
        <v>1.365657146885267E-2</v>
      </c>
      <c r="B328"/>
      <c r="C328"/>
      <c r="D328"/>
      <c r="E328"/>
      <c r="F328" s="27" t="s">
        <v>7</v>
      </c>
      <c r="I328" s="27" t="s">
        <v>8</v>
      </c>
      <c r="J328" s="27" t="s">
        <v>7</v>
      </c>
      <c r="AW328" s="27" t="s">
        <v>8</v>
      </c>
      <c r="AX328" s="27" t="s">
        <v>7</v>
      </c>
      <c r="AY328" s="27" t="s">
        <v>8</v>
      </c>
      <c r="AZ328" s="27" t="s">
        <v>7</v>
      </c>
      <c r="BA328" s="27" t="s">
        <v>8</v>
      </c>
      <c r="BB328" s="27" t="s">
        <v>7</v>
      </c>
      <c r="BC328" s="27" t="s">
        <v>8</v>
      </c>
      <c r="BD328" s="27" t="s">
        <v>7</v>
      </c>
      <c r="BY328" s="27" t="s">
        <v>8</v>
      </c>
      <c r="BZ328" s="27" t="s">
        <v>7</v>
      </c>
      <c r="CO328" s="27" t="s">
        <v>8</v>
      </c>
      <c r="CQ328" s="27" t="s">
        <v>8</v>
      </c>
      <c r="CR328" s="27" t="s">
        <v>7</v>
      </c>
      <c r="CS328" s="27" t="s">
        <v>8</v>
      </c>
    </row>
    <row r="329" spans="1:203" x14ac:dyDescent="0.25">
      <c r="A329" s="30">
        <v>1.3006258541764442E-2</v>
      </c>
      <c r="B329"/>
      <c r="C329"/>
      <c r="D329"/>
      <c r="E329"/>
      <c r="F329" s="27" t="s">
        <v>7</v>
      </c>
      <c r="I329" s="27" t="s">
        <v>8</v>
      </c>
      <c r="J329" s="27" t="s">
        <v>7</v>
      </c>
      <c r="AW329" s="27" t="s">
        <v>8</v>
      </c>
      <c r="AX329" s="27" t="s">
        <v>7</v>
      </c>
      <c r="AY329" s="27" t="s">
        <v>8</v>
      </c>
      <c r="AZ329" s="27" t="s">
        <v>7</v>
      </c>
      <c r="BA329" s="27" t="s">
        <v>8</v>
      </c>
      <c r="BB329" s="27" t="s">
        <v>7</v>
      </c>
      <c r="BD329" s="27" t="s">
        <v>7</v>
      </c>
      <c r="BE329" s="27" t="s">
        <v>8</v>
      </c>
      <c r="BY329" s="27" t="s">
        <v>8</v>
      </c>
      <c r="BZ329" s="27" t="s">
        <v>7</v>
      </c>
      <c r="CO329" s="27" t="s">
        <v>8</v>
      </c>
      <c r="CP329" s="27" t="s">
        <v>7</v>
      </c>
      <c r="CQ329" s="27" t="s">
        <v>8</v>
      </c>
      <c r="CR329" s="27" t="s">
        <v>7</v>
      </c>
    </row>
    <row r="330" spans="1:203" x14ac:dyDescent="0.25">
      <c r="A330" s="30">
        <v>1.2386912896918512E-2</v>
      </c>
      <c r="B330"/>
      <c r="C330"/>
      <c r="D330"/>
      <c r="E330"/>
      <c r="F330" s="27" t="s">
        <v>7</v>
      </c>
      <c r="G330" s="27" t="s">
        <v>8</v>
      </c>
      <c r="I330" s="27" t="s">
        <v>8</v>
      </c>
      <c r="J330" s="27" t="s">
        <v>7</v>
      </c>
      <c r="AU330" s="27" t="s">
        <v>8</v>
      </c>
      <c r="AW330" s="27" t="s">
        <v>8</v>
      </c>
      <c r="AX330" s="27" t="s">
        <v>7</v>
      </c>
      <c r="AZ330" s="27" t="s">
        <v>7</v>
      </c>
      <c r="BA330" s="27" t="s">
        <v>8</v>
      </c>
      <c r="BD330" s="27" t="s">
        <v>7</v>
      </c>
      <c r="BE330" s="27" t="s">
        <v>8</v>
      </c>
      <c r="BF330" s="27" t="s">
        <v>7</v>
      </c>
      <c r="BY330" s="27" t="s">
        <v>8</v>
      </c>
      <c r="BZ330" s="27" t="s">
        <v>7</v>
      </c>
      <c r="CK330" s="27" t="s">
        <v>8</v>
      </c>
      <c r="CO330" s="27" t="s">
        <v>8</v>
      </c>
      <c r="CP330" s="27" t="s">
        <v>7</v>
      </c>
      <c r="CQ330" s="27" t="s">
        <v>8</v>
      </c>
    </row>
    <row r="331" spans="1:203" x14ac:dyDescent="0.25">
      <c r="A331" s="30">
        <v>1.179705990182715E-2</v>
      </c>
      <c r="B331"/>
      <c r="C331"/>
      <c r="D331"/>
      <c r="E331"/>
      <c r="F331" s="27" t="s">
        <v>7</v>
      </c>
      <c r="G331" s="27" t="s">
        <v>8</v>
      </c>
      <c r="H331" s="27" t="s">
        <v>7</v>
      </c>
      <c r="I331" s="27" t="s">
        <v>8</v>
      </c>
      <c r="J331" s="27" t="s">
        <v>7</v>
      </c>
      <c r="AU331" s="27" t="s">
        <v>8</v>
      </c>
      <c r="AV331" s="27" t="s">
        <v>7</v>
      </c>
      <c r="AW331" s="27" t="s">
        <v>8</v>
      </c>
      <c r="AZ331" s="27" t="s">
        <v>7</v>
      </c>
      <c r="BD331" s="27" t="s">
        <v>7</v>
      </c>
      <c r="BE331" s="27" t="s">
        <v>8</v>
      </c>
      <c r="BF331" s="27" t="s">
        <v>7</v>
      </c>
      <c r="BY331" s="27" t="s">
        <v>8</v>
      </c>
      <c r="BZ331" s="27" t="s">
        <v>7</v>
      </c>
      <c r="CK331" s="27" t="s">
        <v>8</v>
      </c>
      <c r="CL331" s="27" t="s">
        <v>7</v>
      </c>
      <c r="CM331" s="27" t="s">
        <v>8</v>
      </c>
      <c r="CO331" s="27" t="s">
        <v>8</v>
      </c>
      <c r="CP331" s="27" t="s">
        <v>7</v>
      </c>
    </row>
    <row r="332" spans="1:203" x14ac:dyDescent="0.25">
      <c r="A332" s="30">
        <v>1.1235295144597281E-2</v>
      </c>
      <c r="B332"/>
      <c r="C332"/>
      <c r="D332"/>
      <c r="E332"/>
      <c r="F332" s="27" t="s">
        <v>7</v>
      </c>
      <c r="G332" s="27" t="s">
        <v>8</v>
      </c>
      <c r="H332" s="27" t="s">
        <v>7</v>
      </c>
      <c r="I332" s="27" t="s">
        <v>8</v>
      </c>
      <c r="J332" s="27" t="s">
        <v>7</v>
      </c>
      <c r="AU332" s="27" t="s">
        <v>8</v>
      </c>
      <c r="AV332" s="27" t="s">
        <v>7</v>
      </c>
      <c r="AW332" s="27" t="s">
        <v>8</v>
      </c>
      <c r="BD332" s="27" t="s">
        <v>7</v>
      </c>
      <c r="BF332" s="27" t="s">
        <v>7</v>
      </c>
      <c r="BG332" s="27" t="s">
        <v>8</v>
      </c>
      <c r="BY332" s="27" t="s">
        <v>8</v>
      </c>
      <c r="BZ332" s="27" t="s">
        <v>7</v>
      </c>
      <c r="CK332" s="27" t="s">
        <v>8</v>
      </c>
      <c r="CL332" s="27" t="s">
        <v>7</v>
      </c>
      <c r="CM332" s="27" t="s">
        <v>8</v>
      </c>
      <c r="CN332" s="27" t="s">
        <v>7</v>
      </c>
      <c r="CO332" s="27" t="s">
        <v>8</v>
      </c>
    </row>
    <row r="333" spans="1:203" x14ac:dyDescent="0.25">
      <c r="A333" s="30">
        <v>1.0700281090092644E-2</v>
      </c>
      <c r="B333"/>
      <c r="C333"/>
      <c r="D333"/>
      <c r="E333"/>
      <c r="F333" s="27" t="s">
        <v>7</v>
      </c>
      <c r="G333" s="27" t="s">
        <v>8</v>
      </c>
      <c r="H333" s="27" t="s">
        <v>7</v>
      </c>
      <c r="I333" s="27" t="s">
        <v>8</v>
      </c>
      <c r="J333" s="27" t="s">
        <v>7</v>
      </c>
      <c r="K333" s="27" t="s">
        <v>8</v>
      </c>
      <c r="AU333" s="27" t="s">
        <v>8</v>
      </c>
      <c r="AV333" s="27" t="s">
        <v>7</v>
      </c>
      <c r="AW333" s="27" t="s">
        <v>8</v>
      </c>
      <c r="BF333" s="27" t="s">
        <v>7</v>
      </c>
      <c r="BG333" s="27" t="s">
        <v>8</v>
      </c>
      <c r="BH333" s="27" t="s">
        <v>7</v>
      </c>
      <c r="BY333" s="27" t="s">
        <v>8</v>
      </c>
      <c r="BZ333" s="27" t="s">
        <v>7</v>
      </c>
      <c r="CC333" s="27" t="s">
        <v>8</v>
      </c>
      <c r="CI333" s="27" t="s">
        <v>8</v>
      </c>
      <c r="CK333" s="27" t="s">
        <v>8</v>
      </c>
      <c r="CL333" s="27" t="s">
        <v>7</v>
      </c>
      <c r="CM333" s="27" t="s">
        <v>8</v>
      </c>
      <c r="CN333" s="27" t="s">
        <v>7</v>
      </c>
      <c r="CO333" s="27" t="s">
        <v>8</v>
      </c>
    </row>
    <row r="334" spans="1:203" x14ac:dyDescent="0.25">
      <c r="A334" s="30">
        <v>1.0190743895326324E-2</v>
      </c>
      <c r="B334"/>
      <c r="C334"/>
      <c r="D334"/>
      <c r="E334"/>
      <c r="F334" s="27" t="s">
        <v>7</v>
      </c>
      <c r="G334" s="27" t="s">
        <v>8</v>
      </c>
      <c r="H334" s="27" t="s">
        <v>7</v>
      </c>
      <c r="I334" s="27" t="s">
        <v>8</v>
      </c>
      <c r="J334" s="27" t="s">
        <v>7</v>
      </c>
      <c r="K334" s="27" t="s">
        <v>8</v>
      </c>
      <c r="L334" s="27" t="s">
        <v>7</v>
      </c>
      <c r="AI334" s="27" t="s">
        <v>8</v>
      </c>
      <c r="AS334" s="27" t="s">
        <v>8</v>
      </c>
      <c r="AU334" s="27" t="s">
        <v>8</v>
      </c>
      <c r="AV334" s="27" t="s">
        <v>7</v>
      </c>
      <c r="AW334" s="27" t="s">
        <v>8</v>
      </c>
      <c r="BF334" s="27" t="s">
        <v>7</v>
      </c>
      <c r="BG334" s="27" t="s">
        <v>8</v>
      </c>
      <c r="BH334" s="27" t="s">
        <v>7</v>
      </c>
      <c r="BY334" s="27" t="s">
        <v>8</v>
      </c>
      <c r="BZ334" s="27" t="s">
        <v>7</v>
      </c>
      <c r="CA334" s="27" t="s">
        <v>8</v>
      </c>
      <c r="CC334" s="27" t="s">
        <v>8</v>
      </c>
      <c r="CD334" s="27" t="s">
        <v>7</v>
      </c>
      <c r="CE334" s="27" t="s">
        <v>8</v>
      </c>
      <c r="CG334" s="27" t="s">
        <v>8</v>
      </c>
      <c r="CI334" s="27" t="s">
        <v>8</v>
      </c>
      <c r="CJ334" s="27" t="s">
        <v>7</v>
      </c>
      <c r="CK334" s="27" t="s">
        <v>8</v>
      </c>
      <c r="CL334" s="27" t="s">
        <v>7</v>
      </c>
      <c r="CM334" s="27" t="s">
        <v>8</v>
      </c>
      <c r="CN334" s="27" t="s">
        <v>7</v>
      </c>
      <c r="CO334" s="27" t="s">
        <v>8</v>
      </c>
    </row>
    <row r="335" spans="1:203" x14ac:dyDescent="0.25">
      <c r="A335" s="30">
        <v>9.7054703765012563E-3</v>
      </c>
      <c r="B335"/>
      <c r="C335"/>
      <c r="D335"/>
      <c r="E335"/>
      <c r="F335" s="27" t="s">
        <v>7</v>
      </c>
      <c r="G335" s="27" t="s">
        <v>8</v>
      </c>
      <c r="H335" s="27" t="s">
        <v>7</v>
      </c>
      <c r="J335" s="27" t="s">
        <v>7</v>
      </c>
      <c r="K335" s="27" t="s">
        <v>8</v>
      </c>
      <c r="L335" s="27" t="s">
        <v>7</v>
      </c>
      <c r="M335" s="27" t="s">
        <v>8</v>
      </c>
      <c r="AI335" s="27" t="s">
        <v>8</v>
      </c>
      <c r="AJ335" s="27" t="s">
        <v>7</v>
      </c>
      <c r="AS335" s="27" t="s">
        <v>8</v>
      </c>
      <c r="AT335" s="27" t="s">
        <v>7</v>
      </c>
      <c r="AU335" s="27" t="s">
        <v>8</v>
      </c>
      <c r="AV335" s="27" t="s">
        <v>7</v>
      </c>
      <c r="AW335" s="27" t="s">
        <v>8</v>
      </c>
      <c r="BF335" s="27" t="s">
        <v>7</v>
      </c>
      <c r="BH335" s="27" t="s">
        <v>7</v>
      </c>
      <c r="BS335" s="27" t="s">
        <v>8</v>
      </c>
      <c r="BY335" s="27" t="s">
        <v>8</v>
      </c>
      <c r="BZ335" s="27" t="s">
        <v>7</v>
      </c>
      <c r="CA335" s="27" t="s">
        <v>8</v>
      </c>
      <c r="CB335" s="27" t="s">
        <v>7</v>
      </c>
      <c r="CC335" s="27" t="s">
        <v>8</v>
      </c>
      <c r="CD335" s="27" t="s">
        <v>7</v>
      </c>
      <c r="CE335" s="27" t="s">
        <v>8</v>
      </c>
      <c r="CF335" s="27" t="s">
        <v>7</v>
      </c>
      <c r="CG335" s="27" t="s">
        <v>8</v>
      </c>
      <c r="CH335" s="27" t="s">
        <v>7</v>
      </c>
      <c r="CI335" s="27" t="s">
        <v>8</v>
      </c>
      <c r="CJ335" s="27" t="s">
        <v>7</v>
      </c>
      <c r="CK335" s="27" t="s">
        <v>8</v>
      </c>
      <c r="CL335" s="27" t="s">
        <v>7</v>
      </c>
      <c r="CM335" s="27" t="s">
        <v>8</v>
      </c>
      <c r="CN335" s="27" t="s">
        <v>7</v>
      </c>
      <c r="CO335" s="27" t="s">
        <v>8</v>
      </c>
    </row>
    <row r="336" spans="1:203" x14ac:dyDescent="0.25">
      <c r="A336" s="30">
        <v>9.2433051204773835E-3</v>
      </c>
      <c r="B336"/>
      <c r="C336"/>
      <c r="D336"/>
      <c r="E336"/>
      <c r="F336" s="27" t="s">
        <v>7</v>
      </c>
      <c r="G336" s="27" t="s">
        <v>8</v>
      </c>
      <c r="J336" s="27" t="s">
        <v>7</v>
      </c>
      <c r="L336" s="27" t="s">
        <v>7</v>
      </c>
      <c r="M336" s="27" t="s">
        <v>8</v>
      </c>
      <c r="N336" s="27" t="s">
        <v>7</v>
      </c>
      <c r="AI336" s="27" t="s">
        <v>8</v>
      </c>
      <c r="AJ336" s="27" t="s">
        <v>7</v>
      </c>
      <c r="AQ336" s="27" t="s">
        <v>8</v>
      </c>
      <c r="AS336" s="27" t="s">
        <v>8</v>
      </c>
      <c r="AT336" s="27" t="s">
        <v>7</v>
      </c>
      <c r="AU336" s="27" t="s">
        <v>8</v>
      </c>
      <c r="AV336" s="27" t="s">
        <v>7</v>
      </c>
      <c r="BH336" s="27" t="s">
        <v>7</v>
      </c>
      <c r="BS336" s="27" t="s">
        <v>8</v>
      </c>
      <c r="BT336" s="27" t="s">
        <v>7</v>
      </c>
      <c r="BY336" s="27" t="s">
        <v>8</v>
      </c>
      <c r="BZ336" s="27" t="s">
        <v>7</v>
      </c>
      <c r="CA336" s="27" t="s">
        <v>8</v>
      </c>
      <c r="CB336" s="27" t="s">
        <v>7</v>
      </c>
      <c r="CC336" s="27" t="s">
        <v>8</v>
      </c>
      <c r="CD336" s="27" t="s">
        <v>7</v>
      </c>
      <c r="CE336" s="27" t="s">
        <v>8</v>
      </c>
      <c r="CF336" s="27" t="s">
        <v>7</v>
      </c>
      <c r="CG336" s="27" t="s">
        <v>8</v>
      </c>
      <c r="CH336" s="27" t="s">
        <v>7</v>
      </c>
      <c r="CI336" s="27" t="s">
        <v>8</v>
      </c>
      <c r="CJ336" s="27" t="s">
        <v>7</v>
      </c>
      <c r="CL336" s="27" t="s">
        <v>7</v>
      </c>
      <c r="CM336" s="27" t="s">
        <v>8</v>
      </c>
      <c r="CN336" s="27" t="s">
        <v>7</v>
      </c>
    </row>
    <row r="337" spans="1:90" x14ac:dyDescent="0.25">
      <c r="A337" s="30">
        <v>8.8031477337879808E-3</v>
      </c>
      <c r="B337"/>
      <c r="C337"/>
      <c r="D337"/>
      <c r="E337"/>
      <c r="F337" s="27" t="s">
        <v>7</v>
      </c>
      <c r="G337" s="27" t="s">
        <v>8</v>
      </c>
      <c r="L337" s="27" t="s">
        <v>7</v>
      </c>
      <c r="M337" s="27" t="s">
        <v>8</v>
      </c>
      <c r="N337" s="27" t="s">
        <v>7</v>
      </c>
      <c r="O337" s="27" t="s">
        <v>8</v>
      </c>
      <c r="AI337" s="27" t="s">
        <v>8</v>
      </c>
      <c r="AJ337" s="27" t="s">
        <v>7</v>
      </c>
      <c r="AQ337" s="27" t="s">
        <v>8</v>
      </c>
      <c r="AR337" s="27" t="s">
        <v>7</v>
      </c>
      <c r="AS337" s="27" t="s">
        <v>8</v>
      </c>
      <c r="AT337" s="27" t="s">
        <v>7</v>
      </c>
      <c r="BH337" s="27" t="s">
        <v>7</v>
      </c>
      <c r="BO337" s="27" t="s">
        <v>8</v>
      </c>
      <c r="BS337" s="27" t="s">
        <v>8</v>
      </c>
      <c r="BT337" s="27" t="s">
        <v>7</v>
      </c>
      <c r="BU337" s="27" t="s">
        <v>8</v>
      </c>
      <c r="BY337" s="27" t="s">
        <v>8</v>
      </c>
      <c r="BZ337" s="27" t="s">
        <v>7</v>
      </c>
      <c r="CA337" s="27" t="s">
        <v>8</v>
      </c>
      <c r="CB337" s="27" t="s">
        <v>7</v>
      </c>
      <c r="CC337" s="27" t="s">
        <v>8</v>
      </c>
      <c r="CD337" s="27" t="s">
        <v>7</v>
      </c>
      <c r="CE337" s="27" t="s">
        <v>8</v>
      </c>
      <c r="CF337" s="27" t="s">
        <v>7</v>
      </c>
      <c r="CG337" s="27" t="s">
        <v>8</v>
      </c>
      <c r="CH337" s="27" t="s">
        <v>7</v>
      </c>
      <c r="CI337" s="27" t="s">
        <v>8</v>
      </c>
      <c r="CL337" s="27" t="s">
        <v>7</v>
      </c>
    </row>
    <row r="338" spans="1:90" x14ac:dyDescent="0.25">
      <c r="A338" s="30">
        <v>8.3839502226552166E-3</v>
      </c>
      <c r="B338"/>
      <c r="C338"/>
      <c r="D338"/>
      <c r="E338"/>
      <c r="F338" s="27" t="s">
        <v>7</v>
      </c>
      <c r="G338" s="27" t="s">
        <v>8</v>
      </c>
      <c r="L338" s="27" t="s">
        <v>7</v>
      </c>
      <c r="M338" s="27" t="s">
        <v>8</v>
      </c>
      <c r="N338" s="27" t="s">
        <v>7</v>
      </c>
      <c r="O338" s="27" t="s">
        <v>8</v>
      </c>
      <c r="P338" s="27" t="s">
        <v>7</v>
      </c>
      <c r="AI338" s="27" t="s">
        <v>8</v>
      </c>
      <c r="AJ338" s="27" t="s">
        <v>7</v>
      </c>
      <c r="AK338" s="27" t="s">
        <v>8</v>
      </c>
      <c r="AM338" s="27" t="s">
        <v>8</v>
      </c>
      <c r="AQ338" s="27" t="s">
        <v>8</v>
      </c>
      <c r="AR338" s="27" t="s">
        <v>7</v>
      </c>
      <c r="AS338" s="27" t="s">
        <v>8</v>
      </c>
      <c r="BH338" s="27" t="s">
        <v>7</v>
      </c>
      <c r="BK338" s="27" t="s">
        <v>8</v>
      </c>
      <c r="BO338" s="27" t="s">
        <v>8</v>
      </c>
      <c r="BP338" s="27" t="s">
        <v>7</v>
      </c>
      <c r="BQ338" s="27" t="s">
        <v>8</v>
      </c>
      <c r="BS338" s="27" t="s">
        <v>8</v>
      </c>
      <c r="BT338" s="27" t="s">
        <v>7</v>
      </c>
      <c r="BU338" s="27" t="s">
        <v>8</v>
      </c>
      <c r="BV338" s="27" t="s">
        <v>7</v>
      </c>
      <c r="BW338" s="27" t="s">
        <v>8</v>
      </c>
      <c r="BY338" s="27" t="s">
        <v>8</v>
      </c>
      <c r="BZ338" s="27" t="s">
        <v>7</v>
      </c>
      <c r="CA338" s="27" t="s">
        <v>8</v>
      </c>
      <c r="CB338" s="27" t="s">
        <v>7</v>
      </c>
      <c r="CC338" s="27" t="s">
        <v>8</v>
      </c>
      <c r="CD338" s="27" t="s">
        <v>7</v>
      </c>
      <c r="CE338" s="27" t="s">
        <v>8</v>
      </c>
      <c r="CF338" s="27" t="s">
        <v>7</v>
      </c>
      <c r="CG338" s="27" t="s">
        <v>8</v>
      </c>
      <c r="CH338" s="27" t="s">
        <v>7</v>
      </c>
    </row>
    <row r="339" spans="1:90" x14ac:dyDescent="0.25">
      <c r="A339" s="30">
        <v>7.9847144977668698E-3</v>
      </c>
      <c r="B339"/>
      <c r="C339"/>
      <c r="D339"/>
      <c r="E339"/>
      <c r="F339" s="27" t="s">
        <v>7</v>
      </c>
      <c r="L339" s="27" t="s">
        <v>7</v>
      </c>
      <c r="M339" s="27" t="s">
        <v>8</v>
      </c>
      <c r="N339" s="27" t="s">
        <v>7</v>
      </c>
      <c r="O339" s="27" t="s">
        <v>8</v>
      </c>
      <c r="P339" s="27" t="s">
        <v>7</v>
      </c>
      <c r="AI339" s="27" t="s">
        <v>8</v>
      </c>
      <c r="AJ339" s="27" t="s">
        <v>7</v>
      </c>
      <c r="AK339" s="27" t="s">
        <v>8</v>
      </c>
      <c r="AL339" s="27" t="s">
        <v>7</v>
      </c>
      <c r="AM339" s="27" t="s">
        <v>8</v>
      </c>
      <c r="AN339" s="27" t="s">
        <v>7</v>
      </c>
      <c r="AO339" s="27" t="s">
        <v>8</v>
      </c>
      <c r="AQ339" s="27" t="s">
        <v>8</v>
      </c>
      <c r="AR339" s="27" t="s">
        <v>7</v>
      </c>
      <c r="AS339" s="27" t="s">
        <v>8</v>
      </c>
      <c r="BH339" s="27" t="s">
        <v>7</v>
      </c>
      <c r="BI339" s="27" t="s">
        <v>8</v>
      </c>
      <c r="BK339" s="27" t="s">
        <v>8</v>
      </c>
      <c r="BL339" s="27" t="s">
        <v>7</v>
      </c>
      <c r="BM339" s="27" t="s">
        <v>8</v>
      </c>
      <c r="BO339" s="27" t="s">
        <v>8</v>
      </c>
      <c r="BP339" s="27" t="s">
        <v>7</v>
      </c>
      <c r="BQ339" s="27" t="s">
        <v>8</v>
      </c>
      <c r="BR339" s="27" t="s">
        <v>7</v>
      </c>
      <c r="BS339" s="27" t="s">
        <v>8</v>
      </c>
      <c r="BT339" s="27" t="s">
        <v>7</v>
      </c>
      <c r="BU339" s="27" t="s">
        <v>8</v>
      </c>
      <c r="BV339" s="27" t="s">
        <v>7</v>
      </c>
      <c r="BW339" s="27" t="s">
        <v>8</v>
      </c>
      <c r="BX339" s="27" t="s">
        <v>7</v>
      </c>
      <c r="BY339" s="27" t="s">
        <v>8</v>
      </c>
      <c r="BZ339" s="27" t="s">
        <v>7</v>
      </c>
      <c r="CB339" s="27" t="s">
        <v>7</v>
      </c>
      <c r="CC339" s="27" t="s">
        <v>8</v>
      </c>
      <c r="CD339" s="27" t="s">
        <v>7</v>
      </c>
      <c r="CF339" s="27" t="s">
        <v>7</v>
      </c>
    </row>
    <row r="340" spans="1:90" x14ac:dyDescent="0.25">
      <c r="A340" s="30">
        <v>7.6044899978732058E-3</v>
      </c>
      <c r="B340"/>
      <c r="C340"/>
      <c r="D340"/>
      <c r="E340"/>
      <c r="L340" s="27" t="s">
        <v>7</v>
      </c>
      <c r="N340" s="27" t="s">
        <v>7</v>
      </c>
      <c r="O340" s="27" t="s">
        <v>8</v>
      </c>
      <c r="P340" s="27" t="s">
        <v>7</v>
      </c>
      <c r="U340" s="27" t="s">
        <v>8</v>
      </c>
      <c r="AI340" s="27" t="s">
        <v>8</v>
      </c>
      <c r="AJ340" s="27" t="s">
        <v>7</v>
      </c>
      <c r="AK340" s="27" t="s">
        <v>8</v>
      </c>
      <c r="AL340" s="27" t="s">
        <v>7</v>
      </c>
      <c r="AM340" s="27" t="s">
        <v>8</v>
      </c>
      <c r="AN340" s="27" t="s">
        <v>7</v>
      </c>
      <c r="AO340" s="27" t="s">
        <v>8</v>
      </c>
      <c r="AP340" s="27" t="s">
        <v>7</v>
      </c>
      <c r="AQ340" s="27" t="s">
        <v>8</v>
      </c>
      <c r="AR340" s="27" t="s">
        <v>7</v>
      </c>
      <c r="AS340" s="27" t="s">
        <v>8</v>
      </c>
      <c r="BH340" s="27" t="s">
        <v>7</v>
      </c>
      <c r="BI340" s="27" t="s">
        <v>8</v>
      </c>
      <c r="BJ340" s="27" t="s">
        <v>7</v>
      </c>
      <c r="BK340" s="27" t="s">
        <v>8</v>
      </c>
      <c r="BL340" s="27" t="s">
        <v>7</v>
      </c>
      <c r="BM340" s="27" t="s">
        <v>8</v>
      </c>
      <c r="BN340" s="27" t="s">
        <v>7</v>
      </c>
      <c r="BO340" s="27" t="s">
        <v>8</v>
      </c>
      <c r="BP340" s="27" t="s">
        <v>7</v>
      </c>
      <c r="BQ340" s="27" t="s">
        <v>8</v>
      </c>
      <c r="BR340" s="27" t="s">
        <v>7</v>
      </c>
      <c r="BS340" s="27" t="s">
        <v>8</v>
      </c>
      <c r="BT340" s="27" t="s">
        <v>7</v>
      </c>
      <c r="BV340" s="27" t="s">
        <v>7</v>
      </c>
      <c r="BW340" s="27" t="s">
        <v>8</v>
      </c>
      <c r="BX340" s="27" t="s">
        <v>7</v>
      </c>
      <c r="BY340" s="27" t="s">
        <v>8</v>
      </c>
      <c r="CB340" s="27" t="s">
        <v>7</v>
      </c>
      <c r="CC340" s="27" t="s">
        <v>8</v>
      </c>
    </row>
    <row r="341" spans="1:90" x14ac:dyDescent="0.25">
      <c r="A341" s="30">
        <v>7.2423714265459072E-3</v>
      </c>
      <c r="B341"/>
      <c r="C341"/>
      <c r="D341"/>
      <c r="E341"/>
      <c r="N341" s="27" t="s">
        <v>7</v>
      </c>
      <c r="O341" s="27" t="s">
        <v>8</v>
      </c>
      <c r="P341" s="27" t="s">
        <v>7</v>
      </c>
      <c r="U341" s="27" t="s">
        <v>8</v>
      </c>
      <c r="V341" s="27" t="s">
        <v>7</v>
      </c>
      <c r="Y341" s="27" t="s">
        <v>8</v>
      </c>
      <c r="AG341" s="27" t="s">
        <v>8</v>
      </c>
      <c r="AI341" s="27" t="s">
        <v>8</v>
      </c>
      <c r="AJ341" s="27" t="s">
        <v>7</v>
      </c>
      <c r="AL341" s="27" t="s">
        <v>7</v>
      </c>
      <c r="AN341" s="27" t="s">
        <v>7</v>
      </c>
      <c r="AO341" s="27" t="s">
        <v>8</v>
      </c>
      <c r="AP341" s="27" t="s">
        <v>7</v>
      </c>
      <c r="AQ341" s="27" t="s">
        <v>8</v>
      </c>
      <c r="AR341" s="27" t="s">
        <v>7</v>
      </c>
      <c r="AS341" s="27" t="s">
        <v>8</v>
      </c>
      <c r="BH341" s="27" t="s">
        <v>7</v>
      </c>
      <c r="BI341" s="27" t="s">
        <v>8</v>
      </c>
      <c r="BJ341" s="27" t="s">
        <v>7</v>
      </c>
      <c r="BK341" s="27" t="s">
        <v>8</v>
      </c>
      <c r="BL341" s="27" t="s">
        <v>7</v>
      </c>
      <c r="BM341" s="27" t="s">
        <v>8</v>
      </c>
      <c r="BN341" s="27" t="s">
        <v>7</v>
      </c>
      <c r="BO341" s="27" t="s">
        <v>8</v>
      </c>
      <c r="BP341" s="27" t="s">
        <v>7</v>
      </c>
      <c r="BR341" s="27" t="s">
        <v>7</v>
      </c>
      <c r="BS341" s="27" t="s">
        <v>8</v>
      </c>
      <c r="BV341" s="27" t="s">
        <v>7</v>
      </c>
      <c r="BW341" s="27" t="s">
        <v>8</v>
      </c>
      <c r="BX341" s="27" t="s">
        <v>7</v>
      </c>
      <c r="BY341" s="27" t="s">
        <v>8</v>
      </c>
      <c r="CB341" s="27" t="s">
        <v>7</v>
      </c>
    </row>
    <row r="342" spans="1:90" x14ac:dyDescent="0.25">
      <c r="A342" s="30">
        <v>6.8974965967103846E-3</v>
      </c>
      <c r="B342"/>
      <c r="C342"/>
      <c r="D342"/>
      <c r="E342"/>
      <c r="N342" s="27" t="s">
        <v>7</v>
      </c>
      <c r="O342" s="27" t="s">
        <v>8</v>
      </c>
      <c r="P342" s="27" t="s">
        <v>7</v>
      </c>
      <c r="U342" s="27" t="s">
        <v>8</v>
      </c>
      <c r="V342" s="27" t="s">
        <v>7</v>
      </c>
      <c r="W342" s="27" t="s">
        <v>8</v>
      </c>
      <c r="Y342" s="27" t="s">
        <v>8</v>
      </c>
      <c r="Z342" s="27" t="s">
        <v>7</v>
      </c>
      <c r="AG342" s="27" t="s">
        <v>8</v>
      </c>
      <c r="AH342" s="27" t="s">
        <v>7</v>
      </c>
      <c r="AI342" s="27" t="s">
        <v>8</v>
      </c>
      <c r="AN342" s="27" t="s">
        <v>7</v>
      </c>
      <c r="AO342" s="27" t="s">
        <v>8</v>
      </c>
      <c r="AP342" s="27" t="s">
        <v>7</v>
      </c>
      <c r="AR342" s="27" t="s">
        <v>7</v>
      </c>
      <c r="BH342" s="27" t="s">
        <v>7</v>
      </c>
      <c r="BJ342" s="27" t="s">
        <v>7</v>
      </c>
      <c r="BK342" s="27" t="s">
        <v>8</v>
      </c>
      <c r="BL342" s="27" t="s">
        <v>7</v>
      </c>
      <c r="BN342" s="27" t="s">
        <v>7</v>
      </c>
      <c r="BO342" s="27" t="s">
        <v>8</v>
      </c>
      <c r="BR342" s="27" t="s">
        <v>7</v>
      </c>
      <c r="BV342" s="27" t="s">
        <v>7</v>
      </c>
      <c r="BX342" s="27" t="s">
        <v>7</v>
      </c>
    </row>
    <row r="343" spans="1:90" x14ac:dyDescent="0.25">
      <c r="A343" s="30">
        <v>6.5690443778194116E-3</v>
      </c>
      <c r="B343"/>
      <c r="C343"/>
      <c r="D343"/>
      <c r="E343"/>
      <c r="N343" s="27" t="s">
        <v>7</v>
      </c>
      <c r="O343" s="27" t="s">
        <v>8</v>
      </c>
      <c r="P343" s="27" t="s">
        <v>7</v>
      </c>
      <c r="U343" s="27" t="s">
        <v>8</v>
      </c>
      <c r="V343" s="27" t="s">
        <v>7</v>
      </c>
      <c r="W343" s="27" t="s">
        <v>8</v>
      </c>
      <c r="X343" s="27" t="s">
        <v>7</v>
      </c>
      <c r="Y343" s="27" t="s">
        <v>8</v>
      </c>
      <c r="Z343" s="27" t="s">
        <v>7</v>
      </c>
      <c r="AC343" s="27" t="s">
        <v>8</v>
      </c>
      <c r="AG343" s="27" t="s">
        <v>8</v>
      </c>
      <c r="AH343" s="27" t="s">
        <v>7</v>
      </c>
      <c r="AI343" s="27" t="s">
        <v>8</v>
      </c>
      <c r="AN343" s="27" t="s">
        <v>7</v>
      </c>
      <c r="AO343" s="27" t="s">
        <v>8</v>
      </c>
      <c r="BJ343" s="27" t="s">
        <v>7</v>
      </c>
      <c r="BN343" s="27" t="s">
        <v>7</v>
      </c>
      <c r="BO343" s="27" t="s">
        <v>8</v>
      </c>
    </row>
    <row r="344" spans="1:90" x14ac:dyDescent="0.25">
      <c r="A344" s="30">
        <v>6.2562327407803897E-3</v>
      </c>
      <c r="B344"/>
      <c r="C344"/>
      <c r="D344"/>
      <c r="E344"/>
      <c r="N344" s="27" t="s">
        <v>7</v>
      </c>
      <c r="O344" s="27" t="s">
        <v>8</v>
      </c>
      <c r="P344" s="27" t="s">
        <v>7</v>
      </c>
      <c r="U344" s="27" t="s">
        <v>8</v>
      </c>
      <c r="V344" s="27" t="s">
        <v>7</v>
      </c>
      <c r="W344" s="27" t="s">
        <v>8</v>
      </c>
      <c r="X344" s="27" t="s">
        <v>7</v>
      </c>
      <c r="Y344" s="27" t="s">
        <v>8</v>
      </c>
      <c r="Z344" s="27" t="s">
        <v>7</v>
      </c>
      <c r="AA344" s="27" t="s">
        <v>8</v>
      </c>
      <c r="AC344" s="27" t="s">
        <v>8</v>
      </c>
      <c r="AD344" s="27" t="s">
        <v>7</v>
      </c>
      <c r="AE344" s="27" t="s">
        <v>8</v>
      </c>
      <c r="AG344" s="27" t="s">
        <v>8</v>
      </c>
      <c r="AH344" s="27" t="s">
        <v>7</v>
      </c>
      <c r="AI344" s="27" t="s">
        <v>8</v>
      </c>
      <c r="AN344" s="27" t="s">
        <v>7</v>
      </c>
      <c r="AO344" s="27" t="s">
        <v>8</v>
      </c>
      <c r="BN344" s="27" t="s">
        <v>7</v>
      </c>
      <c r="BO344" s="27" t="s">
        <v>8</v>
      </c>
    </row>
    <row r="345" spans="1:90" x14ac:dyDescent="0.25">
      <c r="A345" s="30">
        <v>5.9583168959813212E-3</v>
      </c>
      <c r="B345"/>
      <c r="C345"/>
      <c r="D345"/>
      <c r="E345"/>
      <c r="N345" s="27" t="s">
        <v>7</v>
      </c>
      <c r="O345" s="27" t="s">
        <v>8</v>
      </c>
      <c r="P345" s="27" t="s">
        <v>7</v>
      </c>
      <c r="U345" s="27" t="s">
        <v>8</v>
      </c>
      <c r="V345" s="27" t="s">
        <v>7</v>
      </c>
      <c r="W345" s="27" t="s">
        <v>8</v>
      </c>
      <c r="X345" s="27" t="s">
        <v>7</v>
      </c>
      <c r="Y345" s="27" t="s">
        <v>8</v>
      </c>
      <c r="Z345" s="27" t="s">
        <v>7</v>
      </c>
      <c r="AA345" s="27" t="s">
        <v>8</v>
      </c>
      <c r="AB345" s="27" t="s">
        <v>7</v>
      </c>
      <c r="AC345" s="27" t="s">
        <v>8</v>
      </c>
      <c r="AD345" s="27" t="s">
        <v>7</v>
      </c>
      <c r="AE345" s="27" t="s">
        <v>8</v>
      </c>
      <c r="AF345" s="27" t="s">
        <v>7</v>
      </c>
      <c r="AG345" s="27" t="s">
        <v>8</v>
      </c>
      <c r="AH345" s="27" t="s">
        <v>7</v>
      </c>
      <c r="AN345" s="27" t="s">
        <v>7</v>
      </c>
      <c r="BN345" s="27" t="s">
        <v>7</v>
      </c>
      <c r="BO345" s="27" t="s">
        <v>8</v>
      </c>
    </row>
    <row r="346" spans="1:90" x14ac:dyDescent="0.25">
      <c r="A346" s="30">
        <v>5.6745875199822084E-3</v>
      </c>
      <c r="B346"/>
      <c r="C346"/>
      <c r="D346"/>
      <c r="E346"/>
      <c r="N346" s="27" t="s">
        <v>7</v>
      </c>
      <c r="O346" s="27" t="s">
        <v>8</v>
      </c>
      <c r="P346" s="27" t="s">
        <v>7</v>
      </c>
      <c r="U346" s="27" t="s">
        <v>8</v>
      </c>
      <c r="V346" s="27" t="s">
        <v>7</v>
      </c>
      <c r="W346" s="27" t="s">
        <v>8</v>
      </c>
      <c r="X346" s="27" t="s">
        <v>7</v>
      </c>
      <c r="Y346" s="27" t="s">
        <v>8</v>
      </c>
      <c r="Z346" s="27" t="s">
        <v>7</v>
      </c>
      <c r="AA346" s="27" t="s">
        <v>8</v>
      </c>
      <c r="AB346" s="27" t="s">
        <v>7</v>
      </c>
      <c r="AC346" s="27" t="s">
        <v>8</v>
      </c>
      <c r="AD346" s="27" t="s">
        <v>7</v>
      </c>
      <c r="AE346" s="27" t="s">
        <v>8</v>
      </c>
      <c r="AF346" s="27" t="s">
        <v>7</v>
      </c>
      <c r="AG346" s="27" t="s">
        <v>8</v>
      </c>
      <c r="BN346" s="27" t="s">
        <v>7</v>
      </c>
      <c r="BO346" s="27" t="s">
        <v>8</v>
      </c>
    </row>
    <row r="347" spans="1:90" x14ac:dyDescent="0.25">
      <c r="A347" s="30">
        <v>5.4043690666497205E-3</v>
      </c>
      <c r="B347"/>
      <c r="C347"/>
      <c r="D347"/>
      <c r="E347"/>
      <c r="N347" s="27" t="s">
        <v>7</v>
      </c>
      <c r="O347" s="27" t="s">
        <v>8</v>
      </c>
      <c r="P347" s="27" t="s">
        <v>7</v>
      </c>
      <c r="S347" s="27" t="s">
        <v>8</v>
      </c>
      <c r="U347" s="27" t="s">
        <v>8</v>
      </c>
      <c r="V347" s="27" t="s">
        <v>7</v>
      </c>
      <c r="W347" s="27" t="s">
        <v>8</v>
      </c>
      <c r="X347" s="27" t="s">
        <v>7</v>
      </c>
      <c r="Y347" s="27" t="s">
        <v>8</v>
      </c>
      <c r="Z347" s="27" t="s">
        <v>7</v>
      </c>
      <c r="AA347" s="27" t="s">
        <v>8</v>
      </c>
      <c r="AB347" s="27" t="s">
        <v>7</v>
      </c>
      <c r="AD347" s="27" t="s">
        <v>7</v>
      </c>
      <c r="AE347" s="27" t="s">
        <v>8</v>
      </c>
      <c r="AF347" s="27" t="s">
        <v>7</v>
      </c>
      <c r="BN347" s="27" t="s">
        <v>7</v>
      </c>
    </row>
    <row r="348" spans="1:90" x14ac:dyDescent="0.25">
      <c r="A348" s="30">
        <v>5.1470181587140174E-3</v>
      </c>
      <c r="B348"/>
      <c r="C348"/>
      <c r="D348"/>
      <c r="E348"/>
      <c r="N348" s="27" t="s">
        <v>7</v>
      </c>
      <c r="P348" s="27" t="s">
        <v>7</v>
      </c>
      <c r="Q348" s="27" t="s">
        <v>8</v>
      </c>
      <c r="S348" s="27" t="s">
        <v>8</v>
      </c>
      <c r="T348" s="27" t="s">
        <v>7</v>
      </c>
      <c r="U348" s="27" t="s">
        <v>8</v>
      </c>
      <c r="V348" s="27" t="s">
        <v>7</v>
      </c>
      <c r="W348" s="27" t="s">
        <v>8</v>
      </c>
      <c r="X348" s="27" t="s">
        <v>7</v>
      </c>
      <c r="Y348" s="27" t="s">
        <v>8</v>
      </c>
      <c r="Z348" s="27" t="s">
        <v>7</v>
      </c>
      <c r="AD348" s="27" t="s">
        <v>7</v>
      </c>
      <c r="AE348" s="27" t="s">
        <v>8</v>
      </c>
    </row>
    <row r="349" spans="1:90" x14ac:dyDescent="0.25">
      <c r="A349" s="30">
        <v>4.9019220559181099E-3</v>
      </c>
      <c r="B349"/>
      <c r="C349"/>
      <c r="D349"/>
      <c r="E349"/>
      <c r="P349" s="27" t="s">
        <v>7</v>
      </c>
      <c r="Q349" s="27" t="s">
        <v>8</v>
      </c>
      <c r="R349" s="27" t="s">
        <v>7</v>
      </c>
      <c r="S349" s="27" t="s">
        <v>8</v>
      </c>
      <c r="T349" s="27" t="s">
        <v>7</v>
      </c>
      <c r="U349" s="27" t="s">
        <v>8</v>
      </c>
      <c r="V349" s="27" t="s">
        <v>7</v>
      </c>
      <c r="W349" s="27" t="s">
        <v>8</v>
      </c>
      <c r="X349" s="27" t="s">
        <v>7</v>
      </c>
      <c r="Y349" s="27" t="s">
        <v>8</v>
      </c>
      <c r="AD349" s="27" t="s">
        <v>7</v>
      </c>
    </row>
    <row r="350" spans="1:90" x14ac:dyDescent="0.25">
      <c r="A350" s="30">
        <v>4.6684971961124836E-3</v>
      </c>
      <c r="B350"/>
      <c r="C350"/>
      <c r="D350"/>
      <c r="E350"/>
      <c r="P350" s="27" t="s">
        <v>7</v>
      </c>
      <c r="Q350" s="27" t="s">
        <v>8</v>
      </c>
      <c r="R350" s="27" t="s">
        <v>7</v>
      </c>
      <c r="S350" s="27" t="s">
        <v>8</v>
      </c>
      <c r="T350" s="27" t="s">
        <v>7</v>
      </c>
      <c r="V350" s="27" t="s">
        <v>7</v>
      </c>
      <c r="W350" s="27" t="s">
        <v>8</v>
      </c>
      <c r="X350" s="27" t="s">
        <v>7</v>
      </c>
    </row>
    <row r="351" spans="1:90" x14ac:dyDescent="0.25">
      <c r="A351" s="30">
        <v>4.4461878058214112E-3</v>
      </c>
      <c r="B351"/>
      <c r="C351"/>
      <c r="D351"/>
      <c r="E351"/>
      <c r="P351" s="27" t="s">
        <v>7</v>
      </c>
      <c r="Q351" s="27" t="s">
        <v>8</v>
      </c>
      <c r="R351" s="27" t="s">
        <v>7</v>
      </c>
      <c r="S351" s="27" t="s">
        <v>8</v>
      </c>
      <c r="V351" s="27" t="s">
        <v>7</v>
      </c>
      <c r="W351" s="27" t="s">
        <v>8</v>
      </c>
    </row>
    <row r="352" spans="1:90" x14ac:dyDescent="0.25">
      <c r="A352" s="30">
        <v>4.2344645769727711E-3</v>
      </c>
      <c r="B352"/>
      <c r="C352"/>
      <c r="D352"/>
      <c r="E352"/>
      <c r="P352" s="27" t="s">
        <v>7</v>
      </c>
      <c r="Q352" s="27" t="s">
        <v>8</v>
      </c>
      <c r="R352" s="27" t="s">
        <v>7</v>
      </c>
      <c r="S352" s="27" t="s">
        <v>8</v>
      </c>
      <c r="V352" s="27" t="s">
        <v>7</v>
      </c>
    </row>
    <row r="353" spans="1:19" x14ac:dyDescent="0.25">
      <c r="A353" s="30">
        <v>4.0328234066407329E-3</v>
      </c>
      <c r="B353"/>
      <c r="C353"/>
      <c r="D353"/>
      <c r="E353"/>
      <c r="P353" s="27" t="s">
        <v>7</v>
      </c>
      <c r="Q353" s="27" t="s">
        <v>8</v>
      </c>
      <c r="R353" s="27" t="s">
        <v>7</v>
      </c>
      <c r="S353" s="27" t="s">
        <v>8</v>
      </c>
    </row>
    <row r="354" spans="1:19" x14ac:dyDescent="0.25">
      <c r="A354" s="30">
        <v>3.8407841968006963E-3</v>
      </c>
      <c r="B354"/>
      <c r="C354"/>
      <c r="D354"/>
      <c r="E354"/>
      <c r="P354" s="27" t="s">
        <v>7</v>
      </c>
      <c r="Q354" s="27" t="s">
        <v>8</v>
      </c>
      <c r="R354" s="27" t="s">
        <v>7</v>
      </c>
    </row>
    <row r="355" spans="1:19" x14ac:dyDescent="0.25">
      <c r="A355" s="30">
        <v>3.6578897112387568E-3</v>
      </c>
      <c r="B355"/>
      <c r="C355"/>
      <c r="D355"/>
      <c r="E355"/>
      <c r="P355" s="27" t="s">
        <v>7</v>
      </c>
      <c r="Q355" s="27" t="s">
        <v>8</v>
      </c>
    </row>
    <row r="356" spans="1:19" x14ac:dyDescent="0.25">
      <c r="A356" s="30">
        <v>3.4837044868940526E-3</v>
      </c>
      <c r="B356"/>
      <c r="C356"/>
      <c r="D356"/>
      <c r="E356"/>
      <c r="P356" s="27" t="s">
        <v>7</v>
      </c>
      <c r="Q356" s="27" t="s">
        <v>8</v>
      </c>
    </row>
    <row r="357" spans="1:19" x14ac:dyDescent="0.25">
      <c r="A357" s="30">
        <v>3.3178137970419535E-3</v>
      </c>
      <c r="B357"/>
      <c r="C357"/>
      <c r="D357"/>
      <c r="E357"/>
      <c r="P357" s="27" t="s">
        <v>7</v>
      </c>
      <c r="Q357" s="27" t="s">
        <v>8</v>
      </c>
    </row>
    <row r="358" spans="1:19" x14ac:dyDescent="0.25">
      <c r="A358" s="30">
        <v>3.1598226638494781E-3</v>
      </c>
      <c r="B358"/>
      <c r="C358"/>
      <c r="D358"/>
      <c r="E358"/>
      <c r="P358" s="27" t="s">
        <v>7</v>
      </c>
      <c r="Q358" s="27" t="s">
        <v>8</v>
      </c>
    </row>
    <row r="359" spans="1:19" x14ac:dyDescent="0.25">
      <c r="A359" s="30">
        <v>3.0093549179518826E-3</v>
      </c>
      <c r="B359"/>
      <c r="C359"/>
      <c r="D359"/>
      <c r="E359"/>
      <c r="P359" s="27" t="s">
        <v>7</v>
      </c>
      <c r="Q359" s="27" t="s">
        <v>8</v>
      </c>
    </row>
    <row r="360" spans="1:19" x14ac:dyDescent="0.25">
      <c r="A360" s="30">
        <v>2.8660523028113155E-3</v>
      </c>
      <c r="B360"/>
      <c r="C360"/>
      <c r="D360"/>
      <c r="E360"/>
      <c r="P360" s="27" t="s">
        <v>7</v>
      </c>
      <c r="Q360" s="27" t="s">
        <v>8</v>
      </c>
    </row>
    <row r="361" spans="1:19" x14ac:dyDescent="0.25">
      <c r="A361" s="30">
        <v>2.7295736217250611E-3</v>
      </c>
      <c r="B361"/>
      <c r="C361"/>
      <c r="D361"/>
      <c r="E361"/>
      <c r="P361" s="27" t="s">
        <v>7</v>
      </c>
      <c r="Q361" s="27" t="s">
        <v>8</v>
      </c>
    </row>
    <row r="362" spans="1:19" x14ac:dyDescent="0.25">
      <c r="A362" s="30">
        <v>2.5995939254524381E-3</v>
      </c>
      <c r="B362"/>
      <c r="C362"/>
      <c r="D362"/>
      <c r="E362"/>
      <c r="P362" s="27" t="s">
        <v>7</v>
      </c>
      <c r="Q362" s="27" t="s">
        <v>8</v>
      </c>
    </row>
    <row r="363" spans="1:19" x14ac:dyDescent="0.25">
      <c r="A363" s="30">
        <v>2.4758037385261304E-3</v>
      </c>
      <c r="B363"/>
      <c r="C363"/>
      <c r="D363"/>
      <c r="E363"/>
      <c r="P363" s="27" t="s">
        <v>7</v>
      </c>
      <c r="Q363" s="27" t="s">
        <v>8</v>
      </c>
    </row>
    <row r="364" spans="1:19" x14ac:dyDescent="0.25">
      <c r="A364" s="30">
        <v>2.3579083224058374E-3</v>
      </c>
      <c r="B364"/>
      <c r="C364"/>
      <c r="D364"/>
      <c r="E364"/>
      <c r="P364" s="27" t="s">
        <v>7</v>
      </c>
      <c r="Q364" s="27" t="s">
        <v>8</v>
      </c>
    </row>
    <row r="365" spans="1:19" x14ac:dyDescent="0.25">
      <c r="A365" s="30">
        <v>2.245626973719844E-3</v>
      </c>
      <c r="B365"/>
      <c r="C365"/>
      <c r="D365"/>
      <c r="E365"/>
      <c r="P365" s="27" t="s">
        <v>7</v>
      </c>
      <c r="Q365" s="27" t="s">
        <v>8</v>
      </c>
    </row>
    <row r="366" spans="1:19" x14ac:dyDescent="0.25">
      <c r="A366" s="30">
        <v>2.1386923559236601E-3</v>
      </c>
      <c r="B366"/>
      <c r="C366"/>
      <c r="D366"/>
      <c r="E366"/>
      <c r="P366" s="27" t="s">
        <v>7</v>
      </c>
      <c r="Q366" s="27" t="s">
        <v>8</v>
      </c>
    </row>
    <row r="367" spans="1:19" x14ac:dyDescent="0.25">
      <c r="A367" s="30">
        <v>2.0368498627844375E-3</v>
      </c>
      <c r="B367"/>
      <c r="C367"/>
      <c r="D367"/>
      <c r="E367"/>
      <c r="P367" s="27" t="s">
        <v>7</v>
      </c>
      <c r="Q367" s="27" t="s">
        <v>8</v>
      </c>
    </row>
    <row r="368" spans="1:19" x14ac:dyDescent="0.25">
      <c r="A368" s="30">
        <v>1.9398570121756541E-3</v>
      </c>
      <c r="B368"/>
      <c r="C368"/>
      <c r="D368"/>
      <c r="E368"/>
      <c r="P368" s="27" t="s">
        <v>7</v>
      </c>
      <c r="Q368" s="27" t="s">
        <v>8</v>
      </c>
    </row>
    <row r="369" spans="1:16" x14ac:dyDescent="0.25">
      <c r="A369" s="30">
        <v>1.8474828687387174E-3</v>
      </c>
      <c r="B369"/>
      <c r="C369"/>
      <c r="D369"/>
      <c r="E369"/>
      <c r="P369" s="27" t="s">
        <v>7</v>
      </c>
    </row>
    <row r="370" spans="1:16" x14ac:dyDescent="0.25">
      <c r="A370" s="30">
        <v>1.759507494036873E-3</v>
      </c>
      <c r="B370"/>
      <c r="C370"/>
      <c r="D370"/>
      <c r="E370"/>
    </row>
    <row r="371" spans="1:16" x14ac:dyDescent="0.25">
      <c r="A371" s="30">
        <v>1.6757214228922594E-3</v>
      </c>
      <c r="B371"/>
      <c r="C371"/>
      <c r="D371"/>
      <c r="E371"/>
    </row>
    <row r="372" spans="1:16" x14ac:dyDescent="0.25">
      <c r="A372" s="30">
        <v>1.595925164659294E-3</v>
      </c>
      <c r="B372"/>
      <c r="C372"/>
      <c r="D372"/>
      <c r="E372"/>
    </row>
    <row r="373" spans="1:16" x14ac:dyDescent="0.25">
      <c r="A373" s="30">
        <v>1.5199287282469461E-3</v>
      </c>
      <c r="B373"/>
      <c r="C373"/>
      <c r="D373"/>
      <c r="E373"/>
    </row>
    <row r="374" spans="1:16" x14ac:dyDescent="0.25">
      <c r="A374" s="30">
        <v>1.4475511697589958E-3</v>
      </c>
      <c r="B374"/>
      <c r="C374"/>
      <c r="D374"/>
      <c r="E374"/>
    </row>
    <row r="375" spans="1:16" x14ac:dyDescent="0.25">
      <c r="A375" s="30">
        <v>1.3786201616752334E-3</v>
      </c>
      <c r="B375"/>
      <c r="C375"/>
      <c r="D375"/>
      <c r="E375"/>
    </row>
    <row r="376" spans="1:16" x14ac:dyDescent="0.25">
      <c r="A376" s="30">
        <v>1.3129715825478407E-3</v>
      </c>
      <c r="B376"/>
      <c r="C376"/>
      <c r="D376"/>
      <c r="E376"/>
    </row>
    <row r="377" spans="1:16" x14ac:dyDescent="0.25">
      <c r="A377" s="30">
        <v>1.2504491262360382E-3</v>
      </c>
      <c r="B377"/>
      <c r="C377"/>
      <c r="D377"/>
      <c r="E377"/>
    </row>
    <row r="378" spans="1:16" x14ac:dyDescent="0.25">
      <c r="A378" s="30">
        <v>1.1909039297486072E-3</v>
      </c>
      <c r="B378"/>
      <c r="C378"/>
      <c r="D378"/>
      <c r="E378"/>
    </row>
    <row r="379" spans="1:16" x14ac:dyDescent="0.25">
      <c r="A379" s="30">
        <v>1.1341942188081969E-3</v>
      </c>
      <c r="B379"/>
      <c r="C379"/>
      <c r="D379"/>
      <c r="E379"/>
    </row>
    <row r="380" spans="1:16" x14ac:dyDescent="0.25">
      <c r="A380" s="30">
        <v>1.0801849702935203E-3</v>
      </c>
      <c r="B380"/>
      <c r="C380"/>
      <c r="D380"/>
      <c r="E380"/>
    </row>
    <row r="381" spans="1:16" x14ac:dyDescent="0.25">
      <c r="A381" s="30">
        <v>1.0287475907557332E-3</v>
      </c>
      <c r="B381"/>
      <c r="C381"/>
      <c r="D381"/>
      <c r="E381"/>
    </row>
    <row r="382" spans="1:16" x14ac:dyDescent="0.25">
      <c r="A382" s="30">
        <v>9.7731021121794646E-4</v>
      </c>
    </row>
    <row r="383" spans="1:16" x14ac:dyDescent="0.25">
      <c r="A383" s="30">
        <v>9.2844470065704904E-4</v>
      </c>
    </row>
    <row r="384" spans="1:16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58" operator="equal">
      <formula>$U$1</formula>
    </cfRule>
    <cfRule type="cellIs" dxfId="67" priority="1159" operator="equal">
      <formula>$S$1</formula>
    </cfRule>
  </conditionalFormatting>
  <conditionalFormatting sqref="D136">
    <cfRule type="cellIs" dxfId="66" priority="1156" operator="equal">
      <formula>$S$1</formula>
    </cfRule>
    <cfRule type="cellIs" dxfId="65" priority="1157" operator="equal">
      <formula>$U$1</formula>
    </cfRule>
  </conditionalFormatting>
  <conditionalFormatting sqref="C162">
    <cfRule type="cellIs" dxfId="64" priority="1154" operator="equal">
      <formula>$U$1</formula>
    </cfRule>
    <cfRule type="cellIs" dxfId="63" priority="1155" operator="equal">
      <formula>$S$1</formula>
    </cfRule>
  </conditionalFormatting>
  <conditionalFormatting sqref="D162">
    <cfRule type="cellIs" dxfId="62" priority="1152" operator="equal">
      <formula>$S$1</formula>
    </cfRule>
    <cfRule type="cellIs" dxfId="61" priority="1153" operator="equal">
      <formula>$U$1</formula>
    </cfRule>
  </conditionalFormatting>
  <conditionalFormatting sqref="C187">
    <cfRule type="cellIs" dxfId="60" priority="1150" operator="equal">
      <formula>$U$1</formula>
    </cfRule>
    <cfRule type="cellIs" dxfId="59" priority="1151" operator="equal">
      <formula>$S$1</formula>
    </cfRule>
  </conditionalFormatting>
  <conditionalFormatting sqref="D187">
    <cfRule type="cellIs" dxfId="58" priority="1148" operator="equal">
      <formula>$S$1</formula>
    </cfRule>
    <cfRule type="cellIs" dxfId="57" priority="1149" operator="equal">
      <formula>$U$1</formula>
    </cfRule>
  </conditionalFormatting>
  <conditionalFormatting sqref="C212">
    <cfRule type="cellIs" dxfId="56" priority="1146" operator="equal">
      <formula>$U$1</formula>
    </cfRule>
    <cfRule type="cellIs" dxfId="55" priority="1147" operator="equal">
      <formula>$S$1</formula>
    </cfRule>
  </conditionalFormatting>
  <conditionalFormatting sqref="D212">
    <cfRule type="cellIs" dxfId="54" priority="1144" operator="equal">
      <formula>$S$1</formula>
    </cfRule>
    <cfRule type="cellIs" dxfId="53" priority="1145" operator="equal">
      <formula>$U$1</formula>
    </cfRule>
  </conditionalFormatting>
  <conditionalFormatting sqref="C237">
    <cfRule type="cellIs" dxfId="52" priority="1142" operator="equal">
      <formula>$U$1</formula>
    </cfRule>
    <cfRule type="cellIs" dxfId="51" priority="1143" operator="equal">
      <formula>$S$1</formula>
    </cfRule>
  </conditionalFormatting>
  <conditionalFormatting sqref="D237">
    <cfRule type="cellIs" dxfId="50" priority="1140" operator="equal">
      <formula>$S$1</formula>
    </cfRule>
    <cfRule type="cellIs" dxfId="49" priority="1141" operator="equal">
      <formula>$U$1</formula>
    </cfRule>
  </conditionalFormatting>
  <conditionalFormatting sqref="C106">
    <cfRule type="cellIs" dxfId="48" priority="1138" operator="equal">
      <formula>$U$1</formula>
    </cfRule>
    <cfRule type="cellIs" dxfId="47" priority="1139" operator="equal">
      <formula>$S$1</formula>
    </cfRule>
  </conditionalFormatting>
  <conditionalFormatting sqref="D106">
    <cfRule type="cellIs" dxfId="46" priority="1136" operator="equal">
      <formula>$S$1</formula>
    </cfRule>
    <cfRule type="cellIs" dxfId="45" priority="1137" operator="equal">
      <formula>$U$1</formula>
    </cfRule>
  </conditionalFormatting>
  <conditionalFormatting sqref="C81">
    <cfRule type="cellIs" dxfId="44" priority="1134" operator="equal">
      <formula>$U$1</formula>
    </cfRule>
    <cfRule type="cellIs" dxfId="43" priority="1135" operator="equal">
      <formula>$S$1</formula>
    </cfRule>
  </conditionalFormatting>
  <conditionalFormatting sqref="D81">
    <cfRule type="cellIs" dxfId="42" priority="1132" operator="equal">
      <formula>$S$1</formula>
    </cfRule>
    <cfRule type="cellIs" dxfId="41" priority="1133" operator="equal">
      <formula>$U$1</formula>
    </cfRule>
  </conditionalFormatting>
  <conditionalFormatting sqref="C56">
    <cfRule type="cellIs" dxfId="40" priority="1130" operator="equal">
      <formula>$U$1</formula>
    </cfRule>
    <cfRule type="cellIs" dxfId="39" priority="1131" operator="equal">
      <formula>$S$1</formula>
    </cfRule>
  </conditionalFormatting>
  <conditionalFormatting sqref="D56">
    <cfRule type="cellIs" dxfId="38" priority="1128" operator="equal">
      <formula>$S$1</formula>
    </cfRule>
    <cfRule type="cellIs" dxfId="37" priority="1129" operator="equal">
      <formula>$U$1</formula>
    </cfRule>
  </conditionalFormatting>
  <conditionalFormatting sqref="C31">
    <cfRule type="cellIs" dxfId="36" priority="1126" operator="equal">
      <formula>$U$1</formula>
    </cfRule>
    <cfRule type="cellIs" dxfId="35" priority="1127" operator="equal">
      <formula>$S$1</formula>
    </cfRule>
  </conditionalFormatting>
  <conditionalFormatting sqref="D31">
    <cfRule type="cellIs" dxfId="34" priority="1124" operator="equal">
      <formula>$S$1</formula>
    </cfRule>
    <cfRule type="cellIs" dxfId="33" priority="112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X164" sqref="BX164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$A$163</v>
      </c>
      <c r="D111" s="1" t="str">
        <f>ADDRESS(C121-1,D121,1,1)</f>
        <v>$BX$163</v>
      </c>
      <c r="E111"/>
    </row>
    <row r="112" spans="1:5" x14ac:dyDescent="0.25">
      <c r="A112" s="30">
        <v>2.3579476910000019</v>
      </c>
      <c r="C112" s="1" t="str">
        <f>ADDRESS(C121,1,1,1)</f>
        <v>$A$164</v>
      </c>
      <c r="D112" s="1" t="str">
        <f>ADDRESS(C121,D121-1,1,1)</f>
        <v>$BW$164</v>
      </c>
      <c r="E112"/>
    </row>
    <row r="113" spans="1:6" x14ac:dyDescent="0.25">
      <c r="A113" s="30">
        <v>2.1435888100000016</v>
      </c>
      <c r="C113" s="1" t="str">
        <f>ADDRESS(C121+1,1,1,1)</f>
        <v>$A$165</v>
      </c>
      <c r="D113" s="1" t="str">
        <f>ADDRESS(C121-1,D121+1,1,1)</f>
        <v>$BY$163</v>
      </c>
    </row>
    <row r="114" spans="1:6" x14ac:dyDescent="0.25">
      <c r="A114" s="30">
        <v>1.9487171000000014</v>
      </c>
      <c r="C114" s="1" t="str">
        <f>ADDRESS(C121,D121,1,1)</f>
        <v>$BX$164</v>
      </c>
      <c r="D114" s="1" t="str">
        <f>ADDRESS(C121+1,D121+1,1,1)</f>
        <v>$BY$165</v>
      </c>
    </row>
    <row r="115" spans="1:6" x14ac:dyDescent="0.25">
      <c r="A115" s="30">
        <v>1.7715610000000011</v>
      </c>
      <c r="C115" s="1" t="str">
        <f>ADDRESS(C121+1,D121,1,1)</f>
        <v>$BX$165</v>
      </c>
    </row>
    <row r="116" spans="1:6" x14ac:dyDescent="0.25">
      <c r="A116" s="30">
        <v>1.6105100000000008</v>
      </c>
      <c r="C116" s="1">
        <f>C117-1</f>
        <v>163</v>
      </c>
    </row>
    <row r="117" spans="1:6" x14ac:dyDescent="0.25">
      <c r="A117" s="30">
        <v>1.4641000000000006</v>
      </c>
      <c r="C117" s="1">
        <f>C121</f>
        <v>164</v>
      </c>
      <c r="D117" s="1">
        <f>D121</f>
        <v>76</v>
      </c>
    </row>
    <row r="118" spans="1:6" x14ac:dyDescent="0.25">
      <c r="A118" s="30">
        <v>1.3310000000000004</v>
      </c>
      <c r="C118" s="1">
        <f>C117+1</f>
        <v>165</v>
      </c>
      <c r="D118" s="1">
        <f>D117+1</f>
        <v>77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164</v>
      </c>
      <c r="D121" s="19">
        <v>76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R164</v>
      </c>
      <c r="D123" s="1" t="str">
        <f>"C"&amp;D121</f>
        <v>C76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1.6600246545589663E-2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4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47" x14ac:dyDescent="0.25">
      <c r="A130" s="30">
        <v>0.42409761837248428</v>
      </c>
      <c r="C130" s="6"/>
      <c r="D130" s="6"/>
      <c r="E130"/>
      <c r="F130" s="27" t="s">
        <v>7</v>
      </c>
    </row>
    <row r="131" spans="1:47" x14ac:dyDescent="0.25">
      <c r="A131" s="30">
        <v>0.38554328942953109</v>
      </c>
      <c r="E131"/>
      <c r="F131" s="27" t="s">
        <v>7</v>
      </c>
    </row>
    <row r="132" spans="1:47" x14ac:dyDescent="0.25">
      <c r="A132" s="30">
        <v>0.35049389948139187</v>
      </c>
      <c r="C132" s="1" t="s">
        <v>13</v>
      </c>
      <c r="E132"/>
      <c r="F132" s="27" t="s">
        <v>7</v>
      </c>
    </row>
    <row r="133" spans="1:47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47" x14ac:dyDescent="0.25">
      <c r="A134" s="30">
        <v>0.28966437973668741</v>
      </c>
      <c r="C134"/>
      <c r="D134"/>
      <c r="E134"/>
      <c r="F134" s="27" t="s">
        <v>7</v>
      </c>
    </row>
    <row r="135" spans="1:47" x14ac:dyDescent="0.25">
      <c r="A135" s="30">
        <v>0.2633312543060794</v>
      </c>
      <c r="C135" s="1" t="s">
        <v>14</v>
      </c>
      <c r="E135"/>
      <c r="F135" s="27" t="s">
        <v>7</v>
      </c>
    </row>
    <row r="136" spans="1:4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47" x14ac:dyDescent="0.25">
      <c r="A137" s="30">
        <v>0.2176291357901482</v>
      </c>
      <c r="E137"/>
      <c r="F137" s="27" t="s">
        <v>7</v>
      </c>
    </row>
    <row r="138" spans="1:4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</row>
    <row r="139" spans="1:47" x14ac:dyDescent="0.25">
      <c r="A139" s="30">
        <v>0.17985878990921333</v>
      </c>
      <c r="E139"/>
      <c r="F139" s="27" t="s">
        <v>7</v>
      </c>
    </row>
    <row r="140" spans="1:47" x14ac:dyDescent="0.25">
      <c r="A140" s="30">
        <v>0.16350799082655756</v>
      </c>
      <c r="C140" s="1">
        <v>0</v>
      </c>
      <c r="E140"/>
      <c r="F140" s="27" t="s">
        <v>7</v>
      </c>
    </row>
    <row r="141" spans="1:47" x14ac:dyDescent="0.25">
      <c r="A141" s="30">
        <v>0.14864362802414322</v>
      </c>
      <c r="C141" s="1">
        <v>1</v>
      </c>
      <c r="E141"/>
      <c r="F141" s="27" t="s">
        <v>7</v>
      </c>
    </row>
    <row r="142" spans="1:47" x14ac:dyDescent="0.25">
      <c r="A142" s="30">
        <v>0.13513057093103928</v>
      </c>
      <c r="C142" s="1">
        <v>2</v>
      </c>
      <c r="E142"/>
      <c r="F142" s="27" t="s">
        <v>7</v>
      </c>
    </row>
    <row r="143" spans="1:47" x14ac:dyDescent="0.25">
      <c r="A143" s="30">
        <v>0.12284597357367205</v>
      </c>
      <c r="C143" s="1">
        <v>3</v>
      </c>
      <c r="E143"/>
      <c r="F143" s="27" t="s">
        <v>7</v>
      </c>
    </row>
    <row r="144" spans="1:47" x14ac:dyDescent="0.25">
      <c r="A144" s="30">
        <v>0.11167815779424731</v>
      </c>
      <c r="C144" s="1">
        <v>4</v>
      </c>
      <c r="E144"/>
      <c r="F144" s="27" t="s">
        <v>7</v>
      </c>
      <c r="AU144" s="27" t="s">
        <v>8</v>
      </c>
    </row>
    <row r="145" spans="1:76" x14ac:dyDescent="0.25">
      <c r="A145" s="30">
        <v>0.10152559799477026</v>
      </c>
      <c r="B145"/>
      <c r="C145"/>
      <c r="D145"/>
      <c r="E145"/>
      <c r="F145" s="27" t="s">
        <v>7</v>
      </c>
      <c r="AU145" s="27" t="s">
        <v>8</v>
      </c>
      <c r="AV145" s="27" t="s">
        <v>7</v>
      </c>
    </row>
    <row r="146" spans="1:76" x14ac:dyDescent="0.25">
      <c r="A146" s="30">
        <v>9.2295998177063854E-2</v>
      </c>
      <c r="B146"/>
      <c r="C146"/>
      <c r="D146"/>
      <c r="E146"/>
      <c r="F146" s="27" t="s">
        <v>7</v>
      </c>
      <c r="AU146" s="27" t="s">
        <v>8</v>
      </c>
      <c r="AV146" s="27" t="s">
        <v>7</v>
      </c>
    </row>
    <row r="147" spans="1:76" x14ac:dyDescent="0.25">
      <c r="A147" s="30">
        <v>8.3905452888239848E-2</v>
      </c>
      <c r="B147"/>
      <c r="C147"/>
      <c r="D147"/>
      <c r="E147"/>
      <c r="F147" s="27" t="s">
        <v>7</v>
      </c>
      <c r="AQ147" s="27" t="s">
        <v>8</v>
      </c>
      <c r="AS147" s="27" t="s">
        <v>8</v>
      </c>
      <c r="AU147" s="27" t="s">
        <v>8</v>
      </c>
      <c r="AV147" s="27" t="s">
        <v>7</v>
      </c>
    </row>
    <row r="148" spans="1:76" x14ac:dyDescent="0.25">
      <c r="A148" s="30">
        <v>7.6277684443854396E-2</v>
      </c>
      <c r="B148"/>
      <c r="C148"/>
      <c r="D148"/>
      <c r="E148"/>
      <c r="F148" s="27" t="s">
        <v>7</v>
      </c>
      <c r="AQ148" s="27" t="s">
        <v>8</v>
      </c>
      <c r="AR148" s="27" t="s">
        <v>7</v>
      </c>
      <c r="AS148" s="27" t="s">
        <v>8</v>
      </c>
      <c r="AT148" s="27" t="s">
        <v>7</v>
      </c>
      <c r="AU148" s="27" t="s">
        <v>8</v>
      </c>
      <c r="AV148" s="27" t="s">
        <v>7</v>
      </c>
    </row>
    <row r="149" spans="1:76" x14ac:dyDescent="0.25">
      <c r="A149" s="30">
        <v>6.9343349494413078E-2</v>
      </c>
      <c r="B149"/>
      <c r="C149"/>
      <c r="D149"/>
      <c r="E149"/>
      <c r="F149" s="27" t="s">
        <v>7</v>
      </c>
      <c r="AQ149" s="27" t="s">
        <v>8</v>
      </c>
      <c r="AR149" s="27" t="s">
        <v>7</v>
      </c>
      <c r="AS149" s="27" t="s">
        <v>8</v>
      </c>
      <c r="AT149" s="27" t="s">
        <v>7</v>
      </c>
      <c r="AU149" s="27" t="s">
        <v>8</v>
      </c>
      <c r="AV149" s="27" t="s">
        <v>7</v>
      </c>
    </row>
    <row r="150" spans="1:76" x14ac:dyDescent="0.25">
      <c r="A150" s="30">
        <v>6.3039408631284613E-2</v>
      </c>
      <c r="B150"/>
      <c r="C150"/>
      <c r="D150"/>
      <c r="E150"/>
      <c r="F150" s="27" t="s">
        <v>7</v>
      </c>
      <c r="AQ150" s="27" t="s">
        <v>8</v>
      </c>
      <c r="AR150" s="27" t="s">
        <v>7</v>
      </c>
      <c r="AS150" s="27" t="s">
        <v>8</v>
      </c>
      <c r="AT150" s="27" t="s">
        <v>7</v>
      </c>
      <c r="AU150" s="27" t="s">
        <v>8</v>
      </c>
      <c r="AV150" s="27" t="s">
        <v>7</v>
      </c>
      <c r="BO150" s="27" t="s">
        <v>8</v>
      </c>
      <c r="BS150" s="27" t="s">
        <v>8</v>
      </c>
    </row>
    <row r="151" spans="1:76" x14ac:dyDescent="0.25">
      <c r="A151" s="30">
        <v>5.7308553301167818E-2</v>
      </c>
      <c r="B151"/>
      <c r="C151"/>
      <c r="D151"/>
      <c r="E151"/>
      <c r="F151" s="27" t="s">
        <v>7</v>
      </c>
      <c r="AQ151" s="27" t="s">
        <v>8</v>
      </c>
      <c r="AR151" s="27" t="s">
        <v>7</v>
      </c>
      <c r="AT151" s="27" t="s">
        <v>7</v>
      </c>
      <c r="AU151" s="27" t="s">
        <v>8</v>
      </c>
      <c r="AV151" s="27" t="s">
        <v>7</v>
      </c>
      <c r="BO151" s="27" t="s">
        <v>8</v>
      </c>
      <c r="BP151" s="27" t="s">
        <v>7</v>
      </c>
      <c r="BS151" s="27" t="s">
        <v>8</v>
      </c>
      <c r="BT151" s="27" t="s">
        <v>7</v>
      </c>
    </row>
    <row r="152" spans="1:76" x14ac:dyDescent="0.25">
      <c r="A152" s="30">
        <v>5.2098684819243464E-2</v>
      </c>
      <c r="B152"/>
      <c r="C152"/>
      <c r="D152"/>
      <c r="E152"/>
      <c r="F152" s="27" t="s">
        <v>7</v>
      </c>
      <c r="AQ152" s="27" t="s">
        <v>8</v>
      </c>
      <c r="AT152" s="27" t="s">
        <v>7</v>
      </c>
      <c r="AU152" s="27" t="s">
        <v>8</v>
      </c>
      <c r="AV152" s="27" t="s">
        <v>7</v>
      </c>
      <c r="BO152" s="27" t="s">
        <v>8</v>
      </c>
      <c r="BP152" s="27" t="s">
        <v>7</v>
      </c>
      <c r="BS152" s="27" t="s">
        <v>8</v>
      </c>
      <c r="BT152" s="27" t="s">
        <v>7</v>
      </c>
    </row>
    <row r="153" spans="1:76" x14ac:dyDescent="0.25">
      <c r="A153" s="30">
        <v>4.7362440744766775E-2</v>
      </c>
      <c r="B153"/>
      <c r="C153"/>
      <c r="D153"/>
      <c r="E153"/>
      <c r="F153" s="27" t="s">
        <v>7</v>
      </c>
      <c r="AQ153" s="27" t="s">
        <v>8</v>
      </c>
      <c r="AT153" s="27" t="s">
        <v>7</v>
      </c>
      <c r="AU153" s="27" t="s">
        <v>8</v>
      </c>
      <c r="AV153" s="27" t="s">
        <v>7</v>
      </c>
      <c r="BI153" s="27" t="s">
        <v>8</v>
      </c>
      <c r="BO153" s="27" t="s">
        <v>8</v>
      </c>
      <c r="BP153" s="27" t="s">
        <v>7</v>
      </c>
      <c r="BQ153" s="27" t="s">
        <v>8</v>
      </c>
      <c r="BS153" s="27" t="s">
        <v>8</v>
      </c>
      <c r="BT153" s="27" t="s">
        <v>7</v>
      </c>
      <c r="BW153" s="27" t="s">
        <v>8</v>
      </c>
    </row>
    <row r="154" spans="1:76" x14ac:dyDescent="0.25">
      <c r="A154" s="30">
        <v>4.3056764313424332E-2</v>
      </c>
      <c r="B154"/>
      <c r="C154"/>
      <c r="D154"/>
      <c r="E154"/>
      <c r="F154" s="27" t="s">
        <v>7</v>
      </c>
      <c r="AQ154" s="27" t="s">
        <v>8</v>
      </c>
      <c r="AT154" s="27" t="s">
        <v>7</v>
      </c>
      <c r="AU154" s="27" t="s">
        <v>8</v>
      </c>
      <c r="AV154" s="27" t="s">
        <v>7</v>
      </c>
      <c r="BE154" s="27" t="s">
        <v>8</v>
      </c>
      <c r="BI154" s="27" t="s">
        <v>8</v>
      </c>
      <c r="BJ154" s="27" t="s">
        <v>7</v>
      </c>
      <c r="BM154" s="27" t="s">
        <v>8</v>
      </c>
      <c r="BO154" s="27" t="s">
        <v>8</v>
      </c>
      <c r="BP154" s="27" t="s">
        <v>7</v>
      </c>
      <c r="BQ154" s="27" t="s">
        <v>8</v>
      </c>
      <c r="BR154" s="27" t="s">
        <v>7</v>
      </c>
      <c r="BS154" s="27" t="s">
        <v>8</v>
      </c>
      <c r="BT154" s="27" t="s">
        <v>7</v>
      </c>
      <c r="BU154" s="27" t="s">
        <v>8</v>
      </c>
      <c r="BW154" s="27" t="s">
        <v>8</v>
      </c>
      <c r="BX154" s="27" t="s">
        <v>7</v>
      </c>
    </row>
    <row r="155" spans="1:76" x14ac:dyDescent="0.25">
      <c r="A155" s="30">
        <v>3.9142513012203929E-2</v>
      </c>
      <c r="B155"/>
      <c r="C155"/>
      <c r="D155"/>
      <c r="E155"/>
      <c r="F155" s="27" t="s">
        <v>7</v>
      </c>
      <c r="W155" s="27" t="s">
        <v>8</v>
      </c>
      <c r="AQ155" s="27" t="s">
        <v>8</v>
      </c>
      <c r="AT155" s="27" t="s">
        <v>7</v>
      </c>
      <c r="AU155" s="27" t="s">
        <v>8</v>
      </c>
      <c r="AV155" s="27" t="s">
        <v>7</v>
      </c>
      <c r="AW155" s="27" t="s">
        <v>8</v>
      </c>
      <c r="BE155" s="27" t="s">
        <v>8</v>
      </c>
      <c r="BF155" s="27" t="s">
        <v>7</v>
      </c>
      <c r="BI155" s="27" t="s">
        <v>8</v>
      </c>
      <c r="BJ155" s="27" t="s">
        <v>7</v>
      </c>
      <c r="BK155" s="27" t="s">
        <v>8</v>
      </c>
      <c r="BM155" s="27" t="s">
        <v>8</v>
      </c>
      <c r="BN155" s="27" t="s">
        <v>7</v>
      </c>
      <c r="BO155" s="27" t="s">
        <v>8</v>
      </c>
      <c r="BP155" s="27" t="s">
        <v>7</v>
      </c>
      <c r="BQ155" s="27" t="s">
        <v>8</v>
      </c>
      <c r="BR155" s="27" t="s">
        <v>7</v>
      </c>
      <c r="BS155" s="27" t="s">
        <v>8</v>
      </c>
      <c r="BT155" s="27" t="s">
        <v>7</v>
      </c>
      <c r="BU155" s="27" t="s">
        <v>8</v>
      </c>
      <c r="BV155" s="27" t="s">
        <v>7</v>
      </c>
      <c r="BW155" s="27" t="s">
        <v>8</v>
      </c>
      <c r="BX155" s="27" t="s">
        <v>7</v>
      </c>
    </row>
    <row r="156" spans="1:76" x14ac:dyDescent="0.25">
      <c r="A156" s="30">
        <v>3.55841027383672E-2</v>
      </c>
      <c r="B156"/>
      <c r="C156"/>
      <c r="D156"/>
      <c r="E156"/>
      <c r="F156" s="27" t="s">
        <v>7</v>
      </c>
      <c r="W156" s="27" t="s">
        <v>8</v>
      </c>
      <c r="X156" s="27" t="s">
        <v>7</v>
      </c>
      <c r="AQ156" s="27" t="s">
        <v>8</v>
      </c>
      <c r="AT156" s="27" t="s">
        <v>7</v>
      </c>
      <c r="AU156" s="27" t="s">
        <v>8</v>
      </c>
      <c r="AV156" s="27" t="s">
        <v>7</v>
      </c>
      <c r="AW156" s="27" t="s">
        <v>8</v>
      </c>
      <c r="AX156" s="27" t="s">
        <v>7</v>
      </c>
      <c r="AY156" s="27" t="s">
        <v>8</v>
      </c>
      <c r="BA156" s="27" t="s">
        <v>8</v>
      </c>
      <c r="BC156" s="27" t="s">
        <v>8</v>
      </c>
      <c r="BE156" s="27" t="s">
        <v>8</v>
      </c>
      <c r="BF156" s="27" t="s">
        <v>7</v>
      </c>
      <c r="BI156" s="27" t="s">
        <v>8</v>
      </c>
      <c r="BJ156" s="27" t="s">
        <v>7</v>
      </c>
      <c r="BK156" s="27" t="s">
        <v>8</v>
      </c>
      <c r="BL156" s="27" t="s">
        <v>7</v>
      </c>
      <c r="BM156" s="27" t="s">
        <v>8</v>
      </c>
      <c r="BN156" s="27" t="s">
        <v>7</v>
      </c>
      <c r="BO156" s="27" t="s">
        <v>8</v>
      </c>
      <c r="BP156" s="27" t="s">
        <v>7</v>
      </c>
      <c r="BR156" s="27" t="s">
        <v>7</v>
      </c>
      <c r="BS156" s="27" t="s">
        <v>8</v>
      </c>
      <c r="BT156" s="27" t="s">
        <v>7</v>
      </c>
      <c r="BU156" s="27" t="s">
        <v>8</v>
      </c>
      <c r="BV156" s="27" t="s">
        <v>7</v>
      </c>
      <c r="BW156" s="27" t="s">
        <v>8</v>
      </c>
      <c r="BX156" s="27" t="s">
        <v>7</v>
      </c>
    </row>
    <row r="157" spans="1:76" x14ac:dyDescent="0.25">
      <c r="A157" s="30">
        <v>3.2349184307606541E-2</v>
      </c>
      <c r="B157"/>
      <c r="C157"/>
      <c r="D157"/>
      <c r="E157"/>
      <c r="F157" s="27" t="s">
        <v>7</v>
      </c>
      <c r="W157" s="27" t="s">
        <v>8</v>
      </c>
      <c r="X157" s="27" t="s">
        <v>7</v>
      </c>
      <c r="AO157" s="27" t="s">
        <v>8</v>
      </c>
      <c r="AQ157" s="27" t="s">
        <v>8</v>
      </c>
      <c r="AT157" s="27" t="s">
        <v>7</v>
      </c>
      <c r="AU157" s="27" t="s">
        <v>8</v>
      </c>
      <c r="AV157" s="27" t="s">
        <v>7</v>
      </c>
      <c r="AW157" s="27" t="s">
        <v>8</v>
      </c>
      <c r="AX157" s="27" t="s">
        <v>7</v>
      </c>
      <c r="AY157" s="27" t="s">
        <v>8</v>
      </c>
      <c r="AZ157" s="27" t="s">
        <v>7</v>
      </c>
      <c r="BA157" s="27" t="s">
        <v>8</v>
      </c>
      <c r="BB157" s="27" t="s">
        <v>7</v>
      </c>
      <c r="BC157" s="27" t="s">
        <v>8</v>
      </c>
      <c r="BD157" s="27" t="s">
        <v>7</v>
      </c>
      <c r="BE157" s="27" t="s">
        <v>8</v>
      </c>
      <c r="BF157" s="27" t="s">
        <v>7</v>
      </c>
      <c r="BI157" s="27" t="s">
        <v>8</v>
      </c>
      <c r="BJ157" s="27" t="s">
        <v>7</v>
      </c>
      <c r="BK157" s="27" t="s">
        <v>8</v>
      </c>
      <c r="BL157" s="27" t="s">
        <v>7</v>
      </c>
      <c r="BM157" s="27" t="s">
        <v>8</v>
      </c>
      <c r="BN157" s="27" t="s">
        <v>7</v>
      </c>
      <c r="BO157" s="27" t="s">
        <v>8</v>
      </c>
      <c r="BR157" s="27" t="s">
        <v>7</v>
      </c>
      <c r="BT157" s="27" t="s">
        <v>7</v>
      </c>
      <c r="BU157" s="27" t="s">
        <v>8</v>
      </c>
      <c r="BV157" s="27" t="s">
        <v>7</v>
      </c>
      <c r="BW157" s="27" t="s">
        <v>8</v>
      </c>
      <c r="BX157" s="27" t="s">
        <v>7</v>
      </c>
    </row>
    <row r="158" spans="1:76" x14ac:dyDescent="0.25">
      <c r="A158" s="30">
        <v>2.9408349370551395E-2</v>
      </c>
      <c r="B158"/>
      <c r="C158"/>
      <c r="D158"/>
      <c r="E158"/>
      <c r="F158" s="27" t="s">
        <v>7</v>
      </c>
      <c r="W158" s="27" t="s">
        <v>8</v>
      </c>
      <c r="X158" s="27" t="s">
        <v>7</v>
      </c>
      <c r="AK158" s="27" t="s">
        <v>8</v>
      </c>
      <c r="AO158" s="27" t="s">
        <v>8</v>
      </c>
      <c r="AP158" s="27" t="s">
        <v>7</v>
      </c>
      <c r="AQ158" s="27" t="s">
        <v>8</v>
      </c>
      <c r="AT158" s="27" t="s">
        <v>7</v>
      </c>
      <c r="AV158" s="27" t="s">
        <v>7</v>
      </c>
      <c r="AW158" s="27" t="s">
        <v>8</v>
      </c>
      <c r="AX158" s="27" t="s">
        <v>7</v>
      </c>
      <c r="AY158" s="27" t="s">
        <v>8</v>
      </c>
      <c r="AZ158" s="27" t="s">
        <v>7</v>
      </c>
      <c r="BA158" s="27" t="s">
        <v>8</v>
      </c>
      <c r="BB158" s="27" t="s">
        <v>7</v>
      </c>
      <c r="BC158" s="27" t="s">
        <v>8</v>
      </c>
      <c r="BD158" s="27" t="s">
        <v>7</v>
      </c>
      <c r="BE158" s="27" t="s">
        <v>8</v>
      </c>
      <c r="BF158" s="27" t="s">
        <v>7</v>
      </c>
      <c r="BI158" s="27" t="s">
        <v>8</v>
      </c>
      <c r="BJ158" s="27" t="s">
        <v>7</v>
      </c>
      <c r="BL158" s="27" t="s">
        <v>7</v>
      </c>
      <c r="BM158" s="27" t="s">
        <v>8</v>
      </c>
      <c r="BN158" s="27" t="s">
        <v>7</v>
      </c>
      <c r="BT158" s="27" t="s">
        <v>7</v>
      </c>
      <c r="BV158" s="27" t="s">
        <v>7</v>
      </c>
      <c r="BX158" s="27" t="s">
        <v>7</v>
      </c>
    </row>
    <row r="159" spans="1:76" x14ac:dyDescent="0.25">
      <c r="A159" s="30">
        <v>2.6734863064137627E-2</v>
      </c>
      <c r="B159"/>
      <c r="C159"/>
      <c r="D159"/>
      <c r="E159"/>
      <c r="F159" s="27" t="s">
        <v>7</v>
      </c>
      <c r="W159" s="27" t="s">
        <v>8</v>
      </c>
      <c r="X159" s="27" t="s">
        <v>7</v>
      </c>
      <c r="AK159" s="27" t="s">
        <v>8</v>
      </c>
      <c r="AL159" s="27" t="s">
        <v>7</v>
      </c>
      <c r="AO159" s="27" t="s">
        <v>8</v>
      </c>
      <c r="AP159" s="27" t="s">
        <v>7</v>
      </c>
      <c r="AQ159" s="27" t="s">
        <v>8</v>
      </c>
      <c r="AV159" s="27" t="s">
        <v>7</v>
      </c>
      <c r="AW159" s="27" t="s">
        <v>8</v>
      </c>
      <c r="AX159" s="27" t="s">
        <v>7</v>
      </c>
      <c r="AY159" s="27" t="s">
        <v>8</v>
      </c>
      <c r="AZ159" s="27" t="s">
        <v>7</v>
      </c>
      <c r="BB159" s="27" t="s">
        <v>7</v>
      </c>
      <c r="BD159" s="27" t="s">
        <v>7</v>
      </c>
      <c r="BE159" s="27" t="s">
        <v>8</v>
      </c>
      <c r="BF159" s="27" t="s">
        <v>7</v>
      </c>
      <c r="BI159" s="27" t="s">
        <v>8</v>
      </c>
      <c r="BL159" s="27" t="s">
        <v>7</v>
      </c>
      <c r="BM159" s="27" t="s">
        <v>8</v>
      </c>
      <c r="BX159" s="27" t="s">
        <v>7</v>
      </c>
    </row>
    <row r="160" spans="1:76" x14ac:dyDescent="0.25">
      <c r="A160" s="30">
        <v>2.4304420967397839E-2</v>
      </c>
      <c r="B160"/>
      <c r="C160"/>
      <c r="D160"/>
      <c r="E160"/>
      <c r="F160" s="27" t="s">
        <v>7</v>
      </c>
      <c r="W160" s="27" t="s">
        <v>8</v>
      </c>
      <c r="X160" s="27" t="s">
        <v>7</v>
      </c>
      <c r="AK160" s="27" t="s">
        <v>8</v>
      </c>
      <c r="AL160" s="27" t="s">
        <v>7</v>
      </c>
      <c r="AO160" s="27" t="s">
        <v>8</v>
      </c>
      <c r="AP160" s="27" t="s">
        <v>7</v>
      </c>
      <c r="AV160" s="27" t="s">
        <v>7</v>
      </c>
      <c r="AX160" s="27" t="s">
        <v>7</v>
      </c>
      <c r="AY160" s="27" t="s">
        <v>8</v>
      </c>
      <c r="BD160" s="27" t="s">
        <v>7</v>
      </c>
      <c r="BF160" s="27" t="s">
        <v>7</v>
      </c>
      <c r="BG160" s="27" t="s">
        <v>8</v>
      </c>
      <c r="BI160" s="27" t="s">
        <v>8</v>
      </c>
      <c r="BL160" s="27" t="s">
        <v>7</v>
      </c>
      <c r="BX160" s="27" t="s">
        <v>7</v>
      </c>
    </row>
    <row r="161" spans="1:76" x14ac:dyDescent="0.25">
      <c r="A161" s="30">
        <v>2.2094928152179852E-2</v>
      </c>
      <c r="B161"/>
      <c r="C161"/>
      <c r="D161"/>
      <c r="E161"/>
      <c r="F161" s="27" t="s">
        <v>7</v>
      </c>
      <c r="W161" s="27" t="s">
        <v>8</v>
      </c>
      <c r="X161" s="27" t="s">
        <v>7</v>
      </c>
      <c r="AK161" s="27" t="s">
        <v>8</v>
      </c>
      <c r="AL161" s="27" t="s">
        <v>7</v>
      </c>
      <c r="AM161" s="27" t="s">
        <v>8</v>
      </c>
      <c r="AO161" s="27" t="s">
        <v>8</v>
      </c>
      <c r="AX161" s="27" t="s">
        <v>7</v>
      </c>
      <c r="AY161" s="27" t="s">
        <v>8</v>
      </c>
      <c r="BF161" s="27" t="s">
        <v>7</v>
      </c>
      <c r="BG161" s="27" t="s">
        <v>8</v>
      </c>
      <c r="BH161" s="27" t="s">
        <v>7</v>
      </c>
      <c r="BI161" s="27" t="s">
        <v>8</v>
      </c>
      <c r="BX161" s="27" t="s">
        <v>7</v>
      </c>
    </row>
    <row r="162" spans="1:76" x14ac:dyDescent="0.25">
      <c r="A162" s="30">
        <v>2.0086298320163499E-2</v>
      </c>
      <c r="B162"/>
      <c r="C162"/>
      <c r="D162"/>
      <c r="E162"/>
      <c r="F162" s="27" t="s">
        <v>7</v>
      </c>
      <c r="W162" s="27" t="s">
        <v>8</v>
      </c>
      <c r="X162" s="27" t="s">
        <v>7</v>
      </c>
      <c r="AK162" s="27" t="s">
        <v>8</v>
      </c>
      <c r="AL162" s="27" t="s">
        <v>7</v>
      </c>
      <c r="AM162" s="27" t="s">
        <v>8</v>
      </c>
      <c r="AN162" s="27" t="s">
        <v>7</v>
      </c>
      <c r="AO162" s="27" t="s">
        <v>8</v>
      </c>
      <c r="AX162" s="27" t="s">
        <v>7</v>
      </c>
      <c r="AY162" s="27" t="s">
        <v>8</v>
      </c>
      <c r="BF162" s="27" t="s">
        <v>7</v>
      </c>
      <c r="BG162" s="27" t="s">
        <v>8</v>
      </c>
      <c r="BH162" s="27" t="s">
        <v>7</v>
      </c>
      <c r="BI162" s="27" t="s">
        <v>8</v>
      </c>
      <c r="BX162" s="27" t="s">
        <v>7</v>
      </c>
    </row>
    <row r="163" spans="1:76" x14ac:dyDescent="0.25">
      <c r="A163" s="30">
        <v>1.8260271200148632E-2</v>
      </c>
      <c r="B163"/>
      <c r="C163"/>
      <c r="D163"/>
      <c r="E163"/>
      <c r="F163" s="27" t="s">
        <v>7</v>
      </c>
      <c r="W163" s="27" t="s">
        <v>8</v>
      </c>
      <c r="X163" s="27" t="s">
        <v>7</v>
      </c>
      <c r="Y163" s="27" t="s">
        <v>8</v>
      </c>
      <c r="AK163" s="27" t="s">
        <v>8</v>
      </c>
      <c r="AL163" s="27" t="s">
        <v>7</v>
      </c>
      <c r="AM163" s="27" t="s">
        <v>8</v>
      </c>
      <c r="AN163" s="27" t="s">
        <v>7</v>
      </c>
      <c r="AO163" s="27" t="s">
        <v>8</v>
      </c>
      <c r="AX163" s="27" t="s">
        <v>7</v>
      </c>
      <c r="BF163" s="27" t="s">
        <v>7</v>
      </c>
      <c r="BH163" s="18" t="s">
        <v>7</v>
      </c>
      <c r="BI163" s="27" t="s">
        <v>8</v>
      </c>
      <c r="BX163" s="27" t="s">
        <v>7</v>
      </c>
    </row>
    <row r="164" spans="1:76" x14ac:dyDescent="0.25">
      <c r="A164" s="30">
        <v>1.6600246545589663E-2</v>
      </c>
      <c r="B164"/>
      <c r="C164"/>
      <c r="D164"/>
      <c r="E164"/>
      <c r="F164" s="27" t="s">
        <v>7</v>
      </c>
      <c r="W164" s="27" t="s">
        <v>8</v>
      </c>
      <c r="X164" s="27" t="s">
        <v>7</v>
      </c>
      <c r="Y164" s="27" t="s">
        <v>8</v>
      </c>
      <c r="Z164" s="27" t="s">
        <v>7</v>
      </c>
      <c r="AK164" s="27" t="s">
        <v>8</v>
      </c>
      <c r="AL164" s="27" t="s">
        <v>7</v>
      </c>
      <c r="AN164" s="27" t="s">
        <v>7</v>
      </c>
      <c r="BH164" s="27" t="s">
        <v>7</v>
      </c>
      <c r="BX164" s="27" t="s">
        <v>7</v>
      </c>
    </row>
    <row r="165" spans="1:76" x14ac:dyDescent="0.25">
      <c r="A165" s="30">
        <v>1.5091133223263328E-2</v>
      </c>
      <c r="B165"/>
      <c r="C165"/>
      <c r="D165"/>
      <c r="E165"/>
      <c r="F165" s="27" t="s">
        <v>7</v>
      </c>
      <c r="W165" s="27" t="s">
        <v>8</v>
      </c>
      <c r="X165" s="27" t="s">
        <v>7</v>
      </c>
      <c r="Y165" s="27" t="s">
        <v>8</v>
      </c>
      <c r="Z165" s="27" t="s">
        <v>7</v>
      </c>
      <c r="AC165" s="27" t="s">
        <v>8</v>
      </c>
      <c r="AK165" s="27" t="s">
        <v>8</v>
      </c>
    </row>
    <row r="166" spans="1:76" x14ac:dyDescent="0.25">
      <c r="A166" s="30">
        <v>1.3719212021148477E-2</v>
      </c>
      <c r="B166"/>
      <c r="C166"/>
      <c r="D166"/>
      <c r="E166"/>
      <c r="F166" s="27" t="s">
        <v>7</v>
      </c>
      <c r="G166" s="27" t="s">
        <v>8</v>
      </c>
      <c r="W166" s="27" t="s">
        <v>8</v>
      </c>
      <c r="X166" s="27" t="s">
        <v>7</v>
      </c>
      <c r="Y166" s="27" t="s">
        <v>8</v>
      </c>
      <c r="Z166" s="27" t="s">
        <v>7</v>
      </c>
      <c r="AC166" s="27" t="s">
        <v>8</v>
      </c>
      <c r="AD166" s="27" t="s">
        <v>7</v>
      </c>
      <c r="AK166" s="27" t="s">
        <v>8</v>
      </c>
    </row>
    <row r="167" spans="1:76" x14ac:dyDescent="0.25">
      <c r="A167" s="30">
        <v>1.2472010928316795E-2</v>
      </c>
      <c r="B167"/>
      <c r="C167"/>
      <c r="D167"/>
      <c r="E167"/>
      <c r="F167" s="27" t="s">
        <v>7</v>
      </c>
      <c r="G167" s="27" t="s">
        <v>8</v>
      </c>
      <c r="H167" s="27" t="s">
        <v>7</v>
      </c>
      <c r="U167" s="27" t="s">
        <v>8</v>
      </c>
      <c r="W167" s="27" t="s">
        <v>8</v>
      </c>
      <c r="X167" s="27" t="s">
        <v>7</v>
      </c>
      <c r="Z167" s="27" t="s">
        <v>7</v>
      </c>
      <c r="AC167" s="27" t="s">
        <v>8</v>
      </c>
      <c r="AD167" s="27" t="s">
        <v>7</v>
      </c>
      <c r="AI167" s="27" t="s">
        <v>8</v>
      </c>
      <c r="AK167" s="27" t="s">
        <v>8</v>
      </c>
    </row>
    <row r="168" spans="1:76" x14ac:dyDescent="0.25">
      <c r="A168" s="30">
        <v>1.1338191753015267E-2</v>
      </c>
      <c r="B168"/>
      <c r="C168"/>
      <c r="D168"/>
      <c r="E168"/>
      <c r="F168" s="27" t="s">
        <v>7</v>
      </c>
      <c r="G168" s="27" t="s">
        <v>8</v>
      </c>
      <c r="H168" s="27" t="s">
        <v>7</v>
      </c>
      <c r="U168" s="27" t="s">
        <v>8</v>
      </c>
      <c r="V168" s="27" t="s">
        <v>7</v>
      </c>
      <c r="W168" s="27" t="s">
        <v>8</v>
      </c>
      <c r="Z168" s="27" t="s">
        <v>7</v>
      </c>
      <c r="AC168" s="27" t="s">
        <v>8</v>
      </c>
      <c r="AD168" s="27" t="s">
        <v>7</v>
      </c>
      <c r="AI168" s="27" t="s">
        <v>8</v>
      </c>
      <c r="AJ168" s="27" t="s">
        <v>7</v>
      </c>
      <c r="AK168" s="27" t="s">
        <v>8</v>
      </c>
    </row>
    <row r="169" spans="1:76" x14ac:dyDescent="0.25">
      <c r="A169" s="30">
        <v>1.0307447048195697E-2</v>
      </c>
      <c r="B169"/>
      <c r="C169"/>
      <c r="D169"/>
      <c r="E169"/>
      <c r="F169" s="27" t="s">
        <v>7</v>
      </c>
      <c r="G169" s="27" t="s">
        <v>8</v>
      </c>
      <c r="H169" s="27" t="s">
        <v>7</v>
      </c>
      <c r="U169" s="27" t="s">
        <v>8</v>
      </c>
      <c r="V169" s="27" t="s">
        <v>7</v>
      </c>
      <c r="W169" s="27" t="s">
        <v>8</v>
      </c>
      <c r="Z169" s="27" t="s">
        <v>7</v>
      </c>
      <c r="AC169" s="27" t="s">
        <v>8</v>
      </c>
      <c r="AD169" s="27" t="s">
        <v>7</v>
      </c>
      <c r="AE169" s="27" t="s">
        <v>8</v>
      </c>
      <c r="AG169" s="27" t="s">
        <v>8</v>
      </c>
      <c r="AI169" s="27" t="s">
        <v>8</v>
      </c>
      <c r="AJ169" s="27" t="s">
        <v>7</v>
      </c>
      <c r="AK169" s="27" t="s">
        <v>8</v>
      </c>
    </row>
    <row r="170" spans="1:76" x14ac:dyDescent="0.25">
      <c r="A170" s="30">
        <v>9.3704064074506318E-3</v>
      </c>
      <c r="B170"/>
      <c r="C170"/>
      <c r="D170"/>
      <c r="E170"/>
      <c r="F170" s="27" t="s">
        <v>7</v>
      </c>
      <c r="G170" s="27" t="s">
        <v>8</v>
      </c>
      <c r="H170" s="27" t="s">
        <v>7</v>
      </c>
      <c r="S170" s="27" t="s">
        <v>8</v>
      </c>
      <c r="U170" s="27" t="s">
        <v>8</v>
      </c>
      <c r="V170" s="27" t="s">
        <v>7</v>
      </c>
      <c r="Z170" s="27" t="s">
        <v>7</v>
      </c>
      <c r="AA170" s="27" t="s">
        <v>8</v>
      </c>
      <c r="AC170" s="27" t="s">
        <v>8</v>
      </c>
      <c r="AD170" s="27" t="s">
        <v>7</v>
      </c>
      <c r="AE170" s="27" t="s">
        <v>8</v>
      </c>
      <c r="AF170" s="27" t="s">
        <v>7</v>
      </c>
      <c r="AG170" s="27" t="s">
        <v>8</v>
      </c>
      <c r="AH170" s="27" t="s">
        <v>7</v>
      </c>
      <c r="AI170" s="27" t="s">
        <v>8</v>
      </c>
      <c r="AJ170" s="27" t="s">
        <v>7</v>
      </c>
      <c r="AK170" s="27" t="s">
        <v>8</v>
      </c>
    </row>
    <row r="171" spans="1:76" x14ac:dyDescent="0.25">
      <c r="A171" s="30">
        <v>8.5185512795005747E-3</v>
      </c>
      <c r="F171" s="27" t="s">
        <v>7</v>
      </c>
      <c r="H171" s="27" t="s">
        <v>7</v>
      </c>
      <c r="I171" s="27" t="s">
        <v>8</v>
      </c>
      <c r="S171" s="27" t="s">
        <v>8</v>
      </c>
      <c r="T171" s="27" t="s">
        <v>7</v>
      </c>
      <c r="U171" s="27" t="s">
        <v>8</v>
      </c>
      <c r="Z171" s="27" t="s">
        <v>7</v>
      </c>
      <c r="AA171" s="27" t="s">
        <v>8</v>
      </c>
      <c r="AB171" s="27" t="s">
        <v>7</v>
      </c>
      <c r="AC171" s="27" t="s">
        <v>8</v>
      </c>
      <c r="AD171" s="27" t="s">
        <v>7</v>
      </c>
      <c r="AE171" s="27" t="s">
        <v>8</v>
      </c>
      <c r="AF171" s="27" t="s">
        <v>7</v>
      </c>
      <c r="AG171" s="27" t="s">
        <v>8</v>
      </c>
      <c r="AH171" s="27" t="s">
        <v>7</v>
      </c>
      <c r="AI171" s="27" t="s">
        <v>8</v>
      </c>
      <c r="AJ171" s="27" t="s">
        <v>7</v>
      </c>
    </row>
    <row r="172" spans="1:76" x14ac:dyDescent="0.25">
      <c r="A172" s="30">
        <v>7.744137526818704E-3</v>
      </c>
      <c r="H172" s="27" t="s">
        <v>7</v>
      </c>
      <c r="I172" s="27" t="s">
        <v>8</v>
      </c>
      <c r="J172" s="27" t="s">
        <v>7</v>
      </c>
      <c r="S172" s="27" t="s">
        <v>8</v>
      </c>
      <c r="T172" s="27" t="s">
        <v>7</v>
      </c>
      <c r="U172" s="27" t="s">
        <v>8</v>
      </c>
      <c r="Z172" s="27" t="s">
        <v>7</v>
      </c>
      <c r="AA172" s="27" t="s">
        <v>8</v>
      </c>
      <c r="AB172" s="27" t="s">
        <v>7</v>
      </c>
      <c r="AC172" s="27" t="s">
        <v>8</v>
      </c>
      <c r="AD172" s="27" t="s">
        <v>7</v>
      </c>
      <c r="AF172" s="27" t="s">
        <v>7</v>
      </c>
      <c r="AG172" s="27" t="s">
        <v>8</v>
      </c>
      <c r="AH172" s="27" t="s">
        <v>7</v>
      </c>
    </row>
    <row r="173" spans="1:76" x14ac:dyDescent="0.25">
      <c r="A173" s="30">
        <v>7.0401250243806394E-3</v>
      </c>
      <c r="H173" s="27" t="s">
        <v>7</v>
      </c>
      <c r="I173" s="27" t="s">
        <v>8</v>
      </c>
      <c r="J173" s="27" t="s">
        <v>7</v>
      </c>
      <c r="M173" s="27" t="s">
        <v>8</v>
      </c>
      <c r="O173" s="27" t="s">
        <v>8</v>
      </c>
      <c r="Q173" s="27" t="s">
        <v>8</v>
      </c>
      <c r="S173" s="27" t="s">
        <v>8</v>
      </c>
      <c r="T173" s="27" t="s">
        <v>7</v>
      </c>
      <c r="U173" s="27" t="s">
        <v>8</v>
      </c>
      <c r="Z173" s="27" t="s">
        <v>7</v>
      </c>
      <c r="AA173" s="27" t="s">
        <v>8</v>
      </c>
      <c r="AB173" s="27" t="s">
        <v>7</v>
      </c>
      <c r="AF173" s="27" t="s">
        <v>7</v>
      </c>
    </row>
    <row r="174" spans="1:76" x14ac:dyDescent="0.25">
      <c r="A174" s="30">
        <v>6.4001136585278536E-3</v>
      </c>
      <c r="H174" s="27" t="s">
        <v>7</v>
      </c>
      <c r="I174" s="27" t="s">
        <v>8</v>
      </c>
      <c r="J174" s="27" t="s">
        <v>7</v>
      </c>
      <c r="M174" s="27" t="s">
        <v>8</v>
      </c>
      <c r="N174" s="27" t="s">
        <v>7</v>
      </c>
      <c r="O174" s="27" t="s">
        <v>8</v>
      </c>
      <c r="P174" s="27" t="s">
        <v>7</v>
      </c>
      <c r="Q174" s="27" t="s">
        <v>8</v>
      </c>
      <c r="R174" s="27" t="s">
        <v>7</v>
      </c>
      <c r="S174" s="27" t="s">
        <v>8</v>
      </c>
      <c r="T174" s="27" t="s">
        <v>7</v>
      </c>
      <c r="Z174" s="27" t="s">
        <v>7</v>
      </c>
      <c r="AA174" s="27" t="s">
        <v>8</v>
      </c>
    </row>
    <row r="175" spans="1:76" x14ac:dyDescent="0.25">
      <c r="A175" s="30">
        <v>5.8182851441162305E-3</v>
      </c>
      <c r="H175" s="27" t="s">
        <v>7</v>
      </c>
      <c r="I175" s="27" t="s">
        <v>8</v>
      </c>
      <c r="J175" s="27" t="s">
        <v>7</v>
      </c>
      <c r="M175" s="27" t="s">
        <v>8</v>
      </c>
      <c r="N175" s="27" t="s">
        <v>7</v>
      </c>
      <c r="O175" s="27" t="s">
        <v>8</v>
      </c>
      <c r="P175" s="27" t="s">
        <v>7</v>
      </c>
      <c r="Q175" s="27" t="s">
        <v>8</v>
      </c>
      <c r="R175" s="27" t="s">
        <v>7</v>
      </c>
      <c r="S175" s="27" t="s">
        <v>8</v>
      </c>
      <c r="Z175" s="27" t="s">
        <v>7</v>
      </c>
      <c r="AA175" s="27" t="s">
        <v>8</v>
      </c>
    </row>
    <row r="176" spans="1:76" x14ac:dyDescent="0.25">
      <c r="A176" s="30">
        <v>5.2893501310147546E-3</v>
      </c>
      <c r="H176" s="27" t="s">
        <v>7</v>
      </c>
      <c r="J176" s="27" t="s">
        <v>7</v>
      </c>
      <c r="K176" s="27" t="s">
        <v>8</v>
      </c>
      <c r="M176" s="27" t="s">
        <v>8</v>
      </c>
      <c r="N176" s="27" t="s">
        <v>7</v>
      </c>
      <c r="O176" s="27" t="s">
        <v>8</v>
      </c>
      <c r="P176" s="27" t="s">
        <v>7</v>
      </c>
      <c r="Q176" s="27" t="s">
        <v>8</v>
      </c>
      <c r="R176" s="27" t="s">
        <v>7</v>
      </c>
      <c r="Z176" s="27" t="s">
        <v>7</v>
      </c>
    </row>
    <row r="177" spans="1:16" x14ac:dyDescent="0.25">
      <c r="A177" s="30">
        <v>4.8085001191043222E-3</v>
      </c>
      <c r="J177" s="27" t="s">
        <v>7</v>
      </c>
      <c r="K177" s="27" t="s">
        <v>8</v>
      </c>
      <c r="L177" s="27" t="s">
        <v>7</v>
      </c>
      <c r="M177" s="27" t="s">
        <v>8</v>
      </c>
      <c r="N177" s="27" t="s">
        <v>7</v>
      </c>
      <c r="O177" s="27" t="s">
        <v>8</v>
      </c>
      <c r="P177" s="27" t="s">
        <v>7</v>
      </c>
    </row>
    <row r="178" spans="1:16" x14ac:dyDescent="0.25">
      <c r="A178" s="30">
        <v>4.3713637446402926E-3</v>
      </c>
      <c r="J178" s="27" t="s">
        <v>7</v>
      </c>
      <c r="K178" s="27" t="s">
        <v>8</v>
      </c>
      <c r="L178" s="27" t="s">
        <v>7</v>
      </c>
      <c r="M178" s="27" t="s">
        <v>8</v>
      </c>
      <c r="N178" s="27" t="s">
        <v>7</v>
      </c>
    </row>
    <row r="179" spans="1:16" x14ac:dyDescent="0.25">
      <c r="A179" s="30">
        <v>3.9739670405820838E-3</v>
      </c>
      <c r="J179" s="27" t="s">
        <v>7</v>
      </c>
      <c r="K179" s="27" t="s">
        <v>8</v>
      </c>
      <c r="L179" s="27" t="s">
        <v>7</v>
      </c>
    </row>
    <row r="180" spans="1:16" x14ac:dyDescent="0.25">
      <c r="A180" s="30">
        <v>3.6126973096200759E-3</v>
      </c>
      <c r="J180" s="27" t="s">
        <v>7</v>
      </c>
      <c r="K180" s="27" t="s">
        <v>8</v>
      </c>
    </row>
    <row r="181" spans="1:16" x14ac:dyDescent="0.25">
      <c r="A181" s="30">
        <v>3.2842702814727962E-3</v>
      </c>
      <c r="J181" s="27" t="s">
        <v>7</v>
      </c>
      <c r="K181" s="27" t="s">
        <v>8</v>
      </c>
    </row>
    <row r="182" spans="1:16" x14ac:dyDescent="0.25">
      <c r="A182" s="30">
        <v>2.9857002558843601E-3</v>
      </c>
      <c r="J182" s="27" t="s">
        <v>7</v>
      </c>
      <c r="K182" s="27" t="s">
        <v>8</v>
      </c>
    </row>
    <row r="183" spans="1:16" x14ac:dyDescent="0.25">
      <c r="A183" s="30">
        <v>2.7142729598948726E-3</v>
      </c>
      <c r="J183" s="27" t="s">
        <v>7</v>
      </c>
      <c r="K183" s="27" t="s">
        <v>8</v>
      </c>
    </row>
    <row r="184" spans="1:16" x14ac:dyDescent="0.25">
      <c r="A184" s="30">
        <v>2.4675208726317021E-3</v>
      </c>
      <c r="J184" s="27" t="s">
        <v>7</v>
      </c>
      <c r="K184" s="27" t="s">
        <v>8</v>
      </c>
    </row>
    <row r="185" spans="1:16" x14ac:dyDescent="0.25">
      <c r="A185" s="30">
        <v>2.2432007933015472E-3</v>
      </c>
      <c r="J185" s="27" t="s">
        <v>7</v>
      </c>
      <c r="K185" s="27" t="s">
        <v>8</v>
      </c>
    </row>
    <row r="186" spans="1:16" x14ac:dyDescent="0.25">
      <c r="A186" s="30">
        <v>2.0392734484559519E-3</v>
      </c>
      <c r="J186" s="27" t="s">
        <v>7</v>
      </c>
      <c r="K186" s="27" t="s">
        <v>8</v>
      </c>
    </row>
    <row r="187" spans="1:16" x14ac:dyDescent="0.25">
      <c r="A187" s="30">
        <v>1.8538849531417744E-3</v>
      </c>
      <c r="J187" s="27" t="s">
        <v>7</v>
      </c>
    </row>
    <row r="188" spans="1:16" x14ac:dyDescent="0.25">
      <c r="A188" s="30">
        <v>1.6853499574016129E-3</v>
      </c>
    </row>
    <row r="189" spans="1:16" x14ac:dyDescent="0.25">
      <c r="A189" s="30">
        <v>1.5321363249105571E-3</v>
      </c>
    </row>
    <row r="190" spans="1:16" x14ac:dyDescent="0.25">
      <c r="A190" s="30">
        <v>1.3928512044641427E-3</v>
      </c>
    </row>
    <row r="191" spans="1:16" x14ac:dyDescent="0.25">
      <c r="A191" s="30">
        <v>1.2662283676946752E-3</v>
      </c>
    </row>
    <row r="192" spans="1:16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42" operator="equal">
      <formula>$U$1</formula>
    </cfRule>
    <cfRule type="cellIs" dxfId="30" priority="1143" operator="equal">
      <formula>$S$1</formula>
    </cfRule>
  </conditionalFormatting>
  <conditionalFormatting sqref="D136">
    <cfRule type="cellIs" dxfId="29" priority="1140" operator="equal">
      <formula>$S$1</formula>
    </cfRule>
    <cfRule type="cellIs" dxfId="28" priority="1141" operator="equal">
      <formula>$U$1</formula>
    </cfRule>
  </conditionalFormatting>
  <conditionalFormatting sqref="C102">
    <cfRule type="cellIs" dxfId="27" priority="1138" operator="equal">
      <formula>$U$1</formula>
    </cfRule>
    <cfRule type="cellIs" dxfId="26" priority="1139" operator="equal">
      <formula>$S$1</formula>
    </cfRule>
  </conditionalFormatting>
  <conditionalFormatting sqref="D102">
    <cfRule type="cellIs" dxfId="25" priority="1136" operator="equal">
      <formula>$S$1</formula>
    </cfRule>
    <cfRule type="cellIs" dxfId="24" priority="1137" operator="equal">
      <formula>$U$1</formula>
    </cfRule>
  </conditionalFormatting>
  <conditionalFormatting sqref="C77">
    <cfRule type="cellIs" dxfId="23" priority="1134" operator="equal">
      <formula>$U$1</formula>
    </cfRule>
    <cfRule type="cellIs" dxfId="22" priority="1135" operator="equal">
      <formula>$S$1</formula>
    </cfRule>
  </conditionalFormatting>
  <conditionalFormatting sqref="D77">
    <cfRule type="cellIs" dxfId="21" priority="1132" operator="equal">
      <formula>$S$1</formula>
    </cfRule>
    <cfRule type="cellIs" dxfId="20" priority="1133" operator="equal">
      <formula>$U$1</formula>
    </cfRule>
  </conditionalFormatting>
  <conditionalFormatting sqref="C52">
    <cfRule type="cellIs" dxfId="19" priority="1130" operator="equal">
      <formula>$U$1</formula>
    </cfRule>
    <cfRule type="cellIs" dxfId="18" priority="1131" operator="equal">
      <formula>$S$1</formula>
    </cfRule>
  </conditionalFormatting>
  <conditionalFormatting sqref="D52">
    <cfRule type="cellIs" dxfId="17" priority="1128" operator="equal">
      <formula>$S$1</formula>
    </cfRule>
    <cfRule type="cellIs" dxfId="16" priority="1129" operator="equal">
      <formula>$U$1</formula>
    </cfRule>
  </conditionalFormatting>
  <conditionalFormatting sqref="C26">
    <cfRule type="cellIs" dxfId="15" priority="1126" operator="equal">
      <formula>$U$1</formula>
    </cfRule>
    <cfRule type="cellIs" dxfId="14" priority="1127" operator="equal">
      <formula>$S$1</formula>
    </cfRule>
  </conditionalFormatting>
  <conditionalFormatting sqref="D26">
    <cfRule type="cellIs" dxfId="13" priority="1124" operator="equal">
      <formula>$S$1</formula>
    </cfRule>
    <cfRule type="cellIs" dxfId="12" priority="112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2022-01-28T01:21:55Z</dcterms:modified>
</cp:coreProperties>
</file>