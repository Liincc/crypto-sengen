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E072CC6-C424-4C27-B82D-97D25EDB6D6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47" i="1"/>
  <c r="Q1047" i="1" s="1"/>
  <c r="R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47" i="1"/>
  <c r="T1047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3"/>
  <c r="C133" i="3" s="1"/>
  <c r="C136" i="3" s="1"/>
  <c r="C116" i="5"/>
  <c r="C116" i="4"/>
  <c r="C118" i="4"/>
  <c r="D136" i="5"/>
  <c r="C136" i="5"/>
  <c r="C136" i="4"/>
  <c r="D136" i="4"/>
  <c r="C118" i="3"/>
  <c r="C116" i="3"/>
  <c r="R1046" i="1"/>
  <c r="D136" i="3" l="1"/>
  <c r="C138" i="3" s="1"/>
  <c r="C138" i="5"/>
  <c r="C138" i="4"/>
  <c r="R1045" i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S445" i="1" l="1"/>
  <c r="T445" i="1" s="1"/>
  <c r="R444" i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<sst xmlns="http://schemas.openxmlformats.org/spreadsheetml/2006/main" count="9517" uniqueCount="34">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</sst>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2.2919999999999999E-2</c:v>
                </c:pt>
                <c:pt idx="1">
                  <c:v>2.3439999999999999E-2</c:v>
                </c:pt>
                <c:pt idx="2">
                  <c:v>2.198E-2</c:v>
                </c:pt>
                <c:pt idx="3">
                  <c:v>2.1749999999999999E-2</c:v>
                </c:pt>
                <c:pt idx="4">
                  <c:v>2.2620000000000001E-2</c:v>
                </c:pt>
                <c:pt idx="5">
                  <c:v>2.1139999999999999E-2</c:v>
                </c:pt>
                <c:pt idx="6">
                  <c:v>2.3060000000000001E-2</c:v>
                </c:pt>
                <c:pt idx="7">
                  <c:v>2.581E-2</c:v>
                </c:pt>
                <c:pt idx="8">
                  <c:v>2.7359999999999999E-2</c:v>
                </c:pt>
                <c:pt idx="9">
                  <c:v>2.827E-2</c:v>
                </c:pt>
                <c:pt idx="10">
                  <c:v>2.8549999999999999E-2</c:v>
                </c:pt>
                <c:pt idx="11">
                  <c:v>2.9989999999999999E-2</c:v>
                </c:pt>
                <c:pt idx="12">
                  <c:v>2.9739999999999999E-2</c:v>
                </c:pt>
                <c:pt idx="13">
                  <c:v>2.9520000000000001E-2</c:v>
                </c:pt>
                <c:pt idx="14">
                  <c:v>2.912E-2</c:v>
                </c:pt>
                <c:pt idx="15">
                  <c:v>3.023E-2</c:v>
                </c:pt>
                <c:pt idx="16">
                  <c:v>2.9270000000000001E-2</c:v>
                </c:pt>
                <c:pt idx="17">
                  <c:v>2.7609999999999999E-2</c:v>
                </c:pt>
                <c:pt idx="18">
                  <c:v>2.8639999999999999E-2</c:v>
                </c:pt>
                <c:pt idx="19">
                  <c:v>2.8320000000000001E-2</c:v>
                </c:pt>
                <c:pt idx="20">
                  <c:v>2.9100000000000001E-2</c:v>
                </c:pt>
                <c:pt idx="21">
                  <c:v>3.075E-2</c:v>
                </c:pt>
                <c:pt idx="22">
                  <c:v>2.9919999999999999E-2</c:v>
                </c:pt>
                <c:pt idx="23">
                  <c:v>3.2649999999999998E-2</c:v>
                </c:pt>
                <c:pt idx="24">
                  <c:v>3.3309999999999999E-2</c:v>
                </c:pt>
                <c:pt idx="25">
                  <c:v>3.4099999999999998E-2</c:v>
                </c:pt>
                <c:pt idx="26">
                  <c:v>3.2730000000000002E-2</c:v>
                </c:pt>
                <c:pt idx="27">
                  <c:v>3.1309999999999998E-2</c:v>
                </c:pt>
                <c:pt idx="28">
                  <c:v>3.202E-2</c:v>
                </c:pt>
                <c:pt idx="29">
                  <c:v>3.1859999999999999E-2</c:v>
                </c:pt>
                <c:pt idx="30">
                  <c:v>3.2640000000000002E-2</c:v>
                </c:pt>
                <c:pt idx="31">
                  <c:v>3.6540000000000003E-2</c:v>
                </c:pt>
                <c:pt idx="32">
                  <c:v>3.7719999999999997E-2</c:v>
                </c:pt>
                <c:pt idx="33">
                  <c:v>3.5979999999999998E-2</c:v>
                </c:pt>
                <c:pt idx="34">
                  <c:v>3.4750000000000003E-2</c:v>
                </c:pt>
                <c:pt idx="35">
                  <c:v>3.6249999999999998E-2</c:v>
                </c:pt>
                <c:pt idx="36">
                  <c:v>3.1699999999999999E-2</c:v>
                </c:pt>
                <c:pt idx="37">
                  <c:v>3.0269999999999998E-2</c:v>
                </c:pt>
                <c:pt idx="38">
                  <c:v>2.9159999999999998E-2</c:v>
                </c:pt>
                <c:pt idx="39">
                  <c:v>2.9059999999999999E-2</c:v>
                </c:pt>
                <c:pt idx="40">
                  <c:v>2.9360000000000001E-2</c:v>
                </c:pt>
                <c:pt idx="41">
                  <c:v>2.8930000000000001E-2</c:v>
                </c:pt>
                <c:pt idx="42">
                  <c:v>2.9489999999999999E-2</c:v>
                </c:pt>
                <c:pt idx="43">
                  <c:v>3.0460000000000001E-2</c:v>
                </c:pt>
                <c:pt idx="44">
                  <c:v>3.007E-2</c:v>
                </c:pt>
                <c:pt idx="45">
                  <c:v>2.895E-2</c:v>
                </c:pt>
                <c:pt idx="46">
                  <c:v>3.1780000000000003E-2</c:v>
                </c:pt>
                <c:pt idx="47">
                  <c:v>3.1199999999999999E-2</c:v>
                </c:pt>
                <c:pt idx="48">
                  <c:v>3.099E-2</c:v>
                </c:pt>
                <c:pt idx="49">
                  <c:v>3.1949999999999999E-2</c:v>
                </c:pt>
                <c:pt idx="50">
                  <c:v>3.4459999999999998E-2</c:v>
                </c:pt>
                <c:pt idx="51">
                  <c:v>3.4320000000000003E-2</c:v>
                </c:pt>
                <c:pt idx="52">
                  <c:v>3.3799999999999997E-2</c:v>
                </c:pt>
                <c:pt idx="53">
                  <c:v>3.3079999999999998E-2</c:v>
                </c:pt>
                <c:pt idx="54">
                  <c:v>3.3369999999999997E-2</c:v>
                </c:pt>
                <c:pt idx="55">
                  <c:v>3.7220000000000003E-2</c:v>
                </c:pt>
                <c:pt idx="56">
                  <c:v>4.0419999999999998E-2</c:v>
                </c:pt>
                <c:pt idx="57">
                  <c:v>4.0390000000000002E-2</c:v>
                </c:pt>
                <c:pt idx="58">
                  <c:v>3.9960000000000002E-2</c:v>
                </c:pt>
                <c:pt idx="59">
                  <c:v>4.1489999999999999E-2</c:v>
                </c:pt>
                <c:pt idx="60">
                  <c:v>3.8219999999999997E-2</c:v>
                </c:pt>
                <c:pt idx="61">
                  <c:v>3.7870000000000001E-2</c:v>
                </c:pt>
                <c:pt idx="62">
                  <c:v>3.7330000000000002E-2</c:v>
                </c:pt>
                <c:pt idx="63">
                  <c:v>4.1739999999999999E-2</c:v>
                </c:pt>
                <c:pt idx="64">
                  <c:v>4.1419999999999998E-2</c:v>
                </c:pt>
                <c:pt idx="65">
                  <c:v>4.2750000000000003E-2</c:v>
                </c:pt>
                <c:pt idx="66">
                  <c:v>4.2700000000000002E-2</c:v>
                </c:pt>
                <c:pt idx="67">
                  <c:v>4.444E-2</c:v>
                </c:pt>
                <c:pt idx="68">
                  <c:v>4.4339999999999997E-2</c:v>
                </c:pt>
                <c:pt idx="69">
                  <c:v>4.3310000000000001E-2</c:v>
                </c:pt>
                <c:pt idx="70">
                  <c:v>4.1259999999999998E-2</c:v>
                </c:pt>
                <c:pt idx="71">
                  <c:v>4.7140000000000001E-2</c:v>
                </c:pt>
                <c:pt idx="72">
                  <c:v>4.521E-2</c:v>
                </c:pt>
                <c:pt idx="73">
                  <c:v>4.8649999999999999E-2</c:v>
                </c:pt>
                <c:pt idx="74">
                  <c:v>4.811E-2</c:v>
                </c:pt>
                <c:pt idx="75">
                  <c:v>4.827E-2</c:v>
                </c:pt>
                <c:pt idx="76">
                  <c:v>4.768E-2</c:v>
                </c:pt>
                <c:pt idx="77">
                  <c:v>4.8430000000000001E-2</c:v>
                </c:pt>
                <c:pt idx="78">
                  <c:v>4.7960000000000003E-2</c:v>
                </c:pt>
                <c:pt idx="79">
                  <c:v>5.1830000000000001E-2</c:v>
                </c:pt>
                <c:pt idx="80">
                  <c:v>5.1650000000000001E-2</c:v>
                </c:pt>
                <c:pt idx="81">
                  <c:v>5.0360000000000002E-2</c:v>
                </c:pt>
                <c:pt idx="82">
                  <c:v>5.024E-2</c:v>
                </c:pt>
                <c:pt idx="83">
                  <c:v>5.1409999999999997E-2</c:v>
                </c:pt>
                <c:pt idx="84">
                  <c:v>5.407E-2</c:v>
                </c:pt>
                <c:pt idx="85">
                  <c:v>5.4579999999999997E-2</c:v>
                </c:pt>
                <c:pt idx="86">
                  <c:v>5.1540000000000002E-2</c:v>
                </c:pt>
                <c:pt idx="87">
                  <c:v>4.897E-2</c:v>
                </c:pt>
                <c:pt idx="88">
                  <c:v>4.9660000000000003E-2</c:v>
                </c:pt>
                <c:pt idx="89">
                  <c:v>4.827E-2</c:v>
                </c:pt>
                <c:pt idx="90">
                  <c:v>4.8750000000000002E-2</c:v>
                </c:pt>
                <c:pt idx="91">
                  <c:v>4.7219999999999998E-2</c:v>
                </c:pt>
                <c:pt idx="92">
                  <c:v>4.4260000000000001E-2</c:v>
                </c:pt>
                <c:pt idx="93">
                  <c:v>5.1060000000000001E-2</c:v>
                </c:pt>
                <c:pt idx="94">
                  <c:v>5.076E-2</c:v>
                </c:pt>
                <c:pt idx="95">
                  <c:v>4.9840000000000002E-2</c:v>
                </c:pt>
                <c:pt idx="96">
                  <c:v>5.1209999999999999E-2</c:v>
                </c:pt>
                <c:pt idx="97">
                  <c:v>5.101E-2</c:v>
                </c:pt>
                <c:pt idx="98">
                  <c:v>5.0110000000000002E-2</c:v>
                </c:pt>
                <c:pt idx="99">
                  <c:v>5.1999999999999998E-2</c:v>
                </c:pt>
                <c:pt idx="100">
                  <c:v>5.0130000000000001E-2</c:v>
                </c:pt>
                <c:pt idx="101">
                  <c:v>4.9979999999999997E-2</c:v>
                </c:pt>
                <c:pt idx="102">
                  <c:v>5.0819999999999997E-2</c:v>
                </c:pt>
                <c:pt idx="103">
                  <c:v>5.2339999999999998E-2</c:v>
                </c:pt>
                <c:pt idx="104">
                  <c:v>5.2519999999999997E-2</c:v>
                </c:pt>
                <c:pt idx="105">
                  <c:v>5.4879999999999998E-2</c:v>
                </c:pt>
                <c:pt idx="106">
                  <c:v>5.5050000000000002E-2</c:v>
                </c:pt>
                <c:pt idx="107">
                  <c:v>5.4239999999999997E-2</c:v>
                </c:pt>
                <c:pt idx="108">
                  <c:v>5.4089999999999999E-2</c:v>
                </c:pt>
                <c:pt idx="109">
                  <c:v>5.423E-2</c:v>
                </c:pt>
                <c:pt idx="110">
                  <c:v>5.9659999999999998E-2</c:v>
                </c:pt>
                <c:pt idx="111">
                  <c:v>5.6529999999999997E-2</c:v>
                </c:pt>
                <c:pt idx="112">
                  <c:v>5.4309999999999997E-2</c:v>
                </c:pt>
                <c:pt idx="113">
                  <c:v>5.4940000000000003E-2</c:v>
                </c:pt>
                <c:pt idx="114">
                  <c:v>5.6059999999999999E-2</c:v>
                </c:pt>
                <c:pt idx="115">
                  <c:v>5.3460000000000001E-2</c:v>
                </c:pt>
                <c:pt idx="116">
                  <c:v>5.5070000000000001E-2</c:v>
                </c:pt>
                <c:pt idx="117">
                  <c:v>5.6079999999999998E-2</c:v>
                </c:pt>
                <c:pt idx="118">
                  <c:v>5.7729999999999997E-2</c:v>
                </c:pt>
                <c:pt idx="119">
                  <c:v>5.4649999999999997E-2</c:v>
                </c:pt>
                <c:pt idx="120">
                  <c:v>5.3469999999999997E-2</c:v>
                </c:pt>
                <c:pt idx="121">
                  <c:v>5.246E-2</c:v>
                </c:pt>
                <c:pt idx="122">
                  <c:v>5.6210000000000003E-2</c:v>
                </c:pt>
                <c:pt idx="123">
                  <c:v>5.8619999999999998E-2</c:v>
                </c:pt>
                <c:pt idx="124">
                  <c:v>5.9150000000000001E-2</c:v>
                </c:pt>
                <c:pt idx="125">
                  <c:v>6.0650000000000003E-2</c:v>
                </c:pt>
                <c:pt idx="126">
                  <c:v>6.6239999999999993E-2</c:v>
                </c:pt>
                <c:pt idx="127">
                  <c:v>6.5600000000000006E-2</c:v>
                </c:pt>
                <c:pt idx="128">
                  <c:v>5.2240000000000002E-2</c:v>
                </c:pt>
                <c:pt idx="129">
                  <c:v>5.9700000000000003E-2</c:v>
                </c:pt>
                <c:pt idx="130">
                  <c:v>6.6699999999999995E-2</c:v>
                </c:pt>
                <c:pt idx="131">
                  <c:v>6.9860000000000005E-2</c:v>
                </c:pt>
                <c:pt idx="132">
                  <c:v>6.8930000000000005E-2</c:v>
                </c:pt>
                <c:pt idx="133">
                  <c:v>7.3010000000000005E-2</c:v>
                </c:pt>
                <c:pt idx="134">
                  <c:v>7.9500000000000001E-2</c:v>
                </c:pt>
                <c:pt idx="135">
                  <c:v>7.417E-2</c:v>
                </c:pt>
                <c:pt idx="136">
                  <c:v>6.6619999999999999E-2</c:v>
                </c:pt>
                <c:pt idx="137">
                  <c:v>7.2940000000000005E-2</c:v>
                </c:pt>
                <c:pt idx="138">
                  <c:v>7.2819999999999996E-2</c:v>
                </c:pt>
                <c:pt idx="139">
                  <c:v>7.4579999999999994E-2</c:v>
                </c:pt>
                <c:pt idx="140">
                  <c:v>7.9780000000000004E-2</c:v>
                </c:pt>
                <c:pt idx="141">
                  <c:v>7.8659999999999994E-2</c:v>
                </c:pt>
                <c:pt idx="142">
                  <c:v>5.4100000000000002E-2</c:v>
                </c:pt>
                <c:pt idx="143">
                  <c:v>6.4250000000000002E-2</c:v>
                </c:pt>
                <c:pt idx="144">
                  <c:v>6.1219999999999997E-2</c:v>
                </c:pt>
                <c:pt idx="145">
                  <c:v>5.8840000000000003E-2</c:v>
                </c:pt>
                <c:pt idx="146">
                  <c:v>5.212E-2</c:v>
                </c:pt>
                <c:pt idx="147">
                  <c:v>4.4720000000000003E-2</c:v>
                </c:pt>
                <c:pt idx="148">
                  <c:v>4.3860000000000003E-2</c:v>
                </c:pt>
                <c:pt idx="149">
                  <c:v>4.2209999999999998E-2</c:v>
                </c:pt>
                <c:pt idx="150">
                  <c:v>4.122E-2</c:v>
                </c:pt>
                <c:pt idx="151">
                  <c:v>4.3839999999999997E-2</c:v>
                </c:pt>
                <c:pt idx="152">
                  <c:v>4.5409999999999999E-2</c:v>
                </c:pt>
                <c:pt idx="153">
                  <c:v>4.6589999999999999E-2</c:v>
                </c:pt>
                <c:pt idx="154">
                  <c:v>4.4229999999999998E-2</c:v>
                </c:pt>
                <c:pt idx="155">
                  <c:v>4.4358000000000002E-2</c:v>
                </c:pt>
                <c:pt idx="156">
                  <c:v>3.9731000000000002E-2</c:v>
                </c:pt>
                <c:pt idx="157">
                  <c:v>4.3006000000000003E-2</c:v>
                </c:pt>
                <c:pt idx="158">
                  <c:v>3.5180000000000003E-2</c:v>
                </c:pt>
                <c:pt idx="159">
                  <c:v>3.5284999999999997E-2</c:v>
                </c:pt>
                <c:pt idx="160">
                  <c:v>3.2815999999999998E-2</c:v>
                </c:pt>
                <c:pt idx="161">
                  <c:v>3.1718999999999997E-2</c:v>
                </c:pt>
                <c:pt idx="162">
                  <c:v>3.0185E-2</c:v>
                </c:pt>
                <c:pt idx="163">
                  <c:v>3.0356000000000001E-2</c:v>
                </c:pt>
                <c:pt idx="164">
                  <c:v>3.2301000000000003E-2</c:v>
                </c:pt>
                <c:pt idx="165">
                  <c:v>3.3023999999999998E-2</c:v>
                </c:pt>
                <c:pt idx="166">
                  <c:v>3.2696000000000003E-2</c:v>
                </c:pt>
                <c:pt idx="167">
                  <c:v>3.2278000000000001E-2</c:v>
                </c:pt>
                <c:pt idx="168">
                  <c:v>3.0228000000000001E-2</c:v>
                </c:pt>
                <c:pt idx="169">
                  <c:v>3.0707999999999999E-2</c:v>
                </c:pt>
                <c:pt idx="170">
                  <c:v>2.945E-2</c:v>
                </c:pt>
                <c:pt idx="171">
                  <c:v>2.8101999999999999E-2</c:v>
                </c:pt>
                <c:pt idx="172">
                  <c:v>2.6863999999999999E-2</c:v>
                </c:pt>
                <c:pt idx="173">
                  <c:v>2.8622000000000002E-2</c:v>
                </c:pt>
                <c:pt idx="174">
                  <c:v>2.775E-2</c:v>
                </c:pt>
                <c:pt idx="175">
                  <c:v>2.6789E-2</c:v>
                </c:pt>
                <c:pt idx="176">
                  <c:v>2.5288999999999999E-2</c:v>
                </c:pt>
                <c:pt idx="177">
                  <c:v>2.4549999999999999E-2</c:v>
                </c:pt>
                <c:pt idx="178">
                  <c:v>2.5795999999999999E-2</c:v>
                </c:pt>
                <c:pt idx="179">
                  <c:v>2.5413000000000002E-2</c:v>
                </c:pt>
                <c:pt idx="180">
                  <c:v>2.7400000000000001E-2</c:v>
                </c:pt>
                <c:pt idx="181">
                  <c:v>2.6136E-2</c:v>
                </c:pt>
                <c:pt idx="182">
                  <c:v>2.4109999999999999E-2</c:v>
                </c:pt>
                <c:pt idx="183">
                  <c:v>2.3316E-2</c:v>
                </c:pt>
                <c:pt idx="184">
                  <c:v>2.3279999999999999E-2</c:v>
                </c:pt>
                <c:pt idx="185">
                  <c:v>2.2869E-2</c:v>
                </c:pt>
                <c:pt idx="186">
                  <c:v>2.3425000000000001E-2</c:v>
                </c:pt>
                <c:pt idx="187">
                  <c:v>2.4233999999999999E-2</c:v>
                </c:pt>
                <c:pt idx="188">
                  <c:v>2.1322000000000001E-2</c:v>
                </c:pt>
                <c:pt idx="189">
                  <c:v>2.0140999999999999E-2</c:v>
                </c:pt>
                <c:pt idx="190">
                  <c:v>1.9418999999999999E-2</c:v>
                </c:pt>
                <c:pt idx="191">
                  <c:v>1.7964000000000001E-2</c:v>
                </c:pt>
                <c:pt idx="192">
                  <c:v>1.7635000000000001E-2</c:v>
                </c:pt>
                <c:pt idx="193">
                  <c:v>1.8556E-2</c:v>
                </c:pt>
                <c:pt idx="194">
                  <c:v>1.8432E-2</c:v>
                </c:pt>
                <c:pt idx="195">
                  <c:v>1.806E-2</c:v>
                </c:pt>
                <c:pt idx="196">
                  <c:v>1.9146E-2</c:v>
                </c:pt>
                <c:pt idx="197">
                  <c:v>2.0157999999999999E-2</c:v>
                </c:pt>
                <c:pt idx="198">
                  <c:v>2.0447E-2</c:v>
                </c:pt>
                <c:pt idx="199">
                  <c:v>2.1302000000000001E-2</c:v>
                </c:pt>
                <c:pt idx="200">
                  <c:v>2.1499999999999998E-2</c:v>
                </c:pt>
                <c:pt idx="201">
                  <c:v>2.0736000000000001E-2</c:v>
                </c:pt>
                <c:pt idx="202">
                  <c:v>2.1263000000000001E-2</c:v>
                </c:pt>
                <c:pt idx="203">
                  <c:v>2.0972999999999999E-2</c:v>
                </c:pt>
                <c:pt idx="204">
                  <c:v>2.3928000000000001E-2</c:v>
                </c:pt>
                <c:pt idx="205">
                  <c:v>2.4184000000000001E-2</c:v>
                </c:pt>
                <c:pt idx="206">
                  <c:v>2.418E-2</c:v>
                </c:pt>
                <c:pt idx="207">
                  <c:v>2.5675E-2</c:v>
                </c:pt>
                <c:pt idx="208">
                  <c:v>2.5184999999999999E-2</c:v>
                </c:pt>
                <c:pt idx="209">
                  <c:v>2.5264000000000002E-2</c:v>
                </c:pt>
                <c:pt idx="210">
                  <c:v>2.1505E-2</c:v>
                </c:pt>
                <c:pt idx="211">
                  <c:v>2.2450999999999999E-2</c:v>
                </c:pt>
                <c:pt idx="212">
                  <c:v>2.1902000000000001E-2</c:v>
                </c:pt>
                <c:pt idx="213">
                  <c:v>1.9827000000000001E-2</c:v>
                </c:pt>
                <c:pt idx="214">
                  <c:v>1.8889E-2</c:v>
                </c:pt>
                <c:pt idx="215">
                  <c:v>1.8492000000000001E-2</c:v>
                </c:pt>
                <c:pt idx="216">
                  <c:v>1.7821E-2</c:v>
                </c:pt>
                <c:pt idx="217">
                  <c:v>1.9547999999999999E-2</c:v>
                </c:pt>
                <c:pt idx="218">
                  <c:v>1.8599999999999998E-2</c:v>
                </c:pt>
                <c:pt idx="219">
                  <c:v>1.617E-2</c:v>
                </c:pt>
                <c:pt idx="220">
                  <c:v>1.7301E-2</c:v>
                </c:pt>
                <c:pt idx="221">
                  <c:v>2.3619999999999999E-2</c:v>
                </c:pt>
                <c:pt idx="222">
                  <c:v>2.4233999999999999E-2</c:v>
                </c:pt>
                <c:pt idx="223">
                  <c:v>2.5468000000000001E-2</c:v>
                </c:pt>
                <c:pt idx="224">
                  <c:v>2.6825000000000002E-2</c:v>
                </c:pt>
                <c:pt idx="225">
                  <c:v>2.7293000000000001E-2</c:v>
                </c:pt>
                <c:pt idx="226">
                  <c:v>2.9020000000000001E-2</c:v>
                </c:pt>
                <c:pt idx="227">
                  <c:v>2.9394E-2</c:v>
                </c:pt>
                <c:pt idx="228">
                  <c:v>2.7951E-2</c:v>
                </c:pt>
                <c:pt idx="229">
                  <c:v>2.6454999999999999E-2</c:v>
                </c:pt>
                <c:pt idx="230">
                  <c:v>2.7774E-2</c:v>
                </c:pt>
                <c:pt idx="231">
                  <c:v>2.8738E-2</c:v>
                </c:pt>
                <c:pt idx="232">
                  <c:v>2.9770999999999999E-2</c:v>
                </c:pt>
                <c:pt idx="233">
                  <c:v>2.8459999999999999E-2</c:v>
                </c:pt>
                <c:pt idx="234">
                  <c:v>2.9728999999999998E-2</c:v>
                </c:pt>
                <c:pt idx="235">
                  <c:v>3.2299000000000001E-2</c:v>
                </c:pt>
                <c:pt idx="236">
                  <c:v>3.1067999999999998E-2</c:v>
                </c:pt>
                <c:pt idx="237">
                  <c:v>3.2122999999999999E-2</c:v>
                </c:pt>
                <c:pt idx="238">
                  <c:v>3.5518000000000001E-2</c:v>
                </c:pt>
                <c:pt idx="239">
                  <c:v>3.4640999999999998E-2</c:v>
                </c:pt>
                <c:pt idx="240">
                  <c:v>3.1354E-2</c:v>
                </c:pt>
                <c:pt idx="241">
                  <c:v>3.2601999999999999E-2</c:v>
                </c:pt>
                <c:pt idx="242">
                  <c:v>3.0339999999999999E-2</c:v>
                </c:pt>
                <c:pt idx="243">
                  <c:v>2.9807E-2</c:v>
                </c:pt>
                <c:pt idx="244">
                  <c:v>3.0096000000000001E-2</c:v>
                </c:pt>
                <c:pt idx="245">
                  <c:v>3.4445000000000003E-2</c:v>
                </c:pt>
                <c:pt idx="246">
                  <c:v>3.5289000000000001E-2</c:v>
                </c:pt>
                <c:pt idx="247">
                  <c:v>3.2883000000000003E-2</c:v>
                </c:pt>
                <c:pt idx="248">
                  <c:v>3.4283000000000001E-2</c:v>
                </c:pt>
                <c:pt idx="249">
                  <c:v>2.7390999999999999E-2</c:v>
                </c:pt>
                <c:pt idx="250">
                  <c:v>3.2072000000000003E-2</c:v>
                </c:pt>
                <c:pt idx="251">
                  <c:v>3.4813999999999998E-2</c:v>
                </c:pt>
                <c:pt idx="252">
                  <c:v>3.6352000000000002E-2</c:v>
                </c:pt>
                <c:pt idx="253">
                  <c:v>2.9610000000000001E-2</c:v>
                </c:pt>
                <c:pt idx="254">
                  <c:v>4.6504999999999998E-2</c:v>
                </c:pt>
                <c:pt idx="255">
                  <c:v>4.5818999999999999E-2</c:v>
                </c:pt>
                <c:pt idx="256">
                  <c:v>4.9390999999999997E-2</c:v>
                </c:pt>
                <c:pt idx="257">
                  <c:v>4.8070000000000002E-2</c:v>
                </c:pt>
                <c:pt idx="258">
                  <c:v>5.2246000000000001E-2</c:v>
                </c:pt>
                <c:pt idx="259">
                  <c:v>5.0245999999999999E-2</c:v>
                </c:pt>
                <c:pt idx="260">
                  <c:v>4.8842999999999998E-2</c:v>
                </c:pt>
                <c:pt idx="261">
                  <c:v>5.9687999999999998E-2</c:v>
                </c:pt>
                <c:pt idx="262">
                  <c:v>5.5236E-2</c:v>
                </c:pt>
                <c:pt idx="263">
                  <c:v>6.3419000000000003E-2</c:v>
                </c:pt>
                <c:pt idx="264">
                  <c:v>6.4462000000000005E-2</c:v>
                </c:pt>
                <c:pt idx="265">
                  <c:v>6.6767000000000007E-2</c:v>
                </c:pt>
                <c:pt idx="266">
                  <c:v>6.4510999999999999E-2</c:v>
                </c:pt>
                <c:pt idx="267">
                  <c:v>6.1933000000000002E-2</c:v>
                </c:pt>
                <c:pt idx="268">
                  <c:v>5.6743000000000002E-2</c:v>
                </c:pt>
                <c:pt idx="269">
                  <c:v>6.4435000000000006E-2</c:v>
                </c:pt>
                <c:pt idx="270">
                  <c:v>6.2992000000000006E-2</c:v>
                </c:pt>
                <c:pt idx="271">
                  <c:v>6.5590999999999997E-2</c:v>
                </c:pt>
                <c:pt idx="272">
                  <c:v>6.9113999999999995E-2</c:v>
                </c:pt>
                <c:pt idx="273">
                  <c:v>6.0761000000000003E-2</c:v>
                </c:pt>
                <c:pt idx="274">
                  <c:v>6.0990999999999997E-2</c:v>
                </c:pt>
                <c:pt idx="275">
                  <c:v>6.3311000000000006E-2</c:v>
                </c:pt>
                <c:pt idx="276">
                  <c:v>5.7488999999999998E-2</c:v>
                </c:pt>
                <c:pt idx="277">
                  <c:v>4.5948999999999997E-2</c:v>
                </c:pt>
                <c:pt idx="278">
                  <c:v>4.5657000000000003E-2</c:v>
                </c:pt>
                <c:pt idx="279">
                  <c:v>5.0673999999999997E-2</c:v>
                </c:pt>
                <c:pt idx="280">
                  <c:v>5.0625000000000003E-2</c:v>
                </c:pt>
                <c:pt idx="281">
                  <c:v>6.4148999999999998E-2</c:v>
                </c:pt>
                <c:pt idx="282">
                  <c:v>6.7434999999999995E-2</c:v>
                </c:pt>
                <c:pt idx="283">
                  <c:v>7.0422999999999999E-2</c:v>
                </c:pt>
                <c:pt idx="284">
                  <c:v>7.8992999999999994E-2</c:v>
                </c:pt>
                <c:pt idx="285">
                  <c:v>7.8151999999999999E-2</c:v>
                </c:pt>
                <c:pt idx="286">
                  <c:v>7.1620000000000003E-2</c:v>
                </c:pt>
                <c:pt idx="287">
                  <c:v>7.9608999999999999E-2</c:v>
                </c:pt>
                <c:pt idx="288">
                  <c:v>7.4491000000000002E-2</c:v>
                </c:pt>
                <c:pt idx="289">
                  <c:v>6.6042000000000003E-2</c:v>
                </c:pt>
                <c:pt idx="290">
                  <c:v>6.1344000000000003E-2</c:v>
                </c:pt>
                <c:pt idx="291">
                  <c:v>5.7350999999999999E-2</c:v>
                </c:pt>
                <c:pt idx="292">
                  <c:v>5.3369E-2</c:v>
                </c:pt>
                <c:pt idx="293">
                  <c:v>5.4005999999999998E-2</c:v>
                </c:pt>
                <c:pt idx="294">
                  <c:v>5.4035E-2</c:v>
                </c:pt>
                <c:pt idx="295">
                  <c:v>5.1695999999999999E-2</c:v>
                </c:pt>
                <c:pt idx="296">
                  <c:v>5.8393E-2</c:v>
                </c:pt>
                <c:pt idx="297">
                  <c:v>5.3260000000000002E-2</c:v>
                </c:pt>
                <c:pt idx="298">
                  <c:v>5.2547000000000003E-2</c:v>
                </c:pt>
                <c:pt idx="299">
                  <c:v>5.0236000000000003E-2</c:v>
                </c:pt>
                <c:pt idx="300">
                  <c:v>5.6502999999999998E-2</c:v>
                </c:pt>
                <c:pt idx="301">
                  <c:v>5.4694E-2</c:v>
                </c:pt>
                <c:pt idx="302">
                  <c:v>5.3163000000000002E-2</c:v>
                </c:pt>
                <c:pt idx="303">
                  <c:v>5.3531000000000002E-2</c:v>
                </c:pt>
                <c:pt idx="304">
                  <c:v>5.2107000000000001E-2</c:v>
                </c:pt>
                <c:pt idx="305">
                  <c:v>4.9154000000000003E-2</c:v>
                </c:pt>
                <c:pt idx="306">
                  <c:v>4.8931000000000002E-2</c:v>
                </c:pt>
                <c:pt idx="307">
                  <c:v>4.9652000000000002E-2</c:v>
                </c:pt>
                <c:pt idx="308">
                  <c:v>4.4273E-2</c:v>
                </c:pt>
                <c:pt idx="309">
                  <c:v>4.4295000000000001E-2</c:v>
                </c:pt>
                <c:pt idx="310">
                  <c:v>4.7851999999999999E-2</c:v>
                </c:pt>
                <c:pt idx="311">
                  <c:v>4.8329999999999998E-2</c:v>
                </c:pt>
                <c:pt idx="312">
                  <c:v>5.5E-2</c:v>
                </c:pt>
                <c:pt idx="313">
                  <c:v>6.4004000000000005E-2</c:v>
                </c:pt>
                <c:pt idx="314">
                  <c:v>4.7010999999999997E-2</c:v>
                </c:pt>
                <c:pt idx="315">
                  <c:v>4.5687999999999999E-2</c:v>
                </c:pt>
                <c:pt idx="316">
                  <c:v>4.2714000000000002E-2</c:v>
                </c:pt>
                <c:pt idx="317">
                  <c:v>4.2183999999999999E-2</c:v>
                </c:pt>
                <c:pt idx="318">
                  <c:v>4.2610000000000002E-2</c:v>
                </c:pt>
                <c:pt idx="319">
                  <c:v>4.3501999999999999E-2</c:v>
                </c:pt>
                <c:pt idx="320">
                  <c:v>4.3813999999999999E-2</c:v>
                </c:pt>
                <c:pt idx="321">
                  <c:v>4.3395000000000003E-2</c:v>
                </c:pt>
                <c:pt idx="322">
                  <c:v>4.5976000000000003E-2</c:v>
                </c:pt>
                <c:pt idx="323">
                  <c:v>4.5054999999999998E-2</c:v>
                </c:pt>
                <c:pt idx="324">
                  <c:v>4.6747999999999998E-2</c:v>
                </c:pt>
                <c:pt idx="325">
                  <c:v>4.4630000000000003E-2</c:v>
                </c:pt>
                <c:pt idx="326">
                  <c:v>4.5318999999999998E-2</c:v>
                </c:pt>
                <c:pt idx="327">
                  <c:v>4.5333999999999999E-2</c:v>
                </c:pt>
                <c:pt idx="328">
                  <c:v>4.8280000000000003E-2</c:v>
                </c:pt>
                <c:pt idx="329">
                  <c:v>4.5633E-2</c:v>
                </c:pt>
                <c:pt idx="330">
                  <c:v>4.4098999999999999E-2</c:v>
                </c:pt>
                <c:pt idx="331">
                  <c:v>4.0815999999999998E-2</c:v>
                </c:pt>
                <c:pt idx="332">
                  <c:v>4.045E-2</c:v>
                </c:pt>
                <c:pt idx="333">
                  <c:v>3.5048000000000003E-2</c:v>
                </c:pt>
                <c:pt idx="334">
                  <c:v>3.9475000000000003E-2</c:v>
                </c:pt>
                <c:pt idx="335">
                  <c:v>4.0312000000000001E-2</c:v>
                </c:pt>
                <c:pt idx="336">
                  <c:v>4.3304000000000002E-2</c:v>
                </c:pt>
                <c:pt idx="337">
                  <c:v>5.2644000000000003E-2</c:v>
                </c:pt>
                <c:pt idx="338">
                  <c:v>5.5316999999999998E-2</c:v>
                </c:pt>
                <c:pt idx="339">
                  <c:v>5.9896999999999999E-2</c:v>
                </c:pt>
                <c:pt idx="340">
                  <c:v>5.6267999999999999E-2</c:v>
                </c:pt>
                <c:pt idx="341">
                  <c:v>4.1500000000000002E-2</c:v>
                </c:pt>
                <c:pt idx="342">
                  <c:v>4.3628E-2</c:v>
                </c:pt>
                <c:pt idx="343">
                  <c:v>4.2707000000000002E-2</c:v>
                </c:pt>
                <c:pt idx="344">
                  <c:v>4.02E-2</c:v>
                </c:pt>
                <c:pt idx="345">
                  <c:v>3.0866000000000001E-2</c:v>
                </c:pt>
                <c:pt idx="346">
                  <c:v>3.0544999999999999E-2</c:v>
                </c:pt>
                <c:pt idx="347">
                  <c:v>3.1014E-2</c:v>
                </c:pt>
                <c:pt idx="348">
                  <c:v>3.4867000000000002E-2</c:v>
                </c:pt>
                <c:pt idx="349">
                  <c:v>3.1099000000000002E-2</c:v>
                </c:pt>
                <c:pt idx="350">
                  <c:v>2.6565999999999999E-2</c:v>
                </c:pt>
                <c:pt idx="351">
                  <c:v>2.2485000000000002E-2</c:v>
                </c:pt>
                <c:pt idx="352">
                  <c:v>2.1871999999999999E-2</c:v>
                </c:pt>
                <c:pt idx="353">
                  <c:v>2.0060000000000001E-2</c:v>
                </c:pt>
                <c:pt idx="354">
                  <c:v>1.8838000000000001E-2</c:v>
                </c:pt>
                <c:pt idx="355">
                  <c:v>1.9791E-2</c:v>
                </c:pt>
                <c:pt idx="356">
                  <c:v>1.8217000000000001E-2</c:v>
                </c:pt>
                <c:pt idx="357">
                  <c:v>1.6295E-2</c:v>
                </c:pt>
                <c:pt idx="358">
                  <c:v>1.7367E-2</c:v>
                </c:pt>
                <c:pt idx="359">
                  <c:v>1.6660000000000001E-2</c:v>
                </c:pt>
                <c:pt idx="360">
                  <c:v>1.6121E-2</c:v>
                </c:pt>
                <c:pt idx="361">
                  <c:v>1.5755000000000002E-2</c:v>
                </c:pt>
                <c:pt idx="362">
                  <c:v>1.6049999999999998E-2</c:v>
                </c:pt>
                <c:pt idx="363">
                  <c:v>1.6936E-2</c:v>
                </c:pt>
                <c:pt idx="364">
                  <c:v>1.7132000000000001E-2</c:v>
                </c:pt>
                <c:pt idx="365">
                  <c:v>1.5691E-2</c:v>
                </c:pt>
                <c:pt idx="366">
                  <c:v>1.6927000000000001E-2</c:v>
                </c:pt>
                <c:pt idx="367">
                  <c:v>1.6313000000000001E-2</c:v>
                </c:pt>
                <c:pt idx="368">
                  <c:v>1.7724E-2</c:v>
                </c:pt>
                <c:pt idx="369">
                  <c:v>1.545E-2</c:v>
                </c:pt>
                <c:pt idx="370">
                  <c:v>1.5771E-2</c:v>
                </c:pt>
                <c:pt idx="371">
                  <c:v>1.4886E-2</c:v>
                </c:pt>
                <c:pt idx="372">
                  <c:v>1.8249999999999999E-2</c:v>
                </c:pt>
                <c:pt idx="373">
                  <c:v>1.7878000000000002E-2</c:v>
                </c:pt>
                <c:pt idx="374">
                  <c:v>2.0285999999999998E-2</c:v>
                </c:pt>
                <c:pt idx="375">
                  <c:v>2.0653000000000001E-2</c:v>
                </c:pt>
                <c:pt idx="376">
                  <c:v>2.0789999999999999E-2</c:v>
                </c:pt>
                <c:pt idx="377">
                  <c:v>2.4766E-2</c:v>
                </c:pt>
                <c:pt idx="378">
                  <c:v>1.478E-2</c:v>
                </c:pt>
                <c:pt idx="379">
                  <c:v>1.2541E-2</c:v>
                </c:pt>
                <c:pt idx="380">
                  <c:v>1.0376E-2</c:v>
                </c:pt>
                <c:pt idx="381">
                  <c:v>1.0585000000000001E-2</c:v>
                </c:pt>
                <c:pt idx="382">
                  <c:v>1.0123E-2</c:v>
                </c:pt>
                <c:pt idx="383">
                  <c:v>1.1344E-2</c:v>
                </c:pt>
                <c:pt idx="384">
                  <c:v>8.5810000000000001E-3</c:v>
                </c:pt>
                <c:pt idx="385">
                  <c:v>6.3530000000000001E-3</c:v>
                </c:pt>
                <c:pt idx="386">
                  <c:v>6.1130000000000004E-3</c:v>
                </c:pt>
                <c:pt idx="387">
                  <c:v>5.7390000000000002E-3</c:v>
                </c:pt>
                <c:pt idx="388">
                  <c:v>5.7959999999999999E-3</c:v>
                </c:pt>
                <c:pt idx="389">
                  <c:v>5.7260000000000002E-3</c:v>
                </c:pt>
                <c:pt idx="390">
                  <c:v>5.6150000000000002E-3</c:v>
                </c:pt>
                <c:pt idx="391">
                  <c:v>5.7869999999999996E-3</c:v>
                </c:pt>
                <c:pt idx="392">
                  <c:v>5.6730000000000001E-3</c:v>
                </c:pt>
                <c:pt idx="393">
                  <c:v>5.9449999999999998E-3</c:v>
                </c:pt>
                <c:pt idx="394">
                  <c:v>5.7970000000000001E-3</c:v>
                </c:pt>
                <c:pt idx="395">
                  <c:v>5.8919999999999997E-3</c:v>
                </c:pt>
                <c:pt idx="396">
                  <c:v>5.7850000000000002E-3</c:v>
                </c:pt>
                <c:pt idx="397">
                  <c:v>5.8469999999999998E-3</c:v>
                </c:pt>
                <c:pt idx="398">
                  <c:v>5.8180000000000003E-3</c:v>
                </c:pt>
                <c:pt idx="399">
                  <c:v>5.6680000000000003E-3</c:v>
                </c:pt>
                <c:pt idx="400">
                  <c:v>5.0730000000000003E-3</c:v>
                </c:pt>
                <c:pt idx="401">
                  <c:v>6.1320000000000003E-3</c:v>
                </c:pt>
                <c:pt idx="402">
                  <c:v>6.1640000000000002E-3</c:v>
                </c:pt>
                <c:pt idx="403">
                  <c:v>6.4689999999999999E-3</c:v>
                </c:pt>
                <c:pt idx="404">
                  <c:v>6.6100000000000004E-3</c:v>
                </c:pt>
                <c:pt idx="405">
                  <c:v>6.5560000000000002E-3</c:v>
                </c:pt>
                <c:pt idx="406">
                  <c:v>6.4190000000000002E-3</c:v>
                </c:pt>
                <c:pt idx="407">
                  <c:v>6.424E-3</c:v>
                </c:pt>
                <c:pt idx="408">
                  <c:v>6.2750000000000002E-3</c:v>
                </c:pt>
                <c:pt idx="409">
                  <c:v>6.1840000000000003E-3</c:v>
                </c:pt>
                <c:pt idx="410">
                  <c:v>5.9049999999999997E-3</c:v>
                </c:pt>
                <c:pt idx="411">
                  <c:v>5.94E-3</c:v>
                </c:pt>
                <c:pt idx="412">
                  <c:v>5.692E-3</c:v>
                </c:pt>
                <c:pt idx="413">
                  <c:v>5.8970000000000003E-3</c:v>
                </c:pt>
                <c:pt idx="414">
                  <c:v>6.1289999999999999E-3</c:v>
                </c:pt>
                <c:pt idx="415">
                  <c:v>5.5459999999999997E-3</c:v>
                </c:pt>
                <c:pt idx="416">
                  <c:v>5.934E-3</c:v>
                </c:pt>
                <c:pt idx="417">
                  <c:v>6.0270000000000002E-3</c:v>
                </c:pt>
                <c:pt idx="418">
                  <c:v>6.1739999999999998E-3</c:v>
                </c:pt>
                <c:pt idx="419">
                  <c:v>6.0089999999999996E-3</c:v>
                </c:pt>
                <c:pt idx="420">
                  <c:v>6.2440000000000004E-3</c:v>
                </c:pt>
                <c:pt idx="421">
                  <c:v>6.3400000000000001E-3</c:v>
                </c:pt>
                <c:pt idx="422">
                  <c:v>6.0590000000000001E-3</c:v>
                </c:pt>
                <c:pt idx="423">
                  <c:v>6.2069999999999998E-3</c:v>
                </c:pt>
                <c:pt idx="424">
                  <c:v>6.0020000000000004E-3</c:v>
                </c:pt>
                <c:pt idx="425">
                  <c:v>5.8809999999999999E-3</c:v>
                </c:pt>
                <c:pt idx="426">
                  <c:v>5.5760000000000002E-3</c:v>
                </c:pt>
                <c:pt idx="427">
                  <c:v>5.6119999999999998E-3</c:v>
                </c:pt>
                <c:pt idx="428">
                  <c:v>6.2729999999999999E-3</c:v>
                </c:pt>
                <c:pt idx="429">
                  <c:v>6.3699999999999998E-3</c:v>
                </c:pt>
                <c:pt idx="430">
                  <c:v>5.5859999999999998E-3</c:v>
                </c:pt>
                <c:pt idx="431">
                  <c:v>5.2319999999999997E-3</c:v>
                </c:pt>
                <c:pt idx="432">
                  <c:v>5.3559999999999997E-3</c:v>
                </c:pt>
                <c:pt idx="433">
                  <c:v>4.8170000000000001E-3</c:v>
                </c:pt>
                <c:pt idx="434">
                  <c:v>4.6940000000000003E-3</c:v>
                </c:pt>
                <c:pt idx="435">
                  <c:v>4.6379999999999998E-3</c:v>
                </c:pt>
                <c:pt idx="436">
                  <c:v>4.816E-3</c:v>
                </c:pt>
                <c:pt idx="437">
                  <c:v>4.8520000000000004E-3</c:v>
                </c:pt>
                <c:pt idx="438">
                  <c:v>4.8300000000000001E-3</c:v>
                </c:pt>
                <c:pt idx="439">
                  <c:v>4.8609999999999999E-3</c:v>
                </c:pt>
                <c:pt idx="440">
                  <c:v>5.1370000000000001E-3</c:v>
                </c:pt>
                <c:pt idx="441">
                  <c:v>5.019E-3</c:v>
                </c:pt>
                <c:pt idx="442">
                  <c:v>5.1469999999999997E-3</c:v>
                </c:pt>
                <c:pt idx="443">
                  <c:v>5.1830000000000001E-3</c:v>
                </c:pt>
                <c:pt idx="444">
                  <c:v>4.9220000000000002E-3</c:v>
                </c:pt>
                <c:pt idx="445">
                  <c:v>5.0809999999999996E-3</c:v>
                </c:pt>
                <c:pt idx="446">
                  <c:v>4.6049999999999997E-3</c:v>
                </c:pt>
                <c:pt idx="447">
                  <c:v>5.0489999999999997E-3</c:v>
                </c:pt>
                <c:pt idx="448">
                  <c:v>4.5830000000000003E-3</c:v>
                </c:pt>
                <c:pt idx="449">
                  <c:v>4.3090000000000003E-3</c:v>
                </c:pt>
                <c:pt idx="450">
                  <c:v>4.4050000000000001E-3</c:v>
                </c:pt>
                <c:pt idx="451">
                  <c:v>4.6449999999999998E-3</c:v>
                </c:pt>
                <c:pt idx="452">
                  <c:v>4.9839999999999997E-3</c:v>
                </c:pt>
                <c:pt idx="453">
                  <c:v>4.8549999999999999E-3</c:v>
                </c:pt>
                <c:pt idx="454">
                  <c:v>4.8910000000000004E-3</c:v>
                </c:pt>
                <c:pt idx="455">
                  <c:v>4.921E-3</c:v>
                </c:pt>
                <c:pt idx="456">
                  <c:v>4.9750000000000003E-3</c:v>
                </c:pt>
                <c:pt idx="457">
                  <c:v>5.274E-3</c:v>
                </c:pt>
                <c:pt idx="458">
                  <c:v>5.2509999999999996E-3</c:v>
                </c:pt>
                <c:pt idx="459">
                  <c:v>5.3899999999999998E-3</c:v>
                </c:pt>
                <c:pt idx="460">
                  <c:v>5.4809999999999998E-3</c:v>
                </c:pt>
                <c:pt idx="461">
                  <c:v>5.5069999999999997E-3</c:v>
                </c:pt>
                <c:pt idx="462">
                  <c:v>5.5799999999999999E-3</c:v>
                </c:pt>
                <c:pt idx="463">
                  <c:v>5.5110000000000003E-3</c:v>
                </c:pt>
                <c:pt idx="464">
                  <c:v>5.1310000000000001E-3</c:v>
                </c:pt>
                <c:pt idx="465">
                  <c:v>5.5760000000000002E-3</c:v>
                </c:pt>
                <c:pt idx="466">
                  <c:v>5.5430000000000002E-3</c:v>
                </c:pt>
                <c:pt idx="467">
                  <c:v>5.5199999999999997E-3</c:v>
                </c:pt>
                <c:pt idx="468">
                  <c:v>5.4590000000000003E-3</c:v>
                </c:pt>
                <c:pt idx="469">
                  <c:v>5.7800000000000004E-3</c:v>
                </c:pt>
                <c:pt idx="470">
                  <c:v>5.7819999999999998E-3</c:v>
                </c:pt>
                <c:pt idx="471">
                  <c:v>6.0260000000000001E-3</c:v>
                </c:pt>
                <c:pt idx="472">
                  <c:v>5.8830000000000002E-3</c:v>
                </c:pt>
                <c:pt idx="473">
                  <c:v>5.9449999999999998E-3</c:v>
                </c:pt>
                <c:pt idx="474">
                  <c:v>5.7689999999999998E-3</c:v>
                </c:pt>
                <c:pt idx="475">
                  <c:v>5.7999999999999996E-3</c:v>
                </c:pt>
                <c:pt idx="476">
                  <c:v>5.4640000000000001E-3</c:v>
                </c:pt>
                <c:pt idx="477">
                  <c:v>5.3699999999999998E-3</c:v>
                </c:pt>
                <c:pt idx="478">
                  <c:v>5.287E-3</c:v>
                </c:pt>
                <c:pt idx="479">
                  <c:v>5.509E-3</c:v>
                </c:pt>
                <c:pt idx="480">
                  <c:v>5.5019999999999999E-3</c:v>
                </c:pt>
                <c:pt idx="481">
                  <c:v>5.3660000000000001E-3</c:v>
                </c:pt>
                <c:pt idx="482">
                  <c:v>5.4559999999999999E-3</c:v>
                </c:pt>
                <c:pt idx="483">
                  <c:v>5.6959999999999997E-3</c:v>
                </c:pt>
                <c:pt idx="484">
                  <c:v>5.9230000000000003E-3</c:v>
                </c:pt>
                <c:pt idx="485">
                  <c:v>5.9639999999999997E-3</c:v>
                </c:pt>
                <c:pt idx="486">
                  <c:v>5.927E-3</c:v>
                </c:pt>
                <c:pt idx="487">
                  <c:v>5.8149999999999999E-3</c:v>
                </c:pt>
                <c:pt idx="488">
                  <c:v>5.8300000000000001E-3</c:v>
                </c:pt>
                <c:pt idx="489">
                  <c:v>5.842E-3</c:v>
                </c:pt>
                <c:pt idx="490">
                  <c:v>5.7949999999999998E-3</c:v>
                </c:pt>
                <c:pt idx="491">
                  <c:v>5.2940000000000001E-3</c:v>
                </c:pt>
                <c:pt idx="492">
                  <c:v>5.5100000000000001E-3</c:v>
                </c:pt>
                <c:pt idx="493">
                  <c:v>5.4209999999999996E-3</c:v>
                </c:pt>
                <c:pt idx="494">
                  <c:v>6.1799999999999997E-3</c:v>
                </c:pt>
                <c:pt idx="495">
                  <c:v>6.3470000000000002E-3</c:v>
                </c:pt>
                <c:pt idx="496">
                  <c:v>6.5250000000000004E-3</c:v>
                </c:pt>
                <c:pt idx="497">
                  <c:v>6.4400000000000004E-3</c:v>
                </c:pt>
                <c:pt idx="498">
                  <c:v>6.6889999999999996E-3</c:v>
                </c:pt>
                <c:pt idx="499">
                  <c:v>6.313E-3</c:v>
                </c:pt>
                <c:pt idx="500">
                  <c:v>6.7650000000000002E-3</c:v>
                </c:pt>
                <c:pt idx="501">
                  <c:v>7.3720000000000001E-3</c:v>
                </c:pt>
                <c:pt idx="502">
                  <c:v>8.3719999999999992E-3</c:v>
                </c:pt>
                <c:pt idx="503">
                  <c:v>7.5139999999999998E-3</c:v>
                </c:pt>
                <c:pt idx="504">
                  <c:v>7.731E-3</c:v>
                </c:pt>
                <c:pt idx="505">
                  <c:v>6.2500000000000003E-3</c:v>
                </c:pt>
                <c:pt idx="506">
                  <c:v>6.6039999999999996E-3</c:v>
                </c:pt>
                <c:pt idx="507">
                  <c:v>5.9630000000000004E-3</c:v>
                </c:pt>
                <c:pt idx="508">
                  <c:v>5.0730000000000003E-3</c:v>
                </c:pt>
                <c:pt idx="509">
                  <c:v>4.8329999999999996E-3</c:v>
                </c:pt>
                <c:pt idx="510">
                  <c:v>5.4650000000000002E-3</c:v>
                </c:pt>
                <c:pt idx="511">
                  <c:v>5.0660000000000002E-3</c:v>
                </c:pt>
                <c:pt idx="512">
                  <c:v>6.6610000000000003E-3</c:v>
                </c:pt>
                <c:pt idx="513">
                  <c:v>7.0939999999999996E-3</c:v>
                </c:pt>
                <c:pt idx="514">
                  <c:v>7.1110000000000001E-3</c:v>
                </c:pt>
                <c:pt idx="515">
                  <c:v>6.8820000000000001E-3</c:v>
                </c:pt>
                <c:pt idx="516">
                  <c:v>6.6969999999999998E-3</c:v>
                </c:pt>
                <c:pt idx="517">
                  <c:v>6.4390000000000003E-3</c:v>
                </c:pt>
                <c:pt idx="518">
                  <c:v>6.4279999999999997E-3</c:v>
                </c:pt>
                <c:pt idx="519">
                  <c:v>6.8170000000000001E-3</c:v>
                </c:pt>
                <c:pt idx="520">
                  <c:v>6.8599999999999998E-3</c:v>
                </c:pt>
                <c:pt idx="521">
                  <c:v>7.515E-3</c:v>
                </c:pt>
                <c:pt idx="522">
                  <c:v>7.2420000000000002E-3</c:v>
                </c:pt>
                <c:pt idx="523">
                  <c:v>7.3660000000000002E-3</c:v>
                </c:pt>
                <c:pt idx="524">
                  <c:v>7.2779999999999997E-3</c:v>
                </c:pt>
                <c:pt idx="525">
                  <c:v>7.554E-3</c:v>
                </c:pt>
                <c:pt idx="526">
                  <c:v>6.8320000000000004E-3</c:v>
                </c:pt>
                <c:pt idx="527">
                  <c:v>7.234E-3</c:v>
                </c:pt>
                <c:pt idx="528">
                  <c:v>7.4320000000000002E-3</c:v>
                </c:pt>
                <c:pt idx="529">
                  <c:v>7.0340000000000003E-3</c:v>
                </c:pt>
                <c:pt idx="530">
                  <c:v>7.0660000000000002E-3</c:v>
                </c:pt>
                <c:pt idx="531">
                  <c:v>6.7229999999999998E-3</c:v>
                </c:pt>
                <c:pt idx="532">
                  <c:v>6.3010000000000002E-3</c:v>
                </c:pt>
                <c:pt idx="533">
                  <c:v>6.3959999999999998E-3</c:v>
                </c:pt>
                <c:pt idx="534">
                  <c:v>6.1390000000000004E-3</c:v>
                </c:pt>
                <c:pt idx="535">
                  <c:v>6.5659999999999998E-3</c:v>
                </c:pt>
                <c:pt idx="536">
                  <c:v>6.1320000000000003E-3</c:v>
                </c:pt>
                <c:pt idx="537">
                  <c:v>6.1139999999999996E-3</c:v>
                </c:pt>
                <c:pt idx="538">
                  <c:v>5.8529999999999997E-3</c:v>
                </c:pt>
                <c:pt idx="539">
                  <c:v>5.6249999999999998E-3</c:v>
                </c:pt>
                <c:pt idx="540">
                  <c:v>5.5960000000000003E-3</c:v>
                </c:pt>
                <c:pt idx="541">
                  <c:v>5.5890000000000002E-3</c:v>
                </c:pt>
                <c:pt idx="542">
                  <c:v>5.509E-3</c:v>
                </c:pt>
                <c:pt idx="543">
                  <c:v>5.4140000000000004E-3</c:v>
                </c:pt>
                <c:pt idx="544">
                  <c:v>6.032E-3</c:v>
                </c:pt>
                <c:pt idx="545">
                  <c:v>5.862E-3</c:v>
                </c:pt>
                <c:pt idx="546">
                  <c:v>5.7489999999999998E-3</c:v>
                </c:pt>
                <c:pt idx="547">
                  <c:v>5.7000000000000002E-3</c:v>
                </c:pt>
                <c:pt idx="548">
                  <c:v>5.8259999999999996E-3</c:v>
                </c:pt>
                <c:pt idx="549">
                  <c:v>5.5449999999999996E-3</c:v>
                </c:pt>
                <c:pt idx="550">
                  <c:v>5.9800000000000001E-3</c:v>
                </c:pt>
                <c:pt idx="551">
                  <c:v>6.084E-3</c:v>
                </c:pt>
                <c:pt idx="552">
                  <c:v>5.9789999999999999E-3</c:v>
                </c:pt>
                <c:pt idx="553">
                  <c:v>6.2290000000000002E-3</c:v>
                </c:pt>
                <c:pt idx="554">
                  <c:v>6.2880000000000002E-3</c:v>
                </c:pt>
                <c:pt idx="555">
                  <c:v>6.0689999999999997E-3</c:v>
                </c:pt>
                <c:pt idx="556">
                  <c:v>5.934E-3</c:v>
                </c:pt>
                <c:pt idx="557">
                  <c:v>6.0390000000000001E-3</c:v>
                </c:pt>
                <c:pt idx="558">
                  <c:v>5.8710000000000004E-3</c:v>
                </c:pt>
                <c:pt idx="559">
                  <c:v>5.9449999999999998E-3</c:v>
                </c:pt>
                <c:pt idx="560">
                  <c:v>5.8409999999999998E-3</c:v>
                </c:pt>
                <c:pt idx="561">
                  <c:v>6.0280000000000004E-3</c:v>
                </c:pt>
                <c:pt idx="562">
                  <c:v>6.1640000000000002E-3</c:v>
                </c:pt>
                <c:pt idx="563">
                  <c:v>6.0150000000000004E-3</c:v>
                </c:pt>
                <c:pt idx="564">
                  <c:v>6.3680000000000004E-3</c:v>
                </c:pt>
                <c:pt idx="565">
                  <c:v>6.45E-3</c:v>
                </c:pt>
                <c:pt idx="566">
                  <c:v>6.4190000000000002E-3</c:v>
                </c:pt>
                <c:pt idx="567">
                  <c:v>6.4149999999999997E-3</c:v>
                </c:pt>
                <c:pt idx="568">
                  <c:v>6.6239999999999997E-3</c:v>
                </c:pt>
                <c:pt idx="569">
                  <c:v>6.483E-3</c:v>
                </c:pt>
                <c:pt idx="570">
                  <c:v>6.4089999999999998E-3</c:v>
                </c:pt>
                <c:pt idx="571">
                  <c:v>6.8659999999999997E-3</c:v>
                </c:pt>
                <c:pt idx="572">
                  <c:v>5.6010000000000001E-3</c:v>
                </c:pt>
                <c:pt idx="573">
                  <c:v>5.4879999999999998E-3</c:v>
                </c:pt>
                <c:pt idx="574">
                  <c:v>5.4429999999999999E-3</c:v>
                </c:pt>
                <c:pt idx="575">
                  <c:v>5.6699999999999997E-3</c:v>
                </c:pt>
                <c:pt idx="576">
                  <c:v>5.5180000000000003E-3</c:v>
                </c:pt>
                <c:pt idx="577">
                  <c:v>5.6129999999999999E-3</c:v>
                </c:pt>
                <c:pt idx="578">
                  <c:v>5.6249999999999998E-3</c:v>
                </c:pt>
                <c:pt idx="579">
                  <c:v>5.522E-3</c:v>
                </c:pt>
                <c:pt idx="580">
                  <c:v>6.1219999999999998E-3</c:v>
                </c:pt>
                <c:pt idx="581">
                  <c:v>6.149E-3</c:v>
                </c:pt>
                <c:pt idx="582">
                  <c:v>6.352E-3</c:v>
                </c:pt>
                <c:pt idx="583">
                  <c:v>6.5449999999999996E-3</c:v>
                </c:pt>
                <c:pt idx="584">
                  <c:v>6.7669999999999996E-3</c:v>
                </c:pt>
                <c:pt idx="585">
                  <c:v>5.9699999999999996E-3</c:v>
                </c:pt>
                <c:pt idx="586">
                  <c:v>6.0639999999999999E-3</c:v>
                </c:pt>
                <c:pt idx="587">
                  <c:v>5.8700000000000002E-3</c:v>
                </c:pt>
                <c:pt idx="588">
                  <c:v>5.7109999999999999E-3</c:v>
                </c:pt>
                <c:pt idx="589">
                  <c:v>5.7149999999999996E-3</c:v>
                </c:pt>
                <c:pt idx="590">
                  <c:v>5.9109999999999996E-3</c:v>
                </c:pt>
                <c:pt idx="591">
                  <c:v>5.5199999999999997E-3</c:v>
                </c:pt>
                <c:pt idx="592">
                  <c:v>5.607E-3</c:v>
                </c:pt>
                <c:pt idx="593">
                  <c:v>6.0569999999999999E-3</c:v>
                </c:pt>
                <c:pt idx="594">
                  <c:v>5.64E-3</c:v>
                </c:pt>
                <c:pt idx="595">
                  <c:v>5.0850000000000001E-3</c:v>
                </c:pt>
                <c:pt idx="596">
                  <c:v>5.6579999999999998E-3</c:v>
                </c:pt>
                <c:pt idx="597">
                  <c:v>5.4310000000000001E-3</c:v>
                </c:pt>
                <c:pt idx="598">
                  <c:v>5.267E-3</c:v>
                </c:pt>
                <c:pt idx="599">
                  <c:v>5.1650000000000003E-3</c:v>
                </c:pt>
                <c:pt idx="600">
                  <c:v>5.3270000000000001E-3</c:v>
                </c:pt>
                <c:pt idx="601">
                  <c:v>5.1460000000000004E-3</c:v>
                </c:pt>
                <c:pt idx="602">
                  <c:v>4.9519999999999998E-3</c:v>
                </c:pt>
                <c:pt idx="603">
                  <c:v>5.0099999999999997E-3</c:v>
                </c:pt>
                <c:pt idx="604">
                  <c:v>4.8989999999999997E-3</c:v>
                </c:pt>
                <c:pt idx="605">
                  <c:v>5.0930000000000003E-3</c:v>
                </c:pt>
                <c:pt idx="606">
                  <c:v>4.7099999999999998E-3</c:v>
                </c:pt>
                <c:pt idx="607">
                  <c:v>4.7520000000000001E-3</c:v>
                </c:pt>
                <c:pt idx="608">
                  <c:v>4.4990000000000004E-3</c:v>
                </c:pt>
                <c:pt idx="609">
                  <c:v>4.5580000000000004E-3</c:v>
                </c:pt>
                <c:pt idx="610">
                  <c:v>4.4099999999999999E-3</c:v>
                </c:pt>
                <c:pt idx="611">
                  <c:v>4.4590000000000003E-3</c:v>
                </c:pt>
                <c:pt idx="612">
                  <c:v>4.5979999999999997E-3</c:v>
                </c:pt>
                <c:pt idx="613">
                  <c:v>3.7729999999999999E-3</c:v>
                </c:pt>
                <c:pt idx="614">
                  <c:v>3.9389999999999998E-3</c:v>
                </c:pt>
                <c:pt idx="615">
                  <c:v>4.1700000000000001E-3</c:v>
                </c:pt>
                <c:pt idx="616">
                  <c:v>3.5660000000000002E-3</c:v>
                </c:pt>
                <c:pt idx="617">
                  <c:v>3.5799999999999998E-3</c:v>
                </c:pt>
                <c:pt idx="618">
                  <c:v>3.5899999999999999E-3</c:v>
                </c:pt>
                <c:pt idx="619">
                  <c:v>3.6389999999999999E-3</c:v>
                </c:pt>
                <c:pt idx="620">
                  <c:v>3.5019999999999999E-3</c:v>
                </c:pt>
                <c:pt idx="621">
                  <c:v>3.4949999999999998E-3</c:v>
                </c:pt>
                <c:pt idx="622">
                  <c:v>3.4719999999999998E-3</c:v>
                </c:pt>
                <c:pt idx="623">
                  <c:v>3.5500000000000002E-3</c:v>
                </c:pt>
                <c:pt idx="624">
                  <c:v>3.5439999999999998E-3</c:v>
                </c:pt>
                <c:pt idx="625">
                  <c:v>3.3960000000000001E-3</c:v>
                </c:pt>
                <c:pt idx="626">
                  <c:v>3.2680000000000001E-3</c:v>
                </c:pt>
                <c:pt idx="627">
                  <c:v>3.3519999999999999E-3</c:v>
                </c:pt>
                <c:pt idx="628">
                  <c:v>3.7339999999999999E-3</c:v>
                </c:pt>
                <c:pt idx="629">
                  <c:v>3.8310000000000002E-3</c:v>
                </c:pt>
                <c:pt idx="630">
                  <c:v>3.699E-3</c:v>
                </c:pt>
                <c:pt idx="631">
                  <c:v>3.5699999999999998E-3</c:v>
                </c:pt>
                <c:pt idx="632">
                  <c:v>3.699E-3</c:v>
                </c:pt>
                <c:pt idx="633">
                  <c:v>3.754E-3</c:v>
                </c:pt>
                <c:pt idx="634">
                  <c:v>3.8040000000000001E-3</c:v>
                </c:pt>
                <c:pt idx="635">
                  <c:v>3.9329999999999999E-3</c:v>
                </c:pt>
                <c:pt idx="636">
                  <c:v>3.7910000000000001E-3</c:v>
                </c:pt>
                <c:pt idx="637">
                  <c:v>3.6600000000000001E-3</c:v>
                </c:pt>
                <c:pt idx="638">
                  <c:v>3.9220000000000001E-3</c:v>
                </c:pt>
                <c:pt idx="639">
                  <c:v>3.5200000000000001E-3</c:v>
                </c:pt>
                <c:pt idx="640">
                  <c:v>3.5379999999999999E-3</c:v>
                </c:pt>
                <c:pt idx="641">
                  <c:v>3.5769999999999999E-3</c:v>
                </c:pt>
                <c:pt idx="642">
                  <c:v>3.5270000000000002E-3</c:v>
                </c:pt>
                <c:pt idx="643">
                  <c:v>3.5869999999999999E-3</c:v>
                </c:pt>
                <c:pt idx="644">
                  <c:v>3.336E-3</c:v>
                </c:pt>
                <c:pt idx="645">
                  <c:v>3.1779999999999998E-3</c:v>
                </c:pt>
                <c:pt idx="646">
                  <c:v>3.0439999999999998E-3</c:v>
                </c:pt>
                <c:pt idx="647">
                  <c:v>3.052E-3</c:v>
                </c:pt>
                <c:pt idx="648">
                  <c:v>3.277E-3</c:v>
                </c:pt>
                <c:pt idx="649">
                  <c:v>3.405E-3</c:v>
                </c:pt>
                <c:pt idx="650">
                  <c:v>3.2599999999999999E-3</c:v>
                </c:pt>
                <c:pt idx="651">
                  <c:v>3.2789999999999998E-3</c:v>
                </c:pt>
                <c:pt idx="652">
                  <c:v>3.0209999999999998E-3</c:v>
                </c:pt>
                <c:pt idx="653">
                  <c:v>3.163E-3</c:v>
                </c:pt>
                <c:pt idx="654">
                  <c:v>3.1719999999999999E-3</c:v>
                </c:pt>
                <c:pt idx="655">
                  <c:v>3.1689999999999999E-3</c:v>
                </c:pt>
                <c:pt idx="656">
                  <c:v>3.15E-3</c:v>
                </c:pt>
                <c:pt idx="657">
                  <c:v>3.1689999999999999E-3</c:v>
                </c:pt>
                <c:pt idx="658">
                  <c:v>3.4910000000000002E-3</c:v>
                </c:pt>
                <c:pt idx="659">
                  <c:v>3.571E-3</c:v>
                </c:pt>
                <c:pt idx="660">
                  <c:v>3.395E-3</c:v>
                </c:pt>
                <c:pt idx="661">
                  <c:v>3.49E-3</c:v>
                </c:pt>
                <c:pt idx="662">
                  <c:v>3.1570000000000001E-3</c:v>
                </c:pt>
                <c:pt idx="663">
                  <c:v>3.241E-3</c:v>
                </c:pt>
                <c:pt idx="664">
                  <c:v>3.1689999999999999E-3</c:v>
                </c:pt>
                <c:pt idx="665">
                  <c:v>3.1220000000000002E-3</c:v>
                </c:pt>
                <c:pt idx="666">
                  <c:v>3.0360000000000001E-3</c:v>
                </c:pt>
                <c:pt idx="667">
                  <c:v>3.0339999999999998E-3</c:v>
                </c:pt>
                <c:pt idx="668">
                  <c:v>2.9250000000000001E-3</c:v>
                </c:pt>
                <c:pt idx="669">
                  <c:v>2.7430000000000002E-3</c:v>
                </c:pt>
                <c:pt idx="670">
                  <c:v>2.9580000000000001E-3</c:v>
                </c:pt>
                <c:pt idx="671">
                  <c:v>2.97E-3</c:v>
                </c:pt>
                <c:pt idx="672">
                  <c:v>3.1610000000000002E-3</c:v>
                </c:pt>
                <c:pt idx="673">
                  <c:v>3.137E-3</c:v>
                </c:pt>
                <c:pt idx="674">
                  <c:v>3.346E-3</c:v>
                </c:pt>
                <c:pt idx="675">
                  <c:v>3.258E-3</c:v>
                </c:pt>
                <c:pt idx="676">
                  <c:v>2.9589999999999998E-3</c:v>
                </c:pt>
                <c:pt idx="677">
                  <c:v>3.4329999999999999E-3</c:v>
                </c:pt>
                <c:pt idx="678">
                  <c:v>3.1459999999999999E-3</c:v>
                </c:pt>
                <c:pt idx="679">
                  <c:v>2.8470000000000001E-3</c:v>
                </c:pt>
                <c:pt idx="680">
                  <c:v>2.5100000000000001E-3</c:v>
                </c:pt>
                <c:pt idx="681">
                  <c:v>2.5149999999999999E-3</c:v>
                </c:pt>
                <c:pt idx="682">
                  <c:v>2.4169999999999999E-3</c:v>
                </c:pt>
                <c:pt idx="683">
                  <c:v>2.761E-3</c:v>
                </c:pt>
                <c:pt idx="684">
                  <c:v>2.5990000000000002E-3</c:v>
                </c:pt>
                <c:pt idx="685">
                  <c:v>2.562E-3</c:v>
                </c:pt>
                <c:pt idx="686">
                  <c:v>2.2929999999999999E-3</c:v>
                </c:pt>
                <c:pt idx="687">
                  <c:v>4.444E-3</c:v>
                </c:pt>
                <c:pt idx="688">
                  <c:v>4.5620000000000001E-3</c:v>
                </c:pt>
                <c:pt idx="689">
                  <c:v>4.4980000000000003E-3</c:v>
                </c:pt>
                <c:pt idx="690">
                  <c:v>4.6150000000000002E-3</c:v>
                </c:pt>
                <c:pt idx="691">
                  <c:v>5.3860000000000002E-3</c:v>
                </c:pt>
                <c:pt idx="692">
                  <c:v>5.7099999999999998E-3</c:v>
                </c:pt>
                <c:pt idx="693">
                  <c:v>5.4729999999999996E-3</c:v>
                </c:pt>
                <c:pt idx="694">
                  <c:v>5.4710000000000002E-3</c:v>
                </c:pt>
                <c:pt idx="695">
                  <c:v>5.1859999999999996E-3</c:v>
                </c:pt>
                <c:pt idx="696">
                  <c:v>5.2830000000000004E-3</c:v>
                </c:pt>
                <c:pt idx="697">
                  <c:v>5.0489999999999997E-3</c:v>
                </c:pt>
                <c:pt idx="698">
                  <c:v>5.1149999999999998E-3</c:v>
                </c:pt>
                <c:pt idx="699">
                  <c:v>5.2509999999999996E-3</c:v>
                </c:pt>
                <c:pt idx="700">
                  <c:v>5.2300000000000003E-3</c:v>
                </c:pt>
                <c:pt idx="701">
                  <c:v>5.0499999999999998E-3</c:v>
                </c:pt>
                <c:pt idx="702">
                  <c:v>5.5950000000000001E-3</c:v>
                </c:pt>
                <c:pt idx="703">
                  <c:v>6.1650000000000003E-3</c:v>
                </c:pt>
                <c:pt idx="704">
                  <c:v>6.4320000000000002E-3</c:v>
                </c:pt>
                <c:pt idx="705">
                  <c:v>6.2220000000000001E-3</c:v>
                </c:pt>
                <c:pt idx="706">
                  <c:v>6.3470000000000002E-3</c:v>
                </c:pt>
                <c:pt idx="707">
                  <c:v>6.1890000000000001E-3</c:v>
                </c:pt>
                <c:pt idx="708">
                  <c:v>6.2049999999999996E-3</c:v>
                </c:pt>
                <c:pt idx="709">
                  <c:v>6.7850000000000002E-3</c:v>
                </c:pt>
                <c:pt idx="710">
                  <c:v>6.5319999999999996E-3</c:v>
                </c:pt>
                <c:pt idx="711">
                  <c:v>6.6819999999999996E-3</c:v>
                </c:pt>
                <c:pt idx="712">
                  <c:v>7.3819999999999997E-3</c:v>
                </c:pt>
                <c:pt idx="713">
                  <c:v>8.3429999999999997E-3</c:v>
                </c:pt>
                <c:pt idx="714">
                  <c:v>7.7780000000000002E-3</c:v>
                </c:pt>
                <c:pt idx="715">
                  <c:v>7.9459999999999999E-3</c:v>
                </c:pt>
                <c:pt idx="716">
                  <c:v>7.5940000000000001E-3</c:v>
                </c:pt>
                <c:pt idx="717">
                  <c:v>7.4720000000000003E-3</c:v>
                </c:pt>
                <c:pt idx="718">
                  <c:v>7.5979999999999997E-3</c:v>
                </c:pt>
                <c:pt idx="719">
                  <c:v>7.077E-3</c:v>
                </c:pt>
                <c:pt idx="720">
                  <c:v>7.2989999999999999E-3</c:v>
                </c:pt>
                <c:pt idx="721">
                  <c:v>7.1130000000000004E-3</c:v>
                </c:pt>
                <c:pt idx="722">
                  <c:v>6.6810000000000003E-3</c:v>
                </c:pt>
                <c:pt idx="723">
                  <c:v>6.6559999999999996E-3</c:v>
                </c:pt>
                <c:pt idx="724">
                  <c:v>6.1279999999999998E-3</c:v>
                </c:pt>
                <c:pt idx="725">
                  <c:v>6.0899999999999999E-3</c:v>
                </c:pt>
                <c:pt idx="726">
                  <c:v>5.9220000000000002E-3</c:v>
                </c:pt>
                <c:pt idx="727">
                  <c:v>5.6740000000000002E-3</c:v>
                </c:pt>
                <c:pt idx="728">
                  <c:v>5.5989999999999998E-3</c:v>
                </c:pt>
                <c:pt idx="729">
                  <c:v>5.607E-3</c:v>
                </c:pt>
                <c:pt idx="730">
                  <c:v>5.6810000000000003E-3</c:v>
                </c:pt>
                <c:pt idx="731">
                  <c:v>5.4279999999999997E-3</c:v>
                </c:pt>
                <c:pt idx="732">
                  <c:v>5.3839999999999999E-3</c:v>
                </c:pt>
                <c:pt idx="733">
                  <c:v>5.1980000000000004E-3</c:v>
                </c:pt>
                <c:pt idx="734">
                  <c:v>5.1960000000000001E-3</c:v>
                </c:pt>
                <c:pt idx="735">
                  <c:v>5.2579999999999997E-3</c:v>
                </c:pt>
                <c:pt idx="736">
                  <c:v>5.4619999999999998E-3</c:v>
                </c:pt>
                <c:pt idx="737">
                  <c:v>5.4089999999999997E-3</c:v>
                </c:pt>
                <c:pt idx="738">
                  <c:v>5.3629999999999997E-3</c:v>
                </c:pt>
                <c:pt idx="739">
                  <c:v>5.483E-3</c:v>
                </c:pt>
                <c:pt idx="740">
                  <c:v>5.849E-3</c:v>
                </c:pt>
                <c:pt idx="741">
                  <c:v>6.1250000000000002E-3</c:v>
                </c:pt>
                <c:pt idx="742">
                  <c:v>5.8840000000000003E-3</c:v>
                </c:pt>
                <c:pt idx="743">
                  <c:v>5.8149999999999999E-3</c:v>
                </c:pt>
                <c:pt idx="744">
                  <c:v>5.7580000000000001E-3</c:v>
                </c:pt>
                <c:pt idx="745">
                  <c:v>5.1079999999999997E-3</c:v>
                </c:pt>
                <c:pt idx="746">
                  <c:v>5.3610000000000003E-3</c:v>
                </c:pt>
                <c:pt idx="747">
                  <c:v>4.9829999999999996E-3</c:v>
                </c:pt>
                <c:pt idx="748">
                  <c:v>5.0949999999999997E-3</c:v>
                </c:pt>
                <c:pt idx="749">
                  <c:v>4.7660000000000003E-3</c:v>
                </c:pt>
                <c:pt idx="750">
                  <c:v>4.7159999999999997E-3</c:v>
                </c:pt>
                <c:pt idx="751">
                  <c:v>4.96E-3</c:v>
                </c:pt>
                <c:pt idx="752">
                  <c:v>5.1200000000000004E-3</c:v>
                </c:pt>
                <c:pt idx="753">
                  <c:v>4.9160000000000002E-3</c:v>
                </c:pt>
                <c:pt idx="754">
                  <c:v>4.8690000000000001E-3</c:v>
                </c:pt>
                <c:pt idx="755">
                  <c:v>4.8190000000000004E-3</c:v>
                </c:pt>
                <c:pt idx="756">
                  <c:v>4.6049999999999997E-3</c:v>
                </c:pt>
                <c:pt idx="757">
                  <c:v>4.8170000000000001E-3</c:v>
                </c:pt>
                <c:pt idx="758">
                  <c:v>4.6759999999999996E-3</c:v>
                </c:pt>
                <c:pt idx="759">
                  <c:v>4.8409999999999998E-3</c:v>
                </c:pt>
                <c:pt idx="760">
                  <c:v>5.0569999999999999E-3</c:v>
                </c:pt>
                <c:pt idx="761">
                  <c:v>5.0920000000000002E-3</c:v>
                </c:pt>
                <c:pt idx="762">
                  <c:v>5.0220000000000004E-3</c:v>
                </c:pt>
                <c:pt idx="763">
                  <c:v>5.0679999999999996E-3</c:v>
                </c:pt>
                <c:pt idx="764">
                  <c:v>5.0270000000000002E-3</c:v>
                </c:pt>
                <c:pt idx="765">
                  <c:v>5.189E-3</c:v>
                </c:pt>
                <c:pt idx="766">
                  <c:v>5.1529999999999996E-3</c:v>
                </c:pt>
                <c:pt idx="767">
                  <c:v>5.4330000000000003E-3</c:v>
                </c:pt>
                <c:pt idx="768">
                  <c:v>5.3200000000000001E-3</c:v>
                </c:pt>
                <c:pt idx="769">
                  <c:v>5.6340000000000001E-3</c:v>
                </c:pt>
                <c:pt idx="770">
                  <c:v>5.0829999999999998E-3</c:v>
                </c:pt>
                <c:pt idx="771">
                  <c:v>5.1679999999999999E-3</c:v>
                </c:pt>
                <c:pt idx="772">
                  <c:v>4.5989999999999998E-3</c:v>
                </c:pt>
                <c:pt idx="773">
                  <c:v>4.8939999999999999E-3</c:v>
                </c:pt>
                <c:pt idx="774">
                  <c:v>5.1999999999999998E-3</c:v>
                </c:pt>
                <c:pt idx="775">
                  <c:v>5.1539999999999997E-3</c:v>
                </c:pt>
                <c:pt idx="776">
                  <c:v>5.3600000000000002E-3</c:v>
                </c:pt>
                <c:pt idx="777">
                  <c:v>5.1089999999999998E-3</c:v>
                </c:pt>
                <c:pt idx="778">
                  <c:v>5.1549999999999999E-3</c:v>
                </c:pt>
                <c:pt idx="779">
                  <c:v>5.3169999999999997E-3</c:v>
                </c:pt>
                <c:pt idx="780">
                  <c:v>5.8900000000000003E-3</c:v>
                </c:pt>
                <c:pt idx="781">
                  <c:v>5.9319999999999998E-3</c:v>
                </c:pt>
                <c:pt idx="782">
                  <c:v>6.0769999999999999E-3</c:v>
                </c:pt>
                <c:pt idx="783">
                  <c:v>5.9540000000000001E-3</c:v>
                </c:pt>
                <c:pt idx="784">
                  <c:v>5.8370000000000002E-3</c:v>
                </c:pt>
                <c:pt idx="785">
                  <c:v>5.6059999999999999E-3</c:v>
                </c:pt>
                <c:pt idx="786">
                  <c:v>5.8500000000000002E-3</c:v>
                </c:pt>
                <c:pt idx="787">
                  <c:v>5.9789999999999999E-3</c:v>
                </c:pt>
                <c:pt idx="788">
                  <c:v>5.4200000000000003E-3</c:v>
                </c:pt>
                <c:pt idx="789">
                  <c:v>5.2490000000000002E-3</c:v>
                </c:pt>
                <c:pt idx="790">
                  <c:v>5.5770000000000004E-3</c:v>
                </c:pt>
                <c:pt idx="791">
                  <c:v>5.4749999999999998E-3</c:v>
                </c:pt>
                <c:pt idx="792">
                  <c:v>5.3629999999999997E-3</c:v>
                </c:pt>
                <c:pt idx="793">
                  <c:v>4.8560000000000001E-3</c:v>
                </c:pt>
                <c:pt idx="794">
                  <c:v>4.7990000000000003E-3</c:v>
                </c:pt>
                <c:pt idx="795">
                  <c:v>4.4990000000000004E-3</c:v>
                </c:pt>
                <c:pt idx="796">
                  <c:v>5.0600000000000003E-3</c:v>
                </c:pt>
                <c:pt idx="797">
                  <c:v>4.7829999999999999E-3</c:v>
                </c:pt>
                <c:pt idx="798">
                  <c:v>5.4980000000000003E-3</c:v>
                </c:pt>
                <c:pt idx="799">
                  <c:v>6.0679999999999996E-3</c:v>
                </c:pt>
                <c:pt idx="800">
                  <c:v>6.3740000000000003E-3</c:v>
                </c:pt>
                <c:pt idx="801">
                  <c:v>6.0759999999999998E-3</c:v>
                </c:pt>
                <c:pt idx="802">
                  <c:v>6.4749999999999999E-3</c:v>
                </c:pt>
                <c:pt idx="803">
                  <c:v>6.6119999999999998E-3</c:v>
                </c:pt>
                <c:pt idx="804">
                  <c:v>6.5290000000000001E-3</c:v>
                </c:pt>
                <c:pt idx="805">
                  <c:v>6.4000000000000003E-3</c:v>
                </c:pt>
                <c:pt idx="806">
                  <c:v>6.5230000000000002E-3</c:v>
                </c:pt>
                <c:pt idx="807">
                  <c:v>6.4260000000000003E-3</c:v>
                </c:pt>
                <c:pt idx="808">
                  <c:v>6.2129999999999998E-3</c:v>
                </c:pt>
                <c:pt idx="809">
                  <c:v>6.1529999999999996E-3</c:v>
                </c:pt>
                <c:pt idx="810">
                  <c:v>6.0010000000000003E-3</c:v>
                </c:pt>
                <c:pt idx="811">
                  <c:v>5.9670000000000001E-3</c:v>
                </c:pt>
                <c:pt idx="812">
                  <c:v>6.5170000000000002E-3</c:v>
                </c:pt>
                <c:pt idx="813">
                  <c:v>6.9740000000000002E-3</c:v>
                </c:pt>
                <c:pt idx="814">
                  <c:v>6.9760000000000004E-3</c:v>
                </c:pt>
                <c:pt idx="815">
                  <c:v>6.7200000000000003E-3</c:v>
                </c:pt>
                <c:pt idx="816">
                  <c:v>6.7229999999999998E-3</c:v>
                </c:pt>
                <c:pt idx="817">
                  <c:v>6.9499999999999996E-3</c:v>
                </c:pt>
                <c:pt idx="818">
                  <c:v>7.012E-3</c:v>
                </c:pt>
                <c:pt idx="819">
                  <c:v>7.1770000000000002E-3</c:v>
                </c:pt>
                <c:pt idx="820">
                  <c:v>6.5770000000000004E-3</c:v>
                </c:pt>
                <c:pt idx="821">
                  <c:v>5.6410000000000002E-3</c:v>
                </c:pt>
                <c:pt idx="822">
                  <c:v>5.3870000000000003E-3</c:v>
                </c:pt>
                <c:pt idx="823">
                  <c:v>6.0540000000000004E-3</c:v>
                </c:pt>
                <c:pt idx="824">
                  <c:v>4.437E-3</c:v>
                </c:pt>
                <c:pt idx="825">
                  <c:v>4.5300000000000002E-3</c:v>
                </c:pt>
                <c:pt idx="826">
                  <c:v>3.954E-3</c:v>
                </c:pt>
                <c:pt idx="827">
                  <c:v>3.967E-3</c:v>
                </c:pt>
                <c:pt idx="828">
                  <c:v>4.2680000000000001E-3</c:v>
                </c:pt>
                <c:pt idx="829">
                  <c:v>4.3860000000000001E-3</c:v>
                </c:pt>
                <c:pt idx="830">
                  <c:v>4.4120000000000001E-3</c:v>
                </c:pt>
                <c:pt idx="831">
                  <c:v>4.2839999999999996E-3</c:v>
                </c:pt>
                <c:pt idx="832">
                  <c:v>4.3629999999999997E-3</c:v>
                </c:pt>
                <c:pt idx="833">
                  <c:v>4.5710000000000004E-3</c:v>
                </c:pt>
                <c:pt idx="834">
                  <c:v>4.4149999999999997E-3</c:v>
                </c:pt>
                <c:pt idx="835">
                  <c:v>4.6779999999999999E-3</c:v>
                </c:pt>
                <c:pt idx="836">
                  <c:v>4.9290000000000002E-3</c:v>
                </c:pt>
                <c:pt idx="837">
                  <c:v>4.9049999999999996E-3</c:v>
                </c:pt>
                <c:pt idx="838">
                  <c:v>4.9919999999999999E-3</c:v>
                </c:pt>
                <c:pt idx="839">
                  <c:v>4.8219999999999999E-3</c:v>
                </c:pt>
                <c:pt idx="840">
                  <c:v>4.9509999999999997E-3</c:v>
                </c:pt>
                <c:pt idx="841">
                  <c:v>5.1359999999999999E-3</c:v>
                </c:pt>
                <c:pt idx="842">
                  <c:v>5.0829999999999998E-3</c:v>
                </c:pt>
                <c:pt idx="843">
                  <c:v>5.2610000000000001E-3</c:v>
                </c:pt>
                <c:pt idx="844">
                  <c:v>5.1070000000000004E-3</c:v>
                </c:pt>
                <c:pt idx="845">
                  <c:v>5.339E-3</c:v>
                </c:pt>
                <c:pt idx="846">
                  <c:v>5.3689999999999996E-3</c:v>
                </c:pt>
                <c:pt idx="847">
                  <c:v>5.1219999999999998E-3</c:v>
                </c:pt>
                <c:pt idx="848">
                  <c:v>4.692E-3</c:v>
                </c:pt>
                <c:pt idx="849">
                  <c:v>4.6430000000000004E-3</c:v>
                </c:pt>
                <c:pt idx="850">
                  <c:v>4.7759999999999999E-3</c:v>
                </c:pt>
                <c:pt idx="851">
                  <c:v>4.6839999999999998E-3</c:v>
                </c:pt>
                <c:pt idx="852">
                  <c:v>4.7470000000000004E-3</c:v>
                </c:pt>
                <c:pt idx="853">
                  <c:v>4.7629999999999999E-3</c:v>
                </c:pt>
                <c:pt idx="854">
                  <c:v>4.6750000000000003E-3</c:v>
                </c:pt>
                <c:pt idx="855">
                  <c:v>4.7330000000000002E-3</c:v>
                </c:pt>
                <c:pt idx="856">
                  <c:v>4.5789999999999997E-3</c:v>
                </c:pt>
                <c:pt idx="857">
                  <c:v>6.1180000000000002E-3</c:v>
                </c:pt>
                <c:pt idx="858">
                  <c:v>6.4570000000000001E-3</c:v>
                </c:pt>
                <c:pt idx="859">
                  <c:v>6.9360000000000003E-3</c:v>
                </c:pt>
                <c:pt idx="860">
                  <c:v>7.1339999999999997E-3</c:v>
                </c:pt>
                <c:pt idx="861">
                  <c:v>7.1590000000000004E-3</c:v>
                </c:pt>
                <c:pt idx="862">
                  <c:v>7.4079999999999997E-3</c:v>
                </c:pt>
                <c:pt idx="863">
                  <c:v>7.084E-3</c:v>
                </c:pt>
                <c:pt idx="864">
                  <c:v>6.9620000000000003E-3</c:v>
                </c:pt>
                <c:pt idx="865">
                  <c:v>6.8789999999999997E-3</c:v>
                </c:pt>
                <c:pt idx="866">
                  <c:v>6.8820000000000001E-3</c:v>
                </c:pt>
                <c:pt idx="867">
                  <c:v>6.7320000000000001E-3</c:v>
                </c:pt>
                <c:pt idx="868">
                  <c:v>6.9290000000000003E-3</c:v>
                </c:pt>
                <c:pt idx="869">
                  <c:v>6.9150000000000001E-3</c:v>
                </c:pt>
                <c:pt idx="870">
                  <c:v>6.9969999999999997E-3</c:v>
                </c:pt>
                <c:pt idx="871">
                  <c:v>7.1960000000000001E-3</c:v>
                </c:pt>
                <c:pt idx="872">
                  <c:v>6.9319999999999998E-3</c:v>
                </c:pt>
                <c:pt idx="873">
                  <c:v>6.9950000000000003E-3</c:v>
                </c:pt>
                <c:pt idx="874">
                  <c:v>6.8560000000000001E-3</c:v>
                </c:pt>
                <c:pt idx="875">
                  <c:v>7.1939999999999999E-3</c:v>
                </c:pt>
                <c:pt idx="876">
                  <c:v>7.2090000000000001E-3</c:v>
                </c:pt>
                <c:pt idx="877">
                  <c:v>7.2630000000000004E-3</c:v>
                </c:pt>
                <c:pt idx="878">
                  <c:v>7.1900000000000002E-3</c:v>
                </c:pt>
                <c:pt idx="879">
                  <c:v>6.9890000000000004E-3</c:v>
                </c:pt>
                <c:pt idx="880">
                  <c:v>7.195E-3</c:v>
                </c:pt>
                <c:pt idx="881">
                  <c:v>7.3140000000000002E-3</c:v>
                </c:pt>
                <c:pt idx="882">
                  <c:v>7.2500000000000004E-3</c:v>
                </c:pt>
                <c:pt idx="883">
                  <c:v>7.7600000000000004E-3</c:v>
                </c:pt>
                <c:pt idx="884">
                  <c:v>8.2039999999999995E-3</c:v>
                </c:pt>
                <c:pt idx="885">
                  <c:v>8.319E-3</c:v>
                </c:pt>
                <c:pt idx="886">
                  <c:v>8.3059999999999991E-3</c:v>
                </c:pt>
                <c:pt idx="887">
                  <c:v>8.5030000000000001E-3</c:v>
                </c:pt>
                <c:pt idx="888">
                  <c:v>8.6739999999999994E-3</c:v>
                </c:pt>
                <c:pt idx="889">
                  <c:v>8.5900000000000004E-3</c:v>
                </c:pt>
                <c:pt idx="890">
                  <c:v>8.4180000000000001E-3</c:v>
                </c:pt>
                <c:pt idx="891">
                  <c:v>8.8280000000000008E-3</c:v>
                </c:pt>
                <c:pt idx="892">
                  <c:v>8.907E-3</c:v>
                </c:pt>
                <c:pt idx="893">
                  <c:v>8.7709999999999993E-3</c:v>
                </c:pt>
                <c:pt idx="894">
                  <c:v>8.6899999999999998E-3</c:v>
                </c:pt>
                <c:pt idx="895">
                  <c:v>8.5450000000000005E-3</c:v>
                </c:pt>
                <c:pt idx="896">
                  <c:v>8.3750000000000005E-3</c:v>
                </c:pt>
                <c:pt idx="897">
                  <c:v>8.3580000000000008E-3</c:v>
                </c:pt>
                <c:pt idx="898">
                  <c:v>8.7500000000000008E-3</c:v>
                </c:pt>
                <c:pt idx="899">
                  <c:v>8.8800000000000007E-3</c:v>
                </c:pt>
                <c:pt idx="900">
                  <c:v>9.2479999999999993E-3</c:v>
                </c:pt>
                <c:pt idx="901">
                  <c:v>8.77E-3</c:v>
                </c:pt>
                <c:pt idx="902">
                  <c:v>8.5210000000000008E-3</c:v>
                </c:pt>
                <c:pt idx="903">
                  <c:v>9.9819999999999996E-3</c:v>
                </c:pt>
                <c:pt idx="904">
                  <c:v>1.0652E-2</c:v>
                </c:pt>
                <c:pt idx="905">
                  <c:v>9.3039999999999998E-3</c:v>
                </c:pt>
                <c:pt idx="906">
                  <c:v>9.9380000000000007E-3</c:v>
                </c:pt>
                <c:pt idx="907">
                  <c:v>9.8720000000000006E-3</c:v>
                </c:pt>
                <c:pt idx="908">
                  <c:v>9.9839999999999998E-3</c:v>
                </c:pt>
                <c:pt idx="909">
                  <c:v>1.0043E-2</c:v>
                </c:pt>
                <c:pt idx="910">
                  <c:v>9.9229999999999995E-3</c:v>
                </c:pt>
                <c:pt idx="911">
                  <c:v>1.0022E-2</c:v>
                </c:pt>
                <c:pt idx="912">
                  <c:v>9.8490000000000001E-3</c:v>
                </c:pt>
                <c:pt idx="913">
                  <c:v>9.9080000000000001E-3</c:v>
                </c:pt>
                <c:pt idx="914">
                  <c:v>9.221E-3</c:v>
                </c:pt>
                <c:pt idx="915">
                  <c:v>8.9490000000000004E-3</c:v>
                </c:pt>
                <c:pt idx="916">
                  <c:v>9.0900000000000009E-3</c:v>
                </c:pt>
                <c:pt idx="917">
                  <c:v>8.7880000000000007E-3</c:v>
                </c:pt>
                <c:pt idx="918">
                  <c:v>8.4180000000000001E-3</c:v>
                </c:pt>
                <c:pt idx="919">
                  <c:v>8.1359999999999991E-3</c:v>
                </c:pt>
                <c:pt idx="920">
                  <c:v>8.6840000000000007E-3</c:v>
                </c:pt>
                <c:pt idx="921">
                  <c:v>9.1850000000000005E-3</c:v>
                </c:pt>
                <c:pt idx="922">
                  <c:v>9.1690000000000001E-3</c:v>
                </c:pt>
                <c:pt idx="923">
                  <c:v>7.3530000000000002E-3</c:v>
                </c:pt>
                <c:pt idx="924">
                  <c:v>7.3699999999999998E-3</c:v>
                </c:pt>
                <c:pt idx="925">
                  <c:v>6.9150000000000001E-3</c:v>
                </c:pt>
                <c:pt idx="926">
                  <c:v>6.6670000000000002E-3</c:v>
                </c:pt>
                <c:pt idx="927">
                  <c:v>7.6010000000000001E-3</c:v>
                </c:pt>
                <c:pt idx="928">
                  <c:v>7.4720000000000003E-3</c:v>
                </c:pt>
                <c:pt idx="929">
                  <c:v>9.3150000000000004E-3</c:v>
                </c:pt>
                <c:pt idx="930">
                  <c:v>9.7479999999999997E-3</c:v>
                </c:pt>
                <c:pt idx="931">
                  <c:v>9.4479999999999998E-3</c:v>
                </c:pt>
                <c:pt idx="932">
                  <c:v>1.1280999999999999E-2</c:v>
                </c:pt>
                <c:pt idx="933">
                  <c:v>1.2456E-2</c:v>
                </c:pt>
                <c:pt idx="934">
                  <c:v>1.3384E-2</c:v>
                </c:pt>
                <c:pt idx="935">
                  <c:v>1.3139E-2</c:v>
                </c:pt>
                <c:pt idx="936">
                  <c:v>1.303E-2</c:v>
                </c:pt>
                <c:pt idx="937">
                  <c:v>1.2175999999999999E-2</c:v>
                </c:pt>
                <c:pt idx="938">
                  <c:v>1.2104E-2</c:v>
                </c:pt>
                <c:pt idx="939">
                  <c:v>1.2822999999999999E-2</c:v>
                </c:pt>
                <c:pt idx="940">
                  <c:v>1.2152E-2</c:v>
                </c:pt>
                <c:pt idx="941">
                  <c:v>1.2470999999999999E-2</c:v>
                </c:pt>
                <c:pt idx="942">
                  <c:v>1.2544E-2</c:v>
                </c:pt>
                <c:pt idx="943">
                  <c:v>1.3755E-2</c:v>
                </c:pt>
                <c:pt idx="944">
                  <c:v>1.3070999999999999E-2</c:v>
                </c:pt>
                <c:pt idx="945">
                  <c:v>1.2256E-2</c:v>
                </c:pt>
                <c:pt idx="946">
                  <c:v>1.3599E-2</c:v>
                </c:pt>
                <c:pt idx="947">
                  <c:v>1.4062E-2</c:v>
                </c:pt>
                <c:pt idx="948">
                  <c:v>1.312E-2</c:v>
                </c:pt>
                <c:pt idx="949">
                  <c:v>1.2166E-2</c:v>
                </c:pt>
                <c:pt idx="950">
                  <c:v>1.2227E-2</c:v>
                </c:pt>
                <c:pt idx="951">
                  <c:v>1.1639999999999999E-2</c:v>
                </c:pt>
                <c:pt idx="952">
                  <c:v>1.1716000000000001E-2</c:v>
                </c:pt>
                <c:pt idx="953">
                  <c:v>1.2059E-2</c:v>
                </c:pt>
                <c:pt idx="954">
                  <c:v>1.2054E-2</c:v>
                </c:pt>
                <c:pt idx="955">
                  <c:v>1.2999E-2</c:v>
                </c:pt>
                <c:pt idx="956">
                  <c:v>1.1717999999999999E-2</c:v>
                </c:pt>
                <c:pt idx="957">
                  <c:v>1.1629E-2</c:v>
                </c:pt>
                <c:pt idx="958">
                  <c:v>1.1521999999999999E-2</c:v>
                </c:pt>
                <c:pt idx="959">
                  <c:v>1.1534000000000001E-2</c:v>
                </c:pt>
                <c:pt idx="960">
                  <c:v>1.1492E-2</c:v>
                </c:pt>
                <c:pt idx="961">
                  <c:v>1.1318E-2</c:v>
                </c:pt>
                <c:pt idx="962">
                  <c:v>1.1657000000000001E-2</c:v>
                </c:pt>
                <c:pt idx="963">
                  <c:v>1.0857E-2</c:v>
                </c:pt>
                <c:pt idx="964">
                  <c:v>1.1381E-2</c:v>
                </c:pt>
                <c:pt idx="965">
                  <c:v>1.14E-2</c:v>
                </c:pt>
                <c:pt idx="966">
                  <c:v>1.1065999999999999E-2</c:v>
                </c:pt>
                <c:pt idx="967">
                  <c:v>1.1124E-2</c:v>
                </c:pt>
                <c:pt idx="968">
                  <c:v>1.1087E-2</c:v>
                </c:pt>
                <c:pt idx="969">
                  <c:v>1.1663E-2</c:v>
                </c:pt>
                <c:pt idx="970">
                  <c:v>1.2947E-2</c:v>
                </c:pt>
                <c:pt idx="971">
                  <c:v>1.2749E-2</c:v>
                </c:pt>
                <c:pt idx="972">
                  <c:v>1.3316E-2</c:v>
                </c:pt>
                <c:pt idx="973">
                  <c:v>1.2840000000000001E-2</c:v>
                </c:pt>
                <c:pt idx="974">
                  <c:v>1.3514999999999999E-2</c:v>
                </c:pt>
                <c:pt idx="975">
                  <c:v>1.3688000000000001E-2</c:v>
                </c:pt>
                <c:pt idx="976">
                  <c:v>1.3901999999999999E-2</c:v>
                </c:pt>
                <c:pt idx="977">
                  <c:v>1.2916E-2</c:v>
                </c:pt>
                <c:pt idx="978">
                  <c:v>1.2152E-2</c:v>
                </c:pt>
                <c:pt idx="979">
                  <c:v>1.2067E-2</c:v>
                </c:pt>
                <c:pt idx="980">
                  <c:v>1.1714E-2</c:v>
                </c:pt>
                <c:pt idx="981">
                  <c:v>1.15E-2</c:v>
                </c:pt>
                <c:pt idx="982">
                  <c:v>1.2919999999999999E-2</c:v>
                </c:pt>
                <c:pt idx="983">
                  <c:v>1.2061000000000001E-2</c:v>
                </c:pt>
                <c:pt idx="984">
                  <c:v>1.2385E-2</c:v>
                </c:pt>
                <c:pt idx="985">
                  <c:v>1.1807E-2</c:v>
                </c:pt>
                <c:pt idx="986">
                  <c:v>1.2296E-2</c:v>
                </c:pt>
                <c:pt idx="987">
                  <c:v>1.3337E-2</c:v>
                </c:pt>
                <c:pt idx="988">
                  <c:v>1.4515E-2</c:v>
                </c:pt>
                <c:pt idx="989">
                  <c:v>1.3468000000000001E-2</c:v>
                </c:pt>
                <c:pt idx="990">
                  <c:v>1.2711999999999999E-2</c:v>
                </c:pt>
                <c:pt idx="991">
                  <c:v>1.2685999999999999E-2</c:v>
                </c:pt>
                <c:pt idx="992">
                  <c:v>1.3122E-2</c:v>
                </c:pt>
                <c:pt idx="993">
                  <c:v>1.1981E-2</c:v>
                </c:pt>
                <c:pt idx="994">
                  <c:v>1.1554999999999999E-2</c:v>
                </c:pt>
                <c:pt idx="995">
                  <c:v>1.1209999999999999E-2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5-4D6D-8134-088F6C7B27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728.34717374327533</c:v>
                </c:pt>
                <c:pt idx="1">
                  <c:v>728.5590455069223</c:v>
                </c:pt>
                <c:pt idx="2">
                  <c:v>728.61031124810575</c:v>
                </c:pt>
                <c:pt idx="3">
                  <c:v>728.22310755104684</c:v>
                </c:pt>
                <c:pt idx="4">
                  <c:v>726.06705371369594</c:v>
                </c:pt>
                <c:pt idx="5">
                  <c:v>723.5092347140959</c:v>
                </c:pt>
                <c:pt idx="6">
                  <c:v>723.56558744055883</c:v>
                </c:pt>
                <c:pt idx="7">
                  <c:v>725.95612291050952</c:v>
                </c:pt>
                <c:pt idx="8">
                  <c:v>727.7927409180686</c:v>
                </c:pt>
                <c:pt idx="9">
                  <c:v>728.36512445806852</c:v>
                </c:pt>
                <c:pt idx="10">
                  <c:v>728.19892536645568</c:v>
                </c:pt>
                <c:pt idx="11">
                  <c:v>728.99973650554659</c:v>
                </c:pt>
                <c:pt idx="12">
                  <c:v>728.53652596586403</c:v>
                </c:pt>
                <c:pt idx="13">
                  <c:v>728.47804002927876</c:v>
                </c:pt>
                <c:pt idx="14">
                  <c:v>727.88288880375023</c:v>
                </c:pt>
                <c:pt idx="15">
                  <c:v>729.68029207507971</c:v>
                </c:pt>
                <c:pt idx="16">
                  <c:v>728.50088951507973</c:v>
                </c:pt>
                <c:pt idx="17">
                  <c:v>727.07021679243837</c:v>
                </c:pt>
                <c:pt idx="18">
                  <c:v>727.77504060858678</c:v>
                </c:pt>
                <c:pt idx="19">
                  <c:v>727.78419893325326</c:v>
                </c:pt>
                <c:pt idx="20">
                  <c:v>728.6009605651717</c:v>
                </c:pt>
                <c:pt idx="21">
                  <c:v>729.29221035333649</c:v>
                </c:pt>
                <c:pt idx="22">
                  <c:v>727.2776716422253</c:v>
                </c:pt>
                <c:pt idx="23">
                  <c:v>728.8132885074408</c:v>
                </c:pt>
                <c:pt idx="24">
                  <c:v>729.7608950936135</c:v>
                </c:pt>
                <c:pt idx="25">
                  <c:v>730.54837993736351</c:v>
                </c:pt>
                <c:pt idx="26">
                  <c:v>729.12182132780526</c:v>
                </c:pt>
                <c:pt idx="27">
                  <c:v>727.52067521498464</c:v>
                </c:pt>
                <c:pt idx="28">
                  <c:v>728.45885143223256</c:v>
                </c:pt>
                <c:pt idx="29">
                  <c:v>728.12625208321288</c:v>
                </c:pt>
                <c:pt idx="30">
                  <c:v>729.6630471469</c:v>
                </c:pt>
                <c:pt idx="31">
                  <c:v>733.58313819702585</c:v>
                </c:pt>
                <c:pt idx="32">
                  <c:v>735.23612364532778</c:v>
                </c:pt>
                <c:pt idx="33">
                  <c:v>732.74207452123824</c:v>
                </c:pt>
                <c:pt idx="34">
                  <c:v>731.59335937309004</c:v>
                </c:pt>
                <c:pt idx="35">
                  <c:v>733.40177849112285</c:v>
                </c:pt>
                <c:pt idx="36">
                  <c:v>727.15432580078709</c:v>
                </c:pt>
                <c:pt idx="37">
                  <c:v>725.75719399376953</c:v>
                </c:pt>
                <c:pt idx="38">
                  <c:v>724.61378859397678</c:v>
                </c:pt>
                <c:pt idx="39">
                  <c:v>723.3779632389768</c:v>
                </c:pt>
                <c:pt idx="40">
                  <c:v>724.33337250051522</c:v>
                </c:pt>
                <c:pt idx="41">
                  <c:v>724.01624060743825</c:v>
                </c:pt>
                <c:pt idx="42">
                  <c:v>724.00554521555352</c:v>
                </c:pt>
                <c:pt idx="43">
                  <c:v>725.4825012296011</c:v>
                </c:pt>
                <c:pt idx="44">
                  <c:v>723.04413717051023</c:v>
                </c:pt>
                <c:pt idx="45">
                  <c:v>723.19379614737511</c:v>
                </c:pt>
                <c:pt idx="46">
                  <c:v>725.58448455153189</c:v>
                </c:pt>
                <c:pt idx="47">
                  <c:v>725.30309725212885</c:v>
                </c:pt>
                <c:pt idx="48">
                  <c:v>725.20291618779163</c:v>
                </c:pt>
                <c:pt idx="49">
                  <c:v>727.86266751422988</c:v>
                </c:pt>
                <c:pt idx="50">
                  <c:v>730.84852704154025</c:v>
                </c:pt>
                <c:pt idx="51">
                  <c:v>728.30937874918732</c:v>
                </c:pt>
                <c:pt idx="52">
                  <c:v>727.52388132354315</c:v>
                </c:pt>
                <c:pt idx="53">
                  <c:v>723.87287510778549</c:v>
                </c:pt>
                <c:pt idx="54">
                  <c:v>725.07084147070327</c:v>
                </c:pt>
                <c:pt idx="55">
                  <c:v>719.65698642031259</c:v>
                </c:pt>
                <c:pt idx="56">
                  <c:v>721.4070804528177</c:v>
                </c:pt>
                <c:pt idx="57">
                  <c:v>722.09155997404218</c:v>
                </c:pt>
                <c:pt idx="58">
                  <c:v>722.59791513757818</c:v>
                </c:pt>
                <c:pt idx="59">
                  <c:v>724.77058581905965</c:v>
                </c:pt>
                <c:pt idx="60">
                  <c:v>726.04473700259825</c:v>
                </c:pt>
                <c:pt idx="61">
                  <c:v>723.05736411304144</c:v>
                </c:pt>
                <c:pt idx="62">
                  <c:v>723.04254899998023</c:v>
                </c:pt>
                <c:pt idx="63">
                  <c:v>726.72819227291916</c:v>
                </c:pt>
                <c:pt idx="64">
                  <c:v>725.5391324015493</c:v>
                </c:pt>
                <c:pt idx="65">
                  <c:v>726.18566087612544</c:v>
                </c:pt>
                <c:pt idx="66">
                  <c:v>725.75865061073523</c:v>
                </c:pt>
                <c:pt idx="67">
                  <c:v>728.34380043144733</c:v>
                </c:pt>
                <c:pt idx="68">
                  <c:v>729.33132462410185</c:v>
                </c:pt>
                <c:pt idx="69">
                  <c:v>726.95455630549532</c:v>
                </c:pt>
                <c:pt idx="70">
                  <c:v>725.82873713982997</c:v>
                </c:pt>
                <c:pt idx="71">
                  <c:v>730.7191667100235</c:v>
                </c:pt>
                <c:pt idx="72">
                  <c:v>727.7115178195404</c:v>
                </c:pt>
                <c:pt idx="73">
                  <c:v>727.96282885477285</c:v>
                </c:pt>
                <c:pt idx="74">
                  <c:v>728.8535803750118</c:v>
                </c:pt>
                <c:pt idx="75">
                  <c:v>727.37136229475971</c:v>
                </c:pt>
                <c:pt idx="76">
                  <c:v>726.12921329827316</c:v>
                </c:pt>
                <c:pt idx="77">
                  <c:v>725.5314520712659</c:v>
                </c:pt>
                <c:pt idx="78">
                  <c:v>724.93714064918265</c:v>
                </c:pt>
                <c:pt idx="79">
                  <c:v>724.45583030966611</c:v>
                </c:pt>
                <c:pt idx="80">
                  <c:v>726.88032651912056</c:v>
                </c:pt>
                <c:pt idx="81">
                  <c:v>723.90115883426085</c:v>
                </c:pt>
                <c:pt idx="82">
                  <c:v>724.4680735592608</c:v>
                </c:pt>
                <c:pt idx="83">
                  <c:v>723.47321574681018</c:v>
                </c:pt>
                <c:pt idx="84">
                  <c:v>726.25115819735743</c:v>
                </c:pt>
                <c:pt idx="85">
                  <c:v>728.78604110975095</c:v>
                </c:pt>
                <c:pt idx="86">
                  <c:v>726.84608269843602</c:v>
                </c:pt>
                <c:pt idx="87">
                  <c:v>721.52258505757891</c:v>
                </c:pt>
                <c:pt idx="88">
                  <c:v>722.34656091443378</c:v>
                </c:pt>
                <c:pt idx="89">
                  <c:v>717.83094197328194</c:v>
                </c:pt>
                <c:pt idx="90">
                  <c:v>716.32891877395991</c:v>
                </c:pt>
                <c:pt idx="91">
                  <c:v>714.61914845136721</c:v>
                </c:pt>
                <c:pt idx="92">
                  <c:v>713.88855952838799</c:v>
                </c:pt>
                <c:pt idx="93">
                  <c:v>717.09522344151344</c:v>
                </c:pt>
                <c:pt idx="94">
                  <c:v>718.14100945617292</c:v>
                </c:pt>
                <c:pt idx="95">
                  <c:v>716.79842786937036</c:v>
                </c:pt>
                <c:pt idx="96">
                  <c:v>717.38248593183505</c:v>
                </c:pt>
                <c:pt idx="97">
                  <c:v>716.83790626045129</c:v>
                </c:pt>
                <c:pt idx="98">
                  <c:v>715.56735888885135</c:v>
                </c:pt>
                <c:pt idx="99">
                  <c:v>717.67961208833401</c:v>
                </c:pt>
                <c:pt idx="100">
                  <c:v>715.21814345241046</c:v>
                </c:pt>
                <c:pt idx="101">
                  <c:v>715.06873321289174</c:v>
                </c:pt>
                <c:pt idx="102">
                  <c:v>715.316063482039</c:v>
                </c:pt>
                <c:pt idx="103">
                  <c:v>714.53534320431618</c:v>
                </c:pt>
                <c:pt idx="104">
                  <c:v>715.05943544301681</c:v>
                </c:pt>
                <c:pt idx="105">
                  <c:v>715.63321371378595</c:v>
                </c:pt>
                <c:pt idx="106">
                  <c:v>713.87293537356709</c:v>
                </c:pt>
                <c:pt idx="107">
                  <c:v>709.9827122191524</c:v>
                </c:pt>
                <c:pt idx="108">
                  <c:v>703.55493099634225</c:v>
                </c:pt>
                <c:pt idx="109">
                  <c:v>703.35441659340961</c:v>
                </c:pt>
                <c:pt idx="110">
                  <c:v>707.51558130840954</c:v>
                </c:pt>
                <c:pt idx="111">
                  <c:v>706.94332888583631</c:v>
                </c:pt>
                <c:pt idx="112">
                  <c:v>705.12618040491088</c:v>
                </c:pt>
                <c:pt idx="113">
                  <c:v>703.2286773453219</c:v>
                </c:pt>
                <c:pt idx="114">
                  <c:v>699.54367611645864</c:v>
                </c:pt>
                <c:pt idx="115">
                  <c:v>697.18095444167261</c:v>
                </c:pt>
                <c:pt idx="116">
                  <c:v>697.23810735060943</c:v>
                </c:pt>
                <c:pt idx="117">
                  <c:v>698.49629280146405</c:v>
                </c:pt>
                <c:pt idx="118">
                  <c:v>701.51035272458262</c:v>
                </c:pt>
                <c:pt idx="119">
                  <c:v>695.02917418737684</c:v>
                </c:pt>
                <c:pt idx="120">
                  <c:v>693.06233494250785</c:v>
                </c:pt>
                <c:pt idx="121">
                  <c:v>693.31660506912169</c:v>
                </c:pt>
                <c:pt idx="122">
                  <c:v>698.21803889568071</c:v>
                </c:pt>
                <c:pt idx="123">
                  <c:v>702.1951578806005</c:v>
                </c:pt>
                <c:pt idx="124">
                  <c:v>699.85748477789798</c:v>
                </c:pt>
                <c:pt idx="125">
                  <c:v>700.29219304411504</c:v>
                </c:pt>
                <c:pt idx="126">
                  <c:v>701.80124785725195</c:v>
                </c:pt>
                <c:pt idx="127">
                  <c:v>694.34235095783424</c:v>
                </c:pt>
                <c:pt idx="128">
                  <c:v>684.38137330452389</c:v>
                </c:pt>
                <c:pt idx="129">
                  <c:v>692.64881460581591</c:v>
                </c:pt>
                <c:pt idx="130">
                  <c:v>696.50361845594671</c:v>
                </c:pt>
                <c:pt idx="131">
                  <c:v>698.25685327154827</c:v>
                </c:pt>
                <c:pt idx="132">
                  <c:v>698.39348899796539</c:v>
                </c:pt>
                <c:pt idx="133">
                  <c:v>701.37892233571176</c:v>
                </c:pt>
                <c:pt idx="134">
                  <c:v>707.10005576132926</c:v>
                </c:pt>
                <c:pt idx="135">
                  <c:v>698.69769983376443</c:v>
                </c:pt>
                <c:pt idx="136">
                  <c:v>688.39937883524601</c:v>
                </c:pt>
                <c:pt idx="137">
                  <c:v>692.19311896718682</c:v>
                </c:pt>
                <c:pt idx="138">
                  <c:v>687.44976894656452</c:v>
                </c:pt>
                <c:pt idx="139">
                  <c:v>693.63397075374405</c:v>
                </c:pt>
                <c:pt idx="140">
                  <c:v>701.3852973765355</c:v>
                </c:pt>
                <c:pt idx="141">
                  <c:v>703.69551964088953</c:v>
                </c:pt>
                <c:pt idx="142">
                  <c:v>662.73373869950581</c:v>
                </c:pt>
                <c:pt idx="143">
                  <c:v>664.44544973410927</c:v>
                </c:pt>
                <c:pt idx="144">
                  <c:v>655.51165821120469</c:v>
                </c:pt>
                <c:pt idx="145">
                  <c:v>667.69382134603711</c:v>
                </c:pt>
                <c:pt idx="146">
                  <c:v>660.7199592350355</c:v>
                </c:pt>
                <c:pt idx="147">
                  <c:v>649.3854390144204</c:v>
                </c:pt>
                <c:pt idx="148">
                  <c:v>649.94620109993571</c:v>
                </c:pt>
                <c:pt idx="149">
                  <c:v>645.95310180592935</c:v>
                </c:pt>
                <c:pt idx="150">
                  <c:v>642.3105885310049</c:v>
                </c:pt>
                <c:pt idx="151">
                  <c:v>645.55760064896288</c:v>
                </c:pt>
                <c:pt idx="152">
                  <c:v>647.16342870815208</c:v>
                </c:pt>
                <c:pt idx="153">
                  <c:v>647.6534634131358</c:v>
                </c:pt>
                <c:pt idx="154">
                  <c:v>637.49232016088035</c:v>
                </c:pt>
                <c:pt idx="155">
                  <c:v>643.62239985088036</c:v>
                </c:pt>
                <c:pt idx="156">
                  <c:v>639.85856086044396</c:v>
                </c:pt>
                <c:pt idx="157">
                  <c:v>643.260559083609</c:v>
                </c:pt>
                <c:pt idx="158">
                  <c:v>630.30701500974851</c:v>
                </c:pt>
                <c:pt idx="159">
                  <c:v>630.37583074576787</c:v>
                </c:pt>
                <c:pt idx="160">
                  <c:v>622.55633889166438</c:v>
                </c:pt>
                <c:pt idx="161">
                  <c:v>619.67976381171468</c:v>
                </c:pt>
                <c:pt idx="162">
                  <c:v>616.24894673826486</c:v>
                </c:pt>
                <c:pt idx="163">
                  <c:v>616.05865837616057</c:v>
                </c:pt>
                <c:pt idx="164">
                  <c:v>620.21260462188957</c:v>
                </c:pt>
                <c:pt idx="165">
                  <c:v>624.05465121727536</c:v>
                </c:pt>
                <c:pt idx="166">
                  <c:v>623.17878211858556</c:v>
                </c:pt>
                <c:pt idx="167">
                  <c:v>618.53746068666601</c:v>
                </c:pt>
                <c:pt idx="168">
                  <c:v>613.35613572686009</c:v>
                </c:pt>
                <c:pt idx="169">
                  <c:v>613.2320763954823</c:v>
                </c:pt>
                <c:pt idx="170">
                  <c:v>610.86275381571681</c:v>
                </c:pt>
                <c:pt idx="171">
                  <c:v>604.82565951529921</c:v>
                </c:pt>
                <c:pt idx="172">
                  <c:v>600.80262396846729</c:v>
                </c:pt>
                <c:pt idx="173">
                  <c:v>604.16232347029086</c:v>
                </c:pt>
                <c:pt idx="174">
                  <c:v>599.79116075523518</c:v>
                </c:pt>
                <c:pt idx="175">
                  <c:v>600.6911731536859</c:v>
                </c:pt>
                <c:pt idx="176">
                  <c:v>596.55474643430591</c:v>
                </c:pt>
                <c:pt idx="177">
                  <c:v>593.84911816789463</c:v>
                </c:pt>
                <c:pt idx="178">
                  <c:v>594.60447271994417</c:v>
                </c:pt>
                <c:pt idx="179">
                  <c:v>592.87375588790542</c:v>
                </c:pt>
                <c:pt idx="180">
                  <c:v>598.40563226044935</c:v>
                </c:pt>
                <c:pt idx="181">
                  <c:v>595.34131205008191</c:v>
                </c:pt>
                <c:pt idx="182">
                  <c:v>590.37596062320586</c:v>
                </c:pt>
                <c:pt idx="183">
                  <c:v>587.23897857069187</c:v>
                </c:pt>
                <c:pt idx="184">
                  <c:v>584.95706373618009</c:v>
                </c:pt>
                <c:pt idx="185">
                  <c:v>581.05695501868968</c:v>
                </c:pt>
                <c:pt idx="186">
                  <c:v>588.82656457271105</c:v>
                </c:pt>
                <c:pt idx="187">
                  <c:v>588.00205132913311</c:v>
                </c:pt>
                <c:pt idx="188">
                  <c:v>580.05558764700743</c:v>
                </c:pt>
                <c:pt idx="189">
                  <c:v>576.39841892934226</c:v>
                </c:pt>
                <c:pt idx="190">
                  <c:v>576.11041553711391</c:v>
                </c:pt>
                <c:pt idx="191">
                  <c:v>570.6843062262252</c:v>
                </c:pt>
                <c:pt idx="192">
                  <c:v>568.11196841850938</c:v>
                </c:pt>
                <c:pt idx="193">
                  <c:v>570.1347817771225</c:v>
                </c:pt>
                <c:pt idx="194">
                  <c:v>570.10604320719403</c:v>
                </c:pt>
                <c:pt idx="195">
                  <c:v>568.04705019226867</c:v>
                </c:pt>
                <c:pt idx="196">
                  <c:v>571.19719840136941</c:v>
                </c:pt>
                <c:pt idx="197">
                  <c:v>573.23415091195034</c:v>
                </c:pt>
                <c:pt idx="198">
                  <c:v>570.71681689924139</c:v>
                </c:pt>
                <c:pt idx="199">
                  <c:v>571.31144562545705</c:v>
                </c:pt>
                <c:pt idx="200">
                  <c:v>569.61733675151095</c:v>
                </c:pt>
                <c:pt idx="201">
                  <c:v>568.82202610317972</c:v>
                </c:pt>
                <c:pt idx="202">
                  <c:v>569.42287410845756</c:v>
                </c:pt>
                <c:pt idx="203">
                  <c:v>565.60946390220272</c:v>
                </c:pt>
                <c:pt idx="204">
                  <c:v>570.33149465402596</c:v>
                </c:pt>
                <c:pt idx="205">
                  <c:v>571.65804978516314</c:v>
                </c:pt>
                <c:pt idx="206">
                  <c:v>571.64458223435588</c:v>
                </c:pt>
                <c:pt idx="207">
                  <c:v>572.59496424222164</c:v>
                </c:pt>
                <c:pt idx="208">
                  <c:v>567.70825301515458</c:v>
                </c:pt>
                <c:pt idx="209">
                  <c:v>561.38090958458326</c:v>
                </c:pt>
                <c:pt idx="210">
                  <c:v>550.76888197605604</c:v>
                </c:pt>
                <c:pt idx="211">
                  <c:v>550.80617683335322</c:v>
                </c:pt>
                <c:pt idx="212">
                  <c:v>545.53974156518325</c:v>
                </c:pt>
                <c:pt idx="213">
                  <c:v>536.8828692320044</c:v>
                </c:pt>
                <c:pt idx="214">
                  <c:v>532.11715992208951</c:v>
                </c:pt>
                <c:pt idx="215">
                  <c:v>528.69266428020956</c:v>
                </c:pt>
                <c:pt idx="216">
                  <c:v>523.46233349658371</c:v>
                </c:pt>
                <c:pt idx="217">
                  <c:v>532.05831200441003</c:v>
                </c:pt>
                <c:pt idx="218">
                  <c:v>527.49354919940811</c:v>
                </c:pt>
                <c:pt idx="219">
                  <c:v>520.98073673690055</c:v>
                </c:pt>
                <c:pt idx="220">
                  <c:v>525.7550262028833</c:v>
                </c:pt>
                <c:pt idx="221">
                  <c:v>538.22458998041532</c:v>
                </c:pt>
                <c:pt idx="222">
                  <c:v>537.63659331131691</c:v>
                </c:pt>
                <c:pt idx="223">
                  <c:v>541.15311334319063</c:v>
                </c:pt>
                <c:pt idx="224">
                  <c:v>543.81170421729701</c:v>
                </c:pt>
                <c:pt idx="225">
                  <c:v>544.68363936674757</c:v>
                </c:pt>
                <c:pt idx="226">
                  <c:v>546.90774275422893</c:v>
                </c:pt>
                <c:pt idx="227">
                  <c:v>547.16446318786302</c:v>
                </c:pt>
                <c:pt idx="228">
                  <c:v>543.69008241386564</c:v>
                </c:pt>
                <c:pt idx="229">
                  <c:v>541.18365397827938</c:v>
                </c:pt>
                <c:pt idx="230">
                  <c:v>543.01387659992201</c:v>
                </c:pt>
                <c:pt idx="231">
                  <c:v>545.62682570562868</c:v>
                </c:pt>
                <c:pt idx="232">
                  <c:v>547.18264651556206</c:v>
                </c:pt>
                <c:pt idx="233">
                  <c:v>543.5320475825248</c:v>
                </c:pt>
                <c:pt idx="234">
                  <c:v>542.64284005524883</c:v>
                </c:pt>
                <c:pt idx="235">
                  <c:v>546.07481146118278</c:v>
                </c:pt>
                <c:pt idx="236">
                  <c:v>543.52101637710098</c:v>
                </c:pt>
                <c:pt idx="237">
                  <c:v>545.20553076542251</c:v>
                </c:pt>
                <c:pt idx="238">
                  <c:v>547.7100662978786</c:v>
                </c:pt>
                <c:pt idx="239">
                  <c:v>548.82141783538987</c:v>
                </c:pt>
                <c:pt idx="240">
                  <c:v>543.64459372966189</c:v>
                </c:pt>
                <c:pt idx="241">
                  <c:v>544.39376561768597</c:v>
                </c:pt>
                <c:pt idx="242">
                  <c:v>540.6891528435425</c:v>
                </c:pt>
                <c:pt idx="243">
                  <c:v>539.09858282734672</c:v>
                </c:pt>
                <c:pt idx="244">
                  <c:v>538.3859355323782</c:v>
                </c:pt>
                <c:pt idx="245">
                  <c:v>542.57314811256833</c:v>
                </c:pt>
                <c:pt idx="246">
                  <c:v>538.85172391283027</c:v>
                </c:pt>
                <c:pt idx="247">
                  <c:v>533.48817571579207</c:v>
                </c:pt>
                <c:pt idx="248">
                  <c:v>530.70861798409135</c:v>
                </c:pt>
                <c:pt idx="249">
                  <c:v>517.88597404409143</c:v>
                </c:pt>
                <c:pt idx="250">
                  <c:v>516.10280260423622</c:v>
                </c:pt>
                <c:pt idx="251">
                  <c:v>530.49412468458308</c:v>
                </c:pt>
                <c:pt idx="252">
                  <c:v>533.19548790599811</c:v>
                </c:pt>
                <c:pt idx="253">
                  <c:v>521.3203276579768</c:v>
                </c:pt>
                <c:pt idx="254">
                  <c:v>531.98401068503983</c:v>
                </c:pt>
                <c:pt idx="255">
                  <c:v>534.11309136079535</c:v>
                </c:pt>
                <c:pt idx="256">
                  <c:v>536.13115068294155</c:v>
                </c:pt>
                <c:pt idx="257">
                  <c:v>537.50294243509734</c:v>
                </c:pt>
                <c:pt idx="258">
                  <c:v>542.26432800762007</c:v>
                </c:pt>
                <c:pt idx="259">
                  <c:v>542.26432800762007</c:v>
                </c:pt>
                <c:pt idx="260">
                  <c:v>539.90101476330904</c:v>
                </c:pt>
                <c:pt idx="261">
                  <c:v>546.69641268475266</c:v>
                </c:pt>
                <c:pt idx="262">
                  <c:v>540.17936152815855</c:v>
                </c:pt>
                <c:pt idx="263">
                  <c:v>543.4866912453565</c:v>
                </c:pt>
                <c:pt idx="264">
                  <c:v>543.19127582023839</c:v>
                </c:pt>
                <c:pt idx="265">
                  <c:v>546.35218196916469</c:v>
                </c:pt>
                <c:pt idx="266">
                  <c:v>558.51527814920314</c:v>
                </c:pt>
                <c:pt idx="267">
                  <c:v>557.9962568099138</c:v>
                </c:pt>
                <c:pt idx="268">
                  <c:v>551.90469762612304</c:v>
                </c:pt>
                <c:pt idx="269">
                  <c:v>558.92906631062442</c:v>
                </c:pt>
                <c:pt idx="270">
                  <c:v>559.13865112411577</c:v>
                </c:pt>
                <c:pt idx="271">
                  <c:v>561.70301093028809</c:v>
                </c:pt>
                <c:pt idx="272">
                  <c:v>563.660949942657</c:v>
                </c:pt>
                <c:pt idx="273">
                  <c:v>553.71976828317725</c:v>
                </c:pt>
                <c:pt idx="274">
                  <c:v>553.69215633076465</c:v>
                </c:pt>
                <c:pt idx="275">
                  <c:v>558.21575586244921</c:v>
                </c:pt>
                <c:pt idx="276">
                  <c:v>545.86789262542209</c:v>
                </c:pt>
                <c:pt idx="277">
                  <c:v>532.67916396047372</c:v>
                </c:pt>
                <c:pt idx="278">
                  <c:v>534.68495223479454</c:v>
                </c:pt>
                <c:pt idx="279">
                  <c:v>552.31270127248933</c:v>
                </c:pt>
                <c:pt idx="280">
                  <c:v>512.03818734673382</c:v>
                </c:pt>
                <c:pt idx="281">
                  <c:v>528.02431457106252</c:v>
                </c:pt>
                <c:pt idx="282">
                  <c:v>534.47890984835851</c:v>
                </c:pt>
                <c:pt idx="283">
                  <c:v>527.89232952583734</c:v>
                </c:pt>
                <c:pt idx="284">
                  <c:v>539.5069024418716</c:v>
                </c:pt>
                <c:pt idx="285">
                  <c:v>530.90071280300697</c:v>
                </c:pt>
                <c:pt idx="286">
                  <c:v>536.26947015552855</c:v>
                </c:pt>
                <c:pt idx="287">
                  <c:v>542.59100975577996</c:v>
                </c:pt>
                <c:pt idx="288">
                  <c:v>538.76895555160661</c:v>
                </c:pt>
                <c:pt idx="289">
                  <c:v>558.50276335618878</c:v>
                </c:pt>
                <c:pt idx="290">
                  <c:v>551.21721609519784</c:v>
                </c:pt>
                <c:pt idx="291">
                  <c:v>538.60381318484269</c:v>
                </c:pt>
                <c:pt idx="292">
                  <c:v>534.63608540031055</c:v>
                </c:pt>
                <c:pt idx="293">
                  <c:v>537.80303568223383</c:v>
                </c:pt>
                <c:pt idx="294">
                  <c:v>538.53607782600488</c:v>
                </c:pt>
                <c:pt idx="295">
                  <c:v>533.25533683099172</c:v>
                </c:pt>
                <c:pt idx="296">
                  <c:v>538.26559470737925</c:v>
                </c:pt>
                <c:pt idx="297">
                  <c:v>533.21200987654981</c:v>
                </c:pt>
                <c:pt idx="298">
                  <c:v>531.52847619252213</c:v>
                </c:pt>
                <c:pt idx="299">
                  <c:v>528.23610374136751</c:v>
                </c:pt>
                <c:pt idx="300">
                  <c:v>535.57279550521559</c:v>
                </c:pt>
                <c:pt idx="301">
                  <c:v>531.23171298576301</c:v>
                </c:pt>
                <c:pt idx="302">
                  <c:v>531.50657176925904</c:v>
                </c:pt>
                <c:pt idx="303">
                  <c:v>529.41200168560476</c:v>
                </c:pt>
                <c:pt idx="304">
                  <c:v>524.44641895821303</c:v>
                </c:pt>
                <c:pt idx="305">
                  <c:v>520.46353023234929</c:v>
                </c:pt>
                <c:pt idx="306">
                  <c:v>520.59798910507993</c:v>
                </c:pt>
                <c:pt idx="307">
                  <c:v>522.89802336748949</c:v>
                </c:pt>
                <c:pt idx="308">
                  <c:v>516.87673120056388</c:v>
                </c:pt>
                <c:pt idx="309">
                  <c:v>516.72561126592404</c:v>
                </c:pt>
                <c:pt idx="310">
                  <c:v>520.94865183462832</c:v>
                </c:pt>
                <c:pt idx="311">
                  <c:v>519.24554203393086</c:v>
                </c:pt>
                <c:pt idx="312">
                  <c:v>529.2047258516111</c:v>
                </c:pt>
                <c:pt idx="313">
                  <c:v>546.64573181952653</c:v>
                </c:pt>
                <c:pt idx="314">
                  <c:v>525.86190464788672</c:v>
                </c:pt>
                <c:pt idx="315">
                  <c:v>527.49747612536248</c:v>
                </c:pt>
                <c:pt idx="316">
                  <c:v>523.62952577930957</c:v>
                </c:pt>
                <c:pt idx="317">
                  <c:v>519.39901952973833</c:v>
                </c:pt>
                <c:pt idx="318">
                  <c:v>515.25479628914957</c:v>
                </c:pt>
                <c:pt idx="319">
                  <c:v>515.60196731301096</c:v>
                </c:pt>
                <c:pt idx="320">
                  <c:v>517.01748588857618</c:v>
                </c:pt>
                <c:pt idx="321">
                  <c:v>516.32415010605848</c:v>
                </c:pt>
                <c:pt idx="322">
                  <c:v>517.90290690416532</c:v>
                </c:pt>
                <c:pt idx="323">
                  <c:v>516.69695001140383</c:v>
                </c:pt>
                <c:pt idx="324">
                  <c:v>522.57693136161015</c:v>
                </c:pt>
                <c:pt idx="325">
                  <c:v>514.73744763681793</c:v>
                </c:pt>
                <c:pt idx="326">
                  <c:v>516.1629283790478</c:v>
                </c:pt>
                <c:pt idx="327">
                  <c:v>515.56446861347399</c:v>
                </c:pt>
                <c:pt idx="328">
                  <c:v>518.86819279425833</c:v>
                </c:pt>
                <c:pt idx="329">
                  <c:v>506.92900538088173</c:v>
                </c:pt>
                <c:pt idx="330">
                  <c:v>512.56437405774147</c:v>
                </c:pt>
                <c:pt idx="331">
                  <c:v>504.13653524463899</c:v>
                </c:pt>
                <c:pt idx="332">
                  <c:v>503.90447989231694</c:v>
                </c:pt>
                <c:pt idx="333">
                  <c:v>485.49200043636341</c:v>
                </c:pt>
                <c:pt idx="334">
                  <c:v>486.60336832737642</c:v>
                </c:pt>
                <c:pt idx="335">
                  <c:v>491.35784729233001</c:v>
                </c:pt>
                <c:pt idx="336">
                  <c:v>501.75390606151126</c:v>
                </c:pt>
                <c:pt idx="337">
                  <c:v>541.35331897851825</c:v>
                </c:pt>
                <c:pt idx="338">
                  <c:v>550.67399168617271</c:v>
                </c:pt>
                <c:pt idx="339">
                  <c:v>503.58312702420943</c:v>
                </c:pt>
                <c:pt idx="340">
                  <c:v>499.29914786883859</c:v>
                </c:pt>
                <c:pt idx="341">
                  <c:v>482.16571115525494</c:v>
                </c:pt>
                <c:pt idx="342">
                  <c:v>488.33576905184998</c:v>
                </c:pt>
                <c:pt idx="343">
                  <c:v>490.5921477285749</c:v>
                </c:pt>
                <c:pt idx="344">
                  <c:v>475.92877548088364</c:v>
                </c:pt>
                <c:pt idx="345">
                  <c:v>450.88095660287189</c:v>
                </c:pt>
                <c:pt idx="346">
                  <c:v>450.70084619384971</c:v>
                </c:pt>
                <c:pt idx="347">
                  <c:v>443.64634242477177</c:v>
                </c:pt>
                <c:pt idx="348">
                  <c:v>458.50455645234382</c:v>
                </c:pt>
                <c:pt idx="349">
                  <c:v>446.01634460625439</c:v>
                </c:pt>
                <c:pt idx="350">
                  <c:v>428.31467311338298</c:v>
                </c:pt>
                <c:pt idx="351">
                  <c:v>413.64631199676933</c:v>
                </c:pt>
                <c:pt idx="352">
                  <c:v>412.35103450669101</c:v>
                </c:pt>
                <c:pt idx="353">
                  <c:v>397.94946414400869</c:v>
                </c:pt>
                <c:pt idx="354">
                  <c:v>390.07123331119919</c:v>
                </c:pt>
                <c:pt idx="355">
                  <c:v>393.65589609892533</c:v>
                </c:pt>
                <c:pt idx="356">
                  <c:v>390.67526536843417</c:v>
                </c:pt>
                <c:pt idx="357">
                  <c:v>377.16258192810949</c:v>
                </c:pt>
                <c:pt idx="358">
                  <c:v>381.52403200010951</c:v>
                </c:pt>
                <c:pt idx="359">
                  <c:v>377.28542040708618</c:v>
                </c:pt>
                <c:pt idx="360">
                  <c:v>381.54163566032861</c:v>
                </c:pt>
                <c:pt idx="361">
                  <c:v>375.66638935592545</c:v>
                </c:pt>
                <c:pt idx="362">
                  <c:v>374.05296236331793</c:v>
                </c:pt>
                <c:pt idx="363">
                  <c:v>380.06306895868835</c:v>
                </c:pt>
                <c:pt idx="364">
                  <c:v>389.88482191543477</c:v>
                </c:pt>
                <c:pt idx="365">
                  <c:v>387.87985486892251</c:v>
                </c:pt>
                <c:pt idx="366">
                  <c:v>399.97623008158615</c:v>
                </c:pt>
                <c:pt idx="367">
                  <c:v>385.95239652630971</c:v>
                </c:pt>
                <c:pt idx="368">
                  <c:v>399.76805775313443</c:v>
                </c:pt>
                <c:pt idx="369">
                  <c:v>387.04987415132717</c:v>
                </c:pt>
                <c:pt idx="370">
                  <c:v>389.72087503767119</c:v>
                </c:pt>
                <c:pt idx="371">
                  <c:v>378.01061352592353</c:v>
                </c:pt>
                <c:pt idx="372">
                  <c:v>398.71315074898888</c:v>
                </c:pt>
                <c:pt idx="373">
                  <c:v>379.51788936957547</c:v>
                </c:pt>
                <c:pt idx="374">
                  <c:v>403.03599917321498</c:v>
                </c:pt>
                <c:pt idx="375">
                  <c:v>410.09014378541821</c:v>
                </c:pt>
                <c:pt idx="376">
                  <c:v>373.30526338698792</c:v>
                </c:pt>
                <c:pt idx="377">
                  <c:v>415.58385461957033</c:v>
                </c:pt>
                <c:pt idx="378">
                  <c:v>325.27577025423483</c:v>
                </c:pt>
                <c:pt idx="379">
                  <c:v>288.48011207113166</c:v>
                </c:pt>
                <c:pt idx="380">
                  <c:v>259.97288180576771</c:v>
                </c:pt>
                <c:pt idx="381">
                  <c:v>272.52678173946293</c:v>
                </c:pt>
                <c:pt idx="382">
                  <c:v>241.83628031211853</c:v>
                </c:pt>
                <c:pt idx="383">
                  <c:v>271.0950445148444</c:v>
                </c:pt>
                <c:pt idx="384">
                  <c:v>249.22667250590175</c:v>
                </c:pt>
                <c:pt idx="385">
                  <c:v>214.78321696858711</c:v>
                </c:pt>
                <c:pt idx="386">
                  <c:v>212.96729324663224</c:v>
                </c:pt>
                <c:pt idx="387">
                  <c:v>206.92317895348737</c:v>
                </c:pt>
                <c:pt idx="388">
                  <c:v>204.02554510888893</c:v>
                </c:pt>
                <c:pt idx="389">
                  <c:v>200.86521306533956</c:v>
                </c:pt>
                <c:pt idx="390">
                  <c:v>195.967312065107</c:v>
                </c:pt>
                <c:pt idx="391">
                  <c:v>196.96899983782407</c:v>
                </c:pt>
                <c:pt idx="392">
                  <c:v>196.13115942750153</c:v>
                </c:pt>
                <c:pt idx="393">
                  <c:v>197.49597446832047</c:v>
                </c:pt>
                <c:pt idx="394">
                  <c:v>192.86249414280979</c:v>
                </c:pt>
                <c:pt idx="395">
                  <c:v>191.52886348860139</c:v>
                </c:pt>
                <c:pt idx="396">
                  <c:v>190.21717737909321</c:v>
                </c:pt>
                <c:pt idx="397">
                  <c:v>193.51845767871581</c:v>
                </c:pt>
                <c:pt idx="398">
                  <c:v>188.62240977083707</c:v>
                </c:pt>
                <c:pt idx="399">
                  <c:v>188.16085521337939</c:v>
                </c:pt>
                <c:pt idx="400">
                  <c:v>181.22929258073074</c:v>
                </c:pt>
                <c:pt idx="401">
                  <c:v>186.23194468930217</c:v>
                </c:pt>
                <c:pt idx="402">
                  <c:v>183.3092113745322</c:v>
                </c:pt>
                <c:pt idx="403">
                  <c:v>186.20243010943543</c:v>
                </c:pt>
                <c:pt idx="404">
                  <c:v>187.33205204986325</c:v>
                </c:pt>
                <c:pt idx="405">
                  <c:v>192.52193842871895</c:v>
                </c:pt>
                <c:pt idx="406">
                  <c:v>185.81888347871896</c:v>
                </c:pt>
                <c:pt idx="407">
                  <c:v>187.73638690650441</c:v>
                </c:pt>
                <c:pt idx="408">
                  <c:v>183.17575218554123</c:v>
                </c:pt>
                <c:pt idx="409">
                  <c:v>180.84358188178183</c:v>
                </c:pt>
                <c:pt idx="410">
                  <c:v>176.35401131882185</c:v>
                </c:pt>
                <c:pt idx="411">
                  <c:v>175.99981515753149</c:v>
                </c:pt>
                <c:pt idx="412">
                  <c:v>174.15632458060844</c:v>
                </c:pt>
                <c:pt idx="413">
                  <c:v>177.11045002587326</c:v>
                </c:pt>
                <c:pt idx="414">
                  <c:v>179.75412077744278</c:v>
                </c:pt>
                <c:pt idx="415">
                  <c:v>177.67534499291875</c:v>
                </c:pt>
                <c:pt idx="416">
                  <c:v>180.64173371518541</c:v>
                </c:pt>
                <c:pt idx="417">
                  <c:v>180.74786001195156</c:v>
                </c:pt>
                <c:pt idx="418">
                  <c:v>186.45175784126778</c:v>
                </c:pt>
                <c:pt idx="419">
                  <c:v>184.07183477368156</c:v>
                </c:pt>
                <c:pt idx="420">
                  <c:v>190.33744985165544</c:v>
                </c:pt>
                <c:pt idx="421">
                  <c:v>192.25270560930247</c:v>
                </c:pt>
                <c:pt idx="422">
                  <c:v>188.07076684522701</c:v>
                </c:pt>
                <c:pt idx="423">
                  <c:v>186.42520172564804</c:v>
                </c:pt>
                <c:pt idx="424">
                  <c:v>182.51007867181022</c:v>
                </c:pt>
                <c:pt idx="425">
                  <c:v>180.85926691034294</c:v>
                </c:pt>
                <c:pt idx="426">
                  <c:v>177.06546351045284</c:v>
                </c:pt>
                <c:pt idx="427">
                  <c:v>176.26294507365822</c:v>
                </c:pt>
                <c:pt idx="428">
                  <c:v>177.26599814212182</c:v>
                </c:pt>
                <c:pt idx="429">
                  <c:v>184.87344883354206</c:v>
                </c:pt>
                <c:pt idx="430">
                  <c:v>163.53049495855058</c:v>
                </c:pt>
                <c:pt idx="431">
                  <c:v>153.51594761097229</c:v>
                </c:pt>
                <c:pt idx="432">
                  <c:v>150.43160420153833</c:v>
                </c:pt>
                <c:pt idx="433">
                  <c:v>141.22264977176286</c:v>
                </c:pt>
                <c:pt idx="434">
                  <c:v>140.14605450364081</c:v>
                </c:pt>
                <c:pt idx="435">
                  <c:v>136.83050867886203</c:v>
                </c:pt>
                <c:pt idx="436">
                  <c:v>136.33860203498676</c:v>
                </c:pt>
                <c:pt idx="437">
                  <c:v>137.45070800477095</c:v>
                </c:pt>
                <c:pt idx="438">
                  <c:v>138.10051235281216</c:v>
                </c:pt>
                <c:pt idx="439">
                  <c:v>137.43245895346635</c:v>
                </c:pt>
                <c:pt idx="440">
                  <c:v>140.12119965830152</c:v>
                </c:pt>
                <c:pt idx="441">
                  <c:v>139.0238695709331</c:v>
                </c:pt>
                <c:pt idx="442">
                  <c:v>144.61171953584537</c:v>
                </c:pt>
                <c:pt idx="443">
                  <c:v>147.35328964198175</c:v>
                </c:pt>
                <c:pt idx="444">
                  <c:v>144.56352722373251</c:v>
                </c:pt>
                <c:pt idx="445">
                  <c:v>145.31926719908262</c:v>
                </c:pt>
                <c:pt idx="446">
                  <c:v>140.64454865096775</c:v>
                </c:pt>
                <c:pt idx="447">
                  <c:v>139.82877417545373</c:v>
                </c:pt>
                <c:pt idx="448">
                  <c:v>132.72464999218451</c:v>
                </c:pt>
                <c:pt idx="449">
                  <c:v>126.71475830634292</c:v>
                </c:pt>
                <c:pt idx="450">
                  <c:v>126.55297252834292</c:v>
                </c:pt>
                <c:pt idx="451">
                  <c:v>131.04177083425756</c:v>
                </c:pt>
                <c:pt idx="452">
                  <c:v>133.01418620380977</c:v>
                </c:pt>
                <c:pt idx="453">
                  <c:v>135.2568642108028</c:v>
                </c:pt>
                <c:pt idx="454">
                  <c:v>138.50564378580282</c:v>
                </c:pt>
                <c:pt idx="455">
                  <c:v>138.86323893589659</c:v>
                </c:pt>
                <c:pt idx="456">
                  <c:v>149.01756680377099</c:v>
                </c:pt>
                <c:pt idx="457">
                  <c:v>154.51698918147119</c:v>
                </c:pt>
                <c:pt idx="458">
                  <c:v>154.58862624579356</c:v>
                </c:pt>
                <c:pt idx="459">
                  <c:v>155.48724590888065</c:v>
                </c:pt>
                <c:pt idx="460">
                  <c:v>156.43884956858065</c:v>
                </c:pt>
                <c:pt idx="461">
                  <c:v>157.52323768797567</c:v>
                </c:pt>
                <c:pt idx="462">
                  <c:v>157.69771985553669</c:v>
                </c:pt>
                <c:pt idx="463">
                  <c:v>158.01126239990029</c:v>
                </c:pt>
                <c:pt idx="464">
                  <c:v>153.9901878104375</c:v>
                </c:pt>
                <c:pt idx="465">
                  <c:v>161.82556885725472</c:v>
                </c:pt>
                <c:pt idx="466">
                  <c:v>160.71664576711387</c:v>
                </c:pt>
                <c:pt idx="467">
                  <c:v>159.58980291589438</c:v>
                </c:pt>
                <c:pt idx="468">
                  <c:v>158.29083098567088</c:v>
                </c:pt>
                <c:pt idx="469">
                  <c:v>167.94867490513866</c:v>
                </c:pt>
                <c:pt idx="470">
                  <c:v>167.50429456911453</c:v>
                </c:pt>
                <c:pt idx="471">
                  <c:v>173.26781855253796</c:v>
                </c:pt>
                <c:pt idx="472">
                  <c:v>171.21530952025219</c:v>
                </c:pt>
                <c:pt idx="473">
                  <c:v>171.3047410951697</c:v>
                </c:pt>
                <c:pt idx="474">
                  <c:v>166.97268737623554</c:v>
                </c:pt>
                <c:pt idx="475">
                  <c:v>172.33028721882818</c:v>
                </c:pt>
                <c:pt idx="476">
                  <c:v>162.99806134470572</c:v>
                </c:pt>
                <c:pt idx="477">
                  <c:v>157.7236382795478</c:v>
                </c:pt>
                <c:pt idx="478">
                  <c:v>151.44961212599225</c:v>
                </c:pt>
                <c:pt idx="479">
                  <c:v>155.96044208141282</c:v>
                </c:pt>
                <c:pt idx="480">
                  <c:v>154.59853507807949</c:v>
                </c:pt>
                <c:pt idx="481">
                  <c:v>151.3016466303244</c:v>
                </c:pt>
                <c:pt idx="482">
                  <c:v>154.88892352899987</c:v>
                </c:pt>
                <c:pt idx="483">
                  <c:v>155.31586216186219</c:v>
                </c:pt>
                <c:pt idx="484">
                  <c:v>160.25062805126854</c:v>
                </c:pt>
                <c:pt idx="485">
                  <c:v>157.09841246314971</c:v>
                </c:pt>
                <c:pt idx="486">
                  <c:v>152.98144282496531</c:v>
                </c:pt>
                <c:pt idx="487">
                  <c:v>156.13591271764668</c:v>
                </c:pt>
                <c:pt idx="488">
                  <c:v>155.04327568079279</c:v>
                </c:pt>
                <c:pt idx="489">
                  <c:v>152.23093228477853</c:v>
                </c:pt>
                <c:pt idx="490">
                  <c:v>146.9741565720189</c:v>
                </c:pt>
                <c:pt idx="491">
                  <c:v>135.23291335951893</c:v>
                </c:pt>
                <c:pt idx="492">
                  <c:v>143.48527007316792</c:v>
                </c:pt>
                <c:pt idx="493">
                  <c:v>142.78508383698866</c:v>
                </c:pt>
                <c:pt idx="494">
                  <c:v>156.63919089024816</c:v>
                </c:pt>
                <c:pt idx="495">
                  <c:v>167.31710868759515</c:v>
                </c:pt>
                <c:pt idx="496">
                  <c:v>172.14073321456289</c:v>
                </c:pt>
                <c:pt idx="497">
                  <c:v>170.41261263995966</c:v>
                </c:pt>
                <c:pt idx="498">
                  <c:v>182.56337946429488</c:v>
                </c:pt>
                <c:pt idx="499">
                  <c:v>159.05901085577071</c:v>
                </c:pt>
                <c:pt idx="500">
                  <c:v>189.35505627287654</c:v>
                </c:pt>
                <c:pt idx="501">
                  <c:v>218.07345563056884</c:v>
                </c:pt>
                <c:pt idx="502">
                  <c:v>256.91456400887972</c:v>
                </c:pt>
                <c:pt idx="503">
                  <c:v>232.53680635768825</c:v>
                </c:pt>
                <c:pt idx="504">
                  <c:v>219.72899451491844</c:v>
                </c:pt>
                <c:pt idx="505">
                  <c:v>193.07549576201461</c:v>
                </c:pt>
                <c:pt idx="506">
                  <c:v>208.14378931080418</c:v>
                </c:pt>
                <c:pt idx="507">
                  <c:v>183.14154145785656</c:v>
                </c:pt>
                <c:pt idx="508">
                  <c:v>153.28503220309184</c:v>
                </c:pt>
                <c:pt idx="509">
                  <c:v>140.43740473439166</c:v>
                </c:pt>
                <c:pt idx="510">
                  <c:v>150.16598595352863</c:v>
                </c:pt>
                <c:pt idx="511">
                  <c:v>137.78358994668122</c:v>
                </c:pt>
                <c:pt idx="512">
                  <c:v>152.42871879455646</c:v>
                </c:pt>
                <c:pt idx="513">
                  <c:v>154.38969019968579</c:v>
                </c:pt>
                <c:pt idx="514">
                  <c:v>174.4624918686952</c:v>
                </c:pt>
                <c:pt idx="515">
                  <c:v>174.95088455539579</c:v>
                </c:pt>
                <c:pt idx="516">
                  <c:v>165.960284792339</c:v>
                </c:pt>
                <c:pt idx="517">
                  <c:v>161.28165421082002</c:v>
                </c:pt>
                <c:pt idx="518">
                  <c:v>162.05037097806772</c:v>
                </c:pt>
                <c:pt idx="519">
                  <c:v>164.80060142699861</c:v>
                </c:pt>
                <c:pt idx="520">
                  <c:v>163.74080236310033</c:v>
                </c:pt>
                <c:pt idx="521">
                  <c:v>172.13498081953188</c:v>
                </c:pt>
                <c:pt idx="522">
                  <c:v>166.48862140914792</c:v>
                </c:pt>
                <c:pt idx="523">
                  <c:v>166.3586121837219</c:v>
                </c:pt>
                <c:pt idx="524">
                  <c:v>156.31809066151411</c:v>
                </c:pt>
                <c:pt idx="525">
                  <c:v>180.21454703768774</c:v>
                </c:pt>
                <c:pt idx="526">
                  <c:v>164.71599431534042</c:v>
                </c:pt>
                <c:pt idx="527">
                  <c:v>172.7913328970015</c:v>
                </c:pt>
                <c:pt idx="528">
                  <c:v>183.28719209626075</c:v>
                </c:pt>
                <c:pt idx="529">
                  <c:v>180.02170835805688</c:v>
                </c:pt>
                <c:pt idx="530">
                  <c:v>174.13652828601036</c:v>
                </c:pt>
                <c:pt idx="531">
                  <c:v>167.68661035257469</c:v>
                </c:pt>
                <c:pt idx="532">
                  <c:v>155.9704297208221</c:v>
                </c:pt>
                <c:pt idx="533">
                  <c:v>150.84943742931944</c:v>
                </c:pt>
                <c:pt idx="534">
                  <c:v>138.03535465509867</c:v>
                </c:pt>
                <c:pt idx="535">
                  <c:v>139.80004154430949</c:v>
                </c:pt>
                <c:pt idx="536">
                  <c:v>126.83810813333476</c:v>
                </c:pt>
                <c:pt idx="537">
                  <c:v>120.75390252871935</c:v>
                </c:pt>
                <c:pt idx="538">
                  <c:v>113.67066936263242</c:v>
                </c:pt>
                <c:pt idx="539">
                  <c:v>115.91944142304136</c:v>
                </c:pt>
                <c:pt idx="540">
                  <c:v>120.29988929433337</c:v>
                </c:pt>
                <c:pt idx="541">
                  <c:v>117.66493893263119</c:v>
                </c:pt>
                <c:pt idx="542">
                  <c:v>116.88178425215501</c:v>
                </c:pt>
                <c:pt idx="543">
                  <c:v>119.91511060080083</c:v>
                </c:pt>
                <c:pt idx="544">
                  <c:v>119.02389359856397</c:v>
                </c:pt>
                <c:pt idx="545">
                  <c:v>111.72054509661278</c:v>
                </c:pt>
                <c:pt idx="546">
                  <c:v>112.30136588146351</c:v>
                </c:pt>
                <c:pt idx="547">
                  <c:v>113.87329558957826</c:v>
                </c:pt>
                <c:pt idx="548">
                  <c:v>121.09922491647623</c:v>
                </c:pt>
                <c:pt idx="549">
                  <c:v>113.45523234723578</c:v>
                </c:pt>
                <c:pt idx="550">
                  <c:v>114.78289716958601</c:v>
                </c:pt>
                <c:pt idx="551">
                  <c:v>118.17563679645858</c:v>
                </c:pt>
                <c:pt idx="552">
                  <c:v>118.61742816417048</c:v>
                </c:pt>
                <c:pt idx="553">
                  <c:v>122.25437786874923</c:v>
                </c:pt>
                <c:pt idx="554">
                  <c:v>123.88672234953869</c:v>
                </c:pt>
                <c:pt idx="555">
                  <c:v>119.32164394632362</c:v>
                </c:pt>
                <c:pt idx="556">
                  <c:v>114.65873951940056</c:v>
                </c:pt>
                <c:pt idx="557">
                  <c:v>124.98309527621069</c:v>
                </c:pt>
                <c:pt idx="558">
                  <c:v>120.42621174621068</c:v>
                </c:pt>
                <c:pt idx="559">
                  <c:v>126.10854437596674</c:v>
                </c:pt>
                <c:pt idx="560">
                  <c:v>123.96365302414544</c:v>
                </c:pt>
                <c:pt idx="561">
                  <c:v>123.39582745104963</c:v>
                </c:pt>
                <c:pt idx="562">
                  <c:v>125.6517032397412</c:v>
                </c:pt>
                <c:pt idx="563">
                  <c:v>119.43410626842042</c:v>
                </c:pt>
                <c:pt idx="564">
                  <c:v>125.80572046277778</c:v>
                </c:pt>
                <c:pt idx="565">
                  <c:v>127.16331806992065</c:v>
                </c:pt>
                <c:pt idx="566">
                  <c:v>128.59081276373882</c:v>
                </c:pt>
                <c:pt idx="567">
                  <c:v>122.57549899094971</c:v>
                </c:pt>
                <c:pt idx="568">
                  <c:v>128.35616240557576</c:v>
                </c:pt>
                <c:pt idx="569">
                  <c:v>120.97779809490207</c:v>
                </c:pt>
                <c:pt idx="570">
                  <c:v>120.78791241180686</c:v>
                </c:pt>
                <c:pt idx="571">
                  <c:v>144.63349767899226</c:v>
                </c:pt>
                <c:pt idx="572">
                  <c:v>106.74671823763688</c:v>
                </c:pt>
                <c:pt idx="573">
                  <c:v>102.4818756386895</c:v>
                </c:pt>
                <c:pt idx="574">
                  <c:v>104.71777213762569</c:v>
                </c:pt>
                <c:pt idx="575">
                  <c:v>110.98281291518666</c:v>
                </c:pt>
                <c:pt idx="576">
                  <c:v>108.53615622954868</c:v>
                </c:pt>
                <c:pt idx="577">
                  <c:v>108.64553202695323</c:v>
                </c:pt>
                <c:pt idx="578">
                  <c:v>107.91058403283559</c:v>
                </c:pt>
                <c:pt idx="579">
                  <c:v>106.47716535361123</c:v>
                </c:pt>
                <c:pt idx="580">
                  <c:v>113.04738581206297</c:v>
                </c:pt>
                <c:pt idx="581">
                  <c:v>114.81308276337876</c:v>
                </c:pt>
                <c:pt idx="582">
                  <c:v>115.39804105053449</c:v>
                </c:pt>
                <c:pt idx="583">
                  <c:v>121.80473199045316</c:v>
                </c:pt>
                <c:pt idx="584">
                  <c:v>136.28813020839473</c:v>
                </c:pt>
                <c:pt idx="585">
                  <c:v>116.32808505616524</c:v>
                </c:pt>
                <c:pt idx="586">
                  <c:v>120.0322188873092</c:v>
                </c:pt>
                <c:pt idx="587">
                  <c:v>112.84438594912739</c:v>
                </c:pt>
                <c:pt idx="588">
                  <c:v>108.93278334130311</c:v>
                </c:pt>
                <c:pt idx="589">
                  <c:v>115.70543264678787</c:v>
                </c:pt>
                <c:pt idx="590">
                  <c:v>114.26994856257737</c:v>
                </c:pt>
                <c:pt idx="591">
                  <c:v>103.5051480337996</c:v>
                </c:pt>
                <c:pt idx="592">
                  <c:v>93.586699487998104</c:v>
                </c:pt>
                <c:pt idx="593">
                  <c:v>103.00162906765588</c:v>
                </c:pt>
                <c:pt idx="594">
                  <c:v>93.833208203198751</c:v>
                </c:pt>
                <c:pt idx="595">
                  <c:v>85.889909645551697</c:v>
                </c:pt>
                <c:pt idx="596">
                  <c:v>97.508392581608334</c:v>
                </c:pt>
                <c:pt idx="597">
                  <c:v>91.972627543136142</c:v>
                </c:pt>
                <c:pt idx="598">
                  <c:v>85.392237986615612</c:v>
                </c:pt>
                <c:pt idx="599">
                  <c:v>83.694236948592803</c:v>
                </c:pt>
                <c:pt idx="600">
                  <c:v>83.146976556051627</c:v>
                </c:pt>
                <c:pt idx="601">
                  <c:v>78.2784270323219</c:v>
                </c:pt>
                <c:pt idx="602">
                  <c:v>75.357900099787955</c:v>
                </c:pt>
                <c:pt idx="603">
                  <c:v>73.937803330064199</c:v>
                </c:pt>
                <c:pt idx="604">
                  <c:v>67.986375447979512</c:v>
                </c:pt>
                <c:pt idx="605">
                  <c:v>68.367816745612174</c:v>
                </c:pt>
                <c:pt idx="606">
                  <c:v>63.533787989486342</c:v>
                </c:pt>
                <c:pt idx="607">
                  <c:v>65.301345297452457</c:v>
                </c:pt>
                <c:pt idx="608">
                  <c:v>60.109537526599382</c:v>
                </c:pt>
                <c:pt idx="609">
                  <c:v>58.960531287780476</c:v>
                </c:pt>
                <c:pt idx="610">
                  <c:v>53.623411653006592</c:v>
                </c:pt>
                <c:pt idx="611">
                  <c:v>51.416752703006615</c:v>
                </c:pt>
                <c:pt idx="612">
                  <c:v>63.706314012036458</c:v>
                </c:pt>
                <c:pt idx="613">
                  <c:v>41.614773135236042</c:v>
                </c:pt>
                <c:pt idx="614">
                  <c:v>50.067470615236047</c:v>
                </c:pt>
                <c:pt idx="615">
                  <c:v>55.827653269805943</c:v>
                </c:pt>
                <c:pt idx="616">
                  <c:v>45.304306200649307</c:v>
                </c:pt>
                <c:pt idx="617">
                  <c:v>46.940525371622378</c:v>
                </c:pt>
                <c:pt idx="618">
                  <c:v>48.104969144183968</c:v>
                </c:pt>
                <c:pt idx="619">
                  <c:v>47.865324031080533</c:v>
                </c:pt>
                <c:pt idx="620">
                  <c:v>45.632075104269724</c:v>
                </c:pt>
                <c:pt idx="621">
                  <c:v>47.57626347188878</c:v>
                </c:pt>
                <c:pt idx="622">
                  <c:v>48.140784944149658</c:v>
                </c:pt>
                <c:pt idx="623">
                  <c:v>50.012138279801839</c:v>
                </c:pt>
                <c:pt idx="624">
                  <c:v>49.459687323551805</c:v>
                </c:pt>
                <c:pt idx="625">
                  <c:v>47.418839346002798</c:v>
                </c:pt>
                <c:pt idx="626">
                  <c:v>46.102853698478043</c:v>
                </c:pt>
                <c:pt idx="627">
                  <c:v>45.561190372358631</c:v>
                </c:pt>
                <c:pt idx="628">
                  <c:v>44.852571708639417</c:v>
                </c:pt>
                <c:pt idx="629">
                  <c:v>48.557743880844136</c:v>
                </c:pt>
                <c:pt idx="630">
                  <c:v>46.02711670099918</c:v>
                </c:pt>
                <c:pt idx="631">
                  <c:v>42.196706813708545</c:v>
                </c:pt>
                <c:pt idx="632">
                  <c:v>42.224055922504164</c:v>
                </c:pt>
                <c:pt idx="633">
                  <c:v>42.38148392203469</c:v>
                </c:pt>
                <c:pt idx="634">
                  <c:v>38.353527906561006</c:v>
                </c:pt>
                <c:pt idx="635">
                  <c:v>40.578612854345813</c:v>
                </c:pt>
                <c:pt idx="636">
                  <c:v>37.616860146220816</c:v>
                </c:pt>
                <c:pt idx="637">
                  <c:v>37.79607190822081</c:v>
                </c:pt>
                <c:pt idx="638">
                  <c:v>44.520923612281123</c:v>
                </c:pt>
                <c:pt idx="639">
                  <c:v>35.367550853438132</c:v>
                </c:pt>
                <c:pt idx="640">
                  <c:v>34.668572469654343</c:v>
                </c:pt>
                <c:pt idx="641">
                  <c:v>33.334383033290706</c:v>
                </c:pt>
                <c:pt idx="642">
                  <c:v>33.080600511231893</c:v>
                </c:pt>
                <c:pt idx="643">
                  <c:v>34.989586614974577</c:v>
                </c:pt>
                <c:pt idx="644">
                  <c:v>29.888953214059558</c:v>
                </c:pt>
                <c:pt idx="645">
                  <c:v>27.363709518537171</c:v>
                </c:pt>
                <c:pt idx="646">
                  <c:v>25.438037801037179</c:v>
                </c:pt>
                <c:pt idx="647">
                  <c:v>25.057259862855364</c:v>
                </c:pt>
                <c:pt idx="648">
                  <c:v>29.507167707058258</c:v>
                </c:pt>
                <c:pt idx="649">
                  <c:v>31.33811341855251</c:v>
                </c:pt>
                <c:pt idx="650">
                  <c:v>29.149881012755419</c:v>
                </c:pt>
                <c:pt idx="651">
                  <c:v>30.938479565850663</c:v>
                </c:pt>
                <c:pt idx="652">
                  <c:v>24.799664952542397</c:v>
                </c:pt>
                <c:pt idx="653">
                  <c:v>27.874815398460765</c:v>
                </c:pt>
                <c:pt idx="654">
                  <c:v>27.780894103094909</c:v>
                </c:pt>
                <c:pt idx="655">
                  <c:v>24.43253556072203</c:v>
                </c:pt>
                <c:pt idx="656">
                  <c:v>25.473339587262316</c:v>
                </c:pt>
                <c:pt idx="657">
                  <c:v>25.606851282089902</c:v>
                </c:pt>
                <c:pt idx="658">
                  <c:v>31.0333611471019</c:v>
                </c:pt>
                <c:pt idx="659">
                  <c:v>32.122890264701894</c:v>
                </c:pt>
                <c:pt idx="660">
                  <c:v>28.026571674313534</c:v>
                </c:pt>
                <c:pt idx="661">
                  <c:v>32.557375924001036</c:v>
                </c:pt>
                <c:pt idx="662">
                  <c:v>28.016421287810555</c:v>
                </c:pt>
                <c:pt idx="663">
                  <c:v>30.075852167810552</c:v>
                </c:pt>
                <c:pt idx="664">
                  <c:v>29.179102549343394</c:v>
                </c:pt>
                <c:pt idx="665">
                  <c:v>29.613664638232283</c:v>
                </c:pt>
                <c:pt idx="666">
                  <c:v>33.213122737591249</c:v>
                </c:pt>
                <c:pt idx="667">
                  <c:v>29.087762962591256</c:v>
                </c:pt>
                <c:pt idx="668">
                  <c:v>28.910298024686508</c:v>
                </c:pt>
                <c:pt idx="669">
                  <c:v>27.594530407973703</c:v>
                </c:pt>
                <c:pt idx="670">
                  <c:v>31.645957020092343</c:v>
                </c:pt>
                <c:pt idx="671">
                  <c:v>29.344543601184775</c:v>
                </c:pt>
                <c:pt idx="672">
                  <c:v>33.933936470480965</c:v>
                </c:pt>
                <c:pt idx="673">
                  <c:v>33.421324052179067</c:v>
                </c:pt>
                <c:pt idx="674">
                  <c:v>35.742611237084724</c:v>
                </c:pt>
                <c:pt idx="675">
                  <c:v>29.578559468208315</c:v>
                </c:pt>
                <c:pt idx="676">
                  <c:v>21.618421844779736</c:v>
                </c:pt>
                <c:pt idx="677">
                  <c:v>32.841247513993721</c:v>
                </c:pt>
                <c:pt idx="678">
                  <c:v>34.145688838684919</c:v>
                </c:pt>
                <c:pt idx="679">
                  <c:v>40.393449437183904</c:v>
                </c:pt>
                <c:pt idx="680">
                  <c:v>36.930130969056414</c:v>
                </c:pt>
                <c:pt idx="681">
                  <c:v>32.48266318505641</c:v>
                </c:pt>
                <c:pt idx="682">
                  <c:v>31.419771056484983</c:v>
                </c:pt>
                <c:pt idx="683">
                  <c:v>32.621082147697599</c:v>
                </c:pt>
                <c:pt idx="684">
                  <c:v>32.004991095355997</c:v>
                </c:pt>
                <c:pt idx="685">
                  <c:v>29.407480129917381</c:v>
                </c:pt>
                <c:pt idx="686">
                  <c:v>13.142839395729407</c:v>
                </c:pt>
                <c:pt idx="687">
                  <c:v>30.400681218822324</c:v>
                </c:pt>
                <c:pt idx="688">
                  <c:v>30.024446000512466</c:v>
                </c:pt>
                <c:pt idx="689">
                  <c:v>27.186375038738262</c:v>
                </c:pt>
                <c:pt idx="690">
                  <c:v>22.737057529173047</c:v>
                </c:pt>
                <c:pt idx="691">
                  <c:v>30.38933966101385</c:v>
                </c:pt>
                <c:pt idx="692">
                  <c:v>34.379400369830407</c:v>
                </c:pt>
                <c:pt idx="693">
                  <c:v>30.87587566983041</c:v>
                </c:pt>
                <c:pt idx="694">
                  <c:v>34.074869369880673</c:v>
                </c:pt>
                <c:pt idx="695">
                  <c:v>30.367633279111438</c:v>
                </c:pt>
                <c:pt idx="696">
                  <c:v>30.043878736286359</c:v>
                </c:pt>
                <c:pt idx="697">
                  <c:v>28.801549566608934</c:v>
                </c:pt>
                <c:pt idx="698">
                  <c:v>31.141483918283594</c:v>
                </c:pt>
                <c:pt idx="699">
                  <c:v>34.989688423137984</c:v>
                </c:pt>
                <c:pt idx="700">
                  <c:v>32.177203882089451</c:v>
                </c:pt>
                <c:pt idx="701">
                  <c:v>28.886089257120503</c:v>
                </c:pt>
                <c:pt idx="702">
                  <c:v>33.480163252700216</c:v>
                </c:pt>
                <c:pt idx="703">
                  <c:v>38.906140445384565</c:v>
                </c:pt>
                <c:pt idx="704">
                  <c:v>40.04606235266489</c:v>
                </c:pt>
                <c:pt idx="705">
                  <c:v>38.06006416366133</c:v>
                </c:pt>
                <c:pt idx="706">
                  <c:v>38.93454294038731</c:v>
                </c:pt>
                <c:pt idx="707">
                  <c:v>38.145739071675656</c:v>
                </c:pt>
                <c:pt idx="708">
                  <c:v>36.892945131536457</c:v>
                </c:pt>
                <c:pt idx="709">
                  <c:v>40.785044128276553</c:v>
                </c:pt>
                <c:pt idx="710">
                  <c:v>35.705188320276548</c:v>
                </c:pt>
                <c:pt idx="711">
                  <c:v>30.382876909476551</c:v>
                </c:pt>
                <c:pt idx="712">
                  <c:v>34.426128783412992</c:v>
                </c:pt>
                <c:pt idx="713">
                  <c:v>39.993360668383211</c:v>
                </c:pt>
                <c:pt idx="714">
                  <c:v>36.080586151507312</c:v>
                </c:pt>
                <c:pt idx="715">
                  <c:v>38.182029128400266</c:v>
                </c:pt>
                <c:pt idx="716">
                  <c:v>35.402510062761159</c:v>
                </c:pt>
                <c:pt idx="717">
                  <c:v>29.062654484253102</c:v>
                </c:pt>
                <c:pt idx="718">
                  <c:v>25.6351463179269</c:v>
                </c:pt>
                <c:pt idx="719">
                  <c:v>19.22537424051432</c:v>
                </c:pt>
                <c:pt idx="720">
                  <c:v>19.268778781348896</c:v>
                </c:pt>
                <c:pt idx="721">
                  <c:v>18.014422618309169</c:v>
                </c:pt>
                <c:pt idx="722">
                  <c:v>15.281520269624957</c:v>
                </c:pt>
                <c:pt idx="723">
                  <c:v>13.457463499003481</c:v>
                </c:pt>
                <c:pt idx="724">
                  <c:v>8.8940338941740222</c:v>
                </c:pt>
                <c:pt idx="725">
                  <c:v>8.1458569497698754</c:v>
                </c:pt>
                <c:pt idx="726">
                  <c:v>7.5746006218089175</c:v>
                </c:pt>
                <c:pt idx="727">
                  <c:v>6.9708655731100295</c:v>
                </c:pt>
                <c:pt idx="728">
                  <c:v>6.6206699231542752</c:v>
                </c:pt>
                <c:pt idx="729">
                  <c:v>5.1695381331542754</c:v>
                </c:pt>
                <c:pt idx="730">
                  <c:v>7.4941927771841241</c:v>
                </c:pt>
                <c:pt idx="731">
                  <c:v>4.685031528775812</c:v>
                </c:pt>
                <c:pt idx="732">
                  <c:v>3.9242117935875398</c:v>
                </c:pt>
                <c:pt idx="733">
                  <c:v>2.5583693925618975</c:v>
                </c:pt>
                <c:pt idx="734">
                  <c:v>2.4712678255515819</c:v>
                </c:pt>
                <c:pt idx="735">
                  <c:v>1.9244097470928014</c:v>
                </c:pt>
                <c:pt idx="736">
                  <c:v>2.3584147374356625</c:v>
                </c:pt>
                <c:pt idx="737">
                  <c:v>1.6474980086779021</c:v>
                </c:pt>
                <c:pt idx="738">
                  <c:v>1.2270365657548357</c:v>
                </c:pt>
                <c:pt idx="739">
                  <c:v>1.0987491168074728</c:v>
                </c:pt>
                <c:pt idx="740">
                  <c:v>2.8550273245605959</c:v>
                </c:pt>
                <c:pt idx="741">
                  <c:v>5.5836447483287071</c:v>
                </c:pt>
                <c:pt idx="742">
                  <c:v>0.69477321218583943</c:v>
                </c:pt>
                <c:pt idx="743">
                  <c:v>-2.9762823743651419</c:v>
                </c:pt>
                <c:pt idx="744">
                  <c:v>-2.1007827977555502</c:v>
                </c:pt>
                <c:pt idx="745">
                  <c:v>-9.763517627301006</c:v>
                </c:pt>
                <c:pt idx="746">
                  <c:v>-7.6159838850484425</c:v>
                </c:pt>
                <c:pt idx="747">
                  <c:v>-10.795405835231268</c:v>
                </c:pt>
                <c:pt idx="748">
                  <c:v>-9.6211835989859029</c:v>
                </c:pt>
                <c:pt idx="749">
                  <c:v>-12.608496057914474</c:v>
                </c:pt>
                <c:pt idx="750">
                  <c:v>-12.185136188183538</c:v>
                </c:pt>
                <c:pt idx="751">
                  <c:v>-8.8744753249040862</c:v>
                </c:pt>
                <c:pt idx="752">
                  <c:v>-7.1299759115396073</c:v>
                </c:pt>
                <c:pt idx="753">
                  <c:v>-9.2767365362411027</c:v>
                </c:pt>
                <c:pt idx="754">
                  <c:v>-8.741794424052058</c:v>
                </c:pt>
                <c:pt idx="755">
                  <c:v>-9.293358601401458</c:v>
                </c:pt>
                <c:pt idx="756">
                  <c:v>-10.335893884203291</c:v>
                </c:pt>
                <c:pt idx="757">
                  <c:v>-7.9568127342032851</c:v>
                </c:pt>
                <c:pt idx="758">
                  <c:v>-8.4954113668119842</c:v>
                </c:pt>
                <c:pt idx="759">
                  <c:v>-7.2782862827094101</c:v>
                </c:pt>
                <c:pt idx="760">
                  <c:v>-5.3856448387411504</c:v>
                </c:pt>
                <c:pt idx="761">
                  <c:v>-3.7869485001697099</c:v>
                </c:pt>
                <c:pt idx="762">
                  <c:v>-3.5838276365333481</c:v>
                </c:pt>
                <c:pt idx="763">
                  <c:v>-3.5934084866966232</c:v>
                </c:pt>
                <c:pt idx="764">
                  <c:v>-2.4226792647098518</c:v>
                </c:pt>
                <c:pt idx="765">
                  <c:v>-1.4078098858491002</c:v>
                </c:pt>
                <c:pt idx="766">
                  <c:v>-2.2586709317206681</c:v>
                </c:pt>
                <c:pt idx="767">
                  <c:v>1.3914230059943347</c:v>
                </c:pt>
                <c:pt idx="768">
                  <c:v>-0.9593070118628293</c:v>
                </c:pt>
                <c:pt idx="769">
                  <c:v>4.9024144682586241</c:v>
                </c:pt>
                <c:pt idx="770">
                  <c:v>-1.7672633675878888</c:v>
                </c:pt>
                <c:pt idx="771">
                  <c:v>-2.160308840773066</c:v>
                </c:pt>
                <c:pt idx="772">
                  <c:v>-5.719873965396868</c:v>
                </c:pt>
                <c:pt idx="773">
                  <c:v>-3.6377408125878774</c:v>
                </c:pt>
                <c:pt idx="774">
                  <c:v>-2.6105510931675888</c:v>
                </c:pt>
                <c:pt idx="775">
                  <c:v>-2.6340253514184133</c:v>
                </c:pt>
                <c:pt idx="776">
                  <c:v>-1.6964716837993641</c:v>
                </c:pt>
                <c:pt idx="777">
                  <c:v>-2.5992236093783152</c:v>
                </c:pt>
                <c:pt idx="778">
                  <c:v>-3.1068174912328566</c:v>
                </c:pt>
                <c:pt idx="779">
                  <c:v>-1.3068324286051114</c:v>
                </c:pt>
                <c:pt idx="780">
                  <c:v>3.3363353152797859</c:v>
                </c:pt>
                <c:pt idx="781">
                  <c:v>7.4323297986647869</c:v>
                </c:pt>
                <c:pt idx="782">
                  <c:v>7.9226512211119227</c:v>
                </c:pt>
                <c:pt idx="783">
                  <c:v>8.2960666154314442</c:v>
                </c:pt>
                <c:pt idx="784">
                  <c:v>4.9042716618278464</c:v>
                </c:pt>
                <c:pt idx="785">
                  <c:v>1.058524816429919</c:v>
                </c:pt>
                <c:pt idx="786">
                  <c:v>5.7257435461489292</c:v>
                </c:pt>
                <c:pt idx="787">
                  <c:v>11.591578471609905</c:v>
                </c:pt>
                <c:pt idx="788">
                  <c:v>7.5405058299749177</c:v>
                </c:pt>
                <c:pt idx="789">
                  <c:v>4.6878873541123083</c:v>
                </c:pt>
                <c:pt idx="790">
                  <c:v>7.2752931050541907</c:v>
                </c:pt>
                <c:pt idx="791">
                  <c:v>6.2858581933710118</c:v>
                </c:pt>
                <c:pt idx="792">
                  <c:v>7.4276957872693181</c:v>
                </c:pt>
                <c:pt idx="793">
                  <c:v>2.2813773730851095</c:v>
                </c:pt>
                <c:pt idx="794">
                  <c:v>2.1839122866062337</c:v>
                </c:pt>
                <c:pt idx="795">
                  <c:v>-2.1708143334522454</c:v>
                </c:pt>
                <c:pt idx="796">
                  <c:v>3.9442809667795906</c:v>
                </c:pt>
                <c:pt idx="797">
                  <c:v>-2.2633419858519956</c:v>
                </c:pt>
                <c:pt idx="798">
                  <c:v>0.19016414293588607</c:v>
                </c:pt>
                <c:pt idx="799">
                  <c:v>2.8634110599433646</c:v>
                </c:pt>
                <c:pt idx="800">
                  <c:v>5.1013324186170577</c:v>
                </c:pt>
                <c:pt idx="801">
                  <c:v>-1.4621433159342336</c:v>
                </c:pt>
                <c:pt idx="802">
                  <c:v>3.1362650297261503</c:v>
                </c:pt>
                <c:pt idx="803">
                  <c:v>6.3139201018747002</c:v>
                </c:pt>
                <c:pt idx="804">
                  <c:v>4.4280666180390806</c:v>
                </c:pt>
                <c:pt idx="805">
                  <c:v>4.0172503371612747</c:v>
                </c:pt>
                <c:pt idx="806">
                  <c:v>3.843605242079299</c:v>
                </c:pt>
                <c:pt idx="807">
                  <c:v>3.2894325886366684</c:v>
                </c:pt>
                <c:pt idx="808">
                  <c:v>2.6133556532018805</c:v>
                </c:pt>
                <c:pt idx="809">
                  <c:v>-0.25737874007680478</c:v>
                </c:pt>
                <c:pt idx="810">
                  <c:v>-3.1109310255223472</c:v>
                </c:pt>
                <c:pt idx="811">
                  <c:v>-2.7150471137366381</c:v>
                </c:pt>
                <c:pt idx="812">
                  <c:v>3.2723071066090728</c:v>
                </c:pt>
                <c:pt idx="813">
                  <c:v>17.937325127960431</c:v>
                </c:pt>
                <c:pt idx="814">
                  <c:v>13.693561252443182</c:v>
                </c:pt>
                <c:pt idx="815">
                  <c:v>10.627332114258554</c:v>
                </c:pt>
                <c:pt idx="816">
                  <c:v>9.194990811152655</c:v>
                </c:pt>
                <c:pt idx="817">
                  <c:v>12.264102858925851</c:v>
                </c:pt>
                <c:pt idx="818">
                  <c:v>13.847204815842742</c:v>
                </c:pt>
                <c:pt idx="819">
                  <c:v>12.196292590603193</c:v>
                </c:pt>
                <c:pt idx="820">
                  <c:v>1.3852060782929045</c:v>
                </c:pt>
                <c:pt idx="821">
                  <c:v>2.5214831049840716</c:v>
                </c:pt>
                <c:pt idx="822">
                  <c:v>-1.8583606078364474</c:v>
                </c:pt>
                <c:pt idx="823">
                  <c:v>3.2202400019470989</c:v>
                </c:pt>
                <c:pt idx="824">
                  <c:v>3.2250699100560141</c:v>
                </c:pt>
                <c:pt idx="825">
                  <c:v>4.254378457168988</c:v>
                </c:pt>
                <c:pt idx="826">
                  <c:v>1.7274562722633291</c:v>
                </c:pt>
                <c:pt idx="827">
                  <c:v>1.4564339165256226</c:v>
                </c:pt>
                <c:pt idx="828">
                  <c:v>2.0665411244762848</c:v>
                </c:pt>
                <c:pt idx="829">
                  <c:v>2.5540438932898444</c:v>
                </c:pt>
                <c:pt idx="830">
                  <c:v>2.6797097652898403</c:v>
                </c:pt>
                <c:pt idx="831">
                  <c:v>1.8216970682601392</c:v>
                </c:pt>
                <c:pt idx="832">
                  <c:v>3.0041111550864983</c:v>
                </c:pt>
                <c:pt idx="833">
                  <c:v>3.5830408800864988</c:v>
                </c:pt>
                <c:pt idx="834">
                  <c:v>2.3655188302661347</c:v>
                </c:pt>
                <c:pt idx="835">
                  <c:v>2.7793473851110986</c:v>
                </c:pt>
                <c:pt idx="836">
                  <c:v>3.9245636407192106</c:v>
                </c:pt>
                <c:pt idx="837">
                  <c:v>3.3870643614739238</c:v>
                </c:pt>
                <c:pt idx="838">
                  <c:v>3.315154163052874</c:v>
                </c:pt>
                <c:pt idx="839">
                  <c:v>2.8404892641864756</c:v>
                </c:pt>
                <c:pt idx="840">
                  <c:v>4.0304185636917857</c:v>
                </c:pt>
                <c:pt idx="841">
                  <c:v>4.7575536180108537</c:v>
                </c:pt>
                <c:pt idx="842">
                  <c:v>5.322920596109217</c:v>
                </c:pt>
                <c:pt idx="843">
                  <c:v>5.5649777277498433</c:v>
                </c:pt>
                <c:pt idx="844">
                  <c:v>4.9628103193097317</c:v>
                </c:pt>
                <c:pt idx="845">
                  <c:v>5.9289862980263077</c:v>
                </c:pt>
                <c:pt idx="846">
                  <c:v>5.8729143628263065</c:v>
                </c:pt>
                <c:pt idx="847">
                  <c:v>5.517602028976814</c:v>
                </c:pt>
                <c:pt idx="848">
                  <c:v>4.5195813930521958</c:v>
                </c:pt>
                <c:pt idx="849">
                  <c:v>4.3873879069135819</c:v>
                </c:pt>
                <c:pt idx="850">
                  <c:v>4.9134068051812951</c:v>
                </c:pt>
                <c:pt idx="851">
                  <c:v>4.0842841685731077</c:v>
                </c:pt>
                <c:pt idx="852">
                  <c:v>3.8907668624662386</c:v>
                </c:pt>
                <c:pt idx="853">
                  <c:v>4.1310678106143852</c:v>
                </c:pt>
                <c:pt idx="854">
                  <c:v>3.3515721036235062</c:v>
                </c:pt>
                <c:pt idx="855">
                  <c:v>3.2730349017590985</c:v>
                </c:pt>
                <c:pt idx="856">
                  <c:v>2.2290811823826515</c:v>
                </c:pt>
                <c:pt idx="857">
                  <c:v>3.5500095827180451</c:v>
                </c:pt>
                <c:pt idx="858">
                  <c:v>3.9300669811624904</c:v>
                </c:pt>
                <c:pt idx="859">
                  <c:v>4.2593927474532913</c:v>
                </c:pt>
                <c:pt idx="860">
                  <c:v>4.3861568995719358</c:v>
                </c:pt>
                <c:pt idx="861">
                  <c:v>4.2967121278547626</c:v>
                </c:pt>
                <c:pt idx="862">
                  <c:v>4.1665385033003064</c:v>
                </c:pt>
                <c:pt idx="863">
                  <c:v>3.681736058579812</c:v>
                </c:pt>
                <c:pt idx="864">
                  <c:v>3.5269690311379516</c:v>
                </c:pt>
                <c:pt idx="865">
                  <c:v>3.1763464337928178</c:v>
                </c:pt>
                <c:pt idx="866">
                  <c:v>2.951040716927146</c:v>
                </c:pt>
                <c:pt idx="867">
                  <c:v>2.6904215994013723</c:v>
                </c:pt>
                <c:pt idx="868">
                  <c:v>2.9210129694013713</c:v>
                </c:pt>
                <c:pt idx="869">
                  <c:v>2.4648515433548579</c:v>
                </c:pt>
                <c:pt idx="870">
                  <c:v>2.7375055786996847</c:v>
                </c:pt>
                <c:pt idx="871">
                  <c:v>3.1688802248698975</c:v>
                </c:pt>
                <c:pt idx="872">
                  <c:v>2.8467400512091836</c:v>
                </c:pt>
                <c:pt idx="873">
                  <c:v>2.8127946956847092</c:v>
                </c:pt>
                <c:pt idx="874">
                  <c:v>2.5928889730865774</c:v>
                </c:pt>
                <c:pt idx="875">
                  <c:v>3.155579246718156</c:v>
                </c:pt>
                <c:pt idx="876">
                  <c:v>3.1092429759908833</c:v>
                </c:pt>
                <c:pt idx="877">
                  <c:v>3.2607031526575501</c:v>
                </c:pt>
                <c:pt idx="878">
                  <c:v>3.0731471617484587</c:v>
                </c:pt>
                <c:pt idx="879">
                  <c:v>2.6831118453848211</c:v>
                </c:pt>
                <c:pt idx="880">
                  <c:v>2.8176922250817893</c:v>
                </c:pt>
                <c:pt idx="881">
                  <c:v>2.9102116425974462</c:v>
                </c:pt>
                <c:pt idx="882">
                  <c:v>3.3026479814086342</c:v>
                </c:pt>
                <c:pt idx="883">
                  <c:v>3.6029400556791908</c:v>
                </c:pt>
                <c:pt idx="884">
                  <c:v>4.2365086513345647</c:v>
                </c:pt>
                <c:pt idx="885">
                  <c:v>4.4123494951489981</c:v>
                </c:pt>
                <c:pt idx="886">
                  <c:v>4.5287484991774329</c:v>
                </c:pt>
                <c:pt idx="887">
                  <c:v>4.7254766049649106</c:v>
                </c:pt>
                <c:pt idx="888">
                  <c:v>4.7024349264085199</c:v>
                </c:pt>
                <c:pt idx="889">
                  <c:v>4.6759515766942341</c:v>
                </c:pt>
                <c:pt idx="890">
                  <c:v>4.5269774366942341</c:v>
                </c:pt>
                <c:pt idx="891">
                  <c:v>4.6335802389041785</c:v>
                </c:pt>
                <c:pt idx="892">
                  <c:v>4.776153392424777</c:v>
                </c:pt>
                <c:pt idx="893">
                  <c:v>4.7653460799247771</c:v>
                </c:pt>
                <c:pt idx="894">
                  <c:v>4.8113398845237079</c:v>
                </c:pt>
                <c:pt idx="895">
                  <c:v>4.8104170977697827</c:v>
                </c:pt>
                <c:pt idx="896">
                  <c:v>4.7395034885233134</c:v>
                </c:pt>
                <c:pt idx="897">
                  <c:v>4.7448909364192939</c:v>
                </c:pt>
                <c:pt idx="898">
                  <c:v>4.7983518088192936</c:v>
                </c:pt>
                <c:pt idx="899">
                  <c:v>4.7779008448039475</c:v>
                </c:pt>
                <c:pt idx="900">
                  <c:v>4.8637110829189636</c:v>
                </c:pt>
                <c:pt idx="901">
                  <c:v>4.7622820348030208</c:v>
                </c:pt>
                <c:pt idx="902">
                  <c:v>4.6401414677772594</c:v>
                </c:pt>
                <c:pt idx="903">
                  <c:v>6.305007985677519</c:v>
                </c:pt>
                <c:pt idx="904">
                  <c:v>7.1058876404184028</c:v>
                </c:pt>
                <c:pt idx="905">
                  <c:v>6.5867797427926487</c:v>
                </c:pt>
                <c:pt idx="906">
                  <c:v>6.7611129357853494</c:v>
                </c:pt>
                <c:pt idx="907">
                  <c:v>6.8749338843368815</c:v>
                </c:pt>
                <c:pt idx="908">
                  <c:v>6.9184100248567582</c:v>
                </c:pt>
                <c:pt idx="909">
                  <c:v>6.9978421477617854</c:v>
                </c:pt>
                <c:pt idx="910">
                  <c:v>7.0203317176367861</c:v>
                </c:pt>
                <c:pt idx="911">
                  <c:v>7.0212997907103807</c:v>
                </c:pt>
                <c:pt idx="912">
                  <c:v>7.105699696372481</c:v>
                </c:pt>
                <c:pt idx="913">
                  <c:v>7.0794183936977095</c:v>
                </c:pt>
                <c:pt idx="914">
                  <c:v>6.4811921961042716</c:v>
                </c:pt>
                <c:pt idx="915">
                  <c:v>6.3783290819062506</c:v>
                </c:pt>
                <c:pt idx="916">
                  <c:v>6.4498958295824895</c:v>
                </c:pt>
                <c:pt idx="917">
                  <c:v>6.3251401815850903</c:v>
                </c:pt>
                <c:pt idx="918">
                  <c:v>6.3169158983552753</c:v>
                </c:pt>
                <c:pt idx="919">
                  <c:v>6.1847545448402581</c:v>
                </c:pt>
                <c:pt idx="920">
                  <c:v>6.5610799382020133</c:v>
                </c:pt>
                <c:pt idx="921">
                  <c:v>6.773770008409481</c:v>
                </c:pt>
                <c:pt idx="922">
                  <c:v>6.8045960640565371</c:v>
                </c:pt>
                <c:pt idx="923">
                  <c:v>5.8002564908146841</c:v>
                </c:pt>
                <c:pt idx="924">
                  <c:v>5.7954114538177803</c:v>
                </c:pt>
                <c:pt idx="925">
                  <c:v>5.4336357830893043</c:v>
                </c:pt>
                <c:pt idx="926">
                  <c:v>5.2145911612332432</c:v>
                </c:pt>
                <c:pt idx="927">
                  <c:v>5.8132694169296313</c:v>
                </c:pt>
                <c:pt idx="928">
                  <c:v>5.1690363919034521</c:v>
                </c:pt>
                <c:pt idx="929">
                  <c:v>6.1098308752306911</c:v>
                </c:pt>
                <c:pt idx="930">
                  <c:v>6.131338874117028</c:v>
                </c:pt>
                <c:pt idx="931">
                  <c:v>5.4604622595827417</c:v>
                </c:pt>
                <c:pt idx="932">
                  <c:v>7.0768457489331995</c:v>
                </c:pt>
                <c:pt idx="933">
                  <c:v>7.2665005558264042</c:v>
                </c:pt>
                <c:pt idx="934">
                  <c:v>7.613667405478652</c:v>
                </c:pt>
                <c:pt idx="935">
                  <c:v>7.544817269760892</c:v>
                </c:pt>
                <c:pt idx="936">
                  <c:v>7.4784342875077616</c:v>
                </c:pt>
                <c:pt idx="937">
                  <c:v>7.6891321082672555</c:v>
                </c:pt>
                <c:pt idx="938">
                  <c:v>7.6499510913381226</c:v>
                </c:pt>
                <c:pt idx="939">
                  <c:v>7.9306994103253174</c:v>
                </c:pt>
                <c:pt idx="940">
                  <c:v>7.5804390628812293</c:v>
                </c:pt>
                <c:pt idx="941">
                  <c:v>7.4891699202418263</c:v>
                </c:pt>
                <c:pt idx="942">
                  <c:v>7.4015050275225285</c:v>
                </c:pt>
                <c:pt idx="943">
                  <c:v>7.945799863396414</c:v>
                </c:pt>
                <c:pt idx="944">
                  <c:v>7.5098246859316271</c:v>
                </c:pt>
                <c:pt idx="945">
                  <c:v>6.9566165921816268</c:v>
                </c:pt>
                <c:pt idx="946">
                  <c:v>7.7566750006375091</c:v>
                </c:pt>
                <c:pt idx="947">
                  <c:v>8.9897651709892195</c:v>
                </c:pt>
                <c:pt idx="948">
                  <c:v>8.0531697065185419</c:v>
                </c:pt>
                <c:pt idx="949">
                  <c:v>7.4866457964074824</c:v>
                </c:pt>
                <c:pt idx="950">
                  <c:v>7.8133982150319676</c:v>
                </c:pt>
                <c:pt idx="951">
                  <c:v>7.2262016946445131</c:v>
                </c:pt>
                <c:pt idx="952">
                  <c:v>7.3123827432035924</c:v>
                </c:pt>
                <c:pt idx="953">
                  <c:v>7.7210879833513744</c:v>
                </c:pt>
                <c:pt idx="954">
                  <c:v>7.6502708799937107</c:v>
                </c:pt>
                <c:pt idx="955">
                  <c:v>8.0643748757293192</c:v>
                </c:pt>
                <c:pt idx="956">
                  <c:v>7.1205902963854522</c:v>
                </c:pt>
                <c:pt idx="957">
                  <c:v>6.714743657625764</c:v>
                </c:pt>
                <c:pt idx="958">
                  <c:v>6.5243035482507619</c:v>
                </c:pt>
                <c:pt idx="959">
                  <c:v>6.4051391890507636</c:v>
                </c:pt>
                <c:pt idx="960">
                  <c:v>6.5407679107256378</c:v>
                </c:pt>
                <c:pt idx="961">
                  <c:v>6.1549144331597123</c:v>
                </c:pt>
                <c:pt idx="962">
                  <c:v>6.1345481059619118</c:v>
                </c:pt>
                <c:pt idx="963">
                  <c:v>4.7423327594054365</c:v>
                </c:pt>
                <c:pt idx="964">
                  <c:v>4.8786265377891684</c:v>
                </c:pt>
                <c:pt idx="965">
                  <c:v>5.2452859556978568</c:v>
                </c:pt>
                <c:pt idx="966">
                  <c:v>5.0628251220065801</c:v>
                </c:pt>
                <c:pt idx="967">
                  <c:v>4.6139695445308533</c:v>
                </c:pt>
                <c:pt idx="968">
                  <c:v>4.642920032628755</c:v>
                </c:pt>
                <c:pt idx="969">
                  <c:v>7.2511387551137529</c:v>
                </c:pt>
                <c:pt idx="970">
                  <c:v>8.7718019884658673</c:v>
                </c:pt>
                <c:pt idx="971">
                  <c:v>8.8973468793249726</c:v>
                </c:pt>
                <c:pt idx="972">
                  <c:v>9.5807020288249731</c:v>
                </c:pt>
                <c:pt idx="973">
                  <c:v>9.074006905111446</c:v>
                </c:pt>
                <c:pt idx="974">
                  <c:v>11.256684767038781</c:v>
                </c:pt>
                <c:pt idx="975">
                  <c:v>11.237702538902763</c:v>
                </c:pt>
                <c:pt idx="976">
                  <c:v>11.888830405232465</c:v>
                </c:pt>
                <c:pt idx="977">
                  <c:v>10.647808265206987</c:v>
                </c:pt>
                <c:pt idx="978">
                  <c:v>9.6046726410606418</c:v>
                </c:pt>
                <c:pt idx="979">
                  <c:v>9.4521807026539353</c:v>
                </c:pt>
                <c:pt idx="980">
                  <c:v>9.4929790726539363</c:v>
                </c:pt>
                <c:pt idx="981">
                  <c:v>9.2464061536128419</c:v>
                </c:pt>
                <c:pt idx="982">
                  <c:v>10.633157938246839</c:v>
                </c:pt>
                <c:pt idx="983">
                  <c:v>9.4286302136774083</c:v>
                </c:pt>
                <c:pt idx="984">
                  <c:v>9.6860764051890342</c:v>
                </c:pt>
                <c:pt idx="985">
                  <c:v>9.3054621230975307</c:v>
                </c:pt>
                <c:pt idx="986">
                  <c:v>9.6008336670496259</c:v>
                </c:pt>
                <c:pt idx="987">
                  <c:v>9.8603328687115983</c:v>
                </c:pt>
                <c:pt idx="988">
                  <c:v>11.381761351363492</c:v>
                </c:pt>
                <c:pt idx="989">
                  <c:v>10.727004910582751</c:v>
                </c:pt>
                <c:pt idx="990">
                  <c:v>10.087054311845206</c:v>
                </c:pt>
                <c:pt idx="991">
                  <c:v>10.53927438882576</c:v>
                </c:pt>
                <c:pt idx="992">
                  <c:v>12.117148348493966</c:v>
                </c:pt>
                <c:pt idx="993">
                  <c:v>11.403301279710901</c:v>
                </c:pt>
                <c:pt idx="994">
                  <c:v>10.852279121343201</c:v>
                </c:pt>
                <c:pt idx="995">
                  <c:v>10.71007480985384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5-4D6D-8134-088F6C7B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90432"/>
        <c:axId val="95690848"/>
      </c:lineChart>
      <c:dateAx>
        <c:axId val="95690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0848"/>
        <c:crosses val="autoZero"/>
        <c:auto val="1"/>
        <c:lblOffset val="100"/>
        <c:baseTimeUnit val="days"/>
      </c:dateAx>
      <c:valAx>
        <c:axId val="9569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41160D-15AE-4319-99C4-41FD6EE81D9C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06E831-3564-493D-8D76-D910954C48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9.1254000000000002E-2</v>
      </c>
      <c r="D2" s="4">
        <f>MIN(D3:D1912)</f>
        <v>1.3630000000000001E-3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2.341E-2</v>
      </c>
      <c r="C5">
        <v>2.3740000000000001E-2</v>
      </c>
      <c r="D5">
        <v>2.2890000000000001E-2</v>
      </c>
      <c r="E5">
        <v>2.2919999999999999E-2</v>
      </c>
      <c r="F5">
        <v>22796329</v>
      </c>
      <c r="G5">
        <v>2.2919999999999999E-2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-0.92941176470588527</v>
      </c>
      <c r="Q5">
        <f t="shared" ref="Q5" si="1">F5*P5</f>
        <v>-21187176.36470595</v>
      </c>
      <c r="R5">
        <f t="shared" ref="R5" si="2">R6+Q5</f>
        <v>72834717374.32753</v>
      </c>
      <c r="S5">
        <f t="shared" ref="S5" si="3">R5/100000</f>
        <v>728347.17374327534</v>
      </c>
      <c r="T5">
        <f t="shared" ref="T5" si="4">S5/1000</f>
        <v>728.34717374327533</v>
      </c>
    </row>
    <row r="6" spans="1:20" x14ac:dyDescent="0.25">
      <c r="A6" s="5">
        <v>44587</v>
      </c>
      <c r="B6">
        <v>2.1989999999999999E-2</v>
      </c>
      <c r="C6">
        <v>2.5149999999999999E-2</v>
      </c>
      <c r="D6">
        <v>2.1770000000000001E-2</v>
      </c>
      <c r="E6">
        <v>2.3439999999999999E-2</v>
      </c>
      <c r="F6">
        <v>433195513</v>
      </c>
      <c r="G6">
        <v>2.3439999999999999E-2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-1.1834319526627772E-2</v>
      </c>
      <c r="Q6">
        <f t="shared" ref="Q6" si="6">F6*P6</f>
        <v>-5126574.1183434352</v>
      </c>
      <c r="R6">
        <f t="shared" ref="R6" si="7">R7+Q6</f>
        <v>72855904550.69223</v>
      </c>
      <c r="S6">
        <f t="shared" ref="S6" si="8">R6/100000</f>
        <v>728559.0455069223</v>
      </c>
      <c r="T6">
        <f t="shared" ref="T6" si="9">S6/1000</f>
        <v>728.5590455069223</v>
      </c>
    </row>
    <row r="7" spans="1:20" x14ac:dyDescent="0.25">
      <c r="A7" s="5">
        <v>44586</v>
      </c>
      <c r="B7">
        <v>2.1749999999999999E-2</v>
      </c>
      <c r="C7">
        <v>2.256E-2</v>
      </c>
      <c r="D7">
        <v>2.12E-2</v>
      </c>
      <c r="E7">
        <v>2.198E-2</v>
      </c>
      <c r="F7">
        <v>263298514</v>
      </c>
      <c r="G7">
        <v>2.198E-2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0.14705882352941085</v>
      </c>
      <c r="Q7">
        <f t="shared" ref="Q7" si="11">F7*P7</f>
        <v>38720369.70588211</v>
      </c>
      <c r="R7">
        <f t="shared" ref="R7" si="12">R8+Q7</f>
        <v>72861031124.810577</v>
      </c>
      <c r="S7">
        <f t="shared" ref="S7" si="13">R7/100000</f>
        <v>728610.31124810572</v>
      </c>
      <c r="T7">
        <f t="shared" ref="T7" si="14">S7/1000</f>
        <v>728.61031124810575</v>
      </c>
    </row>
    <row r="8" spans="1:20" x14ac:dyDescent="0.25">
      <c r="A8" s="5">
        <v>44585</v>
      </c>
      <c r="B8">
        <v>2.2599999999999999E-2</v>
      </c>
      <c r="C8">
        <v>2.2720000000000001E-2</v>
      </c>
      <c r="D8">
        <v>1.9699999999999999E-2</v>
      </c>
      <c r="E8">
        <v>2.1749999999999999E-2</v>
      </c>
      <c r="F8">
        <v>602896536</v>
      </c>
      <c r="G8">
        <v>2.1749999999999999E-2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0.35761589403973409</v>
      </c>
      <c r="Q8">
        <f t="shared" ref="Q8" si="16">F8*P8</f>
        <v>215605383.73509872</v>
      </c>
      <c r="R8">
        <f t="shared" ref="R8" si="17">R9+Q8</f>
        <v>72822310755.104691</v>
      </c>
      <c r="S8">
        <f t="shared" ref="S8" si="18">R8/100000</f>
        <v>728223.10755104688</v>
      </c>
      <c r="T8">
        <f t="shared" ref="T8" si="19">S8/1000</f>
        <v>728.22310755104684</v>
      </c>
    </row>
    <row r="9" spans="1:20" x14ac:dyDescent="0.25">
      <c r="A9" s="5">
        <v>44584</v>
      </c>
      <c r="B9">
        <v>2.1160000000000002E-2</v>
      </c>
      <c r="C9">
        <v>2.3029999999999998E-2</v>
      </c>
      <c r="D9">
        <v>2.103E-2</v>
      </c>
      <c r="E9">
        <v>2.2620000000000001E-2</v>
      </c>
      <c r="F9">
        <v>433528644</v>
      </c>
      <c r="G9">
        <v>2.2620000000000001E-2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0.59000000000000252</v>
      </c>
      <c r="Q9">
        <f t="shared" ref="Q9" si="21">F9*P9</f>
        <v>255781899.96000108</v>
      </c>
      <c r="R9">
        <f t="shared" ref="R9" si="22">R10+Q9</f>
        <v>72606705371.369598</v>
      </c>
      <c r="S9">
        <f t="shared" ref="S9" si="23">R9/100000</f>
        <v>726067.05371369596</v>
      </c>
      <c r="T9">
        <f t="shared" ref="T9" si="24">S9/1000</f>
        <v>726.06705371369594</v>
      </c>
    </row>
    <row r="10" spans="1:20" x14ac:dyDescent="0.25">
      <c r="A10" s="5">
        <v>44583</v>
      </c>
      <c r="B10">
        <v>2.3040000000000001E-2</v>
      </c>
      <c r="C10">
        <v>2.3449999999999999E-2</v>
      </c>
      <c r="D10">
        <v>1.8870000000000001E-2</v>
      </c>
      <c r="E10">
        <v>2.1139999999999999E-2</v>
      </c>
      <c r="F10">
        <v>645238718</v>
      </c>
      <c r="G10">
        <v>2.1139999999999999E-2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-8.7336244541488788E-3</v>
      </c>
      <c r="Q10">
        <f t="shared" ref="Q10" si="26">F10*P10</f>
        <v>-5635272.6462884722</v>
      </c>
      <c r="R10">
        <f t="shared" ref="R10" si="27">R11+Q10</f>
        <v>72350923471.409592</v>
      </c>
      <c r="S10">
        <f t="shared" ref="S10" si="28">R10/100000</f>
        <v>723509.23471409595</v>
      </c>
      <c r="T10">
        <f t="shared" ref="T10" si="29">S10/1000</f>
        <v>723.5092347140959</v>
      </c>
    </row>
    <row r="11" spans="1:20" x14ac:dyDescent="0.25">
      <c r="A11" s="5">
        <v>44582</v>
      </c>
      <c r="B11">
        <v>2.579E-2</v>
      </c>
      <c r="C11">
        <v>2.613E-2</v>
      </c>
      <c r="D11">
        <v>2.2069999999999999E-2</v>
      </c>
      <c r="E11">
        <v>2.3060000000000001E-2</v>
      </c>
      <c r="F11">
        <v>466614135</v>
      </c>
      <c r="G11">
        <v>2.3060000000000001E-2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-0.51231527093596008</v>
      </c>
      <c r="Q11">
        <f t="shared" ref="Q11" si="31">F11*P11</f>
        <v>-239053546.99507365</v>
      </c>
      <c r="R11">
        <f t="shared" ref="R11" si="32">R12+Q11</f>
        <v>72356558744.055878</v>
      </c>
      <c r="S11">
        <f t="shared" ref="S11" si="33">R11/100000</f>
        <v>723565.58744055883</v>
      </c>
      <c r="T11">
        <f t="shared" ref="T11" si="34">S11/1000</f>
        <v>723.56558744055883</v>
      </c>
    </row>
    <row r="12" spans="1:20" x14ac:dyDescent="0.25">
      <c r="A12" s="5">
        <v>44581</v>
      </c>
      <c r="B12">
        <v>2.7349999999999999E-2</v>
      </c>
      <c r="C12">
        <v>2.8240000000000001E-2</v>
      </c>
      <c r="D12">
        <v>2.5700000000000001E-2</v>
      </c>
      <c r="E12">
        <v>2.581E-2</v>
      </c>
      <c r="F12">
        <v>201078006</v>
      </c>
      <c r="G12">
        <v>2.581E-2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-0.91338582677165436</v>
      </c>
      <c r="Q12">
        <f t="shared" ref="Q12" si="36">F12*P12</f>
        <v>-183661800.75590569</v>
      </c>
      <c r="R12">
        <f t="shared" ref="R12" si="37">R13+Q12</f>
        <v>72595612291.050949</v>
      </c>
      <c r="S12">
        <f t="shared" ref="S12" si="38">R12/100000</f>
        <v>725956.12291050947</v>
      </c>
      <c r="T12">
        <f t="shared" ref="T12" si="39">S12/1000</f>
        <v>725.95612291050952</v>
      </c>
    </row>
    <row r="13" spans="1:20" x14ac:dyDescent="0.25">
      <c r="A13" s="5">
        <v>44580</v>
      </c>
      <c r="B13">
        <v>2.827E-2</v>
      </c>
      <c r="C13">
        <v>2.836E-2</v>
      </c>
      <c r="D13">
        <v>2.6859999999999998E-2</v>
      </c>
      <c r="E13">
        <v>2.7359999999999999E-2</v>
      </c>
      <c r="F13">
        <v>171715062</v>
      </c>
      <c r="G13">
        <v>2.7359999999999999E-2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-0.33333333333333331</v>
      </c>
      <c r="Q13">
        <f t="shared" ref="Q13" si="41">F13*P13</f>
        <v>-57238354</v>
      </c>
      <c r="R13">
        <f t="shared" ref="R13" si="42">R14+Q13</f>
        <v>72779274091.806854</v>
      </c>
      <c r="S13">
        <f t="shared" ref="S13" si="43">R13/100000</f>
        <v>727792.74091806856</v>
      </c>
      <c r="T13">
        <f t="shared" ref="T13" si="44">S13/1000</f>
        <v>727.7927409180686</v>
      </c>
    </row>
    <row r="14" spans="1:20" x14ac:dyDescent="0.25">
      <c r="A14" s="5">
        <v>44579</v>
      </c>
      <c r="B14">
        <v>2.8580000000000001E-2</v>
      </c>
      <c r="C14">
        <v>2.8809999999999999E-2</v>
      </c>
      <c r="D14">
        <v>2.7570000000000001E-2</v>
      </c>
      <c r="E14">
        <v>2.827E-2</v>
      </c>
      <c r="F14">
        <v>128804296</v>
      </c>
      <c r="G14">
        <v>2.827E-2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0.12903225806451668</v>
      </c>
      <c r="Q14">
        <f t="shared" ref="Q14" si="46">F14*P14</f>
        <v>16619909.161290394</v>
      </c>
      <c r="R14">
        <f t="shared" ref="R14" si="47">R15+Q14</f>
        <v>72836512445.806854</v>
      </c>
      <c r="S14">
        <f t="shared" ref="S14" si="48">R14/100000</f>
        <v>728365.12445806852</v>
      </c>
      <c r="T14">
        <f t="shared" ref="T14" si="49">S14/1000</f>
        <v>728.36512445806852</v>
      </c>
    </row>
    <row r="15" spans="1:20" x14ac:dyDescent="0.25">
      <c r="A15" s="5">
        <v>44578</v>
      </c>
      <c r="B15">
        <v>2.998E-2</v>
      </c>
      <c r="C15">
        <v>3.0099999999999998E-2</v>
      </c>
      <c r="D15">
        <v>2.7900000000000001E-2</v>
      </c>
      <c r="E15">
        <v>2.8549999999999999E-2</v>
      </c>
      <c r="F15">
        <v>195753834</v>
      </c>
      <c r="G15">
        <v>2.8549999999999999E-2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-0.40909090909091028</v>
      </c>
      <c r="Q15">
        <f t="shared" ref="Q15" si="51">F15*P15</f>
        <v>-80081113.909091145</v>
      </c>
      <c r="R15">
        <f t="shared" ref="R15" si="52">R16+Q15</f>
        <v>72819892536.645569</v>
      </c>
      <c r="S15">
        <f t="shared" ref="S15" si="53">R15/100000</f>
        <v>728198.92536645569</v>
      </c>
      <c r="T15">
        <f t="shared" ref="T15" si="54">S15/1000</f>
        <v>728.19892536645568</v>
      </c>
    </row>
    <row r="16" spans="1:20" x14ac:dyDescent="0.25">
      <c r="A16" s="5">
        <v>44577</v>
      </c>
      <c r="B16">
        <v>2.972E-2</v>
      </c>
      <c r="C16">
        <v>3.0460000000000001E-2</v>
      </c>
      <c r="D16">
        <v>2.92E-2</v>
      </c>
      <c r="E16">
        <v>2.9989999999999999E-2</v>
      </c>
      <c r="F16">
        <v>182389150</v>
      </c>
      <c r="G16">
        <v>2.9989999999999999E-2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0.25396825396825173</v>
      </c>
      <c r="Q16">
        <f t="shared" ref="Q16" si="56">F16*P16</f>
        <v>46321053.96825356</v>
      </c>
      <c r="R16">
        <f t="shared" ref="R16" si="57">R17+Q16</f>
        <v>72899973650.554657</v>
      </c>
      <c r="S16">
        <f t="shared" ref="S16" si="58">R16/100000</f>
        <v>728999.73650554661</v>
      </c>
      <c r="T16">
        <f t="shared" ref="T16" si="59">S16/1000</f>
        <v>728.99973650554659</v>
      </c>
    </row>
    <row r="17" spans="1:20" x14ac:dyDescent="0.25">
      <c r="A17" s="5">
        <v>44576</v>
      </c>
      <c r="B17">
        <v>2.9530000000000001E-2</v>
      </c>
      <c r="C17">
        <v>3.0130000000000001E-2</v>
      </c>
      <c r="D17">
        <v>2.9309999999999999E-2</v>
      </c>
      <c r="E17">
        <v>2.9739999999999999E-2</v>
      </c>
      <c r="F17">
        <v>119896170</v>
      </c>
      <c r="G17">
        <v>2.9739999999999999E-2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4.8780487804875983E-2</v>
      </c>
      <c r="Q17">
        <f t="shared" ref="Q17" si="61">F17*P17</f>
        <v>5848593.6585363373</v>
      </c>
      <c r="R17">
        <f t="shared" ref="R17" si="62">R18+Q17</f>
        <v>72853652596.586411</v>
      </c>
      <c r="S17">
        <f t="shared" ref="S17" si="63">R17/100000</f>
        <v>728536.52596586407</v>
      </c>
      <c r="T17">
        <f t="shared" ref="T17" si="64">S17/1000</f>
        <v>728.53652596586403</v>
      </c>
    </row>
    <row r="18" spans="1:20" x14ac:dyDescent="0.25">
      <c r="A18" s="5">
        <v>44575</v>
      </c>
      <c r="B18">
        <v>2.911E-2</v>
      </c>
      <c r="C18">
        <v>2.9899999999999999E-2</v>
      </c>
      <c r="D18">
        <v>2.8670000000000001E-2</v>
      </c>
      <c r="E18">
        <v>2.9520000000000001E-2</v>
      </c>
      <c r="F18">
        <v>155752342</v>
      </c>
      <c r="G18">
        <v>2.9520000000000001E-2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0.38211382113821324</v>
      </c>
      <c r="Q18">
        <f t="shared" ref="Q18" si="66">F18*P18</f>
        <v>59515122.552845821</v>
      </c>
      <c r="R18">
        <f t="shared" ref="R18" si="67">R19+Q18</f>
        <v>72847804002.927872</v>
      </c>
      <c r="S18">
        <f t="shared" ref="S18" si="68">R18/100000</f>
        <v>728478.04002927872</v>
      </c>
      <c r="T18">
        <f t="shared" ref="T18" si="69">S18/1000</f>
        <v>728.47804002927876</v>
      </c>
    </row>
    <row r="19" spans="1:20" x14ac:dyDescent="0.25">
      <c r="A19" s="5">
        <v>44574</v>
      </c>
      <c r="B19">
        <v>3.023E-2</v>
      </c>
      <c r="C19">
        <v>3.0669999999999999E-2</v>
      </c>
      <c r="D19">
        <v>2.894E-2</v>
      </c>
      <c r="E19">
        <v>2.912E-2</v>
      </c>
      <c r="F19">
        <v>226971362</v>
      </c>
      <c r="G19">
        <v>2.912E-2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-0.79190751445086738</v>
      </c>
      <c r="Q19">
        <f t="shared" ref="Q19" si="71">F19*P19</f>
        <v>-179740327.13294804</v>
      </c>
      <c r="R19">
        <f t="shared" ref="R19" si="72">R20+Q19</f>
        <v>72788288880.375031</v>
      </c>
      <c r="S19">
        <f t="shared" ref="S19" si="73">R19/100000</f>
        <v>727882.88880375028</v>
      </c>
      <c r="T19">
        <f t="shared" ref="T19" si="74">S19/1000</f>
        <v>727.88288880375023</v>
      </c>
    </row>
    <row r="20" spans="1:20" x14ac:dyDescent="0.25">
      <c r="A20" s="5">
        <v>44573</v>
      </c>
      <c r="B20">
        <v>2.9239999999999999E-2</v>
      </c>
      <c r="C20">
        <v>3.0450000000000001E-2</v>
      </c>
      <c r="D20">
        <v>2.9239999999999999E-2</v>
      </c>
      <c r="E20">
        <v>3.023E-2</v>
      </c>
      <c r="F20">
        <v>185334688</v>
      </c>
      <c r="G20">
        <v>3.023E-2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0.6363636363636348</v>
      </c>
      <c r="Q20">
        <f t="shared" ref="Q20" si="76">F20*P20</f>
        <v>117940255.99999972</v>
      </c>
      <c r="R20">
        <f t="shared" ref="R20" si="77">R21+Q20</f>
        <v>72968029207.50798</v>
      </c>
      <c r="S20">
        <f t="shared" ref="S20" si="78">R20/100000</f>
        <v>729680.29207507975</v>
      </c>
      <c r="T20">
        <f t="shared" ref="T20" si="79">S20/1000</f>
        <v>729.68029207507971</v>
      </c>
    </row>
    <row r="21" spans="1:20" x14ac:dyDescent="0.25">
      <c r="A21" s="5">
        <v>44572</v>
      </c>
      <c r="B21">
        <v>2.7619999999999999E-2</v>
      </c>
      <c r="C21">
        <v>2.9499999999999998E-2</v>
      </c>
      <c r="D21">
        <v>2.7380000000000002E-2</v>
      </c>
      <c r="E21">
        <v>2.9270000000000001E-2</v>
      </c>
      <c r="F21">
        <v>182712420</v>
      </c>
      <c r="G21">
        <v>2.9270000000000001E-2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0.78301886792453024</v>
      </c>
      <c r="Q21">
        <f t="shared" ref="Q21" si="81">F21*P21</f>
        <v>143067272.2641513</v>
      </c>
      <c r="R21">
        <f t="shared" ref="R21" si="82">R22+Q21</f>
        <v>72850088951.50798</v>
      </c>
      <c r="S21">
        <f t="shared" ref="S21" si="83">R21/100000</f>
        <v>728500.88951507979</v>
      </c>
      <c r="T21">
        <f t="shared" ref="T21" si="84">S21/1000</f>
        <v>728.50088951507973</v>
      </c>
    </row>
    <row r="22" spans="1:20" x14ac:dyDescent="0.25">
      <c r="A22" s="5">
        <v>44571</v>
      </c>
      <c r="B22">
        <v>2.8649999999999998E-2</v>
      </c>
      <c r="C22">
        <v>2.937E-2</v>
      </c>
      <c r="D22">
        <v>2.6540000000000001E-2</v>
      </c>
      <c r="E22">
        <v>2.7609999999999999E-2</v>
      </c>
      <c r="F22">
        <v>289079913</v>
      </c>
      <c r="G22">
        <v>2.7609999999999999E-2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-0.24381625441696231</v>
      </c>
      <c r="Q22">
        <f t="shared" ref="Q22" si="86">F22*P22</f>
        <v>-70482381.614841327</v>
      </c>
      <c r="R22">
        <f t="shared" ref="R22" si="87">R23+Q22</f>
        <v>72707021679.243835</v>
      </c>
      <c r="S22">
        <f t="shared" ref="S22" si="88">R22/100000</f>
        <v>727070.21679243841</v>
      </c>
      <c r="T22">
        <f t="shared" ref="T22" si="89">S22/1000</f>
        <v>727.07021679243837</v>
      </c>
    </row>
    <row r="23" spans="1:20" x14ac:dyDescent="0.25">
      <c r="A23" s="5">
        <v>44570</v>
      </c>
      <c r="B23">
        <v>2.8299999999999999E-2</v>
      </c>
      <c r="C23">
        <v>2.9319999999999999E-2</v>
      </c>
      <c r="D23">
        <v>2.7969999999999998E-2</v>
      </c>
      <c r="E23">
        <v>2.8639999999999999E-2</v>
      </c>
      <c r="F23">
        <v>123637383</v>
      </c>
      <c r="G23">
        <v>2.8639999999999999E-2</v>
      </c>
      <c r="L23" t="s">
        <v>7</v>
      </c>
      <c r="M23" t="s">
        <v>7</v>
      </c>
      <c r="N23" t="s">
        <v>8</v>
      </c>
      <c r="P23">
        <f t="shared" ref="P23" si="90">IF(C23=D23,0,((E23-D23)-(C23-E23))/(C23-D23))</f>
        <v>-7.4074074074071032E-3</v>
      </c>
      <c r="Q23">
        <f t="shared" ref="Q23" si="91">F23*P23</f>
        <v>-915832.46666662907</v>
      </c>
      <c r="R23">
        <f t="shared" ref="R23" si="92">R24+Q23</f>
        <v>72777504060.858673</v>
      </c>
      <c r="S23">
        <f t="shared" ref="S23" si="93">R23/100000</f>
        <v>727775.04060858674</v>
      </c>
      <c r="T23">
        <f t="shared" ref="T23" si="94">S23/1000</f>
        <v>727.77504060858678</v>
      </c>
    </row>
    <row r="24" spans="1:20" x14ac:dyDescent="0.25">
      <c r="A24" s="5">
        <v>44569</v>
      </c>
      <c r="B24">
        <v>2.911E-2</v>
      </c>
      <c r="C24">
        <v>2.998E-2</v>
      </c>
      <c r="D24">
        <v>2.7529999999999999E-2</v>
      </c>
      <c r="E24">
        <v>2.8320000000000001E-2</v>
      </c>
      <c r="F24">
        <v>230007586</v>
      </c>
      <c r="G24">
        <v>2.8320000000000001E-2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-0.35510204081632468</v>
      </c>
      <c r="Q24">
        <f t="shared" ref="Q24" si="96">F24*P24</f>
        <v>-81676163.191836312</v>
      </c>
      <c r="R24">
        <f t="shared" ref="R24" si="97">R25+Q24</f>
        <v>72778419893.325333</v>
      </c>
      <c r="S24">
        <f t="shared" ref="S24" si="98">R24/100000</f>
        <v>727784.1989332533</v>
      </c>
      <c r="T24">
        <f t="shared" ref="T24" si="99">S24/1000</f>
        <v>727.78419893325326</v>
      </c>
    </row>
    <row r="25" spans="1:20" x14ac:dyDescent="0.25">
      <c r="A25" s="5">
        <v>44568</v>
      </c>
      <c r="B25">
        <v>3.074E-2</v>
      </c>
      <c r="C25">
        <v>3.0790000000000001E-2</v>
      </c>
      <c r="D25">
        <v>2.8119999999999999E-2</v>
      </c>
      <c r="E25">
        <v>2.9100000000000001E-2</v>
      </c>
      <c r="F25">
        <v>259948864</v>
      </c>
      <c r="G25">
        <v>2.9100000000000001E-2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-0.265917602996254</v>
      </c>
      <c r="Q25">
        <f t="shared" ref="Q25" si="101">F25*P25</f>
        <v>-69124978.816479221</v>
      </c>
      <c r="R25">
        <f t="shared" ref="R25" si="102">R26+Q25</f>
        <v>72860096056.517166</v>
      </c>
      <c r="S25">
        <f t="shared" ref="S25" si="103">R25/100000</f>
        <v>728600.96056517167</v>
      </c>
      <c r="T25">
        <f t="shared" ref="T25" si="104">S25/1000</f>
        <v>728.6009605651717</v>
      </c>
    </row>
    <row r="26" spans="1:20" x14ac:dyDescent="0.25">
      <c r="A26" s="5">
        <v>44567</v>
      </c>
      <c r="B26">
        <v>2.9899999999999999E-2</v>
      </c>
      <c r="C26">
        <v>3.0859999999999999E-2</v>
      </c>
      <c r="D26">
        <v>2.8879999999999999E-2</v>
      </c>
      <c r="E26">
        <v>3.075E-2</v>
      </c>
      <c r="F26">
        <v>226635605</v>
      </c>
      <c r="G26">
        <v>3.075E-2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0.88888888888888984</v>
      </c>
      <c r="Q26">
        <f t="shared" ref="Q26" si="106">F26*P26</f>
        <v>201453871.11111131</v>
      </c>
      <c r="R26">
        <f t="shared" ref="R26" si="107">R27+Q26</f>
        <v>72929221035.333649</v>
      </c>
      <c r="S26">
        <f t="shared" ref="S26" si="108">R26/100000</f>
        <v>729292.21035333653</v>
      </c>
      <c r="T26">
        <f t="shared" ref="T26" si="109">S26/1000</f>
        <v>729.29221035333649</v>
      </c>
    </row>
    <row r="27" spans="1:20" x14ac:dyDescent="0.25">
      <c r="A27" s="5">
        <v>44566</v>
      </c>
      <c r="B27">
        <v>3.2620000000000003E-2</v>
      </c>
      <c r="C27">
        <v>3.3430000000000001E-2</v>
      </c>
      <c r="D27">
        <v>2.879E-2</v>
      </c>
      <c r="E27">
        <v>2.9919999999999999E-2</v>
      </c>
      <c r="F27">
        <v>299380767</v>
      </c>
      <c r="G27">
        <v>2.9919999999999999E-2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-0.51293103448275923</v>
      </c>
      <c r="Q27">
        <f t="shared" ref="Q27" si="111">F27*P27</f>
        <v>-153561686.52155191</v>
      </c>
      <c r="R27">
        <f t="shared" ref="R27" si="112">R28+Q27</f>
        <v>72727767164.222534</v>
      </c>
      <c r="S27">
        <f t="shared" ref="S27" si="113">R27/100000</f>
        <v>727277.67164222535</v>
      </c>
      <c r="T27">
        <f t="shared" ref="T27" si="114">S27/1000</f>
        <v>727.2776716422253</v>
      </c>
    </row>
    <row r="28" spans="1:20" x14ac:dyDescent="0.25">
      <c r="A28" s="5">
        <v>44565</v>
      </c>
      <c r="B28">
        <v>3.3309999999999999E-2</v>
      </c>
      <c r="C28">
        <v>3.3890000000000003E-2</v>
      </c>
      <c r="D28">
        <v>3.227E-2</v>
      </c>
      <c r="E28">
        <v>3.2649999999999998E-2</v>
      </c>
      <c r="F28">
        <v>178502636</v>
      </c>
      <c r="G28">
        <v>3.2649999999999998E-2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-0.53086419753086711</v>
      </c>
      <c r="Q28">
        <f t="shared" ref="Q28" si="116">F28*P28</f>
        <v>-94760658.617284477</v>
      </c>
      <c r="R28">
        <f t="shared" ref="R28" si="117">R29+Q28</f>
        <v>72881328850.74408</v>
      </c>
      <c r="S28">
        <f t="shared" ref="S28" si="118">R28/100000</f>
        <v>728813.28850744083</v>
      </c>
      <c r="T28">
        <f t="shared" ref="T28" si="119">S28/1000</f>
        <v>728.8132885074408</v>
      </c>
    </row>
    <row r="29" spans="1:20" x14ac:dyDescent="0.25">
      <c r="A29" s="5">
        <v>44564</v>
      </c>
      <c r="B29">
        <v>3.4079999999999999E-2</v>
      </c>
      <c r="C29">
        <v>3.499E-2</v>
      </c>
      <c r="D29">
        <v>3.243E-2</v>
      </c>
      <c r="E29">
        <v>3.3309999999999999E-2</v>
      </c>
      <c r="F29">
        <v>251995150</v>
      </c>
      <c r="G29">
        <v>3.3309999999999999E-2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-0.31250000000000083</v>
      </c>
      <c r="Q29">
        <f t="shared" ref="Q29" si="121">F29*P29</f>
        <v>-78748484.375000209</v>
      </c>
      <c r="R29">
        <f t="shared" ref="R29" si="122">R30+Q29</f>
        <v>72976089509.361359</v>
      </c>
      <c r="S29">
        <f t="shared" ref="S29" si="123">R29/100000</f>
        <v>729760.89509361354</v>
      </c>
      <c r="T29">
        <f t="shared" ref="T29" si="124">S29/1000</f>
        <v>729.7608950936135</v>
      </c>
    </row>
    <row r="30" spans="1:20" x14ac:dyDescent="0.25">
      <c r="A30" s="5">
        <v>44563</v>
      </c>
      <c r="B30">
        <v>3.2719999999999999E-2</v>
      </c>
      <c r="C30">
        <v>3.4810000000000001E-2</v>
      </c>
      <c r="D30">
        <v>3.2320000000000002E-2</v>
      </c>
      <c r="E30">
        <v>3.4099999999999998E-2</v>
      </c>
      <c r="F30">
        <v>331974854</v>
      </c>
      <c r="G30">
        <v>3.4099999999999998E-2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0.42971887550200599</v>
      </c>
      <c r="Q30">
        <f t="shared" ref="Q30" si="126">F30*P30</f>
        <v>142655860.95582262</v>
      </c>
      <c r="R30">
        <f t="shared" ref="R30" si="127">R31+Q30</f>
        <v>73054837993.736359</v>
      </c>
      <c r="S30">
        <f t="shared" ref="S30" si="128">R30/100000</f>
        <v>730548.37993736356</v>
      </c>
      <c r="T30">
        <f t="shared" ref="T30" si="129">S30/1000</f>
        <v>730.54837993736351</v>
      </c>
    </row>
    <row r="31" spans="1:20" x14ac:dyDescent="0.25">
      <c r="A31" s="5">
        <v>44562</v>
      </c>
      <c r="B31">
        <v>3.1269999999999999E-2</v>
      </c>
      <c r="C31">
        <v>3.2809999999999999E-2</v>
      </c>
      <c r="D31">
        <v>3.125E-2</v>
      </c>
      <c r="E31">
        <v>3.2730000000000002E-2</v>
      </c>
      <c r="F31">
        <v>178413424</v>
      </c>
      <c r="G31">
        <v>3.2730000000000002E-2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0.89743589743590158</v>
      </c>
      <c r="Q31">
        <f t="shared" ref="Q31" si="131">F31*P31</f>
        <v>160114611.28205201</v>
      </c>
      <c r="R31">
        <f t="shared" ref="R31" si="132">R32+Q31</f>
        <v>72912182132.780533</v>
      </c>
      <c r="S31">
        <f t="shared" ref="S31" si="133">R31/100000</f>
        <v>729121.82132780529</v>
      </c>
      <c r="T31">
        <f t="shared" ref="T31" si="134">S31/1000</f>
        <v>729.12182132780526</v>
      </c>
    </row>
    <row r="32" spans="1:20" x14ac:dyDescent="0.25">
      <c r="A32" s="5">
        <v>44561</v>
      </c>
      <c r="B32">
        <v>3.2030000000000003E-2</v>
      </c>
      <c r="C32">
        <v>3.2719999999999999E-2</v>
      </c>
      <c r="D32">
        <v>3.0540000000000001E-2</v>
      </c>
      <c r="E32">
        <v>3.1309999999999998E-2</v>
      </c>
      <c r="F32">
        <v>319566274</v>
      </c>
      <c r="G32">
        <v>3.1309999999999998E-2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-0.29357798165137877</v>
      </c>
      <c r="Q32">
        <f t="shared" ref="Q32" si="136">F32*P32</f>
        <v>-93817621.724771485</v>
      </c>
      <c r="R32">
        <f t="shared" ref="R32" si="137">R33+Q32</f>
        <v>72752067521.498474</v>
      </c>
      <c r="S32">
        <f t="shared" ref="S32" si="138">R32/100000</f>
        <v>727520.67521498469</v>
      </c>
      <c r="T32">
        <f t="shared" ref="T32" si="139">S32/1000</f>
        <v>727.52067521498464</v>
      </c>
    </row>
    <row r="33" spans="1:20" x14ac:dyDescent="0.25">
      <c r="A33" s="5">
        <v>44560</v>
      </c>
      <c r="B33">
        <v>3.1829999999999997E-2</v>
      </c>
      <c r="C33">
        <v>3.288E-2</v>
      </c>
      <c r="D33">
        <v>3.0839999999999999E-2</v>
      </c>
      <c r="E33">
        <v>3.202E-2</v>
      </c>
      <c r="F33">
        <v>212032085</v>
      </c>
      <c r="G33">
        <v>3.202E-2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0.1568627450980396</v>
      </c>
      <c r="Q33">
        <f t="shared" ref="Q33" si="141">F33*P33</f>
        <v>33259934.901960865</v>
      </c>
      <c r="R33">
        <f t="shared" ref="R33" si="142">R34+Q33</f>
        <v>72845885143.223251</v>
      </c>
      <c r="S33">
        <f t="shared" ref="S33" si="143">R33/100000</f>
        <v>728458.85143223254</v>
      </c>
      <c r="T33">
        <f t="shared" ref="T33" si="144">S33/1000</f>
        <v>728.45885143223256</v>
      </c>
    </row>
    <row r="34" spans="1:20" x14ac:dyDescent="0.25">
      <c r="A34" s="5">
        <v>44559</v>
      </c>
      <c r="B34">
        <v>3.2640000000000002E-2</v>
      </c>
      <c r="C34">
        <v>3.3279999999999997E-2</v>
      </c>
      <c r="D34">
        <v>3.1489999999999997E-2</v>
      </c>
      <c r="E34">
        <v>3.1859999999999999E-2</v>
      </c>
      <c r="F34">
        <v>261986968</v>
      </c>
      <c r="G34">
        <v>3.1859999999999999E-2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-0.58659217877094716</v>
      </c>
      <c r="Q34">
        <f t="shared" ref="Q34" si="146">F34*P34</f>
        <v>-153679506.36871442</v>
      </c>
      <c r="R34">
        <f t="shared" ref="R34" si="147">R35+Q34</f>
        <v>72812625208.321289</v>
      </c>
      <c r="S34">
        <f t="shared" ref="S34" si="148">R34/100000</f>
        <v>728126.25208321284</v>
      </c>
      <c r="T34">
        <f t="shared" ref="T34" si="149">S34/1000</f>
        <v>728.12625208321288</v>
      </c>
    </row>
    <row r="35" spans="1:20" x14ac:dyDescent="0.25">
      <c r="A35" s="5">
        <v>44558</v>
      </c>
      <c r="B35">
        <v>3.6560000000000002E-2</v>
      </c>
      <c r="C35">
        <v>3.6580000000000001E-2</v>
      </c>
      <c r="D35">
        <v>3.261E-2</v>
      </c>
      <c r="E35">
        <v>3.2640000000000002E-2</v>
      </c>
      <c r="F35">
        <v>398024590</v>
      </c>
      <c r="G35">
        <v>3.2640000000000002E-2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-0.98488664987405428</v>
      </c>
      <c r="Q35">
        <f t="shared" ref="Q35" si="151">F35*P35</f>
        <v>-392009105.01259398</v>
      </c>
      <c r="R35">
        <f t="shared" ref="R35" si="152">R36+Q35</f>
        <v>72966304714.690002</v>
      </c>
      <c r="S35">
        <f t="shared" ref="S35" si="153">R35/100000</f>
        <v>729663.04714689997</v>
      </c>
      <c r="T35">
        <f t="shared" ref="T35" si="154">S35/1000</f>
        <v>729.6630471469</v>
      </c>
    </row>
    <row r="36" spans="1:20" x14ac:dyDescent="0.25">
      <c r="A36" s="5">
        <v>44557</v>
      </c>
      <c r="B36">
        <v>3.771E-2</v>
      </c>
      <c r="C36">
        <v>3.7920000000000002E-2</v>
      </c>
      <c r="D36">
        <v>3.6330000000000001E-2</v>
      </c>
      <c r="E36">
        <v>3.6540000000000003E-2</v>
      </c>
      <c r="F36">
        <v>224636484</v>
      </c>
      <c r="G36">
        <v>3.6540000000000003E-2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-0.73584905660377142</v>
      </c>
      <c r="Q36">
        <f t="shared" ref="Q36" si="156">F36*P36</f>
        <v>-165298544.83018818</v>
      </c>
      <c r="R36">
        <f t="shared" ref="R36" si="157">R37+Q36</f>
        <v>73358313819.702591</v>
      </c>
      <c r="S36">
        <f t="shared" ref="S36" si="158">R36/100000</f>
        <v>733583.13819702587</v>
      </c>
      <c r="T36">
        <f t="shared" ref="T36" si="159">S36/1000</f>
        <v>733.58313819702585</v>
      </c>
    </row>
    <row r="37" spans="1:20" x14ac:dyDescent="0.25">
      <c r="A37" s="5">
        <v>44556</v>
      </c>
      <c r="B37">
        <v>3.5959999999999999E-2</v>
      </c>
      <c r="C37">
        <v>3.8190000000000002E-2</v>
      </c>
      <c r="D37">
        <v>3.4840000000000003E-2</v>
      </c>
      <c r="E37">
        <v>3.7719999999999997E-2</v>
      </c>
      <c r="F37">
        <v>346683177</v>
      </c>
      <c r="G37">
        <v>3.7719999999999997E-2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0.71940298507462375</v>
      </c>
      <c r="Q37">
        <f t="shared" ref="Q37" si="161">F37*P37</f>
        <v>249404912.40895414</v>
      </c>
      <c r="R37">
        <f t="shared" ref="R37" si="162">R38+Q37</f>
        <v>73523612364.532776</v>
      </c>
      <c r="S37">
        <f t="shared" ref="S37" si="163">R37/100000</f>
        <v>735236.12364532775</v>
      </c>
      <c r="T37">
        <f t="shared" ref="T37" si="164">S37/1000</f>
        <v>735.23612364532778</v>
      </c>
    </row>
    <row r="38" spans="1:20" x14ac:dyDescent="0.25">
      <c r="A38" s="5">
        <v>44555</v>
      </c>
      <c r="B38">
        <v>3.4750000000000003E-2</v>
      </c>
      <c r="C38">
        <v>3.6560000000000002E-2</v>
      </c>
      <c r="D38">
        <v>3.44E-2</v>
      </c>
      <c r="E38">
        <v>3.5979999999999998E-2</v>
      </c>
      <c r="F38">
        <v>248122472</v>
      </c>
      <c r="G38">
        <v>3.5979999999999998E-2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0.46296296296295969</v>
      </c>
      <c r="Q38">
        <f t="shared" ref="Q38" si="166">F38*P38</f>
        <v>114871514.814814</v>
      </c>
      <c r="R38">
        <f t="shared" ref="R38" si="167">R39+Q38</f>
        <v>73274207452.123825</v>
      </c>
      <c r="S38">
        <f t="shared" ref="S38" si="168">R38/100000</f>
        <v>732742.07452123822</v>
      </c>
      <c r="T38">
        <f t="shared" ref="T38" si="169">S38/1000</f>
        <v>732.74207452123824</v>
      </c>
    </row>
    <row r="39" spans="1:20" x14ac:dyDescent="0.25">
      <c r="A39" s="5">
        <v>44554</v>
      </c>
      <c r="B39">
        <v>3.6260000000000001E-2</v>
      </c>
      <c r="C39">
        <v>3.6679999999999997E-2</v>
      </c>
      <c r="D39">
        <v>3.424E-2</v>
      </c>
      <c r="E39">
        <v>3.4750000000000003E-2</v>
      </c>
      <c r="F39">
        <v>310742440</v>
      </c>
      <c r="G39">
        <v>3.4750000000000003E-2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-0.58196721311475086</v>
      </c>
      <c r="Q39">
        <f t="shared" ref="Q39" si="171">F39*P39</f>
        <v>-180841911.80327767</v>
      </c>
      <c r="R39">
        <f t="shared" ref="R39" si="172">R40+Q39</f>
        <v>73159335937.309006</v>
      </c>
      <c r="S39">
        <f t="shared" ref="S39" si="173">R39/100000</f>
        <v>731593.35937309009</v>
      </c>
      <c r="T39">
        <f t="shared" ref="T39" si="174">S39/1000</f>
        <v>731.59335937309004</v>
      </c>
    </row>
    <row r="40" spans="1:20" x14ac:dyDescent="0.25">
      <c r="A40" s="5">
        <v>44553</v>
      </c>
      <c r="B40">
        <v>3.1699999999999999E-2</v>
      </c>
      <c r="C40">
        <v>3.7789999999999997E-2</v>
      </c>
      <c r="D40">
        <v>3.124E-2</v>
      </c>
      <c r="E40">
        <v>3.6249999999999998E-2</v>
      </c>
      <c r="F40">
        <v>1179274211</v>
      </c>
      <c r="G40">
        <v>3.6249999999999998E-2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0.52977099236641212</v>
      </c>
      <c r="Q40">
        <f t="shared" ref="Q40" si="176">F40*P40</f>
        <v>624745269.03358769</v>
      </c>
      <c r="R40">
        <f t="shared" ref="R40" si="177">R41+Q40</f>
        <v>73340177849.112289</v>
      </c>
      <c r="S40">
        <f t="shared" ref="S40" si="178">R40/100000</f>
        <v>733401.77849112288</v>
      </c>
      <c r="T40">
        <f t="shared" ref="T40" si="179">S40/1000</f>
        <v>733.40177849112285</v>
      </c>
    </row>
    <row r="41" spans="1:20" x14ac:dyDescent="0.25">
      <c r="A41" s="5">
        <v>44552</v>
      </c>
      <c r="B41">
        <v>3.0290000000000001E-2</v>
      </c>
      <c r="C41">
        <v>3.2289999999999999E-2</v>
      </c>
      <c r="D41">
        <v>3.0009999999999998E-2</v>
      </c>
      <c r="E41">
        <v>3.1699999999999999E-2</v>
      </c>
      <c r="F41">
        <v>289587320</v>
      </c>
      <c r="G41">
        <v>3.1699999999999999E-2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0.48245614035087714</v>
      </c>
      <c r="Q41">
        <f t="shared" ref="Q41" si="181">F41*P41</f>
        <v>139713180.70175436</v>
      </c>
      <c r="R41">
        <f t="shared" ref="R41" si="182">R42+Q41</f>
        <v>72715432580.078705</v>
      </c>
      <c r="S41">
        <f t="shared" ref="S41" si="183">R41/100000</f>
        <v>727154.32580078708</v>
      </c>
      <c r="T41">
        <f t="shared" ref="T41" si="184">S41/1000</f>
        <v>727.15432580078709</v>
      </c>
    </row>
    <row r="42" spans="1:20" x14ac:dyDescent="0.25">
      <c r="A42" s="5">
        <v>44551</v>
      </c>
      <c r="B42">
        <v>2.9180000000000001E-2</v>
      </c>
      <c r="C42">
        <v>3.0620000000000001E-2</v>
      </c>
      <c r="D42">
        <v>2.869E-2</v>
      </c>
      <c r="E42">
        <v>3.0269999999999998E-2</v>
      </c>
      <c r="F42">
        <v>179412392</v>
      </c>
      <c r="G42">
        <v>3.0269999999999998E-2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0.63730569948186233</v>
      </c>
      <c r="Q42">
        <f t="shared" ref="Q42" si="186">F42*P42</f>
        <v>114340539.97927408</v>
      </c>
      <c r="R42">
        <f t="shared" ref="R42" si="187">R43+Q42</f>
        <v>72575719399.376953</v>
      </c>
      <c r="S42">
        <f t="shared" ref="S42" si="188">R42/100000</f>
        <v>725757.19399376959</v>
      </c>
      <c r="T42">
        <f t="shared" ref="T42" si="189">S42/1000</f>
        <v>725.75719399376953</v>
      </c>
    </row>
    <row r="43" spans="1:20" x14ac:dyDescent="0.25">
      <c r="A43" s="5">
        <v>44550</v>
      </c>
      <c r="B43">
        <v>2.904E-2</v>
      </c>
      <c r="C43">
        <v>2.9329999999999998E-2</v>
      </c>
      <c r="D43">
        <v>2.7969999999999998E-2</v>
      </c>
      <c r="E43">
        <v>2.9159999999999998E-2</v>
      </c>
      <c r="F43">
        <v>164776714</v>
      </c>
      <c r="G43">
        <v>2.9159999999999998E-2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0.75</v>
      </c>
      <c r="Q43">
        <f t="shared" ref="Q43" si="191">F43*P43</f>
        <v>123582535.5</v>
      </c>
      <c r="R43">
        <f t="shared" ref="R43" si="192">R44+Q43</f>
        <v>72461378859.397675</v>
      </c>
      <c r="S43">
        <f t="shared" ref="S43" si="193">R43/100000</f>
        <v>724613.78859397676</v>
      </c>
      <c r="T43">
        <f t="shared" ref="T43" si="194">S43/1000</f>
        <v>724.61378859397678</v>
      </c>
    </row>
    <row r="44" spans="1:20" x14ac:dyDescent="0.25">
      <c r="A44" s="5">
        <v>44549</v>
      </c>
      <c r="B44">
        <v>2.9340000000000001E-2</v>
      </c>
      <c r="C44">
        <v>2.998E-2</v>
      </c>
      <c r="D44">
        <v>2.894E-2</v>
      </c>
      <c r="E44">
        <v>2.9059999999999999E-2</v>
      </c>
      <c r="F44">
        <v>124203204</v>
      </c>
      <c r="G44">
        <v>2.9059999999999999E-2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-0.76923076923077183</v>
      </c>
      <c r="Q44">
        <f t="shared" ref="Q44" si="196">F44*P44</f>
        <v>-95540926.153846473</v>
      </c>
      <c r="R44">
        <f t="shared" ref="R44" si="197">R45+Q44</f>
        <v>72337796323.897675</v>
      </c>
      <c r="S44">
        <f t="shared" ref="S44" si="198">R44/100000</f>
        <v>723377.96323897678</v>
      </c>
      <c r="T44">
        <f t="shared" ref="T44" si="199">S44/1000</f>
        <v>723.3779632389768</v>
      </c>
    </row>
    <row r="45" spans="1:20" x14ac:dyDescent="0.25">
      <c r="A45" s="5">
        <v>44548</v>
      </c>
      <c r="B45">
        <v>2.8930000000000001E-2</v>
      </c>
      <c r="C45">
        <v>2.9929999999999998E-2</v>
      </c>
      <c r="D45">
        <v>2.8369999999999999E-2</v>
      </c>
      <c r="E45">
        <v>2.9360000000000001E-2</v>
      </c>
      <c r="F45">
        <v>117791846</v>
      </c>
      <c r="G45">
        <v>2.9360000000000001E-2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0.26923076923077177</v>
      </c>
      <c r="Q45">
        <f t="shared" ref="Q45" si="201">F45*P45</f>
        <v>31713189.307692606</v>
      </c>
      <c r="R45">
        <f t="shared" ref="R45" si="202">R46+Q45</f>
        <v>72433337250.051514</v>
      </c>
      <c r="S45">
        <f t="shared" ref="S45" si="203">R45/100000</f>
        <v>724333.37250051519</v>
      </c>
      <c r="T45">
        <f t="shared" ref="T45" si="204">S45/1000</f>
        <v>724.33337250051522</v>
      </c>
    </row>
    <row r="46" spans="1:20" x14ac:dyDescent="0.25">
      <c r="A46" s="5">
        <v>44547</v>
      </c>
      <c r="B46">
        <v>2.947E-2</v>
      </c>
      <c r="C46">
        <v>2.988E-2</v>
      </c>
      <c r="D46">
        <v>2.7969999999999998E-2</v>
      </c>
      <c r="E46">
        <v>2.8930000000000001E-2</v>
      </c>
      <c r="F46">
        <v>204281985</v>
      </c>
      <c r="G46">
        <v>2.8930000000000001E-2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5.2356020942424357E-3</v>
      </c>
      <c r="Q46">
        <f t="shared" ref="Q46" si="206">F46*P46</f>
        <v>1069539.1884820019</v>
      </c>
      <c r="R46">
        <f t="shared" ref="R46" si="207">R47+Q46</f>
        <v>72401624060.74382</v>
      </c>
      <c r="S46">
        <f t="shared" ref="S46" si="208">R46/100000</f>
        <v>724016.24060743826</v>
      </c>
      <c r="T46">
        <f t="shared" ref="T46" si="209">S46/1000</f>
        <v>724.01624060743825</v>
      </c>
    </row>
    <row r="47" spans="1:20" x14ac:dyDescent="0.25">
      <c r="A47" s="5">
        <v>44546</v>
      </c>
      <c r="B47">
        <v>3.0450000000000001E-2</v>
      </c>
      <c r="C47">
        <v>3.1040000000000002E-2</v>
      </c>
      <c r="D47">
        <v>2.9360000000000001E-2</v>
      </c>
      <c r="E47">
        <v>2.9489999999999999E-2</v>
      </c>
      <c r="F47">
        <v>174738458</v>
      </c>
      <c r="G47">
        <v>2.9489999999999999E-2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-0.84523809523809745</v>
      </c>
      <c r="Q47">
        <f t="shared" ref="Q47" si="211">F47*P47</f>
        <v>-147695601.4047623</v>
      </c>
      <c r="R47">
        <f t="shared" ref="R47" si="212">R48+Q47</f>
        <v>72400554521.555344</v>
      </c>
      <c r="S47">
        <f t="shared" ref="S47" si="213">R47/100000</f>
        <v>724005.54521555349</v>
      </c>
      <c r="T47">
        <f t="shared" ref="T47" si="214">S47/1000</f>
        <v>724.00554521555352</v>
      </c>
    </row>
    <row r="48" spans="1:20" x14ac:dyDescent="0.25">
      <c r="A48" s="5">
        <v>44545</v>
      </c>
      <c r="B48">
        <v>3.007E-2</v>
      </c>
      <c r="C48">
        <v>3.073E-2</v>
      </c>
      <c r="D48">
        <v>2.809E-2</v>
      </c>
      <c r="E48">
        <v>3.0460000000000001E-2</v>
      </c>
      <c r="F48">
        <v>306537196</v>
      </c>
      <c r="G48">
        <v>3.0460000000000001E-2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0.79545454545454586</v>
      </c>
      <c r="Q48">
        <f t="shared" ref="Q48" si="216">F48*P48</f>
        <v>243836405.90909103</v>
      </c>
      <c r="R48">
        <f t="shared" ref="R48" si="217">R49+Q48</f>
        <v>72548250122.960114</v>
      </c>
      <c r="S48">
        <f t="shared" ref="S48" si="218">R48/100000</f>
        <v>725482.5012296011</v>
      </c>
      <c r="T48">
        <f t="shared" ref="T48" si="219">S48/1000</f>
        <v>725.4825012296011</v>
      </c>
    </row>
    <row r="49" spans="1:20" x14ac:dyDescent="0.25">
      <c r="A49" s="5">
        <v>44544</v>
      </c>
      <c r="B49">
        <v>2.896E-2</v>
      </c>
      <c r="C49">
        <v>3.2000000000000001E-2</v>
      </c>
      <c r="D49">
        <v>2.8299999999999999E-2</v>
      </c>
      <c r="E49">
        <v>3.007E-2</v>
      </c>
      <c r="F49">
        <v>346086384</v>
      </c>
      <c r="G49">
        <v>3.007E-2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-4.3243243243243336E-2</v>
      </c>
      <c r="Q49">
        <f t="shared" ref="Q49" si="221">F49*P49</f>
        <v>-14965897.686486518</v>
      </c>
      <c r="R49">
        <f t="shared" ref="R49" si="222">R50+Q49</f>
        <v>72304413717.051025</v>
      </c>
      <c r="S49">
        <f t="shared" ref="S49" si="223">R49/100000</f>
        <v>723044.13717051025</v>
      </c>
      <c r="T49">
        <f t="shared" ref="T49" si="224">S49/1000</f>
        <v>723.04413717051023</v>
      </c>
    </row>
    <row r="50" spans="1:20" x14ac:dyDescent="0.25">
      <c r="A50" s="5">
        <v>44543</v>
      </c>
      <c r="B50">
        <v>3.1780000000000003E-2</v>
      </c>
      <c r="C50">
        <v>3.1940000000000003E-2</v>
      </c>
      <c r="D50">
        <v>2.862E-2</v>
      </c>
      <c r="E50">
        <v>2.895E-2</v>
      </c>
      <c r="F50">
        <v>298386673</v>
      </c>
      <c r="G50">
        <v>2.895E-2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-0.8012048192771084</v>
      </c>
      <c r="Q50">
        <f t="shared" ref="Q50" si="226">F50*P50</f>
        <v>-239068840.41566265</v>
      </c>
      <c r="R50">
        <f t="shared" ref="R50" si="227">R51+Q50</f>
        <v>72319379614.737518</v>
      </c>
      <c r="S50">
        <f t="shared" ref="S50" si="228">R50/100000</f>
        <v>723193.79614737513</v>
      </c>
      <c r="T50">
        <f t="shared" ref="T50" si="229">S50/1000</f>
        <v>723.19379614737511</v>
      </c>
    </row>
    <row r="51" spans="1:20" x14ac:dyDescent="0.25">
      <c r="A51" s="5">
        <v>44542</v>
      </c>
      <c r="B51">
        <v>3.2129999999999999E-2</v>
      </c>
      <c r="C51">
        <v>3.2340000000000001E-2</v>
      </c>
      <c r="D51">
        <v>3.1E-2</v>
      </c>
      <c r="E51">
        <v>3.1780000000000003E-2</v>
      </c>
      <c r="F51">
        <v>171390446</v>
      </c>
      <c r="G51">
        <v>3.1780000000000003E-2</v>
      </c>
      <c r="L51" t="s">
        <v>7</v>
      </c>
      <c r="M51" t="s">
        <v>8</v>
      </c>
      <c r="N51" t="s">
        <v>8</v>
      </c>
      <c r="P51">
        <f t="shared" ref="P51" si="230">IF(C51=D51,0,((E51-D51)-(C51-E51))/(C51-D51))</f>
        <v>0.1641791044776155</v>
      </c>
      <c r="Q51">
        <f t="shared" ref="Q51" si="231">F51*P51</f>
        <v>28138729.940299116</v>
      </c>
      <c r="R51">
        <f t="shared" ref="R51" si="232">R52+Q51</f>
        <v>72558448455.153183</v>
      </c>
      <c r="S51">
        <f t="shared" ref="S51" si="233">R51/100000</f>
        <v>725584.48455153184</v>
      </c>
      <c r="T51">
        <f t="shared" ref="T51" si="234">S51/1000</f>
        <v>725.58448455153189</v>
      </c>
    </row>
    <row r="52" spans="1:20" x14ac:dyDescent="0.25">
      <c r="A52" s="5">
        <v>44541</v>
      </c>
      <c r="B52">
        <v>3.09E-2</v>
      </c>
      <c r="C52">
        <v>3.1309999999999998E-2</v>
      </c>
      <c r="D52">
        <v>3.048E-2</v>
      </c>
      <c r="E52">
        <v>3.1199999999999999E-2</v>
      </c>
      <c r="F52">
        <v>13631194</v>
      </c>
      <c r="G52">
        <v>3.1199999999999999E-2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0.73493975903614617</v>
      </c>
      <c r="Q52">
        <f t="shared" ref="Q52" si="236">F52*P52</f>
        <v>10018106.433734961</v>
      </c>
      <c r="R52">
        <f t="shared" ref="R52" si="237">R53+Q52</f>
        <v>72530309725.212891</v>
      </c>
      <c r="S52">
        <f t="shared" ref="S52" si="238">R52/100000</f>
        <v>725303.09725212888</v>
      </c>
      <c r="T52">
        <f t="shared" ref="T52" si="239">S52/1000</f>
        <v>725.30309725212885</v>
      </c>
    </row>
    <row r="53" spans="1:20" x14ac:dyDescent="0.25">
      <c r="A53" s="5">
        <v>44540</v>
      </c>
      <c r="B53">
        <v>3.1910000000000001E-2</v>
      </c>
      <c r="C53">
        <v>3.2939999999999997E-2</v>
      </c>
      <c r="D53">
        <v>3.075E-2</v>
      </c>
      <c r="E53">
        <v>3.099E-2</v>
      </c>
      <c r="F53">
        <v>340634819</v>
      </c>
      <c r="G53">
        <v>3.099E-2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-0.7808219178082183</v>
      </c>
      <c r="Q53">
        <f t="shared" ref="Q53" si="241">F53*P53</f>
        <v>-265975132.64383531</v>
      </c>
      <c r="R53">
        <f t="shared" ref="R53" si="242">R54+Q53</f>
        <v>72520291618.77916</v>
      </c>
      <c r="S53">
        <f t="shared" ref="S53" si="243">R53/100000</f>
        <v>725202.91618779162</v>
      </c>
      <c r="T53">
        <f t="shared" ref="T53" si="244">S53/1000</f>
        <v>725.20291618779163</v>
      </c>
    </row>
    <row r="54" spans="1:20" x14ac:dyDescent="0.25">
      <c r="A54" s="5">
        <v>44539</v>
      </c>
      <c r="B54">
        <v>3.4479999999999997E-2</v>
      </c>
      <c r="C54">
        <v>3.4779999999999998E-2</v>
      </c>
      <c r="D54">
        <v>3.1879999999999999E-2</v>
      </c>
      <c r="E54">
        <v>3.1949999999999999E-2</v>
      </c>
      <c r="F54">
        <v>313731617</v>
      </c>
      <c r="G54">
        <v>3.1949999999999999E-2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-0.95172413793103405</v>
      </c>
      <c r="Q54">
        <f t="shared" ref="Q54" si="246">F54*P54</f>
        <v>-298585952.73103434</v>
      </c>
      <c r="R54">
        <f t="shared" ref="R54" si="247">R55+Q54</f>
        <v>72786266751.422989</v>
      </c>
      <c r="S54">
        <f t="shared" ref="S54" si="248">R54/100000</f>
        <v>727862.66751422989</v>
      </c>
      <c r="T54">
        <f t="shared" ref="T54" si="249">S54/1000</f>
        <v>727.86266751422988</v>
      </c>
    </row>
    <row r="55" spans="1:20" x14ac:dyDescent="0.25">
      <c r="A55" s="5">
        <v>44538</v>
      </c>
      <c r="B55">
        <v>3.4320000000000003E-2</v>
      </c>
      <c r="C55">
        <v>3.474E-2</v>
      </c>
      <c r="D55">
        <v>3.236E-2</v>
      </c>
      <c r="E55">
        <v>3.4459999999999998E-2</v>
      </c>
      <c r="F55">
        <v>332042469</v>
      </c>
      <c r="G55">
        <v>3.4459999999999998E-2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0.76470588235293913</v>
      </c>
      <c r="Q55">
        <f t="shared" ref="Q55" si="251">F55*P55</f>
        <v>253914829.23529345</v>
      </c>
      <c r="R55">
        <f t="shared" ref="R55" si="252">R56+Q55</f>
        <v>73084852704.154022</v>
      </c>
      <c r="S55">
        <f t="shared" ref="S55" si="253">R55/100000</f>
        <v>730848.52704154025</v>
      </c>
      <c r="T55">
        <f t="shared" ref="T55" si="254">S55/1000</f>
        <v>730.84852704154025</v>
      </c>
    </row>
    <row r="56" spans="1:20" x14ac:dyDescent="0.25">
      <c r="A56" s="5">
        <v>44537</v>
      </c>
      <c r="B56">
        <v>3.381E-2</v>
      </c>
      <c r="C56">
        <v>3.4880000000000001E-2</v>
      </c>
      <c r="D56">
        <v>3.3250000000000002E-2</v>
      </c>
      <c r="E56">
        <v>3.4320000000000003E-2</v>
      </c>
      <c r="F56">
        <v>251051138</v>
      </c>
      <c r="G56">
        <v>3.4320000000000003E-2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0.31288343558282433</v>
      </c>
      <c r="Q56">
        <f t="shared" ref="Q56" si="256">F56*P56</f>
        <v>78549742.564417735</v>
      </c>
      <c r="R56">
        <f t="shared" ref="R56" si="257">R57+Q56</f>
        <v>72830937874.918732</v>
      </c>
      <c r="S56">
        <f t="shared" ref="S56" si="258">R56/100000</f>
        <v>728309.37874918734</v>
      </c>
      <c r="T56">
        <f t="shared" ref="T56" si="259">S56/1000</f>
        <v>728.30937874918732</v>
      </c>
    </row>
    <row r="57" spans="1:20" x14ac:dyDescent="0.25">
      <c r="A57" s="5">
        <v>44536</v>
      </c>
      <c r="B57">
        <v>3.3099999999999997E-2</v>
      </c>
      <c r="C57">
        <v>3.4040000000000001E-2</v>
      </c>
      <c r="D57">
        <v>3.0079999999999999E-2</v>
      </c>
      <c r="E57">
        <v>3.3799999999999997E-2</v>
      </c>
      <c r="F57">
        <v>415459328</v>
      </c>
      <c r="G57">
        <v>3.3799999999999997E-2</v>
      </c>
      <c r="L57" t="s">
        <v>7</v>
      </c>
      <c r="M57" t="s">
        <v>8</v>
      </c>
      <c r="N57" t="s">
        <v>8</v>
      </c>
      <c r="P57">
        <f t="shared" ref="P57" si="260">IF(C57=D57,0,((E57-D57)-(C57-E57))/(C57-D57))</f>
        <v>0.87878787878787679</v>
      </c>
      <c r="Q57">
        <f t="shared" ref="Q57" si="261">F57*P57</f>
        <v>365100621.57575673</v>
      </c>
      <c r="R57">
        <f t="shared" ref="R57" si="262">R58+Q57</f>
        <v>72752388132.354309</v>
      </c>
      <c r="S57">
        <f t="shared" ref="S57" si="263">R57/100000</f>
        <v>727523.88132354314</v>
      </c>
      <c r="T57">
        <f t="shared" ref="T57" si="264">S57/1000</f>
        <v>727.52388132354315</v>
      </c>
    </row>
    <row r="58" spans="1:20" x14ac:dyDescent="0.25">
      <c r="A58" s="5">
        <v>44535</v>
      </c>
      <c r="B58">
        <v>3.3270000000000001E-2</v>
      </c>
      <c r="C58">
        <v>3.5470000000000002E-2</v>
      </c>
      <c r="D58">
        <v>3.1460000000000002E-2</v>
      </c>
      <c r="E58">
        <v>3.3079999999999998E-2</v>
      </c>
      <c r="F58">
        <v>623875989</v>
      </c>
      <c r="G58">
        <v>3.3079999999999998E-2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-0.19201995012468998</v>
      </c>
      <c r="Q58">
        <f t="shared" ref="Q58" si="266">F58*P58</f>
        <v>-119796636.29177164</v>
      </c>
      <c r="R58">
        <f t="shared" ref="R58" si="267">R59+Q58</f>
        <v>72387287510.778549</v>
      </c>
      <c r="S58">
        <f t="shared" ref="S58" si="268">R58/100000</f>
        <v>723872.87510778545</v>
      </c>
      <c r="T58">
        <f t="shared" ref="T58" si="269">S58/1000</f>
        <v>723.87287510778549</v>
      </c>
    </row>
    <row r="59" spans="1:20" x14ac:dyDescent="0.25">
      <c r="A59" s="5">
        <v>44534</v>
      </c>
      <c r="B59">
        <v>3.721E-2</v>
      </c>
      <c r="C59">
        <v>3.7330000000000002E-2</v>
      </c>
      <c r="D59">
        <v>2.3E-2</v>
      </c>
      <c r="E59">
        <v>3.3369999999999997E-2</v>
      </c>
      <c r="F59">
        <v>1210304881</v>
      </c>
      <c r="G59">
        <v>3.3369999999999997E-2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0.44731332868108797</v>
      </c>
      <c r="Q59">
        <f t="shared" ref="Q59" si="271">F59*P59</f>
        <v>541385505.03907812</v>
      </c>
      <c r="R59">
        <f t="shared" ref="R59" si="272">R60+Q59</f>
        <v>72507084147.070328</v>
      </c>
      <c r="S59">
        <f t="shared" ref="S59" si="273">R59/100000</f>
        <v>725070.84147070325</v>
      </c>
      <c r="T59">
        <f t="shared" ref="T59" si="274">S59/1000</f>
        <v>725.07084147070327</v>
      </c>
    </row>
    <row r="60" spans="1:20" x14ac:dyDescent="0.25">
      <c r="A60" s="5">
        <v>44533</v>
      </c>
      <c r="B60">
        <v>4.0430000000000001E-2</v>
      </c>
      <c r="C60">
        <v>4.0730000000000002E-2</v>
      </c>
      <c r="D60">
        <v>3.594E-2</v>
      </c>
      <c r="E60">
        <v>3.7220000000000003E-2</v>
      </c>
      <c r="F60">
        <v>375917059</v>
      </c>
      <c r="G60">
        <v>3.7220000000000003E-2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-0.46555323590814085</v>
      </c>
      <c r="Q60">
        <f t="shared" ref="Q60" si="276">F60*P60</f>
        <v>-175009403.25052151</v>
      </c>
      <c r="R60">
        <f t="shared" ref="R60" si="277">R61+Q60</f>
        <v>71965698642.03125</v>
      </c>
      <c r="S60">
        <f t="shared" ref="S60" si="278">R60/100000</f>
        <v>719656.98642031255</v>
      </c>
      <c r="T60">
        <f t="shared" ref="T60" si="279">S60/1000</f>
        <v>719.65698642031259</v>
      </c>
    </row>
    <row r="61" spans="1:20" x14ac:dyDescent="0.25">
      <c r="A61" s="5">
        <v>44532</v>
      </c>
      <c r="B61">
        <v>4.0430000000000001E-2</v>
      </c>
      <c r="C61">
        <v>4.2119999999999998E-2</v>
      </c>
      <c r="D61">
        <v>3.918E-2</v>
      </c>
      <c r="E61">
        <v>4.0419999999999998E-2</v>
      </c>
      <c r="F61">
        <v>437471694</v>
      </c>
      <c r="G61">
        <v>4.0419999999999998E-2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-0.15646258503401442</v>
      </c>
      <c r="Q61">
        <f t="shared" ref="Q61" si="281">F61*P61</f>
        <v>-68447952.122449338</v>
      </c>
      <c r="R61">
        <f t="shared" ref="R61" si="282">R62+Q61</f>
        <v>72140708045.281769</v>
      </c>
      <c r="S61">
        <f t="shared" ref="S61" si="283">R61/100000</f>
        <v>721407.08045281773</v>
      </c>
      <c r="T61">
        <f t="shared" ref="T61" si="284">S61/1000</f>
        <v>721.4070804528177</v>
      </c>
    </row>
    <row r="62" spans="1:20" x14ac:dyDescent="0.25">
      <c r="A62" s="5">
        <v>44531</v>
      </c>
      <c r="B62">
        <v>4.0009999999999997E-2</v>
      </c>
      <c r="C62">
        <v>4.147E-2</v>
      </c>
      <c r="D62">
        <v>3.9660000000000001E-2</v>
      </c>
      <c r="E62">
        <v>4.0390000000000002E-2</v>
      </c>
      <c r="F62">
        <v>261857956</v>
      </c>
      <c r="G62">
        <v>4.0390000000000002E-2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-0.19337016574585433</v>
      </c>
      <c r="Q62">
        <f t="shared" ref="Q62" si="286">F62*P62</f>
        <v>-50635516.35359063</v>
      </c>
      <c r="R62">
        <f t="shared" ref="R62" si="287">R63+Q62</f>
        <v>72209155997.404221</v>
      </c>
      <c r="S62">
        <f t="shared" ref="S62" si="288">R62/100000</f>
        <v>722091.55997404223</v>
      </c>
      <c r="T62">
        <f t="shared" ref="T62" si="289">S62/1000</f>
        <v>722.09155997404218</v>
      </c>
    </row>
    <row r="63" spans="1:20" x14ac:dyDescent="0.25">
      <c r="A63" s="5">
        <v>44530</v>
      </c>
      <c r="B63">
        <v>4.1489999999999999E-2</v>
      </c>
      <c r="C63">
        <v>4.1869999999999997E-2</v>
      </c>
      <c r="D63">
        <v>3.9170000000000003E-2</v>
      </c>
      <c r="E63">
        <v>3.9960000000000002E-2</v>
      </c>
      <c r="F63">
        <v>523768825</v>
      </c>
      <c r="G63">
        <v>3.9960000000000002E-2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-0.41481481481481425</v>
      </c>
      <c r="Q63">
        <f t="shared" ref="Q63" si="291">F63*P63</f>
        <v>-217267068.14814785</v>
      </c>
      <c r="R63">
        <f t="shared" ref="R63" si="292">R64+Q63</f>
        <v>72259791513.757813</v>
      </c>
      <c r="S63">
        <f t="shared" ref="S63" si="293">R63/100000</f>
        <v>722597.91513757815</v>
      </c>
      <c r="T63">
        <f t="shared" ref="T63" si="294">S63/1000</f>
        <v>722.59791513757818</v>
      </c>
    </row>
    <row r="64" spans="1:20" x14ac:dyDescent="0.25">
      <c r="A64" s="5">
        <v>44529</v>
      </c>
      <c r="B64">
        <v>3.8190000000000002E-2</v>
      </c>
      <c r="C64">
        <v>4.5560000000000003E-2</v>
      </c>
      <c r="D64">
        <v>3.7929999999999998E-2</v>
      </c>
      <c r="E64">
        <v>4.1489999999999999E-2</v>
      </c>
      <c r="F64">
        <v>1906230104</v>
      </c>
      <c r="G64">
        <v>4.1489999999999999E-2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-6.6841415465269088E-2</v>
      </c>
      <c r="Q64">
        <f t="shared" ref="Q64" si="296">F64*P64</f>
        <v>-127415118.3538671</v>
      </c>
      <c r="R64">
        <f t="shared" ref="R64" si="297">R65+Q64</f>
        <v>72477058581.90596</v>
      </c>
      <c r="S64">
        <f t="shared" ref="S64" si="298">R64/100000</f>
        <v>724770.58581905963</v>
      </c>
      <c r="T64">
        <f t="shared" ref="T64" si="299">S64/1000</f>
        <v>724.77058581905965</v>
      </c>
    </row>
    <row r="65" spans="1:20" x14ac:dyDescent="0.25">
      <c r="A65" s="5">
        <v>44528</v>
      </c>
      <c r="B65">
        <v>3.7859999999999998E-2</v>
      </c>
      <c r="C65">
        <v>3.8249999999999999E-2</v>
      </c>
      <c r="D65">
        <v>3.5090000000000003E-2</v>
      </c>
      <c r="E65">
        <v>3.8219999999999997E-2</v>
      </c>
      <c r="F65">
        <v>304519301</v>
      </c>
      <c r="G65">
        <v>3.8219999999999997E-2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0.98101265822784667</v>
      </c>
      <c r="Q65">
        <f t="shared" ref="Q65" si="301">F65*P65</f>
        <v>298737288.95569575</v>
      </c>
      <c r="R65">
        <f t="shared" ref="R65" si="302">R66+Q65</f>
        <v>72604473700.259827</v>
      </c>
      <c r="S65">
        <f t="shared" ref="S65" si="303">R65/100000</f>
        <v>726044.73700259824</v>
      </c>
      <c r="T65">
        <f t="shared" ref="T65" si="304">S65/1000</f>
        <v>726.04473700259825</v>
      </c>
    </row>
    <row r="66" spans="1:20" x14ac:dyDescent="0.25">
      <c r="A66" s="5">
        <v>44527</v>
      </c>
      <c r="B66">
        <v>3.7319999999999999E-2</v>
      </c>
      <c r="C66">
        <v>3.8600000000000002E-2</v>
      </c>
      <c r="D66">
        <v>3.7130000000000003E-2</v>
      </c>
      <c r="E66">
        <v>3.7870000000000001E-2</v>
      </c>
      <c r="F66">
        <v>217782162</v>
      </c>
      <c r="G66">
        <v>3.7870000000000001E-2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6.8027210884327415E-3</v>
      </c>
      <c r="Q66">
        <f t="shared" ref="Q66" si="306">F66*P66</f>
        <v>1481511.3061218755</v>
      </c>
      <c r="R66">
        <f t="shared" ref="R66" si="307">R67+Q66</f>
        <v>72305736411.304138</v>
      </c>
      <c r="S66">
        <f t="shared" ref="S66" si="308">R66/100000</f>
        <v>723057.36411304143</v>
      </c>
      <c r="T66">
        <f t="shared" ref="T66" si="309">S66/1000</f>
        <v>723.05736411304144</v>
      </c>
    </row>
    <row r="67" spans="1:20" x14ac:dyDescent="0.25">
      <c r="A67" s="5">
        <v>44526</v>
      </c>
      <c r="B67">
        <v>4.1730000000000003E-2</v>
      </c>
      <c r="C67">
        <v>4.1750000000000002E-2</v>
      </c>
      <c r="D67">
        <v>3.6170000000000001E-2</v>
      </c>
      <c r="E67">
        <v>3.7330000000000002E-2</v>
      </c>
      <c r="F67">
        <v>630855505</v>
      </c>
      <c r="G67">
        <v>3.7330000000000002E-2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-0.58422939068100321</v>
      </c>
      <c r="Q67">
        <f t="shared" ref="Q67" si="311">F67*P67</f>
        <v>-368564327.29390657</v>
      </c>
      <c r="R67">
        <f t="shared" ref="R67" si="312">R68+Q67</f>
        <v>72304254899.998016</v>
      </c>
      <c r="S67">
        <f t="shared" ref="S67" si="313">R67/100000</f>
        <v>723042.54899998021</v>
      </c>
      <c r="T67">
        <f t="shared" ref="T67" si="314">S67/1000</f>
        <v>723.04254899998023</v>
      </c>
    </row>
    <row r="68" spans="1:20" x14ac:dyDescent="0.25">
      <c r="A68" s="5">
        <v>44525</v>
      </c>
      <c r="B68">
        <v>4.1000000000000002E-2</v>
      </c>
      <c r="C68">
        <v>4.2549999999999998E-2</v>
      </c>
      <c r="D68">
        <v>4.036E-2</v>
      </c>
      <c r="E68">
        <v>4.1739999999999999E-2</v>
      </c>
      <c r="F68">
        <v>456849319</v>
      </c>
      <c r="G68">
        <v>4.1739999999999999E-2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0.26027397260274049</v>
      </c>
      <c r="Q68">
        <f t="shared" ref="Q68" si="316">F68*P68</f>
        <v>118905987.13698664</v>
      </c>
      <c r="R68">
        <f t="shared" ref="R68" si="317">R69+Q68</f>
        <v>72672819227.291916</v>
      </c>
      <c r="S68">
        <f t="shared" ref="S68" si="318">R68/100000</f>
        <v>726728.19227291911</v>
      </c>
      <c r="T68">
        <f t="shared" ref="T68" si="319">S68/1000</f>
        <v>726.72819227291916</v>
      </c>
    </row>
    <row r="69" spans="1:20" x14ac:dyDescent="0.25">
      <c r="A69" s="5">
        <v>44524</v>
      </c>
      <c r="B69">
        <v>4.2750000000000003E-2</v>
      </c>
      <c r="C69">
        <v>4.2930000000000003E-2</v>
      </c>
      <c r="D69">
        <v>4.1160000000000002E-2</v>
      </c>
      <c r="E69">
        <v>4.1419999999999998E-2</v>
      </c>
      <c r="F69">
        <v>91548432</v>
      </c>
      <c r="G69">
        <v>4.1419999999999998E-2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-0.70621468926554098</v>
      </c>
      <c r="Q69">
        <f t="shared" ref="Q69" si="321">F69*P69</f>
        <v>-64652847.457627505</v>
      </c>
      <c r="R69">
        <f t="shared" ref="R69" si="322">R70+Q69</f>
        <v>72553913240.154922</v>
      </c>
      <c r="S69">
        <f t="shared" ref="S69" si="323">R69/100000</f>
        <v>725539.13240154926</v>
      </c>
      <c r="T69">
        <f t="shared" ref="T69" si="324">S69/1000</f>
        <v>725.5391324015493</v>
      </c>
    </row>
    <row r="70" spans="1:20" x14ac:dyDescent="0.25">
      <c r="A70" s="5">
        <v>44523</v>
      </c>
      <c r="B70">
        <v>4.2700000000000002E-2</v>
      </c>
      <c r="C70">
        <v>4.3860000000000003E-2</v>
      </c>
      <c r="D70">
        <v>4.1169999999999998E-2</v>
      </c>
      <c r="E70">
        <v>4.2750000000000003E-2</v>
      </c>
      <c r="F70">
        <v>244395237</v>
      </c>
      <c r="G70">
        <v>4.2750000000000003E-2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0.17472118959107966</v>
      </c>
      <c r="Q70">
        <f t="shared" ref="Q70" si="326">F70*P70</f>
        <v>42701026.539033845</v>
      </c>
      <c r="R70">
        <f t="shared" ref="R70" si="327">R71+Q70</f>
        <v>72618566087.612549</v>
      </c>
      <c r="S70">
        <f t="shared" ref="S70" si="328">R70/100000</f>
        <v>726185.66087612545</v>
      </c>
      <c r="T70">
        <f t="shared" ref="T70" si="329">S70/1000</f>
        <v>726.18566087612544</v>
      </c>
    </row>
    <row r="71" spans="1:20" x14ac:dyDescent="0.25">
      <c r="A71" s="5">
        <v>44522</v>
      </c>
      <c r="B71">
        <v>4.4470000000000003E-2</v>
      </c>
      <c r="C71">
        <v>4.5429999999999998E-2</v>
      </c>
      <c r="D71">
        <v>4.2200000000000001E-2</v>
      </c>
      <c r="E71">
        <v>4.2700000000000002E-2</v>
      </c>
      <c r="F71">
        <v>374440983</v>
      </c>
      <c r="G71">
        <v>4.2700000000000002E-2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-0.69040247678018518</v>
      </c>
      <c r="Q71">
        <f t="shared" ref="Q71" si="331">F71*P71</f>
        <v>-258514982.07120723</v>
      </c>
      <c r="R71">
        <f t="shared" ref="R71" si="332">R72+Q71</f>
        <v>72575865061.073517</v>
      </c>
      <c r="S71">
        <f t="shared" ref="S71" si="333">R71/100000</f>
        <v>725758.65061073517</v>
      </c>
      <c r="T71">
        <f t="shared" ref="T71" si="334">S71/1000</f>
        <v>725.75865061073523</v>
      </c>
    </row>
    <row r="72" spans="1:20" x14ac:dyDescent="0.25">
      <c r="A72" s="5">
        <v>44521</v>
      </c>
      <c r="B72">
        <v>4.4299999999999999E-2</v>
      </c>
      <c r="C72">
        <v>4.6149999999999997E-2</v>
      </c>
      <c r="D72">
        <v>4.3400000000000001E-2</v>
      </c>
      <c r="E72">
        <v>4.444E-2</v>
      </c>
      <c r="F72">
        <v>405327094</v>
      </c>
      <c r="G72">
        <v>4.444E-2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-0.24363636363636293</v>
      </c>
      <c r="Q72">
        <f t="shared" ref="Q72" si="336">F72*P72</f>
        <v>-98752419.265454262</v>
      </c>
      <c r="R72">
        <f t="shared" ref="R72" si="337">R73+Q72</f>
        <v>72834380043.14473</v>
      </c>
      <c r="S72">
        <f t="shared" ref="S72" si="338">R72/100000</f>
        <v>728343.80043144734</v>
      </c>
      <c r="T72">
        <f t="shared" ref="T72" si="339">S72/1000</f>
        <v>728.34380043144733</v>
      </c>
    </row>
    <row r="73" spans="1:20" x14ac:dyDescent="0.25">
      <c r="A73" s="5">
        <v>44520</v>
      </c>
      <c r="B73">
        <v>4.3299999999999998E-2</v>
      </c>
      <c r="C73">
        <v>4.4549999999999999E-2</v>
      </c>
      <c r="D73">
        <v>4.2110000000000002E-2</v>
      </c>
      <c r="E73">
        <v>4.4339999999999997E-2</v>
      </c>
      <c r="F73">
        <v>287094787</v>
      </c>
      <c r="G73">
        <v>4.4339999999999997E-2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0.82786885245901476</v>
      </c>
      <c r="Q73">
        <f t="shared" ref="Q73" si="341">F73*P73</f>
        <v>237676831.86065528</v>
      </c>
      <c r="R73">
        <f t="shared" ref="R73" si="342">R74+Q73</f>
        <v>72933132462.410187</v>
      </c>
      <c r="S73">
        <f t="shared" ref="S73" si="343">R73/100000</f>
        <v>729331.32462410186</v>
      </c>
      <c r="T73">
        <f t="shared" ref="T73" si="344">S73/1000</f>
        <v>729.33132462410185</v>
      </c>
    </row>
    <row r="74" spans="1:20" x14ac:dyDescent="0.25">
      <c r="A74" s="5">
        <v>44519</v>
      </c>
      <c r="B74">
        <v>4.1230000000000003E-2</v>
      </c>
      <c r="C74">
        <v>4.4999999999999998E-2</v>
      </c>
      <c r="D74">
        <v>4.0340000000000001E-2</v>
      </c>
      <c r="E74">
        <v>4.3310000000000001E-2</v>
      </c>
      <c r="F74">
        <v>409868540</v>
      </c>
      <c r="G74">
        <v>4.3310000000000001E-2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0.27467811158798372</v>
      </c>
      <c r="Q74">
        <f t="shared" ref="Q74" si="346">F74*P74</f>
        <v>112581916.56652397</v>
      </c>
      <c r="R74">
        <f t="shared" ref="R74" si="347">R75+Q74</f>
        <v>72695455630.54953</v>
      </c>
      <c r="S74">
        <f t="shared" ref="S74" si="348">R74/100000</f>
        <v>726954.55630549532</v>
      </c>
      <c r="T74">
        <f t="shared" ref="T74" si="349">S74/1000</f>
        <v>726.95455630549532</v>
      </c>
    </row>
    <row r="75" spans="1:20" x14ac:dyDescent="0.25">
      <c r="A75" s="5">
        <v>44518</v>
      </c>
      <c r="B75">
        <v>4.7169999999999997E-2</v>
      </c>
      <c r="C75">
        <v>4.7370000000000002E-2</v>
      </c>
      <c r="D75">
        <v>3.9620000000000002E-2</v>
      </c>
      <c r="E75">
        <v>4.1259999999999998E-2</v>
      </c>
      <c r="F75">
        <v>847893270</v>
      </c>
      <c r="G75">
        <v>4.1259999999999998E-2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-0.57677419354838821</v>
      </c>
      <c r="Q75">
        <f t="shared" ref="Q75" si="351">F75*P75</f>
        <v>-489042957.01935577</v>
      </c>
      <c r="R75">
        <f t="shared" ref="R75" si="352">R76+Q75</f>
        <v>72582873713.983002</v>
      </c>
      <c r="S75">
        <f t="shared" ref="S75" si="353">R75/100000</f>
        <v>725828.73713983002</v>
      </c>
      <c r="T75">
        <f t="shared" ref="T75" si="354">S75/1000</f>
        <v>725.82873713982997</v>
      </c>
    </row>
    <row r="76" spans="1:20" x14ac:dyDescent="0.25">
      <c r="A76" s="5">
        <v>44517</v>
      </c>
      <c r="B76">
        <v>4.5229999999999999E-2</v>
      </c>
      <c r="C76">
        <v>4.7899999999999998E-2</v>
      </c>
      <c r="D76">
        <v>4.376E-2</v>
      </c>
      <c r="E76">
        <v>4.7140000000000001E-2</v>
      </c>
      <c r="F76">
        <v>475254443</v>
      </c>
      <c r="G76">
        <v>4.7140000000000001E-2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0.63285024154589509</v>
      </c>
      <c r="Q76">
        <f t="shared" ref="Q76" si="356">F76*P76</f>
        <v>300764889.0483098</v>
      </c>
      <c r="R76">
        <f t="shared" ref="R76" si="357">R77+Q76</f>
        <v>73071916671.00235</v>
      </c>
      <c r="S76">
        <f t="shared" ref="S76" si="358">R76/100000</f>
        <v>730719.16671002354</v>
      </c>
      <c r="T76">
        <f t="shared" ref="T76" si="359">S76/1000</f>
        <v>730.7191667100235</v>
      </c>
    </row>
    <row r="77" spans="1:20" x14ac:dyDescent="0.25">
      <c r="A77" s="5">
        <v>44516</v>
      </c>
      <c r="B77">
        <v>4.863E-2</v>
      </c>
      <c r="C77">
        <v>4.8669999999999998E-2</v>
      </c>
      <c r="D77">
        <v>4.2000000000000003E-2</v>
      </c>
      <c r="E77">
        <v>4.521E-2</v>
      </c>
      <c r="F77">
        <v>670497842</v>
      </c>
      <c r="G77">
        <v>4.521E-2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-3.74812593703149E-2</v>
      </c>
      <c r="Q77">
        <f t="shared" ref="Q77" si="361">F77*P77</f>
        <v>-25131103.52323842</v>
      </c>
      <c r="R77">
        <f t="shared" ref="R77" si="362">R78+Q77</f>
        <v>72771151781.954041</v>
      </c>
      <c r="S77">
        <f t="shared" ref="S77" si="363">R77/100000</f>
        <v>727711.51781954046</v>
      </c>
      <c r="T77">
        <f t="shared" ref="T77" si="364">S77/1000</f>
        <v>727.7115178195404</v>
      </c>
    </row>
    <row r="78" spans="1:20" x14ac:dyDescent="0.25">
      <c r="A78" s="5">
        <v>44515</v>
      </c>
      <c r="B78">
        <v>4.811E-2</v>
      </c>
      <c r="C78">
        <v>5.0380000000000001E-2</v>
      </c>
      <c r="D78">
        <v>4.7449999999999999E-2</v>
      </c>
      <c r="E78">
        <v>4.8649999999999999E-2</v>
      </c>
      <c r="F78">
        <v>492434331</v>
      </c>
      <c r="G78">
        <v>4.8649999999999999E-2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-0.18088737201365268</v>
      </c>
      <c r="Q78">
        <f t="shared" ref="Q78" si="366">F78*P78</f>
        <v>-89075152.023891181</v>
      </c>
      <c r="R78">
        <f t="shared" ref="R78" si="367">R79+Q78</f>
        <v>72796282885.47728</v>
      </c>
      <c r="S78">
        <f t="shared" ref="S78" si="368">R78/100000</f>
        <v>727962.82885477284</v>
      </c>
      <c r="T78">
        <f t="shared" ref="T78" si="369">S78/1000</f>
        <v>727.96282885477285</v>
      </c>
    </row>
    <row r="79" spans="1:20" x14ac:dyDescent="0.25">
      <c r="A79" s="5">
        <v>44514</v>
      </c>
      <c r="B79">
        <v>4.829E-2</v>
      </c>
      <c r="C79">
        <v>4.829E-2</v>
      </c>
      <c r="D79">
        <v>4.7100000000000003E-2</v>
      </c>
      <c r="E79">
        <v>4.811E-2</v>
      </c>
      <c r="F79">
        <v>212510785</v>
      </c>
      <c r="G79">
        <v>4.811E-2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0.69747899159663851</v>
      </c>
      <c r="Q79">
        <f t="shared" ref="Q79" si="371">F79*P79</f>
        <v>148221808.02521005</v>
      </c>
      <c r="R79">
        <f t="shared" ref="R79" si="372">R80+Q79</f>
        <v>72885358037.501175</v>
      </c>
      <c r="S79">
        <f t="shared" ref="S79" si="373">R79/100000</f>
        <v>728853.58037501178</v>
      </c>
      <c r="T79">
        <f t="shared" ref="T79" si="374">S79/1000</f>
        <v>728.8535803750118</v>
      </c>
    </row>
    <row r="80" spans="1:20" x14ac:dyDescent="0.25">
      <c r="A80" s="5">
        <v>44513</v>
      </c>
      <c r="B80">
        <v>4.7649999999999998E-2</v>
      </c>
      <c r="C80">
        <v>4.8550000000000003E-2</v>
      </c>
      <c r="D80">
        <v>4.7070000000000001E-2</v>
      </c>
      <c r="E80">
        <v>4.827E-2</v>
      </c>
      <c r="F80">
        <v>199823969</v>
      </c>
      <c r="G80">
        <v>4.827E-2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0.62162162162161883</v>
      </c>
      <c r="Q80">
        <f t="shared" ref="Q80" si="376">F80*P80</f>
        <v>124214899.64864808</v>
      </c>
      <c r="R80">
        <f t="shared" ref="R80" si="377">R81+Q80</f>
        <v>72737136229.475967</v>
      </c>
      <c r="S80">
        <f t="shared" ref="S80" si="378">R80/100000</f>
        <v>727371.36229475972</v>
      </c>
      <c r="T80">
        <f t="shared" ref="T80" si="379">S80/1000</f>
        <v>727.37136229475971</v>
      </c>
    </row>
    <row r="81" spans="1:20" x14ac:dyDescent="0.25">
      <c r="A81" s="5">
        <v>44512</v>
      </c>
      <c r="B81">
        <v>4.8410000000000002E-2</v>
      </c>
      <c r="C81">
        <v>4.879E-2</v>
      </c>
      <c r="D81">
        <v>4.6050000000000001E-2</v>
      </c>
      <c r="E81">
        <v>4.768E-2</v>
      </c>
      <c r="F81">
        <v>314974185</v>
      </c>
      <c r="G81">
        <v>4.768E-2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0.18978102189781013</v>
      </c>
      <c r="Q81">
        <f t="shared" ref="Q81" si="381">F81*P81</f>
        <v>59776122.700729899</v>
      </c>
      <c r="R81">
        <f t="shared" ref="R81" si="382">R82+Q81</f>
        <v>72612921329.827316</v>
      </c>
      <c r="S81">
        <f t="shared" ref="S81" si="383">R81/100000</f>
        <v>726129.21329827316</v>
      </c>
      <c r="T81">
        <f t="shared" ref="T81" si="384">S81/1000</f>
        <v>726.12921329827316</v>
      </c>
    </row>
    <row r="82" spans="1:20" x14ac:dyDescent="0.25">
      <c r="A82" s="5">
        <v>44511</v>
      </c>
      <c r="B82">
        <v>4.7969999999999999E-2</v>
      </c>
      <c r="C82">
        <v>4.922E-2</v>
      </c>
      <c r="D82">
        <v>4.7300000000000002E-2</v>
      </c>
      <c r="E82">
        <v>4.8430000000000001E-2</v>
      </c>
      <c r="F82">
        <v>335611156</v>
      </c>
      <c r="G82">
        <v>4.8430000000000001E-2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0.17708333333333351</v>
      </c>
      <c r="Q82">
        <f t="shared" ref="Q82" si="386">F82*P82</f>
        <v>59431142.208333395</v>
      </c>
      <c r="R82">
        <f t="shared" ref="R82" si="387">R83+Q82</f>
        <v>72553145207.126587</v>
      </c>
      <c r="S82">
        <f t="shared" ref="S82" si="388">R82/100000</f>
        <v>725531.4520712659</v>
      </c>
      <c r="T82">
        <f t="shared" ref="T82" si="389">S82/1000</f>
        <v>725.5314520712659</v>
      </c>
    </row>
    <row r="83" spans="1:20" x14ac:dyDescent="0.25">
      <c r="A83" s="5">
        <v>44510</v>
      </c>
      <c r="B83">
        <v>5.1839999999999997E-2</v>
      </c>
      <c r="C83">
        <v>5.2839999999999998E-2</v>
      </c>
      <c r="D83">
        <v>4.2500000000000003E-2</v>
      </c>
      <c r="E83">
        <v>4.7960000000000003E-2</v>
      </c>
      <c r="F83">
        <v>858060157</v>
      </c>
      <c r="G83">
        <v>4.7960000000000003E-2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5.6092843326886306E-2</v>
      </c>
      <c r="Q83">
        <f t="shared" ref="Q83" si="391">F83*P83</f>
        <v>48131033.951644465</v>
      </c>
      <c r="R83">
        <f t="shared" ref="R83" si="392">R84+Q83</f>
        <v>72493714064.918259</v>
      </c>
      <c r="S83">
        <f t="shared" ref="S83" si="393">R83/100000</f>
        <v>724937.14064918261</v>
      </c>
      <c r="T83">
        <f t="shared" ref="T83" si="394">S83/1000</f>
        <v>724.93714064918265</v>
      </c>
    </row>
    <row r="84" spans="1:20" x14ac:dyDescent="0.25">
      <c r="A84" s="5">
        <v>44509</v>
      </c>
      <c r="B84">
        <v>5.1650000000000001E-2</v>
      </c>
      <c r="C84">
        <v>5.4120000000000001E-2</v>
      </c>
      <c r="D84">
        <v>5.0819999999999997E-2</v>
      </c>
      <c r="E84">
        <v>5.1830000000000001E-2</v>
      </c>
      <c r="F84">
        <v>625065429</v>
      </c>
      <c r="G84">
        <v>5.1830000000000001E-2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-0.38787878787878627</v>
      </c>
      <c r="Q84">
        <f t="shared" ref="Q84" si="396">F84*P84</f>
        <v>-242449620.94545352</v>
      </c>
      <c r="R84">
        <f t="shared" ref="R84" si="397">R85+Q84</f>
        <v>72445583030.966614</v>
      </c>
      <c r="S84">
        <f t="shared" ref="S84" si="398">R84/100000</f>
        <v>724455.83030966611</v>
      </c>
      <c r="T84">
        <f t="shared" ref="T84" si="399">S84/1000</f>
        <v>724.45583030966611</v>
      </c>
    </row>
    <row r="85" spans="1:20" x14ac:dyDescent="0.25">
      <c r="A85" s="5">
        <v>44508</v>
      </c>
      <c r="B85">
        <v>5.0380000000000001E-2</v>
      </c>
      <c r="C85">
        <v>5.1880000000000003E-2</v>
      </c>
      <c r="D85">
        <v>4.9739999999999999E-2</v>
      </c>
      <c r="E85">
        <v>5.1650000000000001E-2</v>
      </c>
      <c r="F85">
        <v>379489217</v>
      </c>
      <c r="G85">
        <v>5.1650000000000001E-2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0.78504672897196193</v>
      </c>
      <c r="Q85">
        <f t="shared" ref="Q85" si="401">F85*P85</f>
        <v>297916768.48598105</v>
      </c>
      <c r="R85">
        <f t="shared" ref="R85" si="402">R86+Q85</f>
        <v>72688032651.912064</v>
      </c>
      <c r="S85">
        <f t="shared" ref="S85" si="403">R85/100000</f>
        <v>726880.3265191206</v>
      </c>
      <c r="T85">
        <f t="shared" ref="T85" si="404">S85/1000</f>
        <v>726.88032651912056</v>
      </c>
    </row>
    <row r="86" spans="1:20" x14ac:dyDescent="0.25">
      <c r="A86" s="5">
        <v>44507</v>
      </c>
      <c r="B86">
        <v>5.024E-2</v>
      </c>
      <c r="C86">
        <v>5.1249999999999997E-2</v>
      </c>
      <c r="D86">
        <v>4.981E-2</v>
      </c>
      <c r="E86">
        <v>5.0360000000000002E-2</v>
      </c>
      <c r="F86">
        <v>240105060</v>
      </c>
      <c r="G86">
        <v>5.0360000000000002E-2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-0.23611111111110683</v>
      </c>
      <c r="Q86">
        <f t="shared" ref="Q86" si="406">F86*P86</f>
        <v>-56691472.499998972</v>
      </c>
      <c r="R86">
        <f t="shared" ref="R86" si="407">R87+Q86</f>
        <v>72390115883.426086</v>
      </c>
      <c r="S86">
        <f t="shared" ref="S86" si="408">R86/100000</f>
        <v>723901.15883426089</v>
      </c>
      <c r="T86">
        <f t="shared" ref="T86" si="409">S86/1000</f>
        <v>723.90115883426085</v>
      </c>
    </row>
    <row r="87" spans="1:20" x14ac:dyDescent="0.25">
      <c r="A87" s="5">
        <v>44506</v>
      </c>
      <c r="B87">
        <v>5.1409999999999997E-2</v>
      </c>
      <c r="C87">
        <v>5.16E-2</v>
      </c>
      <c r="D87">
        <v>4.8050000000000002E-2</v>
      </c>
      <c r="E87">
        <v>5.024E-2</v>
      </c>
      <c r="F87">
        <v>425511474</v>
      </c>
      <c r="G87">
        <v>5.024E-2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0.23380281690140789</v>
      </c>
      <c r="Q87">
        <f t="shared" ref="Q87" si="411">F87*P87</f>
        <v>99485781.245070189</v>
      </c>
      <c r="R87">
        <f t="shared" ref="R87" si="412">R88+Q87</f>
        <v>72446807355.926086</v>
      </c>
      <c r="S87">
        <f t="shared" ref="S87" si="413">R87/100000</f>
        <v>724468.07355926081</v>
      </c>
      <c r="T87">
        <f t="shared" ref="T87" si="414">S87/1000</f>
        <v>724.4680735592608</v>
      </c>
    </row>
    <row r="88" spans="1:20" x14ac:dyDescent="0.25">
      <c r="A88" s="5">
        <v>44505</v>
      </c>
      <c r="B88">
        <v>5.407E-2</v>
      </c>
      <c r="C88">
        <v>5.4600000000000003E-2</v>
      </c>
      <c r="D88">
        <v>5.058E-2</v>
      </c>
      <c r="E88">
        <v>5.1409999999999997E-2</v>
      </c>
      <c r="F88">
        <v>473191892</v>
      </c>
      <c r="G88">
        <v>5.1409999999999997E-2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-0.58706467661691697</v>
      </c>
      <c r="Q88">
        <f t="shared" ref="Q88" si="416">F88*P88</f>
        <v>-277794245.05472708</v>
      </c>
      <c r="R88">
        <f t="shared" ref="R88" si="417">R89+Q88</f>
        <v>72347321574.681015</v>
      </c>
      <c r="S88">
        <f t="shared" ref="S88" si="418">R88/100000</f>
        <v>723473.21574681019</v>
      </c>
      <c r="T88">
        <f t="shared" ref="T88" si="419">S88/1000</f>
        <v>723.47321574681018</v>
      </c>
    </row>
    <row r="89" spans="1:20" x14ac:dyDescent="0.25">
      <c r="A89" s="5">
        <v>44504</v>
      </c>
      <c r="B89">
        <v>5.4579999999999997E-2</v>
      </c>
      <c r="C89">
        <v>5.7169999999999999E-2</v>
      </c>
      <c r="D89">
        <v>5.2240000000000002E-2</v>
      </c>
      <c r="E89">
        <v>5.407E-2</v>
      </c>
      <c r="F89">
        <v>984013603</v>
      </c>
      <c r="G89">
        <v>5.407E-2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-0.25760649087221116</v>
      </c>
      <c r="Q89">
        <f t="shared" ref="Q89" si="421">F89*P89</f>
        <v>-253488291.23935112</v>
      </c>
      <c r="R89">
        <f t="shared" ref="R89" si="422">R90+Q89</f>
        <v>72625115819.735748</v>
      </c>
      <c r="S89">
        <f t="shared" ref="S89" si="423">R89/100000</f>
        <v>726251.15819735744</v>
      </c>
      <c r="T89">
        <f t="shared" ref="T89" si="424">S89/1000</f>
        <v>726.25115819735743</v>
      </c>
    </row>
    <row r="90" spans="1:20" x14ac:dyDescent="0.25">
      <c r="A90" s="5">
        <v>44503</v>
      </c>
      <c r="B90">
        <v>5.1540000000000002E-2</v>
      </c>
      <c r="C90">
        <v>5.7599999999999998E-2</v>
      </c>
      <c r="D90">
        <v>5.1060000000000001E-2</v>
      </c>
      <c r="E90">
        <v>5.4579999999999997E-2</v>
      </c>
      <c r="F90">
        <v>2537465602</v>
      </c>
      <c r="G90">
        <v>5.4579999999999997E-2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7.6452599388378242E-2</v>
      </c>
      <c r="Q90">
        <f t="shared" ref="Q90" si="426">F90*P90</f>
        <v>193995841.13149604</v>
      </c>
      <c r="R90">
        <f t="shared" ref="R90" si="427">R91+Q90</f>
        <v>72878604110.975098</v>
      </c>
      <c r="S90">
        <f t="shared" ref="S90" si="428">R90/100000</f>
        <v>728786.04110975098</v>
      </c>
      <c r="T90">
        <f t="shared" ref="T90" si="429">S90/1000</f>
        <v>728.78604110975095</v>
      </c>
    </row>
    <row r="91" spans="1:20" x14ac:dyDescent="0.25">
      <c r="A91" s="5">
        <v>44502</v>
      </c>
      <c r="B91">
        <v>4.8939999999999997E-2</v>
      </c>
      <c r="C91">
        <v>5.2049999999999999E-2</v>
      </c>
      <c r="D91">
        <v>4.7849999999999997E-2</v>
      </c>
      <c r="E91">
        <v>5.1540000000000002E-2</v>
      </c>
      <c r="F91">
        <v>703103462</v>
      </c>
      <c r="G91">
        <v>5.1540000000000002E-2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0.75714285714285889</v>
      </c>
      <c r="Q91">
        <f t="shared" ref="Q91" si="431">F91*P91</f>
        <v>532349764.08571553</v>
      </c>
      <c r="R91">
        <f t="shared" ref="R91" si="432">R92+Q91</f>
        <v>72684608269.843597</v>
      </c>
      <c r="S91">
        <f t="shared" ref="S91" si="433">R91/100000</f>
        <v>726846.08269843599</v>
      </c>
      <c r="T91">
        <f t="shared" ref="T91" si="434">S91/1000</f>
        <v>726.84608269843602</v>
      </c>
    </row>
    <row r="92" spans="1:20" x14ac:dyDescent="0.25">
      <c r="A92" s="5">
        <v>44501</v>
      </c>
      <c r="B92">
        <v>4.9700000000000001E-2</v>
      </c>
      <c r="C92">
        <v>5.1869999999999999E-2</v>
      </c>
      <c r="D92">
        <v>4.691E-2</v>
      </c>
      <c r="E92">
        <v>4.897E-2</v>
      </c>
      <c r="F92">
        <v>486538125</v>
      </c>
      <c r="G92">
        <v>4.897E-2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-0.16935483870967755</v>
      </c>
      <c r="Q92">
        <f t="shared" ref="Q92" si="436">F92*P92</f>
        <v>-82397585.685483932</v>
      </c>
      <c r="R92">
        <f t="shared" ref="R92" si="437">R93+Q92</f>
        <v>72152258505.757889</v>
      </c>
      <c r="S92">
        <f t="shared" ref="S92" si="438">R92/100000</f>
        <v>721522.58505757886</v>
      </c>
      <c r="T92">
        <f t="shared" ref="T92" si="439">S92/1000</f>
        <v>721.52258505757891</v>
      </c>
    </row>
    <row r="93" spans="1:20" x14ac:dyDescent="0.25">
      <c r="A93" s="5">
        <v>44500</v>
      </c>
      <c r="B93">
        <v>4.827E-2</v>
      </c>
      <c r="C93">
        <v>0.05</v>
      </c>
      <c r="D93">
        <v>4.6179999999999999E-2</v>
      </c>
      <c r="E93">
        <v>4.9660000000000003E-2</v>
      </c>
      <c r="F93">
        <v>549352368</v>
      </c>
      <c r="G93">
        <v>4.9660000000000003E-2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0.82198952879581166</v>
      </c>
      <c r="Q93">
        <f t="shared" ref="Q93" si="441">F93*P93</f>
        <v>451561894.11518335</v>
      </c>
      <c r="R93">
        <f t="shared" ref="R93" si="442">R94+Q93</f>
        <v>72234656091.443375</v>
      </c>
      <c r="S93">
        <f t="shared" ref="S93" si="443">R93/100000</f>
        <v>722346.56091443379</v>
      </c>
      <c r="T93">
        <f t="shared" ref="T93" si="444">S93/1000</f>
        <v>722.34656091443378</v>
      </c>
    </row>
    <row r="94" spans="1:20" x14ac:dyDescent="0.25">
      <c r="A94" s="5">
        <v>44499</v>
      </c>
      <c r="B94">
        <v>4.87E-2</v>
      </c>
      <c r="C94">
        <v>4.8930000000000001E-2</v>
      </c>
      <c r="D94">
        <v>4.657E-2</v>
      </c>
      <c r="E94">
        <v>4.827E-2</v>
      </c>
      <c r="F94">
        <v>340843726</v>
      </c>
      <c r="G94">
        <v>4.827E-2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0.44067796610169441</v>
      </c>
      <c r="Q94">
        <f t="shared" ref="Q94" si="446">F94*P94</f>
        <v>150202319.9322032</v>
      </c>
      <c r="R94">
        <f t="shared" ref="R94" si="447">R95+Q94</f>
        <v>71783094197.328186</v>
      </c>
      <c r="S94">
        <f t="shared" ref="S94" si="448">R94/100000</f>
        <v>717830.94197328191</v>
      </c>
      <c r="T94">
        <f t="shared" ref="T94" si="449">S94/1000</f>
        <v>717.83094197328194</v>
      </c>
    </row>
    <row r="95" spans="1:20" x14ac:dyDescent="0.25">
      <c r="A95" s="5">
        <v>44498</v>
      </c>
      <c r="B95">
        <v>4.7199999999999999E-2</v>
      </c>
      <c r="C95">
        <v>4.9299999999999997E-2</v>
      </c>
      <c r="D95">
        <v>4.7140000000000001E-2</v>
      </c>
      <c r="E95">
        <v>4.8750000000000002E-2</v>
      </c>
      <c r="F95">
        <v>348406028</v>
      </c>
      <c r="G95">
        <v>4.8750000000000002E-2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0.49074074074074431</v>
      </c>
      <c r="Q95">
        <f t="shared" ref="Q95" si="451">F95*P95</f>
        <v>170977032.25926051</v>
      </c>
      <c r="R95">
        <f t="shared" ref="R95" si="452">R96+Q95</f>
        <v>71632891877.395981</v>
      </c>
      <c r="S95">
        <f t="shared" ref="S95" si="453">R95/100000</f>
        <v>716328.91877395986</v>
      </c>
      <c r="T95">
        <f t="shared" ref="T95" si="454">S95/1000</f>
        <v>716.32891877395991</v>
      </c>
    </row>
    <row r="96" spans="1:20" x14ac:dyDescent="0.25">
      <c r="A96" s="5">
        <v>44497</v>
      </c>
      <c r="B96">
        <v>4.4260000000000001E-2</v>
      </c>
      <c r="C96">
        <v>5.0380000000000001E-2</v>
      </c>
      <c r="D96">
        <v>4.36E-2</v>
      </c>
      <c r="E96">
        <v>4.7219999999999998E-2</v>
      </c>
      <c r="F96">
        <v>1076824543</v>
      </c>
      <c r="G96">
        <v>4.7219999999999998E-2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6.7846607669615783E-2</v>
      </c>
      <c r="Q96">
        <f t="shared" ref="Q96" si="456">F96*P96</f>
        <v>73058892.297934309</v>
      </c>
      <c r="R96">
        <f t="shared" ref="R96" si="457">R97+Q96</f>
        <v>71461914845.136719</v>
      </c>
      <c r="S96">
        <f t="shared" ref="S96" si="458">R96/100000</f>
        <v>714619.14845136716</v>
      </c>
      <c r="T96">
        <f t="shared" ref="T96" si="459">S96/1000</f>
        <v>714.61914845136721</v>
      </c>
    </row>
    <row r="97" spans="1:20" x14ac:dyDescent="0.25">
      <c r="A97" s="5">
        <v>44496</v>
      </c>
      <c r="B97">
        <v>5.11E-2</v>
      </c>
      <c r="C97">
        <v>5.1360000000000003E-2</v>
      </c>
      <c r="D97">
        <v>4.0129999999999999E-2</v>
      </c>
      <c r="E97">
        <v>4.4260000000000001E-2</v>
      </c>
      <c r="F97">
        <v>1212486052</v>
      </c>
      <c r="G97">
        <v>4.4260000000000001E-2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-0.26447016918967048</v>
      </c>
      <c r="Q97">
        <f t="shared" ref="Q97" si="461">F97*P97</f>
        <v>-320666391.31255561</v>
      </c>
      <c r="R97">
        <f t="shared" ref="R97" si="462">R98+Q97</f>
        <v>71388855952.838791</v>
      </c>
      <c r="S97">
        <f t="shared" ref="S97" si="463">R97/100000</f>
        <v>713888.55952838797</v>
      </c>
      <c r="T97">
        <f t="shared" ref="T97" si="464">S97/1000</f>
        <v>713.88855952838799</v>
      </c>
    </row>
    <row r="98" spans="1:20" x14ac:dyDescent="0.25">
      <c r="A98" s="5">
        <v>44495</v>
      </c>
      <c r="B98">
        <v>5.0779999999999999E-2</v>
      </c>
      <c r="C98">
        <v>5.2789999999999997E-2</v>
      </c>
      <c r="D98">
        <v>0.05</v>
      </c>
      <c r="E98">
        <v>5.1060000000000001E-2</v>
      </c>
      <c r="F98">
        <v>435484027</v>
      </c>
      <c r="G98">
        <v>5.1060000000000001E-2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-0.24014336917562668</v>
      </c>
      <c r="Q98">
        <f t="shared" ref="Q98" si="466">F98*P98</f>
        <v>-104578601.46594958</v>
      </c>
      <c r="R98">
        <f t="shared" ref="R98" si="467">R99+Q98</f>
        <v>71709522344.151352</v>
      </c>
      <c r="S98">
        <f t="shared" ref="S98" si="468">R98/100000</f>
        <v>717095.22344151349</v>
      </c>
      <c r="T98">
        <f t="shared" ref="T98" si="469">S98/1000</f>
        <v>717.09522344151344</v>
      </c>
    </row>
    <row r="99" spans="1:20" x14ac:dyDescent="0.25">
      <c r="A99" s="5">
        <v>44494</v>
      </c>
      <c r="B99">
        <v>4.9829999999999999E-2</v>
      </c>
      <c r="C99">
        <v>5.108E-2</v>
      </c>
      <c r="D99">
        <v>4.9610000000000001E-2</v>
      </c>
      <c r="E99">
        <v>5.076E-2</v>
      </c>
      <c r="F99">
        <v>237782522</v>
      </c>
      <c r="G99">
        <v>5.076E-2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0.56462585034013468</v>
      </c>
      <c r="Q99">
        <f t="shared" ref="Q99" si="471">F99*P99</f>
        <v>134258158.68027177</v>
      </c>
      <c r="R99">
        <f t="shared" ref="R99" si="472">R100+Q99</f>
        <v>71814100945.617294</v>
      </c>
      <c r="S99">
        <f t="shared" ref="S99" si="473">R99/100000</f>
        <v>718141.00945617293</v>
      </c>
      <c r="T99">
        <f t="shared" ref="T99" si="474">S99/1000</f>
        <v>718.14100945617292</v>
      </c>
    </row>
    <row r="100" spans="1:20" x14ac:dyDescent="0.25">
      <c r="A100" s="5">
        <v>44493</v>
      </c>
      <c r="B100">
        <v>5.1209999999999999E-2</v>
      </c>
      <c r="C100">
        <v>5.1490000000000001E-2</v>
      </c>
      <c r="D100">
        <v>4.8649999999999999E-2</v>
      </c>
      <c r="E100">
        <v>4.9840000000000002E-2</v>
      </c>
      <c r="F100">
        <v>360592369</v>
      </c>
      <c r="G100">
        <v>4.9840000000000002E-2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-0.16197183098591364</v>
      </c>
      <c r="Q100">
        <f t="shared" ref="Q100" si="476">F100*P100</f>
        <v>-58405806.246478207</v>
      </c>
      <c r="R100">
        <f t="shared" ref="R100" si="477">R101+Q100</f>
        <v>71679842786.937027</v>
      </c>
      <c r="S100">
        <f t="shared" ref="S100" si="478">R100/100000</f>
        <v>716798.42786937032</v>
      </c>
      <c r="T100">
        <f t="shared" ref="T100" si="479">S100/1000</f>
        <v>716.79842786937036</v>
      </c>
    </row>
    <row r="101" spans="1:20" x14ac:dyDescent="0.25">
      <c r="A101" s="5">
        <v>44492</v>
      </c>
      <c r="B101">
        <v>5.101E-2</v>
      </c>
      <c r="C101">
        <v>5.1830000000000001E-2</v>
      </c>
      <c r="D101">
        <v>5.024E-2</v>
      </c>
      <c r="E101">
        <v>5.1209999999999999E-2</v>
      </c>
      <c r="F101">
        <v>247394765</v>
      </c>
      <c r="G101">
        <v>5.1209999999999999E-2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0.22012578616351944</v>
      </c>
      <c r="Q101">
        <f t="shared" ref="Q101" si="481">F101*P101</f>
        <v>54457967.138364144</v>
      </c>
      <c r="R101">
        <f t="shared" ref="R101" si="482">R102+Q101</f>
        <v>71738248593.183502</v>
      </c>
      <c r="S101">
        <f t="shared" ref="S101" si="483">R101/100000</f>
        <v>717382.48593183502</v>
      </c>
      <c r="T101">
        <f t="shared" ref="T101" si="484">S101/1000</f>
        <v>717.38248593183505</v>
      </c>
    </row>
    <row r="102" spans="1:20" x14ac:dyDescent="0.25">
      <c r="A102" s="5">
        <v>44491</v>
      </c>
      <c r="B102">
        <v>5.0099999999999999E-2</v>
      </c>
      <c r="C102">
        <v>5.1540000000000002E-2</v>
      </c>
      <c r="D102">
        <v>4.9540000000000001E-2</v>
      </c>
      <c r="E102">
        <v>5.101E-2</v>
      </c>
      <c r="F102">
        <v>270329228</v>
      </c>
      <c r="G102">
        <v>5.101E-2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0.46999999999999775</v>
      </c>
      <c r="Q102">
        <f t="shared" ref="Q102" si="486">F102*P102</f>
        <v>127054737.15999939</v>
      </c>
      <c r="R102">
        <f t="shared" ref="R102" si="487">R103+Q102</f>
        <v>71683790626.045135</v>
      </c>
      <c r="S102">
        <f t="shared" ref="S102" si="488">R102/100000</f>
        <v>716837.9062604513</v>
      </c>
      <c r="T102">
        <f t="shared" ref="T102" si="489">S102/1000</f>
        <v>716.83790626045129</v>
      </c>
    </row>
    <row r="103" spans="1:20" x14ac:dyDescent="0.25">
      <c r="A103" s="5">
        <v>44490</v>
      </c>
      <c r="B103">
        <v>5.1999999999999998E-2</v>
      </c>
      <c r="C103">
        <v>5.2760000000000001E-2</v>
      </c>
      <c r="D103">
        <v>4.9279999999999997E-2</v>
      </c>
      <c r="E103">
        <v>5.0110000000000002E-2</v>
      </c>
      <c r="F103">
        <v>403881381</v>
      </c>
      <c r="G103">
        <v>5.0110000000000002E-2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-0.52298850574712452</v>
      </c>
      <c r="Q103">
        <f t="shared" ref="Q103" si="491">F103*P103</f>
        <v>-211225319.94827509</v>
      </c>
      <c r="R103">
        <f t="shared" ref="R103" si="492">R104+Q103</f>
        <v>71556735888.885132</v>
      </c>
      <c r="S103">
        <f t="shared" ref="S103" si="493">R103/100000</f>
        <v>715567.35888885136</v>
      </c>
      <c r="T103">
        <f t="shared" ref="T103" si="494">S103/1000</f>
        <v>715.56735888885135</v>
      </c>
    </row>
    <row r="104" spans="1:20" x14ac:dyDescent="0.25">
      <c r="A104" s="5">
        <v>44489</v>
      </c>
      <c r="B104">
        <v>5.0110000000000002E-2</v>
      </c>
      <c r="C104">
        <v>5.2299999999999999E-2</v>
      </c>
      <c r="D104">
        <v>4.9160000000000002E-2</v>
      </c>
      <c r="E104">
        <v>5.1999999999999998E-2</v>
      </c>
      <c r="F104">
        <v>304291792</v>
      </c>
      <c r="G104">
        <v>5.1999999999999998E-2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0.80891719745222801</v>
      </c>
      <c r="Q104">
        <f t="shared" ref="Q104" si="496">F104*P104</f>
        <v>246146863.59235629</v>
      </c>
      <c r="R104">
        <f t="shared" ref="R104" si="497">R105+Q104</f>
        <v>71767961208.833405</v>
      </c>
      <c r="S104">
        <f t="shared" ref="S104" si="498">R104/100000</f>
        <v>717679.61208833405</v>
      </c>
      <c r="T104">
        <f t="shared" ref="T104" si="499">S104/1000</f>
        <v>717.67961208833401</v>
      </c>
    </row>
    <row r="105" spans="1:20" x14ac:dyDescent="0.25">
      <c r="A105" s="5">
        <v>44488</v>
      </c>
      <c r="B105">
        <v>4.9979999999999997E-2</v>
      </c>
      <c r="C105">
        <v>5.0999999999999997E-2</v>
      </c>
      <c r="D105">
        <v>4.913E-2</v>
      </c>
      <c r="E105">
        <v>5.0130000000000001E-2</v>
      </c>
      <c r="F105">
        <v>214920883</v>
      </c>
      <c r="G105">
        <v>5.0130000000000001E-2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6.9518716577542966E-2</v>
      </c>
      <c r="Q105">
        <f t="shared" ref="Q105" si="501">F105*P105</f>
        <v>14941023.951872272</v>
      </c>
      <c r="R105">
        <f t="shared" ref="R105" si="502">R106+Q105</f>
        <v>71521814345.241043</v>
      </c>
      <c r="S105">
        <f t="shared" ref="S105" si="503">R105/100000</f>
        <v>715218.14345241047</v>
      </c>
      <c r="T105">
        <f t="shared" ref="T105" si="504">S105/1000</f>
        <v>715.21814345241046</v>
      </c>
    </row>
    <row r="106" spans="1:20" x14ac:dyDescent="0.25">
      <c r="A106" s="5">
        <v>44487</v>
      </c>
      <c r="B106">
        <v>5.0810000000000001E-2</v>
      </c>
      <c r="C106">
        <v>5.1380000000000002E-2</v>
      </c>
      <c r="D106">
        <v>4.8800000000000003E-2</v>
      </c>
      <c r="E106">
        <v>4.9979999999999997E-2</v>
      </c>
      <c r="F106">
        <v>290050952</v>
      </c>
      <c r="G106">
        <v>4.9979999999999997E-2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-8.5271317829461998E-2</v>
      </c>
      <c r="Q106">
        <f t="shared" ref="Q106" si="506">F106*P106</f>
        <v>-24733026.914730027</v>
      </c>
      <c r="R106">
        <f t="shared" ref="R106" si="507">R107+Q106</f>
        <v>71506873321.289169</v>
      </c>
      <c r="S106">
        <f t="shared" ref="S106" si="508">R106/100000</f>
        <v>715068.73321289173</v>
      </c>
      <c r="T106">
        <f t="shared" ref="T106" si="509">S106/1000</f>
        <v>715.06873321289174</v>
      </c>
    </row>
    <row r="107" spans="1:20" x14ac:dyDescent="0.25">
      <c r="A107" s="5">
        <v>44486</v>
      </c>
      <c r="B107">
        <v>5.2380000000000003E-2</v>
      </c>
      <c r="C107">
        <v>5.2389999999999999E-2</v>
      </c>
      <c r="D107">
        <v>4.8349999999999997E-2</v>
      </c>
      <c r="E107">
        <v>5.0819999999999997E-2</v>
      </c>
      <c r="F107">
        <v>350456658</v>
      </c>
      <c r="G107">
        <v>5.0819999999999997E-2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0.22277227722772217</v>
      </c>
      <c r="Q107">
        <f t="shared" ref="Q107" si="511">F107*P107</f>
        <v>78072027.772277012</v>
      </c>
      <c r="R107">
        <f t="shared" ref="R107" si="512">R108+Q107</f>
        <v>71531606348.203903</v>
      </c>
      <c r="S107">
        <f t="shared" ref="S107" si="513">R107/100000</f>
        <v>715316.06348203903</v>
      </c>
      <c r="T107">
        <f t="shared" ref="T107" si="514">S107/1000</f>
        <v>715.316063482039</v>
      </c>
    </row>
    <row r="108" spans="1:20" x14ac:dyDescent="0.25">
      <c r="A108" s="5">
        <v>44485</v>
      </c>
      <c r="B108">
        <v>5.2479999999999999E-2</v>
      </c>
      <c r="C108">
        <v>5.3350000000000002E-2</v>
      </c>
      <c r="D108">
        <v>5.1580000000000001E-2</v>
      </c>
      <c r="E108">
        <v>5.2339999999999998E-2</v>
      </c>
      <c r="F108">
        <v>371057305</v>
      </c>
      <c r="G108">
        <v>5.2339999999999998E-2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-0.14124293785311134</v>
      </c>
      <c r="Q108">
        <f t="shared" ref="Q108" si="516">F108*P108</f>
        <v>-52409223.870057978</v>
      </c>
      <c r="R108">
        <f t="shared" ref="R108" si="517">R109+Q108</f>
        <v>71453534320.431625</v>
      </c>
      <c r="S108">
        <f t="shared" ref="S108" si="518">R108/100000</f>
        <v>714535.34320431622</v>
      </c>
      <c r="T108">
        <f t="shared" ref="T108" si="519">S108/1000</f>
        <v>714.53534320431618</v>
      </c>
    </row>
    <row r="109" spans="1:20" x14ac:dyDescent="0.25">
      <c r="A109" s="5">
        <v>44484</v>
      </c>
      <c r="B109">
        <v>5.4870000000000002E-2</v>
      </c>
      <c r="C109">
        <v>5.4899999999999997E-2</v>
      </c>
      <c r="D109">
        <v>5.0479999999999997E-2</v>
      </c>
      <c r="E109">
        <v>5.2519999999999997E-2</v>
      </c>
      <c r="F109">
        <v>745911752</v>
      </c>
      <c r="G109">
        <v>5.2519999999999997E-2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-7.6923076923076927E-2</v>
      </c>
      <c r="Q109">
        <f t="shared" ref="Q109" si="521">F109*P109</f>
        <v>-57377827.07692308</v>
      </c>
      <c r="R109">
        <f t="shared" ref="R109" si="522">R110+Q109</f>
        <v>71505943544.301682</v>
      </c>
      <c r="S109">
        <f t="shared" ref="S109" si="523">R109/100000</f>
        <v>715059.43544301682</v>
      </c>
      <c r="T109">
        <f t="shared" ref="T109" si="524">S109/1000</f>
        <v>715.05943544301681</v>
      </c>
    </row>
    <row r="110" spans="1:20" x14ac:dyDescent="0.25">
      <c r="A110" s="5">
        <v>44483</v>
      </c>
      <c r="B110">
        <v>5.5070000000000001E-2</v>
      </c>
      <c r="C110">
        <v>5.5259999999999997E-2</v>
      </c>
      <c r="D110">
        <v>5.389E-2</v>
      </c>
      <c r="E110">
        <v>5.4879999999999998E-2</v>
      </c>
      <c r="F110">
        <v>395341201</v>
      </c>
      <c r="G110">
        <v>5.4879999999999998E-2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0.44525547445255553</v>
      </c>
      <c r="Q110">
        <f t="shared" ref="Q110" si="526">F110*P110</f>
        <v>176027834.02189812</v>
      </c>
      <c r="R110">
        <f t="shared" ref="R110" si="527">R111+Q110</f>
        <v>71563321371.378601</v>
      </c>
      <c r="S110">
        <f t="shared" ref="S110" si="528">R110/100000</f>
        <v>715633.21371378598</v>
      </c>
      <c r="T110">
        <f t="shared" ref="T110" si="529">S110/1000</f>
        <v>715.63321371378595</v>
      </c>
    </row>
    <row r="111" spans="1:20" x14ac:dyDescent="0.25">
      <c r="A111" s="5">
        <v>44482</v>
      </c>
      <c r="B111">
        <v>5.423E-2</v>
      </c>
      <c r="C111">
        <v>5.509E-2</v>
      </c>
      <c r="D111">
        <v>5.21E-2</v>
      </c>
      <c r="E111">
        <v>5.5050000000000002E-2</v>
      </c>
      <c r="F111">
        <v>399717087</v>
      </c>
      <c r="G111">
        <v>5.5050000000000002E-2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0.97324414715719176</v>
      </c>
      <c r="Q111">
        <f t="shared" ref="Q111" si="531">F111*P111</f>
        <v>389022315.44147199</v>
      </c>
      <c r="R111">
        <f t="shared" ref="R111" si="532">R112+Q111</f>
        <v>71387293537.356705</v>
      </c>
      <c r="S111">
        <f t="shared" ref="S111" si="533">R111/100000</f>
        <v>713872.93537356704</v>
      </c>
      <c r="T111">
        <f t="shared" ref="T111" si="534">S111/1000</f>
        <v>713.87293537356709</v>
      </c>
    </row>
    <row r="112" spans="1:20" x14ac:dyDescent="0.25">
      <c r="A112" s="5">
        <v>44481</v>
      </c>
      <c r="B112">
        <v>5.4039999999999998E-2</v>
      </c>
      <c r="C112">
        <v>5.4330000000000003E-2</v>
      </c>
      <c r="D112">
        <v>5.006E-2</v>
      </c>
      <c r="E112">
        <v>5.4239999999999997E-2</v>
      </c>
      <c r="F112">
        <v>671066646</v>
      </c>
      <c r="G112">
        <v>5.4239999999999997E-2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0.95784543325526617</v>
      </c>
      <c r="Q112">
        <f t="shared" ref="Q112" si="536">F112*P112</f>
        <v>642778122.28102827</v>
      </c>
      <c r="R112">
        <f t="shared" ref="R112" si="537">R113+Q112</f>
        <v>70998271221.915237</v>
      </c>
      <c r="S112">
        <f t="shared" ref="S112" si="538">R112/100000</f>
        <v>709982.71221915237</v>
      </c>
      <c r="T112">
        <f t="shared" ref="T112" si="539">S112/1000</f>
        <v>709.9827122191524</v>
      </c>
    </row>
    <row r="113" spans="1:20" x14ac:dyDescent="0.25">
      <c r="A113" s="5">
        <v>44480</v>
      </c>
      <c r="B113">
        <v>5.4239999999999997E-2</v>
      </c>
      <c r="C113">
        <v>5.5719999999999999E-2</v>
      </c>
      <c r="D113">
        <v>5.2310000000000002E-2</v>
      </c>
      <c r="E113">
        <v>5.4089999999999999E-2</v>
      </c>
      <c r="F113">
        <v>455836076</v>
      </c>
      <c r="G113">
        <v>5.4089999999999999E-2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4.3988269794720682E-2</v>
      </c>
      <c r="Q113">
        <f t="shared" ref="Q113" si="541">F113*P113</f>
        <v>20051440.2932548</v>
      </c>
      <c r="R113">
        <f t="shared" ref="R113" si="542">R114+Q113</f>
        <v>70355493099.634216</v>
      </c>
      <c r="S113">
        <f t="shared" ref="S113" si="543">R113/100000</f>
        <v>703554.93099634221</v>
      </c>
      <c r="T113">
        <f t="shared" ref="T113" si="544">S113/1000</f>
        <v>703.55493099634225</v>
      </c>
    </row>
    <row r="114" spans="1:20" x14ac:dyDescent="0.25">
      <c r="A114" s="5">
        <v>44479</v>
      </c>
      <c r="B114">
        <v>5.9679999999999997E-2</v>
      </c>
      <c r="C114">
        <v>5.9729999999999998E-2</v>
      </c>
      <c r="D114">
        <v>5.3330000000000002E-2</v>
      </c>
      <c r="E114">
        <v>5.423E-2</v>
      </c>
      <c r="F114">
        <v>578944656</v>
      </c>
      <c r="G114">
        <v>5.423E-2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-0.71875000000000044</v>
      </c>
      <c r="Q114">
        <f t="shared" ref="Q114" si="546">F114*P114</f>
        <v>-416116471.50000024</v>
      </c>
      <c r="R114">
        <f t="shared" ref="R114" si="547">R115+Q114</f>
        <v>70335441659.340958</v>
      </c>
      <c r="S114">
        <f t="shared" ref="S114" si="548">R114/100000</f>
        <v>703354.41659340961</v>
      </c>
      <c r="T114">
        <f t="shared" ref="T114" si="549">S114/1000</f>
        <v>703.35441659340961</v>
      </c>
    </row>
    <row r="115" spans="1:20" x14ac:dyDescent="0.25">
      <c r="A115" s="5">
        <v>44478</v>
      </c>
      <c r="B115">
        <v>5.654E-2</v>
      </c>
      <c r="C115">
        <v>6.343E-2</v>
      </c>
      <c r="D115">
        <v>5.5579999999999997E-2</v>
      </c>
      <c r="E115">
        <v>5.9659999999999998E-2</v>
      </c>
      <c r="F115">
        <v>1449090812</v>
      </c>
      <c r="G115">
        <v>5.9659999999999998E-2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3.9490445859872311E-2</v>
      </c>
      <c r="Q115">
        <f t="shared" ref="Q115" si="551">F115*P115</f>
        <v>57225242.257324405</v>
      </c>
      <c r="R115">
        <f t="shared" ref="R115" si="552">R116+Q115</f>
        <v>70751558130.840958</v>
      </c>
      <c r="S115">
        <f t="shared" ref="S115" si="553">R115/100000</f>
        <v>707515.58130840957</v>
      </c>
      <c r="T115">
        <f t="shared" ref="T115" si="554">S115/1000</f>
        <v>707.51558130840954</v>
      </c>
    </row>
    <row r="116" spans="1:20" x14ac:dyDescent="0.25">
      <c r="A116" s="5">
        <v>44477</v>
      </c>
      <c r="B116">
        <v>5.432E-2</v>
      </c>
      <c r="C116">
        <v>5.833E-2</v>
      </c>
      <c r="D116">
        <v>5.3900000000000003E-2</v>
      </c>
      <c r="E116">
        <v>5.6529999999999997E-2</v>
      </c>
      <c r="F116">
        <v>969875635</v>
      </c>
      <c r="G116">
        <v>5.6529999999999997E-2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0.18735891647855329</v>
      </c>
      <c r="Q116">
        <f t="shared" ref="Q116" si="556">F116*P116</f>
        <v>181714848.09254885</v>
      </c>
      <c r="R116">
        <f t="shared" ref="R116" si="557">R117+Q116</f>
        <v>70694332888.583633</v>
      </c>
      <c r="S116">
        <f t="shared" ref="S116" si="558">R116/100000</f>
        <v>706943.32888583629</v>
      </c>
      <c r="T116">
        <f t="shared" ref="T116" si="559">S116/1000</f>
        <v>706.94332888583631</v>
      </c>
    </row>
    <row r="117" spans="1:20" x14ac:dyDescent="0.25">
      <c r="A117" s="5">
        <v>44476</v>
      </c>
      <c r="B117">
        <v>5.4949999999999999E-2</v>
      </c>
      <c r="C117">
        <v>5.5E-2</v>
      </c>
      <c r="D117">
        <v>5.2810000000000003E-2</v>
      </c>
      <c r="E117">
        <v>5.4309999999999997E-2</v>
      </c>
      <c r="F117">
        <v>513028605</v>
      </c>
      <c r="G117">
        <v>5.4309999999999997E-2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0.36986301369862656</v>
      </c>
      <c r="Q117">
        <f t="shared" ref="Q117" si="561">F117*P117</f>
        <v>189750305.95890227</v>
      </c>
      <c r="R117">
        <f t="shared" ref="R117" si="562">R118+Q117</f>
        <v>70512618040.491089</v>
      </c>
      <c r="S117">
        <f t="shared" ref="S117" si="563">R117/100000</f>
        <v>705126.18040491093</v>
      </c>
      <c r="T117">
        <f t="shared" ref="T117" si="564">S117/1000</f>
        <v>705.12618040491088</v>
      </c>
    </row>
    <row r="118" spans="1:20" x14ac:dyDescent="0.25">
      <c r="A118" s="5">
        <v>44475</v>
      </c>
      <c r="B118">
        <v>5.6059999999999999E-2</v>
      </c>
      <c r="C118">
        <v>5.6210000000000003E-2</v>
      </c>
      <c r="D118">
        <v>5.1459999999999999E-2</v>
      </c>
      <c r="E118">
        <v>5.4940000000000003E-2</v>
      </c>
      <c r="F118">
        <v>792025151</v>
      </c>
      <c r="G118">
        <v>5.4940000000000003E-2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0.46526315789473721</v>
      </c>
      <c r="Q118">
        <f t="shared" ref="Q118" si="566">F118*P118</f>
        <v>368500122.88631606</v>
      </c>
      <c r="R118">
        <f t="shared" ref="R118" si="567">R119+Q118</f>
        <v>70322867734.532181</v>
      </c>
      <c r="S118">
        <f t="shared" ref="S118" si="568">R118/100000</f>
        <v>703228.67734532186</v>
      </c>
      <c r="T118">
        <f t="shared" ref="T118" si="569">S118/1000</f>
        <v>703.2286773453219</v>
      </c>
    </row>
    <row r="119" spans="1:20" x14ac:dyDescent="0.25">
      <c r="A119" s="5">
        <v>44474</v>
      </c>
      <c r="B119">
        <v>5.348E-2</v>
      </c>
      <c r="C119">
        <v>5.7939999999999998E-2</v>
      </c>
      <c r="D119">
        <v>5.28E-2</v>
      </c>
      <c r="E119">
        <v>5.6059999999999999E-2</v>
      </c>
      <c r="F119">
        <v>880028218</v>
      </c>
      <c r="G119">
        <v>5.6059999999999999E-2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0.26848249027237348</v>
      </c>
      <c r="Q119">
        <f t="shared" ref="Q119" si="571">F119*P119</f>
        <v>236272167.47859916</v>
      </c>
      <c r="R119">
        <f t="shared" ref="R119" si="572">R120+Q119</f>
        <v>69954367611.645859</v>
      </c>
      <c r="S119">
        <f t="shared" ref="S119" si="573">R119/100000</f>
        <v>699543.67611645861</v>
      </c>
      <c r="T119">
        <f t="shared" ref="T119" si="574">S119/1000</f>
        <v>699.54367611645864</v>
      </c>
    </row>
    <row r="120" spans="1:20" x14ac:dyDescent="0.25">
      <c r="A120" s="5">
        <v>44473</v>
      </c>
      <c r="B120">
        <v>5.5399999999999998E-2</v>
      </c>
      <c r="C120">
        <v>5.5449999999999999E-2</v>
      </c>
      <c r="D120">
        <v>5.1499999999999997E-2</v>
      </c>
      <c r="E120">
        <v>5.3460000000000001E-2</v>
      </c>
      <c r="F120">
        <v>752513301</v>
      </c>
      <c r="G120">
        <v>5.3460000000000001E-2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-7.5949367088595674E-3</v>
      </c>
      <c r="Q120">
        <f t="shared" ref="Q120" si="576">F120*P120</f>
        <v>-5715290.893669989</v>
      </c>
      <c r="R120">
        <f t="shared" ref="R120" si="577">R121+Q120</f>
        <v>69718095444.167267</v>
      </c>
      <c r="S120">
        <f t="shared" ref="S120" si="578">R120/100000</f>
        <v>697180.95444167266</v>
      </c>
      <c r="T120">
        <f t="shared" ref="T120" si="579">S120/1000</f>
        <v>697.18095444167261</v>
      </c>
    </row>
    <row r="121" spans="1:20" x14ac:dyDescent="0.25">
      <c r="A121" s="5">
        <v>44472</v>
      </c>
      <c r="B121">
        <v>5.6050000000000003E-2</v>
      </c>
      <c r="C121">
        <v>5.6489999999999999E-2</v>
      </c>
      <c r="D121">
        <v>5.4149999999999997E-2</v>
      </c>
      <c r="E121">
        <v>5.5070000000000001E-2</v>
      </c>
      <c r="F121">
        <v>588830791</v>
      </c>
      <c r="G121">
        <v>5.5070000000000001E-2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-0.21367521367521072</v>
      </c>
      <c r="Q121">
        <f t="shared" ref="Q121" si="581">F121*P121</f>
        <v>-125818545.08546835</v>
      </c>
      <c r="R121">
        <f t="shared" ref="R121" si="582">R122+Q121</f>
        <v>69723810735.060944</v>
      </c>
      <c r="S121">
        <f t="shared" ref="S121" si="583">R121/100000</f>
        <v>697238.10735060938</v>
      </c>
      <c r="T121">
        <f t="shared" ref="T121" si="584">S121/1000</f>
        <v>697.23810735060943</v>
      </c>
    </row>
    <row r="122" spans="1:20" x14ac:dyDescent="0.25">
      <c r="A122" s="5">
        <v>44471</v>
      </c>
      <c r="B122">
        <v>5.7729999999999997E-2</v>
      </c>
      <c r="C122">
        <v>5.8250000000000003E-2</v>
      </c>
      <c r="D122">
        <v>5.5300000000000002E-2</v>
      </c>
      <c r="E122">
        <v>5.6079999999999998E-2</v>
      </c>
      <c r="F122">
        <v>639674588</v>
      </c>
      <c r="G122">
        <v>5.6079999999999998E-2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-0.47118644067796905</v>
      </c>
      <c r="Q122">
        <f t="shared" ref="Q122" si="586">F122*P122</f>
        <v>-301405992.31186628</v>
      </c>
      <c r="R122">
        <f t="shared" ref="R122" si="587">R123+Q122</f>
        <v>69849629280.146408</v>
      </c>
      <c r="S122">
        <f t="shared" ref="S122" si="588">R122/100000</f>
        <v>698496.29280146409</v>
      </c>
      <c r="T122">
        <f t="shared" ref="T122" si="589">S122/1000</f>
        <v>698.49629280146405</v>
      </c>
    </row>
    <row r="123" spans="1:20" x14ac:dyDescent="0.25">
      <c r="A123" s="5">
        <v>44470</v>
      </c>
      <c r="B123">
        <v>5.4620000000000002E-2</v>
      </c>
      <c r="C123">
        <v>5.8169999999999999E-2</v>
      </c>
      <c r="D123">
        <v>5.2729999999999999E-2</v>
      </c>
      <c r="E123">
        <v>5.7729999999999997E-2</v>
      </c>
      <c r="F123">
        <v>773193229</v>
      </c>
      <c r="G123">
        <v>5.7729999999999997E-2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0.83823529411764597</v>
      </c>
      <c r="Q123">
        <f t="shared" ref="Q123" si="591">F123*P123</f>
        <v>648117853.72058737</v>
      </c>
      <c r="R123">
        <f t="shared" ref="R123" si="592">R124+Q123</f>
        <v>70151035272.458267</v>
      </c>
      <c r="S123">
        <f t="shared" ref="S123" si="593">R123/100000</f>
        <v>701510.35272458266</v>
      </c>
      <c r="T123">
        <f t="shared" ref="T123" si="594">S123/1000</f>
        <v>701.51035272458262</v>
      </c>
    </row>
    <row r="124" spans="1:20" x14ac:dyDescent="0.25">
      <c r="A124" s="5">
        <v>44469</v>
      </c>
      <c r="B124">
        <v>5.3440000000000001E-2</v>
      </c>
      <c r="C124">
        <v>5.7000000000000002E-2</v>
      </c>
      <c r="D124">
        <v>5.1270000000000003E-2</v>
      </c>
      <c r="E124">
        <v>5.4649999999999997E-2</v>
      </c>
      <c r="F124">
        <v>1094173677</v>
      </c>
      <c r="G124">
        <v>5.4649999999999997E-2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0.17975567190226691</v>
      </c>
      <c r="Q124">
        <f t="shared" ref="Q124" si="596">F124*P124</f>
        <v>196683924.48690897</v>
      </c>
      <c r="R124">
        <f t="shared" ref="R124" si="597">R125+Q124</f>
        <v>69502917418.737686</v>
      </c>
      <c r="S124">
        <f t="shared" ref="S124" si="598">R124/100000</f>
        <v>695029.17418737686</v>
      </c>
      <c r="T124">
        <f t="shared" ref="T124" si="599">S124/1000</f>
        <v>695.02917418737684</v>
      </c>
    </row>
    <row r="125" spans="1:20" x14ac:dyDescent="0.25">
      <c r="A125" s="5">
        <v>44468</v>
      </c>
      <c r="B125">
        <v>5.2490000000000002E-2</v>
      </c>
      <c r="C125">
        <v>5.6099999999999997E-2</v>
      </c>
      <c r="D125">
        <v>5.1049999999999998E-2</v>
      </c>
      <c r="E125">
        <v>5.3469999999999997E-2</v>
      </c>
      <c r="F125">
        <v>611459114</v>
      </c>
      <c r="G125">
        <v>5.3469999999999997E-2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-4.1584158415841961E-2</v>
      </c>
      <c r="Q125">
        <f t="shared" ref="Q125" si="601">F125*P125</f>
        <v>-25427012.661386371</v>
      </c>
      <c r="R125">
        <f t="shared" ref="R125" si="602">R126+Q125</f>
        <v>69306233494.250778</v>
      </c>
      <c r="S125">
        <f t="shared" ref="S125" si="603">R125/100000</f>
        <v>693062.33494250779</v>
      </c>
      <c r="T125">
        <f t="shared" ref="T125" si="604">S125/1000</f>
        <v>693.06233494250785</v>
      </c>
    </row>
    <row r="126" spans="1:20" x14ac:dyDescent="0.25">
      <c r="A126" s="5">
        <v>44467</v>
      </c>
      <c r="B126">
        <v>5.6189999999999997E-2</v>
      </c>
      <c r="C126">
        <v>5.8200000000000002E-2</v>
      </c>
      <c r="D126">
        <v>5.2010000000000001E-2</v>
      </c>
      <c r="E126">
        <v>5.246E-2</v>
      </c>
      <c r="F126">
        <v>573532616</v>
      </c>
      <c r="G126">
        <v>5.246E-2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-0.85460420032310214</v>
      </c>
      <c r="Q126">
        <f t="shared" ref="Q126" si="606">F126*P126</f>
        <v>-490143382.65589684</v>
      </c>
      <c r="R126">
        <f t="shared" ref="R126" si="607">R127+Q126</f>
        <v>69331660506.91217</v>
      </c>
      <c r="S126">
        <f t="shared" ref="S126" si="608">R126/100000</f>
        <v>693316.6050691217</v>
      </c>
      <c r="T126">
        <f t="shared" ref="T126" si="609">S126/1000</f>
        <v>693.31660506912169</v>
      </c>
    </row>
    <row r="127" spans="1:20" x14ac:dyDescent="0.25">
      <c r="A127" s="5">
        <v>44466</v>
      </c>
      <c r="B127">
        <v>5.8569999999999997E-2</v>
      </c>
      <c r="C127">
        <v>6.0179999999999997E-2</v>
      </c>
      <c r="D127">
        <v>5.5809999999999998E-2</v>
      </c>
      <c r="E127">
        <v>5.6210000000000003E-2</v>
      </c>
      <c r="F127">
        <v>486835013</v>
      </c>
      <c r="G127">
        <v>5.6210000000000003E-2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-0.81693363844393385</v>
      </c>
      <c r="Q127">
        <f t="shared" ref="Q127" si="611">F127*P127</f>
        <v>-397711898.49198985</v>
      </c>
      <c r="R127">
        <f t="shared" ref="R127" si="612">R128+Q127</f>
        <v>69821803889.568069</v>
      </c>
      <c r="S127">
        <f t="shared" ref="S127" si="613">R127/100000</f>
        <v>698218.03889568069</v>
      </c>
      <c r="T127">
        <f t="shared" ref="T127" si="614">S127/1000</f>
        <v>698.21803889568071</v>
      </c>
    </row>
    <row r="128" spans="1:20" x14ac:dyDescent="0.25">
      <c r="A128" s="5">
        <v>44465</v>
      </c>
      <c r="B128">
        <v>5.9139999999999998E-2</v>
      </c>
      <c r="C128">
        <v>6.071E-2</v>
      </c>
      <c r="D128">
        <v>5.3679999999999999E-2</v>
      </c>
      <c r="E128">
        <v>5.8619999999999998E-2</v>
      </c>
      <c r="F128">
        <v>576626032</v>
      </c>
      <c r="G128">
        <v>5.8619999999999998E-2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0.40540540540540509</v>
      </c>
      <c r="Q128">
        <f t="shared" ref="Q128" si="616">F128*P128</f>
        <v>233767310.27027008</v>
      </c>
      <c r="R128">
        <f t="shared" ref="R128" si="617">R129+Q128</f>
        <v>70219515788.060059</v>
      </c>
      <c r="S128">
        <f t="shared" ref="S128" si="618">R128/100000</f>
        <v>702195.15788060054</v>
      </c>
      <c r="T128">
        <f t="shared" ref="T128" si="619">S128/1000</f>
        <v>702.1951578806005</v>
      </c>
    </row>
    <row r="129" spans="1:20" x14ac:dyDescent="0.25">
      <c r="A129" s="5">
        <v>44464</v>
      </c>
      <c r="B129">
        <v>6.0650000000000003E-2</v>
      </c>
      <c r="C129">
        <v>6.2050000000000001E-2</v>
      </c>
      <c r="D129">
        <v>5.6710000000000003E-2</v>
      </c>
      <c r="E129">
        <v>5.9150000000000001E-2</v>
      </c>
      <c r="F129">
        <v>504639596</v>
      </c>
      <c r="G129">
        <v>5.9150000000000001E-2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-8.614232209737871E-2</v>
      </c>
      <c r="Q129">
        <f t="shared" ref="Q129" si="621">F129*P129</f>
        <v>-43470826.621723063</v>
      </c>
      <c r="R129">
        <f t="shared" ref="R129" si="622">R130+Q129</f>
        <v>69985748477.789795</v>
      </c>
      <c r="S129">
        <f t="shared" ref="S129" si="623">R129/100000</f>
        <v>699857.48477789795</v>
      </c>
      <c r="T129">
        <f t="shared" ref="T129" si="624">S129/1000</f>
        <v>699.85748477789798</v>
      </c>
    </row>
    <row r="130" spans="1:20" x14ac:dyDescent="0.25">
      <c r="A130" s="5">
        <v>44463</v>
      </c>
      <c r="B130">
        <v>6.6239999999999993E-2</v>
      </c>
      <c r="C130">
        <v>6.7500000000000004E-2</v>
      </c>
      <c r="D130">
        <v>5.5289999999999999E-2</v>
      </c>
      <c r="E130">
        <v>6.0650000000000003E-2</v>
      </c>
      <c r="F130">
        <v>1236614716</v>
      </c>
      <c r="G130">
        <v>6.0650000000000003E-2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-0.12203112203112183</v>
      </c>
      <c r="Q130">
        <f t="shared" ref="Q130" si="626">F130*P130</f>
        <v>-150905481.31367707</v>
      </c>
      <c r="R130">
        <f t="shared" ref="R130" si="627">R131+Q130</f>
        <v>70029219304.411514</v>
      </c>
      <c r="S130">
        <f t="shared" ref="S130" si="628">R130/100000</f>
        <v>700292.19304411509</v>
      </c>
      <c r="T130">
        <f t="shared" ref="T130" si="629">S130/1000</f>
        <v>700.29219304411504</v>
      </c>
    </row>
    <row r="131" spans="1:20" x14ac:dyDescent="0.25">
      <c r="A131" s="5">
        <v>44462</v>
      </c>
      <c r="B131">
        <v>6.5629999999999994E-2</v>
      </c>
      <c r="C131">
        <v>6.7169999999999994E-2</v>
      </c>
      <c r="D131">
        <v>6.1159999999999999E-2</v>
      </c>
      <c r="E131">
        <v>6.6239999999999993E-2</v>
      </c>
      <c r="F131">
        <v>1080192057</v>
      </c>
      <c r="G131">
        <v>6.6239999999999993E-2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0.69051580698835235</v>
      </c>
      <c r="Q131">
        <f t="shared" ref="Q131" si="631">F131*P131</f>
        <v>745889689.94176328</v>
      </c>
      <c r="R131">
        <f t="shared" ref="R131" si="632">R132+Q131</f>
        <v>70180124785.725189</v>
      </c>
      <c r="S131">
        <f t="shared" ref="S131" si="633">R131/100000</f>
        <v>701801.2478572519</v>
      </c>
      <c r="T131">
        <f t="shared" ref="T131" si="634">S131/1000</f>
        <v>701.80124785725195</v>
      </c>
    </row>
    <row r="132" spans="1:20" x14ac:dyDescent="0.25">
      <c r="A132" s="5">
        <v>44461</v>
      </c>
      <c r="B132">
        <v>5.2229999999999999E-2</v>
      </c>
      <c r="C132">
        <v>6.6339999999999996E-2</v>
      </c>
      <c r="D132">
        <v>5.033E-2</v>
      </c>
      <c r="E132">
        <v>6.5600000000000006E-2</v>
      </c>
      <c r="F132">
        <v>1097558515</v>
      </c>
      <c r="G132">
        <v>6.5600000000000006E-2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0.90755777638975754</v>
      </c>
      <c r="Q132">
        <f t="shared" ref="Q132" si="636">F132*P132</f>
        <v>996097765.33104432</v>
      </c>
      <c r="R132">
        <f t="shared" ref="R132" si="637">R133+Q132</f>
        <v>69434235095.783432</v>
      </c>
      <c r="S132">
        <f t="shared" ref="S132" si="638">R132/100000</f>
        <v>694342.35095783428</v>
      </c>
      <c r="T132">
        <f t="shared" ref="T132" si="639">S132/1000</f>
        <v>694.34235095783424</v>
      </c>
    </row>
    <row r="133" spans="1:20" x14ac:dyDescent="0.25">
      <c r="A133" s="5">
        <v>44460</v>
      </c>
      <c r="B133">
        <v>5.5879999999999999E-2</v>
      </c>
      <c r="C133">
        <v>6.055E-2</v>
      </c>
      <c r="D133">
        <v>5.0720000000000001E-2</v>
      </c>
      <c r="E133">
        <v>5.2240000000000002E-2</v>
      </c>
      <c r="F133">
        <v>1196891723</v>
      </c>
      <c r="G133">
        <v>5.2240000000000002E-2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-0.69074262461851454</v>
      </c>
      <c r="Q133">
        <f t="shared" ref="Q133" si="641">F133*P133</f>
        <v>-826744130.12919605</v>
      </c>
      <c r="R133">
        <f t="shared" ref="R133" si="642">R134+Q133</f>
        <v>68438137330.452393</v>
      </c>
      <c r="S133">
        <f t="shared" ref="S133" si="643">R133/100000</f>
        <v>684381.37330452388</v>
      </c>
      <c r="T133">
        <f t="shared" ref="T133" si="644">S133/1000</f>
        <v>684.38137330452389</v>
      </c>
    </row>
    <row r="134" spans="1:20" x14ac:dyDescent="0.25">
      <c r="A134" s="5">
        <v>44459</v>
      </c>
      <c r="B134">
        <v>6.6739999999999994E-2</v>
      </c>
      <c r="C134">
        <v>6.6809999999999994E-2</v>
      </c>
      <c r="D134">
        <v>5.8400000000000001E-2</v>
      </c>
      <c r="E134">
        <v>5.9700000000000003E-2</v>
      </c>
      <c r="F134">
        <v>557984516</v>
      </c>
      <c r="G134">
        <v>5.9700000000000003E-2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-0.69084423305588505</v>
      </c>
      <c r="Q134">
        <f t="shared" ref="Q134" si="646">F134*P134</f>
        <v>-385480385.01307923</v>
      </c>
      <c r="R134">
        <f t="shared" ref="R134" si="647">R135+Q134</f>
        <v>69264881460.581589</v>
      </c>
      <c r="S134">
        <f t="shared" ref="S134" si="648">R134/100000</f>
        <v>692648.81460581592</v>
      </c>
      <c r="T134">
        <f t="shared" ref="T134" si="649">S134/1000</f>
        <v>692.64881460581591</v>
      </c>
    </row>
    <row r="135" spans="1:20" x14ac:dyDescent="0.25">
      <c r="A135" s="5">
        <v>44458</v>
      </c>
      <c r="B135">
        <v>6.991E-2</v>
      </c>
      <c r="C135">
        <v>7.0230000000000001E-2</v>
      </c>
      <c r="D135">
        <v>6.5409999999999996E-2</v>
      </c>
      <c r="E135">
        <v>6.6699999999999995E-2</v>
      </c>
      <c r="F135">
        <v>377258563</v>
      </c>
      <c r="G135">
        <v>6.6699999999999995E-2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-0.46473029045643227</v>
      </c>
      <c r="Q135">
        <f t="shared" ref="Q135" si="651">F135*P135</f>
        <v>-175323481.56016624</v>
      </c>
      <c r="R135">
        <f t="shared" ref="R135" si="652">R136+Q135</f>
        <v>69650361845.594666</v>
      </c>
      <c r="S135">
        <f t="shared" ref="S135" si="653">R135/100000</f>
        <v>696503.61845594668</v>
      </c>
      <c r="T135">
        <f t="shared" ref="T135" si="654">S135/1000</f>
        <v>696.50361845594671</v>
      </c>
    </row>
    <row r="136" spans="1:20" x14ac:dyDescent="0.25">
      <c r="A136" s="5">
        <v>44457</v>
      </c>
      <c r="B136">
        <v>6.8989999999999996E-2</v>
      </c>
      <c r="C136">
        <v>7.1790000000000007E-2</v>
      </c>
      <c r="D136">
        <v>6.8049999999999999E-2</v>
      </c>
      <c r="E136">
        <v>6.9860000000000005E-2</v>
      </c>
      <c r="F136">
        <v>425848014</v>
      </c>
      <c r="G136">
        <v>6.9860000000000005E-2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-3.2085561497324833E-2</v>
      </c>
      <c r="Q136">
        <f t="shared" ref="Q136" si="656">F136*P136</f>
        <v>-13663572.641710646</v>
      </c>
      <c r="R136">
        <f t="shared" ref="R136" si="657">R137+Q136</f>
        <v>69825685327.154831</v>
      </c>
      <c r="S136">
        <f t="shared" ref="S136" si="658">R136/100000</f>
        <v>698256.85327154829</v>
      </c>
      <c r="T136">
        <f t="shared" ref="T136" si="659">S136/1000</f>
        <v>698.25685327154827</v>
      </c>
    </row>
    <row r="137" spans="1:20" x14ac:dyDescent="0.25">
      <c r="A137" s="5">
        <v>44456</v>
      </c>
      <c r="B137">
        <v>7.3010000000000005E-2</v>
      </c>
      <c r="C137">
        <v>7.3090000000000002E-2</v>
      </c>
      <c r="D137">
        <v>6.7409999999999998E-2</v>
      </c>
      <c r="E137">
        <v>6.8930000000000005E-2</v>
      </c>
      <c r="F137">
        <v>642320506</v>
      </c>
      <c r="G137">
        <v>6.8930000000000005E-2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-0.46478873239436397</v>
      </c>
      <c r="Q137">
        <f t="shared" ref="Q137" si="661">F137*P137</f>
        <v>-298543333.77464646</v>
      </c>
      <c r="R137">
        <f t="shared" ref="R137" si="662">R138+Q137</f>
        <v>69839348899.796539</v>
      </c>
      <c r="S137">
        <f t="shared" ref="S137" si="663">R137/100000</f>
        <v>698393.48899796535</v>
      </c>
      <c r="T137">
        <f t="shared" ref="T137" si="664">S137/1000</f>
        <v>698.39348899796539</v>
      </c>
    </row>
    <row r="138" spans="1:20" x14ac:dyDescent="0.25">
      <c r="A138" s="5">
        <v>44455</v>
      </c>
      <c r="B138">
        <v>7.9479999999999995E-2</v>
      </c>
      <c r="C138">
        <v>0.08</v>
      </c>
      <c r="D138">
        <v>7.1739999999999998E-2</v>
      </c>
      <c r="E138">
        <v>7.3010000000000005E-2</v>
      </c>
      <c r="F138">
        <v>826163673</v>
      </c>
      <c r="G138">
        <v>7.3010000000000005E-2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-0.69249394673123321</v>
      </c>
      <c r="Q138">
        <f t="shared" ref="Q138" si="666">F138*P138</f>
        <v>-572113342.56174195</v>
      </c>
      <c r="R138">
        <f t="shared" ref="R138" si="667">R139+Q138</f>
        <v>70137892233.571182</v>
      </c>
      <c r="S138">
        <f t="shared" ref="S138" si="668">R138/100000</f>
        <v>701378.92233571177</v>
      </c>
      <c r="T138">
        <f t="shared" ref="T138" si="669">S138/1000</f>
        <v>701.37892233571176</v>
      </c>
    </row>
    <row r="139" spans="1:20" x14ac:dyDescent="0.25">
      <c r="A139" s="5">
        <v>44454</v>
      </c>
      <c r="B139">
        <v>7.4160000000000004E-2</v>
      </c>
      <c r="C139">
        <v>8.1000000000000003E-2</v>
      </c>
      <c r="D139">
        <v>7.3279999999999998E-2</v>
      </c>
      <c r="E139">
        <v>7.9500000000000001E-2</v>
      </c>
      <c r="F139">
        <v>1374283639</v>
      </c>
      <c r="G139">
        <v>7.9500000000000001E-2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0.61139896373056979</v>
      </c>
      <c r="Q139">
        <f t="shared" ref="Q139" si="671">F139*P139</f>
        <v>840235592.75647652</v>
      </c>
      <c r="R139">
        <f t="shared" ref="R139" si="672">R140+Q139</f>
        <v>70710005576.132919</v>
      </c>
      <c r="S139">
        <f t="shared" ref="S139" si="673">R139/100000</f>
        <v>707100.05576132925</v>
      </c>
      <c r="T139">
        <f t="shared" ref="T139" si="674">S139/1000</f>
        <v>707.10005576132926</v>
      </c>
    </row>
    <row r="140" spans="1:20" x14ac:dyDescent="0.25">
      <c r="A140" s="5">
        <v>44453</v>
      </c>
      <c r="B140">
        <v>6.6640000000000005E-2</v>
      </c>
      <c r="C140">
        <v>7.4950000000000003E-2</v>
      </c>
      <c r="D140">
        <v>6.5229999999999996E-2</v>
      </c>
      <c r="E140">
        <v>7.417E-2</v>
      </c>
      <c r="F140">
        <v>1226711766</v>
      </c>
      <c r="G140">
        <v>7.417E-2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0.83950617283950568</v>
      </c>
      <c r="Q140">
        <f t="shared" ref="Q140" si="676">F140*P140</f>
        <v>1029832099.8518512</v>
      </c>
      <c r="R140">
        <f t="shared" ref="R140" si="677">R141+Q140</f>
        <v>69869769983.37645</v>
      </c>
      <c r="S140">
        <f t="shared" ref="S140" si="678">R140/100000</f>
        <v>698697.69983376446</v>
      </c>
      <c r="T140">
        <f t="shared" ref="T140" si="679">S140/1000</f>
        <v>698.69769983376443</v>
      </c>
    </row>
    <row r="141" spans="1:20" x14ac:dyDescent="0.25">
      <c r="A141" s="5">
        <v>44452</v>
      </c>
      <c r="B141">
        <v>7.2929999999999995E-2</v>
      </c>
      <c r="C141">
        <v>7.5480000000000005E-2</v>
      </c>
      <c r="D141">
        <v>6.198E-2</v>
      </c>
      <c r="E141">
        <v>6.6619999999999999E-2</v>
      </c>
      <c r="F141">
        <v>1213637246</v>
      </c>
      <c r="G141">
        <v>6.6619999999999999E-2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-0.31259259259259309</v>
      </c>
      <c r="Q141">
        <f t="shared" ref="Q141" si="681">F141*P141</f>
        <v>-379374013.19407469</v>
      </c>
      <c r="R141">
        <f t="shared" ref="R141" si="682">R142+Q141</f>
        <v>68839937883.524597</v>
      </c>
      <c r="S141">
        <f t="shared" ref="S141" si="683">R141/100000</f>
        <v>688399.37883524597</v>
      </c>
      <c r="T141">
        <f t="shared" ref="T141" si="684">S141/1000</f>
        <v>688.39937883524601</v>
      </c>
    </row>
    <row r="142" spans="1:20" x14ac:dyDescent="0.25">
      <c r="A142" s="5">
        <v>44451</v>
      </c>
      <c r="B142">
        <v>7.2779999999999997E-2</v>
      </c>
      <c r="C142">
        <v>7.4810000000000001E-2</v>
      </c>
      <c r="D142">
        <v>6.7900000000000002E-2</v>
      </c>
      <c r="E142">
        <v>7.2940000000000005E-2</v>
      </c>
      <c r="F142">
        <v>1033960525</v>
      </c>
      <c r="G142">
        <v>7.2940000000000005E-2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0.45875542691751175</v>
      </c>
      <c r="Q142">
        <f t="shared" ref="Q142" si="686">F142*P142</f>
        <v>474335002.06222957</v>
      </c>
      <c r="R142">
        <f t="shared" ref="R142" si="687">R143+Q142</f>
        <v>69219311896.718674</v>
      </c>
      <c r="S142">
        <f t="shared" ref="S142" si="688">R142/100000</f>
        <v>692193.11896718678</v>
      </c>
      <c r="T142">
        <f t="shared" ref="T142" si="689">S142/1000</f>
        <v>692.19311896718682</v>
      </c>
    </row>
    <row r="143" spans="1:20" x14ac:dyDescent="0.25">
      <c r="A143" s="5">
        <v>44450</v>
      </c>
      <c r="B143">
        <v>7.4590000000000004E-2</v>
      </c>
      <c r="C143">
        <v>7.7869999999999995E-2</v>
      </c>
      <c r="D143">
        <v>7.1629999999999999E-2</v>
      </c>
      <c r="E143">
        <v>7.2819999999999996E-2</v>
      </c>
      <c r="F143">
        <v>999725888</v>
      </c>
      <c r="G143">
        <v>7.2819999999999996E-2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-0.61858974358974439</v>
      </c>
      <c r="Q143">
        <f t="shared" ref="Q143" si="691">F143*P143</f>
        <v>-618420180.71794951</v>
      </c>
      <c r="R143">
        <f t="shared" ref="R143" si="692">R144+Q143</f>
        <v>68744976894.656448</v>
      </c>
      <c r="S143">
        <f t="shared" ref="S143" si="693">R143/100000</f>
        <v>687449.76894656452</v>
      </c>
      <c r="T143">
        <f t="shared" ref="T143" si="694">S143/1000</f>
        <v>687.44976894656452</v>
      </c>
    </row>
    <row r="144" spans="1:20" x14ac:dyDescent="0.25">
      <c r="A144" s="5">
        <v>44449</v>
      </c>
      <c r="B144">
        <v>7.9759999999999998E-2</v>
      </c>
      <c r="C144">
        <v>8.3589999999999998E-2</v>
      </c>
      <c r="D144">
        <v>7.0120000000000002E-2</v>
      </c>
      <c r="E144">
        <v>7.4579999999999994E-2</v>
      </c>
      <c r="F144">
        <v>2294733398</v>
      </c>
      <c r="G144">
        <v>7.4579999999999994E-2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-0.33778767631774415</v>
      </c>
      <c r="Q144">
        <f t="shared" ref="Q144" si="696">F144*P144</f>
        <v>-775132662.27914119</v>
      </c>
      <c r="R144">
        <f t="shared" ref="R144" si="697">R145+Q144</f>
        <v>69363397075.374405</v>
      </c>
      <c r="S144">
        <f t="shared" ref="S144" si="698">R144/100000</f>
        <v>693633.97075374401</v>
      </c>
      <c r="T144">
        <f t="shared" ref="T144" si="699">S144/1000</f>
        <v>693.63397075374405</v>
      </c>
    </row>
    <row r="145" spans="1:20" x14ac:dyDescent="0.25">
      <c r="A145" s="5">
        <v>44448</v>
      </c>
      <c r="B145">
        <v>7.8659999999999994E-2</v>
      </c>
      <c r="C145">
        <v>8.6499999999999994E-2</v>
      </c>
      <c r="D145">
        <v>7.3730000000000004E-2</v>
      </c>
      <c r="E145">
        <v>7.9780000000000004E-2</v>
      </c>
      <c r="F145">
        <v>4403214674</v>
      </c>
      <c r="G145">
        <v>7.9780000000000004E-2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-5.2466718872356349E-2</v>
      </c>
      <c r="Q145">
        <f t="shared" ref="Q145" si="701">F145*P145</f>
        <v>-231022226.4353922</v>
      </c>
      <c r="R145">
        <f t="shared" ref="R145" si="702">R146+Q145</f>
        <v>70138529737.653549</v>
      </c>
      <c r="S145">
        <f t="shared" ref="S145" si="703">R145/100000</f>
        <v>701385.29737653548</v>
      </c>
      <c r="T145">
        <f t="shared" ref="T145" si="704">S145/1000</f>
        <v>701.3852973765355</v>
      </c>
    </row>
    <row r="146" spans="1:20" x14ac:dyDescent="0.25">
      <c r="A146" s="5">
        <v>44447</v>
      </c>
      <c r="B146">
        <v>5.4059999999999997E-2</v>
      </c>
      <c r="C146">
        <v>8.2000000000000003E-2</v>
      </c>
      <c r="D146">
        <v>5.1429999999999997E-2</v>
      </c>
      <c r="E146">
        <v>7.8659999999999994E-2</v>
      </c>
      <c r="F146">
        <v>5241530529</v>
      </c>
      <c r="G146">
        <v>7.8659999999999994E-2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0.78148511612692129</v>
      </c>
      <c r="Q146">
        <f t="shared" ref="Q146" si="706">F146*P146</f>
        <v>4096178094.1383681</v>
      </c>
      <c r="R146">
        <f t="shared" ref="R146" si="707">R147+Q146</f>
        <v>70369551964.088943</v>
      </c>
      <c r="S146">
        <f t="shared" ref="S146" si="708">R146/100000</f>
        <v>703695.51964088948</v>
      </c>
      <c r="T146">
        <f t="shared" ref="T146" si="709">S146/1000</f>
        <v>703.69551964088953</v>
      </c>
    </row>
    <row r="147" spans="1:20" x14ac:dyDescent="0.25">
      <c r="A147" s="5">
        <v>44446</v>
      </c>
      <c r="B147">
        <v>6.4219999999999999E-2</v>
      </c>
      <c r="C147">
        <v>6.4549999999999996E-2</v>
      </c>
      <c r="D147">
        <v>4.5760000000000002E-2</v>
      </c>
      <c r="E147">
        <v>5.4100000000000002E-2</v>
      </c>
      <c r="F147">
        <v>1524315182</v>
      </c>
      <c r="G147">
        <v>5.4100000000000002E-2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-0.11229377328366123</v>
      </c>
      <c r="Q147">
        <f t="shared" ref="Q147" si="711">F147*P147</f>
        <v>-171171103.46035081</v>
      </c>
      <c r="R147">
        <f t="shared" ref="R147" si="712">R148+Q147</f>
        <v>66273373869.950577</v>
      </c>
      <c r="S147">
        <f t="shared" ref="S147" si="713">R147/100000</f>
        <v>662733.7386995058</v>
      </c>
      <c r="T147">
        <f t="shared" ref="T147" si="714">S147/1000</f>
        <v>662.73373869950581</v>
      </c>
    </row>
    <row r="148" spans="1:20" x14ac:dyDescent="0.25">
      <c r="A148" s="5">
        <v>44445</v>
      </c>
      <c r="B148">
        <v>6.1179999999999998E-2</v>
      </c>
      <c r="C148">
        <v>6.4460000000000003E-2</v>
      </c>
      <c r="D148">
        <v>5.7230000000000003E-2</v>
      </c>
      <c r="E148">
        <v>6.4250000000000002E-2</v>
      </c>
      <c r="F148">
        <v>948477426</v>
      </c>
      <c r="G148">
        <v>6.4250000000000002E-2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0.9419087136929456</v>
      </c>
      <c r="Q148">
        <f t="shared" ref="Q148" si="716">F148*P148</f>
        <v>893379152.29045594</v>
      </c>
      <c r="R148">
        <f t="shared" ref="R148" si="717">R149+Q148</f>
        <v>66444544973.410927</v>
      </c>
      <c r="S148">
        <f t="shared" ref="S148" si="718">R148/100000</f>
        <v>664445.44973410922</v>
      </c>
      <c r="T148">
        <f t="shared" ref="T148" si="719">S148/1000</f>
        <v>664.44544973410927</v>
      </c>
    </row>
    <row r="149" spans="1:20" x14ac:dyDescent="0.25">
      <c r="A149" s="5">
        <v>44444</v>
      </c>
      <c r="B149">
        <v>5.8909999999999997E-2</v>
      </c>
      <c r="C149">
        <v>6.9875999999999994E-2</v>
      </c>
      <c r="D149">
        <v>5.842E-2</v>
      </c>
      <c r="E149">
        <v>6.1219999999999997E-2</v>
      </c>
      <c r="F149">
        <v>2383177269</v>
      </c>
      <c r="G149">
        <v>6.1219999999999997E-2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-0.51117318435754222</v>
      </c>
      <c r="Q149">
        <f t="shared" ref="Q149" si="721">F149*P149</f>
        <v>-1218216313.4832411</v>
      </c>
      <c r="R149">
        <f t="shared" ref="R149" si="722">R150+Q149</f>
        <v>65551165821.120468</v>
      </c>
      <c r="S149">
        <f t="shared" ref="S149" si="723">R149/100000</f>
        <v>655511.65821120469</v>
      </c>
      <c r="T149">
        <f t="shared" ref="T149" si="724">S149/1000</f>
        <v>655.51165821120469</v>
      </c>
    </row>
    <row r="150" spans="1:20" x14ac:dyDescent="0.25">
      <c r="A150" s="5">
        <v>44443</v>
      </c>
      <c r="B150">
        <v>5.212E-2</v>
      </c>
      <c r="C150">
        <v>6.3600000000000004E-2</v>
      </c>
      <c r="D150">
        <v>5.1220000000000002E-2</v>
      </c>
      <c r="E150">
        <v>5.8840000000000003E-2</v>
      </c>
      <c r="F150">
        <v>3018755697</v>
      </c>
      <c r="G150">
        <v>5.8840000000000003E-2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0.23101777059773837</v>
      </c>
      <c r="Q150">
        <f t="shared" ref="Q150" si="726">F150*P150</f>
        <v>697386211.10016179</v>
      </c>
      <c r="R150">
        <f t="shared" ref="R150" si="727">R151+Q150</f>
        <v>66769382134.603706</v>
      </c>
      <c r="S150">
        <f t="shared" ref="S150" si="728">R150/100000</f>
        <v>667693.82134603709</v>
      </c>
      <c r="T150">
        <f t="shared" ref="T150" si="729">S150/1000</f>
        <v>667.69382134603711</v>
      </c>
    </row>
    <row r="151" spans="1:20" x14ac:dyDescent="0.25">
      <c r="A151" s="5">
        <v>44442</v>
      </c>
      <c r="B151">
        <v>4.4729999999999999E-2</v>
      </c>
      <c r="C151">
        <v>5.3129999999999997E-2</v>
      </c>
      <c r="D151">
        <v>4.3700000000000003E-2</v>
      </c>
      <c r="E151">
        <v>5.212E-2</v>
      </c>
      <c r="F151">
        <v>1442436244</v>
      </c>
      <c r="G151">
        <v>5.212E-2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0.78579003181336216</v>
      </c>
      <c r="Q151">
        <f t="shared" ref="Q151" si="731">F151*P151</f>
        <v>1133452022.0615065</v>
      </c>
      <c r="R151">
        <f t="shared" ref="R151" si="732">R152+Q151</f>
        <v>66071995923.503548</v>
      </c>
      <c r="S151">
        <f t="shared" ref="S151" si="733">R151/100000</f>
        <v>660719.95923503547</v>
      </c>
      <c r="T151">
        <f t="shared" ref="T151" si="734">S151/1000</f>
        <v>660.7199592350355</v>
      </c>
    </row>
    <row r="152" spans="1:20" x14ac:dyDescent="0.25">
      <c r="A152" s="5">
        <v>44441</v>
      </c>
      <c r="B152">
        <v>4.385E-2</v>
      </c>
      <c r="C152">
        <v>4.6690000000000002E-2</v>
      </c>
      <c r="D152">
        <v>4.3099999999999999E-2</v>
      </c>
      <c r="E152">
        <v>4.4720000000000003E-2</v>
      </c>
      <c r="F152">
        <v>575181682</v>
      </c>
      <c r="G152">
        <v>4.4720000000000003E-2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-9.7493036211698011E-2</v>
      </c>
      <c r="Q152">
        <f t="shared" ref="Q152" si="736">F152*P152</f>
        <v>-56076208.551531367</v>
      </c>
      <c r="R152">
        <f t="shared" ref="R152" si="737">R153+Q152</f>
        <v>64938543901.442039</v>
      </c>
      <c r="S152">
        <f t="shared" ref="S152" si="738">R152/100000</f>
        <v>649385.43901442038</v>
      </c>
      <c r="T152">
        <f t="shared" ref="T152" si="739">S152/1000</f>
        <v>649.3854390144204</v>
      </c>
    </row>
    <row r="153" spans="1:20" x14ac:dyDescent="0.25">
      <c r="A153" s="5">
        <v>44440</v>
      </c>
      <c r="B153">
        <v>4.2200000000000001E-2</v>
      </c>
      <c r="C153">
        <v>4.3920000000000001E-2</v>
      </c>
      <c r="D153">
        <v>4.0750000000000001E-2</v>
      </c>
      <c r="E153">
        <v>4.3860000000000003E-2</v>
      </c>
      <c r="F153">
        <v>415020484</v>
      </c>
      <c r="G153">
        <v>4.3860000000000003E-2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0.9621451104100962</v>
      </c>
      <c r="Q153">
        <f t="shared" ref="Q153" si="741">F153*P153</f>
        <v>399309929.40063155</v>
      </c>
      <c r="R153">
        <f t="shared" ref="R153" si="742">R154+Q153</f>
        <v>64994620109.993568</v>
      </c>
      <c r="S153">
        <f t="shared" ref="S153" si="743">R153/100000</f>
        <v>649946.20109993569</v>
      </c>
      <c r="T153">
        <f t="shared" ref="T153" si="744">S153/1000</f>
        <v>649.94620109993571</v>
      </c>
    </row>
    <row r="154" spans="1:20" x14ac:dyDescent="0.25">
      <c r="A154" s="5">
        <v>44439</v>
      </c>
      <c r="B154">
        <v>4.1239999999999999E-2</v>
      </c>
      <c r="C154">
        <v>4.299E-2</v>
      </c>
      <c r="D154">
        <v>3.968E-2</v>
      </c>
      <c r="E154">
        <v>4.2209999999999998E-2</v>
      </c>
      <c r="F154">
        <v>688955368</v>
      </c>
      <c r="G154">
        <v>4.2209999999999998E-2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0.52870090634440914</v>
      </c>
      <c r="Q154">
        <f t="shared" ref="Q154" si="746">F154*P154</f>
        <v>364251327.49244595</v>
      </c>
      <c r="R154">
        <f t="shared" ref="R154" si="747">R155+Q154</f>
        <v>64595310180.592934</v>
      </c>
      <c r="S154">
        <f t="shared" ref="S154" si="748">R154/100000</f>
        <v>645953.10180592933</v>
      </c>
      <c r="T154">
        <f t="shared" ref="T154" si="749">S154/1000</f>
        <v>645.95310180592935</v>
      </c>
    </row>
    <row r="155" spans="1:20" x14ac:dyDescent="0.25">
      <c r="A155" s="5">
        <v>44438</v>
      </c>
      <c r="B155">
        <v>4.385E-2</v>
      </c>
      <c r="C155">
        <v>4.3869999999999999E-2</v>
      </c>
      <c r="D155">
        <v>4.054E-2</v>
      </c>
      <c r="E155">
        <v>4.122E-2</v>
      </c>
      <c r="F155">
        <v>548860424</v>
      </c>
      <c r="G155">
        <v>4.122E-2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-0.59159159159159147</v>
      </c>
      <c r="Q155">
        <f t="shared" ref="Q155" si="751">F155*P155</f>
        <v>-324701211.79579574</v>
      </c>
      <c r="R155">
        <f t="shared" ref="R155" si="752">R156+Q155</f>
        <v>64231058853.100487</v>
      </c>
      <c r="S155">
        <f t="shared" ref="S155" si="753">R155/100000</f>
        <v>642310.58853100485</v>
      </c>
      <c r="T155">
        <f t="shared" ref="T155" si="754">S155/1000</f>
        <v>642.3105885310049</v>
      </c>
    </row>
    <row r="156" spans="1:20" x14ac:dyDescent="0.25">
      <c r="A156" s="5">
        <v>44437</v>
      </c>
      <c r="B156">
        <v>4.5409999999999999E-2</v>
      </c>
      <c r="C156">
        <v>4.5600000000000002E-2</v>
      </c>
      <c r="D156">
        <v>4.301E-2</v>
      </c>
      <c r="E156">
        <v>4.3839999999999997E-2</v>
      </c>
      <c r="F156">
        <v>447214481</v>
      </c>
      <c r="G156">
        <v>4.3839999999999997E-2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-0.35907335907336158</v>
      </c>
      <c r="Q156">
        <f t="shared" ref="Q156" si="756">F156*P156</f>
        <v>-160582805.91892004</v>
      </c>
      <c r="R156">
        <f t="shared" ref="R156" si="757">R157+Q156</f>
        <v>64555760064.896286</v>
      </c>
      <c r="S156">
        <f t="shared" ref="S156" si="758">R156/100000</f>
        <v>645557.60064896289</v>
      </c>
      <c r="T156">
        <f t="shared" ref="T156" si="759">S156/1000</f>
        <v>645.55760064896288</v>
      </c>
    </row>
    <row r="157" spans="1:20" x14ac:dyDescent="0.25">
      <c r="A157" s="5">
        <v>44436</v>
      </c>
      <c r="B157">
        <v>4.6600000000000003E-2</v>
      </c>
      <c r="C157">
        <v>4.7109999999999999E-2</v>
      </c>
      <c r="D157">
        <v>4.4040000000000003E-2</v>
      </c>
      <c r="E157">
        <v>4.5409999999999999E-2</v>
      </c>
      <c r="F157">
        <v>455880771</v>
      </c>
      <c r="G157">
        <v>4.5409999999999999E-2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-0.10749185667752582</v>
      </c>
      <c r="Q157">
        <f t="shared" ref="Q157" si="761">F157*P157</f>
        <v>-49003470.498371974</v>
      </c>
      <c r="R157">
        <f t="shared" ref="R157" si="762">R158+Q157</f>
        <v>64716342870.815208</v>
      </c>
      <c r="S157">
        <f t="shared" ref="S157" si="763">R157/100000</f>
        <v>647163.42870815203</v>
      </c>
      <c r="T157">
        <f t="shared" ref="T157" si="764">S157/1000</f>
        <v>647.16342870815208</v>
      </c>
    </row>
    <row r="158" spans="1:20" x14ac:dyDescent="0.25">
      <c r="A158" s="5">
        <v>44435</v>
      </c>
      <c r="B158">
        <v>4.4249999999999998E-2</v>
      </c>
      <c r="C158">
        <v>4.6640000000000001E-2</v>
      </c>
      <c r="D158">
        <v>4.163E-2</v>
      </c>
      <c r="E158">
        <v>4.6589999999999999E-2</v>
      </c>
      <c r="F158">
        <v>1036809118</v>
      </c>
      <c r="G158">
        <v>4.6589999999999999E-2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0.98003992015968011</v>
      </c>
      <c r="Q158">
        <f t="shared" ref="Q158" si="766">F158*P158</f>
        <v>1016114325.2255484</v>
      </c>
      <c r="R158">
        <f t="shared" ref="R158" si="767">R159+Q158</f>
        <v>64765346341.313583</v>
      </c>
      <c r="S158">
        <f t="shared" ref="S158" si="768">R158/100000</f>
        <v>647653.46341313585</v>
      </c>
      <c r="T158">
        <f t="shared" ref="T158" si="769">S158/1000</f>
        <v>647.6534634131358</v>
      </c>
    </row>
    <row r="159" spans="1:20" x14ac:dyDescent="0.25">
      <c r="A159" s="5">
        <v>44434</v>
      </c>
      <c r="B159">
        <v>4.4367999999999998E-2</v>
      </c>
      <c r="C159">
        <v>4.8149999999999998E-2</v>
      </c>
      <c r="D159">
        <v>4.2270000000000002E-2</v>
      </c>
      <c r="E159">
        <v>4.4229999999999998E-2</v>
      </c>
      <c r="F159">
        <v>1839023907</v>
      </c>
      <c r="G159">
        <v>4.4229999999999998E-2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-0.33333333333333415</v>
      </c>
      <c r="Q159">
        <f t="shared" ref="Q159" si="771">F159*P159</f>
        <v>-613007969.00000155</v>
      </c>
      <c r="R159">
        <f t="shared" ref="R159" si="772">R160+Q159</f>
        <v>63749232016.088036</v>
      </c>
      <c r="S159">
        <f t="shared" ref="S159" si="773">R159/100000</f>
        <v>637492.32016088034</v>
      </c>
      <c r="T159">
        <f t="shared" ref="T159" si="774">S159/1000</f>
        <v>637.49232016088035</v>
      </c>
    </row>
    <row r="160" spans="1:20" x14ac:dyDescent="0.25">
      <c r="A160" s="5">
        <v>44433</v>
      </c>
      <c r="B160">
        <v>3.9742E-2</v>
      </c>
      <c r="C160">
        <v>4.8183999999999998E-2</v>
      </c>
      <c r="D160">
        <v>3.8835000000000001E-2</v>
      </c>
      <c r="E160">
        <v>4.4358000000000002E-2</v>
      </c>
      <c r="F160">
        <v>2073549247</v>
      </c>
      <c r="G160">
        <v>4.4358000000000002E-2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0.18151673975826343</v>
      </c>
      <c r="Q160">
        <f t="shared" ref="Q160" si="776">F160*P160</f>
        <v>376383899.0436421</v>
      </c>
      <c r="R160">
        <f t="shared" ref="R160" si="777">R161+Q160</f>
        <v>64362239985.088036</v>
      </c>
      <c r="S160">
        <f t="shared" ref="S160" si="778">R160/100000</f>
        <v>643622.39985088038</v>
      </c>
      <c r="T160">
        <f t="shared" ref="T160" si="779">S160/1000</f>
        <v>643.62239985088036</v>
      </c>
    </row>
    <row r="161" spans="1:20" x14ac:dyDescent="0.25">
      <c r="A161" s="5">
        <v>44432</v>
      </c>
      <c r="B161">
        <v>4.3006000000000003E-2</v>
      </c>
      <c r="C161">
        <v>4.3024E-2</v>
      </c>
      <c r="D161">
        <v>3.8032000000000003E-2</v>
      </c>
      <c r="E161">
        <v>3.9731000000000002E-2</v>
      </c>
      <c r="F161">
        <v>1065418766</v>
      </c>
      <c r="G161">
        <v>3.9731000000000002E-2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-0.3193108974358973</v>
      </c>
      <c r="Q161">
        <f t="shared" ref="Q161" si="781">F161*P161</f>
        <v>-340199822.31650627</v>
      </c>
      <c r="R161">
        <f t="shared" ref="R161" si="782">R162+Q161</f>
        <v>63985856086.044395</v>
      </c>
      <c r="S161">
        <f t="shared" ref="S161" si="783">R161/100000</f>
        <v>639858.56086044398</v>
      </c>
      <c r="T161">
        <f t="shared" ref="T161" si="784">S161/1000</f>
        <v>639.85856086044396</v>
      </c>
    </row>
    <row r="162" spans="1:20" x14ac:dyDescent="0.25">
      <c r="A162" s="5">
        <v>44431</v>
      </c>
      <c r="B162">
        <v>3.7057E-2</v>
      </c>
      <c r="C162">
        <v>4.5168E-2</v>
      </c>
      <c r="D162">
        <v>3.6992999999999998E-2</v>
      </c>
      <c r="E162">
        <v>4.3006000000000003E-2</v>
      </c>
      <c r="F162">
        <v>2749811031</v>
      </c>
      <c r="G162">
        <v>4.3006000000000003E-2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0.47107033639143808</v>
      </c>
      <c r="Q162">
        <f t="shared" ref="Q162" si="786">F162*P162</f>
        <v>1295354407.3860571</v>
      </c>
      <c r="R162">
        <f t="shared" ref="R162" si="787">R163+Q162</f>
        <v>64326055908.360901</v>
      </c>
      <c r="S162">
        <f t="shared" ref="S162" si="788">R162/100000</f>
        <v>643260.55908360903</v>
      </c>
      <c r="T162">
        <f t="shared" ref="T162" si="789">S162/1000</f>
        <v>643.260559083609</v>
      </c>
    </row>
    <row r="163" spans="1:20" x14ac:dyDescent="0.25">
      <c r="A163" s="5">
        <v>44430</v>
      </c>
      <c r="B163">
        <v>3.5284999999999997E-2</v>
      </c>
      <c r="C163">
        <v>3.6247000000000001E-2</v>
      </c>
      <c r="D163">
        <v>3.4187000000000002E-2</v>
      </c>
      <c r="E163">
        <v>3.5180000000000003E-2</v>
      </c>
      <c r="F163">
        <v>191568130</v>
      </c>
      <c r="G163">
        <v>3.5180000000000003E-2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-3.5922330097086265E-2</v>
      </c>
      <c r="Q163">
        <f t="shared" ref="Q163" si="791">F163*P163</f>
        <v>-6881573.6019415343</v>
      </c>
      <c r="R163">
        <f t="shared" ref="R163" si="792">R164+Q163</f>
        <v>63030701500.974846</v>
      </c>
      <c r="S163">
        <f t="shared" ref="S163" si="793">R163/100000</f>
        <v>630307.01500974852</v>
      </c>
      <c r="T163">
        <f t="shared" ref="T163" si="794">S163/1000</f>
        <v>630.30701500974851</v>
      </c>
    </row>
    <row r="164" spans="1:20" x14ac:dyDescent="0.25">
      <c r="A164" s="5">
        <v>44429</v>
      </c>
      <c r="B164">
        <v>3.2822999999999998E-2</v>
      </c>
      <c r="C164">
        <v>3.5810000000000002E-2</v>
      </c>
      <c r="D164">
        <v>3.1794000000000003E-2</v>
      </c>
      <c r="E164">
        <v>3.5284999999999997E-2</v>
      </c>
      <c r="F164">
        <v>1058768688</v>
      </c>
      <c r="G164">
        <v>3.5284999999999997E-2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0.7385458167330653</v>
      </c>
      <c r="Q164">
        <f t="shared" ref="Q164" si="796">F164*P164</f>
        <v>781949185.41035604</v>
      </c>
      <c r="R164">
        <f t="shared" ref="R164" si="797">R165+Q164</f>
        <v>63037583074.57679</v>
      </c>
      <c r="S164">
        <f t="shared" ref="S164" si="798">R164/100000</f>
        <v>630375.83074576792</v>
      </c>
      <c r="T164">
        <f t="shared" ref="T164" si="799">S164/1000</f>
        <v>630.37583074576787</v>
      </c>
    </row>
    <row r="165" spans="1:20" x14ac:dyDescent="0.25">
      <c r="A165" s="5">
        <v>44428</v>
      </c>
      <c r="B165">
        <v>3.1718999999999997E-2</v>
      </c>
      <c r="C165">
        <v>3.3078000000000003E-2</v>
      </c>
      <c r="D165">
        <v>3.1290999999999999E-2</v>
      </c>
      <c r="E165">
        <v>3.2815999999999998E-2</v>
      </c>
      <c r="F165">
        <v>407002349</v>
      </c>
      <c r="G165">
        <v>3.2815999999999998E-2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0.70677112479014581</v>
      </c>
      <c r="Q165">
        <f t="shared" ref="Q165" si="801">F165*P165</f>
        <v>287657507.9949615</v>
      </c>
      <c r="R165">
        <f t="shared" ref="R165" si="802">R166+Q165</f>
        <v>62255633889.166435</v>
      </c>
      <c r="S165">
        <f t="shared" ref="S165" si="803">R165/100000</f>
        <v>622556.3388916644</v>
      </c>
      <c r="T165">
        <f t="shared" ref="T165" si="804">S165/1000</f>
        <v>622.55633889166438</v>
      </c>
    </row>
    <row r="166" spans="1:20" x14ac:dyDescent="0.25">
      <c r="A166" s="5">
        <v>44427</v>
      </c>
      <c r="B166">
        <v>3.0185E-2</v>
      </c>
      <c r="C166">
        <v>3.2132000000000001E-2</v>
      </c>
      <c r="D166">
        <v>2.9100000000000001E-2</v>
      </c>
      <c r="E166">
        <v>3.1718999999999997E-2</v>
      </c>
      <c r="F166">
        <v>471542945</v>
      </c>
      <c r="G166">
        <v>3.1718999999999997E-2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0.72757255936675225</v>
      </c>
      <c r="Q166">
        <f t="shared" ref="Q166" si="806">F166*P166</f>
        <v>343081707.34498566</v>
      </c>
      <c r="R166">
        <f t="shared" ref="R166" si="807">R167+Q166</f>
        <v>61967976381.171471</v>
      </c>
      <c r="S166">
        <f t="shared" ref="S166" si="808">R166/100000</f>
        <v>619679.76381171471</v>
      </c>
      <c r="T166">
        <f t="shared" ref="T166" si="809">S166/1000</f>
        <v>619.67976381171468</v>
      </c>
    </row>
    <row r="167" spans="1:20" x14ac:dyDescent="0.25">
      <c r="A167" s="5">
        <v>44426</v>
      </c>
      <c r="B167">
        <v>3.0348E-2</v>
      </c>
      <c r="C167">
        <v>3.1236E-2</v>
      </c>
      <c r="D167">
        <v>2.9049999999999999E-2</v>
      </c>
      <c r="E167">
        <v>3.0185E-2</v>
      </c>
      <c r="F167">
        <v>495202809</v>
      </c>
      <c r="G167">
        <v>3.0185E-2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3.8426349496798136E-2</v>
      </c>
      <c r="Q167">
        <f t="shared" ref="Q167" si="811">F167*P167</f>
        <v>19028836.210430175</v>
      </c>
      <c r="R167">
        <f t="shared" ref="R167" si="812">R168+Q167</f>
        <v>61624894673.826485</v>
      </c>
      <c r="S167">
        <f t="shared" ref="S167" si="813">R167/100000</f>
        <v>616248.94673826487</v>
      </c>
      <c r="T167">
        <f t="shared" ref="T167" si="814">S167/1000</f>
        <v>616.24894673826486</v>
      </c>
    </row>
    <row r="168" spans="1:20" x14ac:dyDescent="0.25">
      <c r="A168" s="5">
        <v>44425</v>
      </c>
      <c r="B168">
        <v>3.2336999999999998E-2</v>
      </c>
      <c r="C168">
        <v>3.3274999999999999E-2</v>
      </c>
      <c r="D168">
        <v>2.9982999999999999E-2</v>
      </c>
      <c r="E168">
        <v>3.0356000000000001E-2</v>
      </c>
      <c r="F168">
        <v>537108839</v>
      </c>
      <c r="G168">
        <v>3.0356000000000001E-2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-0.77339003645200377</v>
      </c>
      <c r="Q168">
        <f t="shared" ref="Q168" si="816">F168*P168</f>
        <v>-415394624.57290339</v>
      </c>
      <c r="R168">
        <f t="shared" ref="R168" si="817">R169+Q168</f>
        <v>61605865837.616051</v>
      </c>
      <c r="S168">
        <f t="shared" ref="S168" si="818">R168/100000</f>
        <v>616058.65837616054</v>
      </c>
      <c r="T168">
        <f t="shared" ref="T168" si="819">S168/1000</f>
        <v>616.05865837616057</v>
      </c>
    </row>
    <row r="169" spans="1:20" x14ac:dyDescent="0.25">
      <c r="A169" s="5">
        <v>44424</v>
      </c>
      <c r="B169">
        <v>3.3118000000000002E-2</v>
      </c>
      <c r="C169">
        <v>3.4196999999999998E-2</v>
      </c>
      <c r="D169">
        <v>3.1851999999999998E-2</v>
      </c>
      <c r="E169">
        <v>3.2301000000000003E-2</v>
      </c>
      <c r="F169">
        <v>622639894</v>
      </c>
      <c r="G169">
        <v>3.2301000000000003E-2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-0.61705756929637101</v>
      </c>
      <c r="Q169">
        <f t="shared" ref="Q169" si="821">F169*P169</f>
        <v>-384204659.53859007</v>
      </c>
      <c r="R169">
        <f t="shared" ref="R169" si="822">R170+Q169</f>
        <v>62021260462.188957</v>
      </c>
      <c r="S169">
        <f t="shared" ref="S169" si="823">R169/100000</f>
        <v>620212.60462188954</v>
      </c>
      <c r="T169">
        <f t="shared" ref="T169" si="824">S169/1000</f>
        <v>620.21260462188957</v>
      </c>
    </row>
    <row r="170" spans="1:20" x14ac:dyDescent="0.25">
      <c r="A170" s="5">
        <v>44423</v>
      </c>
      <c r="B170">
        <v>3.2743000000000001E-2</v>
      </c>
      <c r="C170">
        <v>3.4583000000000003E-2</v>
      </c>
      <c r="D170">
        <v>3.1026000000000001E-2</v>
      </c>
      <c r="E170">
        <v>3.3023999999999998E-2</v>
      </c>
      <c r="F170">
        <v>709673436</v>
      </c>
      <c r="G170">
        <v>3.3023999999999998E-2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0.12341861118920196</v>
      </c>
      <c r="Q170">
        <f t="shared" ref="Q170" si="826">F170*P170</f>
        <v>87586909.868989006</v>
      </c>
      <c r="R170">
        <f t="shared" ref="R170" si="827">R171+Q170</f>
        <v>62405465121.727547</v>
      </c>
      <c r="S170">
        <f t="shared" ref="S170" si="828">R170/100000</f>
        <v>624054.65121727542</v>
      </c>
      <c r="T170">
        <f t="shared" ref="T170" si="829">S170/1000</f>
        <v>624.05465121727536</v>
      </c>
    </row>
    <row r="171" spans="1:20" x14ac:dyDescent="0.25">
      <c r="A171" s="5">
        <v>44422</v>
      </c>
      <c r="B171">
        <v>3.2278000000000001E-2</v>
      </c>
      <c r="C171">
        <v>3.2837999999999999E-2</v>
      </c>
      <c r="D171">
        <v>3.0301000000000002E-2</v>
      </c>
      <c r="E171">
        <v>3.2696000000000003E-2</v>
      </c>
      <c r="F171">
        <v>522637926</v>
      </c>
      <c r="G171">
        <v>3.2696000000000003E-2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0.88805675995270283</v>
      </c>
      <c r="Q171">
        <f t="shared" ref="Q171" si="831">F171*P171</f>
        <v>464132143.19196045</v>
      </c>
      <c r="R171">
        <f t="shared" ref="R171" si="832">R172+Q171</f>
        <v>62317878211.858559</v>
      </c>
      <c r="S171">
        <f t="shared" ref="S171" si="833">R171/100000</f>
        <v>623178.78211858554</v>
      </c>
      <c r="T171">
        <f t="shared" ref="T171" si="834">S171/1000</f>
        <v>623.17878211858556</v>
      </c>
    </row>
    <row r="172" spans="1:20" x14ac:dyDescent="0.25">
      <c r="A172" s="5">
        <v>44421</v>
      </c>
      <c r="B172">
        <v>3.0228000000000001E-2</v>
      </c>
      <c r="C172">
        <v>3.2349000000000003E-2</v>
      </c>
      <c r="D172">
        <v>2.9928E-2</v>
      </c>
      <c r="E172">
        <v>3.2278000000000001E-2</v>
      </c>
      <c r="F172">
        <v>550416311</v>
      </c>
      <c r="G172">
        <v>3.2278000000000001E-2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0.94134655101197728</v>
      </c>
      <c r="Q172">
        <f t="shared" ref="Q172" si="836">F172*P172</f>
        <v>518132495.98058587</v>
      </c>
      <c r="R172">
        <f t="shared" ref="R172" si="837">R173+Q172</f>
        <v>61853746068.666595</v>
      </c>
      <c r="S172">
        <f t="shared" ref="S172" si="838">R172/100000</f>
        <v>618537.46068666596</v>
      </c>
      <c r="T172">
        <f t="shared" ref="T172" si="839">S172/1000</f>
        <v>618.53746068666601</v>
      </c>
    </row>
    <row r="173" spans="1:20" x14ac:dyDescent="0.25">
      <c r="A173" s="5">
        <v>44420</v>
      </c>
      <c r="B173">
        <v>3.0675000000000001E-2</v>
      </c>
      <c r="C173">
        <v>3.2041E-2</v>
      </c>
      <c r="D173">
        <v>2.8354000000000001E-2</v>
      </c>
      <c r="E173">
        <v>3.0228000000000001E-2</v>
      </c>
      <c r="F173">
        <v>749847139</v>
      </c>
      <c r="G173">
        <v>3.0228000000000001E-2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1.6544616219148912E-2</v>
      </c>
      <c r="Q173">
        <f t="shared" ref="Q173" si="841">F173*P173</f>
        <v>12405933.137781808</v>
      </c>
      <c r="R173">
        <f t="shared" ref="R173" si="842">R174+Q173</f>
        <v>61335613572.686012</v>
      </c>
      <c r="S173">
        <f t="shared" ref="S173" si="843">R173/100000</f>
        <v>613356.13572686014</v>
      </c>
      <c r="T173">
        <f t="shared" ref="T173" si="844">S173/1000</f>
        <v>613.35613572686009</v>
      </c>
    </row>
    <row r="174" spans="1:20" x14ac:dyDescent="0.25">
      <c r="A174" s="5">
        <v>44419</v>
      </c>
      <c r="B174">
        <v>2.9391E-2</v>
      </c>
      <c r="C174">
        <v>3.1800000000000002E-2</v>
      </c>
      <c r="D174">
        <v>2.8899999999999999E-2</v>
      </c>
      <c r="E174">
        <v>3.0707999999999999E-2</v>
      </c>
      <c r="F174">
        <v>959641827</v>
      </c>
      <c r="G174">
        <v>3.0707999999999999E-2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0.24689655172413694</v>
      </c>
      <c r="Q174">
        <f t="shared" ref="Q174" si="846">F174*P174</f>
        <v>236932257.97655076</v>
      </c>
      <c r="R174">
        <f t="shared" ref="R174" si="847">R175+Q174</f>
        <v>61323207639.548233</v>
      </c>
      <c r="S174">
        <f t="shared" ref="S174" si="848">R174/100000</f>
        <v>613232.07639548229</v>
      </c>
      <c r="T174">
        <f t="shared" ref="T174" si="849">S174/1000</f>
        <v>613.2320763954823</v>
      </c>
    </row>
    <row r="175" spans="1:20" x14ac:dyDescent="0.25">
      <c r="A175" s="5">
        <v>44418</v>
      </c>
      <c r="B175">
        <v>2.8097E-2</v>
      </c>
      <c r="C175">
        <v>2.9582000000000001E-2</v>
      </c>
      <c r="D175">
        <v>2.7258999999999999E-2</v>
      </c>
      <c r="E175">
        <v>2.945E-2</v>
      </c>
      <c r="F175">
        <v>681115593</v>
      </c>
      <c r="G175">
        <v>2.945E-2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0.88635385277658196</v>
      </c>
      <c r="Q175">
        <f t="shared" ref="Q175" si="851">F175*P175</f>
        <v>603709430.04175627</v>
      </c>
      <c r="R175">
        <f t="shared" ref="R175" si="852">R176+Q175</f>
        <v>61086275381.571686</v>
      </c>
      <c r="S175">
        <f t="shared" ref="S175" si="853">R175/100000</f>
        <v>610862.75381571683</v>
      </c>
      <c r="T175">
        <f t="shared" ref="T175" si="854">S175/1000</f>
        <v>610.86275381571681</v>
      </c>
    </row>
    <row r="176" spans="1:20" x14ac:dyDescent="0.25">
      <c r="A176" s="5">
        <v>44417</v>
      </c>
      <c r="B176">
        <v>2.6865E-2</v>
      </c>
      <c r="C176">
        <v>2.8419E-2</v>
      </c>
      <c r="D176">
        <v>2.6001E-2</v>
      </c>
      <c r="E176">
        <v>2.8101999999999999E-2</v>
      </c>
      <c r="F176">
        <v>545274661</v>
      </c>
      <c r="G176">
        <v>2.8101999999999999E-2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0.73779983457402709</v>
      </c>
      <c r="Q176">
        <f t="shared" ref="Q176" si="856">F176*P176</f>
        <v>402303554.6832087</v>
      </c>
      <c r="R176">
        <f t="shared" ref="R176" si="857">R177+Q176</f>
        <v>60482565951.52993</v>
      </c>
      <c r="S176">
        <f t="shared" ref="S176" si="858">R176/100000</f>
        <v>604825.65951529925</v>
      </c>
      <c r="T176">
        <f t="shared" ref="T176" si="859">S176/1000</f>
        <v>604.82565951529921</v>
      </c>
    </row>
    <row r="177" spans="1:20" x14ac:dyDescent="0.25">
      <c r="A177" s="5">
        <v>44416</v>
      </c>
      <c r="B177">
        <v>2.8618999999999999E-2</v>
      </c>
      <c r="C177">
        <v>2.9183000000000001E-2</v>
      </c>
      <c r="D177">
        <v>2.6688E-2</v>
      </c>
      <c r="E177">
        <v>2.6863999999999999E-2</v>
      </c>
      <c r="F177">
        <v>391154935</v>
      </c>
      <c r="G177">
        <v>2.6863999999999999E-2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-0.8589178356713435</v>
      </c>
      <c r="Q177">
        <f t="shared" ref="Q177" si="861">F177*P177</f>
        <v>-335969950.18236506</v>
      </c>
      <c r="R177">
        <f t="shared" ref="R177" si="862">R178+Q177</f>
        <v>60080262396.846718</v>
      </c>
      <c r="S177">
        <f t="shared" ref="S177" si="863">R177/100000</f>
        <v>600802.62396846723</v>
      </c>
      <c r="T177">
        <f t="shared" ref="T177" si="864">S177/1000</f>
        <v>600.80262396846729</v>
      </c>
    </row>
    <row r="178" spans="1:20" x14ac:dyDescent="0.25">
      <c r="A178" s="5">
        <v>44415</v>
      </c>
      <c r="B178">
        <v>2.775E-2</v>
      </c>
      <c r="C178">
        <v>2.8886999999999999E-2</v>
      </c>
      <c r="D178">
        <v>2.7087E-2</v>
      </c>
      <c r="E178">
        <v>2.8622000000000002E-2</v>
      </c>
      <c r="F178">
        <v>619534873</v>
      </c>
      <c r="G178">
        <v>2.8622000000000002E-2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0.70555555555555782</v>
      </c>
      <c r="Q178">
        <f t="shared" ref="Q178" si="866">F178*P178</f>
        <v>437116271.50555694</v>
      </c>
      <c r="R178">
        <f t="shared" ref="R178" si="867">R179+Q178</f>
        <v>60416232347.029083</v>
      </c>
      <c r="S178">
        <f t="shared" ref="S178" si="868">R178/100000</f>
        <v>604162.32347029087</v>
      </c>
      <c r="T178">
        <f t="shared" ref="T178" si="869">S178/1000</f>
        <v>604.16232347029086</v>
      </c>
    </row>
    <row r="179" spans="1:20" x14ac:dyDescent="0.25">
      <c r="A179" s="5">
        <v>44414</v>
      </c>
      <c r="B179">
        <v>2.6766000000000002E-2</v>
      </c>
      <c r="C179">
        <v>2.8882999999999999E-2</v>
      </c>
      <c r="D179">
        <v>2.6766000000000002E-2</v>
      </c>
      <c r="E179">
        <v>2.775E-2</v>
      </c>
      <c r="F179">
        <v>1278742448</v>
      </c>
      <c r="G179">
        <v>2.775E-2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-7.0382616910722728E-2</v>
      </c>
      <c r="Q179">
        <f t="shared" ref="Q179" si="871">F179*P179</f>
        <v>-90001239.845063776</v>
      </c>
      <c r="R179">
        <f t="shared" ref="R179" si="872">R180+Q179</f>
        <v>59979116075.523529</v>
      </c>
      <c r="S179">
        <f t="shared" ref="S179" si="873">R179/100000</f>
        <v>599791.16075523524</v>
      </c>
      <c r="T179">
        <f t="shared" ref="T179" si="874">S179/1000</f>
        <v>599.79116075523518</v>
      </c>
    </row>
    <row r="180" spans="1:20" x14ac:dyDescent="0.25">
      <c r="A180" s="5">
        <v>44413</v>
      </c>
      <c r="B180">
        <v>2.5281000000000001E-2</v>
      </c>
      <c r="C180">
        <v>2.6793999999999998E-2</v>
      </c>
      <c r="D180">
        <v>2.4309999999999998E-2</v>
      </c>
      <c r="E180">
        <v>2.6789E-2</v>
      </c>
      <c r="F180">
        <v>415314631</v>
      </c>
      <c r="G180">
        <v>2.6789E-2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0.99597423510467142</v>
      </c>
      <c r="Q180">
        <f t="shared" ref="Q180" si="876">F180*P180</f>
        <v>413642671.93800384</v>
      </c>
      <c r="R180">
        <f t="shared" ref="R180" si="877">R181+Q180</f>
        <v>60069117315.368591</v>
      </c>
      <c r="S180">
        <f t="shared" ref="S180" si="878">R180/100000</f>
        <v>600691.17315368587</v>
      </c>
      <c r="T180">
        <f t="shared" ref="T180" si="879">S180/1000</f>
        <v>600.6911731536859</v>
      </c>
    </row>
    <row r="181" spans="1:20" x14ac:dyDescent="0.25">
      <c r="A181" s="5">
        <v>44412</v>
      </c>
      <c r="B181">
        <v>2.4569000000000001E-2</v>
      </c>
      <c r="C181">
        <v>2.5457E-2</v>
      </c>
      <c r="D181">
        <v>2.3852000000000002E-2</v>
      </c>
      <c r="E181">
        <v>2.5288999999999999E-2</v>
      </c>
      <c r="F181">
        <v>342201211</v>
      </c>
      <c r="G181">
        <v>2.5288999999999999E-2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0.79065420560747468</v>
      </c>
      <c r="Q181">
        <f t="shared" ref="Q181" si="881">F181*P181</f>
        <v>270562826.64112085</v>
      </c>
      <c r="R181">
        <f t="shared" ref="R181" si="882">R182+Q181</f>
        <v>59655474643.430588</v>
      </c>
      <c r="S181">
        <f t="shared" ref="S181" si="883">R181/100000</f>
        <v>596554.74643430591</v>
      </c>
      <c r="T181">
        <f t="shared" ref="T181" si="884">S181/1000</f>
        <v>596.55474643430591</v>
      </c>
    </row>
    <row r="182" spans="1:20" x14ac:dyDescent="0.25">
      <c r="A182" s="5">
        <v>44411</v>
      </c>
      <c r="B182">
        <v>2.5781999999999999E-2</v>
      </c>
      <c r="C182">
        <v>2.5784000000000001E-2</v>
      </c>
      <c r="D182">
        <v>2.3685999999999999E-2</v>
      </c>
      <c r="E182">
        <v>2.4549999999999999E-2</v>
      </c>
      <c r="F182">
        <v>428306446</v>
      </c>
      <c r="G182">
        <v>2.4549999999999999E-2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-0.17635843660629258</v>
      </c>
      <c r="Q182">
        <f t="shared" ref="Q182" si="886">F182*P182</f>
        <v>-75535455.20495747</v>
      </c>
      <c r="R182">
        <f t="shared" ref="R182" si="887">R183+Q182</f>
        <v>59384911816.789467</v>
      </c>
      <c r="S182">
        <f t="shared" ref="S182" si="888">R182/100000</f>
        <v>593849.11816789466</v>
      </c>
      <c r="T182">
        <f t="shared" ref="T182" si="889">S182/1000</f>
        <v>593.84911816789463</v>
      </c>
    </row>
    <row r="183" spans="1:20" x14ac:dyDescent="0.25">
      <c r="A183" s="5">
        <v>44410</v>
      </c>
      <c r="B183">
        <v>2.5378000000000001E-2</v>
      </c>
      <c r="C183">
        <v>2.6322999999999999E-2</v>
      </c>
      <c r="D183">
        <v>2.4625999999999999E-2</v>
      </c>
      <c r="E183">
        <v>2.5795999999999999E-2</v>
      </c>
      <c r="F183">
        <v>456769279</v>
      </c>
      <c r="G183">
        <v>2.5795999999999999E-2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0.37890394814378375</v>
      </c>
      <c r="Q183">
        <f t="shared" ref="Q183" si="891">F183*P183</f>
        <v>173071683.20388949</v>
      </c>
      <c r="R183">
        <f t="shared" ref="R183" si="892">R184+Q183</f>
        <v>59460447271.994423</v>
      </c>
      <c r="S183">
        <f t="shared" ref="S183" si="893">R183/100000</f>
        <v>594604.4727199442</v>
      </c>
      <c r="T183">
        <f t="shared" ref="T183" si="894">S183/1000</f>
        <v>594.60447271994417</v>
      </c>
    </row>
    <row r="184" spans="1:20" x14ac:dyDescent="0.25">
      <c r="A184" s="5">
        <v>44409</v>
      </c>
      <c r="B184">
        <v>2.7369999999999998E-2</v>
      </c>
      <c r="C184">
        <v>2.8389999999999999E-2</v>
      </c>
      <c r="D184">
        <v>2.4923000000000001E-2</v>
      </c>
      <c r="E184">
        <v>2.5413000000000002E-2</v>
      </c>
      <c r="F184">
        <v>771170703</v>
      </c>
      <c r="G184">
        <v>2.5413000000000002E-2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-0.71733487164695631</v>
      </c>
      <c r="Q184">
        <f t="shared" ref="Q184" si="896">F184*P184</f>
        <v>-553187637.25439811</v>
      </c>
      <c r="R184">
        <f t="shared" ref="R184" si="897">R185+Q184</f>
        <v>59287375588.790535</v>
      </c>
      <c r="S184">
        <f t="shared" ref="S184" si="898">R184/100000</f>
        <v>592873.75588790537</v>
      </c>
      <c r="T184">
        <f t="shared" ref="T184" si="899">S184/1000</f>
        <v>592.87375588790542</v>
      </c>
    </row>
    <row r="185" spans="1:20" x14ac:dyDescent="0.25">
      <c r="A185" s="5">
        <v>44408</v>
      </c>
      <c r="B185">
        <v>2.6141999999999999E-2</v>
      </c>
      <c r="C185">
        <v>2.8184000000000001E-2</v>
      </c>
      <c r="D185">
        <v>2.5898000000000001E-2</v>
      </c>
      <c r="E185">
        <v>2.7400000000000001E-2</v>
      </c>
      <c r="F185">
        <v>975631755</v>
      </c>
      <c r="G185">
        <v>2.7400000000000001E-2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0.31408573928258965</v>
      </c>
      <c r="Q185">
        <f t="shared" ref="Q185" si="901">F185*P185</f>
        <v>306432021.03674537</v>
      </c>
      <c r="R185">
        <f t="shared" ref="R185" si="902">R186+Q185</f>
        <v>59840563226.04493</v>
      </c>
      <c r="S185">
        <f t="shared" ref="S185" si="903">R185/100000</f>
        <v>598405.63226044935</v>
      </c>
      <c r="T185">
        <f t="shared" ref="T185" si="904">S185/1000</f>
        <v>598.40563226044935</v>
      </c>
    </row>
    <row r="186" spans="1:20" x14ac:dyDescent="0.25">
      <c r="A186" s="5">
        <v>44407</v>
      </c>
      <c r="B186">
        <v>2.4101000000000001E-2</v>
      </c>
      <c r="C186">
        <v>2.7040000000000002E-2</v>
      </c>
      <c r="D186">
        <v>2.3918999999999999E-2</v>
      </c>
      <c r="E186">
        <v>2.6136E-2</v>
      </c>
      <c r="F186">
        <v>1180263656</v>
      </c>
      <c r="G186">
        <v>2.6136E-2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0.42069849407241183</v>
      </c>
      <c r="Q186">
        <f t="shared" ref="Q186" si="906">F186*P186</f>
        <v>496535142.68759912</v>
      </c>
      <c r="R186">
        <f t="shared" ref="R186" si="907">R187+Q186</f>
        <v>59534131205.008186</v>
      </c>
      <c r="S186">
        <f t="shared" ref="S186" si="908">R186/100000</f>
        <v>595341.31205008191</v>
      </c>
      <c r="T186">
        <f t="shared" ref="T186" si="909">S186/1000</f>
        <v>595.34131205008191</v>
      </c>
    </row>
    <row r="187" spans="1:20" x14ac:dyDescent="0.25">
      <c r="A187" s="5">
        <v>44406</v>
      </c>
      <c r="B187">
        <v>2.3311999999999999E-2</v>
      </c>
      <c r="C187">
        <v>2.4622000000000002E-2</v>
      </c>
      <c r="D187">
        <v>2.2657E-2</v>
      </c>
      <c r="E187">
        <v>2.4109999999999999E-2</v>
      </c>
      <c r="F187">
        <v>655065859</v>
      </c>
      <c r="G187">
        <v>2.4109999999999999E-2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0.47888040712468027</v>
      </c>
      <c r="Q187">
        <f t="shared" ref="Q187" si="911">F187*P187</f>
        <v>313698205.25139838</v>
      </c>
      <c r="R187">
        <f t="shared" ref="R187" si="912">R188+Q187</f>
        <v>59037596062.320587</v>
      </c>
      <c r="S187">
        <f t="shared" ref="S187" si="913">R187/100000</f>
        <v>590375.96062320587</v>
      </c>
      <c r="T187">
        <f t="shared" ref="T187" si="914">S187/1000</f>
        <v>590.37596062320586</v>
      </c>
    </row>
    <row r="188" spans="1:20" x14ac:dyDescent="0.25">
      <c r="A188" s="5">
        <v>44405</v>
      </c>
      <c r="B188">
        <v>2.3278E-2</v>
      </c>
      <c r="C188">
        <v>2.3484000000000001E-2</v>
      </c>
      <c r="D188">
        <v>2.2592999999999999E-2</v>
      </c>
      <c r="E188">
        <v>2.3316E-2</v>
      </c>
      <c r="F188">
        <v>366339841</v>
      </c>
      <c r="G188">
        <v>2.3316E-2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0.62289562289562084</v>
      </c>
      <c r="Q188">
        <f t="shared" ref="Q188" si="916">F188*P188</f>
        <v>228191483.45117769</v>
      </c>
      <c r="R188">
        <f t="shared" ref="R188" si="917">R189+Q188</f>
        <v>58723897857.069191</v>
      </c>
      <c r="S188">
        <f t="shared" ref="S188" si="918">R188/100000</f>
        <v>587238.97857069189</v>
      </c>
      <c r="T188">
        <f t="shared" ref="T188" si="919">S188/1000</f>
        <v>587.23897857069187</v>
      </c>
    </row>
    <row r="189" spans="1:20" x14ac:dyDescent="0.25">
      <c r="A189" s="5">
        <v>44404</v>
      </c>
      <c r="B189">
        <v>2.2889E-2</v>
      </c>
      <c r="C189">
        <v>2.3642E-2</v>
      </c>
      <c r="D189">
        <v>2.1808999999999999E-2</v>
      </c>
      <c r="E189">
        <v>2.3279999999999999E-2</v>
      </c>
      <c r="F189">
        <v>644625724</v>
      </c>
      <c r="G189">
        <v>2.3279999999999999E-2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0.60501909438079549</v>
      </c>
      <c r="Q189">
        <f t="shared" ref="Q189" si="921">F189*P189</f>
        <v>390010871.7490446</v>
      </c>
      <c r="R189">
        <f t="shared" ref="R189" si="922">R190+Q189</f>
        <v>58495706373.618011</v>
      </c>
      <c r="S189">
        <f t="shared" ref="S189" si="923">R189/100000</f>
        <v>584957.06373618008</v>
      </c>
      <c r="T189">
        <f t="shared" ref="T189" si="924">S189/1000</f>
        <v>584.95706373618009</v>
      </c>
    </row>
    <row r="190" spans="1:20" x14ac:dyDescent="0.25">
      <c r="A190" s="5">
        <v>44403</v>
      </c>
      <c r="B190">
        <v>2.3414999999999998E-2</v>
      </c>
      <c r="C190">
        <v>2.5326000000000001E-2</v>
      </c>
      <c r="D190">
        <v>2.2613000000000001E-2</v>
      </c>
      <c r="E190">
        <v>2.2869E-2</v>
      </c>
      <c r="F190">
        <v>957698806</v>
      </c>
      <c r="G190">
        <v>2.2869E-2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-0.81127902690748299</v>
      </c>
      <c r="Q190">
        <f t="shared" ref="Q190" si="926">F190*P190</f>
        <v>-776960955.40213835</v>
      </c>
      <c r="R190">
        <f t="shared" ref="R190" si="927">R191+Q190</f>
        <v>58105695501.868965</v>
      </c>
      <c r="S190">
        <f t="shared" ref="S190" si="928">R190/100000</f>
        <v>581056.95501868962</v>
      </c>
      <c r="T190">
        <f t="shared" ref="T190" si="929">S190/1000</f>
        <v>581.05695501868968</v>
      </c>
    </row>
    <row r="191" spans="1:20" x14ac:dyDescent="0.25">
      <c r="A191" s="5">
        <v>44402</v>
      </c>
      <c r="B191">
        <v>2.4257000000000001E-2</v>
      </c>
      <c r="C191">
        <v>2.4417000000000001E-2</v>
      </c>
      <c r="D191">
        <v>2.2127999999999998E-2</v>
      </c>
      <c r="E191">
        <v>2.3425000000000001E-2</v>
      </c>
      <c r="F191">
        <v>618790431</v>
      </c>
      <c r="G191">
        <v>2.3425000000000001E-2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0.13324595893403354</v>
      </c>
      <c r="Q191">
        <f t="shared" ref="Q191" si="931">F191*P191</f>
        <v>82451324.357798919</v>
      </c>
      <c r="R191">
        <f t="shared" ref="R191" si="932">R192+Q191</f>
        <v>58882656457.271103</v>
      </c>
      <c r="S191">
        <f t="shared" ref="S191" si="933">R191/100000</f>
        <v>588826.56457271101</v>
      </c>
      <c r="T191">
        <f t="shared" ref="T191:T197" si="934">S191/1000</f>
        <v>588.82656457271105</v>
      </c>
    </row>
    <row r="192" spans="1:20" x14ac:dyDescent="0.25">
      <c r="A192" s="5">
        <v>44401</v>
      </c>
      <c r="B192">
        <v>2.1333000000000001E-2</v>
      </c>
      <c r="C192">
        <v>2.452E-2</v>
      </c>
      <c r="D192">
        <v>2.1208000000000001E-2</v>
      </c>
      <c r="E192">
        <v>2.4233999999999999E-2</v>
      </c>
      <c r="F192">
        <v>960536048</v>
      </c>
      <c r="G192">
        <v>2.4233999999999999E-2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0.82729468599033718</v>
      </c>
      <c r="Q192">
        <f t="shared" ref="Q192" si="936">F192*P192</f>
        <v>794646368.21255946</v>
      </c>
      <c r="R192">
        <f t="shared" ref="R192" si="937">R193+Q192</f>
        <v>58800205132.913307</v>
      </c>
      <c r="S192">
        <f t="shared" ref="S192" si="938">R192/100000</f>
        <v>588002.0513291331</v>
      </c>
      <c r="T192">
        <f t="shared" si="934"/>
        <v>588.00205132913311</v>
      </c>
    </row>
    <row r="193" spans="1:20" x14ac:dyDescent="0.25">
      <c r="A193" s="5">
        <v>44400</v>
      </c>
      <c r="B193">
        <v>2.0135E-2</v>
      </c>
      <c r="C193">
        <v>2.1536E-2</v>
      </c>
      <c r="D193">
        <v>1.984E-2</v>
      </c>
      <c r="E193">
        <v>2.1322000000000001E-2</v>
      </c>
      <c r="F193">
        <v>489160737</v>
      </c>
      <c r="G193">
        <v>2.1322000000000001E-2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0.74764150943396346</v>
      </c>
      <c r="Q193">
        <f t="shared" ref="Q193" si="940">F193*P193</f>
        <v>365716871.76651001</v>
      </c>
      <c r="R193">
        <f t="shared" ref="R193" si="941">R194+Q193</f>
        <v>58005558764.700745</v>
      </c>
      <c r="S193">
        <f t="shared" ref="S193" si="942">R193/100000</f>
        <v>580055.58764700743</v>
      </c>
      <c r="T193">
        <f t="shared" si="934"/>
        <v>580.05558764700743</v>
      </c>
    </row>
    <row r="194" spans="1:20" x14ac:dyDescent="0.25">
      <c r="A194" s="5">
        <v>44399</v>
      </c>
      <c r="B194">
        <v>1.9425000000000001E-2</v>
      </c>
      <c r="C194">
        <v>2.1000000000000001E-2</v>
      </c>
      <c r="D194">
        <v>1.9213999999999998E-2</v>
      </c>
      <c r="E194">
        <v>2.0140999999999999E-2</v>
      </c>
      <c r="F194">
        <v>756432439</v>
      </c>
      <c r="G194">
        <v>2.0140999999999999E-2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3.8073908174691216E-2</v>
      </c>
      <c r="Q194">
        <f t="shared" ref="Q194" si="944">F194*P194</f>
        <v>28800339.222843714</v>
      </c>
      <c r="R194">
        <f t="shared" ref="R194" si="945">R195+Q194</f>
        <v>57639841892.934235</v>
      </c>
      <c r="S194">
        <f t="shared" ref="S194" si="946">R194/100000</f>
        <v>576398.4189293423</v>
      </c>
      <c r="T194">
        <f t="shared" si="934"/>
        <v>576.39841892934226</v>
      </c>
    </row>
    <row r="195" spans="1:20" x14ac:dyDescent="0.25">
      <c r="A195" s="5">
        <v>44398</v>
      </c>
      <c r="B195">
        <v>1.7995000000000001E-2</v>
      </c>
      <c r="C195">
        <v>1.9779000000000001E-2</v>
      </c>
      <c r="D195">
        <v>1.7326000000000001E-2</v>
      </c>
      <c r="E195">
        <v>1.9418999999999999E-2</v>
      </c>
      <c r="F195">
        <v>768046517</v>
      </c>
      <c r="G195">
        <v>1.9418999999999999E-2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0.70648185894822446</v>
      </c>
      <c r="Q195">
        <f t="shared" ref="Q195" si="948">F195*P195</f>
        <v>542610931.08886909</v>
      </c>
      <c r="R195">
        <f t="shared" ref="R195" si="949">R196+Q195</f>
        <v>57611041553.711388</v>
      </c>
      <c r="S195">
        <f t="shared" ref="S195" si="950">R195/100000</f>
        <v>576110.41553711391</v>
      </c>
      <c r="T195">
        <f t="shared" si="934"/>
        <v>576.11041553711391</v>
      </c>
    </row>
    <row r="196" spans="1:20" x14ac:dyDescent="0.25">
      <c r="A196" s="5">
        <v>44397</v>
      </c>
      <c r="B196">
        <v>1.763E-2</v>
      </c>
      <c r="C196">
        <v>1.9269000000000001E-2</v>
      </c>
      <c r="D196">
        <v>1.6143000000000001E-2</v>
      </c>
      <c r="E196">
        <v>1.7964000000000001E-2</v>
      </c>
      <c r="F196">
        <v>1558358137</v>
      </c>
      <c r="G196">
        <v>1.7964000000000001E-2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0.16506717850287878</v>
      </c>
      <c r="Q196">
        <f t="shared" ref="Q196" si="952">F196*P196</f>
        <v>257233780.77159262</v>
      </c>
      <c r="R196">
        <f t="shared" ref="R196" si="953">R197+Q196</f>
        <v>57068430622.62252</v>
      </c>
      <c r="S196">
        <f t="shared" ref="S196" si="954">R196/100000</f>
        <v>570684.30622622522</v>
      </c>
      <c r="T196">
        <f t="shared" si="934"/>
        <v>570.6843062262252</v>
      </c>
    </row>
    <row r="197" spans="1:20" x14ac:dyDescent="0.25">
      <c r="A197" s="5">
        <v>44396</v>
      </c>
      <c r="B197">
        <v>1.857E-2</v>
      </c>
      <c r="C197">
        <v>1.9057999999999999E-2</v>
      </c>
      <c r="D197">
        <v>1.7212000000000002E-2</v>
      </c>
      <c r="E197">
        <v>1.7635000000000001E-2</v>
      </c>
      <c r="F197">
        <v>373411346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-0.54171180931744267</v>
      </c>
      <c r="Q197">
        <f t="shared" ref="Q197" si="956">F197*P197</f>
        <v>-202281335.8613216</v>
      </c>
      <c r="R197">
        <f t="shared" ref="R197" si="957">R198+Q197</f>
        <v>56811196841.850929</v>
      </c>
      <c r="S197">
        <f t="shared" ref="S197" si="958">R197/100000</f>
        <v>568111.96841850935</v>
      </c>
      <c r="T197">
        <f t="shared" si="934"/>
        <v>568.11196841850938</v>
      </c>
    </row>
    <row r="198" spans="1:20" x14ac:dyDescent="0.25">
      <c r="A198" s="5">
        <v>44395</v>
      </c>
      <c r="B198">
        <v>1.8436000000000001E-2</v>
      </c>
      <c r="C198">
        <v>1.8970000000000001E-2</v>
      </c>
      <c r="D198">
        <v>1.8131999999999999E-2</v>
      </c>
      <c r="E198">
        <v>1.8556E-2</v>
      </c>
      <c r="F198">
        <v>240829216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1.1933174224343162E-2</v>
      </c>
      <c r="Q198">
        <f t="shared" ref="Q198:Q261" si="960">F198*P198</f>
        <v>2873856.9928399716</v>
      </c>
      <c r="R198">
        <f t="shared" ref="R198:R261" si="961">R199+Q198</f>
        <v>57013478177.71225</v>
      </c>
      <c r="S198">
        <f t="shared" ref="S198:S261" si="962">R198/100000</f>
        <v>570134.78177712252</v>
      </c>
      <c r="T198">
        <f t="shared" ref="T198:T261" si="963">S198/1000</f>
        <v>570.1347817771225</v>
      </c>
    </row>
    <row r="199" spans="1:20" x14ac:dyDescent="0.25">
      <c r="A199" s="5">
        <v>44394</v>
      </c>
      <c r="B199">
        <v>1.8051999999999999E-2</v>
      </c>
      <c r="C199">
        <v>1.8686999999999999E-2</v>
      </c>
      <c r="D199">
        <v>1.7749000000000001E-2</v>
      </c>
      <c r="E199">
        <v>1.8432E-2</v>
      </c>
      <c r="F199">
        <v>451246600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0.45628997867804078</v>
      </c>
      <c r="Q199">
        <f t="shared" si="960"/>
        <v>205899301.49253839</v>
      </c>
      <c r="R199">
        <f t="shared" si="961"/>
        <v>57010604320.719406</v>
      </c>
      <c r="S199">
        <f t="shared" si="962"/>
        <v>570106.04320719407</v>
      </c>
      <c r="T199">
        <f t="shared" si="963"/>
        <v>570.10604320719403</v>
      </c>
    </row>
    <row r="200" spans="1:20" x14ac:dyDescent="0.25">
      <c r="A200" s="5">
        <v>44393</v>
      </c>
      <c r="B200">
        <v>1.9193000000000002E-2</v>
      </c>
      <c r="C200">
        <v>1.9758999999999999E-2</v>
      </c>
      <c r="D200">
        <v>1.8002000000000001E-2</v>
      </c>
      <c r="E200">
        <v>1.806E-2</v>
      </c>
      <c r="F200">
        <v>337282779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-0.93397837222538527</v>
      </c>
      <c r="Q200">
        <f t="shared" si="960"/>
        <v>-315014820.91007435</v>
      </c>
      <c r="R200">
        <f t="shared" si="961"/>
        <v>56804705019.226868</v>
      </c>
      <c r="S200">
        <f t="shared" si="962"/>
        <v>568047.05019226868</v>
      </c>
      <c r="T200">
        <f t="shared" si="963"/>
        <v>568.04705019226867</v>
      </c>
    </row>
    <row r="201" spans="1:20" x14ac:dyDescent="0.25">
      <c r="A201" s="5">
        <v>44392</v>
      </c>
      <c r="B201">
        <v>2.0160000000000001E-2</v>
      </c>
      <c r="C201">
        <v>2.0448999999999998E-2</v>
      </c>
      <c r="D201">
        <v>1.8831000000000001E-2</v>
      </c>
      <c r="E201">
        <v>1.9146E-2</v>
      </c>
      <c r="F201">
        <v>333581899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-0.61063040791100154</v>
      </c>
      <c r="Q201">
        <f t="shared" si="960"/>
        <v>-203695251.05809653</v>
      </c>
      <c r="R201">
        <f t="shared" si="961"/>
        <v>57119719840.13694</v>
      </c>
      <c r="S201">
        <f t="shared" si="962"/>
        <v>571197.19840136939</v>
      </c>
      <c r="T201">
        <f t="shared" si="963"/>
        <v>571.19719840136941</v>
      </c>
    </row>
    <row r="202" spans="1:20" x14ac:dyDescent="0.25">
      <c r="A202" s="5">
        <v>44391</v>
      </c>
      <c r="B202">
        <v>2.0417000000000001E-2</v>
      </c>
      <c r="C202">
        <v>2.0478E-2</v>
      </c>
      <c r="D202">
        <v>1.8790999999999999E-2</v>
      </c>
      <c r="E202">
        <v>2.0157999999999999E-2</v>
      </c>
      <c r="F202">
        <v>405610552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0.62062833432127962</v>
      </c>
      <c r="Q202">
        <f t="shared" si="960"/>
        <v>251733401.27089477</v>
      </c>
      <c r="R202">
        <f t="shared" si="961"/>
        <v>57323415091.195038</v>
      </c>
      <c r="S202">
        <f t="shared" si="962"/>
        <v>573234.15091195039</v>
      </c>
      <c r="T202">
        <f t="shared" si="963"/>
        <v>573.23415091195034</v>
      </c>
    </row>
    <row r="203" spans="1:20" x14ac:dyDescent="0.25">
      <c r="A203" s="5">
        <v>44390</v>
      </c>
      <c r="B203">
        <v>2.1294E-2</v>
      </c>
      <c r="C203">
        <v>2.1319000000000001E-2</v>
      </c>
      <c r="D203">
        <v>1.9900000000000001E-2</v>
      </c>
      <c r="E203">
        <v>2.0447E-2</v>
      </c>
      <c r="F203">
        <v>259624050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-0.2290345313601144</v>
      </c>
      <c r="Q203">
        <f t="shared" si="960"/>
        <v>-59462872.62156491</v>
      </c>
      <c r="R203">
        <f t="shared" si="961"/>
        <v>57071681689.924141</v>
      </c>
      <c r="S203">
        <f t="shared" si="962"/>
        <v>570716.81689924141</v>
      </c>
      <c r="T203">
        <f t="shared" si="963"/>
        <v>570.71681689924139</v>
      </c>
    </row>
    <row r="204" spans="1:20" x14ac:dyDescent="0.25">
      <c r="A204" s="5">
        <v>44389</v>
      </c>
      <c r="B204">
        <v>2.1536E-2</v>
      </c>
      <c r="C204">
        <v>2.1551000000000001E-2</v>
      </c>
      <c r="D204">
        <v>2.0289000000000001E-2</v>
      </c>
      <c r="E204">
        <v>2.1302000000000001E-2</v>
      </c>
      <c r="F204">
        <v>279838403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0.60538827258320227</v>
      </c>
      <c r="Q204">
        <f t="shared" si="960"/>
        <v>169410887.39461201</v>
      </c>
      <c r="R204">
        <f t="shared" si="961"/>
        <v>57131144562.545708</v>
      </c>
      <c r="S204">
        <f t="shared" si="962"/>
        <v>571311.4456254571</v>
      </c>
      <c r="T204">
        <f t="shared" si="963"/>
        <v>571.31144562545705</v>
      </c>
    </row>
    <row r="205" spans="1:20" x14ac:dyDescent="0.25">
      <c r="A205" s="5">
        <v>44388</v>
      </c>
      <c r="B205">
        <v>2.0745E-2</v>
      </c>
      <c r="C205">
        <v>2.1998E-2</v>
      </c>
      <c r="D205">
        <v>2.0344000000000001E-2</v>
      </c>
      <c r="E205">
        <v>2.1499999999999998E-2</v>
      </c>
      <c r="F205">
        <v>199915473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0.39782345828294785</v>
      </c>
      <c r="Q205">
        <f t="shared" si="960"/>
        <v>79531064.833131284</v>
      </c>
      <c r="R205">
        <f t="shared" si="961"/>
        <v>56961733675.151093</v>
      </c>
      <c r="S205">
        <f t="shared" si="962"/>
        <v>569617.33675151097</v>
      </c>
      <c r="T205">
        <f t="shared" si="963"/>
        <v>569.61733675151095</v>
      </c>
    </row>
    <row r="206" spans="1:20" x14ac:dyDescent="0.25">
      <c r="A206" s="5">
        <v>44387</v>
      </c>
      <c r="B206">
        <v>2.1263000000000001E-2</v>
      </c>
      <c r="C206">
        <v>2.1558999999999998E-2</v>
      </c>
      <c r="D206">
        <v>2.0282000000000001E-2</v>
      </c>
      <c r="E206">
        <v>2.0736000000000001E-2</v>
      </c>
      <c r="F206">
        <v>207935746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-0.28895849647611488</v>
      </c>
      <c r="Q206">
        <f t="shared" si="960"/>
        <v>-60084800.527799316</v>
      </c>
      <c r="R206">
        <f t="shared" si="961"/>
        <v>56882202610.317963</v>
      </c>
      <c r="S206">
        <f t="shared" si="962"/>
        <v>568822.02610317967</v>
      </c>
      <c r="T206">
        <f t="shared" si="963"/>
        <v>568.82202610317972</v>
      </c>
    </row>
    <row r="207" spans="1:20" x14ac:dyDescent="0.25">
      <c r="A207" s="5">
        <v>44386</v>
      </c>
      <c r="B207">
        <v>2.0983000000000002E-2</v>
      </c>
      <c r="C207">
        <v>2.1375000000000002E-2</v>
      </c>
      <c r="D207">
        <v>1.9618E-2</v>
      </c>
      <c r="E207">
        <v>2.1263000000000001E-2</v>
      </c>
      <c r="F207">
        <v>437062083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0.87250996015936155</v>
      </c>
      <c r="Q207">
        <f t="shared" si="960"/>
        <v>381341020.62549758</v>
      </c>
      <c r="R207">
        <f t="shared" si="961"/>
        <v>56942287410.845764</v>
      </c>
      <c r="S207">
        <f t="shared" si="962"/>
        <v>569422.87410845759</v>
      </c>
      <c r="T207">
        <f t="shared" si="963"/>
        <v>569.42287410845756</v>
      </c>
    </row>
    <row r="208" spans="1:20" x14ac:dyDescent="0.25">
      <c r="A208" s="5">
        <v>44385</v>
      </c>
      <c r="B208">
        <v>2.3942000000000001E-2</v>
      </c>
      <c r="C208">
        <v>2.3976000000000001E-2</v>
      </c>
      <c r="D208">
        <v>2.0444E-2</v>
      </c>
      <c r="E208">
        <v>2.0972999999999999E-2</v>
      </c>
      <c r="F208">
        <v>674139556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-0.70045300113250386</v>
      </c>
      <c r="Q208">
        <f t="shared" si="960"/>
        <v>-472203075.18233365</v>
      </c>
      <c r="R208">
        <f t="shared" si="961"/>
        <v>56560946390.220268</v>
      </c>
      <c r="S208">
        <f t="shared" si="962"/>
        <v>565609.46390220267</v>
      </c>
      <c r="T208">
        <f t="shared" si="963"/>
        <v>565.60946390220272</v>
      </c>
    </row>
    <row r="209" spans="1:20" x14ac:dyDescent="0.25">
      <c r="A209" s="5">
        <v>44384</v>
      </c>
      <c r="B209">
        <v>2.4173E-2</v>
      </c>
      <c r="C209">
        <v>2.4563000000000001E-2</v>
      </c>
      <c r="D209">
        <v>2.3622000000000001E-2</v>
      </c>
      <c r="E209">
        <v>2.3928000000000001E-2</v>
      </c>
      <c r="F209">
        <v>379418960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-0.34962805526036039</v>
      </c>
      <c r="Q209">
        <f t="shared" si="960"/>
        <v>-132655513.11370847</v>
      </c>
      <c r="R209">
        <f t="shared" si="961"/>
        <v>57033149465.402603</v>
      </c>
      <c r="S209">
        <f t="shared" si="962"/>
        <v>570331.494654026</v>
      </c>
      <c r="T209">
        <f t="shared" si="963"/>
        <v>570.33149465402596</v>
      </c>
    </row>
    <row r="210" spans="1:20" x14ac:dyDescent="0.25">
      <c r="A210" s="5">
        <v>44383</v>
      </c>
      <c r="B210">
        <v>2.4201E-2</v>
      </c>
      <c r="C210">
        <v>2.495E-2</v>
      </c>
      <c r="D210">
        <v>2.3414000000000001E-2</v>
      </c>
      <c r="E210">
        <v>2.4184000000000001E-2</v>
      </c>
      <c r="F210">
        <v>517153951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2.6041666666670139E-3</v>
      </c>
      <c r="Q210">
        <f t="shared" si="960"/>
        <v>1346755.0807293463</v>
      </c>
      <c r="R210">
        <f t="shared" si="961"/>
        <v>57165804978.516312</v>
      </c>
      <c r="S210">
        <f t="shared" si="962"/>
        <v>571658.04978516314</v>
      </c>
      <c r="T210">
        <f t="shared" si="963"/>
        <v>571.65804978516314</v>
      </c>
    </row>
    <row r="211" spans="1:20" x14ac:dyDescent="0.25">
      <c r="A211" s="5">
        <v>44382</v>
      </c>
      <c r="B211">
        <v>2.5649000000000002E-2</v>
      </c>
      <c r="C211">
        <v>2.5649000000000002E-2</v>
      </c>
      <c r="D211">
        <v>2.3099999999999999E-2</v>
      </c>
      <c r="E211">
        <v>2.418E-2</v>
      </c>
      <c r="F211">
        <v>622756745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-0.15260886622204789</v>
      </c>
      <c r="Q211">
        <f t="shared" si="960"/>
        <v>-95038200.786582991</v>
      </c>
      <c r="R211">
        <f t="shared" si="961"/>
        <v>57164458223.435585</v>
      </c>
      <c r="S211">
        <f t="shared" si="962"/>
        <v>571644.58223435585</v>
      </c>
      <c r="T211">
        <f t="shared" si="963"/>
        <v>571.64458223435588</v>
      </c>
    </row>
    <row r="212" spans="1:20" x14ac:dyDescent="0.25">
      <c r="A212" s="5">
        <v>44381</v>
      </c>
      <c r="B212">
        <v>2.5166000000000001E-2</v>
      </c>
      <c r="C212">
        <v>2.5700000000000001E-2</v>
      </c>
      <c r="D212">
        <v>2.3702000000000001E-2</v>
      </c>
      <c r="E212">
        <v>2.5675E-2</v>
      </c>
      <c r="F212">
        <v>501214016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0.97497497497497421</v>
      </c>
      <c r="Q212">
        <f t="shared" si="960"/>
        <v>488671122.70670635</v>
      </c>
      <c r="R212">
        <f t="shared" si="961"/>
        <v>57259496424.222168</v>
      </c>
      <c r="S212">
        <f t="shared" si="962"/>
        <v>572594.96424222167</v>
      </c>
      <c r="T212">
        <f t="shared" si="963"/>
        <v>572.59496424222164</v>
      </c>
    </row>
    <row r="213" spans="1:20" x14ac:dyDescent="0.25">
      <c r="A213" s="5">
        <v>44380</v>
      </c>
      <c r="B213">
        <v>2.5260000000000001E-2</v>
      </c>
      <c r="C213">
        <v>2.5373E-2</v>
      </c>
      <c r="D213">
        <v>2.3203000000000001E-2</v>
      </c>
      <c r="E213">
        <v>2.5184999999999999E-2</v>
      </c>
      <c r="F213">
        <v>765347561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0.82672811059907758</v>
      </c>
      <c r="Q213">
        <f t="shared" si="960"/>
        <v>632734343.05714226</v>
      </c>
      <c r="R213">
        <f t="shared" si="961"/>
        <v>56770825301.515465</v>
      </c>
      <c r="S213">
        <f t="shared" si="962"/>
        <v>567708.25301515462</v>
      </c>
      <c r="T213">
        <f t="shared" si="963"/>
        <v>567.70825301515458</v>
      </c>
    </row>
    <row r="214" spans="1:20" x14ac:dyDescent="0.25">
      <c r="A214" s="5">
        <v>44379</v>
      </c>
      <c r="B214">
        <v>2.1526E-2</v>
      </c>
      <c r="C214">
        <v>2.5714000000000001E-2</v>
      </c>
      <c r="D214">
        <v>2.145E-2</v>
      </c>
      <c r="E214">
        <v>2.5264000000000002E-2</v>
      </c>
      <c r="F214">
        <v>1345115509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0.78893058161350893</v>
      </c>
      <c r="Q214">
        <f t="shared" si="960"/>
        <v>1061202760.8527211</v>
      </c>
      <c r="R214">
        <f t="shared" si="961"/>
        <v>56138090958.458321</v>
      </c>
      <c r="S214">
        <f t="shared" si="962"/>
        <v>561380.90958458325</v>
      </c>
      <c r="T214">
        <f t="shared" si="963"/>
        <v>561.38090958458326</v>
      </c>
    </row>
    <row r="215" spans="1:20" x14ac:dyDescent="0.25">
      <c r="A215" s="5">
        <v>44378</v>
      </c>
      <c r="B215">
        <v>2.2454999999999999E-2</v>
      </c>
      <c r="C215">
        <v>2.2474999999999998E-2</v>
      </c>
      <c r="D215">
        <v>2.0551E-2</v>
      </c>
      <c r="E215">
        <v>2.1505E-2</v>
      </c>
      <c r="F215">
        <v>448470659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-8.3160083160076226E-3</v>
      </c>
      <c r="Q215">
        <f t="shared" si="960"/>
        <v>-3729485.7297294186</v>
      </c>
      <c r="R215">
        <f t="shared" si="961"/>
        <v>55076888197.605598</v>
      </c>
      <c r="S215">
        <f t="shared" si="962"/>
        <v>550768.88197605603</v>
      </c>
      <c r="T215">
        <f t="shared" si="963"/>
        <v>550.76888197605604</v>
      </c>
    </row>
    <row r="216" spans="1:20" x14ac:dyDescent="0.25">
      <c r="A216" s="5">
        <v>44377</v>
      </c>
      <c r="B216">
        <v>2.1874999999999999E-2</v>
      </c>
      <c r="C216">
        <v>2.2481000000000001E-2</v>
      </c>
      <c r="D216">
        <v>2.0327999999999999E-2</v>
      </c>
      <c r="E216">
        <v>2.2450999999999999E-2</v>
      </c>
      <c r="F216">
        <v>541740809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0.97213190896423385</v>
      </c>
      <c r="Q216">
        <f t="shared" si="960"/>
        <v>526643526.81699842</v>
      </c>
      <c r="R216">
        <f t="shared" si="961"/>
        <v>55080617683.335327</v>
      </c>
      <c r="S216">
        <f t="shared" si="962"/>
        <v>550806.17683335324</v>
      </c>
      <c r="T216">
        <f t="shared" si="963"/>
        <v>550.80617683335322</v>
      </c>
    </row>
    <row r="217" spans="1:20" x14ac:dyDescent="0.25">
      <c r="A217" s="5">
        <v>44376</v>
      </c>
      <c r="B217">
        <v>1.9827999999999998E-2</v>
      </c>
      <c r="C217">
        <v>2.2159000000000002E-2</v>
      </c>
      <c r="D217">
        <v>1.9827999999999998E-2</v>
      </c>
      <c r="E217">
        <v>2.1902000000000001E-2</v>
      </c>
      <c r="F217">
        <v>1110576192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0.77949377949377952</v>
      </c>
      <c r="Q217">
        <f t="shared" si="960"/>
        <v>865687233.31788933</v>
      </c>
      <c r="R217">
        <f t="shared" si="961"/>
        <v>54553974156.518326</v>
      </c>
      <c r="S217">
        <f t="shared" si="962"/>
        <v>545539.74156518327</v>
      </c>
      <c r="T217">
        <f t="shared" si="963"/>
        <v>545.53974156518325</v>
      </c>
    </row>
    <row r="218" spans="1:20" x14ac:dyDescent="0.25">
      <c r="A218" s="5">
        <v>44375</v>
      </c>
      <c r="B218">
        <v>1.8893E-2</v>
      </c>
      <c r="C218">
        <v>1.9887999999999999E-2</v>
      </c>
      <c r="D218">
        <v>1.8478999999999999E-2</v>
      </c>
      <c r="E218">
        <v>1.9827000000000001E-2</v>
      </c>
      <c r="F218">
        <v>521747041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0.91341376863023627</v>
      </c>
      <c r="Q218">
        <f t="shared" si="960"/>
        <v>476570930.9914844</v>
      </c>
      <c r="R218">
        <f t="shared" si="961"/>
        <v>53688286923.200439</v>
      </c>
      <c r="S218">
        <f t="shared" si="962"/>
        <v>536882.86923200439</v>
      </c>
      <c r="T218">
        <f t="shared" si="963"/>
        <v>536.8828692320044</v>
      </c>
    </row>
    <row r="219" spans="1:20" x14ac:dyDescent="0.25">
      <c r="A219" s="5">
        <v>44374</v>
      </c>
      <c r="B219">
        <v>1.8495999999999999E-2</v>
      </c>
      <c r="C219">
        <v>1.89E-2</v>
      </c>
      <c r="D219">
        <v>1.7399999999999999E-2</v>
      </c>
      <c r="E219">
        <v>1.8889E-2</v>
      </c>
      <c r="F219">
        <v>347546919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0.98533333333333251</v>
      </c>
      <c r="Q219">
        <f t="shared" si="960"/>
        <v>342449564.18799973</v>
      </c>
      <c r="R219">
        <f t="shared" si="961"/>
        <v>53211715992.208954</v>
      </c>
      <c r="S219">
        <f t="shared" si="962"/>
        <v>532117.15992208954</v>
      </c>
      <c r="T219">
        <f t="shared" si="963"/>
        <v>532.11715992208951</v>
      </c>
    </row>
    <row r="220" spans="1:20" x14ac:dyDescent="0.25">
      <c r="A220" s="5">
        <v>44373</v>
      </c>
      <c r="B220">
        <v>1.7815999999999999E-2</v>
      </c>
      <c r="C220">
        <v>1.8667E-2</v>
      </c>
      <c r="D220">
        <v>1.6844000000000001E-2</v>
      </c>
      <c r="E220">
        <v>1.8492000000000001E-2</v>
      </c>
      <c r="F220">
        <v>647311135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0.80800877674163663</v>
      </c>
      <c r="Q220">
        <f t="shared" si="960"/>
        <v>523033078.36259043</v>
      </c>
      <c r="R220">
        <f t="shared" si="961"/>
        <v>52869266428.020958</v>
      </c>
      <c r="S220">
        <f t="shared" si="962"/>
        <v>528692.66428020957</v>
      </c>
      <c r="T220">
        <f t="shared" si="963"/>
        <v>528.69266428020956</v>
      </c>
    </row>
    <row r="221" spans="1:20" x14ac:dyDescent="0.25">
      <c r="A221" s="5">
        <v>44372</v>
      </c>
      <c r="B221">
        <v>1.9529999999999999E-2</v>
      </c>
      <c r="C221">
        <v>2.0673E-2</v>
      </c>
      <c r="D221">
        <v>1.7471E-2</v>
      </c>
      <c r="E221">
        <v>1.7821E-2</v>
      </c>
      <c r="F221">
        <v>1100092853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-0.78138663335415393</v>
      </c>
      <c r="Q221">
        <f t="shared" si="960"/>
        <v>-859597850.78263617</v>
      </c>
      <c r="R221">
        <f t="shared" si="961"/>
        <v>52346233349.658371</v>
      </c>
      <c r="S221">
        <f t="shared" si="962"/>
        <v>523462.33349658368</v>
      </c>
      <c r="T221">
        <f t="shared" si="963"/>
        <v>523.46233349658371</v>
      </c>
    </row>
    <row r="222" spans="1:20" x14ac:dyDescent="0.25">
      <c r="A222" s="5">
        <v>44371</v>
      </c>
      <c r="B222">
        <v>1.8613000000000001E-2</v>
      </c>
      <c r="C222">
        <v>1.984E-2</v>
      </c>
      <c r="D222">
        <v>1.7292999999999999E-2</v>
      </c>
      <c r="E222">
        <v>1.9547999999999999E-2</v>
      </c>
      <c r="F222">
        <v>592279718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0.77071063996859013</v>
      </c>
      <c r="Q222">
        <f t="shared" si="960"/>
        <v>456476280.5001961</v>
      </c>
      <c r="R222">
        <f t="shared" si="961"/>
        <v>53205831200.44101</v>
      </c>
      <c r="S222">
        <f t="shared" si="962"/>
        <v>532058.31200441008</v>
      </c>
      <c r="T222">
        <f t="shared" si="963"/>
        <v>532.05831200441003</v>
      </c>
    </row>
    <row r="223" spans="1:20" x14ac:dyDescent="0.25">
      <c r="A223" s="5">
        <v>44370</v>
      </c>
      <c r="B223">
        <v>1.6171999999999999E-2</v>
      </c>
      <c r="C223">
        <v>1.9293000000000001E-2</v>
      </c>
      <c r="D223">
        <v>1.5329000000000001E-2</v>
      </c>
      <c r="E223">
        <v>1.8599999999999998E-2</v>
      </c>
      <c r="F223">
        <v>1001427021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0.65035317860746589</v>
      </c>
      <c r="Q223">
        <f t="shared" si="960"/>
        <v>651281246.25075555</v>
      </c>
      <c r="R223">
        <f t="shared" si="961"/>
        <v>52749354919.940811</v>
      </c>
      <c r="S223">
        <f t="shared" si="962"/>
        <v>527493.54919940815</v>
      </c>
      <c r="T223">
        <f t="shared" si="963"/>
        <v>527.49354919940811</v>
      </c>
    </row>
    <row r="224" spans="1:20" x14ac:dyDescent="0.25">
      <c r="A224" s="5">
        <v>44369</v>
      </c>
      <c r="B224">
        <v>1.7291999999999998E-2</v>
      </c>
      <c r="C224">
        <v>1.9161000000000001E-2</v>
      </c>
      <c r="D224">
        <v>1.4272E-2</v>
      </c>
      <c r="E224">
        <v>1.617E-2</v>
      </c>
      <c r="F224">
        <v>2135544483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-0.2235631008386173</v>
      </c>
      <c r="Q224">
        <f t="shared" si="960"/>
        <v>-477428946.59828186</v>
      </c>
      <c r="R224">
        <f t="shared" si="961"/>
        <v>52098073673.690056</v>
      </c>
      <c r="S224">
        <f t="shared" si="962"/>
        <v>520980.73673690058</v>
      </c>
      <c r="T224">
        <f t="shared" si="963"/>
        <v>520.98073673690055</v>
      </c>
    </row>
    <row r="225" spans="1:20" x14ac:dyDescent="0.25">
      <c r="A225" s="5">
        <v>44368</v>
      </c>
      <c r="B225">
        <v>2.3647000000000001E-2</v>
      </c>
      <c r="C225">
        <v>2.4E-2</v>
      </c>
      <c r="D225">
        <v>1.6965999999999998E-2</v>
      </c>
      <c r="E225">
        <v>1.7301E-2</v>
      </c>
      <c r="F225">
        <v>1378235569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-0.90474836508387779</v>
      </c>
      <c r="Q225">
        <f t="shared" si="960"/>
        <v>-1246956377.7531981</v>
      </c>
      <c r="R225">
        <f t="shared" si="961"/>
        <v>52575502620.288338</v>
      </c>
      <c r="S225">
        <f t="shared" si="962"/>
        <v>525755.02620288334</v>
      </c>
      <c r="T225">
        <f t="shared" si="963"/>
        <v>525.7550262028833</v>
      </c>
    </row>
    <row r="226" spans="1:20" x14ac:dyDescent="0.25">
      <c r="A226" s="5">
        <v>44367</v>
      </c>
      <c r="B226">
        <v>2.4195000000000001E-2</v>
      </c>
      <c r="C226">
        <v>2.4927999999999999E-2</v>
      </c>
      <c r="D226">
        <v>2.2033000000000001E-2</v>
      </c>
      <c r="E226">
        <v>2.3619999999999999E-2</v>
      </c>
      <c r="F226">
        <v>610125576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9.6373056994818018E-2</v>
      </c>
      <c r="Q226">
        <f t="shared" si="960"/>
        <v>58799666.909844175</v>
      </c>
      <c r="R226">
        <f t="shared" si="961"/>
        <v>53822458998.041534</v>
      </c>
      <c r="S226">
        <f t="shared" si="962"/>
        <v>538224.5899804153</v>
      </c>
      <c r="T226">
        <f t="shared" si="963"/>
        <v>538.22458998041532</v>
      </c>
    </row>
    <row r="227" spans="1:20" x14ac:dyDescent="0.25">
      <c r="A227" s="5">
        <v>44366</v>
      </c>
      <c r="B227">
        <v>2.5472000000000002E-2</v>
      </c>
      <c r="C227">
        <v>2.5689E-2</v>
      </c>
      <c r="D227">
        <v>2.4199999999999999E-2</v>
      </c>
      <c r="E227">
        <v>2.4233999999999999E-2</v>
      </c>
      <c r="F227">
        <v>368479826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-0.95433176628609906</v>
      </c>
      <c r="Q227">
        <f t="shared" si="960"/>
        <v>-351652003.18737447</v>
      </c>
      <c r="R227">
        <f t="shared" si="961"/>
        <v>53763659331.131691</v>
      </c>
      <c r="S227">
        <f t="shared" si="962"/>
        <v>537636.59331131692</v>
      </c>
      <c r="T227">
        <f t="shared" si="963"/>
        <v>537.63659331131691</v>
      </c>
    </row>
    <row r="228" spans="1:20" x14ac:dyDescent="0.25">
      <c r="A228" s="5">
        <v>44365</v>
      </c>
      <c r="B228">
        <v>2.6825000000000002E-2</v>
      </c>
      <c r="C228">
        <v>2.7837000000000001E-2</v>
      </c>
      <c r="D228">
        <v>2.4715000000000001E-2</v>
      </c>
      <c r="E228">
        <v>2.5468000000000001E-2</v>
      </c>
      <c r="F228">
        <v>513621331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-0.51761691223574613</v>
      </c>
      <c r="Q228">
        <f t="shared" si="960"/>
        <v>-265859087.4106341</v>
      </c>
      <c r="R228">
        <f t="shared" si="961"/>
        <v>54115311334.319069</v>
      </c>
      <c r="S228">
        <f t="shared" si="962"/>
        <v>541153.11334319063</v>
      </c>
      <c r="T228">
        <f t="shared" si="963"/>
        <v>541.15311334319063</v>
      </c>
    </row>
    <row r="229" spans="1:20" x14ac:dyDescent="0.25">
      <c r="A229" s="5">
        <v>44364</v>
      </c>
      <c r="B229">
        <v>2.7278E-2</v>
      </c>
      <c r="C229">
        <v>2.8000000000000001E-2</v>
      </c>
      <c r="D229">
        <v>2.6179999999999998E-2</v>
      </c>
      <c r="E229">
        <v>2.6825000000000002E-2</v>
      </c>
      <c r="F229">
        <v>299419240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-0.29120879120878851</v>
      </c>
      <c r="Q229">
        <f t="shared" si="960"/>
        <v>-87193514.945054144</v>
      </c>
      <c r="R229">
        <f t="shared" si="961"/>
        <v>54381170421.729706</v>
      </c>
      <c r="S229">
        <f t="shared" si="962"/>
        <v>543811.70421729703</v>
      </c>
      <c r="T229">
        <f t="shared" si="963"/>
        <v>543.81170421729701</v>
      </c>
    </row>
    <row r="230" spans="1:20" x14ac:dyDescent="0.25">
      <c r="A230" s="5">
        <v>44363</v>
      </c>
      <c r="B230">
        <v>2.9037E-2</v>
      </c>
      <c r="C230">
        <v>2.9042999999999999E-2</v>
      </c>
      <c r="D230">
        <v>2.7038E-2</v>
      </c>
      <c r="E230">
        <v>2.7293000000000001E-2</v>
      </c>
      <c r="F230">
        <v>298282762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-0.74563591022443709</v>
      </c>
      <c r="Q230">
        <f t="shared" si="960"/>
        <v>-222410338.74812913</v>
      </c>
      <c r="R230">
        <f t="shared" si="961"/>
        <v>54468363936.674759</v>
      </c>
      <c r="S230">
        <f t="shared" si="962"/>
        <v>544683.63936674758</v>
      </c>
      <c r="T230">
        <f t="shared" si="963"/>
        <v>544.68363936674757</v>
      </c>
    </row>
    <row r="231" spans="1:20" x14ac:dyDescent="0.25">
      <c r="A231" s="5">
        <v>44362</v>
      </c>
      <c r="B231">
        <v>2.9377E-2</v>
      </c>
      <c r="C231">
        <v>3.0095E-2</v>
      </c>
      <c r="D231">
        <v>2.81E-2</v>
      </c>
      <c r="E231">
        <v>2.9020000000000001E-2</v>
      </c>
      <c r="F231">
        <v>330424042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-7.7694235588971858E-2</v>
      </c>
      <c r="Q231">
        <f t="shared" si="960"/>
        <v>-25672043.363408331</v>
      </c>
      <c r="R231">
        <f t="shared" si="961"/>
        <v>54690774275.42289</v>
      </c>
      <c r="S231">
        <f t="shared" si="962"/>
        <v>546907.74275422888</v>
      </c>
      <c r="T231">
        <f t="shared" si="963"/>
        <v>546.90774275422893</v>
      </c>
    </row>
    <row r="232" spans="1:20" x14ac:dyDescent="0.25">
      <c r="A232" s="5">
        <v>44361</v>
      </c>
      <c r="B232">
        <v>2.7955000000000001E-2</v>
      </c>
      <c r="C232">
        <v>2.9499999999999998E-2</v>
      </c>
      <c r="D232">
        <v>2.7210999999999999E-2</v>
      </c>
      <c r="E232">
        <v>2.9394E-2</v>
      </c>
      <c r="F232">
        <v>382901184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0.90738313674093618</v>
      </c>
      <c r="Q232">
        <f t="shared" si="960"/>
        <v>347438077.39973837</v>
      </c>
      <c r="R232">
        <f t="shared" si="961"/>
        <v>54716446318.786301</v>
      </c>
      <c r="S232">
        <f t="shared" si="962"/>
        <v>547164.463187863</v>
      </c>
      <c r="T232">
        <f t="shared" si="963"/>
        <v>547.16446318786302</v>
      </c>
    </row>
    <row r="233" spans="1:20" x14ac:dyDescent="0.25">
      <c r="A233" s="5">
        <v>44360</v>
      </c>
      <c r="B233">
        <v>2.648E-2</v>
      </c>
      <c r="C233">
        <v>2.8310999999999999E-2</v>
      </c>
      <c r="D233">
        <v>2.6102E-2</v>
      </c>
      <c r="E233">
        <v>2.7951E-2</v>
      </c>
      <c r="F233">
        <v>371840189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0.67406066093254924</v>
      </c>
      <c r="Q233">
        <f t="shared" si="960"/>
        <v>250642843.55862403</v>
      </c>
      <c r="R233">
        <f t="shared" si="961"/>
        <v>54369008241.386559</v>
      </c>
      <c r="S233">
        <f t="shared" si="962"/>
        <v>543690.0824138656</v>
      </c>
      <c r="T233">
        <f t="shared" si="963"/>
        <v>543.69008241386564</v>
      </c>
    </row>
    <row r="234" spans="1:20" x14ac:dyDescent="0.25">
      <c r="A234" s="5">
        <v>44359</v>
      </c>
      <c r="B234">
        <v>2.7758000000000001E-2</v>
      </c>
      <c r="C234">
        <v>2.7765999999999999E-2</v>
      </c>
      <c r="D234">
        <v>2.5964000000000001E-2</v>
      </c>
      <c r="E234">
        <v>2.6454999999999999E-2</v>
      </c>
      <c r="F234">
        <v>402202581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-0.45504994450610553</v>
      </c>
      <c r="Q234">
        <f t="shared" si="960"/>
        <v>-183022262.16426241</v>
      </c>
      <c r="R234">
        <f t="shared" si="961"/>
        <v>54118365397.827934</v>
      </c>
      <c r="S234">
        <f t="shared" si="962"/>
        <v>541183.65397827933</v>
      </c>
      <c r="T234">
        <f t="shared" si="963"/>
        <v>541.18365397827938</v>
      </c>
    </row>
    <row r="235" spans="1:20" x14ac:dyDescent="0.25">
      <c r="A235" s="5">
        <v>44358</v>
      </c>
      <c r="B235">
        <v>2.8738E-2</v>
      </c>
      <c r="C235">
        <v>3.0293E-2</v>
      </c>
      <c r="D235">
        <v>2.7251000000000001E-2</v>
      </c>
      <c r="E235">
        <v>2.7774E-2</v>
      </c>
      <c r="F235">
        <v>398226011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-0.65614727153188745</v>
      </c>
      <c r="Q235">
        <f t="shared" si="960"/>
        <v>-261294910.5706774</v>
      </c>
      <c r="R235">
        <f t="shared" si="961"/>
        <v>54301387659.992195</v>
      </c>
      <c r="S235">
        <f t="shared" si="962"/>
        <v>543013.87659992196</v>
      </c>
      <c r="T235">
        <f t="shared" si="963"/>
        <v>543.01387659992201</v>
      </c>
    </row>
    <row r="236" spans="1:20" x14ac:dyDescent="0.25">
      <c r="A236" s="5">
        <v>44357</v>
      </c>
      <c r="B236">
        <v>2.98E-2</v>
      </c>
      <c r="C236">
        <v>3.0554999999999999E-2</v>
      </c>
      <c r="D236">
        <v>2.8004000000000001E-2</v>
      </c>
      <c r="E236">
        <v>2.8738E-2</v>
      </c>
      <c r="F236">
        <v>366472658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-0.42453939631517112</v>
      </c>
      <c r="Q236">
        <f t="shared" si="960"/>
        <v>-155582080.99333617</v>
      </c>
      <c r="R236">
        <f t="shared" si="961"/>
        <v>54562682570.562874</v>
      </c>
      <c r="S236">
        <f t="shared" si="962"/>
        <v>545626.82570562873</v>
      </c>
      <c r="T236">
        <f t="shared" si="963"/>
        <v>545.62682570562868</v>
      </c>
    </row>
    <row r="237" spans="1:20" x14ac:dyDescent="0.25">
      <c r="A237" s="5">
        <v>44356</v>
      </c>
      <c r="B237">
        <v>2.8434000000000001E-2</v>
      </c>
      <c r="C237">
        <v>2.9862E-2</v>
      </c>
      <c r="D237">
        <v>2.7149E-2</v>
      </c>
      <c r="E237">
        <v>2.9770999999999999E-2</v>
      </c>
      <c r="F237">
        <v>391310743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0.93291559159601856</v>
      </c>
      <c r="Q237">
        <f t="shared" si="960"/>
        <v>365059893.30372256</v>
      </c>
      <c r="R237">
        <f t="shared" si="961"/>
        <v>54718264651.556213</v>
      </c>
      <c r="S237">
        <f t="shared" si="962"/>
        <v>547182.64651556208</v>
      </c>
      <c r="T237">
        <f t="shared" si="963"/>
        <v>547.18264651556206</v>
      </c>
    </row>
    <row r="238" spans="1:20" x14ac:dyDescent="0.25">
      <c r="A238" s="5">
        <v>44355</v>
      </c>
      <c r="B238">
        <v>2.9714000000000001E-2</v>
      </c>
      <c r="C238">
        <v>3.0254E-2</v>
      </c>
      <c r="D238">
        <v>2.6068999999999998E-2</v>
      </c>
      <c r="E238">
        <v>2.8459999999999999E-2</v>
      </c>
      <c r="F238">
        <v>623338945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0.14265232974910397</v>
      </c>
      <c r="Q238">
        <f t="shared" si="960"/>
        <v>88920752.727598578</v>
      </c>
      <c r="R238">
        <f t="shared" si="961"/>
        <v>54353204758.252487</v>
      </c>
      <c r="S238">
        <f t="shared" si="962"/>
        <v>543532.04758252483</v>
      </c>
      <c r="T238">
        <f t="shared" si="963"/>
        <v>543.5320475825248</v>
      </c>
    </row>
    <row r="239" spans="1:20" x14ac:dyDescent="0.25">
      <c r="A239" s="5">
        <v>44354</v>
      </c>
      <c r="B239">
        <v>3.2291E-2</v>
      </c>
      <c r="C239">
        <v>3.3937000000000002E-2</v>
      </c>
      <c r="D239">
        <v>2.9097000000000001E-2</v>
      </c>
      <c r="E239">
        <v>2.9728999999999998E-2</v>
      </c>
      <c r="F239">
        <v>464506197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-0.7388429752066128</v>
      </c>
      <c r="Q239">
        <f t="shared" si="960"/>
        <v>-343197140.59338897</v>
      </c>
      <c r="R239">
        <f t="shared" si="961"/>
        <v>54264284005.524887</v>
      </c>
      <c r="S239">
        <f t="shared" si="962"/>
        <v>542642.84005524882</v>
      </c>
      <c r="T239">
        <f t="shared" si="963"/>
        <v>542.64284005524883</v>
      </c>
    </row>
    <row r="240" spans="1:20" x14ac:dyDescent="0.25">
      <c r="A240" s="5">
        <v>44353</v>
      </c>
      <c r="B240">
        <v>3.1036000000000001E-2</v>
      </c>
      <c r="C240">
        <v>3.2428999999999999E-2</v>
      </c>
      <c r="D240">
        <v>3.0866000000000001E-2</v>
      </c>
      <c r="E240">
        <v>3.2299000000000001E-2</v>
      </c>
      <c r="F240">
        <v>306337814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0.83365323096609301</v>
      </c>
      <c r="Q240">
        <f t="shared" si="960"/>
        <v>255379508.40819004</v>
      </c>
      <c r="R240">
        <f t="shared" si="961"/>
        <v>54607481146.118279</v>
      </c>
      <c r="S240">
        <f t="shared" si="962"/>
        <v>546074.81146118278</v>
      </c>
      <c r="T240">
        <f t="shared" si="963"/>
        <v>546.07481146118278</v>
      </c>
    </row>
    <row r="241" spans="1:20" x14ac:dyDescent="0.25">
      <c r="A241" s="5">
        <v>44352</v>
      </c>
      <c r="B241">
        <v>3.209E-2</v>
      </c>
      <c r="C241">
        <v>3.3878999999999999E-2</v>
      </c>
      <c r="D241">
        <v>2.9624999999999999E-2</v>
      </c>
      <c r="E241">
        <v>3.1067999999999998E-2</v>
      </c>
      <c r="F241">
        <v>523824869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-0.3215796897038084</v>
      </c>
      <c r="Q241">
        <f t="shared" si="960"/>
        <v>-168451438.83215809</v>
      </c>
      <c r="R241">
        <f t="shared" si="961"/>
        <v>54352101637.710091</v>
      </c>
      <c r="S241">
        <f t="shared" si="962"/>
        <v>543521.01637710095</v>
      </c>
      <c r="T241">
        <f t="shared" si="963"/>
        <v>543.52101637710098</v>
      </c>
    </row>
    <row r="242" spans="1:20" x14ac:dyDescent="0.25">
      <c r="A242" s="5">
        <v>44351</v>
      </c>
      <c r="B242">
        <v>3.5507999999999998E-2</v>
      </c>
      <c r="C242">
        <v>3.5569000000000003E-2</v>
      </c>
      <c r="D242">
        <v>3.0617999999999999E-2</v>
      </c>
      <c r="E242">
        <v>3.2122999999999999E-2</v>
      </c>
      <c r="F242">
        <v>638843659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-0.39204201171480585</v>
      </c>
      <c r="Q242">
        <f t="shared" si="960"/>
        <v>-250453553.24560744</v>
      </c>
      <c r="R242">
        <f t="shared" si="961"/>
        <v>54520553076.542252</v>
      </c>
      <c r="S242">
        <f t="shared" si="962"/>
        <v>545205.5307654225</v>
      </c>
      <c r="T242">
        <f t="shared" si="963"/>
        <v>545.20553076542251</v>
      </c>
    </row>
    <row r="243" spans="1:20" x14ac:dyDescent="0.25">
      <c r="A243" s="5">
        <v>44350</v>
      </c>
      <c r="B243">
        <v>3.4617000000000002E-2</v>
      </c>
      <c r="C243">
        <v>3.7233000000000002E-2</v>
      </c>
      <c r="D243">
        <v>3.4131000000000002E-2</v>
      </c>
      <c r="E243">
        <v>3.5518000000000001E-2</v>
      </c>
      <c r="F243">
        <v>1051040387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-0.10573823339780845</v>
      </c>
      <c r="Q243">
        <f t="shared" si="960"/>
        <v>-111135153.75112893</v>
      </c>
      <c r="R243">
        <f t="shared" si="961"/>
        <v>54771006629.787857</v>
      </c>
      <c r="S243">
        <f t="shared" si="962"/>
        <v>547710.06629787863</v>
      </c>
      <c r="T243">
        <f t="shared" si="963"/>
        <v>547.7100662978786</v>
      </c>
    </row>
    <row r="244" spans="1:20" x14ac:dyDescent="0.25">
      <c r="A244" s="5">
        <v>44349</v>
      </c>
      <c r="B244">
        <v>3.1354E-2</v>
      </c>
      <c r="C244">
        <v>3.4930000000000003E-2</v>
      </c>
      <c r="D244">
        <v>3.0665000000000001E-2</v>
      </c>
      <c r="E244">
        <v>3.4640999999999998E-2</v>
      </c>
      <c r="F244">
        <v>598837939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0.86447831184056068</v>
      </c>
      <c r="Q244">
        <f t="shared" si="960"/>
        <v>517682410.57280064</v>
      </c>
      <c r="R244">
        <f t="shared" si="961"/>
        <v>54882141783.538986</v>
      </c>
      <c r="S244">
        <f t="shared" si="962"/>
        <v>548821.41783538985</v>
      </c>
      <c r="T244">
        <f t="shared" si="963"/>
        <v>548.82141783538987</v>
      </c>
    </row>
    <row r="245" spans="1:20" x14ac:dyDescent="0.25">
      <c r="A245" s="5">
        <v>44348</v>
      </c>
      <c r="B245">
        <v>3.2536000000000002E-2</v>
      </c>
      <c r="C245">
        <v>3.2944000000000001E-2</v>
      </c>
      <c r="D245">
        <v>3.0282E-2</v>
      </c>
      <c r="E245">
        <v>3.1354E-2</v>
      </c>
      <c r="F245">
        <v>384999144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-0.19459053343350896</v>
      </c>
      <c r="Q245">
        <f t="shared" si="960"/>
        <v>-74917188.802404329</v>
      </c>
      <c r="R245">
        <f t="shared" si="961"/>
        <v>54364459372.966187</v>
      </c>
      <c r="S245">
        <f t="shared" si="962"/>
        <v>543644.59372966189</v>
      </c>
      <c r="T245">
        <f t="shared" si="963"/>
        <v>543.64459372966189</v>
      </c>
    </row>
    <row r="246" spans="1:20" x14ac:dyDescent="0.25">
      <c r="A246" s="5">
        <v>44347</v>
      </c>
      <c r="B246">
        <v>3.0343999999999999E-2</v>
      </c>
      <c r="C246">
        <v>3.2793999999999997E-2</v>
      </c>
      <c r="D246">
        <v>2.9000000000000001E-2</v>
      </c>
      <c r="E246">
        <v>3.2601999999999999E-2</v>
      </c>
      <c r="F246">
        <v>412178911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0.89878755930416554</v>
      </c>
      <c r="Q246">
        <f t="shared" si="960"/>
        <v>370461277.41433889</v>
      </c>
      <c r="R246">
        <f t="shared" si="961"/>
        <v>54439376561.768593</v>
      </c>
      <c r="S246">
        <f t="shared" si="962"/>
        <v>544393.76561768597</v>
      </c>
      <c r="T246">
        <f t="shared" si="963"/>
        <v>544.39376561768597</v>
      </c>
    </row>
    <row r="247" spans="1:20" x14ac:dyDescent="0.25">
      <c r="A247" s="5">
        <v>44346</v>
      </c>
      <c r="B247">
        <v>2.9848E-2</v>
      </c>
      <c r="C247">
        <v>3.1386999999999998E-2</v>
      </c>
      <c r="D247">
        <v>2.7791E-2</v>
      </c>
      <c r="E247">
        <v>3.0339999999999999E-2</v>
      </c>
      <c r="F247">
        <v>380804912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0.41768631813125706</v>
      </c>
      <c r="Q247">
        <f t="shared" si="960"/>
        <v>159057001.61957735</v>
      </c>
      <c r="R247">
        <f t="shared" si="961"/>
        <v>54068915284.354256</v>
      </c>
      <c r="S247">
        <f t="shared" si="962"/>
        <v>540689.15284354251</v>
      </c>
      <c r="T247">
        <f t="shared" si="963"/>
        <v>540.6891528435425</v>
      </c>
    </row>
    <row r="248" spans="1:20" x14ac:dyDescent="0.25">
      <c r="A248" s="5">
        <v>44345</v>
      </c>
      <c r="B248">
        <v>2.9996999999999999E-2</v>
      </c>
      <c r="C248">
        <v>3.1599000000000002E-2</v>
      </c>
      <c r="D248">
        <v>2.7453000000000002E-2</v>
      </c>
      <c r="E248">
        <v>2.9807E-2</v>
      </c>
      <c r="F248">
        <v>525735887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0.13555233960443716</v>
      </c>
      <c r="Q248">
        <f t="shared" si="960"/>
        <v>71264729.496864006</v>
      </c>
      <c r="R248">
        <f t="shared" si="961"/>
        <v>53909858282.73468</v>
      </c>
      <c r="S248">
        <f t="shared" si="962"/>
        <v>539098.58282734675</v>
      </c>
      <c r="T248">
        <f t="shared" si="963"/>
        <v>539.09858282734672</v>
      </c>
    </row>
    <row r="249" spans="1:20" x14ac:dyDescent="0.25">
      <c r="A249" s="5">
        <v>44344</v>
      </c>
      <c r="B249">
        <v>3.4473999999999998E-2</v>
      </c>
      <c r="C249">
        <v>3.4783000000000001E-2</v>
      </c>
      <c r="D249">
        <v>2.8208E-2</v>
      </c>
      <c r="E249">
        <v>3.0096000000000001E-2</v>
      </c>
      <c r="F249">
        <v>983598525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-0.42570342205323181</v>
      </c>
      <c r="Q249">
        <f t="shared" si="960"/>
        <v>-418721258.01901126</v>
      </c>
      <c r="R249">
        <f t="shared" si="961"/>
        <v>53838593553.237816</v>
      </c>
      <c r="S249">
        <f t="shared" si="962"/>
        <v>538385.93553237815</v>
      </c>
      <c r="T249">
        <f t="shared" si="963"/>
        <v>538.3859355323782</v>
      </c>
    </row>
    <row r="250" spans="1:20" x14ac:dyDescent="0.25">
      <c r="A250" s="5">
        <v>44343</v>
      </c>
      <c r="B250">
        <v>3.5269000000000002E-2</v>
      </c>
      <c r="C250">
        <v>3.5418999999999999E-2</v>
      </c>
      <c r="D250">
        <v>3.1600999999999997E-2</v>
      </c>
      <c r="E250">
        <v>3.4445000000000003E-2</v>
      </c>
      <c r="F250">
        <v>759807358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0.48978522786799622</v>
      </c>
      <c r="Q250">
        <f t="shared" si="960"/>
        <v>372142419.9738102</v>
      </c>
      <c r="R250">
        <f t="shared" si="961"/>
        <v>54257314811.256828</v>
      </c>
      <c r="S250">
        <f t="shared" si="962"/>
        <v>542573.14811256831</v>
      </c>
      <c r="T250">
        <f t="shared" si="963"/>
        <v>542.57314811256833</v>
      </c>
    </row>
    <row r="251" spans="1:20" x14ac:dyDescent="0.25">
      <c r="A251" s="5">
        <v>44342</v>
      </c>
      <c r="B251">
        <v>3.2885999999999999E-2</v>
      </c>
      <c r="C251">
        <v>3.6406000000000001E-2</v>
      </c>
      <c r="D251">
        <v>3.1685999999999999E-2</v>
      </c>
      <c r="E251">
        <v>3.5289000000000001E-2</v>
      </c>
      <c r="F251">
        <v>1018340607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0.52669491525423751</v>
      </c>
      <c r="Q251">
        <f t="shared" si="960"/>
        <v>536354819.70381379</v>
      </c>
      <c r="R251">
        <f t="shared" si="961"/>
        <v>53885172391.28302</v>
      </c>
      <c r="S251">
        <f t="shared" si="962"/>
        <v>538851.72391283023</v>
      </c>
      <c r="T251">
        <f t="shared" si="963"/>
        <v>538.85172391283027</v>
      </c>
    </row>
    <row r="252" spans="1:20" x14ac:dyDescent="0.25">
      <c r="A252" s="5">
        <v>44341</v>
      </c>
      <c r="B252">
        <v>3.4160999999999997E-2</v>
      </c>
      <c r="C252">
        <v>3.5499999999999997E-2</v>
      </c>
      <c r="D252">
        <v>2.8785000000000002E-2</v>
      </c>
      <c r="E252">
        <v>3.2883000000000003E-2</v>
      </c>
      <c r="F252">
        <v>1260278877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0.2205510052122126</v>
      </c>
      <c r="Q252">
        <f t="shared" si="960"/>
        <v>277955773.17006844</v>
      </c>
      <c r="R252">
        <f t="shared" si="961"/>
        <v>53348817571.579208</v>
      </c>
      <c r="S252">
        <f t="shared" si="962"/>
        <v>533488.17571579211</v>
      </c>
      <c r="T252">
        <f t="shared" si="963"/>
        <v>533.48817571579207</v>
      </c>
    </row>
    <row r="253" spans="1:20" x14ac:dyDescent="0.25">
      <c r="A253" s="5">
        <v>44340</v>
      </c>
      <c r="B253">
        <v>2.7389E-2</v>
      </c>
      <c r="C253">
        <v>3.4283000000000001E-2</v>
      </c>
      <c r="D253">
        <v>2.6075999999999998E-2</v>
      </c>
      <c r="E253">
        <v>3.4283000000000001E-2</v>
      </c>
      <c r="F253">
        <v>1282264394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1</v>
      </c>
      <c r="Q253">
        <f t="shared" si="960"/>
        <v>1282264394</v>
      </c>
      <c r="R253">
        <f t="shared" si="961"/>
        <v>53070861798.409142</v>
      </c>
      <c r="S253">
        <f t="shared" si="962"/>
        <v>530708.6179840914</v>
      </c>
      <c r="T253">
        <f t="shared" si="963"/>
        <v>530.70861798409135</v>
      </c>
    </row>
    <row r="254" spans="1:20" x14ac:dyDescent="0.25">
      <c r="A254" s="5">
        <v>44339</v>
      </c>
      <c r="B254">
        <v>3.2125000000000001E-2</v>
      </c>
      <c r="C254">
        <v>3.2967999999999997E-2</v>
      </c>
      <c r="D254">
        <v>2.0813999999999999E-2</v>
      </c>
      <c r="E254">
        <v>2.7390999999999999E-2</v>
      </c>
      <c r="F254">
        <v>2167266568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8.2277439526082033E-2</v>
      </c>
      <c r="Q254">
        <f t="shared" si="960"/>
        <v>178317143.98551935</v>
      </c>
      <c r="R254">
        <f t="shared" si="961"/>
        <v>51788597404.409142</v>
      </c>
      <c r="S254">
        <f t="shared" si="962"/>
        <v>517885.97404409142</v>
      </c>
      <c r="T254">
        <f t="shared" si="963"/>
        <v>517.88597404409143</v>
      </c>
    </row>
    <row r="255" spans="1:20" x14ac:dyDescent="0.25">
      <c r="A255" s="5">
        <v>44338</v>
      </c>
      <c r="B255">
        <v>3.4743999999999997E-2</v>
      </c>
      <c r="C255">
        <v>3.9618E-2</v>
      </c>
      <c r="D255">
        <v>3.1140999999999999E-2</v>
      </c>
      <c r="E255">
        <v>3.2072000000000003E-2</v>
      </c>
      <c r="F255">
        <v>1844221274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-0.78034682080924744</v>
      </c>
      <c r="Q255">
        <f t="shared" si="960"/>
        <v>-1439132208.0346801</v>
      </c>
      <c r="R255">
        <f t="shared" si="961"/>
        <v>51610280260.423622</v>
      </c>
      <c r="S255">
        <f t="shared" si="962"/>
        <v>516102.80260423623</v>
      </c>
      <c r="T255">
        <f t="shared" si="963"/>
        <v>516.10280260423622</v>
      </c>
    </row>
    <row r="256" spans="1:20" x14ac:dyDescent="0.25">
      <c r="A256" s="5">
        <v>44337</v>
      </c>
      <c r="B256">
        <v>3.6346000000000003E-2</v>
      </c>
      <c r="C256">
        <v>4.3430000000000003E-2</v>
      </c>
      <c r="D256">
        <v>2.8080999999999998E-2</v>
      </c>
      <c r="E256">
        <v>3.4813999999999998E-2</v>
      </c>
      <c r="F256">
        <v>2201976850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-0.12267900188937426</v>
      </c>
      <c r="Q256">
        <f t="shared" si="960"/>
        <v>-270136322.1415084</v>
      </c>
      <c r="R256">
        <f t="shared" si="961"/>
        <v>53049412468.458305</v>
      </c>
      <c r="S256">
        <f t="shared" si="962"/>
        <v>530494.12468458305</v>
      </c>
      <c r="T256">
        <f t="shared" si="963"/>
        <v>530.49412468458308</v>
      </c>
    </row>
    <row r="257" spans="1:20" x14ac:dyDescent="0.25">
      <c r="A257" s="5">
        <v>44336</v>
      </c>
      <c r="B257">
        <v>2.9752000000000001E-2</v>
      </c>
      <c r="C257">
        <v>3.9971E-2</v>
      </c>
      <c r="D257">
        <v>2.5617999999999998E-2</v>
      </c>
      <c r="E257">
        <v>3.6352000000000002E-2</v>
      </c>
      <c r="F257">
        <v>2395561139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0.49571518149515825</v>
      </c>
      <c r="Q257">
        <f t="shared" si="960"/>
        <v>1187516024.8021331</v>
      </c>
      <c r="R257">
        <f t="shared" si="961"/>
        <v>53319548790.599815</v>
      </c>
      <c r="S257">
        <f t="shared" si="962"/>
        <v>533195.48790599813</v>
      </c>
      <c r="T257">
        <f t="shared" si="963"/>
        <v>533.19548790599811</v>
      </c>
    </row>
    <row r="258" spans="1:20" x14ac:dyDescent="0.25">
      <c r="A258" s="5">
        <v>44335</v>
      </c>
      <c r="B258">
        <v>4.65E-2</v>
      </c>
      <c r="C258">
        <v>4.7467000000000002E-2</v>
      </c>
      <c r="D258">
        <v>0.02</v>
      </c>
      <c r="E258">
        <v>2.9610000000000001E-2</v>
      </c>
      <c r="F258">
        <v>3551587022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-0.30025121054356135</v>
      </c>
      <c r="Q258">
        <f t="shared" si="960"/>
        <v>-1066368302.706302</v>
      </c>
      <c r="R258">
        <f t="shared" si="961"/>
        <v>52132032765.797684</v>
      </c>
      <c r="S258">
        <f t="shared" si="962"/>
        <v>521320.32765797683</v>
      </c>
      <c r="T258">
        <f t="shared" si="963"/>
        <v>521.3203276579768</v>
      </c>
    </row>
    <row r="259" spans="1:20" x14ac:dyDescent="0.25">
      <c r="A259" s="5">
        <v>44334</v>
      </c>
      <c r="B259">
        <v>4.5740000000000003E-2</v>
      </c>
      <c r="C259">
        <v>4.9179E-2</v>
      </c>
      <c r="D259">
        <v>4.5155000000000001E-2</v>
      </c>
      <c r="E259">
        <v>4.6504999999999998E-2</v>
      </c>
      <c r="F259">
        <v>647086151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-0.32902584493041892</v>
      </c>
      <c r="Q259">
        <f t="shared" si="960"/>
        <v>-212908067.57554764</v>
      </c>
      <c r="R259">
        <f t="shared" si="961"/>
        <v>53198401068.503983</v>
      </c>
      <c r="S259">
        <f t="shared" si="962"/>
        <v>531984.0106850398</v>
      </c>
      <c r="T259">
        <f t="shared" si="963"/>
        <v>531.98401068503983</v>
      </c>
    </row>
    <row r="260" spans="1:20" x14ac:dyDescent="0.25">
      <c r="A260" s="5">
        <v>44333</v>
      </c>
      <c r="B260">
        <v>4.9272000000000003E-2</v>
      </c>
      <c r="C260">
        <v>4.956E-2</v>
      </c>
      <c r="D260">
        <v>4.3531E-2</v>
      </c>
      <c r="E260">
        <v>4.5818999999999999E-2</v>
      </c>
      <c r="F260">
        <v>837362674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-0.24100182451484542</v>
      </c>
      <c r="Q260">
        <f t="shared" si="960"/>
        <v>-201805932.21462971</v>
      </c>
      <c r="R260">
        <f t="shared" si="961"/>
        <v>53411309136.079529</v>
      </c>
      <c r="S260">
        <f t="shared" si="962"/>
        <v>534113.09136079531</v>
      </c>
      <c r="T260">
        <f t="shared" si="963"/>
        <v>534.11309136079535</v>
      </c>
    </row>
    <row r="261" spans="1:20" x14ac:dyDescent="0.25">
      <c r="A261" s="5">
        <v>44332</v>
      </c>
      <c r="B261">
        <v>4.8091000000000002E-2</v>
      </c>
      <c r="C261">
        <v>5.3580000000000003E-2</v>
      </c>
      <c r="D261">
        <v>4.6334E-2</v>
      </c>
      <c r="E261">
        <v>4.9390999999999997E-2</v>
      </c>
      <c r="F261">
        <v>878092141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-0.15622412365443109</v>
      </c>
      <c r="Q261">
        <f t="shared" si="960"/>
        <v>-137179175.21556813</v>
      </c>
      <c r="R261">
        <f t="shared" si="961"/>
        <v>53613115068.294159</v>
      </c>
      <c r="S261">
        <f t="shared" si="962"/>
        <v>536131.15068294154</v>
      </c>
      <c r="T261">
        <f t="shared" si="963"/>
        <v>536.13115068294155</v>
      </c>
    </row>
    <row r="262" spans="1:20" x14ac:dyDescent="0.25">
      <c r="A262" s="5">
        <v>44331</v>
      </c>
      <c r="B262">
        <v>5.2144000000000003E-2</v>
      </c>
      <c r="C262">
        <v>5.2999999999999999E-2</v>
      </c>
      <c r="D262">
        <v>4.7308000000000003E-2</v>
      </c>
      <c r="E262">
        <v>4.8070000000000002E-2</v>
      </c>
      <c r="F262">
        <v>650235285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-0.73225579761068194</v>
      </c>
      <c r="Q262">
        <f t="shared" ref="Q262:Q325" si="965">F262*P262</f>
        <v>-476138557.25228411</v>
      </c>
      <c r="R262">
        <f t="shared" ref="R262:R325" si="966">R263+Q262</f>
        <v>53750294243.509727</v>
      </c>
      <c r="S262">
        <f t="shared" ref="S262:S325" si="967">R262/100000</f>
        <v>537502.9424350973</v>
      </c>
      <c r="T262">
        <f t="shared" ref="T262:T325" si="968">S262/1000</f>
        <v>537.50294243509734</v>
      </c>
    </row>
    <row r="263" spans="1:20" x14ac:dyDescent="0.25">
      <c r="A263" s="5">
        <v>44330</v>
      </c>
      <c r="B263">
        <v>5.0138000000000002E-2</v>
      </c>
      <c r="C263">
        <v>5.4694E-2</v>
      </c>
      <c r="D263">
        <v>4.9798000000000002E-2</v>
      </c>
      <c r="E263">
        <v>5.2246000000000001E-2</v>
      </c>
      <c r="F263">
        <v>602425790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</v>
      </c>
      <c r="Q263">
        <f t="shared" si="965"/>
        <v>0</v>
      </c>
      <c r="R263">
        <f t="shared" si="966"/>
        <v>54226432800.762009</v>
      </c>
      <c r="S263">
        <f t="shared" si="967"/>
        <v>542264.32800762006</v>
      </c>
      <c r="T263">
        <f t="shared" si="968"/>
        <v>542.26432800762007</v>
      </c>
    </row>
    <row r="264" spans="1:20" x14ac:dyDescent="0.25">
      <c r="A264" s="5">
        <v>44329</v>
      </c>
      <c r="B264">
        <v>4.8670999999999999E-2</v>
      </c>
      <c r="C264">
        <v>5.3462999999999997E-2</v>
      </c>
      <c r="D264">
        <v>4.5000999999999999E-2</v>
      </c>
      <c r="E264">
        <v>5.0245999999999999E-2</v>
      </c>
      <c r="F264">
        <v>986112262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0.23965965492791333</v>
      </c>
      <c r="Q264">
        <f t="shared" si="965"/>
        <v>236331324.43110406</v>
      </c>
      <c r="R264">
        <f t="shared" si="966"/>
        <v>54226432800.762009</v>
      </c>
      <c r="S264">
        <f t="shared" si="967"/>
        <v>542264.32800762006</v>
      </c>
      <c r="T264">
        <f t="shared" si="968"/>
        <v>542.26432800762007</v>
      </c>
    </row>
    <row r="265" spans="1:20" x14ac:dyDescent="0.25">
      <c r="A265" s="5">
        <v>44328</v>
      </c>
      <c r="B265">
        <v>5.9626999999999999E-2</v>
      </c>
      <c r="C265">
        <v>6.0760000000000002E-2</v>
      </c>
      <c r="D265">
        <v>4.8000000000000001E-2</v>
      </c>
      <c r="E265">
        <v>4.8842999999999998E-2</v>
      </c>
      <c r="F265">
        <v>782998713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-0.86786833855799428</v>
      </c>
      <c r="Q265">
        <f t="shared" si="965"/>
        <v>-679539792.1443578</v>
      </c>
      <c r="R265">
        <f t="shared" si="966"/>
        <v>53990101476.330902</v>
      </c>
      <c r="S265">
        <f t="shared" si="967"/>
        <v>539901.01476330904</v>
      </c>
      <c r="T265">
        <f t="shared" si="968"/>
        <v>539.90101476330904</v>
      </c>
    </row>
    <row r="266" spans="1:20" x14ac:dyDescent="0.25">
      <c r="A266" s="5">
        <v>44327</v>
      </c>
      <c r="B266">
        <v>5.5236E-2</v>
      </c>
      <c r="C266">
        <v>6.0533999999999998E-2</v>
      </c>
      <c r="D266">
        <v>5.2999999999999999E-2</v>
      </c>
      <c r="E266">
        <v>5.9687999999999998E-2</v>
      </c>
      <c r="F266">
        <v>840456409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0.77541810459251403</v>
      </c>
      <c r="Q266">
        <f t="shared" si="965"/>
        <v>651705115.65941072</v>
      </c>
      <c r="R266">
        <f t="shared" si="966"/>
        <v>54669641268.475258</v>
      </c>
      <c r="S266">
        <f t="shared" si="967"/>
        <v>546696.41268475261</v>
      </c>
      <c r="T266">
        <f t="shared" si="968"/>
        <v>546.69641268475266</v>
      </c>
    </row>
    <row r="267" spans="1:20" x14ac:dyDescent="0.25">
      <c r="A267" s="5">
        <v>44326</v>
      </c>
      <c r="B267">
        <v>6.3403000000000001E-2</v>
      </c>
      <c r="C267">
        <v>6.5188999999999997E-2</v>
      </c>
      <c r="D267">
        <v>5.0596000000000002E-2</v>
      </c>
      <c r="E267">
        <v>5.5236E-2</v>
      </c>
      <c r="F267">
        <v>908410739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-0.36407866785445075</v>
      </c>
      <c r="Q267">
        <f t="shared" si="965"/>
        <v>-330732971.71979713</v>
      </c>
      <c r="R267">
        <f t="shared" si="966"/>
        <v>54017936152.815849</v>
      </c>
      <c r="S267">
        <f t="shared" si="967"/>
        <v>540179.36152815854</v>
      </c>
      <c r="T267">
        <f t="shared" si="968"/>
        <v>540.17936152815855</v>
      </c>
    </row>
    <row r="268" spans="1:20" x14ac:dyDescent="0.25">
      <c r="A268" s="5">
        <v>44325</v>
      </c>
      <c r="B268">
        <v>6.4506999999999995E-2</v>
      </c>
      <c r="C268">
        <v>6.6381999999999997E-2</v>
      </c>
      <c r="D268">
        <v>6.0199999999999997E-2</v>
      </c>
      <c r="E268">
        <v>6.3419000000000003E-2</v>
      </c>
      <c r="F268">
        <v>713382093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4.1410546748627167E-2</v>
      </c>
      <c r="Q268">
        <f t="shared" si="965"/>
        <v>29541542.511809994</v>
      </c>
      <c r="R268">
        <f t="shared" si="966"/>
        <v>54348669124.535645</v>
      </c>
      <c r="S268">
        <f t="shared" si="967"/>
        <v>543486.69124535646</v>
      </c>
      <c r="T268">
        <f t="shared" si="968"/>
        <v>543.4866912453565</v>
      </c>
    </row>
    <row r="269" spans="1:20" x14ac:dyDescent="0.25">
      <c r="A269" s="5">
        <v>44324</v>
      </c>
      <c r="B269">
        <v>6.6852999999999996E-2</v>
      </c>
      <c r="C269">
        <v>6.8704000000000001E-2</v>
      </c>
      <c r="D269">
        <v>6.2753000000000003E-2</v>
      </c>
      <c r="E269">
        <v>6.4462000000000005E-2</v>
      </c>
      <c r="F269">
        <v>742619522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-0.42564274911779437</v>
      </c>
      <c r="Q269">
        <f t="shared" si="965"/>
        <v>-316090614.89262235</v>
      </c>
      <c r="R269">
        <f t="shared" si="966"/>
        <v>54319127582.023834</v>
      </c>
      <c r="S269">
        <f t="shared" si="967"/>
        <v>543191.2758202384</v>
      </c>
      <c r="T269">
        <f t="shared" si="968"/>
        <v>543.19127582023839</v>
      </c>
    </row>
    <row r="270" spans="1:20" x14ac:dyDescent="0.25">
      <c r="A270" s="5">
        <v>44323</v>
      </c>
      <c r="B270">
        <v>6.4560999999999993E-2</v>
      </c>
      <c r="C270">
        <v>7.6420000000000002E-2</v>
      </c>
      <c r="D270">
        <v>6.3460000000000003E-2</v>
      </c>
      <c r="E270">
        <v>6.6767000000000007E-2</v>
      </c>
      <c r="F270">
        <v>2483985605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-0.48966049382715982</v>
      </c>
      <c r="Q270">
        <f t="shared" si="965"/>
        <v>-1216309618.0038564</v>
      </c>
      <c r="R270">
        <f t="shared" si="966"/>
        <v>54635218196.916458</v>
      </c>
      <c r="S270">
        <f t="shared" si="967"/>
        <v>546352.18196916464</v>
      </c>
      <c r="T270">
        <f t="shared" si="968"/>
        <v>546.35218196916469</v>
      </c>
    </row>
    <row r="271" spans="1:20" x14ac:dyDescent="0.25">
      <c r="A271" s="5">
        <v>44322</v>
      </c>
      <c r="B271">
        <v>6.1869E-2</v>
      </c>
      <c r="C271">
        <v>6.8668999999999994E-2</v>
      </c>
      <c r="D271">
        <v>6.0000999999999999E-2</v>
      </c>
      <c r="E271">
        <v>6.4510999999999999E-2</v>
      </c>
      <c r="F271">
        <v>1278090048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4.0609137055838171E-2</v>
      </c>
      <c r="Q271">
        <f t="shared" si="965"/>
        <v>51902133.92893479</v>
      </c>
      <c r="R271">
        <f t="shared" si="966"/>
        <v>55851527814.920311</v>
      </c>
      <c r="S271">
        <f t="shared" si="967"/>
        <v>558515.27814920316</v>
      </c>
      <c r="T271">
        <f t="shared" si="968"/>
        <v>558.51527814920314</v>
      </c>
    </row>
    <row r="272" spans="1:20" x14ac:dyDescent="0.25">
      <c r="A272" s="5">
        <v>44321</v>
      </c>
      <c r="B272">
        <v>5.6749000000000001E-2</v>
      </c>
      <c r="C272">
        <v>6.2881000000000006E-2</v>
      </c>
      <c r="D272">
        <v>5.6117E-2</v>
      </c>
      <c r="E272">
        <v>6.1933000000000002E-2</v>
      </c>
      <c r="F272">
        <v>846411387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0.719692489651093</v>
      </c>
      <c r="Q272">
        <f t="shared" si="965"/>
        <v>609155918.3790648</v>
      </c>
      <c r="R272">
        <f t="shared" si="966"/>
        <v>55799625680.991379</v>
      </c>
      <c r="S272">
        <f t="shared" si="967"/>
        <v>557996.25680991379</v>
      </c>
      <c r="T272">
        <f t="shared" si="968"/>
        <v>557.9962568099138</v>
      </c>
    </row>
    <row r="273" spans="1:20" x14ac:dyDescent="0.25">
      <c r="A273" s="5">
        <v>44320</v>
      </c>
      <c r="B273">
        <v>6.4482999999999999E-2</v>
      </c>
      <c r="C273">
        <v>6.4680000000000001E-2</v>
      </c>
      <c r="D273">
        <v>5.5154000000000002E-2</v>
      </c>
      <c r="E273">
        <v>5.6743000000000002E-2</v>
      </c>
      <c r="F273">
        <v>1054097922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-0.66638673105185808</v>
      </c>
      <c r="Q273">
        <f t="shared" si="965"/>
        <v>-702436868.45013642</v>
      </c>
      <c r="R273">
        <f t="shared" si="966"/>
        <v>55190469762.612312</v>
      </c>
      <c r="S273">
        <f t="shared" si="967"/>
        <v>551904.69762612309</v>
      </c>
      <c r="T273">
        <f t="shared" si="968"/>
        <v>551.90469762612304</v>
      </c>
    </row>
    <row r="274" spans="1:20" x14ac:dyDescent="0.25">
      <c r="A274" s="5">
        <v>44319</v>
      </c>
      <c r="B274">
        <v>6.3034999999999994E-2</v>
      </c>
      <c r="C274">
        <v>6.6686999999999996E-2</v>
      </c>
      <c r="D274">
        <v>6.2299E-2</v>
      </c>
      <c r="E274">
        <v>6.4435000000000006E-2</v>
      </c>
      <c r="F274">
        <v>792808760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-2.6435733819504165E-2</v>
      </c>
      <c r="Q274">
        <f t="shared" si="965"/>
        <v>-20958481.349131159</v>
      </c>
      <c r="R274">
        <f t="shared" si="966"/>
        <v>55892906631.062447</v>
      </c>
      <c r="S274">
        <f t="shared" si="967"/>
        <v>558929.06631062448</v>
      </c>
      <c r="T274">
        <f t="shared" si="968"/>
        <v>558.92906631062442</v>
      </c>
    </row>
    <row r="275" spans="1:20" x14ac:dyDescent="0.25">
      <c r="A275" s="5">
        <v>44318</v>
      </c>
      <c r="B275">
        <v>6.5558000000000005E-2</v>
      </c>
      <c r="C275">
        <v>6.6453999999999999E-2</v>
      </c>
      <c r="D275">
        <v>6.1545000000000002E-2</v>
      </c>
      <c r="E275">
        <v>6.2992000000000006E-2</v>
      </c>
      <c r="F275">
        <v>624736590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-0.41047056426970674</v>
      </c>
      <c r="Q275">
        <f t="shared" si="965"/>
        <v>-256435980.61723244</v>
      </c>
      <c r="R275">
        <f t="shared" si="966"/>
        <v>55913865112.411575</v>
      </c>
      <c r="S275">
        <f t="shared" si="967"/>
        <v>559138.6511241158</v>
      </c>
      <c r="T275">
        <f t="shared" si="968"/>
        <v>559.13865112411577</v>
      </c>
    </row>
    <row r="276" spans="1:20" x14ac:dyDescent="0.25">
      <c r="A276" s="5">
        <v>44317</v>
      </c>
      <c r="B276">
        <v>6.9124000000000005E-2</v>
      </c>
      <c r="C276">
        <v>6.9156999999999996E-2</v>
      </c>
      <c r="D276">
        <v>6.3605999999999996E-2</v>
      </c>
      <c r="E276">
        <v>6.5590999999999997E-2</v>
      </c>
      <c r="F276">
        <v>687445886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-0.28481354710862888</v>
      </c>
      <c r="Q276">
        <f t="shared" si="965"/>
        <v>-195793901.23689413</v>
      </c>
      <c r="R276">
        <f t="shared" si="966"/>
        <v>56170301093.028809</v>
      </c>
      <c r="S276">
        <f t="shared" si="967"/>
        <v>561703.01093028812</v>
      </c>
      <c r="T276">
        <f t="shared" si="968"/>
        <v>561.70301093028809</v>
      </c>
    </row>
    <row r="277" spans="1:20" x14ac:dyDescent="0.25">
      <c r="A277" s="5">
        <v>44316</v>
      </c>
      <c r="B277">
        <v>6.0725000000000001E-2</v>
      </c>
      <c r="C277">
        <v>6.9169999999999995E-2</v>
      </c>
      <c r="D277">
        <v>5.9482E-2</v>
      </c>
      <c r="E277">
        <v>6.9113999999999995E-2</v>
      </c>
      <c r="F277">
        <v>1005745279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0.9884393063583814</v>
      </c>
      <c r="Q277">
        <f t="shared" si="965"/>
        <v>994118165.94797683</v>
      </c>
      <c r="R277">
        <f t="shared" si="966"/>
        <v>56366094994.265701</v>
      </c>
      <c r="S277">
        <f t="shared" si="967"/>
        <v>563660.94994265703</v>
      </c>
      <c r="T277">
        <f t="shared" si="968"/>
        <v>563.660949942657</v>
      </c>
    </row>
    <row r="278" spans="1:20" x14ac:dyDescent="0.25">
      <c r="A278" s="5">
        <v>44315</v>
      </c>
      <c r="B278">
        <v>6.1044000000000001E-2</v>
      </c>
      <c r="C278">
        <v>6.3799999999999996E-2</v>
      </c>
      <c r="D278">
        <v>5.7707000000000001E-2</v>
      </c>
      <c r="E278">
        <v>6.0761000000000003E-2</v>
      </c>
      <c r="F278">
        <v>1121597507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2.4618414574114683E-3</v>
      </c>
      <c r="Q278">
        <f t="shared" si="965"/>
        <v>2761195.2412619493</v>
      </c>
      <c r="R278">
        <f t="shared" si="966"/>
        <v>55371976828.317726</v>
      </c>
      <c r="S278">
        <f t="shared" si="967"/>
        <v>553719.76828317728</v>
      </c>
      <c r="T278">
        <f t="shared" si="968"/>
        <v>553.71976828317725</v>
      </c>
    </row>
    <row r="279" spans="1:20" x14ac:dyDescent="0.25">
      <c r="A279" s="5">
        <v>44314</v>
      </c>
      <c r="B279">
        <v>6.3313999999999995E-2</v>
      </c>
      <c r="C279">
        <v>6.7359000000000002E-2</v>
      </c>
      <c r="D279">
        <v>5.7214000000000001E-2</v>
      </c>
      <c r="E279">
        <v>6.0990999999999997E-2</v>
      </c>
      <c r="F279">
        <v>1771204834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-0.25539674716609262</v>
      </c>
      <c r="Q279">
        <f t="shared" si="965"/>
        <v>-452359953.16845906</v>
      </c>
      <c r="R279">
        <f t="shared" si="966"/>
        <v>55369215633.076462</v>
      </c>
      <c r="S279">
        <f t="shared" si="967"/>
        <v>553692.15633076464</v>
      </c>
      <c r="T279">
        <f t="shared" si="968"/>
        <v>553.69215633076465</v>
      </c>
    </row>
    <row r="280" spans="1:20" x14ac:dyDescent="0.25">
      <c r="A280" s="5">
        <v>44313</v>
      </c>
      <c r="B280">
        <v>5.7546E-2</v>
      </c>
      <c r="C280">
        <v>6.4785999999999996E-2</v>
      </c>
      <c r="D280">
        <v>5.6054E-2</v>
      </c>
      <c r="E280">
        <v>6.3311000000000006E-2</v>
      </c>
      <c r="F280">
        <v>1864779346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0.66216216216216428</v>
      </c>
      <c r="Q280">
        <f t="shared" si="965"/>
        <v>1234786323.7027066</v>
      </c>
      <c r="R280">
        <f t="shared" si="966"/>
        <v>55821575586.244919</v>
      </c>
      <c r="S280">
        <f t="shared" si="967"/>
        <v>558215.75586244918</v>
      </c>
      <c r="T280">
        <f t="shared" si="968"/>
        <v>558.21575586244921</v>
      </c>
    </row>
    <row r="281" spans="1:20" x14ac:dyDescent="0.25">
      <c r="A281" s="5">
        <v>44312</v>
      </c>
      <c r="B281">
        <v>4.6013999999999999E-2</v>
      </c>
      <c r="C281">
        <v>5.8434E-2</v>
      </c>
      <c r="D281">
        <v>4.5338999999999997E-2</v>
      </c>
      <c r="E281">
        <v>5.7488999999999998E-2</v>
      </c>
      <c r="F281">
        <v>1541333350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0.85567010309278335</v>
      </c>
      <c r="Q281">
        <f t="shared" si="965"/>
        <v>1318872866.4948452</v>
      </c>
      <c r="R281">
        <f t="shared" si="966"/>
        <v>54586789262.542213</v>
      </c>
      <c r="S281">
        <f t="shared" si="967"/>
        <v>545867.8926254221</v>
      </c>
      <c r="T281">
        <f t="shared" si="968"/>
        <v>545.86789262542209</v>
      </c>
    </row>
    <row r="282" spans="1:20" x14ac:dyDescent="0.25">
      <c r="A282" s="5">
        <v>44311</v>
      </c>
      <c r="B282">
        <v>4.5732000000000002E-2</v>
      </c>
      <c r="C282">
        <v>5.0785999999999998E-2</v>
      </c>
      <c r="D282">
        <v>4.2717999999999999E-2</v>
      </c>
      <c r="E282">
        <v>4.5948999999999997E-2</v>
      </c>
      <c r="F282">
        <v>1007640087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-0.19905800694100192</v>
      </c>
      <c r="Q282">
        <f t="shared" si="965"/>
        <v>-200578827.4320778</v>
      </c>
      <c r="R282">
        <f t="shared" si="966"/>
        <v>53267916396.047371</v>
      </c>
      <c r="S282">
        <f t="shared" si="967"/>
        <v>532679.16396047373</v>
      </c>
      <c r="T282">
        <f t="shared" si="968"/>
        <v>532.67916396047372</v>
      </c>
    </row>
    <row r="283" spans="1:20" x14ac:dyDescent="0.25">
      <c r="A283" s="5">
        <v>44310</v>
      </c>
      <c r="B283">
        <v>5.0660999999999998E-2</v>
      </c>
      <c r="C283">
        <v>5.2999999999999999E-2</v>
      </c>
      <c r="D283">
        <v>4.5434000000000002E-2</v>
      </c>
      <c r="E283">
        <v>4.5657000000000003E-2</v>
      </c>
      <c r="F283">
        <v>1873195916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-0.94105207507269339</v>
      </c>
      <c r="Q283">
        <f t="shared" si="965"/>
        <v>-1762774903.7694948</v>
      </c>
      <c r="R283">
        <f t="shared" si="966"/>
        <v>53468495223.479446</v>
      </c>
      <c r="S283">
        <f t="shared" si="967"/>
        <v>534684.9522347945</v>
      </c>
      <c r="T283">
        <f t="shared" si="968"/>
        <v>534.68495223479454</v>
      </c>
    </row>
    <row r="284" spans="1:20" x14ac:dyDescent="0.25">
      <c r="A284" s="5">
        <v>44309</v>
      </c>
      <c r="B284">
        <v>5.0584999999999998E-2</v>
      </c>
      <c r="C284">
        <v>5.1281E-2</v>
      </c>
      <c r="D284">
        <v>3.7100000000000001E-2</v>
      </c>
      <c r="E284">
        <v>5.0673999999999997E-2</v>
      </c>
      <c r="F284">
        <v>4404510542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0.91439249700303171</v>
      </c>
      <c r="Q284">
        <f t="shared" si="965"/>
        <v>4027451392.5755568</v>
      </c>
      <c r="R284">
        <f t="shared" si="966"/>
        <v>55231270127.24894</v>
      </c>
      <c r="S284">
        <f t="shared" si="967"/>
        <v>552312.70127248939</v>
      </c>
      <c r="T284">
        <f t="shared" si="968"/>
        <v>552.31270127248933</v>
      </c>
    </row>
    <row r="285" spans="1:20" x14ac:dyDescent="0.25">
      <c r="A285" s="5">
        <v>44308</v>
      </c>
      <c r="B285">
        <v>6.4159999999999995E-2</v>
      </c>
      <c r="C285">
        <v>6.5795999999999993E-2</v>
      </c>
      <c r="D285">
        <v>4.8613000000000003E-2</v>
      </c>
      <c r="E285">
        <v>5.0625000000000003E-2</v>
      </c>
      <c r="F285">
        <v>2087465796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-0.76581504975848214</v>
      </c>
      <c r="Q285">
        <f t="shared" si="965"/>
        <v>-1598612722.4328694</v>
      </c>
      <c r="R285">
        <f t="shared" si="966"/>
        <v>51203818734.673386</v>
      </c>
      <c r="S285">
        <f t="shared" si="967"/>
        <v>512038.18734673387</v>
      </c>
      <c r="T285">
        <f t="shared" si="968"/>
        <v>512.03818734673382</v>
      </c>
    </row>
    <row r="286" spans="1:20" x14ac:dyDescent="0.25">
      <c r="A286" s="5">
        <v>44307</v>
      </c>
      <c r="B286">
        <v>6.7402000000000004E-2</v>
      </c>
      <c r="C286">
        <v>7.0999999999999994E-2</v>
      </c>
      <c r="D286">
        <v>6.2280000000000002E-2</v>
      </c>
      <c r="E286">
        <v>6.4148999999999998E-2</v>
      </c>
      <c r="F286">
        <v>1129748511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-0.57133027522935842</v>
      </c>
      <c r="Q286">
        <f t="shared" si="965"/>
        <v>-645459527.72958791</v>
      </c>
      <c r="R286">
        <f t="shared" si="966"/>
        <v>52802431457.106255</v>
      </c>
      <c r="S286">
        <f t="shared" si="967"/>
        <v>528024.31457106257</v>
      </c>
      <c r="T286">
        <f t="shared" si="968"/>
        <v>528.02431457106252</v>
      </c>
    </row>
    <row r="287" spans="1:20" x14ac:dyDescent="0.25">
      <c r="A287" s="5">
        <v>44306</v>
      </c>
      <c r="B287">
        <v>7.0422999999999999E-2</v>
      </c>
      <c r="C287">
        <v>7.0986999999999995E-2</v>
      </c>
      <c r="D287">
        <v>0.06</v>
      </c>
      <c r="E287">
        <v>6.7434999999999995E-2</v>
      </c>
      <c r="F287">
        <v>1863681638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0.35341767543460439</v>
      </c>
      <c r="Q287">
        <f t="shared" si="965"/>
        <v>658658032.25211585</v>
      </c>
      <c r="R287">
        <f t="shared" si="966"/>
        <v>53447890984.835846</v>
      </c>
      <c r="S287">
        <f t="shared" si="967"/>
        <v>534478.90984835848</v>
      </c>
      <c r="T287">
        <f t="shared" si="968"/>
        <v>534.47890984835851</v>
      </c>
    </row>
    <row r="288" spans="1:20" x14ac:dyDescent="0.25">
      <c r="A288" s="5">
        <v>44305</v>
      </c>
      <c r="B288">
        <v>7.8992000000000007E-2</v>
      </c>
      <c r="C288">
        <v>8.1000000000000003E-2</v>
      </c>
      <c r="D288">
        <v>6.9006999999999999E-2</v>
      </c>
      <c r="E288">
        <v>7.0422999999999999E-2</v>
      </c>
      <c r="F288">
        <v>1520506200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-0.76386225298090549</v>
      </c>
      <c r="Q288">
        <f t="shared" si="965"/>
        <v>-1161457291.6034353</v>
      </c>
      <c r="R288">
        <f t="shared" si="966"/>
        <v>52789232952.583733</v>
      </c>
      <c r="S288">
        <f t="shared" si="967"/>
        <v>527892.32952583733</v>
      </c>
      <c r="T288">
        <f t="shared" si="968"/>
        <v>527.89232952583734</v>
      </c>
    </row>
    <row r="289" spans="1:20" x14ac:dyDescent="0.25">
      <c r="A289" s="5">
        <v>44304</v>
      </c>
      <c r="B289">
        <v>7.8159000000000006E-2</v>
      </c>
      <c r="C289">
        <v>8.8900000000000007E-2</v>
      </c>
      <c r="D289">
        <v>6.2E-2</v>
      </c>
      <c r="E289">
        <v>7.8992999999999994E-2</v>
      </c>
      <c r="F289">
        <v>3267097111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0.26342007434944159</v>
      </c>
      <c r="Q289">
        <f t="shared" si="965"/>
        <v>860618963.88646579</v>
      </c>
      <c r="R289">
        <f t="shared" si="966"/>
        <v>53950690244.187164</v>
      </c>
      <c r="S289">
        <f t="shared" si="967"/>
        <v>539506.90244187159</v>
      </c>
      <c r="T289">
        <f t="shared" si="968"/>
        <v>539.5069024418716</v>
      </c>
    </row>
    <row r="290" spans="1:20" x14ac:dyDescent="0.25">
      <c r="A290" s="5">
        <v>44303</v>
      </c>
      <c r="B290">
        <v>7.1580000000000005E-2</v>
      </c>
      <c r="C290">
        <v>8.9998999999999996E-2</v>
      </c>
      <c r="D290">
        <v>7.0190000000000002E-2</v>
      </c>
      <c r="E290">
        <v>7.8151999999999999E-2</v>
      </c>
      <c r="F290">
        <v>2737444386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-0.19612297440557327</v>
      </c>
      <c r="Q290">
        <f t="shared" si="965"/>
        <v>-536875735.25215828</v>
      </c>
      <c r="R290">
        <f t="shared" si="966"/>
        <v>53090071280.300697</v>
      </c>
      <c r="S290">
        <f t="shared" si="967"/>
        <v>530900.71280300699</v>
      </c>
      <c r="T290">
        <f t="shared" si="968"/>
        <v>530.90071280300697</v>
      </c>
    </row>
    <row r="291" spans="1:20" x14ac:dyDescent="0.25">
      <c r="A291" s="5">
        <v>44302</v>
      </c>
      <c r="B291">
        <v>7.9611000000000001E-2</v>
      </c>
      <c r="C291">
        <v>8.0939999999999998E-2</v>
      </c>
      <c r="D291">
        <v>6.6586999999999993E-2</v>
      </c>
      <c r="E291">
        <v>7.1620000000000003E-2</v>
      </c>
      <c r="F291">
        <v>2116469743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-0.29868320211802296</v>
      </c>
      <c r="Q291">
        <f t="shared" si="965"/>
        <v>-632153960.02514911</v>
      </c>
      <c r="R291">
        <f t="shared" si="966"/>
        <v>53626947015.552856</v>
      </c>
      <c r="S291">
        <f t="shared" si="967"/>
        <v>536269.47015552851</v>
      </c>
      <c r="T291">
        <f t="shared" si="968"/>
        <v>536.26947015552855</v>
      </c>
    </row>
    <row r="292" spans="1:20" x14ac:dyDescent="0.25">
      <c r="A292" s="5">
        <v>44301</v>
      </c>
      <c r="B292">
        <v>7.4579000000000006E-2</v>
      </c>
      <c r="C292">
        <v>8.5000000000000006E-2</v>
      </c>
      <c r="D292">
        <v>7.2278999999999996E-2</v>
      </c>
      <c r="E292">
        <v>7.9608999999999999E-2</v>
      </c>
      <c r="F292">
        <v>2507496211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0.15242512381102075</v>
      </c>
      <c r="Q292">
        <f t="shared" si="965"/>
        <v>382205420.4173404</v>
      </c>
      <c r="R292">
        <f t="shared" si="966"/>
        <v>54259100975.578003</v>
      </c>
      <c r="S292">
        <f t="shared" si="967"/>
        <v>542591.00975577999</v>
      </c>
      <c r="T292">
        <f t="shared" si="968"/>
        <v>542.59100975577996</v>
      </c>
    </row>
    <row r="293" spans="1:20" x14ac:dyDescent="0.25">
      <c r="A293" s="5">
        <v>44300</v>
      </c>
      <c r="B293">
        <v>6.6002000000000005E-2</v>
      </c>
      <c r="C293">
        <v>9.1254000000000002E-2</v>
      </c>
      <c r="D293">
        <v>6.4825999999999995E-2</v>
      </c>
      <c r="E293">
        <v>7.4491000000000002E-2</v>
      </c>
      <c r="F293">
        <v>7347493275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-0.26857878008173119</v>
      </c>
      <c r="Q293">
        <f t="shared" si="965"/>
        <v>-1973380780.4582238</v>
      </c>
      <c r="R293">
        <f t="shared" si="966"/>
        <v>53876895555.16066</v>
      </c>
      <c r="S293">
        <f t="shared" si="967"/>
        <v>538768.9555516066</v>
      </c>
      <c r="T293">
        <f t="shared" si="968"/>
        <v>538.76895555160661</v>
      </c>
    </row>
    <row r="294" spans="1:20" x14ac:dyDescent="0.25">
      <c r="A294" s="5">
        <v>44299</v>
      </c>
      <c r="B294">
        <v>6.1338999999999998E-2</v>
      </c>
      <c r="C294">
        <v>6.9800000000000001E-2</v>
      </c>
      <c r="D294">
        <v>5.6640999999999997E-2</v>
      </c>
      <c r="E294">
        <v>6.6042000000000003E-2</v>
      </c>
      <c r="F294">
        <v>1698928166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0.428831978113839</v>
      </c>
      <c r="Q294">
        <f t="shared" si="965"/>
        <v>728554726.09909666</v>
      </c>
      <c r="R294">
        <f t="shared" si="966"/>
        <v>55850276335.618881</v>
      </c>
      <c r="S294">
        <f t="shared" si="967"/>
        <v>558502.76335618878</v>
      </c>
      <c r="T294">
        <f t="shared" si="968"/>
        <v>558.50276335618878</v>
      </c>
    </row>
    <row r="295" spans="1:20" x14ac:dyDescent="0.25">
      <c r="A295" s="5">
        <v>44298</v>
      </c>
      <c r="B295">
        <v>5.7350999999999999E-2</v>
      </c>
      <c r="C295">
        <v>6.1483999999999997E-2</v>
      </c>
      <c r="D295">
        <v>5.5062E-2</v>
      </c>
      <c r="E295">
        <v>6.1344000000000003E-2</v>
      </c>
      <c r="F295">
        <v>1318841965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0.95639987542821725</v>
      </c>
      <c r="Q295">
        <f t="shared" si="965"/>
        <v>1261340291.0355053</v>
      </c>
      <c r="R295">
        <f t="shared" si="966"/>
        <v>55121721609.519783</v>
      </c>
      <c r="S295">
        <f t="shared" si="967"/>
        <v>551217.21609519783</v>
      </c>
      <c r="T295">
        <f t="shared" si="968"/>
        <v>551.21721609519784</v>
      </c>
    </row>
    <row r="296" spans="1:20" x14ac:dyDescent="0.25">
      <c r="A296" s="5">
        <v>44297</v>
      </c>
      <c r="B296">
        <v>5.3400999999999997E-2</v>
      </c>
      <c r="C296">
        <v>5.9989000000000001E-2</v>
      </c>
      <c r="D296">
        <v>5.2315E-2</v>
      </c>
      <c r="E296">
        <v>5.7350999999999999E-2</v>
      </c>
      <c r="F296">
        <v>1269739075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0.31248371123273355</v>
      </c>
      <c r="Q296">
        <f t="shared" si="965"/>
        <v>396772778.45321822</v>
      </c>
      <c r="R296">
        <f t="shared" si="966"/>
        <v>53860381318.484276</v>
      </c>
      <c r="S296">
        <f t="shared" si="967"/>
        <v>538603.8131848427</v>
      </c>
      <c r="T296">
        <f t="shared" si="968"/>
        <v>538.60381318484269</v>
      </c>
    </row>
    <row r="297" spans="1:20" x14ac:dyDescent="0.25">
      <c r="A297" s="5">
        <v>44296</v>
      </c>
      <c r="B297">
        <v>5.4019999999999999E-2</v>
      </c>
      <c r="C297">
        <v>5.5966000000000002E-2</v>
      </c>
      <c r="D297">
        <v>5.2399000000000001E-2</v>
      </c>
      <c r="E297">
        <v>5.3369E-2</v>
      </c>
      <c r="F297">
        <v>694315406</v>
      </c>
      <c r="G297">
        <v>0</v>
      </c>
      <c r="L297" t="s">
        <v>8</v>
      </c>
      <c r="M297" t="s">
        <v>7</v>
      </c>
      <c r="N297" t="s">
        <v>8</v>
      </c>
      <c r="P297">
        <f t="shared" si="964"/>
        <v>-0.45612559573871686</v>
      </c>
      <c r="Q297">
        <f t="shared" si="965"/>
        <v>-316695028.1923191</v>
      </c>
      <c r="R297">
        <f t="shared" si="966"/>
        <v>53463608540.031059</v>
      </c>
      <c r="S297">
        <f t="shared" si="967"/>
        <v>534636.08540031058</v>
      </c>
      <c r="T297">
        <f t="shared" si="968"/>
        <v>534.63608540031055</v>
      </c>
    </row>
    <row r="298" spans="1:20" x14ac:dyDescent="0.25">
      <c r="A298" s="5">
        <v>44295</v>
      </c>
      <c r="B298">
        <v>5.4011000000000003E-2</v>
      </c>
      <c r="C298">
        <v>5.5223000000000001E-2</v>
      </c>
      <c r="D298">
        <v>5.3090999999999999E-2</v>
      </c>
      <c r="E298">
        <v>5.4005999999999998E-2</v>
      </c>
      <c r="F298">
        <v>517498626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-0.14165103189493591</v>
      </c>
      <c r="Q298">
        <f t="shared" si="965"/>
        <v>-73304214.377111509</v>
      </c>
      <c r="R298">
        <f t="shared" si="966"/>
        <v>53780303568.223381</v>
      </c>
      <c r="S298">
        <f t="shared" si="967"/>
        <v>537803.03568223387</v>
      </c>
      <c r="T298">
        <f t="shared" si="968"/>
        <v>537.80303568223383</v>
      </c>
    </row>
    <row r="299" spans="1:20" x14ac:dyDescent="0.25">
      <c r="A299" s="5">
        <v>44294</v>
      </c>
      <c r="B299">
        <v>5.1753E-2</v>
      </c>
      <c r="C299">
        <v>5.4233999999999997E-2</v>
      </c>
      <c r="D299">
        <v>5.1218E-2</v>
      </c>
      <c r="E299">
        <v>5.4035E-2</v>
      </c>
      <c r="F299">
        <v>608354272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0.868037135278516</v>
      </c>
      <c r="Q299">
        <f t="shared" si="965"/>
        <v>528074099.5013271</v>
      </c>
      <c r="R299">
        <f t="shared" si="966"/>
        <v>53853607782.600494</v>
      </c>
      <c r="S299">
        <f t="shared" si="967"/>
        <v>538536.07782600494</v>
      </c>
      <c r="T299">
        <f t="shared" si="968"/>
        <v>538.53607782600488</v>
      </c>
    </row>
    <row r="300" spans="1:20" x14ac:dyDescent="0.25">
      <c r="A300" s="5">
        <v>44293</v>
      </c>
      <c r="B300">
        <v>5.8368000000000003E-2</v>
      </c>
      <c r="C300">
        <v>5.8500000000000003E-2</v>
      </c>
      <c r="D300">
        <v>4.8529000000000003E-2</v>
      </c>
      <c r="E300">
        <v>5.1695999999999999E-2</v>
      </c>
      <c r="F300">
        <v>1373584858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-0.36475779761307875</v>
      </c>
      <c r="Q300">
        <f t="shared" si="965"/>
        <v>-501025787.63875353</v>
      </c>
      <c r="R300">
        <f t="shared" si="966"/>
        <v>53325533683.099167</v>
      </c>
      <c r="S300">
        <f t="shared" si="967"/>
        <v>533255.33683099167</v>
      </c>
      <c r="T300">
        <f t="shared" si="968"/>
        <v>533.25533683099172</v>
      </c>
    </row>
    <row r="301" spans="1:20" x14ac:dyDescent="0.25">
      <c r="A301" s="5">
        <v>44292</v>
      </c>
      <c r="B301">
        <v>5.3305999999999999E-2</v>
      </c>
      <c r="C301">
        <v>6.3E-2</v>
      </c>
      <c r="D301">
        <v>5.1739E-2</v>
      </c>
      <c r="E301">
        <v>5.8393E-2</v>
      </c>
      <c r="F301">
        <v>2780088851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0.1817778172453601</v>
      </c>
      <c r="Q301">
        <f t="shared" si="965"/>
        <v>505358483.08294117</v>
      </c>
      <c r="R301">
        <f t="shared" si="966"/>
        <v>53826559470.737923</v>
      </c>
      <c r="S301">
        <f t="shared" si="967"/>
        <v>538265.59470737923</v>
      </c>
      <c r="T301">
        <f t="shared" si="968"/>
        <v>538.26559470737925</v>
      </c>
    </row>
    <row r="302" spans="1:20" x14ac:dyDescent="0.25">
      <c r="A302" s="5">
        <v>44291</v>
      </c>
      <c r="B302">
        <v>5.2547999999999997E-2</v>
      </c>
      <c r="C302">
        <v>5.5439000000000002E-2</v>
      </c>
      <c r="D302">
        <v>5.0111000000000003E-2</v>
      </c>
      <c r="E302">
        <v>5.3260000000000002E-2</v>
      </c>
      <c r="F302">
        <v>924728605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0.18205705705705683</v>
      </c>
      <c r="Q302">
        <f t="shared" si="965"/>
        <v>168353368.40277755</v>
      </c>
      <c r="R302">
        <f t="shared" si="966"/>
        <v>53321200987.654984</v>
      </c>
      <c r="S302">
        <f t="shared" si="967"/>
        <v>533212.00987654983</v>
      </c>
      <c r="T302">
        <f t="shared" si="968"/>
        <v>533.21200987654981</v>
      </c>
    </row>
    <row r="303" spans="1:20" x14ac:dyDescent="0.25">
      <c r="A303" s="5">
        <v>44290</v>
      </c>
      <c r="B303">
        <v>5.0257000000000003E-2</v>
      </c>
      <c r="C303">
        <v>5.3900000000000003E-2</v>
      </c>
      <c r="D303">
        <v>4.9206E-2</v>
      </c>
      <c r="E303">
        <v>5.2547000000000003E-2</v>
      </c>
      <c r="F303">
        <v>777384119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0.42351938645078868</v>
      </c>
      <c r="Q303">
        <f t="shared" si="965"/>
        <v>329237245.11546689</v>
      </c>
      <c r="R303">
        <f t="shared" si="966"/>
        <v>53152847619.252205</v>
      </c>
      <c r="S303">
        <f t="shared" si="967"/>
        <v>531528.4761925221</v>
      </c>
      <c r="T303">
        <f t="shared" si="968"/>
        <v>531.52847619252213</v>
      </c>
    </row>
    <row r="304" spans="1:20" x14ac:dyDescent="0.25">
      <c r="A304" s="5">
        <v>44289</v>
      </c>
      <c r="B304">
        <v>5.6479000000000001E-2</v>
      </c>
      <c r="C304">
        <v>5.6828999999999998E-2</v>
      </c>
      <c r="D304">
        <v>0.05</v>
      </c>
      <c r="E304">
        <v>5.0236000000000003E-2</v>
      </c>
      <c r="F304">
        <v>788143276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-0.93088299897495963</v>
      </c>
      <c r="Q304">
        <f t="shared" si="965"/>
        <v>-733669176.38482928</v>
      </c>
      <c r="R304">
        <f t="shared" si="966"/>
        <v>52823610374.136742</v>
      </c>
      <c r="S304">
        <f t="shared" si="967"/>
        <v>528236.10374136746</v>
      </c>
      <c r="T304">
        <f t="shared" si="968"/>
        <v>528.23610374136751</v>
      </c>
    </row>
    <row r="305" spans="1:20" x14ac:dyDescent="0.25">
      <c r="A305" s="5">
        <v>44288</v>
      </c>
      <c r="B305">
        <v>5.4739999999999997E-2</v>
      </c>
      <c r="C305">
        <v>5.7373E-2</v>
      </c>
      <c r="D305">
        <v>5.3005999999999998E-2</v>
      </c>
      <c r="E305">
        <v>5.6502999999999998E-2</v>
      </c>
      <c r="F305">
        <v>721640935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0.60155713304327818</v>
      </c>
      <c r="Q305">
        <f t="shared" si="965"/>
        <v>434108251.94527066</v>
      </c>
      <c r="R305">
        <f t="shared" si="966"/>
        <v>53557279550.521568</v>
      </c>
      <c r="S305">
        <f t="shared" si="967"/>
        <v>535572.79550521565</v>
      </c>
      <c r="T305">
        <f t="shared" si="968"/>
        <v>535.57279550521559</v>
      </c>
    </row>
    <row r="306" spans="1:20" x14ac:dyDescent="0.25">
      <c r="A306" s="5">
        <v>44287</v>
      </c>
      <c r="B306">
        <v>5.3199999999999997E-2</v>
      </c>
      <c r="C306">
        <v>5.7320000000000003E-2</v>
      </c>
      <c r="D306">
        <v>5.2202999999999999E-2</v>
      </c>
      <c r="E306">
        <v>5.4694E-2</v>
      </c>
      <c r="F306">
        <v>1041816589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-2.6382646081689092E-2</v>
      </c>
      <c r="Q306">
        <f t="shared" si="965"/>
        <v>-27485878.349619545</v>
      </c>
      <c r="R306">
        <f t="shared" si="966"/>
        <v>53123171298.576294</v>
      </c>
      <c r="S306">
        <f t="shared" si="967"/>
        <v>531231.71298576298</v>
      </c>
      <c r="T306">
        <f t="shared" si="968"/>
        <v>531.23171298576301</v>
      </c>
    </row>
    <row r="307" spans="1:20" x14ac:dyDescent="0.25">
      <c r="A307" s="5">
        <v>44286</v>
      </c>
      <c r="B307">
        <v>5.3531000000000002E-2</v>
      </c>
      <c r="C307">
        <v>5.5666E-2</v>
      </c>
      <c r="D307">
        <v>4.9435E-2</v>
      </c>
      <c r="E307">
        <v>5.3163000000000002E-2</v>
      </c>
      <c r="F307">
        <v>1065409485</v>
      </c>
      <c r="G307">
        <v>0</v>
      </c>
      <c r="L307" t="s">
        <v>8</v>
      </c>
      <c r="M307" t="s">
        <v>8</v>
      </c>
      <c r="N307" t="s">
        <v>7</v>
      </c>
      <c r="P307">
        <f t="shared" si="964"/>
        <v>0.19659765687690639</v>
      </c>
      <c r="Q307">
        <f t="shared" si="965"/>
        <v>209457008.36543155</v>
      </c>
      <c r="R307">
        <f t="shared" si="966"/>
        <v>53150657176.925911</v>
      </c>
      <c r="S307">
        <f t="shared" si="967"/>
        <v>531506.57176925906</v>
      </c>
      <c r="T307">
        <f t="shared" si="968"/>
        <v>531.50657176925904</v>
      </c>
    </row>
    <row r="308" spans="1:20" x14ac:dyDescent="0.25">
      <c r="A308" s="5">
        <v>44285</v>
      </c>
      <c r="B308">
        <v>5.2086E-2</v>
      </c>
      <c r="C308">
        <v>5.3999999999999999E-2</v>
      </c>
      <c r="D308">
        <v>5.1438999999999999E-2</v>
      </c>
      <c r="E308">
        <v>5.3531000000000002E-2</v>
      </c>
      <c r="F308">
        <v>783540195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0.63373682155408273</v>
      </c>
      <c r="Q308">
        <f t="shared" si="965"/>
        <v>496558272.7391662</v>
      </c>
      <c r="R308">
        <f t="shared" si="966"/>
        <v>52941200168.560478</v>
      </c>
      <c r="S308">
        <f t="shared" si="967"/>
        <v>529412.0016856048</v>
      </c>
      <c r="T308">
        <f t="shared" si="968"/>
        <v>529.41200168560476</v>
      </c>
    </row>
    <row r="309" spans="1:20" x14ac:dyDescent="0.25">
      <c r="A309" s="5">
        <v>44284</v>
      </c>
      <c r="B309">
        <v>4.9161999999999997E-2</v>
      </c>
      <c r="C309">
        <v>5.3498999999999998E-2</v>
      </c>
      <c r="D309">
        <v>4.7994000000000002E-2</v>
      </c>
      <c r="E309">
        <v>5.2107000000000001E-2</v>
      </c>
      <c r="F309">
        <v>805799428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0.49427792915531393</v>
      </c>
      <c r="Q309">
        <f t="shared" si="965"/>
        <v>398288872.58637649</v>
      </c>
      <c r="R309">
        <f t="shared" si="966"/>
        <v>52444641895.821312</v>
      </c>
      <c r="S309">
        <f t="shared" si="967"/>
        <v>524446.41895821306</v>
      </c>
      <c r="T309">
        <f t="shared" si="968"/>
        <v>524.44641895821303</v>
      </c>
    </row>
    <row r="310" spans="1:20" x14ac:dyDescent="0.25">
      <c r="A310" s="5">
        <v>44283</v>
      </c>
      <c r="B310">
        <v>4.8901E-2</v>
      </c>
      <c r="C310">
        <v>5.0555000000000003E-2</v>
      </c>
      <c r="D310">
        <v>4.7812E-2</v>
      </c>
      <c r="E310">
        <v>4.9154000000000003E-2</v>
      </c>
      <c r="F310">
        <v>625119810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-2.1509296390811703E-2</v>
      </c>
      <c r="Q310">
        <f t="shared" si="965"/>
        <v>-13445887.273057899</v>
      </c>
      <c r="R310">
        <f t="shared" si="966"/>
        <v>52046353023.234932</v>
      </c>
      <c r="S310">
        <f t="shared" si="967"/>
        <v>520463.53023234929</v>
      </c>
      <c r="T310">
        <f t="shared" si="968"/>
        <v>520.46353023234929</v>
      </c>
    </row>
    <row r="311" spans="1:20" x14ac:dyDescent="0.25">
      <c r="A311" s="5">
        <v>44282</v>
      </c>
      <c r="B311">
        <v>4.9553E-2</v>
      </c>
      <c r="C311">
        <v>5.2235999999999998E-2</v>
      </c>
      <c r="D311">
        <v>4.6924E-2</v>
      </c>
      <c r="E311">
        <v>4.8931000000000002E-2</v>
      </c>
      <c r="F311">
        <v>941277504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-0.24435240963855315</v>
      </c>
      <c r="Q311">
        <f t="shared" si="965"/>
        <v>-230003426.24096286</v>
      </c>
      <c r="R311">
        <f t="shared" si="966"/>
        <v>52059798910.507988</v>
      </c>
      <c r="S311">
        <f t="shared" si="967"/>
        <v>520597.98910507991</v>
      </c>
      <c r="T311">
        <f t="shared" si="968"/>
        <v>520.59798910507993</v>
      </c>
    </row>
    <row r="312" spans="1:20" x14ac:dyDescent="0.25">
      <c r="A312" s="5">
        <v>44281</v>
      </c>
      <c r="B312">
        <v>4.4225E-2</v>
      </c>
      <c r="C312">
        <v>4.9933999999999999E-2</v>
      </c>
      <c r="D312">
        <v>4.4166999999999998E-2</v>
      </c>
      <c r="E312">
        <v>4.9652000000000002E-2</v>
      </c>
      <c r="F312">
        <v>667399422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0.90220218484480752</v>
      </c>
      <c r="Q312">
        <f t="shared" si="965"/>
        <v>602129216.69256175</v>
      </c>
      <c r="R312">
        <f t="shared" si="966"/>
        <v>52289802336.748947</v>
      </c>
      <c r="S312">
        <f t="shared" si="967"/>
        <v>522898.02336748946</v>
      </c>
      <c r="T312">
        <f t="shared" si="968"/>
        <v>522.89802336748949</v>
      </c>
    </row>
    <row r="313" spans="1:20" x14ac:dyDescent="0.25">
      <c r="A313" s="5">
        <v>44280</v>
      </c>
      <c r="B313">
        <v>4.4296000000000002E-2</v>
      </c>
      <c r="C313">
        <v>4.6864999999999997E-2</v>
      </c>
      <c r="D313">
        <v>4.1589000000000001E-2</v>
      </c>
      <c r="E313">
        <v>4.4273E-2</v>
      </c>
      <c r="F313">
        <v>866639973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1.7437452615618246E-2</v>
      </c>
      <c r="Q313">
        <f t="shared" si="965"/>
        <v>15111993.463988176</v>
      </c>
      <c r="R313">
        <f t="shared" si="966"/>
        <v>51687673120.056389</v>
      </c>
      <c r="S313">
        <f t="shared" si="967"/>
        <v>516876.7312005639</v>
      </c>
      <c r="T313">
        <f t="shared" si="968"/>
        <v>516.87673120056388</v>
      </c>
    </row>
    <row r="314" spans="1:20" x14ac:dyDescent="0.25">
      <c r="A314" s="5">
        <v>44279</v>
      </c>
      <c r="B314">
        <v>4.7817999999999999E-2</v>
      </c>
      <c r="C314">
        <v>5.0972999999999997E-2</v>
      </c>
      <c r="D314">
        <v>4.1688000000000003E-2</v>
      </c>
      <c r="E314">
        <v>4.4295000000000001E-2</v>
      </c>
      <c r="F314">
        <v>963176902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-0.43844911147011317</v>
      </c>
      <c r="Q314">
        <f t="shared" si="965"/>
        <v>-422304056.87043625</v>
      </c>
      <c r="R314">
        <f t="shared" si="966"/>
        <v>51672561126.5924</v>
      </c>
      <c r="S314">
        <f t="shared" si="967"/>
        <v>516725.611265924</v>
      </c>
      <c r="T314">
        <f t="shared" si="968"/>
        <v>516.72561126592404</v>
      </c>
    </row>
    <row r="315" spans="1:20" x14ac:dyDescent="0.25">
      <c r="A315" s="5">
        <v>44278</v>
      </c>
      <c r="B315">
        <v>4.8339E-2</v>
      </c>
      <c r="C315">
        <v>4.9999000000000002E-2</v>
      </c>
      <c r="D315">
        <v>4.4665999999999997E-2</v>
      </c>
      <c r="E315">
        <v>4.7851999999999999E-2</v>
      </c>
      <c r="F315">
        <v>874175608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0.19482467654228341</v>
      </c>
      <c r="Q315">
        <f t="shared" si="965"/>
        <v>170310980.06975394</v>
      </c>
      <c r="R315">
        <f t="shared" si="966"/>
        <v>52094865183.462837</v>
      </c>
      <c r="S315">
        <f t="shared" si="967"/>
        <v>520948.65183462837</v>
      </c>
      <c r="T315">
        <f t="shared" si="968"/>
        <v>520.94865183462832</v>
      </c>
    </row>
    <row r="316" spans="1:20" x14ac:dyDescent="0.25">
      <c r="A316" s="5">
        <v>44277</v>
      </c>
      <c r="B316">
        <v>5.4967000000000002E-2</v>
      </c>
      <c r="C316">
        <v>5.5426999999999997E-2</v>
      </c>
      <c r="D316">
        <v>4.7676000000000003E-2</v>
      </c>
      <c r="E316">
        <v>4.8329999999999998E-2</v>
      </c>
      <c r="F316">
        <v>1198100788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-0.83124758095729701</v>
      </c>
      <c r="Q316">
        <f t="shared" si="965"/>
        <v>-995918381.76803136</v>
      </c>
      <c r="R316">
        <f t="shared" si="966"/>
        <v>51924554203.393082</v>
      </c>
      <c r="S316">
        <f t="shared" si="967"/>
        <v>519245.54203393083</v>
      </c>
      <c r="T316">
        <f t="shared" si="968"/>
        <v>519.24554203393086</v>
      </c>
    </row>
    <row r="317" spans="1:20" x14ac:dyDescent="0.25">
      <c r="A317" s="5">
        <v>44276</v>
      </c>
      <c r="B317">
        <v>6.4020999999999995E-2</v>
      </c>
      <c r="C317">
        <v>6.6602999999999996E-2</v>
      </c>
      <c r="D317">
        <v>5.1841999999999999E-2</v>
      </c>
      <c r="E317">
        <v>5.5E-2</v>
      </c>
      <c r="F317">
        <v>3048510232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-0.5721157103177289</v>
      </c>
      <c r="Q317">
        <f t="shared" si="965"/>
        <v>-1744100596.7915444</v>
      </c>
      <c r="R317">
        <f t="shared" si="966"/>
        <v>52920472585.16111</v>
      </c>
      <c r="S317">
        <f t="shared" si="967"/>
        <v>529204.72585161112</v>
      </c>
      <c r="T317">
        <f t="shared" si="968"/>
        <v>529.2047258516111</v>
      </c>
    </row>
    <row r="318" spans="1:20" x14ac:dyDescent="0.25">
      <c r="A318" s="5">
        <v>44275</v>
      </c>
      <c r="B318">
        <v>4.7008000000000001E-2</v>
      </c>
      <c r="C318">
        <v>6.4798999999999995E-2</v>
      </c>
      <c r="D318">
        <v>4.6216E-2</v>
      </c>
      <c r="E318">
        <v>6.4004000000000005E-2</v>
      </c>
      <c r="F318">
        <v>2272852706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0.91443792713770755</v>
      </c>
      <c r="Q318">
        <f t="shared" si="965"/>
        <v>2078382717.1639695</v>
      </c>
      <c r="R318">
        <f t="shared" si="966"/>
        <v>54664573181.952652</v>
      </c>
      <c r="S318">
        <f t="shared" si="967"/>
        <v>546645.73181952653</v>
      </c>
      <c r="T318">
        <f t="shared" si="968"/>
        <v>546.64573181952653</v>
      </c>
    </row>
    <row r="319" spans="1:20" x14ac:dyDescent="0.25">
      <c r="A319" s="5">
        <v>44274</v>
      </c>
      <c r="B319">
        <v>4.5735999999999999E-2</v>
      </c>
      <c r="C319">
        <v>5.0828999999999999E-2</v>
      </c>
      <c r="D319">
        <v>4.4062999999999998E-2</v>
      </c>
      <c r="E319">
        <v>4.7010999999999997E-2</v>
      </c>
      <c r="F319">
        <v>1271985818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-0.12858409695536543</v>
      </c>
      <c r="Q319">
        <f t="shared" si="965"/>
        <v>-163557147.74756181</v>
      </c>
      <c r="R319">
        <f t="shared" si="966"/>
        <v>52586190464.788681</v>
      </c>
      <c r="S319">
        <f t="shared" si="967"/>
        <v>525861.90464788675</v>
      </c>
      <c r="T319">
        <f t="shared" si="968"/>
        <v>525.86190464788672</v>
      </c>
    </row>
    <row r="320" spans="1:20" x14ac:dyDescent="0.25">
      <c r="A320" s="5">
        <v>44273</v>
      </c>
      <c r="B320">
        <v>4.2721000000000002E-2</v>
      </c>
      <c r="C320">
        <v>4.7784E-2</v>
      </c>
      <c r="D320">
        <v>4.1875999999999997E-2</v>
      </c>
      <c r="E320">
        <v>4.5687999999999999E-2</v>
      </c>
      <c r="F320">
        <v>1331692928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0.29045362220717691</v>
      </c>
      <c r="Q320">
        <f t="shared" si="965"/>
        <v>386795034.60528123</v>
      </c>
      <c r="R320">
        <f t="shared" si="966"/>
        <v>52749747612.53624</v>
      </c>
      <c r="S320">
        <f t="shared" si="967"/>
        <v>527497.47612536245</v>
      </c>
      <c r="T320">
        <f t="shared" si="968"/>
        <v>527.49747612536248</v>
      </c>
    </row>
    <row r="321" spans="1:20" x14ac:dyDescent="0.25">
      <c r="A321" s="5">
        <v>44272</v>
      </c>
      <c r="B321">
        <v>4.2244999999999998E-2</v>
      </c>
      <c r="C321">
        <v>4.3451999999999998E-2</v>
      </c>
      <c r="D321">
        <v>0.04</v>
      </c>
      <c r="E321">
        <v>4.2714000000000002E-2</v>
      </c>
      <c r="F321">
        <v>739054027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0.57242178447277159</v>
      </c>
      <c r="Q321">
        <f t="shared" si="965"/>
        <v>423050624.95712793</v>
      </c>
      <c r="R321">
        <f t="shared" si="966"/>
        <v>52362952577.930962</v>
      </c>
      <c r="S321">
        <f t="shared" si="967"/>
        <v>523629.52577930962</v>
      </c>
      <c r="T321">
        <f t="shared" si="968"/>
        <v>523.62952577930957</v>
      </c>
    </row>
    <row r="322" spans="1:20" x14ac:dyDescent="0.25">
      <c r="A322" s="5">
        <v>44271</v>
      </c>
      <c r="B322">
        <v>4.2577999999999998E-2</v>
      </c>
      <c r="C322">
        <v>4.3144000000000002E-2</v>
      </c>
      <c r="D322">
        <v>3.9440999999999997E-2</v>
      </c>
      <c r="E322">
        <v>4.2183999999999999E-2</v>
      </c>
      <c r="F322">
        <v>860687530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0.48150148528220293</v>
      </c>
      <c r="Q322">
        <f t="shared" si="965"/>
        <v>414422324.05887061</v>
      </c>
      <c r="R322">
        <f t="shared" si="966"/>
        <v>51939901952.973831</v>
      </c>
      <c r="S322">
        <f t="shared" si="967"/>
        <v>519399.01952973829</v>
      </c>
      <c r="T322">
        <f t="shared" si="968"/>
        <v>519.39901952973833</v>
      </c>
    </row>
    <row r="323" spans="1:20" x14ac:dyDescent="0.25">
      <c r="A323" s="5">
        <v>44270</v>
      </c>
      <c r="B323">
        <v>4.3499999999999997E-2</v>
      </c>
      <c r="C323">
        <v>4.4787E-2</v>
      </c>
      <c r="D323">
        <v>4.0601999999999999E-2</v>
      </c>
      <c r="E323">
        <v>4.2610000000000002E-2</v>
      </c>
      <c r="F323">
        <v>859710494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-4.0382317801671563E-2</v>
      </c>
      <c r="Q323">
        <f t="shared" si="965"/>
        <v>-34717102.386140056</v>
      </c>
      <c r="R323">
        <f t="shared" si="966"/>
        <v>51525479628.914963</v>
      </c>
      <c r="S323">
        <f t="shared" si="967"/>
        <v>515254.79628914961</v>
      </c>
      <c r="T323">
        <f t="shared" si="968"/>
        <v>515.25479628914957</v>
      </c>
    </row>
    <row r="324" spans="1:20" x14ac:dyDescent="0.25">
      <c r="A324" s="5">
        <v>44269</v>
      </c>
      <c r="B324">
        <v>4.3813999999999999E-2</v>
      </c>
      <c r="C324">
        <v>4.5199999999999997E-2</v>
      </c>
      <c r="D324">
        <v>4.2439999999999999E-2</v>
      </c>
      <c r="E324">
        <v>4.3501999999999999E-2</v>
      </c>
      <c r="F324">
        <v>614281646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-0.23043478260869493</v>
      </c>
      <c r="Q324">
        <f t="shared" si="965"/>
        <v>-141551857.5565213</v>
      </c>
      <c r="R324">
        <f t="shared" si="966"/>
        <v>51560196731.301102</v>
      </c>
      <c r="S324">
        <f t="shared" si="967"/>
        <v>515601.967313011</v>
      </c>
      <c r="T324">
        <f t="shared" si="968"/>
        <v>515.60196731301096</v>
      </c>
    </row>
    <row r="325" spans="1:20" x14ac:dyDescent="0.25">
      <c r="A325" s="5">
        <v>44268</v>
      </c>
      <c r="B325">
        <v>4.3393000000000001E-2</v>
      </c>
      <c r="C325">
        <v>4.5999999999999999E-2</v>
      </c>
      <c r="D325">
        <v>4.1345E-2</v>
      </c>
      <c r="E325">
        <v>4.3813999999999999E-2</v>
      </c>
      <c r="F325">
        <v>1140451614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6.0794844253490563E-2</v>
      </c>
      <c r="Q325">
        <f t="shared" si="965"/>
        <v>69333578.251771942</v>
      </c>
      <c r="R325">
        <f t="shared" si="966"/>
        <v>51701748588.85762</v>
      </c>
      <c r="S325">
        <f t="shared" si="967"/>
        <v>517017.48588857619</v>
      </c>
      <c r="T325">
        <f t="shared" si="968"/>
        <v>517.01748588857618</v>
      </c>
    </row>
    <row r="326" spans="1:20" x14ac:dyDescent="0.25">
      <c r="A326" s="5">
        <v>44267</v>
      </c>
      <c r="B326">
        <v>4.6046999999999998E-2</v>
      </c>
      <c r="C326">
        <v>4.6100000000000002E-2</v>
      </c>
      <c r="D326">
        <v>4.1683999999999999E-2</v>
      </c>
      <c r="E326">
        <v>4.3395000000000003E-2</v>
      </c>
      <c r="F326">
        <v>701387326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-0.2250905797101436</v>
      </c>
      <c r="Q326">
        <f t="shared" ref="Q326:Q389" si="970">F326*P326</f>
        <v>-157875679.81068748</v>
      </c>
      <c r="R326">
        <f t="shared" ref="R326:R389" si="971">R327+Q326</f>
        <v>51632415010.60585</v>
      </c>
      <c r="S326">
        <f t="shared" ref="S326:S389" si="972">R326/100000</f>
        <v>516324.15010605851</v>
      </c>
      <c r="T326">
        <f t="shared" ref="T326:T389" si="973">S326/1000</f>
        <v>516.32415010605848</v>
      </c>
    </row>
    <row r="327" spans="1:20" x14ac:dyDescent="0.25">
      <c r="A327" s="5">
        <v>44266</v>
      </c>
      <c r="B327">
        <v>4.5108000000000002E-2</v>
      </c>
      <c r="C327">
        <v>4.7510999999999998E-2</v>
      </c>
      <c r="D327">
        <v>4.3943999999999997E-2</v>
      </c>
      <c r="E327">
        <v>4.5976000000000003E-2</v>
      </c>
      <c r="F327">
        <v>865522784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0.13933277263807436</v>
      </c>
      <c r="Q327">
        <f t="shared" si="970"/>
        <v>120595689.27614515</v>
      </c>
      <c r="R327">
        <f t="shared" si="971"/>
        <v>51790290690.416534</v>
      </c>
      <c r="S327">
        <f t="shared" si="972"/>
        <v>517902.90690416534</v>
      </c>
      <c r="T327">
        <f t="shared" si="973"/>
        <v>517.90290690416532</v>
      </c>
    </row>
    <row r="328" spans="1:20" x14ac:dyDescent="0.25">
      <c r="A328" s="5">
        <v>44265</v>
      </c>
      <c r="B328">
        <v>4.6748999999999999E-2</v>
      </c>
      <c r="C328">
        <v>4.8807000000000003E-2</v>
      </c>
      <c r="D328">
        <v>4.4200000000000003E-2</v>
      </c>
      <c r="E328">
        <v>4.5054999999999998E-2</v>
      </c>
      <c r="F328">
        <v>935073320</v>
      </c>
      <c r="G328">
        <v>0</v>
      </c>
      <c r="L328" t="s">
        <v>8</v>
      </c>
      <c r="M328" t="s">
        <v>7</v>
      </c>
      <c r="N328" t="s">
        <v>8</v>
      </c>
      <c r="P328">
        <f t="shared" si="969"/>
        <v>-0.62882570002170846</v>
      </c>
      <c r="Q328">
        <f t="shared" si="970"/>
        <v>-587998135.02062297</v>
      </c>
      <c r="R328">
        <f t="shared" si="971"/>
        <v>51669695001.140388</v>
      </c>
      <c r="S328">
        <f t="shared" si="972"/>
        <v>516696.95001140388</v>
      </c>
      <c r="T328">
        <f t="shared" si="973"/>
        <v>516.69695001140383</v>
      </c>
    </row>
    <row r="329" spans="1:20" x14ac:dyDescent="0.25">
      <c r="A329" s="5">
        <v>44264</v>
      </c>
      <c r="B329">
        <v>4.4630000000000003E-2</v>
      </c>
      <c r="C329">
        <v>4.6890000000000001E-2</v>
      </c>
      <c r="D329">
        <v>4.3810000000000002E-2</v>
      </c>
      <c r="E329">
        <v>4.6747999999999998E-2</v>
      </c>
      <c r="F329">
        <v>863576891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0.90779220779220571</v>
      </c>
      <c r="Q329">
        <f t="shared" si="970"/>
        <v>783948372.47921896</v>
      </c>
      <c r="R329">
        <f t="shared" si="971"/>
        <v>52257693136.161011</v>
      </c>
      <c r="S329">
        <f t="shared" si="972"/>
        <v>522576.93136161013</v>
      </c>
      <c r="T329">
        <f t="shared" si="973"/>
        <v>522.57693136161015</v>
      </c>
    </row>
    <row r="330" spans="1:20" x14ac:dyDescent="0.25">
      <c r="A330" s="5">
        <v>44263</v>
      </c>
      <c r="B330">
        <v>4.5363000000000001E-2</v>
      </c>
      <c r="C330">
        <v>4.6370000000000001E-2</v>
      </c>
      <c r="D330">
        <v>4.3455000000000001E-2</v>
      </c>
      <c r="E330">
        <v>4.4630000000000003E-2</v>
      </c>
      <c r="F330">
        <v>735447144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-0.19382504288164523</v>
      </c>
      <c r="Q330">
        <f t="shared" si="970"/>
        <v>-142548074.22298351</v>
      </c>
      <c r="R330">
        <f t="shared" si="971"/>
        <v>51473744763.681793</v>
      </c>
      <c r="S330">
        <f t="shared" si="972"/>
        <v>514737.44763681793</v>
      </c>
      <c r="T330">
        <f t="shared" si="973"/>
        <v>514.73744763681793</v>
      </c>
    </row>
    <row r="331" spans="1:20" x14ac:dyDescent="0.25">
      <c r="A331" s="5">
        <v>44262</v>
      </c>
      <c r="B331">
        <v>4.5377000000000001E-2</v>
      </c>
      <c r="C331">
        <v>4.6309000000000003E-2</v>
      </c>
      <c r="D331">
        <v>4.4112999999999999E-2</v>
      </c>
      <c r="E331">
        <v>4.5318999999999998E-2</v>
      </c>
      <c r="F331">
        <v>608434095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9.8360655737702016E-2</v>
      </c>
      <c r="Q331">
        <f t="shared" si="970"/>
        <v>59845976.557375282</v>
      </c>
      <c r="R331">
        <f t="shared" si="971"/>
        <v>51616292837.904778</v>
      </c>
      <c r="S331">
        <f t="shared" si="972"/>
        <v>516162.92837904778</v>
      </c>
      <c r="T331">
        <f t="shared" si="973"/>
        <v>516.1629283790478</v>
      </c>
    </row>
    <row r="332" spans="1:20" x14ac:dyDescent="0.25">
      <c r="A332" s="5">
        <v>44261</v>
      </c>
      <c r="B332">
        <v>4.8357999999999998E-2</v>
      </c>
      <c r="C332">
        <v>4.8764000000000002E-2</v>
      </c>
      <c r="D332">
        <v>4.3409000000000003E-2</v>
      </c>
      <c r="E332">
        <v>4.5333999999999999E-2</v>
      </c>
      <c r="F332">
        <v>1175511162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-0.28104575163398821</v>
      </c>
      <c r="Q332">
        <f t="shared" si="970"/>
        <v>-330372418.07843286</v>
      </c>
      <c r="R332">
        <f t="shared" si="971"/>
        <v>51556446861.347404</v>
      </c>
      <c r="S332">
        <f t="shared" si="972"/>
        <v>515564.46861347405</v>
      </c>
      <c r="T332">
        <f t="shared" si="973"/>
        <v>515.56446861347399</v>
      </c>
    </row>
    <row r="333" spans="1:20" x14ac:dyDescent="0.25">
      <c r="A333" s="5">
        <v>44260</v>
      </c>
      <c r="B333">
        <v>4.5664000000000003E-2</v>
      </c>
      <c r="C333">
        <v>5.1400000000000001E-2</v>
      </c>
      <c r="D333">
        <v>4.1236000000000002E-2</v>
      </c>
      <c r="E333">
        <v>4.8280000000000003E-2</v>
      </c>
      <c r="F333">
        <v>3092505119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0.3860684769775683</v>
      </c>
      <c r="Q333">
        <f t="shared" si="970"/>
        <v>1193918741.3376637</v>
      </c>
      <c r="R333">
        <f t="shared" si="971"/>
        <v>51886819279.425835</v>
      </c>
      <c r="S333">
        <f t="shared" si="972"/>
        <v>518868.19279425836</v>
      </c>
      <c r="T333">
        <f t="shared" si="973"/>
        <v>518.86819279425833</v>
      </c>
    </row>
    <row r="334" spans="1:20" x14ac:dyDescent="0.25">
      <c r="A334" s="5">
        <v>44259</v>
      </c>
      <c r="B334">
        <v>4.4068999999999997E-2</v>
      </c>
      <c r="C334">
        <v>4.9838E-2</v>
      </c>
      <c r="D334">
        <v>4.3000999999999998E-2</v>
      </c>
      <c r="E334">
        <v>4.5633E-2</v>
      </c>
      <c r="F334">
        <v>2449397053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-0.23007166886061101</v>
      </c>
      <c r="Q334">
        <f t="shared" si="970"/>
        <v>-563536867.68597245</v>
      </c>
      <c r="R334">
        <f t="shared" si="971"/>
        <v>50692900538.088173</v>
      </c>
      <c r="S334">
        <f t="shared" si="972"/>
        <v>506929.00538088172</v>
      </c>
      <c r="T334">
        <f t="shared" si="973"/>
        <v>506.92900538088173</v>
      </c>
    </row>
    <row r="335" spans="1:20" x14ac:dyDescent="0.25">
      <c r="A335" s="5">
        <v>44258</v>
      </c>
      <c r="B335">
        <v>4.0871999999999999E-2</v>
      </c>
      <c r="C335">
        <v>4.4846999999999998E-2</v>
      </c>
      <c r="D335">
        <v>4.0096E-2</v>
      </c>
      <c r="E335">
        <v>4.4098999999999999E-2</v>
      </c>
      <c r="F335">
        <v>1230127871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0.685118922332141</v>
      </c>
      <c r="Q335">
        <f t="shared" si="970"/>
        <v>842783881.310251</v>
      </c>
      <c r="R335">
        <f t="shared" si="971"/>
        <v>51256437405.774147</v>
      </c>
      <c r="S335">
        <f t="shared" si="972"/>
        <v>512564.37405774149</v>
      </c>
      <c r="T335">
        <f t="shared" si="973"/>
        <v>512.56437405774147</v>
      </c>
    </row>
    <row r="336" spans="1:20" x14ac:dyDescent="0.25">
      <c r="A336" s="5">
        <v>44257</v>
      </c>
      <c r="B336">
        <v>4.0451000000000001E-2</v>
      </c>
      <c r="C336">
        <v>4.3239E-2</v>
      </c>
      <c r="D336">
        <v>3.8321000000000001E-2</v>
      </c>
      <c r="E336">
        <v>4.0815999999999998E-2</v>
      </c>
      <c r="F336">
        <v>1585066976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1.4640097600649797E-2</v>
      </c>
      <c r="Q336">
        <f t="shared" si="970"/>
        <v>23205535.232206829</v>
      </c>
      <c r="R336">
        <f t="shared" si="971"/>
        <v>50413653524.463898</v>
      </c>
      <c r="S336">
        <f t="shared" si="972"/>
        <v>504136.53524463897</v>
      </c>
      <c r="T336">
        <f t="shared" si="973"/>
        <v>504.13653524463899</v>
      </c>
    </row>
    <row r="337" spans="1:20" x14ac:dyDescent="0.25">
      <c r="A337" s="5">
        <v>44256</v>
      </c>
      <c r="B337">
        <v>3.5054000000000002E-2</v>
      </c>
      <c r="C337">
        <v>4.1000000000000002E-2</v>
      </c>
      <c r="D337">
        <v>3.4456000000000001E-2</v>
      </c>
      <c r="E337">
        <v>4.045E-2</v>
      </c>
      <c r="F337">
        <v>2213285554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0.83190709046454714</v>
      </c>
      <c r="Q337">
        <f t="shared" si="970"/>
        <v>1841247945.5953534</v>
      </c>
      <c r="R337">
        <f t="shared" si="971"/>
        <v>50390447989.231689</v>
      </c>
      <c r="S337">
        <f t="shared" si="972"/>
        <v>503904.47989231691</v>
      </c>
      <c r="T337">
        <f t="shared" si="973"/>
        <v>503.90447989231694</v>
      </c>
    </row>
    <row r="338" spans="1:20" x14ac:dyDescent="0.25">
      <c r="A338" s="5">
        <v>44255</v>
      </c>
      <c r="B338">
        <v>3.9523000000000003E-2</v>
      </c>
      <c r="C338">
        <v>3.9641000000000003E-2</v>
      </c>
      <c r="D338">
        <v>3.0894999999999999E-2</v>
      </c>
      <c r="E338">
        <v>3.5048000000000003E-2</v>
      </c>
      <c r="F338">
        <v>2209096267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-5.0308712554310055E-2</v>
      </c>
      <c r="Q338">
        <f t="shared" si="970"/>
        <v>-111136789.10130237</v>
      </c>
      <c r="R338">
        <f t="shared" si="971"/>
        <v>48549200043.636337</v>
      </c>
      <c r="S338">
        <f t="shared" si="972"/>
        <v>485492.00043636339</v>
      </c>
      <c r="T338">
        <f t="shared" si="973"/>
        <v>485.49200043636341</v>
      </c>
    </row>
    <row r="339" spans="1:20" x14ac:dyDescent="0.25">
      <c r="A339" s="5">
        <v>44254</v>
      </c>
      <c r="B339">
        <v>4.0309999999999999E-2</v>
      </c>
      <c r="C339">
        <v>4.2133999999999998E-2</v>
      </c>
      <c r="D339">
        <v>3.8254000000000003E-2</v>
      </c>
      <c r="E339">
        <v>3.9475000000000003E-2</v>
      </c>
      <c r="F339">
        <v>1282849679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-0.37061855670103011</v>
      </c>
      <c r="Q339">
        <f t="shared" si="970"/>
        <v>-475447896.49535978</v>
      </c>
      <c r="R339">
        <f t="shared" si="971"/>
        <v>48660336832.73764</v>
      </c>
      <c r="S339">
        <f t="shared" si="972"/>
        <v>486603.36832737643</v>
      </c>
      <c r="T339">
        <f t="shared" si="973"/>
        <v>486.60336832737642</v>
      </c>
    </row>
    <row r="340" spans="1:20" x14ac:dyDescent="0.25">
      <c r="A340" s="5">
        <v>44253</v>
      </c>
      <c r="B340">
        <v>4.3415000000000002E-2</v>
      </c>
      <c r="C340">
        <v>4.3999999999999997E-2</v>
      </c>
      <c r="D340">
        <v>3.8796999999999998E-2</v>
      </c>
      <c r="E340">
        <v>4.0312000000000001E-2</v>
      </c>
      <c r="F340">
        <v>2489217385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-0.41764366711512485</v>
      </c>
      <c r="Q340">
        <f t="shared" si="970"/>
        <v>-1039605876.9181216</v>
      </c>
      <c r="R340">
        <f t="shared" si="971"/>
        <v>49135784729.233002</v>
      </c>
      <c r="S340">
        <f t="shared" si="972"/>
        <v>491357.84729233</v>
      </c>
      <c r="T340">
        <f t="shared" si="973"/>
        <v>491.35784729233001</v>
      </c>
    </row>
    <row r="341" spans="1:20" x14ac:dyDescent="0.25">
      <c r="A341" s="5">
        <v>44252</v>
      </c>
      <c r="B341">
        <v>5.2616000000000003E-2</v>
      </c>
      <c r="C341">
        <v>5.3922999999999999E-2</v>
      </c>
      <c r="D341">
        <v>4.2403000000000003E-2</v>
      </c>
      <c r="E341">
        <v>4.3304000000000002E-2</v>
      </c>
      <c r="F341">
        <v>4694229644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-0.84357638888888897</v>
      </c>
      <c r="Q341">
        <f t="shared" si="970"/>
        <v>-3959941291.700695</v>
      </c>
      <c r="R341">
        <f t="shared" si="971"/>
        <v>50175390606.151123</v>
      </c>
      <c r="S341">
        <f t="shared" si="972"/>
        <v>501753.90606151125</v>
      </c>
      <c r="T341">
        <f t="shared" si="973"/>
        <v>501.75390606151126</v>
      </c>
    </row>
    <row r="342" spans="1:20" x14ac:dyDescent="0.25">
      <c r="A342" s="5">
        <v>44251</v>
      </c>
      <c r="B342">
        <v>5.5460000000000002E-2</v>
      </c>
      <c r="C342">
        <v>0.06</v>
      </c>
      <c r="D342">
        <v>4.8053999999999999E-2</v>
      </c>
      <c r="E342">
        <v>5.2644000000000003E-2</v>
      </c>
      <c r="F342">
        <v>4025479254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-0.23154193872425843</v>
      </c>
      <c r="Q342">
        <f t="shared" si="970"/>
        <v>-932067270.76544154</v>
      </c>
      <c r="R342">
        <f t="shared" si="971"/>
        <v>54135331897.851822</v>
      </c>
      <c r="S342">
        <f t="shared" si="972"/>
        <v>541353.31897851825</v>
      </c>
      <c r="T342">
        <f t="shared" si="973"/>
        <v>541.35331897851825</v>
      </c>
    </row>
    <row r="343" spans="1:20" x14ac:dyDescent="0.25">
      <c r="A343" s="5">
        <v>44250</v>
      </c>
      <c r="B343">
        <v>5.9863E-2</v>
      </c>
      <c r="C343">
        <v>6.0032000000000002E-2</v>
      </c>
      <c r="D343">
        <v>3.3300000000000003E-2</v>
      </c>
      <c r="E343">
        <v>5.5316999999999998E-2</v>
      </c>
      <c r="F343">
        <v>7275650180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0.64723926380368069</v>
      </c>
      <c r="Q343">
        <f t="shared" si="970"/>
        <v>4709086466.1963167</v>
      </c>
      <c r="R343">
        <f t="shared" si="971"/>
        <v>55067399168.617264</v>
      </c>
      <c r="S343">
        <f t="shared" si="972"/>
        <v>550673.99168617267</v>
      </c>
      <c r="T343">
        <f t="shared" si="973"/>
        <v>550.67399168617271</v>
      </c>
    </row>
    <row r="344" spans="1:20" x14ac:dyDescent="0.25">
      <c r="A344" s="5">
        <v>44249</v>
      </c>
      <c r="B344">
        <v>5.6265999999999997E-2</v>
      </c>
      <c r="C344">
        <v>6.9903000000000007E-2</v>
      </c>
      <c r="D344">
        <v>4.8402000000000001E-2</v>
      </c>
      <c r="E344">
        <v>5.9896999999999999E-2</v>
      </c>
      <c r="F344">
        <v>6186019867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6.9252592902655216E-2</v>
      </c>
      <c r="Q344">
        <f t="shared" si="970"/>
        <v>428397915.53708833</v>
      </c>
      <c r="R344">
        <f t="shared" si="971"/>
        <v>50358312702.420944</v>
      </c>
      <c r="S344">
        <f t="shared" si="972"/>
        <v>503583.12702420942</v>
      </c>
      <c r="T344">
        <f t="shared" si="973"/>
        <v>503.58312702420943</v>
      </c>
    </row>
    <row r="345" spans="1:20" x14ac:dyDescent="0.25">
      <c r="A345" s="5">
        <v>44248</v>
      </c>
      <c r="B345">
        <v>4.1500000000000002E-2</v>
      </c>
      <c r="C345">
        <v>5.9330000000000001E-2</v>
      </c>
      <c r="D345">
        <v>4.0612000000000002E-2</v>
      </c>
      <c r="E345">
        <v>5.6267999999999999E-2</v>
      </c>
      <c r="F345">
        <v>2546479819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0.67282829362111307</v>
      </c>
      <c r="Q345">
        <f t="shared" si="970"/>
        <v>1713343671.3583708</v>
      </c>
      <c r="R345">
        <f t="shared" si="971"/>
        <v>49929914786.883858</v>
      </c>
      <c r="S345">
        <f t="shared" si="972"/>
        <v>499299.14786883857</v>
      </c>
      <c r="T345">
        <f t="shared" si="973"/>
        <v>499.29914786883859</v>
      </c>
    </row>
    <row r="346" spans="1:20" x14ac:dyDescent="0.25">
      <c r="A346" s="5">
        <v>44247</v>
      </c>
      <c r="B346">
        <v>4.3597999999999998E-2</v>
      </c>
      <c r="C346">
        <v>4.5821000000000001E-2</v>
      </c>
      <c r="D346">
        <v>0.04</v>
      </c>
      <c r="E346">
        <v>4.1500000000000002E-2</v>
      </c>
      <c r="F346">
        <v>1273162248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-0.48462463494244928</v>
      </c>
      <c r="Q346">
        <f t="shared" si="970"/>
        <v>-617005789.65950811</v>
      </c>
      <c r="R346">
        <f t="shared" si="971"/>
        <v>48216571115.52549</v>
      </c>
      <c r="S346">
        <f t="shared" si="972"/>
        <v>482165.71115525492</v>
      </c>
      <c r="T346">
        <f t="shared" si="973"/>
        <v>482.16571115525494</v>
      </c>
    </row>
    <row r="347" spans="1:20" x14ac:dyDescent="0.25">
      <c r="A347" s="5">
        <v>44246</v>
      </c>
      <c r="B347">
        <v>4.2701999999999997E-2</v>
      </c>
      <c r="C347">
        <v>4.6710000000000002E-2</v>
      </c>
      <c r="D347">
        <v>4.1100999999999999E-2</v>
      </c>
      <c r="E347">
        <v>4.3628E-2</v>
      </c>
      <c r="F347">
        <v>2280365405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-9.8948119094312656E-2</v>
      </c>
      <c r="Q347">
        <f t="shared" si="970"/>
        <v>-225637867.67249051</v>
      </c>
      <c r="R347">
        <f t="shared" si="971"/>
        <v>48833576905.184998</v>
      </c>
      <c r="S347">
        <f t="shared" si="972"/>
        <v>488335.76905184996</v>
      </c>
      <c r="T347">
        <f t="shared" si="973"/>
        <v>488.33576905184998</v>
      </c>
    </row>
    <row r="348" spans="1:20" x14ac:dyDescent="0.25">
      <c r="A348" s="5">
        <v>44245</v>
      </c>
      <c r="B348">
        <v>4.0268999999999999E-2</v>
      </c>
      <c r="C348">
        <v>4.3743999999999998E-2</v>
      </c>
      <c r="D348">
        <v>3.7810000000000003E-2</v>
      </c>
      <c r="E348">
        <v>4.2707000000000002E-2</v>
      </c>
      <c r="F348">
        <v>2254208573</v>
      </c>
      <c r="G348">
        <v>0</v>
      </c>
      <c r="L348" t="s">
        <v>7</v>
      </c>
      <c r="M348" t="s">
        <v>7</v>
      </c>
      <c r="N348" t="s">
        <v>8</v>
      </c>
      <c r="P348">
        <f t="shared" si="969"/>
        <v>0.65048870913380619</v>
      </c>
      <c r="Q348">
        <f t="shared" si="970"/>
        <v>1466337224.7691293</v>
      </c>
      <c r="R348">
        <f t="shared" si="971"/>
        <v>49059214772.857491</v>
      </c>
      <c r="S348">
        <f t="shared" si="972"/>
        <v>490592.14772857493</v>
      </c>
      <c r="T348">
        <f t="shared" si="973"/>
        <v>490.5921477285749</v>
      </c>
    </row>
    <row r="349" spans="1:20" x14ac:dyDescent="0.25">
      <c r="A349" s="5">
        <v>44244</v>
      </c>
      <c r="B349">
        <v>3.0866000000000001E-2</v>
      </c>
      <c r="C349">
        <v>4.4880000000000003E-2</v>
      </c>
      <c r="D349">
        <v>2.8659E-2</v>
      </c>
      <c r="E349">
        <v>4.02E-2</v>
      </c>
      <c r="F349">
        <v>5921887043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0.42297022378398336</v>
      </c>
      <c r="Q349">
        <f t="shared" si="970"/>
        <v>2504781887.8011813</v>
      </c>
      <c r="R349">
        <f t="shared" si="971"/>
        <v>47592877548.088364</v>
      </c>
      <c r="S349">
        <f t="shared" si="972"/>
        <v>475928.77548088366</v>
      </c>
      <c r="T349">
        <f t="shared" si="973"/>
        <v>475.92877548088364</v>
      </c>
    </row>
    <row r="350" spans="1:20" x14ac:dyDescent="0.25">
      <c r="A350" s="5">
        <v>44243</v>
      </c>
      <c r="B350">
        <v>3.0564999999999998E-2</v>
      </c>
      <c r="C350">
        <v>3.2668000000000003E-2</v>
      </c>
      <c r="D350">
        <v>2.9007000000000002E-2</v>
      </c>
      <c r="E350">
        <v>3.0866000000000001E-2</v>
      </c>
      <c r="F350">
        <v>1156814399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1.5569516525538925E-2</v>
      </c>
      <c r="Q350">
        <f t="shared" si="970"/>
        <v>18011040.902211878</v>
      </c>
      <c r="R350">
        <f t="shared" si="971"/>
        <v>45088095660.287186</v>
      </c>
      <c r="S350">
        <f t="shared" si="972"/>
        <v>450880.95660287188</v>
      </c>
      <c r="T350">
        <f t="shared" si="973"/>
        <v>450.88095660287189</v>
      </c>
    </row>
    <row r="351" spans="1:20" x14ac:dyDescent="0.25">
      <c r="A351" s="5">
        <v>44242</v>
      </c>
      <c r="B351">
        <v>3.1015999999999998E-2</v>
      </c>
      <c r="C351">
        <v>3.3300000000000003E-2</v>
      </c>
      <c r="D351">
        <v>2.5121999999999998E-2</v>
      </c>
      <c r="E351">
        <v>3.0544999999999999E-2</v>
      </c>
      <c r="F351">
        <v>2162358764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0.32624113475177247</v>
      </c>
      <c r="Q351">
        <f t="shared" si="970"/>
        <v>705450376.9078002</v>
      </c>
      <c r="R351">
        <f t="shared" si="971"/>
        <v>45070084619.384972</v>
      </c>
      <c r="S351">
        <f t="shared" si="972"/>
        <v>450700.84619384969</v>
      </c>
      <c r="T351">
        <f t="shared" si="973"/>
        <v>450.70084619384971</v>
      </c>
    </row>
    <row r="352" spans="1:20" x14ac:dyDescent="0.25">
      <c r="A352" s="5">
        <v>44241</v>
      </c>
      <c r="B352">
        <v>3.4868999999999997E-2</v>
      </c>
      <c r="C352">
        <v>3.7490000000000002E-2</v>
      </c>
      <c r="D352">
        <v>3.0245000000000001E-2</v>
      </c>
      <c r="E352">
        <v>3.1014E-2</v>
      </c>
      <c r="F352">
        <v>1886240768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-0.78771566597653586</v>
      </c>
      <c r="Q352">
        <f t="shared" si="970"/>
        <v>-1485821402.7572124</v>
      </c>
      <c r="R352">
        <f t="shared" si="971"/>
        <v>44364634242.477173</v>
      </c>
      <c r="S352">
        <f t="shared" si="972"/>
        <v>443646.34242477175</v>
      </c>
      <c r="T352">
        <f t="shared" si="973"/>
        <v>443.64634242477177</v>
      </c>
    </row>
    <row r="353" spans="1:20" x14ac:dyDescent="0.25">
      <c r="A353" s="5">
        <v>44240</v>
      </c>
      <c r="B353">
        <v>3.1102999999999999E-2</v>
      </c>
      <c r="C353">
        <v>3.7999999999999999E-2</v>
      </c>
      <c r="D353">
        <v>2.8922E-2</v>
      </c>
      <c r="E353">
        <v>3.4867000000000002E-2</v>
      </c>
      <c r="F353">
        <v>4031578490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0.30975985899978031</v>
      </c>
      <c r="Q353">
        <f t="shared" si="970"/>
        <v>1248821184.6089473</v>
      </c>
      <c r="R353">
        <f t="shared" si="971"/>
        <v>45850455645.234383</v>
      </c>
      <c r="S353">
        <f t="shared" si="972"/>
        <v>458504.55645234382</v>
      </c>
      <c r="T353">
        <f t="shared" si="973"/>
        <v>458.50455645234382</v>
      </c>
    </row>
    <row r="354" spans="1:20" x14ac:dyDescent="0.25">
      <c r="A354" s="5">
        <v>44239</v>
      </c>
      <c r="B354">
        <v>2.6603999999999999E-2</v>
      </c>
      <c r="C354">
        <v>3.2185999999999999E-2</v>
      </c>
      <c r="D354">
        <v>2.4740000000000002E-2</v>
      </c>
      <c r="E354">
        <v>3.1099000000000002E-2</v>
      </c>
      <c r="F354">
        <v>2500126061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0.70803115766854741</v>
      </c>
      <c r="Q354">
        <f t="shared" si="970"/>
        <v>1770167149.2871354</v>
      </c>
      <c r="R354">
        <f t="shared" si="971"/>
        <v>44601634460.625435</v>
      </c>
      <c r="S354">
        <f t="shared" si="972"/>
        <v>446016.34460625437</v>
      </c>
      <c r="T354">
        <f t="shared" si="973"/>
        <v>446.01634460625439</v>
      </c>
    </row>
    <row r="355" spans="1:20" x14ac:dyDescent="0.25">
      <c r="A355" s="5">
        <v>44238</v>
      </c>
      <c r="B355">
        <v>2.2471999999999999E-2</v>
      </c>
      <c r="C355">
        <v>2.7400000000000001E-2</v>
      </c>
      <c r="D355">
        <v>2.2110999999999999E-2</v>
      </c>
      <c r="E355">
        <v>2.6565999999999999E-2</v>
      </c>
      <c r="F355">
        <v>2142528637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0.68462847419171824</v>
      </c>
      <c r="Q355">
        <f t="shared" si="970"/>
        <v>1466836111.6613717</v>
      </c>
      <c r="R355">
        <f t="shared" si="971"/>
        <v>42831467311.338303</v>
      </c>
      <c r="S355">
        <f t="shared" si="972"/>
        <v>428314.673113383</v>
      </c>
      <c r="T355">
        <f t="shared" si="973"/>
        <v>428.31467311338298</v>
      </c>
    </row>
    <row r="356" spans="1:20" x14ac:dyDescent="0.25">
      <c r="A356" s="5">
        <v>44237</v>
      </c>
      <c r="B356">
        <v>2.1905999999999998E-2</v>
      </c>
      <c r="C356">
        <v>2.5071E-2</v>
      </c>
      <c r="D356">
        <v>1.9709000000000001E-2</v>
      </c>
      <c r="E356">
        <v>2.2485000000000002E-2</v>
      </c>
      <c r="F356">
        <v>3655409422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3.543453935098894E-2</v>
      </c>
      <c r="Q356">
        <f t="shared" si="970"/>
        <v>129527749.00783473</v>
      </c>
      <c r="R356">
        <f t="shared" si="971"/>
        <v>41364631199.676933</v>
      </c>
      <c r="S356">
        <f t="shared" si="972"/>
        <v>413646.31199676933</v>
      </c>
      <c r="T356">
        <f t="shared" si="973"/>
        <v>413.64631199676933</v>
      </c>
    </row>
    <row r="357" spans="1:20" x14ac:dyDescent="0.25">
      <c r="A357" s="5">
        <v>44236</v>
      </c>
      <c r="B357">
        <v>2.0060000000000001E-2</v>
      </c>
      <c r="C357">
        <v>2.2110000000000001E-2</v>
      </c>
      <c r="D357">
        <v>1.9299E-2</v>
      </c>
      <c r="E357">
        <v>2.1871999999999999E-2</v>
      </c>
      <c r="F357">
        <v>1733739370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0.83066524368551975</v>
      </c>
      <c r="Q357">
        <f t="shared" si="970"/>
        <v>1440157036.2682295</v>
      </c>
      <c r="R357">
        <f t="shared" si="971"/>
        <v>41235103450.669098</v>
      </c>
      <c r="S357">
        <f t="shared" si="972"/>
        <v>412351.03450669098</v>
      </c>
      <c r="T357">
        <f t="shared" si="973"/>
        <v>412.35103450669101</v>
      </c>
    </row>
    <row r="358" spans="1:20" x14ac:dyDescent="0.25">
      <c r="A358" s="5">
        <v>44235</v>
      </c>
      <c r="B358">
        <v>1.8839999999999999E-2</v>
      </c>
      <c r="C358">
        <v>2.0614E-2</v>
      </c>
      <c r="D358">
        <v>1.8183000000000001E-2</v>
      </c>
      <c r="E358">
        <v>2.0060000000000001E-2</v>
      </c>
      <c r="F358">
        <v>1447617472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0.54422048539695667</v>
      </c>
      <c r="Q358">
        <f t="shared" si="970"/>
        <v>787823083.28095531</v>
      </c>
      <c r="R358">
        <f t="shared" si="971"/>
        <v>39794946414.400871</v>
      </c>
      <c r="S358">
        <f t="shared" si="972"/>
        <v>397949.4641440087</v>
      </c>
      <c r="T358">
        <f t="shared" si="973"/>
        <v>397.94946414400869</v>
      </c>
    </row>
    <row r="359" spans="1:20" x14ac:dyDescent="0.25">
      <c r="A359" s="5">
        <v>44234</v>
      </c>
      <c r="B359">
        <v>1.9807000000000002E-2</v>
      </c>
      <c r="C359">
        <v>2.0865999999999999E-2</v>
      </c>
      <c r="D359">
        <v>1.7593999999999999E-2</v>
      </c>
      <c r="E359">
        <v>1.8838000000000001E-2</v>
      </c>
      <c r="F359">
        <v>1496048041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-0.2396088019559891</v>
      </c>
      <c r="Q359">
        <f t="shared" si="970"/>
        <v>-358466278.77261448</v>
      </c>
      <c r="R359">
        <f t="shared" si="971"/>
        <v>39007123331.119919</v>
      </c>
      <c r="S359">
        <f t="shared" si="972"/>
        <v>390071.23331119918</v>
      </c>
      <c r="T359">
        <f t="shared" si="973"/>
        <v>390.07123331119919</v>
      </c>
    </row>
    <row r="360" spans="1:20" x14ac:dyDescent="0.25">
      <c r="A360" s="5">
        <v>44233</v>
      </c>
      <c r="B360">
        <v>1.8201999999999999E-2</v>
      </c>
      <c r="C360">
        <v>2.1342E-2</v>
      </c>
      <c r="D360">
        <v>1.7961999999999999E-2</v>
      </c>
      <c r="E360">
        <v>1.9791E-2</v>
      </c>
      <c r="F360">
        <v>3623932327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8.2248520710059281E-2</v>
      </c>
      <c r="Q360">
        <f t="shared" si="970"/>
        <v>298063073.0491128</v>
      </c>
      <c r="R360">
        <f t="shared" si="971"/>
        <v>39365589609.892532</v>
      </c>
      <c r="S360">
        <f t="shared" si="972"/>
        <v>393655.89609892532</v>
      </c>
      <c r="T360">
        <f t="shared" si="973"/>
        <v>393.65589609892533</v>
      </c>
    </row>
    <row r="361" spans="1:20" x14ac:dyDescent="0.25">
      <c r="A361" s="5">
        <v>44232</v>
      </c>
      <c r="B361">
        <v>1.6312E-2</v>
      </c>
      <c r="C361">
        <v>1.8499000000000002E-2</v>
      </c>
      <c r="D361">
        <v>1.6219999999999998E-2</v>
      </c>
      <c r="E361">
        <v>1.8217000000000001E-2</v>
      </c>
      <c r="F361">
        <v>1795650470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0.75252303641948171</v>
      </c>
      <c r="Q361">
        <f t="shared" si="970"/>
        <v>1351268344.0324695</v>
      </c>
      <c r="R361">
        <f t="shared" si="971"/>
        <v>39067526536.843422</v>
      </c>
      <c r="S361">
        <f t="shared" si="972"/>
        <v>390675.26536843419</v>
      </c>
      <c r="T361">
        <f t="shared" si="973"/>
        <v>390.67526536843417</v>
      </c>
    </row>
    <row r="362" spans="1:20" x14ac:dyDescent="0.25">
      <c r="A362" s="5">
        <v>44231</v>
      </c>
      <c r="B362">
        <v>1.7371000000000001E-2</v>
      </c>
      <c r="C362">
        <v>1.7384E-2</v>
      </c>
      <c r="D362">
        <v>1.5899E-2</v>
      </c>
      <c r="E362">
        <v>1.6295E-2</v>
      </c>
      <c r="F362">
        <v>934596444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-0.46666666666666606</v>
      </c>
      <c r="Q362">
        <f t="shared" si="970"/>
        <v>-436145007.19999945</v>
      </c>
      <c r="R362">
        <f t="shared" si="971"/>
        <v>37716258192.810951</v>
      </c>
      <c r="S362">
        <f t="shared" si="972"/>
        <v>377162.58192810952</v>
      </c>
      <c r="T362">
        <f t="shared" si="973"/>
        <v>377.16258192810949</v>
      </c>
    </row>
    <row r="363" spans="1:20" x14ac:dyDescent="0.25">
      <c r="A363" s="5">
        <v>44230</v>
      </c>
      <c r="B363">
        <v>1.6660999999999999E-2</v>
      </c>
      <c r="C363">
        <v>1.7645999999999998E-2</v>
      </c>
      <c r="D363">
        <v>1.6313000000000001E-2</v>
      </c>
      <c r="E363">
        <v>1.7367E-2</v>
      </c>
      <c r="F363">
        <v>729041194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0.58139534883721145</v>
      </c>
      <c r="Q363">
        <f t="shared" si="970"/>
        <v>423861159.30232716</v>
      </c>
      <c r="R363">
        <f t="shared" si="971"/>
        <v>38152403200.010948</v>
      </c>
      <c r="S363">
        <f t="shared" si="972"/>
        <v>381524.0320001095</v>
      </c>
      <c r="T363">
        <f t="shared" si="973"/>
        <v>381.52403200010951</v>
      </c>
    </row>
    <row r="364" spans="1:20" x14ac:dyDescent="0.25">
      <c r="A364" s="5">
        <v>44229</v>
      </c>
      <c r="B364">
        <v>1.6109999999999999E-2</v>
      </c>
      <c r="C364">
        <v>1.7715000000000002E-2</v>
      </c>
      <c r="D364">
        <v>1.6028000000000001E-2</v>
      </c>
      <c r="E364">
        <v>1.6660000000000001E-2</v>
      </c>
      <c r="F364">
        <v>1697455114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-0.25074096028452847</v>
      </c>
      <c r="Q364">
        <f t="shared" si="970"/>
        <v>-425621525.32424372</v>
      </c>
      <c r="R364">
        <f t="shared" si="971"/>
        <v>37728542040.708618</v>
      </c>
      <c r="S364">
        <f t="shared" si="972"/>
        <v>377285.4204070862</v>
      </c>
      <c r="T364">
        <f t="shared" si="973"/>
        <v>377.28542040708618</v>
      </c>
    </row>
    <row r="365" spans="1:20" x14ac:dyDescent="0.25">
      <c r="A365" s="5">
        <v>44228</v>
      </c>
      <c r="B365">
        <v>1.5729E-2</v>
      </c>
      <c r="C365">
        <v>1.6500000000000001E-2</v>
      </c>
      <c r="D365">
        <v>1.5101E-2</v>
      </c>
      <c r="E365">
        <v>1.6121E-2</v>
      </c>
      <c r="F365">
        <v>1282288546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0.45818441744102845</v>
      </c>
      <c r="Q365">
        <f t="shared" si="970"/>
        <v>587524630.44031346</v>
      </c>
      <c r="R365">
        <f t="shared" si="971"/>
        <v>38154163566.03286</v>
      </c>
      <c r="S365">
        <f t="shared" si="972"/>
        <v>381541.63566032861</v>
      </c>
      <c r="T365">
        <f t="shared" si="973"/>
        <v>381.54163566032861</v>
      </c>
    </row>
    <row r="366" spans="1:20" x14ac:dyDescent="0.25">
      <c r="A366" s="5">
        <v>44227</v>
      </c>
      <c r="B366">
        <v>1.6038E-2</v>
      </c>
      <c r="C366">
        <v>1.6184E-2</v>
      </c>
      <c r="D366">
        <v>1.5136999999999999E-2</v>
      </c>
      <c r="E366">
        <v>1.5755000000000002E-2</v>
      </c>
      <c r="F366">
        <v>893787334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0.18051575931232397</v>
      </c>
      <c r="Q366">
        <f t="shared" si="970"/>
        <v>161342699.2607477</v>
      </c>
      <c r="R366">
        <f t="shared" si="971"/>
        <v>37566638935.592545</v>
      </c>
      <c r="S366">
        <f t="shared" si="972"/>
        <v>375666.38935592544</v>
      </c>
      <c r="T366">
        <f t="shared" si="973"/>
        <v>375.66638935592545</v>
      </c>
    </row>
    <row r="367" spans="1:20" x14ac:dyDescent="0.25">
      <c r="A367" s="5">
        <v>44226</v>
      </c>
      <c r="B367">
        <v>1.6926E-2</v>
      </c>
      <c r="C367">
        <v>1.7312000000000001E-2</v>
      </c>
      <c r="D367">
        <v>1.5800000000000002E-2</v>
      </c>
      <c r="E367">
        <v>1.6049999999999998E-2</v>
      </c>
      <c r="F367">
        <v>897952685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-0.66931216931217352</v>
      </c>
      <c r="Q367">
        <f t="shared" si="970"/>
        <v>-601010659.53704083</v>
      </c>
      <c r="R367">
        <f t="shared" si="971"/>
        <v>37405296236.331795</v>
      </c>
      <c r="S367">
        <f t="shared" si="972"/>
        <v>374052.96236331796</v>
      </c>
      <c r="T367">
        <f t="shared" si="973"/>
        <v>374.05296236331793</v>
      </c>
    </row>
    <row r="368" spans="1:20" x14ac:dyDescent="0.25">
      <c r="A368" s="5">
        <v>44225</v>
      </c>
      <c r="B368">
        <v>1.7104999999999999E-2</v>
      </c>
      <c r="C368">
        <v>1.8381000000000002E-2</v>
      </c>
      <c r="D368">
        <v>1.6500000000000001E-2</v>
      </c>
      <c r="E368">
        <v>1.6936E-2</v>
      </c>
      <c r="F368">
        <v>1830992796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-0.53641679957469568</v>
      </c>
      <c r="Q368">
        <f t="shared" si="970"/>
        <v>-982175295.67464364</v>
      </c>
      <c r="R368">
        <f t="shared" si="971"/>
        <v>38006306895.868835</v>
      </c>
      <c r="S368">
        <f t="shared" si="972"/>
        <v>380063.06895868835</v>
      </c>
      <c r="T368">
        <f t="shared" si="973"/>
        <v>380.06306895868835</v>
      </c>
    </row>
    <row r="369" spans="1:20" x14ac:dyDescent="0.25">
      <c r="A369" s="5">
        <v>44224</v>
      </c>
      <c r="B369">
        <v>1.5675000000000001E-2</v>
      </c>
      <c r="C369">
        <v>1.8688E-2</v>
      </c>
      <c r="D369">
        <v>1.5299E-2</v>
      </c>
      <c r="E369">
        <v>1.7132000000000001E-2</v>
      </c>
      <c r="F369">
        <v>2453008419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8.173502508114576E-2</v>
      </c>
      <c r="Q369">
        <f t="shared" si="970"/>
        <v>200496704.6512267</v>
      </c>
      <c r="R369">
        <f t="shared" si="971"/>
        <v>38988482191.54348</v>
      </c>
      <c r="S369">
        <f t="shared" si="972"/>
        <v>389884.82191543479</v>
      </c>
      <c r="T369">
        <f t="shared" si="973"/>
        <v>389.88482191543477</v>
      </c>
    </row>
    <row r="370" spans="1:20" x14ac:dyDescent="0.25">
      <c r="A370" s="5">
        <v>44223</v>
      </c>
      <c r="B370">
        <v>1.6924999999999999E-2</v>
      </c>
      <c r="C370">
        <v>1.7191000000000001E-2</v>
      </c>
      <c r="D370">
        <v>1.5419E-2</v>
      </c>
      <c r="E370">
        <v>1.5691E-2</v>
      </c>
      <c r="F370">
        <v>1745503003</v>
      </c>
      <c r="G370">
        <v>0</v>
      </c>
      <c r="L370" t="s">
        <v>8</v>
      </c>
      <c r="M370" t="s">
        <v>7</v>
      </c>
      <c r="N370" t="s">
        <v>8</v>
      </c>
      <c r="P370">
        <f t="shared" si="969"/>
        <v>-0.69300225733634369</v>
      </c>
      <c r="Q370">
        <f t="shared" si="970"/>
        <v>-1209637521.2663667</v>
      </c>
      <c r="R370">
        <f t="shared" si="971"/>
        <v>38787985486.89225</v>
      </c>
      <c r="S370">
        <f t="shared" si="972"/>
        <v>387879.8548689225</v>
      </c>
      <c r="T370">
        <f t="shared" si="973"/>
        <v>387.87985486892251</v>
      </c>
    </row>
    <row r="371" spans="1:20" x14ac:dyDescent="0.25">
      <c r="A371" s="5">
        <v>44222</v>
      </c>
      <c r="B371">
        <v>1.6323000000000001E-2</v>
      </c>
      <c r="C371">
        <v>1.7329000000000001E-2</v>
      </c>
      <c r="D371">
        <v>1.5068E-2</v>
      </c>
      <c r="E371">
        <v>1.6927000000000001E-2</v>
      </c>
      <c r="F371">
        <v>2176244864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0.64440513047324244</v>
      </c>
      <c r="Q371">
        <f t="shared" si="970"/>
        <v>1402383355.5276437</v>
      </c>
      <c r="R371">
        <f t="shared" si="971"/>
        <v>39997623008.158615</v>
      </c>
      <c r="S371">
        <f t="shared" si="972"/>
        <v>399976.23008158617</v>
      </c>
      <c r="T371">
        <f t="shared" si="973"/>
        <v>399.97623008158615</v>
      </c>
    </row>
    <row r="372" spans="1:20" x14ac:dyDescent="0.25">
      <c r="A372" s="5">
        <v>44221</v>
      </c>
      <c r="B372">
        <v>1.7741E-2</v>
      </c>
      <c r="C372">
        <v>1.8398000000000001E-2</v>
      </c>
      <c r="D372">
        <v>1.6288E-2</v>
      </c>
      <c r="E372">
        <v>1.6313000000000001E-2</v>
      </c>
      <c r="F372">
        <v>1415099281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-0.97630331753554433</v>
      </c>
      <c r="Q372">
        <f t="shared" si="970"/>
        <v>-1381566122.6824634</v>
      </c>
      <c r="R372">
        <f t="shared" si="971"/>
        <v>38595239652.630974</v>
      </c>
      <c r="S372">
        <f t="shared" si="972"/>
        <v>385952.39652630972</v>
      </c>
      <c r="T372">
        <f t="shared" si="973"/>
        <v>385.95239652630971</v>
      </c>
    </row>
    <row r="373" spans="1:20" x14ac:dyDescent="0.25">
      <c r="A373" s="5">
        <v>44220</v>
      </c>
      <c r="B373">
        <v>1.5429E-2</v>
      </c>
      <c r="C373">
        <v>1.8780000000000002E-2</v>
      </c>
      <c r="D373">
        <v>1.5128000000000001E-2</v>
      </c>
      <c r="E373">
        <v>1.7724E-2</v>
      </c>
      <c r="F373">
        <v>3016026397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0.42168674698795117</v>
      </c>
      <c r="Q373">
        <f t="shared" si="970"/>
        <v>1271818360.180721</v>
      </c>
      <c r="R373">
        <f t="shared" si="971"/>
        <v>39976805775.313438</v>
      </c>
      <c r="S373">
        <f t="shared" si="972"/>
        <v>399768.0577531344</v>
      </c>
      <c r="T373">
        <f t="shared" si="973"/>
        <v>399.76805775313443</v>
      </c>
    </row>
    <row r="374" spans="1:20" x14ac:dyDescent="0.25">
      <c r="A374" s="5">
        <v>44219</v>
      </c>
      <c r="B374">
        <v>1.5810000000000001E-2</v>
      </c>
      <c r="C374">
        <v>1.6368000000000001E-2</v>
      </c>
      <c r="D374">
        <v>1.4839E-2</v>
      </c>
      <c r="E374">
        <v>1.545E-2</v>
      </c>
      <c r="F374">
        <v>1330280246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-0.20078482668410713</v>
      </c>
      <c r="Q374">
        <f t="shared" si="970"/>
        <v>-267100088.63440141</v>
      </c>
      <c r="R374">
        <f t="shared" si="971"/>
        <v>38704987415.132721</v>
      </c>
      <c r="S374">
        <f t="shared" si="972"/>
        <v>387049.87415132718</v>
      </c>
      <c r="T374">
        <f t="shared" si="973"/>
        <v>387.04987415132717</v>
      </c>
    </row>
    <row r="375" spans="1:20" x14ac:dyDescent="0.25">
      <c r="A375" s="5">
        <v>44218</v>
      </c>
      <c r="B375">
        <v>1.4914999999999999E-2</v>
      </c>
      <c r="C375">
        <v>1.6879999999999999E-2</v>
      </c>
      <c r="D375">
        <v>1.2886E-2</v>
      </c>
      <c r="E375">
        <v>1.5771E-2</v>
      </c>
      <c r="F375">
        <v>2633490117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0.44466700050075159</v>
      </c>
      <c r="Q375">
        <f t="shared" si="970"/>
        <v>1171026151.1747634</v>
      </c>
      <c r="R375">
        <f t="shared" si="971"/>
        <v>38972087503.76712</v>
      </c>
      <c r="S375">
        <f t="shared" si="972"/>
        <v>389720.87503767118</v>
      </c>
      <c r="T375">
        <f t="shared" si="973"/>
        <v>389.72087503767119</v>
      </c>
    </row>
    <row r="376" spans="1:20" x14ac:dyDescent="0.25">
      <c r="A376" s="5">
        <v>44217</v>
      </c>
      <c r="B376">
        <v>1.8252000000000001E-2</v>
      </c>
      <c r="C376">
        <v>1.9300000000000001E-2</v>
      </c>
      <c r="D376">
        <v>1.4572999999999999E-2</v>
      </c>
      <c r="E376">
        <v>1.4886E-2</v>
      </c>
      <c r="F376">
        <v>2386269043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-0.86756928284324064</v>
      </c>
      <c r="Q376">
        <f t="shared" si="970"/>
        <v>-2070253722.3065362</v>
      </c>
      <c r="R376">
        <f t="shared" si="971"/>
        <v>37801061352.592354</v>
      </c>
      <c r="S376">
        <f t="shared" si="972"/>
        <v>378010.61352592352</v>
      </c>
      <c r="T376">
        <f t="shared" si="973"/>
        <v>378.01061352592353</v>
      </c>
    </row>
    <row r="377" spans="1:20" x14ac:dyDescent="0.25">
      <c r="A377" s="5">
        <v>44216</v>
      </c>
      <c r="B377">
        <v>1.7878000000000002E-2</v>
      </c>
      <c r="C377">
        <v>1.8543E-2</v>
      </c>
      <c r="D377">
        <v>1.6088000000000002E-2</v>
      </c>
      <c r="E377">
        <v>1.8249999999999999E-2</v>
      </c>
      <c r="F377">
        <v>2521367934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0.7613034623217908</v>
      </c>
      <c r="Q377">
        <f t="shared" si="970"/>
        <v>1919526137.9413404</v>
      </c>
      <c r="R377">
        <f t="shared" si="971"/>
        <v>39871315074.898888</v>
      </c>
      <c r="S377">
        <f t="shared" si="972"/>
        <v>398713.1507489889</v>
      </c>
      <c r="T377">
        <f t="shared" si="973"/>
        <v>398.71315074898888</v>
      </c>
    </row>
    <row r="378" spans="1:20" x14ac:dyDescent="0.25">
      <c r="A378" s="5">
        <v>44215</v>
      </c>
      <c r="B378">
        <v>2.0295000000000001E-2</v>
      </c>
      <c r="C378">
        <v>2.1309000000000002E-2</v>
      </c>
      <c r="D378">
        <v>1.7814E-2</v>
      </c>
      <c r="E378">
        <v>1.7878000000000002E-2</v>
      </c>
      <c r="F378">
        <v>2441217516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-0.96337625178826813</v>
      </c>
      <c r="Q378">
        <f t="shared" si="970"/>
        <v>-2351810980.3639464</v>
      </c>
      <c r="R378">
        <f t="shared" si="971"/>
        <v>37951788936.95755</v>
      </c>
      <c r="S378">
        <f t="shared" si="972"/>
        <v>379517.88936957548</v>
      </c>
      <c r="T378">
        <f t="shared" si="973"/>
        <v>379.51788936957547</v>
      </c>
    </row>
    <row r="379" spans="1:20" x14ac:dyDescent="0.25">
      <c r="A379" s="5">
        <v>44214</v>
      </c>
      <c r="B379">
        <v>2.0681000000000001E-2</v>
      </c>
      <c r="C379">
        <v>2.2862E-2</v>
      </c>
      <c r="D379">
        <v>1.865E-2</v>
      </c>
      <c r="E379">
        <v>2.0285999999999998E-2</v>
      </c>
      <c r="F379">
        <v>3160857139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-0.22317188983855726</v>
      </c>
      <c r="Q379">
        <f t="shared" si="970"/>
        <v>-705414461.22032523</v>
      </c>
      <c r="R379">
        <f t="shared" si="971"/>
        <v>40303599917.321495</v>
      </c>
      <c r="S379">
        <f t="shared" si="972"/>
        <v>403035.99917321495</v>
      </c>
      <c r="T379">
        <f t="shared" si="973"/>
        <v>403.03599917321498</v>
      </c>
    </row>
    <row r="380" spans="1:20" x14ac:dyDescent="0.25">
      <c r="A380" s="5">
        <v>44213</v>
      </c>
      <c r="B380">
        <v>2.0767000000000001E-2</v>
      </c>
      <c r="C380">
        <v>2.1840999999999999E-2</v>
      </c>
      <c r="D380">
        <v>1.6662E-2</v>
      </c>
      <c r="E380">
        <v>2.0653000000000001E-2</v>
      </c>
      <c r="F380">
        <v>6796607049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0.5412241745510723</v>
      </c>
      <c r="Q380">
        <f t="shared" si="970"/>
        <v>3678488039.8430243</v>
      </c>
      <c r="R380">
        <f t="shared" si="971"/>
        <v>41009014378.541817</v>
      </c>
      <c r="S380">
        <f t="shared" si="972"/>
        <v>410090.14378541819</v>
      </c>
      <c r="T380">
        <f t="shared" si="973"/>
        <v>410.09014378541821</v>
      </c>
    </row>
    <row r="381" spans="1:20" x14ac:dyDescent="0.25">
      <c r="A381" s="5">
        <v>44212</v>
      </c>
      <c r="B381">
        <v>2.4742E-2</v>
      </c>
      <c r="C381">
        <v>2.5838E-2</v>
      </c>
      <c r="D381">
        <v>1.9619000000000001E-2</v>
      </c>
      <c r="E381">
        <v>2.0789999999999999E-2</v>
      </c>
      <c r="F381">
        <v>6781804459</v>
      </c>
      <c r="G381">
        <v>0</v>
      </c>
      <c r="L381" t="s">
        <v>7</v>
      </c>
      <c r="M381" t="s">
        <v>7</v>
      </c>
      <c r="N381" t="s">
        <v>7</v>
      </c>
      <c r="P381">
        <f t="shared" si="969"/>
        <v>-0.62341212413571356</v>
      </c>
      <c r="Q381">
        <f t="shared" si="970"/>
        <v>-4227859123.2582436</v>
      </c>
      <c r="R381">
        <f t="shared" si="971"/>
        <v>37330526338.698792</v>
      </c>
      <c r="S381">
        <f t="shared" si="972"/>
        <v>373305.26338698791</v>
      </c>
      <c r="T381">
        <f t="shared" si="973"/>
        <v>373.30526338698792</v>
      </c>
    </row>
    <row r="382" spans="1:20" x14ac:dyDescent="0.25">
      <c r="A382" s="5">
        <v>44211</v>
      </c>
      <c r="B382">
        <v>1.4767000000000001E-2</v>
      </c>
      <c r="C382">
        <v>2.6880000000000001E-2</v>
      </c>
      <c r="D382">
        <v>1.4749999999999999E-2</v>
      </c>
      <c r="E382">
        <v>2.4766E-2</v>
      </c>
      <c r="F382">
        <v>13862782376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0.65144270403957116</v>
      </c>
      <c r="Q382">
        <f t="shared" si="970"/>
        <v>9030808436.5335503</v>
      </c>
      <c r="R382">
        <f t="shared" si="971"/>
        <v>41558385461.957031</v>
      </c>
      <c r="S382">
        <f t="shared" si="972"/>
        <v>415583.85461957031</v>
      </c>
      <c r="T382">
        <f t="shared" si="973"/>
        <v>415.58385461957033</v>
      </c>
    </row>
    <row r="383" spans="1:20" x14ac:dyDescent="0.25">
      <c r="A383" s="5">
        <v>44210</v>
      </c>
      <c r="B383">
        <v>1.2520999999999999E-2</v>
      </c>
      <c r="C383">
        <v>1.5007E-2</v>
      </c>
      <c r="D383">
        <v>1.2081E-2</v>
      </c>
      <c r="E383">
        <v>1.478E-2</v>
      </c>
      <c r="F383">
        <v>4355343683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0.84483937115516072</v>
      </c>
      <c r="Q383">
        <f t="shared" si="970"/>
        <v>3679565818.3103218</v>
      </c>
      <c r="R383">
        <f t="shared" si="971"/>
        <v>32527577025.423485</v>
      </c>
      <c r="S383">
        <f t="shared" si="972"/>
        <v>325275.77025423484</v>
      </c>
      <c r="T383">
        <f t="shared" si="973"/>
        <v>325.27577025423483</v>
      </c>
    </row>
    <row r="384" spans="1:20" x14ac:dyDescent="0.25">
      <c r="A384" s="5">
        <v>44209</v>
      </c>
      <c r="B384">
        <v>1.0376E-2</v>
      </c>
      <c r="C384">
        <v>1.3100000000000001E-2</v>
      </c>
      <c r="D384">
        <v>9.6790000000000001E-3</v>
      </c>
      <c r="E384">
        <v>1.2541E-2</v>
      </c>
      <c r="F384">
        <v>4234617227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0.67319497223034175</v>
      </c>
      <c r="Q384">
        <f t="shared" si="970"/>
        <v>2850723026.5363917</v>
      </c>
      <c r="R384">
        <f t="shared" si="971"/>
        <v>28848011207.113163</v>
      </c>
      <c r="S384">
        <f t="shared" si="972"/>
        <v>288480.11207113165</v>
      </c>
      <c r="T384">
        <f t="shared" si="973"/>
        <v>288.48011207113166</v>
      </c>
    </row>
    <row r="385" spans="1:20" x14ac:dyDescent="0.25">
      <c r="A385" s="5">
        <v>44208</v>
      </c>
      <c r="B385">
        <v>1.0591E-2</v>
      </c>
      <c r="C385">
        <v>1.2078E-2</v>
      </c>
      <c r="D385">
        <v>9.5449999999999997E-3</v>
      </c>
      <c r="E385">
        <v>1.0376E-2</v>
      </c>
      <c r="F385">
        <v>3650864355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-0.34386103434662457</v>
      </c>
      <c r="Q385">
        <f t="shared" si="970"/>
        <v>-1255389993.3695223</v>
      </c>
      <c r="R385">
        <f t="shared" si="971"/>
        <v>25997288180.576771</v>
      </c>
      <c r="S385">
        <f t="shared" si="972"/>
        <v>259972.88180576771</v>
      </c>
      <c r="T385">
        <f t="shared" si="973"/>
        <v>259.97288180576771</v>
      </c>
    </row>
    <row r="386" spans="1:20" x14ac:dyDescent="0.25">
      <c r="A386" s="5">
        <v>44207</v>
      </c>
      <c r="B386">
        <v>1.0123E-2</v>
      </c>
      <c r="C386">
        <v>1.0651000000000001E-2</v>
      </c>
      <c r="D386">
        <v>8.0000000000000002E-3</v>
      </c>
      <c r="E386">
        <v>1.0585000000000001E-2</v>
      </c>
      <c r="F386">
        <v>3229873731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0.950207468879668</v>
      </c>
      <c r="Q386">
        <f t="shared" si="970"/>
        <v>3069050142.7344398</v>
      </c>
      <c r="R386">
        <f t="shared" si="971"/>
        <v>27252678173.946293</v>
      </c>
      <c r="S386">
        <f t="shared" si="972"/>
        <v>272526.78173946292</v>
      </c>
      <c r="T386">
        <f t="shared" si="973"/>
        <v>272.52678173946293</v>
      </c>
    </row>
    <row r="387" spans="1:20" x14ac:dyDescent="0.25">
      <c r="A387" s="5">
        <v>44206</v>
      </c>
      <c r="B387">
        <v>1.133E-2</v>
      </c>
      <c r="C387">
        <v>1.3204E-2</v>
      </c>
      <c r="D387">
        <v>9.2860000000000009E-3</v>
      </c>
      <c r="E387">
        <v>1.0123E-2</v>
      </c>
      <c r="F387">
        <v>5108548937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-0.57274119448698357</v>
      </c>
      <c r="Q387">
        <f t="shared" si="970"/>
        <v>-2925876420.2725902</v>
      </c>
      <c r="R387">
        <f t="shared" si="971"/>
        <v>24183628031.211853</v>
      </c>
      <c r="S387">
        <f t="shared" si="972"/>
        <v>241836.28031211853</v>
      </c>
      <c r="T387">
        <f t="shared" si="973"/>
        <v>241.83628031211853</v>
      </c>
    </row>
    <row r="388" spans="1:20" x14ac:dyDescent="0.25">
      <c r="A388" s="5">
        <v>44205</v>
      </c>
      <c r="B388">
        <v>8.5819999999999994E-3</v>
      </c>
      <c r="C388">
        <v>1.3545E-2</v>
      </c>
      <c r="D388">
        <v>7.927E-3</v>
      </c>
      <c r="E388">
        <v>1.1344E-2</v>
      </c>
      <c r="F388">
        <v>10103331739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0.21644713421146317</v>
      </c>
      <c r="Q388">
        <f t="shared" si="970"/>
        <v>2186837200.8942685</v>
      </c>
      <c r="R388">
        <f t="shared" si="971"/>
        <v>27109504451.484444</v>
      </c>
      <c r="S388">
        <f t="shared" si="972"/>
        <v>271095.04451484443</v>
      </c>
      <c r="T388">
        <f t="shared" si="973"/>
        <v>271.0950445148444</v>
      </c>
    </row>
    <row r="389" spans="1:20" x14ac:dyDescent="0.25">
      <c r="A389" s="5">
        <v>44204</v>
      </c>
      <c r="B389">
        <v>6.3579999999999999E-3</v>
      </c>
      <c r="C389">
        <v>9.3930000000000003E-3</v>
      </c>
      <c r="D389">
        <v>5.8999999999999999E-3</v>
      </c>
      <c r="E389">
        <v>8.5810000000000001E-3</v>
      </c>
      <c r="F389">
        <v>6437185136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0.5350701402805611</v>
      </c>
      <c r="Q389">
        <f t="shared" si="970"/>
        <v>3444345553.731463</v>
      </c>
      <c r="R389">
        <f t="shared" si="971"/>
        <v>24922667250.590176</v>
      </c>
      <c r="S389">
        <f t="shared" si="972"/>
        <v>249226.67250590175</v>
      </c>
      <c r="T389">
        <f t="shared" si="973"/>
        <v>249.22667250590175</v>
      </c>
    </row>
    <row r="390" spans="1:20" x14ac:dyDescent="0.25">
      <c r="A390" s="5">
        <v>44203</v>
      </c>
      <c r="B390">
        <v>6.1130000000000004E-3</v>
      </c>
      <c r="C390">
        <v>6.6530000000000001E-3</v>
      </c>
      <c r="D390">
        <v>5.9880000000000003E-3</v>
      </c>
      <c r="E390">
        <v>6.3530000000000001E-3</v>
      </c>
      <c r="F390">
        <v>1857829654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9.7744360902255606E-2</v>
      </c>
      <c r="Q390">
        <f t="shared" ref="Q390:Q453" si="975">F390*P390</f>
        <v>181592372.19548866</v>
      </c>
      <c r="R390">
        <f t="shared" ref="R390:R453" si="976">R391+Q390</f>
        <v>21478321696.858711</v>
      </c>
      <c r="S390">
        <f t="shared" ref="S390:S453" si="977">R390/100000</f>
        <v>214783.2169685871</v>
      </c>
      <c r="T390">
        <f t="shared" ref="T390:T453" si="978">S390/1000</f>
        <v>214.78321696858711</v>
      </c>
    </row>
    <row r="391" spans="1:20" x14ac:dyDescent="0.25">
      <c r="A391" s="5">
        <v>44202</v>
      </c>
      <c r="B391">
        <v>5.7400000000000003E-3</v>
      </c>
      <c r="C391">
        <v>6.3E-3</v>
      </c>
      <c r="D391">
        <v>5.7340000000000004E-3</v>
      </c>
      <c r="E391">
        <v>6.1130000000000004E-3</v>
      </c>
      <c r="F391">
        <v>1781754526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0.3392226148409902</v>
      </c>
      <c r="Q391">
        <f t="shared" si="975"/>
        <v>604411429.31448901</v>
      </c>
      <c r="R391">
        <f t="shared" si="976"/>
        <v>21296729324.663223</v>
      </c>
      <c r="S391">
        <f t="shared" si="977"/>
        <v>212967.29324663224</v>
      </c>
      <c r="T391">
        <f t="shared" si="978"/>
        <v>212.96729324663224</v>
      </c>
    </row>
    <row r="392" spans="1:20" x14ac:dyDescent="0.25">
      <c r="A392" s="5">
        <v>44201</v>
      </c>
      <c r="B392">
        <v>5.7939999999999997E-3</v>
      </c>
      <c r="C392">
        <v>6.0000000000000001E-3</v>
      </c>
      <c r="D392">
        <v>5.365E-3</v>
      </c>
      <c r="E392">
        <v>5.7390000000000002E-3</v>
      </c>
      <c r="F392">
        <v>1628316364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0.17795275590551216</v>
      </c>
      <c r="Q392">
        <f t="shared" si="975"/>
        <v>289763384.4598431</v>
      </c>
      <c r="R392">
        <f t="shared" si="976"/>
        <v>20692317895.348736</v>
      </c>
      <c r="S392">
        <f t="shared" si="977"/>
        <v>206923.17895348737</v>
      </c>
      <c r="T392">
        <f t="shared" si="978"/>
        <v>206.92317895348737</v>
      </c>
    </row>
    <row r="393" spans="1:20" x14ac:dyDescent="0.25">
      <c r="A393" s="5">
        <v>44200</v>
      </c>
      <c r="B393">
        <v>5.7320000000000001E-3</v>
      </c>
      <c r="C393">
        <v>6.1960000000000001E-3</v>
      </c>
      <c r="D393">
        <v>5.1929999999999997E-3</v>
      </c>
      <c r="E393">
        <v>5.7959999999999999E-3</v>
      </c>
      <c r="F393">
        <v>1561484256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0.20239282153539379</v>
      </c>
      <c r="Q393">
        <f t="shared" si="975"/>
        <v>316033204.35493517</v>
      </c>
      <c r="R393">
        <f t="shared" si="976"/>
        <v>20402554510.888893</v>
      </c>
      <c r="S393">
        <f t="shared" si="977"/>
        <v>204025.54510888894</v>
      </c>
      <c r="T393">
        <f t="shared" si="978"/>
        <v>204.02554510888893</v>
      </c>
    </row>
    <row r="394" spans="1:20" x14ac:dyDescent="0.25">
      <c r="A394" s="5">
        <v>44199</v>
      </c>
      <c r="B394">
        <v>5.6210000000000001E-3</v>
      </c>
      <c r="C394">
        <v>5.8009999999999997E-3</v>
      </c>
      <c r="D394">
        <v>5.4999999999999997E-3</v>
      </c>
      <c r="E394">
        <v>5.7260000000000002E-3</v>
      </c>
      <c r="F394">
        <v>976336557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0.50166112956810938</v>
      </c>
      <c r="Q394">
        <f t="shared" si="975"/>
        <v>489790100.02325881</v>
      </c>
      <c r="R394">
        <f t="shared" si="976"/>
        <v>20086521306.533958</v>
      </c>
      <c r="S394">
        <f t="shared" si="977"/>
        <v>200865.21306533957</v>
      </c>
      <c r="T394">
        <f t="shared" si="978"/>
        <v>200.86521306533956</v>
      </c>
    </row>
    <row r="395" spans="1:20" x14ac:dyDescent="0.25">
      <c r="A395" s="5">
        <v>44198</v>
      </c>
      <c r="B395">
        <v>5.7910000000000001E-3</v>
      </c>
      <c r="C395">
        <v>5.8149999999999999E-3</v>
      </c>
      <c r="D395">
        <v>5.4580000000000002E-3</v>
      </c>
      <c r="E395">
        <v>5.6150000000000002E-3</v>
      </c>
      <c r="F395">
        <v>831633802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-0.12044817927170777</v>
      </c>
      <c r="Q395">
        <f t="shared" si="975"/>
        <v>-100168777.27170792</v>
      </c>
      <c r="R395">
        <f t="shared" si="976"/>
        <v>19596731206.5107</v>
      </c>
      <c r="S395">
        <f t="shared" si="977"/>
        <v>195967.31206510699</v>
      </c>
      <c r="T395">
        <f t="shared" si="978"/>
        <v>195.967312065107</v>
      </c>
    </row>
    <row r="396" spans="1:20" x14ac:dyDescent="0.25">
      <c r="A396" s="5">
        <v>44197</v>
      </c>
      <c r="B396">
        <v>5.6769999999999998E-3</v>
      </c>
      <c r="C396">
        <v>5.9179999999999996E-3</v>
      </c>
      <c r="D396">
        <v>5.6080000000000001E-3</v>
      </c>
      <c r="E396">
        <v>5.7869999999999996E-3</v>
      </c>
      <c r="F396">
        <v>541105265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0.15483870967741778</v>
      </c>
      <c r="Q396">
        <f t="shared" si="975"/>
        <v>83784041.032257214</v>
      </c>
      <c r="R396">
        <f t="shared" si="976"/>
        <v>19696899983.78241</v>
      </c>
      <c r="S396">
        <f t="shared" si="977"/>
        <v>196968.99983782409</v>
      </c>
      <c r="T396">
        <f t="shared" si="978"/>
        <v>196.96899983782407</v>
      </c>
    </row>
    <row r="397" spans="1:20" x14ac:dyDescent="0.25">
      <c r="A397" s="5">
        <v>44196</v>
      </c>
      <c r="B397">
        <v>5.9449999999999998E-3</v>
      </c>
      <c r="C397">
        <v>5.9639999999999997E-3</v>
      </c>
      <c r="D397">
        <v>5.4999999999999997E-3</v>
      </c>
      <c r="E397">
        <v>5.6730000000000001E-3</v>
      </c>
      <c r="F397">
        <v>536673033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-0.25431034482758447</v>
      </c>
      <c r="Q397">
        <f t="shared" si="975"/>
        <v>-136481504.08189562</v>
      </c>
      <c r="R397">
        <f t="shared" si="976"/>
        <v>19613115942.750153</v>
      </c>
      <c r="S397">
        <f t="shared" si="977"/>
        <v>196131.15942750152</v>
      </c>
      <c r="T397">
        <f t="shared" si="978"/>
        <v>196.13115942750153</v>
      </c>
    </row>
    <row r="398" spans="1:20" x14ac:dyDescent="0.25">
      <c r="A398" s="5">
        <v>44195</v>
      </c>
      <c r="B398">
        <v>5.7999999999999996E-3</v>
      </c>
      <c r="C398">
        <v>6.0239999999999998E-3</v>
      </c>
      <c r="D398">
        <v>5.6030000000000003E-3</v>
      </c>
      <c r="E398">
        <v>5.9449999999999998E-3</v>
      </c>
      <c r="F398">
        <v>741709208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0.62470308788598494</v>
      </c>
      <c r="Q398">
        <f t="shared" si="975"/>
        <v>463348032.55106831</v>
      </c>
      <c r="R398">
        <f t="shared" si="976"/>
        <v>19749597446.832047</v>
      </c>
      <c r="S398">
        <f t="shared" si="977"/>
        <v>197495.97446832046</v>
      </c>
      <c r="T398">
        <f t="shared" si="978"/>
        <v>197.49597446832047</v>
      </c>
    </row>
    <row r="399" spans="1:20" x14ac:dyDescent="0.25">
      <c r="A399" s="5">
        <v>44194</v>
      </c>
      <c r="B399">
        <v>5.8900000000000003E-3</v>
      </c>
      <c r="C399">
        <v>5.9810000000000002E-3</v>
      </c>
      <c r="D399">
        <v>5.4819999999999999E-3</v>
      </c>
      <c r="E399">
        <v>5.7970000000000001E-3</v>
      </c>
      <c r="F399">
        <v>508001295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0.26252505010020033</v>
      </c>
      <c r="Q399">
        <f t="shared" si="975"/>
        <v>133363065.42084165</v>
      </c>
      <c r="R399">
        <f t="shared" si="976"/>
        <v>19286249414.280979</v>
      </c>
      <c r="S399">
        <f t="shared" si="977"/>
        <v>192862.4941428098</v>
      </c>
      <c r="T399">
        <f t="shared" si="978"/>
        <v>192.86249414280979</v>
      </c>
    </row>
    <row r="400" spans="1:20" x14ac:dyDescent="0.25">
      <c r="A400" s="5">
        <v>44193</v>
      </c>
      <c r="B400">
        <v>5.7840000000000001E-3</v>
      </c>
      <c r="C400">
        <v>6.0049999999999999E-3</v>
      </c>
      <c r="D400">
        <v>5.7000000000000002E-3</v>
      </c>
      <c r="E400">
        <v>5.8919999999999997E-3</v>
      </c>
      <c r="F400">
        <v>506410460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0.25901639344262062</v>
      </c>
      <c r="Q400">
        <f t="shared" si="975"/>
        <v>131168610.95081849</v>
      </c>
      <c r="R400">
        <f t="shared" si="976"/>
        <v>19152886348.860138</v>
      </c>
      <c r="S400">
        <f t="shared" si="977"/>
        <v>191528.86348860138</v>
      </c>
      <c r="T400">
        <f t="shared" si="978"/>
        <v>191.52886348860139</v>
      </c>
    </row>
    <row r="401" spans="1:20" x14ac:dyDescent="0.25">
      <c r="A401" s="5">
        <v>44192</v>
      </c>
      <c r="B401">
        <v>5.8479999999999999E-3</v>
      </c>
      <c r="C401">
        <v>6.1089999999999998E-3</v>
      </c>
      <c r="D401">
        <v>5.6319999999999999E-3</v>
      </c>
      <c r="E401">
        <v>5.7850000000000002E-3</v>
      </c>
      <c r="F401">
        <v>920883452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-0.35849056603773433</v>
      </c>
      <c r="Q401">
        <f t="shared" si="975"/>
        <v>-330128029.96226275</v>
      </c>
      <c r="R401">
        <f t="shared" si="976"/>
        <v>19021717737.909321</v>
      </c>
      <c r="S401">
        <f t="shared" si="977"/>
        <v>190217.17737909322</v>
      </c>
      <c r="T401">
        <f t="shared" si="978"/>
        <v>190.21717737909321</v>
      </c>
    </row>
    <row r="402" spans="1:20" x14ac:dyDescent="0.25">
      <c r="A402" s="5">
        <v>44191</v>
      </c>
      <c r="B402">
        <v>5.8199999999999997E-3</v>
      </c>
      <c r="C402">
        <v>5.9080000000000001E-3</v>
      </c>
      <c r="D402">
        <v>5.4790000000000004E-3</v>
      </c>
      <c r="E402">
        <v>5.8469999999999998E-3</v>
      </c>
      <c r="F402">
        <v>684170864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0.71561771561771403</v>
      </c>
      <c r="Q402">
        <f t="shared" si="975"/>
        <v>489604790.78787768</v>
      </c>
      <c r="R402">
        <f t="shared" si="976"/>
        <v>19351845767.871582</v>
      </c>
      <c r="S402">
        <f t="shared" si="977"/>
        <v>193518.45767871581</v>
      </c>
      <c r="T402">
        <f t="shared" si="978"/>
        <v>193.51845767871581</v>
      </c>
    </row>
    <row r="403" spans="1:20" x14ac:dyDescent="0.25">
      <c r="A403" s="5">
        <v>44190</v>
      </c>
      <c r="B403">
        <v>5.6709999999999998E-3</v>
      </c>
      <c r="C403">
        <v>6.0419999999999996E-3</v>
      </c>
      <c r="D403">
        <v>5.5700000000000003E-3</v>
      </c>
      <c r="E403">
        <v>5.8180000000000003E-3</v>
      </c>
      <c r="F403">
        <v>907723963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5.0847457627119952E-2</v>
      </c>
      <c r="Q403">
        <f t="shared" si="975"/>
        <v>46155455.745763898</v>
      </c>
      <c r="R403">
        <f t="shared" si="976"/>
        <v>18862240977.083706</v>
      </c>
      <c r="S403">
        <f t="shared" si="977"/>
        <v>188622.40977083705</v>
      </c>
      <c r="T403">
        <f t="shared" si="978"/>
        <v>188.62240977083707</v>
      </c>
    </row>
    <row r="404" spans="1:20" x14ac:dyDescent="0.25">
      <c r="A404" s="5">
        <v>44189</v>
      </c>
      <c r="B404">
        <v>5.0679999999999996E-3</v>
      </c>
      <c r="C404">
        <v>5.6860000000000001E-3</v>
      </c>
      <c r="D404">
        <v>4.9459999999999999E-3</v>
      </c>
      <c r="E404">
        <v>5.6680000000000003E-3</v>
      </c>
      <c r="F404">
        <v>728601754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0.95135135135135196</v>
      </c>
      <c r="Q404">
        <f t="shared" si="975"/>
        <v>693156263.26486528</v>
      </c>
      <c r="R404">
        <f t="shared" si="976"/>
        <v>18816085521.33794</v>
      </c>
      <c r="S404">
        <f t="shared" si="977"/>
        <v>188160.8552133794</v>
      </c>
      <c r="T404">
        <f t="shared" si="978"/>
        <v>188.16085521337939</v>
      </c>
    </row>
    <row r="405" spans="1:20" x14ac:dyDescent="0.25">
      <c r="A405" s="5">
        <v>44188</v>
      </c>
      <c r="B405">
        <v>6.1390000000000004E-3</v>
      </c>
      <c r="C405">
        <v>6.1659999999999996E-3</v>
      </c>
      <c r="D405">
        <v>4.6959999999999997E-3</v>
      </c>
      <c r="E405">
        <v>5.0730000000000003E-3</v>
      </c>
      <c r="F405">
        <v>1027080810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-0.48707482993197193</v>
      </c>
      <c r="Q405">
        <f t="shared" si="975"/>
        <v>-500265210.85714197</v>
      </c>
      <c r="R405">
        <f t="shared" si="976"/>
        <v>18122929258.073074</v>
      </c>
      <c r="S405">
        <f t="shared" si="977"/>
        <v>181229.29258073075</v>
      </c>
      <c r="T405">
        <f t="shared" si="978"/>
        <v>181.22929258073074</v>
      </c>
    </row>
    <row r="406" spans="1:20" x14ac:dyDescent="0.25">
      <c r="A406" s="5">
        <v>44187</v>
      </c>
      <c r="B406">
        <v>6.1599999999999997E-3</v>
      </c>
      <c r="C406">
        <v>6.2189999999999997E-3</v>
      </c>
      <c r="D406">
        <v>5.8060000000000004E-3</v>
      </c>
      <c r="E406">
        <v>6.1320000000000003E-3</v>
      </c>
      <c r="F406">
        <v>505058100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0.57869249394673339</v>
      </c>
      <c r="Q406">
        <f t="shared" si="975"/>
        <v>292273331.47699869</v>
      </c>
      <c r="R406">
        <f t="shared" si="976"/>
        <v>18623194468.930218</v>
      </c>
      <c r="S406">
        <f t="shared" si="977"/>
        <v>186231.94468930218</v>
      </c>
      <c r="T406">
        <f t="shared" si="978"/>
        <v>186.23194468930217</v>
      </c>
    </row>
    <row r="407" spans="1:20" x14ac:dyDescent="0.25">
      <c r="A407" s="5">
        <v>44186</v>
      </c>
      <c r="B407">
        <v>6.463E-3</v>
      </c>
      <c r="C407">
        <v>6.62E-3</v>
      </c>
      <c r="D407">
        <v>6.0000000000000001E-3</v>
      </c>
      <c r="E407">
        <v>6.1640000000000002E-3</v>
      </c>
      <c r="F407">
        <v>614313567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-0.47096774193548352</v>
      </c>
      <c r="Q407">
        <f t="shared" si="975"/>
        <v>-289321873.49032235</v>
      </c>
      <c r="R407">
        <f t="shared" si="976"/>
        <v>18330921137.45322</v>
      </c>
      <c r="S407">
        <f t="shared" si="977"/>
        <v>183309.2113745322</v>
      </c>
      <c r="T407">
        <f t="shared" si="978"/>
        <v>183.3092113745322</v>
      </c>
    </row>
    <row r="408" spans="1:20" x14ac:dyDescent="0.25">
      <c r="A408" s="5">
        <v>44185</v>
      </c>
      <c r="B408">
        <v>6.6080000000000002E-3</v>
      </c>
      <c r="C408">
        <v>6.796E-3</v>
      </c>
      <c r="D408">
        <v>6.2350000000000001E-3</v>
      </c>
      <c r="E408">
        <v>6.4689999999999999E-3</v>
      </c>
      <c r="F408">
        <v>681417106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-0.1657754010695191</v>
      </c>
      <c r="Q408">
        <f t="shared" si="975"/>
        <v>-112962194.04278101</v>
      </c>
      <c r="R408">
        <f t="shared" si="976"/>
        <v>18620243010.943542</v>
      </c>
      <c r="S408">
        <f t="shared" si="977"/>
        <v>186202.43010943543</v>
      </c>
      <c r="T408">
        <f t="shared" si="978"/>
        <v>186.20243010943543</v>
      </c>
    </row>
    <row r="409" spans="1:20" x14ac:dyDescent="0.25">
      <c r="A409" s="5">
        <v>44184</v>
      </c>
      <c r="B409">
        <v>6.5599999999999999E-3</v>
      </c>
      <c r="C409">
        <v>6.8999999999999999E-3</v>
      </c>
      <c r="D409">
        <v>6.4980000000000003E-3</v>
      </c>
      <c r="E409">
        <v>6.6100000000000004E-3</v>
      </c>
      <c r="F409">
        <v>1172097935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-0.44278606965174011</v>
      </c>
      <c r="Q409">
        <f t="shared" si="975"/>
        <v>-518988637.88557076</v>
      </c>
      <c r="R409">
        <f t="shared" si="976"/>
        <v>18733205204.986324</v>
      </c>
      <c r="S409">
        <f t="shared" si="977"/>
        <v>187332.05204986324</v>
      </c>
      <c r="T409">
        <f t="shared" si="978"/>
        <v>187.33205204986325</v>
      </c>
    </row>
    <row r="410" spans="1:20" x14ac:dyDescent="0.25">
      <c r="A410" s="5">
        <v>44183</v>
      </c>
      <c r="B410">
        <v>6.4140000000000004E-3</v>
      </c>
      <c r="C410">
        <v>6.5560000000000002E-3</v>
      </c>
      <c r="D410">
        <v>6.2849999999999998E-3</v>
      </c>
      <c r="E410">
        <v>6.5560000000000002E-3</v>
      </c>
      <c r="F410">
        <v>670305495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1</v>
      </c>
      <c r="Q410">
        <f t="shared" si="975"/>
        <v>670305495</v>
      </c>
      <c r="R410">
        <f t="shared" si="976"/>
        <v>19252193842.871895</v>
      </c>
      <c r="S410">
        <f t="shared" si="977"/>
        <v>192521.93842871895</v>
      </c>
      <c r="T410">
        <f t="shared" si="978"/>
        <v>192.52193842871895</v>
      </c>
    </row>
    <row r="411" spans="1:20" x14ac:dyDescent="0.25">
      <c r="A411" s="5">
        <v>44182</v>
      </c>
      <c r="B411">
        <v>6.4250000000000002E-3</v>
      </c>
      <c r="C411">
        <v>6.7369999999999999E-3</v>
      </c>
      <c r="D411">
        <v>6.1590000000000004E-3</v>
      </c>
      <c r="E411">
        <v>6.4190000000000002E-3</v>
      </c>
      <c r="F411">
        <v>1910891347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-0.10034602076124557</v>
      </c>
      <c r="Q411">
        <f t="shared" si="975"/>
        <v>-191750342.77854651</v>
      </c>
      <c r="R411">
        <f t="shared" si="976"/>
        <v>18581888347.871895</v>
      </c>
      <c r="S411">
        <f t="shared" si="977"/>
        <v>185818.88347871896</v>
      </c>
      <c r="T411">
        <f t="shared" si="978"/>
        <v>185.81888347871896</v>
      </c>
    </row>
    <row r="412" spans="1:20" x14ac:dyDescent="0.25">
      <c r="A412" s="5">
        <v>44181</v>
      </c>
      <c r="B412">
        <v>6.2760000000000003E-3</v>
      </c>
      <c r="C412">
        <v>6.4879999999999998E-3</v>
      </c>
      <c r="D412">
        <v>6.1349999999999998E-3</v>
      </c>
      <c r="E412">
        <v>6.424E-3</v>
      </c>
      <c r="F412">
        <v>715512914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0.63739376770538347</v>
      </c>
      <c r="Q412">
        <f t="shared" si="975"/>
        <v>456063472.09631801</v>
      </c>
      <c r="R412">
        <f t="shared" si="976"/>
        <v>18773638690.65044</v>
      </c>
      <c r="S412">
        <f t="shared" si="977"/>
        <v>187736.3869065044</v>
      </c>
      <c r="T412">
        <f t="shared" si="978"/>
        <v>187.73638690650441</v>
      </c>
    </row>
    <row r="413" spans="1:20" x14ac:dyDescent="0.25">
      <c r="A413" s="5">
        <v>44180</v>
      </c>
      <c r="B413">
        <v>6.1850000000000004E-3</v>
      </c>
      <c r="C413">
        <v>6.3680000000000004E-3</v>
      </c>
      <c r="D413">
        <v>6.1019999999999998E-3</v>
      </c>
      <c r="E413">
        <v>6.2750000000000002E-3</v>
      </c>
      <c r="F413">
        <v>775446626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0.30075187969924821</v>
      </c>
      <c r="Q413">
        <f t="shared" si="975"/>
        <v>233217030.37593994</v>
      </c>
      <c r="R413">
        <f t="shared" si="976"/>
        <v>18317575218.554123</v>
      </c>
      <c r="S413">
        <f t="shared" si="977"/>
        <v>183175.75218554123</v>
      </c>
      <c r="T413">
        <f t="shared" si="978"/>
        <v>183.17575218554123</v>
      </c>
    </row>
    <row r="414" spans="1:20" x14ac:dyDescent="0.25">
      <c r="A414" s="5">
        <v>44179</v>
      </c>
      <c r="B414">
        <v>5.9109999999999996E-3</v>
      </c>
      <c r="C414">
        <v>6.215E-3</v>
      </c>
      <c r="D414">
        <v>5.8399999999999997E-3</v>
      </c>
      <c r="E414">
        <v>6.1840000000000003E-3</v>
      </c>
      <c r="F414">
        <v>537887847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0.834666666666668</v>
      </c>
      <c r="Q414">
        <f t="shared" si="975"/>
        <v>448957056.29600072</v>
      </c>
      <c r="R414">
        <f t="shared" si="976"/>
        <v>18084358188.178185</v>
      </c>
      <c r="S414">
        <f t="shared" si="977"/>
        <v>180843.58188178184</v>
      </c>
      <c r="T414">
        <f t="shared" si="978"/>
        <v>180.84358188178183</v>
      </c>
    </row>
    <row r="415" spans="1:20" x14ac:dyDescent="0.25">
      <c r="A415" s="5">
        <v>44178</v>
      </c>
      <c r="B415">
        <v>5.9420000000000002E-3</v>
      </c>
      <c r="C415">
        <v>6.0530000000000002E-3</v>
      </c>
      <c r="D415">
        <v>5.7429999999999998E-3</v>
      </c>
      <c r="E415">
        <v>5.9049999999999997E-3</v>
      </c>
      <c r="F415">
        <v>784291500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4.5161290322578193E-2</v>
      </c>
      <c r="Q415">
        <f t="shared" si="975"/>
        <v>35419616.129030332</v>
      </c>
      <c r="R415">
        <f t="shared" si="976"/>
        <v>17635401131.882183</v>
      </c>
      <c r="S415">
        <f t="shared" si="977"/>
        <v>176354.01131882184</v>
      </c>
      <c r="T415">
        <f t="shared" si="978"/>
        <v>176.35401131882185</v>
      </c>
    </row>
    <row r="416" spans="1:20" x14ac:dyDescent="0.25">
      <c r="A416" s="5">
        <v>44177</v>
      </c>
      <c r="B416">
        <v>5.6880000000000003E-3</v>
      </c>
      <c r="C416">
        <v>6.0790000000000002E-3</v>
      </c>
      <c r="D416">
        <v>5.6759999999999996E-3</v>
      </c>
      <c r="E416">
        <v>5.94E-3</v>
      </c>
      <c r="F416">
        <v>594341362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0.31017369727047128</v>
      </c>
      <c r="Q416">
        <f t="shared" si="975"/>
        <v>184349057.69230759</v>
      </c>
      <c r="R416">
        <f t="shared" si="976"/>
        <v>17599981515.753151</v>
      </c>
      <c r="S416">
        <f t="shared" si="977"/>
        <v>175999.8151575315</v>
      </c>
      <c r="T416">
        <f t="shared" si="978"/>
        <v>175.99981515753149</v>
      </c>
    </row>
    <row r="417" spans="1:20" x14ac:dyDescent="0.25">
      <c r="A417" s="5">
        <v>44176</v>
      </c>
      <c r="B417">
        <v>5.9030000000000003E-3</v>
      </c>
      <c r="C417">
        <v>5.9309999999999996E-3</v>
      </c>
      <c r="D417">
        <v>5.6100000000000004E-3</v>
      </c>
      <c r="E417">
        <v>5.692E-3</v>
      </c>
      <c r="F417">
        <v>603996349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-0.48909657320872396</v>
      </c>
      <c r="Q417">
        <f t="shared" si="975"/>
        <v>-295412544.5264805</v>
      </c>
      <c r="R417">
        <f t="shared" si="976"/>
        <v>17415632458.060844</v>
      </c>
      <c r="S417">
        <f t="shared" si="977"/>
        <v>174156.32458060843</v>
      </c>
      <c r="T417">
        <f t="shared" si="978"/>
        <v>174.15632458060844</v>
      </c>
    </row>
    <row r="418" spans="1:20" x14ac:dyDescent="0.25">
      <c r="A418" s="5">
        <v>44175</v>
      </c>
      <c r="B418">
        <v>6.13E-3</v>
      </c>
      <c r="C418">
        <v>6.1999999999999998E-3</v>
      </c>
      <c r="D418">
        <v>5.7540000000000004E-3</v>
      </c>
      <c r="E418">
        <v>5.8970000000000003E-3</v>
      </c>
      <c r="F418">
        <v>736923222</v>
      </c>
      <c r="G418">
        <v>0</v>
      </c>
      <c r="L418" t="s">
        <v>7</v>
      </c>
      <c r="M418" t="s">
        <v>8</v>
      </c>
      <c r="N418" t="s">
        <v>8</v>
      </c>
      <c r="P418">
        <f t="shared" si="974"/>
        <v>-0.35874439461883362</v>
      </c>
      <c r="Q418">
        <f t="shared" si="975"/>
        <v>-264367075.15695032</v>
      </c>
      <c r="R418">
        <f t="shared" si="976"/>
        <v>17711045002.587326</v>
      </c>
      <c r="S418">
        <f t="shared" si="977"/>
        <v>177110.45002587326</v>
      </c>
      <c r="T418">
        <f t="shared" si="978"/>
        <v>177.11045002587326</v>
      </c>
    </row>
    <row r="419" spans="1:20" x14ac:dyDescent="0.25">
      <c r="A419" s="5">
        <v>44174</v>
      </c>
      <c r="B419">
        <v>5.5469999999999998E-3</v>
      </c>
      <c r="C419">
        <v>6.6E-3</v>
      </c>
      <c r="D419">
        <v>5.5389999999999997E-3</v>
      </c>
      <c r="E419">
        <v>6.1289999999999999E-3</v>
      </c>
      <c r="F419">
        <v>1853429502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0.11215834118755905</v>
      </c>
      <c r="Q419">
        <f t="shared" si="975"/>
        <v>207877578.45240366</v>
      </c>
      <c r="R419">
        <f t="shared" si="976"/>
        <v>17975412077.744278</v>
      </c>
      <c r="S419">
        <f t="shared" si="977"/>
        <v>179754.12077744279</v>
      </c>
      <c r="T419">
        <f t="shared" si="978"/>
        <v>179.75412077744278</v>
      </c>
    </row>
    <row r="420" spans="1:20" x14ac:dyDescent="0.25">
      <c r="A420" s="5">
        <v>44173</v>
      </c>
      <c r="B420">
        <v>5.9389999999999998E-3</v>
      </c>
      <c r="C420">
        <v>5.9940000000000002E-3</v>
      </c>
      <c r="D420">
        <v>5.4689999999999999E-3</v>
      </c>
      <c r="E420">
        <v>5.5459999999999997E-3</v>
      </c>
      <c r="F420">
        <v>419771989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-0.70666666666666755</v>
      </c>
      <c r="Q420">
        <f t="shared" si="975"/>
        <v>-296638872.22666705</v>
      </c>
      <c r="R420">
        <f t="shared" si="976"/>
        <v>17767534499.291874</v>
      </c>
      <c r="S420">
        <f t="shared" si="977"/>
        <v>177675.34499291875</v>
      </c>
      <c r="T420">
        <f t="shared" si="978"/>
        <v>177.67534499291875</v>
      </c>
    </row>
    <row r="421" spans="1:20" x14ac:dyDescent="0.25">
      <c r="A421" s="5">
        <v>44172</v>
      </c>
      <c r="B421">
        <v>6.0309999999999999E-3</v>
      </c>
      <c r="C421">
        <v>6.0369999999999998E-3</v>
      </c>
      <c r="D421">
        <v>5.836E-3</v>
      </c>
      <c r="E421">
        <v>5.934E-3</v>
      </c>
      <c r="F421">
        <v>426627713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-2.4875621890546276E-2</v>
      </c>
      <c r="Q421">
        <f t="shared" si="975"/>
        <v>-10612629.676616494</v>
      </c>
      <c r="R421">
        <f t="shared" si="976"/>
        <v>18064173371.518539</v>
      </c>
      <c r="S421">
        <f t="shared" si="977"/>
        <v>180641.7337151854</v>
      </c>
      <c r="T421">
        <f t="shared" si="978"/>
        <v>180.64173371518541</v>
      </c>
    </row>
    <row r="422" spans="1:20" x14ac:dyDescent="0.25">
      <c r="A422" s="5">
        <v>44171</v>
      </c>
      <c r="B422">
        <v>6.1789999999999996E-3</v>
      </c>
      <c r="C422">
        <v>6.4029999999999998E-3</v>
      </c>
      <c r="D422">
        <v>5.9350000000000002E-3</v>
      </c>
      <c r="E422">
        <v>6.0270000000000002E-3</v>
      </c>
      <c r="F422">
        <v>939938093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-0.60683760683760624</v>
      </c>
      <c r="Q422">
        <f t="shared" si="975"/>
        <v>-570389782.93162334</v>
      </c>
      <c r="R422">
        <f t="shared" si="976"/>
        <v>18074786001.195156</v>
      </c>
      <c r="S422">
        <f t="shared" si="977"/>
        <v>180747.86001195156</v>
      </c>
      <c r="T422">
        <f t="shared" si="978"/>
        <v>180.74786001195156</v>
      </c>
    </row>
    <row r="423" spans="1:20" x14ac:dyDescent="0.25">
      <c r="A423" s="5">
        <v>44170</v>
      </c>
      <c r="B423">
        <v>6.0029999999999997E-3</v>
      </c>
      <c r="C423">
        <v>6.1910000000000003E-3</v>
      </c>
      <c r="D423">
        <v>5.901E-3</v>
      </c>
      <c r="E423">
        <v>6.1739999999999998E-3</v>
      </c>
      <c r="F423">
        <v>269600660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0.88275862068965172</v>
      </c>
      <c r="Q423">
        <f t="shared" si="975"/>
        <v>237992306.75861976</v>
      </c>
      <c r="R423">
        <f t="shared" si="976"/>
        <v>18645175784.126778</v>
      </c>
      <c r="S423">
        <f t="shared" si="977"/>
        <v>186451.75784126777</v>
      </c>
      <c r="T423">
        <f t="shared" si="978"/>
        <v>186.45175784126778</v>
      </c>
    </row>
    <row r="424" spans="1:20" x14ac:dyDescent="0.25">
      <c r="A424" s="5">
        <v>44169</v>
      </c>
      <c r="B424">
        <v>6.2440000000000004E-3</v>
      </c>
      <c r="C424">
        <v>6.5290000000000001E-3</v>
      </c>
      <c r="D424">
        <v>5.9170000000000004E-3</v>
      </c>
      <c r="E424">
        <v>6.0089999999999996E-3</v>
      </c>
      <c r="F424">
        <v>895924399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-0.69934640522876068</v>
      </c>
      <c r="Q424">
        <f t="shared" si="975"/>
        <v>-626561507.79738784</v>
      </c>
      <c r="R424">
        <f t="shared" si="976"/>
        <v>18407183477.368156</v>
      </c>
      <c r="S424">
        <f t="shared" si="977"/>
        <v>184071.83477368156</v>
      </c>
      <c r="T424">
        <f t="shared" si="978"/>
        <v>184.07183477368156</v>
      </c>
    </row>
    <row r="425" spans="1:20" x14ac:dyDescent="0.25">
      <c r="A425" s="5">
        <v>44168</v>
      </c>
      <c r="B425">
        <v>6.3340000000000002E-3</v>
      </c>
      <c r="C425">
        <v>6.3870000000000003E-3</v>
      </c>
      <c r="D425">
        <v>6.1999999999999998E-3</v>
      </c>
      <c r="E425">
        <v>6.2440000000000004E-3</v>
      </c>
      <c r="F425">
        <v>361770532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-0.52941176470587692</v>
      </c>
      <c r="Q425">
        <f t="shared" si="975"/>
        <v>-191525575.76470393</v>
      </c>
      <c r="R425">
        <f t="shared" si="976"/>
        <v>19033744985.165543</v>
      </c>
      <c r="S425">
        <f t="shared" si="977"/>
        <v>190337.44985165543</v>
      </c>
      <c r="T425">
        <f t="shared" si="978"/>
        <v>190.33744985165544</v>
      </c>
    </row>
    <row r="426" spans="1:20" x14ac:dyDescent="0.25">
      <c r="A426" s="5">
        <v>44167</v>
      </c>
      <c r="B426">
        <v>6.0590000000000001E-3</v>
      </c>
      <c r="C426">
        <v>6.4689999999999999E-3</v>
      </c>
      <c r="D426">
        <v>5.9389999999999998E-3</v>
      </c>
      <c r="E426">
        <v>6.3400000000000001E-3</v>
      </c>
      <c r="F426">
        <v>814863068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0.51320754716981221</v>
      </c>
      <c r="Q426">
        <f t="shared" si="975"/>
        <v>418193876.40754789</v>
      </c>
      <c r="R426">
        <f t="shared" si="976"/>
        <v>19225270560.930248</v>
      </c>
      <c r="S426">
        <f t="shared" si="977"/>
        <v>192252.70560930247</v>
      </c>
      <c r="T426">
        <f t="shared" si="978"/>
        <v>192.25270560930247</v>
      </c>
    </row>
    <row r="427" spans="1:20" x14ac:dyDescent="0.25">
      <c r="A427" s="5">
        <v>44166</v>
      </c>
      <c r="B427">
        <v>6.2069999999999998E-3</v>
      </c>
      <c r="C427">
        <v>6.3709999999999999E-3</v>
      </c>
      <c r="D427">
        <v>5.6109999999999997E-3</v>
      </c>
      <c r="E427">
        <v>6.0590000000000001E-3</v>
      </c>
      <c r="F427">
        <v>919580508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0.17894736842105349</v>
      </c>
      <c r="Q427">
        <f t="shared" si="975"/>
        <v>164556511.95789552</v>
      </c>
      <c r="R427">
        <f t="shared" si="976"/>
        <v>18807076684.522701</v>
      </c>
      <c r="S427">
        <f t="shared" si="977"/>
        <v>188070.76684522702</v>
      </c>
      <c r="T427">
        <f t="shared" si="978"/>
        <v>188.07076684522701</v>
      </c>
    </row>
    <row r="428" spans="1:20" x14ac:dyDescent="0.25">
      <c r="A428" s="5">
        <v>44165</v>
      </c>
      <c r="B428">
        <v>6.0000000000000001E-3</v>
      </c>
      <c r="C428">
        <v>6.28E-3</v>
      </c>
      <c r="D428">
        <v>5.9100000000000003E-3</v>
      </c>
      <c r="E428">
        <v>6.2069999999999998E-3</v>
      </c>
      <c r="F428">
        <v>646694433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0.60540540540540422</v>
      </c>
      <c r="Q428">
        <f t="shared" si="975"/>
        <v>391512305.38378304</v>
      </c>
      <c r="R428">
        <f t="shared" si="976"/>
        <v>18642520172.564804</v>
      </c>
      <c r="S428">
        <f t="shared" si="977"/>
        <v>186425.20172564805</v>
      </c>
      <c r="T428">
        <f t="shared" si="978"/>
        <v>186.42520172564804</v>
      </c>
    </row>
    <row r="429" spans="1:20" x14ac:dyDescent="0.25">
      <c r="A429" s="5">
        <v>44164</v>
      </c>
      <c r="B429">
        <v>5.8849999999999996E-3</v>
      </c>
      <c r="C429">
        <v>6.1650000000000003E-3</v>
      </c>
      <c r="D429">
        <v>5.7219999999999997E-3</v>
      </c>
      <c r="E429">
        <v>6.0020000000000004E-3</v>
      </c>
      <c r="F429">
        <v>625050949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0.26410835214447087</v>
      </c>
      <c r="Q429">
        <f t="shared" si="975"/>
        <v>165081176.14672771</v>
      </c>
      <c r="R429">
        <f t="shared" si="976"/>
        <v>18251007867.181023</v>
      </c>
      <c r="S429">
        <f t="shared" si="977"/>
        <v>182510.07867181022</v>
      </c>
      <c r="T429">
        <f t="shared" si="978"/>
        <v>182.51007867181022</v>
      </c>
    </row>
    <row r="430" spans="1:20" x14ac:dyDescent="0.25">
      <c r="A430" s="5">
        <v>44163</v>
      </c>
      <c r="B430">
        <v>5.5729999999999998E-3</v>
      </c>
      <c r="C430">
        <v>5.9690000000000003E-3</v>
      </c>
      <c r="D430">
        <v>5.5139999999999998E-3</v>
      </c>
      <c r="E430">
        <v>5.8809999999999999E-3</v>
      </c>
      <c r="F430">
        <v>618702705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0.6131868131868119</v>
      </c>
      <c r="Q430">
        <f t="shared" si="975"/>
        <v>379380339.98901021</v>
      </c>
      <c r="R430">
        <f t="shared" si="976"/>
        <v>18085926691.034294</v>
      </c>
      <c r="S430">
        <f t="shared" si="977"/>
        <v>180859.26691034294</v>
      </c>
      <c r="T430">
        <f t="shared" si="978"/>
        <v>180.85926691034294</v>
      </c>
    </row>
    <row r="431" spans="1:20" x14ac:dyDescent="0.25">
      <c r="A431" s="5">
        <v>44162</v>
      </c>
      <c r="B431">
        <v>5.6109999999999997E-3</v>
      </c>
      <c r="C431">
        <v>5.7999999999999996E-3</v>
      </c>
      <c r="D431">
        <v>5.2789999999999998E-3</v>
      </c>
      <c r="E431">
        <v>5.5760000000000002E-3</v>
      </c>
      <c r="F431">
        <v>572756309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0.14011516314779471</v>
      </c>
      <c r="Q431">
        <f t="shared" si="975"/>
        <v>80251843.679463714</v>
      </c>
      <c r="R431">
        <f t="shared" si="976"/>
        <v>17706546351.045284</v>
      </c>
      <c r="S431">
        <f t="shared" si="977"/>
        <v>177065.46351045286</v>
      </c>
      <c r="T431">
        <f t="shared" si="978"/>
        <v>177.06546351045284</v>
      </c>
    </row>
    <row r="432" spans="1:20" x14ac:dyDescent="0.25">
      <c r="A432" s="5">
        <v>44161</v>
      </c>
      <c r="B432">
        <v>6.2630000000000003E-3</v>
      </c>
      <c r="C432">
        <v>6.3969999999999999E-3</v>
      </c>
      <c r="D432">
        <v>4.8999999999999998E-3</v>
      </c>
      <c r="E432">
        <v>5.6119999999999998E-3</v>
      </c>
      <c r="F432">
        <v>2056945813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-4.8764195056780327E-2</v>
      </c>
      <c r="Q432">
        <f t="shared" si="975"/>
        <v>-100305306.8463596</v>
      </c>
      <c r="R432">
        <f t="shared" si="976"/>
        <v>17626294507.365822</v>
      </c>
      <c r="S432">
        <f t="shared" si="977"/>
        <v>176262.94507365822</v>
      </c>
      <c r="T432">
        <f t="shared" si="978"/>
        <v>176.26294507365822</v>
      </c>
    </row>
    <row r="433" spans="1:20" x14ac:dyDescent="0.25">
      <c r="A433" s="5">
        <v>44160</v>
      </c>
      <c r="B433">
        <v>6.3680000000000004E-3</v>
      </c>
      <c r="C433">
        <v>6.9579999999999998E-3</v>
      </c>
      <c r="D433">
        <v>5.9300000000000004E-3</v>
      </c>
      <c r="E433">
        <v>6.2729999999999999E-3</v>
      </c>
      <c r="F433">
        <v>2286684009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-0.33268482490272422</v>
      </c>
      <c r="Q433">
        <f t="shared" si="975"/>
        <v>-760745069.1420244</v>
      </c>
      <c r="R433">
        <f t="shared" si="976"/>
        <v>17726599814.212181</v>
      </c>
      <c r="S433">
        <f t="shared" si="977"/>
        <v>177265.99814212183</v>
      </c>
      <c r="T433">
        <f t="shared" si="978"/>
        <v>177.26599814212182</v>
      </c>
    </row>
    <row r="434" spans="1:20" x14ac:dyDescent="0.25">
      <c r="A434" s="5">
        <v>44159</v>
      </c>
      <c r="B434">
        <v>5.587E-3</v>
      </c>
      <c r="C434">
        <v>6.5139999999999998E-3</v>
      </c>
      <c r="D434">
        <v>5.3400000000000001E-3</v>
      </c>
      <c r="E434">
        <v>6.3699999999999998E-3</v>
      </c>
      <c r="F434">
        <v>2828061834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0.75468483816013621</v>
      </c>
      <c r="Q434">
        <f t="shared" si="975"/>
        <v>2134295387.4991479</v>
      </c>
      <c r="R434">
        <f t="shared" si="976"/>
        <v>18487344883.354206</v>
      </c>
      <c r="S434">
        <f t="shared" si="977"/>
        <v>184873.44883354206</v>
      </c>
      <c r="T434">
        <f t="shared" si="978"/>
        <v>184.87344883354206</v>
      </c>
    </row>
    <row r="435" spans="1:20" x14ac:dyDescent="0.25">
      <c r="A435" s="5">
        <v>44158</v>
      </c>
      <c r="B435">
        <v>5.2379999999999996E-3</v>
      </c>
      <c r="C435">
        <v>5.5919999999999997E-3</v>
      </c>
      <c r="D435">
        <v>5.1130000000000004E-3</v>
      </c>
      <c r="E435">
        <v>5.5859999999999998E-3</v>
      </c>
      <c r="F435">
        <v>1027188047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0.97494780793319447</v>
      </c>
      <c r="Q435">
        <f t="shared" si="975"/>
        <v>1001454734.7578292</v>
      </c>
      <c r="R435">
        <f t="shared" si="976"/>
        <v>16353049495.855059</v>
      </c>
      <c r="S435">
        <f t="shared" si="977"/>
        <v>163530.49495855058</v>
      </c>
      <c r="T435">
        <f t="shared" si="978"/>
        <v>163.53049495855058</v>
      </c>
    </row>
    <row r="436" spans="1:20" x14ac:dyDescent="0.25">
      <c r="A436" s="5">
        <v>44157</v>
      </c>
      <c r="B436">
        <v>5.3579999999999999E-3</v>
      </c>
      <c r="C436">
        <v>5.4219999999999997E-3</v>
      </c>
      <c r="D436">
        <v>4.8919999999999996E-3</v>
      </c>
      <c r="E436">
        <v>5.2319999999999997E-3</v>
      </c>
      <c r="F436">
        <v>1089801338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0.28301886792452818</v>
      </c>
      <c r="Q436">
        <f t="shared" si="975"/>
        <v>308434340.94339609</v>
      </c>
      <c r="R436">
        <f t="shared" si="976"/>
        <v>15351594761.097229</v>
      </c>
      <c r="S436">
        <f t="shared" si="977"/>
        <v>153515.9476109723</v>
      </c>
      <c r="T436">
        <f t="shared" si="978"/>
        <v>153.51594761097229</v>
      </c>
    </row>
    <row r="437" spans="1:20" x14ac:dyDescent="0.25">
      <c r="A437" s="5">
        <v>44156</v>
      </c>
      <c r="B437">
        <v>4.8180000000000002E-3</v>
      </c>
      <c r="C437">
        <v>5.3790000000000001E-3</v>
      </c>
      <c r="D437">
        <v>4.7999999999999996E-3</v>
      </c>
      <c r="E437">
        <v>5.3559999999999997E-3</v>
      </c>
      <c r="F437">
        <v>1000372348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0.9205526770293595</v>
      </c>
      <c r="Q437">
        <f t="shared" si="975"/>
        <v>920895442.97754598</v>
      </c>
      <c r="R437">
        <f t="shared" si="976"/>
        <v>15043160420.153833</v>
      </c>
      <c r="S437">
        <f t="shared" si="977"/>
        <v>150431.60420153834</v>
      </c>
      <c r="T437">
        <f t="shared" si="978"/>
        <v>150.43160420153833</v>
      </c>
    </row>
    <row r="438" spans="1:20" x14ac:dyDescent="0.25">
      <c r="A438" s="5">
        <v>44155</v>
      </c>
      <c r="B438">
        <v>4.7019999999999996E-3</v>
      </c>
      <c r="C438">
        <v>4.8999999999999998E-3</v>
      </c>
      <c r="D438">
        <v>4.6870000000000002E-3</v>
      </c>
      <c r="E438">
        <v>4.8170000000000001E-3</v>
      </c>
      <c r="F438">
        <v>487903813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0.22065727699530632</v>
      </c>
      <c r="Q438">
        <f t="shared" si="975"/>
        <v>107659526.81220713</v>
      </c>
      <c r="R438">
        <f t="shared" si="976"/>
        <v>14122264977.176287</v>
      </c>
      <c r="S438">
        <f t="shared" si="977"/>
        <v>141222.64977176287</v>
      </c>
      <c r="T438">
        <f t="shared" si="978"/>
        <v>141.22264977176286</v>
      </c>
    </row>
    <row r="439" spans="1:20" x14ac:dyDescent="0.25">
      <c r="A439" s="5">
        <v>44154</v>
      </c>
      <c r="B439">
        <v>4.6340000000000001E-3</v>
      </c>
      <c r="C439">
        <v>4.7200000000000002E-3</v>
      </c>
      <c r="D439">
        <v>4.4939999999999997E-3</v>
      </c>
      <c r="E439">
        <v>4.6940000000000003E-3</v>
      </c>
      <c r="F439">
        <v>430639860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0.7699115044247794</v>
      </c>
      <c r="Q439">
        <f t="shared" si="975"/>
        <v>331554582.47787637</v>
      </c>
      <c r="R439">
        <f t="shared" si="976"/>
        <v>14014605450.36408</v>
      </c>
      <c r="S439">
        <f t="shared" si="977"/>
        <v>140146.0545036408</v>
      </c>
      <c r="T439">
        <f t="shared" si="978"/>
        <v>140.14605450364081</v>
      </c>
    </row>
    <row r="440" spans="1:20" x14ac:dyDescent="0.25">
      <c r="A440" s="5">
        <v>44153</v>
      </c>
      <c r="B440">
        <v>4.8110000000000002E-3</v>
      </c>
      <c r="C440">
        <v>4.849E-3</v>
      </c>
      <c r="D440">
        <v>4.4000000000000003E-3</v>
      </c>
      <c r="E440">
        <v>4.6379999999999998E-3</v>
      </c>
      <c r="F440">
        <v>818022530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6.013363028953065E-2</v>
      </c>
      <c r="Q440">
        <f t="shared" si="975"/>
        <v>49190664.387526497</v>
      </c>
      <c r="R440">
        <f t="shared" si="976"/>
        <v>13683050867.886204</v>
      </c>
      <c r="S440">
        <f t="shared" si="977"/>
        <v>136830.50867886204</v>
      </c>
      <c r="T440">
        <f t="shared" si="978"/>
        <v>136.83050867886203</v>
      </c>
    </row>
    <row r="441" spans="1:20" x14ac:dyDescent="0.25">
      <c r="A441" s="5">
        <v>44152</v>
      </c>
      <c r="B441">
        <v>4.8609999999999999E-3</v>
      </c>
      <c r="C441">
        <v>4.9699999999999996E-3</v>
      </c>
      <c r="D441">
        <v>4.692E-3</v>
      </c>
      <c r="E441">
        <v>4.816E-3</v>
      </c>
      <c r="F441">
        <v>1030551532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-0.10791366906474707</v>
      </c>
      <c r="Q441">
        <f t="shared" si="975"/>
        <v>-111210596.9784161</v>
      </c>
      <c r="R441">
        <f t="shared" si="976"/>
        <v>13633860203.498678</v>
      </c>
      <c r="S441">
        <f t="shared" si="977"/>
        <v>136338.60203498678</v>
      </c>
      <c r="T441">
        <f t="shared" si="978"/>
        <v>136.33860203498676</v>
      </c>
    </row>
    <row r="442" spans="1:20" x14ac:dyDescent="0.25">
      <c r="A442" s="5">
        <v>44151</v>
      </c>
      <c r="B442">
        <v>4.8279999999999998E-3</v>
      </c>
      <c r="C442">
        <v>4.9649999999999998E-3</v>
      </c>
      <c r="D442">
        <v>4.7710000000000001E-3</v>
      </c>
      <c r="E442">
        <v>4.8520000000000004E-3</v>
      </c>
      <c r="F442">
        <v>393943886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-0.16494845360824273</v>
      </c>
      <c r="Q442">
        <f t="shared" si="975"/>
        <v>-64980434.804121859</v>
      </c>
      <c r="R442">
        <f t="shared" si="976"/>
        <v>13745070800.477095</v>
      </c>
      <c r="S442">
        <f t="shared" si="977"/>
        <v>137450.70800477095</v>
      </c>
      <c r="T442">
        <f t="shared" si="978"/>
        <v>137.45070800477095</v>
      </c>
    </row>
    <row r="443" spans="1:20" x14ac:dyDescent="0.25">
      <c r="A443" s="5">
        <v>44150</v>
      </c>
      <c r="B443">
        <v>4.8669999999999998E-3</v>
      </c>
      <c r="C443">
        <v>4.9160000000000002E-3</v>
      </c>
      <c r="D443">
        <v>4.7019999999999996E-3</v>
      </c>
      <c r="E443">
        <v>4.8300000000000001E-3</v>
      </c>
      <c r="F443">
        <v>340389113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0.19626168224299179</v>
      </c>
      <c r="Q443">
        <f t="shared" si="975"/>
        <v>66805339.934579827</v>
      </c>
      <c r="R443">
        <f t="shared" si="976"/>
        <v>13810051235.281216</v>
      </c>
      <c r="S443">
        <f t="shared" si="977"/>
        <v>138100.51235281216</v>
      </c>
      <c r="T443">
        <f t="shared" si="978"/>
        <v>138.10051235281216</v>
      </c>
    </row>
    <row r="444" spans="1:20" x14ac:dyDescent="0.25">
      <c r="A444" s="5">
        <v>44149</v>
      </c>
      <c r="B444">
        <v>5.1339999999999997E-3</v>
      </c>
      <c r="C444">
        <v>5.1500000000000001E-3</v>
      </c>
      <c r="D444">
        <v>4.7860000000000003E-3</v>
      </c>
      <c r="E444">
        <v>4.8609999999999999E-3</v>
      </c>
      <c r="F444">
        <v>457337204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-0.58791208791209015</v>
      </c>
      <c r="Q444">
        <f t="shared" si="975"/>
        <v>-268874070.48351753</v>
      </c>
      <c r="R444">
        <f t="shared" si="976"/>
        <v>13743245895.346636</v>
      </c>
      <c r="S444">
        <f t="shared" si="977"/>
        <v>137432.45895346635</v>
      </c>
      <c r="T444">
        <f t="shared" si="978"/>
        <v>137.43245895346635</v>
      </c>
    </row>
    <row r="445" spans="1:20" x14ac:dyDescent="0.25">
      <c r="A445" s="5">
        <v>44148</v>
      </c>
      <c r="B445">
        <v>5.0210000000000003E-3</v>
      </c>
      <c r="C445">
        <v>5.202E-3</v>
      </c>
      <c r="D445">
        <v>5.012E-3</v>
      </c>
      <c r="E445">
        <v>5.1370000000000001E-3</v>
      </c>
      <c r="F445">
        <v>347487861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0.31578947368421123</v>
      </c>
      <c r="Q445">
        <f t="shared" si="975"/>
        <v>109733008.73684235</v>
      </c>
      <c r="R445">
        <f t="shared" si="976"/>
        <v>14012119965.830153</v>
      </c>
      <c r="S445">
        <f t="shared" si="977"/>
        <v>140121.19965830151</v>
      </c>
      <c r="T445">
        <f t="shared" si="978"/>
        <v>140.12119965830152</v>
      </c>
    </row>
    <row r="446" spans="1:20" x14ac:dyDescent="0.25">
      <c r="A446" s="5">
        <v>44147</v>
      </c>
      <c r="B446">
        <v>5.1450000000000003E-3</v>
      </c>
      <c r="C446">
        <v>5.3499999999999997E-3</v>
      </c>
      <c r="D446">
        <v>5.0080000000000003E-3</v>
      </c>
      <c r="E446">
        <v>5.019E-3</v>
      </c>
      <c r="F446">
        <v>597201465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-0.93567251461988454</v>
      </c>
      <c r="Q446">
        <f t="shared" si="975"/>
        <v>-558784996.49122894</v>
      </c>
      <c r="R446">
        <f t="shared" si="976"/>
        <v>13902386957.093309</v>
      </c>
      <c r="S446">
        <f t="shared" si="977"/>
        <v>139023.86957093311</v>
      </c>
      <c r="T446">
        <f t="shared" si="978"/>
        <v>139.0238695709331</v>
      </c>
    </row>
    <row r="447" spans="1:20" x14ac:dyDescent="0.25">
      <c r="A447" s="5">
        <v>44146</v>
      </c>
      <c r="B447">
        <v>5.1919999999999996E-3</v>
      </c>
      <c r="C447">
        <v>5.2859999999999999E-3</v>
      </c>
      <c r="D447">
        <v>5.11E-3</v>
      </c>
      <c r="E447">
        <v>5.1469999999999997E-3</v>
      </c>
      <c r="F447">
        <v>473055234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-0.57954545454545769</v>
      </c>
      <c r="Q447">
        <f t="shared" si="975"/>
        <v>-274157010.61363786</v>
      </c>
      <c r="R447">
        <f t="shared" si="976"/>
        <v>14461171953.584538</v>
      </c>
      <c r="S447">
        <f t="shared" si="977"/>
        <v>144611.71953584536</v>
      </c>
      <c r="T447">
        <f t="shared" si="978"/>
        <v>144.61171953584537</v>
      </c>
    </row>
    <row r="448" spans="1:20" x14ac:dyDescent="0.25">
      <c r="A448" s="5">
        <v>44145</v>
      </c>
      <c r="B448">
        <v>4.9300000000000004E-3</v>
      </c>
      <c r="C448">
        <v>5.2269999999999999E-3</v>
      </c>
      <c r="D448">
        <v>4.8900000000000002E-3</v>
      </c>
      <c r="E448">
        <v>5.1830000000000001E-3</v>
      </c>
      <c r="F448">
        <v>377570255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0.73887240356083195</v>
      </c>
      <c r="Q448">
        <f t="shared" si="975"/>
        <v>278976241.8249262</v>
      </c>
      <c r="R448">
        <f t="shared" si="976"/>
        <v>14735328964.198175</v>
      </c>
      <c r="S448">
        <f t="shared" si="977"/>
        <v>147353.28964198174</v>
      </c>
      <c r="T448">
        <f t="shared" si="978"/>
        <v>147.35328964198175</v>
      </c>
    </row>
    <row r="449" spans="1:20" x14ac:dyDescent="0.25">
      <c r="A449" s="5">
        <v>44144</v>
      </c>
      <c r="B449">
        <v>5.084E-3</v>
      </c>
      <c r="C449">
        <v>5.1330000000000004E-3</v>
      </c>
      <c r="D449">
        <v>4.7759999999999999E-3</v>
      </c>
      <c r="E449">
        <v>4.9220000000000002E-3</v>
      </c>
      <c r="F449">
        <v>415075648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-0.18207282913165226</v>
      </c>
      <c r="Q449">
        <f t="shared" si="975"/>
        <v>-75573997.53501384</v>
      </c>
      <c r="R449">
        <f t="shared" si="976"/>
        <v>14456352722.373249</v>
      </c>
      <c r="S449">
        <f t="shared" si="977"/>
        <v>144563.5272237325</v>
      </c>
      <c r="T449">
        <f t="shared" si="978"/>
        <v>144.56352722373251</v>
      </c>
    </row>
    <row r="450" spans="1:20" x14ac:dyDescent="0.25">
      <c r="A450" s="5">
        <v>44143</v>
      </c>
      <c r="B450">
        <v>4.6059999999999999E-3</v>
      </c>
      <c r="C450">
        <v>5.1009999999999996E-3</v>
      </c>
      <c r="D450">
        <v>4.5440000000000003E-3</v>
      </c>
      <c r="E450">
        <v>5.0809999999999996E-3</v>
      </c>
      <c r="F450">
        <v>503639890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0.92818671454219004</v>
      </c>
      <c r="Q450">
        <f t="shared" si="975"/>
        <v>467471854.81149</v>
      </c>
      <c r="R450">
        <f t="shared" si="976"/>
        <v>14531926719.908262</v>
      </c>
      <c r="S450">
        <f t="shared" si="977"/>
        <v>145319.26719908262</v>
      </c>
      <c r="T450">
        <f t="shared" si="978"/>
        <v>145.31926719908262</v>
      </c>
    </row>
    <row r="451" spans="1:20" x14ac:dyDescent="0.25">
      <c r="A451" s="5">
        <v>44142</v>
      </c>
      <c r="B451">
        <v>5.0470000000000003E-3</v>
      </c>
      <c r="C451">
        <v>5.2979999999999998E-3</v>
      </c>
      <c r="D451">
        <v>3.8E-3</v>
      </c>
      <c r="E451">
        <v>4.6049999999999997E-3</v>
      </c>
      <c r="F451">
        <v>1091098361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7.4766355140186716E-2</v>
      </c>
      <c r="Q451">
        <f t="shared" si="975"/>
        <v>81577447.551401645</v>
      </c>
      <c r="R451">
        <f t="shared" si="976"/>
        <v>14064454865.096773</v>
      </c>
      <c r="S451">
        <f t="shared" si="977"/>
        <v>140644.54865096774</v>
      </c>
      <c r="T451">
        <f t="shared" si="978"/>
        <v>140.64454865096775</v>
      </c>
    </row>
    <row r="452" spans="1:20" x14ac:dyDescent="0.25">
      <c r="A452" s="5">
        <v>44141</v>
      </c>
      <c r="B452">
        <v>4.5820000000000001E-3</v>
      </c>
      <c r="C452">
        <v>5.0800000000000003E-3</v>
      </c>
      <c r="D452">
        <v>4.5599999999999998E-3</v>
      </c>
      <c r="E452">
        <v>5.0489999999999997E-3</v>
      </c>
      <c r="F452">
        <v>806581785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0.88076923076922842</v>
      </c>
      <c r="Q452">
        <f t="shared" si="975"/>
        <v>710412418.32692122</v>
      </c>
      <c r="R452">
        <f t="shared" si="976"/>
        <v>13982877417.545372</v>
      </c>
      <c r="S452">
        <f t="shared" si="977"/>
        <v>139828.77417545373</v>
      </c>
      <c r="T452">
        <f t="shared" si="978"/>
        <v>139.82877417545373</v>
      </c>
    </row>
    <row r="453" spans="1:20" x14ac:dyDescent="0.25">
      <c r="A453" s="5">
        <v>44140</v>
      </c>
      <c r="B453">
        <v>4.3179999999999998E-3</v>
      </c>
      <c r="C453">
        <v>4.6100000000000004E-3</v>
      </c>
      <c r="D453">
        <v>4.3070000000000001E-3</v>
      </c>
      <c r="E453">
        <v>4.5830000000000003E-3</v>
      </c>
      <c r="F453">
        <v>731324169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0.82178217821782118</v>
      </c>
      <c r="Q453">
        <f t="shared" si="975"/>
        <v>600989168.58415794</v>
      </c>
      <c r="R453">
        <f t="shared" si="976"/>
        <v>13272464999.218451</v>
      </c>
      <c r="S453">
        <f t="shared" si="977"/>
        <v>132724.64999218451</v>
      </c>
      <c r="T453">
        <f t="shared" si="978"/>
        <v>132.72464999218451</v>
      </c>
    </row>
    <row r="454" spans="1:20" x14ac:dyDescent="0.25">
      <c r="A454" s="5">
        <v>44139</v>
      </c>
      <c r="B454">
        <v>4.4060000000000002E-3</v>
      </c>
      <c r="C454">
        <v>4.5250000000000004E-3</v>
      </c>
      <c r="D454">
        <v>4.0850000000000001E-3</v>
      </c>
      <c r="E454">
        <v>4.3090000000000003E-3</v>
      </c>
      <c r="F454">
        <v>889821779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1.8181818181818611E-2</v>
      </c>
      <c r="Q454">
        <f t="shared" ref="Q454:Q517" si="980">F454*P454</f>
        <v>16178577.800000383</v>
      </c>
      <c r="R454">
        <f t="shared" ref="R454:R517" si="981">R455+Q454</f>
        <v>12671475830.634293</v>
      </c>
      <c r="S454">
        <f t="shared" ref="S454:S517" si="982">R454/100000</f>
        <v>126714.75830634292</v>
      </c>
      <c r="T454">
        <f t="shared" ref="T454:T517" si="983">S454/1000</f>
        <v>126.71475830634292</v>
      </c>
    </row>
    <row r="455" spans="1:20" x14ac:dyDescent="0.25">
      <c r="A455" s="5">
        <v>44138</v>
      </c>
      <c r="B455">
        <v>4.646E-3</v>
      </c>
      <c r="C455">
        <v>4.6759999999999996E-3</v>
      </c>
      <c r="D455">
        <v>4.3480000000000003E-3</v>
      </c>
      <c r="E455">
        <v>4.4050000000000001E-3</v>
      </c>
      <c r="F455">
        <v>688002731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-0.65243902439024459</v>
      </c>
      <c r="Q455">
        <f t="shared" si="980"/>
        <v>-448879830.59146386</v>
      </c>
      <c r="R455">
        <f t="shared" si="981"/>
        <v>12655297252.834291</v>
      </c>
      <c r="S455">
        <f t="shared" si="982"/>
        <v>126552.97252834291</v>
      </c>
      <c r="T455">
        <f t="shared" si="983"/>
        <v>126.55297252834292</v>
      </c>
    </row>
    <row r="456" spans="1:20" x14ac:dyDescent="0.25">
      <c r="A456" s="5">
        <v>44137</v>
      </c>
      <c r="B456">
        <v>4.9829999999999996E-3</v>
      </c>
      <c r="C456">
        <v>5.0359999999999997E-3</v>
      </c>
      <c r="D456">
        <v>4.4999999999999997E-3</v>
      </c>
      <c r="E456">
        <v>4.6449999999999998E-3</v>
      </c>
      <c r="F456">
        <v>429762048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-0.4589552238805964</v>
      </c>
      <c r="Q456">
        <f t="shared" si="980"/>
        <v>-197241536.95522362</v>
      </c>
      <c r="R456">
        <f t="shared" si="981"/>
        <v>13104177083.425755</v>
      </c>
      <c r="S456">
        <f t="shared" si="982"/>
        <v>131041.77083425755</v>
      </c>
      <c r="T456">
        <f t="shared" si="983"/>
        <v>131.04177083425756</v>
      </c>
    </row>
    <row r="457" spans="1:20" x14ac:dyDescent="0.25">
      <c r="A457" s="5">
        <v>44136</v>
      </c>
      <c r="B457">
        <v>4.8510000000000003E-3</v>
      </c>
      <c r="C457">
        <v>5.2610000000000001E-3</v>
      </c>
      <c r="D457">
        <v>4.8320000000000004E-3</v>
      </c>
      <c r="E457">
        <v>4.9839999999999997E-3</v>
      </c>
      <c r="F457">
        <v>769687092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-0.29137529137529389</v>
      </c>
      <c r="Q457">
        <f t="shared" si="980"/>
        <v>-224267800.69930264</v>
      </c>
      <c r="R457">
        <f t="shared" si="981"/>
        <v>13301418620.380978</v>
      </c>
      <c r="S457">
        <f t="shared" si="982"/>
        <v>133014.18620380978</v>
      </c>
      <c r="T457">
        <f t="shared" si="983"/>
        <v>133.01418620380977</v>
      </c>
    </row>
    <row r="458" spans="1:20" x14ac:dyDescent="0.25">
      <c r="A458" s="5">
        <v>44135</v>
      </c>
      <c r="B458">
        <v>4.8919999999999996E-3</v>
      </c>
      <c r="C458">
        <v>4.9649999999999998E-3</v>
      </c>
      <c r="D458">
        <v>4.8450000000000003E-3</v>
      </c>
      <c r="E458">
        <v>4.8549999999999999E-3</v>
      </c>
      <c r="F458">
        <v>389853549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-0.83333333333333937</v>
      </c>
      <c r="Q458">
        <f t="shared" si="980"/>
        <v>-324877957.50000232</v>
      </c>
      <c r="R458">
        <f t="shared" si="981"/>
        <v>13525686421.08028</v>
      </c>
      <c r="S458">
        <f t="shared" si="982"/>
        <v>135256.8642108028</v>
      </c>
      <c r="T458">
        <f t="shared" si="983"/>
        <v>135.2568642108028</v>
      </c>
    </row>
    <row r="459" spans="1:20" x14ac:dyDescent="0.25">
      <c r="A459" s="5">
        <v>44134</v>
      </c>
      <c r="B459">
        <v>4.9170000000000004E-3</v>
      </c>
      <c r="C459">
        <v>5.1700000000000001E-3</v>
      </c>
      <c r="D459">
        <v>4.6369999999999996E-3</v>
      </c>
      <c r="E459">
        <v>4.8910000000000004E-3</v>
      </c>
      <c r="F459">
        <v>762392860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-4.6904315196996171E-2</v>
      </c>
      <c r="Q459">
        <f t="shared" si="980"/>
        <v>-35759515.009379372</v>
      </c>
      <c r="R459">
        <f t="shared" si="981"/>
        <v>13850564378.580282</v>
      </c>
      <c r="S459">
        <f t="shared" si="982"/>
        <v>138505.64378580282</v>
      </c>
      <c r="T459">
        <f t="shared" si="983"/>
        <v>138.50564378580282</v>
      </c>
    </row>
    <row r="460" spans="1:20" x14ac:dyDescent="0.25">
      <c r="A460" s="5">
        <v>44133</v>
      </c>
      <c r="B460">
        <v>4.9750000000000003E-3</v>
      </c>
      <c r="C460">
        <v>5.4999999999999997E-3</v>
      </c>
      <c r="D460">
        <v>4.8789999999999997E-3</v>
      </c>
      <c r="E460">
        <v>4.921E-3</v>
      </c>
      <c r="F460">
        <v>1174271435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-0.86473429951690706</v>
      </c>
      <c r="Q460">
        <f t="shared" si="980"/>
        <v>-1015432786.7874383</v>
      </c>
      <c r="R460">
        <f t="shared" si="981"/>
        <v>13886323893.589661</v>
      </c>
      <c r="S460">
        <f t="shared" si="982"/>
        <v>138863.2389358966</v>
      </c>
      <c r="T460">
        <f t="shared" si="983"/>
        <v>138.86323893589659</v>
      </c>
    </row>
    <row r="461" spans="1:20" x14ac:dyDescent="0.25">
      <c r="A461" s="5">
        <v>44132</v>
      </c>
      <c r="B461">
        <v>5.2719999999999998E-3</v>
      </c>
      <c r="C461">
        <v>5.2979999999999998E-3</v>
      </c>
      <c r="D461">
        <v>4.9109999999999996E-3</v>
      </c>
      <c r="E461">
        <v>4.9750000000000003E-3</v>
      </c>
      <c r="F461">
        <v>821728363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-0.66925064599482864</v>
      </c>
      <c r="Q461">
        <f t="shared" si="980"/>
        <v>-549942237.77002299</v>
      </c>
      <c r="R461">
        <f t="shared" si="981"/>
        <v>14901756680.377098</v>
      </c>
      <c r="S461">
        <f t="shared" si="982"/>
        <v>149017.56680377098</v>
      </c>
      <c r="T461">
        <f t="shared" si="983"/>
        <v>149.01756680377099</v>
      </c>
    </row>
    <row r="462" spans="1:20" x14ac:dyDescent="0.25">
      <c r="A462" s="5">
        <v>44131</v>
      </c>
      <c r="B462">
        <v>5.2490000000000002E-3</v>
      </c>
      <c r="C462">
        <v>5.411E-3</v>
      </c>
      <c r="D462">
        <v>5.1380000000000002E-3</v>
      </c>
      <c r="E462">
        <v>5.274E-3</v>
      </c>
      <c r="F462">
        <v>1955691856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-3.6630036630041518E-3</v>
      </c>
      <c r="Q462">
        <f t="shared" si="980"/>
        <v>-7163706.4322353881</v>
      </c>
      <c r="R462">
        <f t="shared" si="981"/>
        <v>15451698918.147121</v>
      </c>
      <c r="S462">
        <f t="shared" si="982"/>
        <v>154516.9891814712</v>
      </c>
      <c r="T462">
        <f t="shared" si="983"/>
        <v>154.51698918147119</v>
      </c>
    </row>
    <row r="463" spans="1:20" x14ac:dyDescent="0.25">
      <c r="A463" s="5">
        <v>44130</v>
      </c>
      <c r="B463">
        <v>5.3899999999999998E-3</v>
      </c>
      <c r="C463">
        <v>5.4549999999999998E-3</v>
      </c>
      <c r="D463">
        <v>5.0759999999999998E-3</v>
      </c>
      <c r="E463">
        <v>5.2509999999999996E-3</v>
      </c>
      <c r="F463">
        <v>1174402939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-7.651715039577936E-2</v>
      </c>
      <c r="Q463">
        <f t="shared" si="980"/>
        <v>-89861966.308708295</v>
      </c>
      <c r="R463">
        <f t="shared" si="981"/>
        <v>15458862624.579357</v>
      </c>
      <c r="S463">
        <f t="shared" si="982"/>
        <v>154588.62624579357</v>
      </c>
      <c r="T463">
        <f t="shared" si="983"/>
        <v>154.58862624579356</v>
      </c>
    </row>
    <row r="464" spans="1:20" x14ac:dyDescent="0.25">
      <c r="A464" s="5">
        <v>44129</v>
      </c>
      <c r="B464">
        <v>5.4819999999999999E-3</v>
      </c>
      <c r="C464">
        <v>5.5189999999999996E-3</v>
      </c>
      <c r="D464">
        <v>5.3189999999999999E-3</v>
      </c>
      <c r="E464">
        <v>5.3899999999999998E-3</v>
      </c>
      <c r="F464">
        <v>328139193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-0.28999999999999998</v>
      </c>
      <c r="Q464">
        <f t="shared" si="980"/>
        <v>-95160365.969999999</v>
      </c>
      <c r="R464">
        <f t="shared" si="981"/>
        <v>15548724590.888065</v>
      </c>
      <c r="S464">
        <f t="shared" si="982"/>
        <v>155487.24590888066</v>
      </c>
      <c r="T464">
        <f t="shared" si="983"/>
        <v>155.48724590888065</v>
      </c>
    </row>
    <row r="465" spans="1:20" x14ac:dyDescent="0.25">
      <c r="A465" s="5">
        <v>44128</v>
      </c>
      <c r="B465">
        <v>5.5050000000000003E-3</v>
      </c>
      <c r="C465">
        <v>5.64E-3</v>
      </c>
      <c r="D465">
        <v>5.359E-3</v>
      </c>
      <c r="E465">
        <v>5.4809999999999998E-3</v>
      </c>
      <c r="F465">
        <v>823548815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-0.13167259786477073</v>
      </c>
      <c r="Q465">
        <f t="shared" si="980"/>
        <v>-108438811.93950346</v>
      </c>
      <c r="R465">
        <f t="shared" si="981"/>
        <v>15643884956.858065</v>
      </c>
      <c r="S465">
        <f t="shared" si="982"/>
        <v>156438.84956858066</v>
      </c>
      <c r="T465">
        <f t="shared" si="983"/>
        <v>156.43884956858065</v>
      </c>
    </row>
    <row r="466" spans="1:20" x14ac:dyDescent="0.25">
      <c r="A466" s="5">
        <v>44127</v>
      </c>
      <c r="B466">
        <v>5.5830000000000003E-3</v>
      </c>
      <c r="C466">
        <v>5.633E-3</v>
      </c>
      <c r="D466">
        <v>5.3870000000000003E-3</v>
      </c>
      <c r="E466">
        <v>5.5069999999999997E-3</v>
      </c>
      <c r="F466">
        <v>715376887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-2.4390243902442293E-2</v>
      </c>
      <c r="Q466">
        <f t="shared" si="980"/>
        <v>-17448216.756099898</v>
      </c>
      <c r="R466">
        <f t="shared" si="981"/>
        <v>15752323768.797567</v>
      </c>
      <c r="S466">
        <f t="shared" si="982"/>
        <v>157523.23768797566</v>
      </c>
      <c r="T466">
        <f t="shared" si="983"/>
        <v>157.52323768797567</v>
      </c>
    </row>
    <row r="467" spans="1:20" x14ac:dyDescent="0.25">
      <c r="A467" s="5">
        <v>44126</v>
      </c>
      <c r="B467">
        <v>5.5110000000000003E-3</v>
      </c>
      <c r="C467">
        <v>5.7250000000000001E-3</v>
      </c>
      <c r="D467">
        <v>5.45E-3</v>
      </c>
      <c r="E467">
        <v>5.5799999999999999E-3</v>
      </c>
      <c r="F467">
        <v>574827998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-5.4545454545455466E-2</v>
      </c>
      <c r="Q467">
        <f t="shared" si="980"/>
        <v>-31354254.436364166</v>
      </c>
      <c r="R467">
        <f t="shared" si="981"/>
        <v>15769771985.553667</v>
      </c>
      <c r="S467">
        <f t="shared" si="982"/>
        <v>157697.71985553668</v>
      </c>
      <c r="T467">
        <f t="shared" si="983"/>
        <v>157.69771985553669</v>
      </c>
    </row>
    <row r="468" spans="1:20" x14ac:dyDescent="0.25">
      <c r="A468" s="5">
        <v>44125</v>
      </c>
      <c r="B468">
        <v>5.13E-3</v>
      </c>
      <c r="C468">
        <v>5.5999999999999999E-3</v>
      </c>
      <c r="D468">
        <v>5.1159999999999999E-3</v>
      </c>
      <c r="E468">
        <v>5.5110000000000003E-3</v>
      </c>
      <c r="F468">
        <v>636013105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0.63223140495867913</v>
      </c>
      <c r="Q468">
        <f t="shared" si="980"/>
        <v>402107458.94628191</v>
      </c>
      <c r="R468">
        <f t="shared" si="981"/>
        <v>15801126239.99003</v>
      </c>
      <c r="S468">
        <f t="shared" si="982"/>
        <v>158011.2623999003</v>
      </c>
      <c r="T468">
        <f t="shared" si="983"/>
        <v>158.01126239990029</v>
      </c>
    </row>
    <row r="469" spans="1:20" x14ac:dyDescent="0.25">
      <c r="A469" s="5">
        <v>44124</v>
      </c>
      <c r="B469">
        <v>5.5770000000000004E-3</v>
      </c>
      <c r="C469">
        <v>5.5840000000000004E-3</v>
      </c>
      <c r="D469">
        <v>5.097E-3</v>
      </c>
      <c r="E469">
        <v>5.1310000000000001E-3</v>
      </c>
      <c r="F469">
        <v>910699420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-0.86036960985626221</v>
      </c>
      <c r="Q469">
        <f t="shared" si="980"/>
        <v>-783538104.68172431</v>
      </c>
      <c r="R469">
        <f t="shared" si="981"/>
        <v>15399018781.043749</v>
      </c>
      <c r="S469">
        <f t="shared" si="982"/>
        <v>153990.18781043749</v>
      </c>
      <c r="T469">
        <f t="shared" si="983"/>
        <v>153.9901878104375</v>
      </c>
    </row>
    <row r="470" spans="1:20" x14ac:dyDescent="0.25">
      <c r="A470" s="5">
        <v>44123</v>
      </c>
      <c r="B470">
        <v>5.5459999999999997E-3</v>
      </c>
      <c r="C470">
        <v>5.6270000000000001E-3</v>
      </c>
      <c r="D470">
        <v>5.4850000000000003E-3</v>
      </c>
      <c r="E470">
        <v>5.5760000000000002E-3</v>
      </c>
      <c r="F470">
        <v>393667697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0.2816901408450716</v>
      </c>
      <c r="Q470">
        <f t="shared" si="980"/>
        <v>110892309.01408496</v>
      </c>
      <c r="R470">
        <f t="shared" si="981"/>
        <v>16182556885.725473</v>
      </c>
      <c r="S470">
        <f t="shared" si="982"/>
        <v>161825.56885725472</v>
      </c>
      <c r="T470">
        <f t="shared" si="983"/>
        <v>161.82556885725472</v>
      </c>
    </row>
    <row r="471" spans="1:20" x14ac:dyDescent="0.25">
      <c r="A471" s="5">
        <v>44122</v>
      </c>
      <c r="B471">
        <v>5.5189999999999996E-3</v>
      </c>
      <c r="C471">
        <v>5.574E-3</v>
      </c>
      <c r="D471">
        <v>5.4920000000000004E-3</v>
      </c>
      <c r="E471">
        <v>5.5430000000000002E-3</v>
      </c>
      <c r="F471">
        <v>462005569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0.24390243902439204</v>
      </c>
      <c r="Q471">
        <f t="shared" si="980"/>
        <v>112684285.12195206</v>
      </c>
      <c r="R471">
        <f t="shared" si="981"/>
        <v>16071664576.711388</v>
      </c>
      <c r="S471">
        <f t="shared" si="982"/>
        <v>160716.64576711386</v>
      </c>
      <c r="T471">
        <f t="shared" si="983"/>
        <v>160.71664576711387</v>
      </c>
    </row>
    <row r="472" spans="1:20" x14ac:dyDescent="0.25">
      <c r="A472" s="5">
        <v>44121</v>
      </c>
      <c r="B472">
        <v>5.4590000000000003E-3</v>
      </c>
      <c r="C472">
        <v>5.5849999999999997E-3</v>
      </c>
      <c r="D472">
        <v>5.4060000000000002E-3</v>
      </c>
      <c r="E472">
        <v>5.5199999999999997E-3</v>
      </c>
      <c r="F472">
        <v>474522399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0.27374301675977492</v>
      </c>
      <c r="Q472">
        <f t="shared" si="980"/>
        <v>129897193.0223456</v>
      </c>
      <c r="R472">
        <f t="shared" si="981"/>
        <v>15958980291.589436</v>
      </c>
      <c r="S472">
        <f t="shared" si="982"/>
        <v>159589.80291589437</v>
      </c>
      <c r="T472">
        <f t="shared" si="983"/>
        <v>159.58980291589438</v>
      </c>
    </row>
    <row r="473" spans="1:20" x14ac:dyDescent="0.25">
      <c r="A473" s="5">
        <v>44120</v>
      </c>
      <c r="B473">
        <v>5.7840000000000001E-3</v>
      </c>
      <c r="C473">
        <v>5.7999999999999996E-3</v>
      </c>
      <c r="D473">
        <v>5.4429999999999999E-3</v>
      </c>
      <c r="E473">
        <v>5.4590000000000003E-3</v>
      </c>
      <c r="F473">
        <v>1060877009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-0.91036414565826107</v>
      </c>
      <c r="Q473">
        <f t="shared" si="980"/>
        <v>-965784391.94677639</v>
      </c>
      <c r="R473">
        <f t="shared" si="981"/>
        <v>15829083098.567089</v>
      </c>
      <c r="S473">
        <f t="shared" si="982"/>
        <v>158290.83098567088</v>
      </c>
      <c r="T473">
        <f t="shared" si="983"/>
        <v>158.29083098567088</v>
      </c>
    </row>
    <row r="474" spans="1:20" x14ac:dyDescent="0.25">
      <c r="A474" s="5">
        <v>44119</v>
      </c>
      <c r="B474">
        <v>5.7809999999999997E-3</v>
      </c>
      <c r="C474">
        <v>5.9800000000000001E-3</v>
      </c>
      <c r="D474">
        <v>5.5649999999999996E-3</v>
      </c>
      <c r="E474">
        <v>5.7800000000000004E-3</v>
      </c>
      <c r="F474">
        <v>1229452263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3.6144578313255682E-2</v>
      </c>
      <c r="Q474">
        <f t="shared" si="980"/>
        <v>44438033.602412924</v>
      </c>
      <c r="R474">
        <f t="shared" si="981"/>
        <v>16794867490.513866</v>
      </c>
      <c r="S474">
        <f t="shared" si="982"/>
        <v>167948.67490513867</v>
      </c>
      <c r="T474">
        <f t="shared" si="983"/>
        <v>167.94867490513866</v>
      </c>
    </row>
    <row r="475" spans="1:20" x14ac:dyDescent="0.25">
      <c r="A475" s="5">
        <v>44118</v>
      </c>
      <c r="B475">
        <v>6.0289999999999996E-3</v>
      </c>
      <c r="C475">
        <v>6.0959999999999999E-3</v>
      </c>
      <c r="D475">
        <v>5.6519999999999999E-3</v>
      </c>
      <c r="E475">
        <v>5.7819999999999998E-3</v>
      </c>
      <c r="F475">
        <v>1390763396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-0.41441441441441479</v>
      </c>
      <c r="Q475">
        <f t="shared" si="980"/>
        <v>-576352398.34234285</v>
      </c>
      <c r="R475">
        <f t="shared" si="981"/>
        <v>16750429456.911453</v>
      </c>
      <c r="S475">
        <f t="shared" si="982"/>
        <v>167504.29456911454</v>
      </c>
      <c r="T475">
        <f t="shared" si="983"/>
        <v>167.50429456911453</v>
      </c>
    </row>
    <row r="476" spans="1:20" x14ac:dyDescent="0.25">
      <c r="A476" s="5">
        <v>44117</v>
      </c>
      <c r="B476">
        <v>5.8809999999999999E-3</v>
      </c>
      <c r="C476">
        <v>6.1929999999999997E-3</v>
      </c>
      <c r="D476">
        <v>5.8079999999999998E-3</v>
      </c>
      <c r="E476">
        <v>6.0260000000000001E-3</v>
      </c>
      <c r="F476">
        <v>1549443093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0.13246753246753432</v>
      </c>
      <c r="Q476">
        <f t="shared" si="980"/>
        <v>205250903.22857431</v>
      </c>
      <c r="R476">
        <f t="shared" si="981"/>
        <v>17326781855.253796</v>
      </c>
      <c r="S476">
        <f t="shared" si="982"/>
        <v>173267.81855253797</v>
      </c>
      <c r="T476">
        <f t="shared" si="983"/>
        <v>173.26781855253796</v>
      </c>
    </row>
    <row r="477" spans="1:20" x14ac:dyDescent="0.25">
      <c r="A477" s="5">
        <v>44116</v>
      </c>
      <c r="B477">
        <v>5.9439999999999996E-3</v>
      </c>
      <c r="C477">
        <v>6.0369999999999998E-3</v>
      </c>
      <c r="D477">
        <v>5.7340000000000004E-3</v>
      </c>
      <c r="E477">
        <v>5.8830000000000002E-3</v>
      </c>
      <c r="F477">
        <v>541955344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-1.6501650165015858E-2</v>
      </c>
      <c r="Q477">
        <f t="shared" si="980"/>
        <v>-8943157.4917488266</v>
      </c>
      <c r="R477">
        <f t="shared" si="981"/>
        <v>17121530952.025221</v>
      </c>
      <c r="S477">
        <f t="shared" si="982"/>
        <v>171215.30952025219</v>
      </c>
      <c r="T477">
        <f t="shared" si="983"/>
        <v>171.21530952025219</v>
      </c>
    </row>
    <row r="478" spans="1:20" x14ac:dyDescent="0.25">
      <c r="A478" s="5">
        <v>44115</v>
      </c>
      <c r="B478">
        <v>5.7660000000000003E-3</v>
      </c>
      <c r="C478">
        <v>6.0239999999999998E-3</v>
      </c>
      <c r="D478">
        <v>5.705E-3</v>
      </c>
      <c r="E478">
        <v>5.9449999999999998E-3</v>
      </c>
      <c r="F478">
        <v>858338594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0.50470219435736607</v>
      </c>
      <c r="Q478">
        <f t="shared" si="980"/>
        <v>433205371.89341635</v>
      </c>
      <c r="R478">
        <f t="shared" si="981"/>
        <v>17130474109.51697</v>
      </c>
      <c r="S478">
        <f t="shared" si="982"/>
        <v>171304.74109516971</v>
      </c>
      <c r="T478">
        <f t="shared" si="983"/>
        <v>171.3047410951697</v>
      </c>
    </row>
    <row r="479" spans="1:20" x14ac:dyDescent="0.25">
      <c r="A479" s="5">
        <v>44114</v>
      </c>
      <c r="B479">
        <v>5.7999999999999996E-3</v>
      </c>
      <c r="C479">
        <v>5.9420000000000002E-3</v>
      </c>
      <c r="D479">
        <v>5.7260000000000002E-3</v>
      </c>
      <c r="E479">
        <v>5.7689999999999998E-3</v>
      </c>
      <c r="F479">
        <v>890185820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-0.6018518518518553</v>
      </c>
      <c r="Q479">
        <f t="shared" si="980"/>
        <v>-535759984.25926232</v>
      </c>
      <c r="R479">
        <f t="shared" si="981"/>
        <v>16697268737.623554</v>
      </c>
      <c r="S479">
        <f t="shared" si="982"/>
        <v>166972.68737623555</v>
      </c>
      <c r="T479">
        <f t="shared" si="983"/>
        <v>166.97268737623554</v>
      </c>
    </row>
    <row r="480" spans="1:20" x14ac:dyDescent="0.25">
      <c r="A480" s="5">
        <v>44113</v>
      </c>
      <c r="B480">
        <v>5.4599999999999996E-3</v>
      </c>
      <c r="C480">
        <v>5.8589999999999996E-3</v>
      </c>
      <c r="D480">
        <v>5.3689999999999996E-3</v>
      </c>
      <c r="E480">
        <v>5.7999999999999996E-3</v>
      </c>
      <c r="F480">
        <v>1229244806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0.75918367346938764</v>
      </c>
      <c r="Q480">
        <f t="shared" si="980"/>
        <v>933222587.4122448</v>
      </c>
      <c r="R480">
        <f t="shared" si="981"/>
        <v>17233028721.882816</v>
      </c>
      <c r="S480">
        <f t="shared" si="982"/>
        <v>172330.28721882816</v>
      </c>
      <c r="T480">
        <f t="shared" si="983"/>
        <v>172.33028721882818</v>
      </c>
    </row>
    <row r="481" spans="1:20" x14ac:dyDescent="0.25">
      <c r="A481" s="5">
        <v>44112</v>
      </c>
      <c r="B481">
        <v>5.3730000000000002E-3</v>
      </c>
      <c r="C481">
        <v>5.5199999999999997E-3</v>
      </c>
      <c r="D481">
        <v>5.1399999999999996E-3</v>
      </c>
      <c r="E481">
        <v>5.4640000000000001E-3</v>
      </c>
      <c r="F481">
        <v>747865957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0.70526315789473892</v>
      </c>
      <c r="Q481">
        <f t="shared" si="980"/>
        <v>527442306.51579106</v>
      </c>
      <c r="R481">
        <f t="shared" si="981"/>
        <v>16299806134.470572</v>
      </c>
      <c r="S481">
        <f t="shared" si="982"/>
        <v>162998.06134470573</v>
      </c>
      <c r="T481">
        <f t="shared" si="983"/>
        <v>162.99806134470572</v>
      </c>
    </row>
    <row r="482" spans="1:20" x14ac:dyDescent="0.25">
      <c r="A482" s="5">
        <v>44111</v>
      </c>
      <c r="B482">
        <v>5.2859999999999999E-3</v>
      </c>
      <c r="C482">
        <v>5.398E-3</v>
      </c>
      <c r="D482">
        <v>5.1279999999999997E-3</v>
      </c>
      <c r="E482">
        <v>5.3699999999999998E-3</v>
      </c>
      <c r="F482">
        <v>791582739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0.79259259259259096</v>
      </c>
      <c r="Q482">
        <f t="shared" si="980"/>
        <v>627402615.35555422</v>
      </c>
      <c r="R482">
        <f t="shared" si="981"/>
        <v>15772363827.954781</v>
      </c>
      <c r="S482">
        <f t="shared" si="982"/>
        <v>157723.6382795478</v>
      </c>
      <c r="T482">
        <f t="shared" si="983"/>
        <v>157.7236382795478</v>
      </c>
    </row>
    <row r="483" spans="1:20" x14ac:dyDescent="0.25">
      <c r="A483" s="5">
        <v>44110</v>
      </c>
      <c r="B483">
        <v>5.5110000000000003E-3</v>
      </c>
      <c r="C483">
        <v>5.5389999999999997E-3</v>
      </c>
      <c r="D483">
        <v>5.2180000000000004E-3</v>
      </c>
      <c r="E483">
        <v>5.287E-3</v>
      </c>
      <c r="F483">
        <v>791243943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-0.57009345794392663</v>
      </c>
      <c r="Q483">
        <f t="shared" si="980"/>
        <v>-451082995.54205716</v>
      </c>
      <c r="R483">
        <f t="shared" si="981"/>
        <v>15144961212.599226</v>
      </c>
      <c r="S483">
        <f t="shared" si="982"/>
        <v>151449.61212599225</v>
      </c>
      <c r="T483">
        <f t="shared" si="983"/>
        <v>151.44961212599225</v>
      </c>
    </row>
    <row r="484" spans="1:20" x14ac:dyDescent="0.25">
      <c r="A484" s="5">
        <v>44109</v>
      </c>
      <c r="B484">
        <v>5.5009999999999998E-3</v>
      </c>
      <c r="C484">
        <v>5.6179999999999997E-3</v>
      </c>
      <c r="D484">
        <v>5.3660000000000001E-3</v>
      </c>
      <c r="E484">
        <v>5.509E-3</v>
      </c>
      <c r="F484">
        <v>1009413426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0.13492063492063583</v>
      </c>
      <c r="Q484">
        <f t="shared" si="980"/>
        <v>136190700.33333424</v>
      </c>
      <c r="R484">
        <f t="shared" si="981"/>
        <v>15596044208.141283</v>
      </c>
      <c r="S484">
        <f t="shared" si="982"/>
        <v>155960.44208141282</v>
      </c>
      <c r="T484">
        <f t="shared" si="983"/>
        <v>155.96044208141282</v>
      </c>
    </row>
    <row r="485" spans="1:20" x14ac:dyDescent="0.25">
      <c r="A485" s="5">
        <v>44108</v>
      </c>
      <c r="B485">
        <v>5.3670000000000002E-3</v>
      </c>
      <c r="C485">
        <v>5.5269999999999998E-3</v>
      </c>
      <c r="D485">
        <v>5.2820000000000002E-3</v>
      </c>
      <c r="E485">
        <v>5.5019999999999999E-3</v>
      </c>
      <c r="F485">
        <v>414224446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0.79591836734693966</v>
      </c>
      <c r="Q485">
        <f t="shared" si="980"/>
        <v>329688844.77551055</v>
      </c>
      <c r="R485">
        <f t="shared" si="981"/>
        <v>15459853507.807949</v>
      </c>
      <c r="S485">
        <f t="shared" si="982"/>
        <v>154598.5350780795</v>
      </c>
      <c r="T485">
        <f t="shared" si="983"/>
        <v>154.59853507807949</v>
      </c>
    </row>
    <row r="486" spans="1:20" x14ac:dyDescent="0.25">
      <c r="A486" s="5">
        <v>44107</v>
      </c>
      <c r="B486">
        <v>5.4599999999999996E-3</v>
      </c>
      <c r="C486">
        <v>5.5120000000000004E-3</v>
      </c>
      <c r="D486">
        <v>5.3610000000000003E-3</v>
      </c>
      <c r="E486">
        <v>5.3660000000000001E-3</v>
      </c>
      <c r="F486">
        <v>384169370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-0.93377483443708886</v>
      </c>
      <c r="Q486">
        <f t="shared" si="980"/>
        <v>-358727689.86755073</v>
      </c>
      <c r="R486">
        <f t="shared" si="981"/>
        <v>15130164663.032438</v>
      </c>
      <c r="S486">
        <f t="shared" si="982"/>
        <v>151301.64663032439</v>
      </c>
      <c r="T486">
        <f t="shared" si="983"/>
        <v>151.3016466303244</v>
      </c>
    </row>
    <row r="487" spans="1:20" x14ac:dyDescent="0.25">
      <c r="A487" s="5">
        <v>44106</v>
      </c>
      <c r="B487">
        <v>5.6940000000000003E-3</v>
      </c>
      <c r="C487">
        <v>5.7450000000000001E-3</v>
      </c>
      <c r="D487">
        <v>5.1929999999999997E-3</v>
      </c>
      <c r="E487">
        <v>5.4559999999999999E-3</v>
      </c>
      <c r="F487">
        <v>906423559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-4.710144927536225E-2</v>
      </c>
      <c r="Q487">
        <f t="shared" si="980"/>
        <v>-42693863.286231823</v>
      </c>
      <c r="R487">
        <f t="shared" si="981"/>
        <v>15488892352.899988</v>
      </c>
      <c r="S487">
        <f t="shared" si="982"/>
        <v>154888.92352899988</v>
      </c>
      <c r="T487">
        <f t="shared" si="983"/>
        <v>154.88892352899987</v>
      </c>
    </row>
    <row r="488" spans="1:20" x14ac:dyDescent="0.25">
      <c r="A488" s="5">
        <v>44105</v>
      </c>
      <c r="B488">
        <v>5.9280000000000001E-3</v>
      </c>
      <c r="C488">
        <v>6.0639999999999999E-3</v>
      </c>
      <c r="D488">
        <v>5.5250000000000004E-3</v>
      </c>
      <c r="E488">
        <v>5.6959999999999997E-3</v>
      </c>
      <c r="F488">
        <v>1350171987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-0.36549165120593907</v>
      </c>
      <c r="Q488">
        <f t="shared" si="980"/>
        <v>-493476588.94063371</v>
      </c>
      <c r="R488">
        <f t="shared" si="981"/>
        <v>15531586216.18622</v>
      </c>
      <c r="S488">
        <f t="shared" si="982"/>
        <v>155315.8621618622</v>
      </c>
      <c r="T488">
        <f t="shared" si="983"/>
        <v>155.31586216186219</v>
      </c>
    </row>
    <row r="489" spans="1:20" x14ac:dyDescent="0.25">
      <c r="A489" s="5">
        <v>44104</v>
      </c>
      <c r="B489">
        <v>5.9620000000000003E-3</v>
      </c>
      <c r="C489">
        <v>5.9800000000000001E-3</v>
      </c>
      <c r="D489">
        <v>5.7780000000000001E-3</v>
      </c>
      <c r="E489">
        <v>5.9230000000000003E-3</v>
      </c>
      <c r="F489">
        <v>723576760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0.43564356435643781</v>
      </c>
      <c r="Q489">
        <f t="shared" si="980"/>
        <v>315221558.81188273</v>
      </c>
      <c r="R489">
        <f t="shared" si="981"/>
        <v>16025062805.126854</v>
      </c>
      <c r="S489">
        <f t="shared" si="982"/>
        <v>160250.62805126855</v>
      </c>
      <c r="T489">
        <f t="shared" si="983"/>
        <v>160.25062805126854</v>
      </c>
    </row>
    <row r="490" spans="1:20" x14ac:dyDescent="0.25">
      <c r="A490" s="5">
        <v>44103</v>
      </c>
      <c r="B490">
        <v>5.9199999999999999E-3</v>
      </c>
      <c r="C490">
        <v>6.0899999999999999E-3</v>
      </c>
      <c r="D490">
        <v>5.7429999999999998E-3</v>
      </c>
      <c r="E490">
        <v>5.9639999999999997E-3</v>
      </c>
      <c r="F490">
        <v>1503777331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0.27377521613832728</v>
      </c>
      <c r="Q490">
        <f t="shared" si="980"/>
        <v>411696963.81844193</v>
      </c>
      <c r="R490">
        <f t="shared" si="981"/>
        <v>15709841246.314972</v>
      </c>
      <c r="S490">
        <f t="shared" si="982"/>
        <v>157098.41246314973</v>
      </c>
      <c r="T490">
        <f t="shared" si="983"/>
        <v>157.09841246314971</v>
      </c>
    </row>
    <row r="491" spans="1:20" x14ac:dyDescent="0.25">
      <c r="A491" s="5">
        <v>44102</v>
      </c>
      <c r="B491">
        <v>5.8180000000000003E-3</v>
      </c>
      <c r="C491">
        <v>6.1190000000000003E-3</v>
      </c>
      <c r="D491">
        <v>5.8019999999999999E-3</v>
      </c>
      <c r="E491">
        <v>5.927E-3</v>
      </c>
      <c r="F491">
        <v>1492487994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-0.21135646687697202</v>
      </c>
      <c r="Q491">
        <f t="shared" si="980"/>
        <v>-315446989.26813942</v>
      </c>
      <c r="R491">
        <f t="shared" si="981"/>
        <v>15298144282.496531</v>
      </c>
      <c r="S491">
        <f t="shared" si="982"/>
        <v>152981.44282496531</v>
      </c>
      <c r="T491">
        <f t="shared" si="983"/>
        <v>152.98144282496531</v>
      </c>
    </row>
    <row r="492" spans="1:20" x14ac:dyDescent="0.25">
      <c r="A492" s="5">
        <v>44101</v>
      </c>
      <c r="B492">
        <v>5.8320000000000004E-3</v>
      </c>
      <c r="C492">
        <v>5.9690000000000003E-3</v>
      </c>
      <c r="D492">
        <v>5.6129999999999999E-3</v>
      </c>
      <c r="E492">
        <v>5.8149999999999999E-3</v>
      </c>
      <c r="F492">
        <v>810372469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0.13483146067415555</v>
      </c>
      <c r="Q492">
        <f t="shared" si="980"/>
        <v>109263703.68539184</v>
      </c>
      <c r="R492">
        <f t="shared" si="981"/>
        <v>15613591271.764669</v>
      </c>
      <c r="S492">
        <f t="shared" si="982"/>
        <v>156135.91271764669</v>
      </c>
      <c r="T492">
        <f t="shared" si="983"/>
        <v>156.13591271764668</v>
      </c>
    </row>
    <row r="493" spans="1:20" x14ac:dyDescent="0.25">
      <c r="A493" s="5">
        <v>44100</v>
      </c>
      <c r="B493">
        <v>5.8440000000000002E-3</v>
      </c>
      <c r="C493">
        <v>5.9290000000000002E-3</v>
      </c>
      <c r="D493">
        <v>5.6480000000000002E-3</v>
      </c>
      <c r="E493">
        <v>5.8300000000000001E-3</v>
      </c>
      <c r="F493">
        <v>952130716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0.29537366548042615</v>
      </c>
      <c r="Q493">
        <f t="shared" si="980"/>
        <v>281234339.60142261</v>
      </c>
      <c r="R493">
        <f t="shared" si="981"/>
        <v>15504327568.079277</v>
      </c>
      <c r="S493">
        <f t="shared" si="982"/>
        <v>155043.27568079278</v>
      </c>
      <c r="T493">
        <f t="shared" si="983"/>
        <v>155.04327568079279</v>
      </c>
    </row>
    <row r="494" spans="1:20" x14ac:dyDescent="0.25">
      <c r="A494" s="5">
        <v>44099</v>
      </c>
      <c r="B494">
        <v>5.7920000000000003E-3</v>
      </c>
      <c r="C494">
        <v>5.9329999999999999E-3</v>
      </c>
      <c r="D494">
        <v>5.5960000000000003E-3</v>
      </c>
      <c r="E494">
        <v>5.842E-3</v>
      </c>
      <c r="F494">
        <v>1142924784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0.45994065281899088</v>
      </c>
      <c r="Q494">
        <f t="shared" si="980"/>
        <v>525677571.27596414</v>
      </c>
      <c r="R494">
        <f t="shared" si="981"/>
        <v>15223093228.477854</v>
      </c>
      <c r="S494">
        <f t="shared" si="982"/>
        <v>152230.93228477854</v>
      </c>
      <c r="T494">
        <f t="shared" si="983"/>
        <v>152.23093228477853</v>
      </c>
    </row>
    <row r="495" spans="1:20" x14ac:dyDescent="0.25">
      <c r="A495" s="5">
        <v>44098</v>
      </c>
      <c r="B495">
        <v>5.293E-3</v>
      </c>
      <c r="C495">
        <v>5.927E-3</v>
      </c>
      <c r="D495">
        <v>5.2230000000000002E-3</v>
      </c>
      <c r="E495">
        <v>5.7949999999999998E-3</v>
      </c>
      <c r="F495">
        <v>1878598914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0.62499999999999933</v>
      </c>
      <c r="Q495">
        <f t="shared" si="980"/>
        <v>1174124321.2499988</v>
      </c>
      <c r="R495">
        <f t="shared" si="981"/>
        <v>14697415657.201889</v>
      </c>
      <c r="S495">
        <f t="shared" si="982"/>
        <v>146974.1565720189</v>
      </c>
      <c r="T495">
        <f t="shared" si="983"/>
        <v>146.9741565720189</v>
      </c>
    </row>
    <row r="496" spans="1:20" x14ac:dyDescent="0.25">
      <c r="A496" s="5">
        <v>44097</v>
      </c>
      <c r="B496">
        <v>5.5050000000000003E-3</v>
      </c>
      <c r="C496">
        <v>5.7930000000000004E-3</v>
      </c>
      <c r="D496">
        <v>5.0749999999999997E-3</v>
      </c>
      <c r="E496">
        <v>5.2940000000000001E-3</v>
      </c>
      <c r="F496">
        <v>2116140043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-0.38997214484679604</v>
      </c>
      <c r="Q496">
        <f t="shared" si="980"/>
        <v>-825235671.36490119</v>
      </c>
      <c r="R496">
        <f t="shared" si="981"/>
        <v>13523291335.951891</v>
      </c>
      <c r="S496">
        <f t="shared" si="982"/>
        <v>135232.91335951892</v>
      </c>
      <c r="T496">
        <f t="shared" si="983"/>
        <v>135.23291335951893</v>
      </c>
    </row>
    <row r="497" spans="1:20" x14ac:dyDescent="0.25">
      <c r="A497" s="5">
        <v>44096</v>
      </c>
      <c r="B497">
        <v>5.4270000000000004E-3</v>
      </c>
      <c r="C497">
        <v>5.7109999999999999E-3</v>
      </c>
      <c r="D497">
        <v>5.287E-3</v>
      </c>
      <c r="E497">
        <v>5.5100000000000001E-3</v>
      </c>
      <c r="F497">
        <v>1349449837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5.1886792452830954E-2</v>
      </c>
      <c r="Q497">
        <f t="shared" si="980"/>
        <v>70018623.617925555</v>
      </c>
      <c r="R497">
        <f t="shared" si="981"/>
        <v>14348527007.316792</v>
      </c>
      <c r="S497">
        <f t="shared" si="982"/>
        <v>143485.27007316792</v>
      </c>
      <c r="T497">
        <f t="shared" si="983"/>
        <v>143.48527007316792</v>
      </c>
    </row>
    <row r="498" spans="1:20" x14ac:dyDescent="0.25">
      <c r="A498" s="5">
        <v>44095</v>
      </c>
      <c r="B498">
        <v>6.1799999999999997E-3</v>
      </c>
      <c r="C498">
        <v>6.411E-3</v>
      </c>
      <c r="D498">
        <v>5.1469999999999997E-3</v>
      </c>
      <c r="E498">
        <v>5.4209999999999996E-3</v>
      </c>
      <c r="F498">
        <v>2445752977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-0.56645569620253189</v>
      </c>
      <c r="Q498">
        <f t="shared" si="980"/>
        <v>-1385410705.3259499</v>
      </c>
      <c r="R498">
        <f t="shared" si="981"/>
        <v>14278508383.698866</v>
      </c>
      <c r="S498">
        <f t="shared" si="982"/>
        <v>142785.08383698866</v>
      </c>
      <c r="T498">
        <f t="shared" si="983"/>
        <v>142.78508383698866</v>
      </c>
    </row>
    <row r="499" spans="1:20" x14ac:dyDescent="0.25">
      <c r="A499" s="5">
        <v>44094</v>
      </c>
      <c r="B499">
        <v>6.3470000000000002E-3</v>
      </c>
      <c r="C499">
        <v>6.4840000000000002E-3</v>
      </c>
      <c r="D499">
        <v>6.0920000000000002E-3</v>
      </c>
      <c r="E499">
        <v>6.1799999999999997E-3</v>
      </c>
      <c r="F499">
        <v>1937844341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-0.55102040816326769</v>
      </c>
      <c r="Q499">
        <f t="shared" si="980"/>
        <v>-1067791779.7346985</v>
      </c>
      <c r="R499">
        <f t="shared" si="981"/>
        <v>15663919089.024817</v>
      </c>
      <c r="S499">
        <f t="shared" si="982"/>
        <v>156639.19089024817</v>
      </c>
      <c r="T499">
        <f t="shared" si="983"/>
        <v>156.63919089024816</v>
      </c>
    </row>
    <row r="500" spans="1:20" x14ac:dyDescent="0.25">
      <c r="A500" s="5">
        <v>44093</v>
      </c>
      <c r="B500">
        <v>6.5250000000000004E-3</v>
      </c>
      <c r="C500">
        <v>6.5560000000000002E-3</v>
      </c>
      <c r="D500">
        <v>6.2459999999999998E-3</v>
      </c>
      <c r="E500">
        <v>6.3470000000000002E-3</v>
      </c>
      <c r="F500">
        <v>1384558892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-0.34838709677419177</v>
      </c>
      <c r="Q500">
        <f t="shared" si="980"/>
        <v>-482362452.69677174</v>
      </c>
      <c r="R500">
        <f t="shared" si="981"/>
        <v>16731710868.759516</v>
      </c>
      <c r="S500">
        <f t="shared" si="982"/>
        <v>167317.10868759514</v>
      </c>
      <c r="T500">
        <f t="shared" si="983"/>
        <v>167.31710868759515</v>
      </c>
    </row>
    <row r="501" spans="1:20" x14ac:dyDescent="0.25">
      <c r="A501" s="5">
        <v>44092</v>
      </c>
      <c r="B501">
        <v>6.4409999999999997E-3</v>
      </c>
      <c r="C501">
        <v>6.7860000000000004E-3</v>
      </c>
      <c r="D501">
        <v>6.2189999999999997E-3</v>
      </c>
      <c r="E501">
        <v>6.5250000000000004E-3</v>
      </c>
      <c r="F501">
        <v>2177431924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7.9365079365080624E-2</v>
      </c>
      <c r="Q501">
        <f t="shared" si="980"/>
        <v>172812057.4603202</v>
      </c>
      <c r="R501">
        <f t="shared" si="981"/>
        <v>17214073321.456287</v>
      </c>
      <c r="S501">
        <f t="shared" si="982"/>
        <v>172140.73321456288</v>
      </c>
      <c r="T501">
        <f t="shared" si="983"/>
        <v>172.14073321456289</v>
      </c>
    </row>
    <row r="502" spans="1:20" x14ac:dyDescent="0.25">
      <c r="A502" s="5">
        <v>44091</v>
      </c>
      <c r="B502">
        <v>6.685E-3</v>
      </c>
      <c r="C502">
        <v>6.8510000000000003E-3</v>
      </c>
      <c r="D502">
        <v>6.332E-3</v>
      </c>
      <c r="E502">
        <v>6.4400000000000004E-3</v>
      </c>
      <c r="F502">
        <v>2081269961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-0.58381502890173265</v>
      </c>
      <c r="Q502">
        <f t="shared" si="980"/>
        <v>-1215076682.4335229</v>
      </c>
      <c r="R502">
        <f t="shared" si="981"/>
        <v>17041261263.995966</v>
      </c>
      <c r="S502">
        <f t="shared" si="982"/>
        <v>170412.61263995967</v>
      </c>
      <c r="T502">
        <f t="shared" si="983"/>
        <v>170.41261263995966</v>
      </c>
    </row>
    <row r="503" spans="1:20" x14ac:dyDescent="0.25">
      <c r="A503" s="5">
        <v>44090</v>
      </c>
      <c r="B503">
        <v>6.313E-3</v>
      </c>
      <c r="C503">
        <v>6.8500000000000002E-3</v>
      </c>
      <c r="D503">
        <v>5.9420000000000002E-3</v>
      </c>
      <c r="E503">
        <v>6.6889999999999996E-3</v>
      </c>
      <c r="F503">
        <v>3641973839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0.64537444933920585</v>
      </c>
      <c r="Q503">
        <f t="shared" si="980"/>
        <v>2350436860.8524184</v>
      </c>
      <c r="R503">
        <f t="shared" si="981"/>
        <v>18256337946.429489</v>
      </c>
      <c r="S503">
        <f t="shared" si="982"/>
        <v>182563.37946429488</v>
      </c>
      <c r="T503">
        <f t="shared" si="983"/>
        <v>182.56337946429488</v>
      </c>
    </row>
    <row r="504" spans="1:20" x14ac:dyDescent="0.25">
      <c r="A504" s="5">
        <v>44089</v>
      </c>
      <c r="B504">
        <v>6.7619999999999998E-3</v>
      </c>
      <c r="C504">
        <v>7.1300000000000001E-3</v>
      </c>
      <c r="D504">
        <v>6.2040000000000003E-3</v>
      </c>
      <c r="E504">
        <v>6.313E-3</v>
      </c>
      <c r="F504">
        <v>3962448878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-0.76457883369330504</v>
      </c>
      <c r="Q504">
        <f t="shared" si="980"/>
        <v>-3029604541.7105851</v>
      </c>
      <c r="R504">
        <f t="shared" si="981"/>
        <v>15905901085.57707</v>
      </c>
      <c r="S504">
        <f t="shared" si="982"/>
        <v>159059.0108557707</v>
      </c>
      <c r="T504">
        <f t="shared" si="983"/>
        <v>159.05901085577071</v>
      </c>
    </row>
    <row r="505" spans="1:20" x14ac:dyDescent="0.25">
      <c r="A505" s="5">
        <v>44088</v>
      </c>
      <c r="B505">
        <v>7.3709999999999999E-3</v>
      </c>
      <c r="C505">
        <v>7.4650000000000003E-3</v>
      </c>
      <c r="D505">
        <v>6.646E-3</v>
      </c>
      <c r="E505">
        <v>6.7650000000000002E-3</v>
      </c>
      <c r="F505">
        <v>4048256295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-0.7094017094017091</v>
      </c>
      <c r="Q505">
        <f t="shared" si="980"/>
        <v>-2871839935.7692294</v>
      </c>
      <c r="R505">
        <f t="shared" si="981"/>
        <v>18935505627.287655</v>
      </c>
      <c r="S505">
        <f t="shared" si="982"/>
        <v>189355.05627287654</v>
      </c>
      <c r="T505">
        <f t="shared" si="983"/>
        <v>189.35505627287654</v>
      </c>
    </row>
    <row r="506" spans="1:20" x14ac:dyDescent="0.25">
      <c r="A506" s="5">
        <v>44087</v>
      </c>
      <c r="B506">
        <v>8.371E-3</v>
      </c>
      <c r="C506">
        <v>9.0600000000000003E-3</v>
      </c>
      <c r="D506">
        <v>7.0590000000000002E-3</v>
      </c>
      <c r="E506">
        <v>7.3720000000000001E-3</v>
      </c>
      <c r="F506">
        <v>5652440572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-0.68715642178910552</v>
      </c>
      <c r="Q506">
        <f t="shared" si="980"/>
        <v>-3884110837.8310847</v>
      </c>
      <c r="R506">
        <f t="shared" si="981"/>
        <v>21807345563.056885</v>
      </c>
      <c r="S506">
        <f t="shared" si="982"/>
        <v>218073.45563056885</v>
      </c>
      <c r="T506">
        <f t="shared" si="983"/>
        <v>218.07345563056884</v>
      </c>
    </row>
    <row r="507" spans="1:20" x14ac:dyDescent="0.25">
      <c r="A507" s="5">
        <v>44086</v>
      </c>
      <c r="B507">
        <v>7.5119999999999996E-3</v>
      </c>
      <c r="C507">
        <v>8.5620000000000002E-3</v>
      </c>
      <c r="D507">
        <v>7.3870000000000003E-3</v>
      </c>
      <c r="E507">
        <v>8.3719999999999992E-3</v>
      </c>
      <c r="F507">
        <v>3603001917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0.67659574468084938</v>
      </c>
      <c r="Q507">
        <f t="shared" si="980"/>
        <v>2437775765.119143</v>
      </c>
      <c r="R507">
        <f t="shared" si="981"/>
        <v>25691456400.88797</v>
      </c>
      <c r="S507">
        <f t="shared" si="982"/>
        <v>256914.56400887971</v>
      </c>
      <c r="T507">
        <f t="shared" si="983"/>
        <v>256.91456400887972</v>
      </c>
    </row>
    <row r="508" spans="1:20" x14ac:dyDescent="0.25">
      <c r="A508" s="5">
        <v>44085</v>
      </c>
      <c r="B508">
        <v>7.7299999999999999E-3</v>
      </c>
      <c r="C508">
        <v>7.8650000000000005E-3</v>
      </c>
      <c r="D508">
        <v>6.8830000000000002E-3</v>
      </c>
      <c r="E508">
        <v>7.5139999999999998E-3</v>
      </c>
      <c r="F508">
        <v>4491882582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0.28513238289205595</v>
      </c>
      <c r="Q508">
        <f t="shared" si="980"/>
        <v>1280781184.2769809</v>
      </c>
      <c r="R508">
        <f t="shared" si="981"/>
        <v>23253680635.768826</v>
      </c>
      <c r="S508">
        <f t="shared" si="982"/>
        <v>232536.80635768824</v>
      </c>
      <c r="T508">
        <f t="shared" si="983"/>
        <v>232.53680635768825</v>
      </c>
    </row>
    <row r="509" spans="1:20" x14ac:dyDescent="0.25">
      <c r="A509" s="5">
        <v>44084</v>
      </c>
      <c r="B509">
        <v>6.2469999999999999E-3</v>
      </c>
      <c r="C509">
        <v>7.8300000000000002E-3</v>
      </c>
      <c r="D509">
        <v>6.1770000000000002E-3</v>
      </c>
      <c r="E509">
        <v>7.731E-3</v>
      </c>
      <c r="F509">
        <v>3028057281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0.88021778584391996</v>
      </c>
      <c r="Q509">
        <f t="shared" si="980"/>
        <v>2665349875.2903805</v>
      </c>
      <c r="R509">
        <f t="shared" si="981"/>
        <v>21972899451.491844</v>
      </c>
      <c r="S509">
        <f t="shared" si="982"/>
        <v>219728.99451491845</v>
      </c>
      <c r="T509">
        <f t="shared" si="983"/>
        <v>219.72899451491844</v>
      </c>
    </row>
    <row r="510" spans="1:20" x14ac:dyDescent="0.25">
      <c r="A510" s="5">
        <v>44083</v>
      </c>
      <c r="B510">
        <v>6.6020000000000002E-3</v>
      </c>
      <c r="C510">
        <v>6.7409999999999996E-3</v>
      </c>
      <c r="D510">
        <v>6.2040000000000003E-3</v>
      </c>
      <c r="E510">
        <v>6.2500000000000003E-3</v>
      </c>
      <c r="F510">
        <v>1818353626</v>
      </c>
      <c r="G510">
        <v>0</v>
      </c>
      <c r="L510" t="s">
        <v>7</v>
      </c>
      <c r="M510" t="s">
        <v>8</v>
      </c>
      <c r="N510" t="s">
        <v>8</v>
      </c>
      <c r="P510">
        <f t="shared" si="979"/>
        <v>-0.82867783985102383</v>
      </c>
      <c r="Q510">
        <f t="shared" si="980"/>
        <v>-1506829354.8789566</v>
      </c>
      <c r="R510">
        <f t="shared" si="981"/>
        <v>19307549576.201462</v>
      </c>
      <c r="S510">
        <f t="shared" si="982"/>
        <v>193075.49576201462</v>
      </c>
      <c r="T510">
        <f t="shared" si="983"/>
        <v>193.07549576201461</v>
      </c>
    </row>
    <row r="511" spans="1:20" x14ac:dyDescent="0.25">
      <c r="A511" s="5">
        <v>44082</v>
      </c>
      <c r="B511">
        <v>5.9639999999999997E-3</v>
      </c>
      <c r="C511">
        <v>6.914E-3</v>
      </c>
      <c r="D511">
        <v>5.8250000000000003E-3</v>
      </c>
      <c r="E511">
        <v>6.6039999999999996E-3</v>
      </c>
      <c r="F511">
        <v>5805425994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0.43067033976124797</v>
      </c>
      <c r="Q511">
        <f t="shared" si="980"/>
        <v>2500224785.2947607</v>
      </c>
      <c r="R511">
        <f t="shared" si="981"/>
        <v>20814378931.080418</v>
      </c>
      <c r="S511">
        <f t="shared" si="982"/>
        <v>208143.78931080419</v>
      </c>
      <c r="T511">
        <f t="shared" si="983"/>
        <v>208.14378931080418</v>
      </c>
    </row>
    <row r="512" spans="1:20" x14ac:dyDescent="0.25">
      <c r="A512" s="5">
        <v>44081</v>
      </c>
      <c r="B512">
        <v>5.0720000000000001E-3</v>
      </c>
      <c r="C512">
        <v>5.9659999999999999E-3</v>
      </c>
      <c r="D512">
        <v>4.9459999999999999E-3</v>
      </c>
      <c r="E512">
        <v>5.9630000000000004E-3</v>
      </c>
      <c r="F512">
        <v>3003317499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0.99411764705882444</v>
      </c>
      <c r="Q512">
        <f t="shared" si="980"/>
        <v>2985650925.4764733</v>
      </c>
      <c r="R512">
        <f t="shared" si="981"/>
        <v>18314154145.785656</v>
      </c>
      <c r="S512">
        <f t="shared" si="982"/>
        <v>183141.54145785657</v>
      </c>
      <c r="T512">
        <f t="shared" si="983"/>
        <v>183.14154145785656</v>
      </c>
    </row>
    <row r="513" spans="1:20" x14ac:dyDescent="0.25">
      <c r="A513" s="5">
        <v>44080</v>
      </c>
      <c r="B513">
        <v>4.829E-3</v>
      </c>
      <c r="C513">
        <v>5.1619999999999999E-3</v>
      </c>
      <c r="D513">
        <v>4.4850000000000003E-3</v>
      </c>
      <c r="E513">
        <v>5.0730000000000003E-3</v>
      </c>
      <c r="F513">
        <v>1743054869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0.73707533234859757</v>
      </c>
      <c r="Q513">
        <f t="shared" si="980"/>
        <v>1284762746.8700161</v>
      </c>
      <c r="R513">
        <f t="shared" si="981"/>
        <v>15328503220.309183</v>
      </c>
      <c r="S513">
        <f t="shared" si="982"/>
        <v>153285.03220309183</v>
      </c>
      <c r="T513">
        <f t="shared" si="983"/>
        <v>153.28503220309184</v>
      </c>
    </row>
    <row r="514" spans="1:20" x14ac:dyDescent="0.25">
      <c r="A514" s="5">
        <v>44079</v>
      </c>
      <c r="B514">
        <v>5.4650000000000002E-3</v>
      </c>
      <c r="C514">
        <v>5.6309999999999997E-3</v>
      </c>
      <c r="D514">
        <v>4.5649999999999996E-3</v>
      </c>
      <c r="E514">
        <v>4.8329999999999996E-3</v>
      </c>
      <c r="F514">
        <v>1956729732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-0.49718574108818014</v>
      </c>
      <c r="Q514">
        <f t="shared" si="980"/>
        <v>-972858121.91369617</v>
      </c>
      <c r="R514">
        <f t="shared" si="981"/>
        <v>14043740473.439167</v>
      </c>
      <c r="S514">
        <f t="shared" si="982"/>
        <v>140437.40473439166</v>
      </c>
      <c r="T514">
        <f t="shared" si="983"/>
        <v>140.43740473439166</v>
      </c>
    </row>
    <row r="515" spans="1:20" x14ac:dyDescent="0.25">
      <c r="A515" s="5">
        <v>44078</v>
      </c>
      <c r="B515">
        <v>5.0619999999999997E-3</v>
      </c>
      <c r="C515">
        <v>5.6420000000000003E-3</v>
      </c>
      <c r="D515">
        <v>4.849E-3</v>
      </c>
      <c r="E515">
        <v>5.4650000000000002E-3</v>
      </c>
      <c r="F515">
        <v>2236728937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0.55359394703656994</v>
      </c>
      <c r="Q515">
        <f t="shared" si="980"/>
        <v>1238239600.6847415</v>
      </c>
      <c r="R515">
        <f t="shared" si="981"/>
        <v>15016598595.352863</v>
      </c>
      <c r="S515">
        <f t="shared" si="982"/>
        <v>150165.98595352864</v>
      </c>
      <c r="T515">
        <f t="shared" si="983"/>
        <v>150.16598595352863</v>
      </c>
    </row>
    <row r="516" spans="1:20" x14ac:dyDescent="0.25">
      <c r="A516" s="5">
        <v>44077</v>
      </c>
      <c r="B516">
        <v>6.6629999999999997E-3</v>
      </c>
      <c r="C516">
        <v>6.7559999999999999E-3</v>
      </c>
      <c r="D516">
        <v>4.7039999999999998E-3</v>
      </c>
      <c r="E516">
        <v>5.0660000000000002E-3</v>
      </c>
      <c r="F516">
        <v>2262937078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-0.64717348927875207</v>
      </c>
      <c r="Q516">
        <f t="shared" si="980"/>
        <v>-1464512884.7875235</v>
      </c>
      <c r="R516">
        <f t="shared" si="981"/>
        <v>13778358994.668121</v>
      </c>
      <c r="S516">
        <f t="shared" si="982"/>
        <v>137783.58994668123</v>
      </c>
      <c r="T516">
        <f t="shared" si="983"/>
        <v>137.78358994668122</v>
      </c>
    </row>
    <row r="517" spans="1:20" x14ac:dyDescent="0.25">
      <c r="A517" s="5">
        <v>44076</v>
      </c>
      <c r="B517">
        <v>7.0949999999999997E-3</v>
      </c>
      <c r="C517">
        <v>7.1780000000000004E-3</v>
      </c>
      <c r="D517">
        <v>6.2500000000000003E-3</v>
      </c>
      <c r="E517">
        <v>6.6610000000000003E-3</v>
      </c>
      <c r="F517">
        <v>1716774966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-0.11422413793103468</v>
      </c>
      <c r="Q517">
        <f t="shared" si="980"/>
        <v>-196097140.51293138</v>
      </c>
      <c r="R517">
        <f t="shared" si="981"/>
        <v>15242871879.455645</v>
      </c>
      <c r="S517">
        <f t="shared" si="982"/>
        <v>152428.71879455645</v>
      </c>
      <c r="T517">
        <f t="shared" si="983"/>
        <v>152.42871879455646</v>
      </c>
    </row>
    <row r="518" spans="1:20" x14ac:dyDescent="0.25">
      <c r="A518" s="5">
        <v>44075</v>
      </c>
      <c r="B518">
        <v>7.1089999999999999E-3</v>
      </c>
      <c r="C518">
        <v>7.7070000000000003E-3</v>
      </c>
      <c r="D518">
        <v>6.96E-3</v>
      </c>
      <c r="E518">
        <v>7.0939999999999996E-3</v>
      </c>
      <c r="F518">
        <v>3130351325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-0.64123159303882327</v>
      </c>
      <c r="Q518">
        <f t="shared" ref="Q518:Q581" si="985">F518*P518</f>
        <v>-2007280166.9009411</v>
      </c>
      <c r="R518">
        <f t="shared" ref="R518:R581" si="986">R519+Q518</f>
        <v>15438969019.968576</v>
      </c>
      <c r="S518">
        <f t="shared" ref="S518:S581" si="987">R518/100000</f>
        <v>154389.69019968578</v>
      </c>
      <c r="T518">
        <f t="shared" ref="T518:T581" si="988">S518/1000</f>
        <v>154.38969019968579</v>
      </c>
    </row>
    <row r="519" spans="1:20" x14ac:dyDescent="0.25">
      <c r="A519" s="5">
        <v>44074</v>
      </c>
      <c r="B519">
        <v>6.8789999999999997E-3</v>
      </c>
      <c r="C519">
        <v>7.3629999999999998E-3</v>
      </c>
      <c r="D519">
        <v>6.8719999999999996E-3</v>
      </c>
      <c r="E519">
        <v>7.1110000000000001E-3</v>
      </c>
      <c r="F519">
        <v>1844621609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-2.6476578411403502E-2</v>
      </c>
      <c r="Q519">
        <f t="shared" si="985"/>
        <v>-48839268.670057788</v>
      </c>
      <c r="R519">
        <f t="shared" si="986"/>
        <v>17446249186.869518</v>
      </c>
      <c r="S519">
        <f t="shared" si="987"/>
        <v>174462.49186869519</v>
      </c>
      <c r="T519">
        <f t="shared" si="988"/>
        <v>174.4624918686952</v>
      </c>
    </row>
    <row r="520" spans="1:20" x14ac:dyDescent="0.25">
      <c r="A520" s="5">
        <v>44073</v>
      </c>
      <c r="B520">
        <v>6.6860000000000001E-3</v>
      </c>
      <c r="C520">
        <v>6.9129999999999999E-3</v>
      </c>
      <c r="D520">
        <v>6.6839999999999998E-3</v>
      </c>
      <c r="E520">
        <v>6.8820000000000001E-3</v>
      </c>
      <c r="F520">
        <v>1232842722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0.72925764192139941</v>
      </c>
      <c r="Q520">
        <f t="shared" si="985"/>
        <v>899059976.30567932</v>
      </c>
      <c r="R520">
        <f t="shared" si="986"/>
        <v>17495088455.539577</v>
      </c>
      <c r="S520">
        <f t="shared" si="987"/>
        <v>174950.88455539578</v>
      </c>
      <c r="T520">
        <f t="shared" si="988"/>
        <v>174.95088455539579</v>
      </c>
    </row>
    <row r="521" spans="1:20" x14ac:dyDescent="0.25">
      <c r="A521" s="5">
        <v>44072</v>
      </c>
      <c r="B521">
        <v>6.4390000000000003E-3</v>
      </c>
      <c r="C521">
        <v>6.7920000000000003E-3</v>
      </c>
      <c r="D521">
        <v>6.3969999999999999E-3</v>
      </c>
      <c r="E521">
        <v>6.6969999999999998E-3</v>
      </c>
      <c r="F521">
        <v>901492234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0.51898734177215</v>
      </c>
      <c r="Q521">
        <f t="shared" si="985"/>
        <v>467863058.15189701</v>
      </c>
      <c r="R521">
        <f t="shared" si="986"/>
        <v>16596028479.233898</v>
      </c>
      <c r="S521">
        <f t="shared" si="987"/>
        <v>165960.28479233899</v>
      </c>
      <c r="T521">
        <f t="shared" si="988"/>
        <v>165.960284792339</v>
      </c>
    </row>
    <row r="522" spans="1:20" x14ac:dyDescent="0.25">
      <c r="A522" s="5">
        <v>44071</v>
      </c>
      <c r="B522">
        <v>6.4270000000000004E-3</v>
      </c>
      <c r="C522">
        <v>6.6189999999999999E-3</v>
      </c>
      <c r="D522">
        <v>6.2919999999999998E-3</v>
      </c>
      <c r="E522">
        <v>6.4390000000000003E-3</v>
      </c>
      <c r="F522">
        <v>761728433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-0.10091743119265802</v>
      </c>
      <c r="Q522">
        <f t="shared" si="985"/>
        <v>-76871676.724768713</v>
      </c>
      <c r="R522">
        <f t="shared" si="986"/>
        <v>16128165421.082001</v>
      </c>
      <c r="S522">
        <f t="shared" si="987"/>
        <v>161281.65421082001</v>
      </c>
      <c r="T522">
        <f t="shared" si="988"/>
        <v>161.28165421082002</v>
      </c>
    </row>
    <row r="523" spans="1:20" x14ac:dyDescent="0.25">
      <c r="A523" s="5">
        <v>44070</v>
      </c>
      <c r="B523">
        <v>6.8170000000000001E-3</v>
      </c>
      <c r="C523">
        <v>6.8919999999999997E-3</v>
      </c>
      <c r="D523">
        <v>6.1250000000000002E-3</v>
      </c>
      <c r="E523">
        <v>6.4279999999999997E-3</v>
      </c>
      <c r="F523">
        <v>1310202953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-0.20990873533246501</v>
      </c>
      <c r="Q523">
        <f t="shared" si="985"/>
        <v>-275023044.89309108</v>
      </c>
      <c r="R523">
        <f t="shared" si="986"/>
        <v>16205037097.80677</v>
      </c>
      <c r="S523">
        <f t="shared" si="987"/>
        <v>162050.37097806772</v>
      </c>
      <c r="T523">
        <f t="shared" si="988"/>
        <v>162.05037097806772</v>
      </c>
    </row>
    <row r="524" spans="1:20" x14ac:dyDescent="0.25">
      <c r="A524" s="5">
        <v>44069</v>
      </c>
      <c r="B524">
        <v>6.8599999999999998E-3</v>
      </c>
      <c r="C524">
        <v>6.9810000000000002E-3</v>
      </c>
      <c r="D524">
        <v>6.6270000000000001E-3</v>
      </c>
      <c r="E524">
        <v>6.8170000000000001E-3</v>
      </c>
      <c r="F524">
        <v>1442957187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7.3446327683615739E-2</v>
      </c>
      <c r="Q524">
        <f t="shared" si="985"/>
        <v>105979906.3898304</v>
      </c>
      <c r="R524">
        <f t="shared" si="986"/>
        <v>16480060142.699862</v>
      </c>
      <c r="S524">
        <f t="shared" si="987"/>
        <v>164800.60142699862</v>
      </c>
      <c r="T524">
        <f t="shared" si="988"/>
        <v>164.80060142699861</v>
      </c>
    </row>
    <row r="525" spans="1:20" x14ac:dyDescent="0.25">
      <c r="A525" s="5">
        <v>44068</v>
      </c>
      <c r="B525">
        <v>7.5160000000000001E-3</v>
      </c>
      <c r="C525">
        <v>7.5900000000000004E-3</v>
      </c>
      <c r="D525">
        <v>6.6259999999999999E-3</v>
      </c>
      <c r="E525">
        <v>6.8599999999999998E-3</v>
      </c>
      <c r="F525">
        <v>1631449200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-0.5145228215767641</v>
      </c>
      <c r="Q525">
        <f t="shared" si="985"/>
        <v>-839417845.6431545</v>
      </c>
      <c r="R525">
        <f t="shared" si="986"/>
        <v>16374080236.310032</v>
      </c>
      <c r="S525">
        <f t="shared" si="987"/>
        <v>163740.80236310032</v>
      </c>
      <c r="T525">
        <f t="shared" si="988"/>
        <v>163.74080236310033</v>
      </c>
    </row>
    <row r="526" spans="1:20" x14ac:dyDescent="0.25">
      <c r="A526" s="5">
        <v>44067</v>
      </c>
      <c r="B526">
        <v>7.2399999999999999E-3</v>
      </c>
      <c r="C526">
        <v>7.6490000000000004E-3</v>
      </c>
      <c r="D526">
        <v>7.0759999999999998E-3</v>
      </c>
      <c r="E526">
        <v>7.515E-3</v>
      </c>
      <c r="F526">
        <v>1060775063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0.53228621291448408</v>
      </c>
      <c r="Q526">
        <f t="shared" si="985"/>
        <v>564635941.03839326</v>
      </c>
      <c r="R526">
        <f t="shared" si="986"/>
        <v>17213498081.953186</v>
      </c>
      <c r="S526">
        <f t="shared" si="987"/>
        <v>172134.98081953186</v>
      </c>
      <c r="T526">
        <f t="shared" si="988"/>
        <v>172.13498081953188</v>
      </c>
    </row>
    <row r="527" spans="1:20" x14ac:dyDescent="0.25">
      <c r="A527" s="5">
        <v>44066</v>
      </c>
      <c r="B527">
        <v>7.365E-3</v>
      </c>
      <c r="C527">
        <v>7.4619999999999999E-3</v>
      </c>
      <c r="D527">
        <v>7.0159999999999997E-3</v>
      </c>
      <c r="E527">
        <v>7.2420000000000002E-3</v>
      </c>
      <c r="F527">
        <v>966401909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1.3452914798208057E-2</v>
      </c>
      <c r="Q527">
        <f t="shared" si="985"/>
        <v>13000922.542602615</v>
      </c>
      <c r="R527">
        <f t="shared" si="986"/>
        <v>16648862140.914793</v>
      </c>
      <c r="S527">
        <f t="shared" si="987"/>
        <v>166488.62140914792</v>
      </c>
      <c r="T527">
        <f t="shared" si="988"/>
        <v>166.48862140914792</v>
      </c>
    </row>
    <row r="528" spans="1:20" x14ac:dyDescent="0.25">
      <c r="A528" s="5">
        <v>44065</v>
      </c>
      <c r="B528">
        <v>7.2769999999999996E-3</v>
      </c>
      <c r="C528">
        <v>7.4359999999999999E-3</v>
      </c>
      <c r="D528">
        <v>6.8970000000000004E-3</v>
      </c>
      <c r="E528">
        <v>7.3660000000000002E-3</v>
      </c>
      <c r="F528">
        <v>1356351153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0.74025974025974095</v>
      </c>
      <c r="Q528">
        <f t="shared" si="985"/>
        <v>1004052152.2207801</v>
      </c>
      <c r="R528">
        <f t="shared" si="986"/>
        <v>16635861218.37219</v>
      </c>
      <c r="S528">
        <f t="shared" si="987"/>
        <v>166358.61218372191</v>
      </c>
      <c r="T528">
        <f t="shared" si="988"/>
        <v>166.3586121837219</v>
      </c>
    </row>
    <row r="529" spans="1:20" x14ac:dyDescent="0.25">
      <c r="A529" s="5">
        <v>44064</v>
      </c>
      <c r="B529">
        <v>7.5529999999999998E-3</v>
      </c>
      <c r="C529">
        <v>8.1530000000000005E-3</v>
      </c>
      <c r="D529">
        <v>7.1390000000000004E-3</v>
      </c>
      <c r="E529">
        <v>7.2779999999999997E-3</v>
      </c>
      <c r="F529">
        <v>3292256354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-0.72583826429980403</v>
      </c>
      <c r="Q529">
        <f t="shared" si="985"/>
        <v>-2389645637.6173611</v>
      </c>
      <c r="R529">
        <f t="shared" si="986"/>
        <v>15631809066.151411</v>
      </c>
      <c r="S529">
        <f t="shared" si="987"/>
        <v>156318.09066151411</v>
      </c>
      <c r="T529">
        <f t="shared" si="988"/>
        <v>156.31809066151411</v>
      </c>
    </row>
    <row r="530" spans="1:20" x14ac:dyDescent="0.25">
      <c r="A530" s="5">
        <v>44063</v>
      </c>
      <c r="B530">
        <v>6.8349999999999999E-3</v>
      </c>
      <c r="C530">
        <v>7.5849999999999997E-3</v>
      </c>
      <c r="D530">
        <v>6.7499999999999999E-3</v>
      </c>
      <c r="E530">
        <v>7.554E-3</v>
      </c>
      <c r="F530">
        <v>1674164492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0.92574850299401246</v>
      </c>
      <c r="Q530">
        <f t="shared" si="985"/>
        <v>1549855272.2347314</v>
      </c>
      <c r="R530">
        <f t="shared" si="986"/>
        <v>18021454703.768772</v>
      </c>
      <c r="S530">
        <f t="shared" si="987"/>
        <v>180214.54703768773</v>
      </c>
      <c r="T530">
        <f t="shared" si="988"/>
        <v>180.21454703768774</v>
      </c>
    </row>
    <row r="531" spans="1:20" x14ac:dyDescent="0.25">
      <c r="A531" s="5">
        <v>44062</v>
      </c>
      <c r="B531">
        <v>7.2290000000000002E-3</v>
      </c>
      <c r="C531">
        <v>7.4729999999999996E-3</v>
      </c>
      <c r="D531">
        <v>6.5760000000000002E-3</v>
      </c>
      <c r="E531">
        <v>6.8320000000000004E-3</v>
      </c>
      <c r="F531">
        <v>1881449015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-0.42920847268673279</v>
      </c>
      <c r="Q531">
        <f t="shared" si="985"/>
        <v>-807533858.16610777</v>
      </c>
      <c r="R531">
        <f t="shared" si="986"/>
        <v>16471599431.534042</v>
      </c>
      <c r="S531">
        <f t="shared" si="987"/>
        <v>164715.99431534042</v>
      </c>
      <c r="T531">
        <f t="shared" si="988"/>
        <v>164.71599431534042</v>
      </c>
    </row>
    <row r="532" spans="1:20" x14ac:dyDescent="0.25">
      <c r="A532" s="5">
        <v>44061</v>
      </c>
      <c r="B532">
        <v>7.4269999999999996E-3</v>
      </c>
      <c r="C532">
        <v>7.8840000000000004E-3</v>
      </c>
      <c r="D532">
        <v>7.0740000000000004E-3</v>
      </c>
      <c r="E532">
        <v>7.234E-3</v>
      </c>
      <c r="F532">
        <v>1735029786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-0.6049382716049394</v>
      </c>
      <c r="Q532">
        <f t="shared" si="985"/>
        <v>-1049585919.9259279</v>
      </c>
      <c r="R532">
        <f t="shared" si="986"/>
        <v>17279133289.70015</v>
      </c>
      <c r="S532">
        <f t="shared" si="987"/>
        <v>172791.3328970015</v>
      </c>
      <c r="T532">
        <f t="shared" si="988"/>
        <v>172.7913328970015</v>
      </c>
    </row>
    <row r="533" spans="1:20" x14ac:dyDescent="0.25">
      <c r="A533" s="5">
        <v>44060</v>
      </c>
      <c r="B533">
        <v>7.0369999999999999E-3</v>
      </c>
      <c r="C533">
        <v>7.7860000000000004E-3</v>
      </c>
      <c r="D533">
        <v>6.9620000000000003E-3</v>
      </c>
      <c r="E533">
        <v>7.4320000000000002E-3</v>
      </c>
      <c r="F533">
        <v>2319619483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0.14077669902912593</v>
      </c>
      <c r="Q533">
        <f t="shared" si="985"/>
        <v>326548373.82038766</v>
      </c>
      <c r="R533">
        <f t="shared" si="986"/>
        <v>18328719209.626076</v>
      </c>
      <c r="S533">
        <f t="shared" si="987"/>
        <v>183287.19209626075</v>
      </c>
      <c r="T533">
        <f t="shared" si="988"/>
        <v>183.28719209626075</v>
      </c>
    </row>
    <row r="534" spans="1:20" x14ac:dyDescent="0.25">
      <c r="A534" s="5">
        <v>44059</v>
      </c>
      <c r="B534">
        <v>7.0679999999999996E-3</v>
      </c>
      <c r="C534">
        <v>7.1700000000000002E-3</v>
      </c>
      <c r="D534">
        <v>6.7400000000000003E-3</v>
      </c>
      <c r="E534">
        <v>7.0340000000000003E-3</v>
      </c>
      <c r="F534">
        <v>1601662931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0.36744186046511679</v>
      </c>
      <c r="Q534">
        <f t="shared" si="985"/>
        <v>588518007.20465195</v>
      </c>
      <c r="R534">
        <f t="shared" si="986"/>
        <v>18002170835.805687</v>
      </c>
      <c r="S534">
        <f t="shared" si="987"/>
        <v>180021.70835805687</v>
      </c>
      <c r="T534">
        <f t="shared" si="988"/>
        <v>180.02170835805688</v>
      </c>
    </row>
    <row r="535" spans="1:20" x14ac:dyDescent="0.25">
      <c r="A535" s="5">
        <v>44058</v>
      </c>
      <c r="B535">
        <v>6.7219999999999997E-3</v>
      </c>
      <c r="C535">
        <v>7.3790000000000001E-3</v>
      </c>
      <c r="D535">
        <v>6.5319999999999996E-3</v>
      </c>
      <c r="E535">
        <v>7.0660000000000002E-3</v>
      </c>
      <c r="F535">
        <v>2471982122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0.26092089728453433</v>
      </c>
      <c r="Q535">
        <f t="shared" si="985"/>
        <v>644991793.34356725</v>
      </c>
      <c r="R535">
        <f t="shared" si="986"/>
        <v>17413652828.601036</v>
      </c>
      <c r="S535">
        <f t="shared" si="987"/>
        <v>174136.52828601035</v>
      </c>
      <c r="T535">
        <f t="shared" si="988"/>
        <v>174.13652828601036</v>
      </c>
    </row>
    <row r="536" spans="1:20" x14ac:dyDescent="0.25">
      <c r="A536" s="5">
        <v>44057</v>
      </c>
      <c r="B536">
        <v>6.3029999999999996E-3</v>
      </c>
      <c r="C536">
        <v>6.8219999999999999E-3</v>
      </c>
      <c r="D536">
        <v>6.2399999999999999E-3</v>
      </c>
      <c r="E536">
        <v>6.7229999999999998E-3</v>
      </c>
      <c r="F536">
        <v>1775733627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0.65979381443298923</v>
      </c>
      <c r="Q536">
        <f t="shared" si="985"/>
        <v>1171618063.175257</v>
      </c>
      <c r="R536">
        <f t="shared" si="986"/>
        <v>16768661035.257469</v>
      </c>
      <c r="S536">
        <f t="shared" si="987"/>
        <v>167686.6103525747</v>
      </c>
      <c r="T536">
        <f t="shared" si="988"/>
        <v>167.68661035257469</v>
      </c>
    </row>
    <row r="537" spans="1:20" x14ac:dyDescent="0.25">
      <c r="A537" s="5">
        <v>44056</v>
      </c>
      <c r="B537">
        <v>6.3959999999999998E-3</v>
      </c>
      <c r="C537">
        <v>6.4920000000000004E-3</v>
      </c>
      <c r="D537">
        <v>5.9329999999999999E-3</v>
      </c>
      <c r="E537">
        <v>6.3010000000000002E-3</v>
      </c>
      <c r="F537">
        <v>1617307735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0.3166368515205723</v>
      </c>
      <c r="Q537">
        <f t="shared" si="985"/>
        <v>512099229.15026808</v>
      </c>
      <c r="R537">
        <f t="shared" si="986"/>
        <v>15597042972.082212</v>
      </c>
      <c r="S537">
        <f t="shared" si="987"/>
        <v>155970.42972082211</v>
      </c>
      <c r="T537">
        <f t="shared" si="988"/>
        <v>155.9704297208221</v>
      </c>
    </row>
    <row r="538" spans="1:20" x14ac:dyDescent="0.25">
      <c r="A538" s="5">
        <v>44055</v>
      </c>
      <c r="B538">
        <v>6.136E-3</v>
      </c>
      <c r="C538">
        <v>6.4219999999999998E-3</v>
      </c>
      <c r="D538">
        <v>5.8060000000000004E-3</v>
      </c>
      <c r="E538">
        <v>6.3959999999999998E-3</v>
      </c>
      <c r="F538">
        <v>1399552303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0.91558441558441561</v>
      </c>
      <c r="Q538">
        <f t="shared" si="985"/>
        <v>1281408277.4220779</v>
      </c>
      <c r="R538">
        <f t="shared" si="986"/>
        <v>15084943742.931944</v>
      </c>
      <c r="S538">
        <f t="shared" si="987"/>
        <v>150849.43742931943</v>
      </c>
      <c r="T538">
        <f t="shared" si="988"/>
        <v>150.84943742931944</v>
      </c>
    </row>
    <row r="539" spans="1:20" x14ac:dyDescent="0.25">
      <c r="A539" s="5">
        <v>44054</v>
      </c>
      <c r="B539">
        <v>6.5649999999999997E-3</v>
      </c>
      <c r="C539">
        <v>6.5849999999999997E-3</v>
      </c>
      <c r="D539">
        <v>5.7739999999999996E-3</v>
      </c>
      <c r="E539">
        <v>6.1390000000000004E-3</v>
      </c>
      <c r="F539">
        <v>1766865515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-9.9876695437729465E-2</v>
      </c>
      <c r="Q539">
        <f t="shared" si="985"/>
        <v>-176468688.92108202</v>
      </c>
      <c r="R539">
        <f t="shared" si="986"/>
        <v>13803535465.509867</v>
      </c>
      <c r="S539">
        <f t="shared" si="987"/>
        <v>138035.35465509866</v>
      </c>
      <c r="T539">
        <f t="shared" si="988"/>
        <v>138.03535465509867</v>
      </c>
    </row>
    <row r="540" spans="1:20" x14ac:dyDescent="0.25">
      <c r="A540" s="5">
        <v>44053</v>
      </c>
      <c r="B540">
        <v>6.1320000000000003E-3</v>
      </c>
      <c r="C540">
        <v>6.8149999999999999E-3</v>
      </c>
      <c r="D540">
        <v>5.9839999999999997E-3</v>
      </c>
      <c r="E540">
        <v>6.5659999999999998E-3</v>
      </c>
      <c r="F540">
        <v>3234644644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0.40072202166064969</v>
      </c>
      <c r="Q540">
        <f t="shared" si="985"/>
        <v>1296193341.0974724</v>
      </c>
      <c r="R540">
        <f t="shared" si="986"/>
        <v>13980004154.430948</v>
      </c>
      <c r="S540">
        <f t="shared" si="987"/>
        <v>139800.0415443095</v>
      </c>
      <c r="T540">
        <f t="shared" si="988"/>
        <v>139.80004154430949</v>
      </c>
    </row>
    <row r="541" spans="1:20" x14ac:dyDescent="0.25">
      <c r="A541" s="5">
        <v>44052</v>
      </c>
      <c r="B541">
        <v>6.1149999999999998E-3</v>
      </c>
      <c r="C541">
        <v>6.1960000000000001E-3</v>
      </c>
      <c r="D541">
        <v>5.8840000000000003E-3</v>
      </c>
      <c r="E541">
        <v>6.1320000000000003E-3</v>
      </c>
      <c r="F541">
        <v>1031669646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0.58974358974359065</v>
      </c>
      <c r="Q541">
        <f t="shared" si="985"/>
        <v>608420560.46153939</v>
      </c>
      <c r="R541">
        <f t="shared" si="986"/>
        <v>12683810813.333475</v>
      </c>
      <c r="S541">
        <f t="shared" si="987"/>
        <v>126838.10813333475</v>
      </c>
      <c r="T541">
        <f t="shared" si="988"/>
        <v>126.83810813333476</v>
      </c>
    </row>
    <row r="542" spans="1:20" x14ac:dyDescent="0.25">
      <c r="A542" s="5">
        <v>44051</v>
      </c>
      <c r="B542">
        <v>5.8570000000000002E-3</v>
      </c>
      <c r="C542">
        <v>6.2160000000000002E-3</v>
      </c>
      <c r="D542">
        <v>5.8250000000000003E-3</v>
      </c>
      <c r="E542">
        <v>6.1139999999999996E-3</v>
      </c>
      <c r="F542">
        <v>1481039662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0.47826086956521452</v>
      </c>
      <c r="Q542">
        <f t="shared" si="985"/>
        <v>708323316.60869145</v>
      </c>
      <c r="R542">
        <f t="shared" si="986"/>
        <v>12075390252.871935</v>
      </c>
      <c r="S542">
        <f t="shared" si="987"/>
        <v>120753.90252871935</v>
      </c>
      <c r="T542">
        <f t="shared" si="988"/>
        <v>120.75390252871935</v>
      </c>
    </row>
    <row r="543" spans="1:20" x14ac:dyDescent="0.25">
      <c r="A543" s="5">
        <v>44050</v>
      </c>
      <c r="B543">
        <v>5.6259999999999999E-3</v>
      </c>
      <c r="C543">
        <v>6.149E-3</v>
      </c>
      <c r="D543">
        <v>5.6109999999999997E-3</v>
      </c>
      <c r="E543">
        <v>5.8529999999999997E-3</v>
      </c>
      <c r="F543">
        <v>2240443275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-0.10037174721189628</v>
      </c>
      <c r="Q543">
        <f t="shared" si="985"/>
        <v>-224877206.04089302</v>
      </c>
      <c r="R543">
        <f t="shared" si="986"/>
        <v>11367066936.263243</v>
      </c>
      <c r="S543">
        <f t="shared" si="987"/>
        <v>113670.66936263243</v>
      </c>
      <c r="T543">
        <f t="shared" si="988"/>
        <v>113.67066936263242</v>
      </c>
    </row>
    <row r="544" spans="1:20" x14ac:dyDescent="0.25">
      <c r="A544" s="5">
        <v>44049</v>
      </c>
      <c r="B544">
        <v>5.5919999999999997E-3</v>
      </c>
      <c r="C544">
        <v>5.888E-3</v>
      </c>
      <c r="D544">
        <v>5.5009999999999998E-3</v>
      </c>
      <c r="E544">
        <v>5.6249999999999998E-3</v>
      </c>
      <c r="F544">
        <v>1219592321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-0.35917312661498751</v>
      </c>
      <c r="Q544">
        <f t="shared" si="985"/>
        <v>-438044787.1291995</v>
      </c>
      <c r="R544">
        <f t="shared" si="986"/>
        <v>11591944142.304136</v>
      </c>
      <c r="S544">
        <f t="shared" si="987"/>
        <v>115919.44142304137</v>
      </c>
      <c r="T544">
        <f t="shared" si="988"/>
        <v>115.91944142304136</v>
      </c>
    </row>
    <row r="545" spans="1:20" x14ac:dyDescent="0.25">
      <c r="A545" s="5">
        <v>44048</v>
      </c>
      <c r="B545">
        <v>5.5919999999999997E-3</v>
      </c>
      <c r="C545">
        <v>5.6439999999999997E-3</v>
      </c>
      <c r="D545">
        <v>5.5030000000000001E-3</v>
      </c>
      <c r="E545">
        <v>5.5960000000000003E-3</v>
      </c>
      <c r="F545">
        <v>825617780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0.31914893617021906</v>
      </c>
      <c r="Q545">
        <f t="shared" si="985"/>
        <v>263495036.17021796</v>
      </c>
      <c r="R545">
        <f t="shared" si="986"/>
        <v>12029988929.433336</v>
      </c>
      <c r="S545">
        <f t="shared" si="987"/>
        <v>120299.88929433336</v>
      </c>
      <c r="T545">
        <f t="shared" si="988"/>
        <v>120.29988929433337</v>
      </c>
    </row>
    <row r="546" spans="1:20" x14ac:dyDescent="0.25">
      <c r="A546" s="5">
        <v>44047</v>
      </c>
      <c r="B546">
        <v>5.5059999999999996E-3</v>
      </c>
      <c r="C546">
        <v>5.6750000000000004E-3</v>
      </c>
      <c r="D546">
        <v>5.4860000000000004E-3</v>
      </c>
      <c r="E546">
        <v>5.5890000000000002E-3</v>
      </c>
      <c r="F546">
        <v>870683733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8.9947089947088152E-2</v>
      </c>
      <c r="Q546">
        <f t="shared" si="985"/>
        <v>78315468.04761748</v>
      </c>
      <c r="R546">
        <f t="shared" si="986"/>
        <v>11766493893.263119</v>
      </c>
      <c r="S546">
        <f t="shared" si="987"/>
        <v>117664.93893263119</v>
      </c>
      <c r="T546">
        <f t="shared" si="988"/>
        <v>117.66493893263119</v>
      </c>
    </row>
    <row r="547" spans="1:20" x14ac:dyDescent="0.25">
      <c r="A547" s="5">
        <v>44046</v>
      </c>
      <c r="B547">
        <v>5.4169999999999999E-3</v>
      </c>
      <c r="C547">
        <v>5.7419999999999997E-3</v>
      </c>
      <c r="D547">
        <v>5.3579999999999999E-3</v>
      </c>
      <c r="E547">
        <v>5.509E-3</v>
      </c>
      <c r="F547">
        <v>1420484534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-0.21354166666666577</v>
      </c>
      <c r="Q547">
        <f t="shared" si="985"/>
        <v>-303332634.86458206</v>
      </c>
      <c r="R547">
        <f t="shared" si="986"/>
        <v>11688178425.215502</v>
      </c>
      <c r="S547">
        <f t="shared" si="987"/>
        <v>116881.78425215502</v>
      </c>
      <c r="T547">
        <f t="shared" si="988"/>
        <v>116.88178425215501</v>
      </c>
    </row>
    <row r="548" spans="1:20" x14ac:dyDescent="0.25">
      <c r="A548" s="5">
        <v>44045</v>
      </c>
      <c r="B548">
        <v>6.0309999999999999E-3</v>
      </c>
      <c r="C548">
        <v>6.071E-3</v>
      </c>
      <c r="D548">
        <v>4.7029999999999997E-3</v>
      </c>
      <c r="E548">
        <v>5.4140000000000004E-3</v>
      </c>
      <c r="F548">
        <v>2257749739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3.9473684210527112E-2</v>
      </c>
      <c r="Q548">
        <f t="shared" si="985"/>
        <v>89121700.22368601</v>
      </c>
      <c r="R548">
        <f t="shared" si="986"/>
        <v>11991511060.080084</v>
      </c>
      <c r="S548">
        <f t="shared" si="987"/>
        <v>119915.11060080084</v>
      </c>
      <c r="T548">
        <f t="shared" si="988"/>
        <v>119.91511060080083</v>
      </c>
    </row>
    <row r="549" spans="1:20" x14ac:dyDescent="0.25">
      <c r="A549" s="5">
        <v>44044</v>
      </c>
      <c r="B549">
        <v>5.8609999999999999E-3</v>
      </c>
      <c r="C549">
        <v>6.0610000000000004E-3</v>
      </c>
      <c r="D549">
        <v>5.8149999999999999E-3</v>
      </c>
      <c r="E549">
        <v>6.032E-3</v>
      </c>
      <c r="F549">
        <v>955650921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0.76422764227642026</v>
      </c>
      <c r="Q549">
        <f t="shared" si="985"/>
        <v>730334850.1951195</v>
      </c>
      <c r="R549">
        <f t="shared" si="986"/>
        <v>11902389359.856398</v>
      </c>
      <c r="S549">
        <f t="shared" si="987"/>
        <v>119023.89359856397</v>
      </c>
      <c r="T549">
        <f t="shared" si="988"/>
        <v>119.02389359856397</v>
      </c>
    </row>
    <row r="550" spans="1:20" x14ac:dyDescent="0.25">
      <c r="A550" s="5">
        <v>44043</v>
      </c>
      <c r="B550">
        <v>5.751E-3</v>
      </c>
      <c r="C550">
        <v>6.0049999999999999E-3</v>
      </c>
      <c r="D550">
        <v>5.7369999999999999E-3</v>
      </c>
      <c r="E550">
        <v>5.862E-3</v>
      </c>
      <c r="F550">
        <v>864777613</v>
      </c>
      <c r="G550">
        <v>0</v>
      </c>
      <c r="L550" t="s">
        <v>8</v>
      </c>
      <c r="M550" t="s">
        <v>8</v>
      </c>
      <c r="N550" t="s">
        <v>7</v>
      </c>
      <c r="P550">
        <f t="shared" si="984"/>
        <v>-6.716417910447682E-2</v>
      </c>
      <c r="Q550">
        <f t="shared" si="985"/>
        <v>-58082078.485073939</v>
      </c>
      <c r="R550">
        <f t="shared" si="986"/>
        <v>11172054509.661278</v>
      </c>
      <c r="S550">
        <f t="shared" si="987"/>
        <v>111720.54509661278</v>
      </c>
      <c r="T550">
        <f t="shared" si="988"/>
        <v>111.72054509661278</v>
      </c>
    </row>
    <row r="551" spans="1:20" x14ac:dyDescent="0.25">
      <c r="A551" s="5">
        <v>44042</v>
      </c>
      <c r="B551">
        <v>5.7000000000000002E-3</v>
      </c>
      <c r="C551">
        <v>5.8939999999999999E-3</v>
      </c>
      <c r="D551">
        <v>5.6499999999999996E-3</v>
      </c>
      <c r="E551">
        <v>5.7489999999999998E-3</v>
      </c>
      <c r="F551">
        <v>833806193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-0.18852459016393433</v>
      </c>
      <c r="Q551">
        <f t="shared" si="985"/>
        <v>-157192970.81147534</v>
      </c>
      <c r="R551">
        <f t="shared" si="986"/>
        <v>11230136588.146351</v>
      </c>
      <c r="S551">
        <f t="shared" si="987"/>
        <v>112301.36588146351</v>
      </c>
      <c r="T551">
        <f t="shared" si="988"/>
        <v>112.30136588146351</v>
      </c>
    </row>
    <row r="552" spans="1:20" x14ac:dyDescent="0.25">
      <c r="A552" s="5">
        <v>44041</v>
      </c>
      <c r="B552">
        <v>5.829E-3</v>
      </c>
      <c r="C552">
        <v>5.927E-3</v>
      </c>
      <c r="D552">
        <v>5.6820000000000004E-3</v>
      </c>
      <c r="E552">
        <v>5.7000000000000002E-3</v>
      </c>
      <c r="F552">
        <v>847058701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-0.85306122448979738</v>
      </c>
      <c r="Q552">
        <f t="shared" si="985"/>
        <v>-722592932.68979716</v>
      </c>
      <c r="R552">
        <f t="shared" si="986"/>
        <v>11387329558.957827</v>
      </c>
      <c r="S552">
        <f t="shared" si="987"/>
        <v>113873.29558957827</v>
      </c>
      <c r="T552">
        <f t="shared" si="988"/>
        <v>113.87329558957826</v>
      </c>
    </row>
    <row r="553" spans="1:20" x14ac:dyDescent="0.25">
      <c r="A553" s="5">
        <v>44040</v>
      </c>
      <c r="B553">
        <v>5.5449999999999996E-3</v>
      </c>
      <c r="C553">
        <v>5.9890000000000004E-3</v>
      </c>
      <c r="D553">
        <v>5.4359999999999999E-3</v>
      </c>
      <c r="E553">
        <v>5.8259999999999996E-3</v>
      </c>
      <c r="F553">
        <v>1862170877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0.41048824593128153</v>
      </c>
      <c r="Q553">
        <f t="shared" si="985"/>
        <v>764399256.92404616</v>
      </c>
      <c r="R553">
        <f t="shared" si="986"/>
        <v>12109922491.647623</v>
      </c>
      <c r="S553">
        <f t="shared" si="987"/>
        <v>121099.22491647623</v>
      </c>
      <c r="T553">
        <f t="shared" si="988"/>
        <v>121.09922491647623</v>
      </c>
    </row>
    <row r="554" spans="1:20" x14ac:dyDescent="0.25">
      <c r="A554" s="5">
        <v>44039</v>
      </c>
      <c r="B554">
        <v>5.9810000000000002E-3</v>
      </c>
      <c r="C554">
        <v>6.0089999999999996E-3</v>
      </c>
      <c r="D554">
        <v>5.1409999999999997E-3</v>
      </c>
      <c r="E554">
        <v>5.5449999999999996E-3</v>
      </c>
      <c r="F554">
        <v>1920688443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-6.9124423963133841E-2</v>
      </c>
      <c r="Q554">
        <f t="shared" si="985"/>
        <v>-132766482.23502342</v>
      </c>
      <c r="R554">
        <f t="shared" si="986"/>
        <v>11345523234.723577</v>
      </c>
      <c r="S554">
        <f t="shared" si="987"/>
        <v>113455.23234723578</v>
      </c>
      <c r="T554">
        <f t="shared" si="988"/>
        <v>113.45523234723578</v>
      </c>
    </row>
    <row r="555" spans="1:20" x14ac:dyDescent="0.25">
      <c r="A555" s="5">
        <v>44038</v>
      </c>
      <c r="B555">
        <v>6.0850000000000001E-3</v>
      </c>
      <c r="C555">
        <v>6.1859999999999997E-3</v>
      </c>
      <c r="D555">
        <v>5.927E-3</v>
      </c>
      <c r="E555">
        <v>5.9800000000000001E-3</v>
      </c>
      <c r="F555">
        <v>574326512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-0.59073359073358944</v>
      </c>
      <c r="Q555">
        <f t="shared" si="985"/>
        <v>-339273962.68725795</v>
      </c>
      <c r="R555">
        <f t="shared" si="986"/>
        <v>11478289716.958601</v>
      </c>
      <c r="S555">
        <f t="shared" si="987"/>
        <v>114782.89716958601</v>
      </c>
      <c r="T555">
        <f t="shared" si="988"/>
        <v>114.78289716958601</v>
      </c>
    </row>
    <row r="556" spans="1:20" x14ac:dyDescent="0.25">
      <c r="A556" s="5">
        <v>44037</v>
      </c>
      <c r="B556">
        <v>5.9800000000000001E-3</v>
      </c>
      <c r="C556">
        <v>6.2110000000000004E-3</v>
      </c>
      <c r="D556">
        <v>5.9750000000000003E-3</v>
      </c>
      <c r="E556">
        <v>6.084E-3</v>
      </c>
      <c r="F556">
        <v>579237571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-7.6271186440680705E-2</v>
      </c>
      <c r="Q556">
        <f t="shared" si="985"/>
        <v>-44179136.771188028</v>
      </c>
      <c r="R556">
        <f t="shared" si="986"/>
        <v>11817563679.645859</v>
      </c>
      <c r="S556">
        <f t="shared" si="987"/>
        <v>118175.63679645858</v>
      </c>
      <c r="T556">
        <f t="shared" si="988"/>
        <v>118.17563679645858</v>
      </c>
    </row>
    <row r="557" spans="1:20" x14ac:dyDescent="0.25">
      <c r="A557" s="5">
        <v>44036</v>
      </c>
      <c r="B557">
        <v>6.2310000000000004E-3</v>
      </c>
      <c r="C557">
        <v>6.2329999999999998E-3</v>
      </c>
      <c r="D557">
        <v>5.96E-3</v>
      </c>
      <c r="E557">
        <v>5.9789999999999999E-3</v>
      </c>
      <c r="F557">
        <v>422505221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-0.8608058608058613</v>
      </c>
      <c r="Q557">
        <f t="shared" si="985"/>
        <v>-363694970.45787567</v>
      </c>
      <c r="R557">
        <f t="shared" si="986"/>
        <v>11861742816.417048</v>
      </c>
      <c r="S557">
        <f t="shared" si="987"/>
        <v>118617.42816417047</v>
      </c>
      <c r="T557">
        <f t="shared" si="988"/>
        <v>118.61742816417048</v>
      </c>
    </row>
    <row r="558" spans="1:20" x14ac:dyDescent="0.25">
      <c r="A558" s="5">
        <v>44035</v>
      </c>
      <c r="B558">
        <v>6.2880000000000002E-3</v>
      </c>
      <c r="C558">
        <v>6.3639999999999999E-3</v>
      </c>
      <c r="D558">
        <v>6.136E-3</v>
      </c>
      <c r="E558">
        <v>6.2290000000000002E-3</v>
      </c>
      <c r="F558">
        <v>886129861</v>
      </c>
      <c r="G558">
        <v>0</v>
      </c>
      <c r="L558" t="s">
        <v>8</v>
      </c>
      <c r="M558" t="s">
        <v>7</v>
      </c>
      <c r="N558" t="s">
        <v>8</v>
      </c>
      <c r="P558">
        <f t="shared" si="984"/>
        <v>-0.18421052631578738</v>
      </c>
      <c r="Q558">
        <f t="shared" si="985"/>
        <v>-163234448.07894552</v>
      </c>
      <c r="R558">
        <f t="shared" si="986"/>
        <v>12225437786.874924</v>
      </c>
      <c r="S558">
        <f t="shared" si="987"/>
        <v>122254.37786874923</v>
      </c>
      <c r="T558">
        <f t="shared" si="988"/>
        <v>122.25437786874923</v>
      </c>
    </row>
    <row r="559" spans="1:20" x14ac:dyDescent="0.25">
      <c r="A559" s="5">
        <v>44034</v>
      </c>
      <c r="B559">
        <v>6.0699999999999999E-3</v>
      </c>
      <c r="C559">
        <v>6.4390000000000003E-3</v>
      </c>
      <c r="D559">
        <v>5.9880000000000003E-3</v>
      </c>
      <c r="E559">
        <v>6.2880000000000002E-3</v>
      </c>
      <c r="F559">
        <v>1381778765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0.33037694013303731</v>
      </c>
      <c r="Q559">
        <f t="shared" si="985"/>
        <v>456507840.32150722</v>
      </c>
      <c r="R559">
        <f t="shared" si="986"/>
        <v>12388672234.953869</v>
      </c>
      <c r="S559">
        <f t="shared" si="987"/>
        <v>123886.72234953869</v>
      </c>
      <c r="T559">
        <f t="shared" si="988"/>
        <v>123.88672234953869</v>
      </c>
    </row>
    <row r="560" spans="1:20" x14ac:dyDescent="0.25">
      <c r="A560" s="5">
        <v>44033</v>
      </c>
      <c r="B560">
        <v>5.9280000000000001E-3</v>
      </c>
      <c r="C560">
        <v>6.1050000000000002E-3</v>
      </c>
      <c r="D560">
        <v>5.8320000000000004E-3</v>
      </c>
      <c r="E560">
        <v>6.0689999999999997E-3</v>
      </c>
      <c r="F560">
        <v>633319855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0.73626373626373287</v>
      </c>
      <c r="Q560">
        <f t="shared" si="985"/>
        <v>466290442.69230556</v>
      </c>
      <c r="R560">
        <f t="shared" si="986"/>
        <v>11932164394.632362</v>
      </c>
      <c r="S560">
        <f t="shared" si="987"/>
        <v>119321.64394632362</v>
      </c>
      <c r="T560">
        <f t="shared" si="988"/>
        <v>119.32164394632362</v>
      </c>
    </row>
    <row r="561" spans="1:104" x14ac:dyDescent="0.25">
      <c r="A561" s="5">
        <v>44032</v>
      </c>
      <c r="B561">
        <v>6.0369999999999998E-3</v>
      </c>
      <c r="C561">
        <v>6.2979999999999998E-3</v>
      </c>
      <c r="D561">
        <v>5.9030000000000003E-3</v>
      </c>
      <c r="E561">
        <v>5.934E-3</v>
      </c>
      <c r="F561">
        <v>1224660818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-0.84303797468354524</v>
      </c>
      <c r="Q561">
        <f t="shared" si="985"/>
        <v>-1032435575.6810138</v>
      </c>
      <c r="R561">
        <f t="shared" si="986"/>
        <v>11465873951.940056</v>
      </c>
      <c r="S561">
        <f t="shared" si="987"/>
        <v>114658.73951940055</v>
      </c>
      <c r="T561">
        <f t="shared" si="988"/>
        <v>114.65873951940056</v>
      </c>
      <c r="CZ561" t="s">
        <v>7</v>
      </c>
    </row>
    <row r="562" spans="1:104" x14ac:dyDescent="0.25">
      <c r="A562" s="5">
        <v>44031</v>
      </c>
      <c r="B562">
        <v>5.8650000000000004E-3</v>
      </c>
      <c r="C562">
        <v>6.0390000000000001E-3</v>
      </c>
      <c r="D562">
        <v>5.8209999999999998E-3</v>
      </c>
      <c r="E562">
        <v>6.0390000000000001E-3</v>
      </c>
      <c r="F562">
        <v>455688353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1</v>
      </c>
      <c r="Q562">
        <f t="shared" si="985"/>
        <v>455688353</v>
      </c>
      <c r="R562">
        <f t="shared" si="986"/>
        <v>12498309527.621069</v>
      </c>
      <c r="S562">
        <f t="shared" si="987"/>
        <v>124983.09527621069</v>
      </c>
      <c r="T562">
        <f t="shared" si="988"/>
        <v>124.98309527621069</v>
      </c>
      <c r="CZ562" t="s">
        <v>7</v>
      </c>
    </row>
    <row r="563" spans="1:104" x14ac:dyDescent="0.25">
      <c r="A563" s="5">
        <v>44030</v>
      </c>
      <c r="B563">
        <v>5.9490000000000003E-3</v>
      </c>
      <c r="C563">
        <v>6.0639999999999999E-3</v>
      </c>
      <c r="D563">
        <v>5.8589999999999996E-3</v>
      </c>
      <c r="E563">
        <v>5.8710000000000004E-3</v>
      </c>
      <c r="F563">
        <v>643579110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-0.88292682926828581</v>
      </c>
      <c r="Q563">
        <f t="shared" si="985"/>
        <v>-568233262.97560537</v>
      </c>
      <c r="R563">
        <f t="shared" si="986"/>
        <v>12042621174.621069</v>
      </c>
      <c r="S563">
        <f t="shared" si="987"/>
        <v>120426.21174621068</v>
      </c>
      <c r="T563">
        <f t="shared" si="988"/>
        <v>120.42621174621068</v>
      </c>
      <c r="CZ563" t="s">
        <v>7</v>
      </c>
    </row>
    <row r="564" spans="1:104" x14ac:dyDescent="0.25">
      <c r="A564" s="5">
        <v>44029</v>
      </c>
      <c r="B564">
        <v>5.8409999999999998E-3</v>
      </c>
      <c r="C564">
        <v>6.025E-3</v>
      </c>
      <c r="D564">
        <v>5.7340000000000004E-3</v>
      </c>
      <c r="E564">
        <v>5.9449999999999998E-3</v>
      </c>
      <c r="F564">
        <v>476460598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0.45017182130583971</v>
      </c>
      <c r="Q564">
        <f t="shared" si="985"/>
        <v>214489135.18212953</v>
      </c>
      <c r="R564">
        <f t="shared" si="986"/>
        <v>12610854437.596674</v>
      </c>
      <c r="S564">
        <f t="shared" si="987"/>
        <v>126108.54437596674</v>
      </c>
      <c r="T564">
        <f t="shared" si="988"/>
        <v>126.10854437596674</v>
      </c>
    </row>
    <row r="565" spans="1:104" x14ac:dyDescent="0.25">
      <c r="A565" s="5">
        <v>44028</v>
      </c>
      <c r="B565">
        <v>6.0270000000000002E-3</v>
      </c>
      <c r="C565">
        <v>6.0309999999999999E-3</v>
      </c>
      <c r="D565">
        <v>5.6239999999999997E-3</v>
      </c>
      <c r="E565">
        <v>5.8409999999999998E-3</v>
      </c>
      <c r="F565">
        <v>855944475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6.6339066339066582E-2</v>
      </c>
      <c r="Q565">
        <f t="shared" si="985"/>
        <v>56782557.309582517</v>
      </c>
      <c r="R565">
        <f t="shared" si="986"/>
        <v>12396365302.414545</v>
      </c>
      <c r="S565">
        <f t="shared" si="987"/>
        <v>123963.65302414545</v>
      </c>
      <c r="T565">
        <f t="shared" si="988"/>
        <v>123.96365302414544</v>
      </c>
    </row>
    <row r="566" spans="1:104" x14ac:dyDescent="0.25">
      <c r="A566" s="5">
        <v>44027</v>
      </c>
      <c r="B566">
        <v>6.1549999999999999E-3</v>
      </c>
      <c r="C566">
        <v>6.1840000000000003E-3</v>
      </c>
      <c r="D566">
        <v>5.9699999999999996E-3</v>
      </c>
      <c r="E566">
        <v>6.0280000000000004E-3</v>
      </c>
      <c r="F566">
        <v>492609611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-0.45794392523363942</v>
      </c>
      <c r="Q566">
        <f t="shared" si="985"/>
        <v>-225587578.86915618</v>
      </c>
      <c r="R566">
        <f t="shared" si="986"/>
        <v>12339582745.104963</v>
      </c>
      <c r="S566">
        <f t="shared" si="987"/>
        <v>123395.82745104963</v>
      </c>
      <c r="T566">
        <f t="shared" si="988"/>
        <v>123.39582745104963</v>
      </c>
    </row>
    <row r="567" spans="1:104" x14ac:dyDescent="0.25">
      <c r="A567" s="5">
        <v>44026</v>
      </c>
      <c r="B567">
        <v>6.0109999999999999E-3</v>
      </c>
      <c r="C567">
        <v>6.3499999999999997E-3</v>
      </c>
      <c r="D567">
        <v>5.7140000000000003E-3</v>
      </c>
      <c r="E567">
        <v>6.1640000000000002E-3</v>
      </c>
      <c r="F567">
        <v>1497875634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0.41509433962264242</v>
      </c>
      <c r="Q567">
        <f t="shared" si="985"/>
        <v>621759697.13207686</v>
      </c>
      <c r="R567">
        <f t="shared" si="986"/>
        <v>12565170323.974119</v>
      </c>
      <c r="S567">
        <f t="shared" si="987"/>
        <v>125651.7032397412</v>
      </c>
      <c r="T567">
        <f t="shared" si="988"/>
        <v>125.6517032397412</v>
      </c>
    </row>
    <row r="568" spans="1:104" x14ac:dyDescent="0.25">
      <c r="A568" s="5">
        <v>44025</v>
      </c>
      <c r="B568">
        <v>6.3689999999999997E-3</v>
      </c>
      <c r="C568">
        <v>6.5339999999999999E-3</v>
      </c>
      <c r="D568">
        <v>5.8960000000000002E-3</v>
      </c>
      <c r="E568">
        <v>6.0150000000000004E-3</v>
      </c>
      <c r="F568">
        <v>1016272464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-0.6269592476489021</v>
      </c>
      <c r="Q568">
        <f t="shared" si="985"/>
        <v>-637161419.43573594</v>
      </c>
      <c r="R568">
        <f t="shared" si="986"/>
        <v>11943410626.842043</v>
      </c>
      <c r="S568">
        <f t="shared" si="987"/>
        <v>119434.10626842042</v>
      </c>
      <c r="T568">
        <f t="shared" si="988"/>
        <v>119.43410626842042</v>
      </c>
    </row>
    <row r="569" spans="1:104" x14ac:dyDescent="0.25">
      <c r="A569" s="5">
        <v>44024</v>
      </c>
      <c r="B569">
        <v>6.4520000000000003E-3</v>
      </c>
      <c r="C569">
        <v>6.5760000000000002E-3</v>
      </c>
      <c r="D569">
        <v>6.2399999999999999E-3</v>
      </c>
      <c r="E569">
        <v>6.3680000000000004E-3</v>
      </c>
      <c r="F569">
        <v>570190995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-0.23809523809523589</v>
      </c>
      <c r="Q569">
        <f t="shared" si="985"/>
        <v>-135759760.71428445</v>
      </c>
      <c r="R569">
        <f t="shared" si="986"/>
        <v>12580572046.277779</v>
      </c>
      <c r="S569">
        <f t="shared" si="987"/>
        <v>125805.72046277778</v>
      </c>
      <c r="T569">
        <f t="shared" si="988"/>
        <v>125.80572046277778</v>
      </c>
    </row>
    <row r="570" spans="1:104" x14ac:dyDescent="0.25">
      <c r="A570" s="5">
        <v>44023</v>
      </c>
      <c r="B570">
        <v>6.4190000000000002E-3</v>
      </c>
      <c r="C570">
        <v>6.6389999999999999E-3</v>
      </c>
      <c r="D570">
        <v>6.3090000000000004E-3</v>
      </c>
      <c r="E570">
        <v>6.45E-3</v>
      </c>
      <c r="F570">
        <v>981402602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-0.14545454545454656</v>
      </c>
      <c r="Q570">
        <f t="shared" si="985"/>
        <v>-142749469.38181928</v>
      </c>
      <c r="R570">
        <f t="shared" si="986"/>
        <v>12716331806.992064</v>
      </c>
      <c r="S570">
        <f t="shared" si="987"/>
        <v>127163.31806992064</v>
      </c>
      <c r="T570">
        <f t="shared" si="988"/>
        <v>127.16331806992065</v>
      </c>
    </row>
    <row r="571" spans="1:104" x14ac:dyDescent="0.25">
      <c r="A571" s="5">
        <v>44022</v>
      </c>
      <c r="B571">
        <v>6.4180000000000001E-3</v>
      </c>
      <c r="C571">
        <v>6.4840000000000002E-3</v>
      </c>
      <c r="D571">
        <v>6.1900000000000002E-3</v>
      </c>
      <c r="E571">
        <v>6.4190000000000002E-3</v>
      </c>
      <c r="F571">
        <v>1078355030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0.55782312925170097</v>
      </c>
      <c r="Q571">
        <f t="shared" si="985"/>
        <v>601531377.27891183</v>
      </c>
      <c r="R571">
        <f t="shared" si="986"/>
        <v>12859081276.373882</v>
      </c>
      <c r="S571">
        <f t="shared" si="987"/>
        <v>128590.81276373882</v>
      </c>
      <c r="T571">
        <f t="shared" si="988"/>
        <v>128.59081276373882</v>
      </c>
    </row>
    <row r="572" spans="1:104" x14ac:dyDescent="0.25">
      <c r="A572" s="5">
        <v>44021</v>
      </c>
      <c r="B572">
        <v>6.6360000000000004E-3</v>
      </c>
      <c r="C572">
        <v>6.8929999999999998E-3</v>
      </c>
      <c r="D572">
        <v>6.1710000000000003E-3</v>
      </c>
      <c r="E572">
        <v>6.4149999999999997E-3</v>
      </c>
      <c r="F572">
        <v>1783606404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-0.32409972299169093</v>
      </c>
      <c r="Q572">
        <f t="shared" si="985"/>
        <v>-578066341.46260595</v>
      </c>
      <c r="R572">
        <f t="shared" si="986"/>
        <v>12257549899.094971</v>
      </c>
      <c r="S572">
        <f t="shared" si="987"/>
        <v>122575.49899094971</v>
      </c>
      <c r="T572">
        <f t="shared" si="988"/>
        <v>122.57549899094971</v>
      </c>
    </row>
    <row r="573" spans="1:104" x14ac:dyDescent="0.25">
      <c r="A573" s="5">
        <v>44020</v>
      </c>
      <c r="B573">
        <v>6.4809999999999998E-3</v>
      </c>
      <c r="C573">
        <v>6.7799999999999996E-3</v>
      </c>
      <c r="D573">
        <v>6.3049999999999998E-3</v>
      </c>
      <c r="E573">
        <v>6.6239999999999997E-3</v>
      </c>
      <c r="F573">
        <v>2150136839</v>
      </c>
      <c r="G573">
        <v>0</v>
      </c>
      <c r="L573" t="s">
        <v>7</v>
      </c>
      <c r="M573" t="s">
        <v>8</v>
      </c>
      <c r="N573" t="s">
        <v>8</v>
      </c>
      <c r="P573">
        <f t="shared" si="984"/>
        <v>0.34315789473684222</v>
      </c>
      <c r="Q573">
        <f t="shared" si="985"/>
        <v>737836431.06736863</v>
      </c>
      <c r="R573">
        <f t="shared" si="986"/>
        <v>12835616240.557577</v>
      </c>
      <c r="S573">
        <f t="shared" si="987"/>
        <v>128356.16240557577</v>
      </c>
      <c r="T573">
        <f t="shared" si="988"/>
        <v>128.35616240557576</v>
      </c>
    </row>
    <row r="574" spans="1:104" x14ac:dyDescent="0.25">
      <c r="A574" s="5">
        <v>44019</v>
      </c>
      <c r="B574">
        <v>6.411E-3</v>
      </c>
      <c r="C574">
        <v>6.6490000000000004E-3</v>
      </c>
      <c r="D574">
        <v>6.313E-3</v>
      </c>
      <c r="E574">
        <v>6.483E-3</v>
      </c>
      <c r="F574">
        <v>1595039738</v>
      </c>
      <c r="G574">
        <v>0</v>
      </c>
      <c r="L574" t="s">
        <v>7</v>
      </c>
      <c r="M574" t="s">
        <v>8</v>
      </c>
      <c r="N574" t="s">
        <v>8</v>
      </c>
      <c r="P574">
        <f t="shared" si="984"/>
        <v>1.1904761904760891E-2</v>
      </c>
      <c r="Q574">
        <f t="shared" si="985"/>
        <v>18988568.309522193</v>
      </c>
      <c r="R574">
        <f t="shared" si="986"/>
        <v>12097779809.490208</v>
      </c>
      <c r="S574">
        <f t="shared" si="987"/>
        <v>120977.79809490207</v>
      </c>
      <c r="T574">
        <f t="shared" si="988"/>
        <v>120.97779809490207</v>
      </c>
    </row>
    <row r="575" spans="1:104" x14ac:dyDescent="0.25">
      <c r="A575" s="5">
        <v>44018</v>
      </c>
      <c r="B575">
        <v>6.8649999999999996E-3</v>
      </c>
      <c r="C575">
        <v>7.045E-3</v>
      </c>
      <c r="D575">
        <v>6.306E-3</v>
      </c>
      <c r="E575">
        <v>6.4089999999999998E-3</v>
      </c>
      <c r="F575">
        <v>3306170265</v>
      </c>
      <c r="G575">
        <v>0</v>
      </c>
      <c r="L575" t="s">
        <v>7</v>
      </c>
      <c r="M575" t="s">
        <v>8</v>
      </c>
      <c r="N575" t="s">
        <v>8</v>
      </c>
      <c r="P575">
        <f t="shared" si="984"/>
        <v>-0.72124492557510211</v>
      </c>
      <c r="Q575">
        <f t="shared" si="985"/>
        <v>-2384558526.7185407</v>
      </c>
      <c r="R575">
        <f t="shared" si="986"/>
        <v>12078791241.180685</v>
      </c>
      <c r="S575">
        <f t="shared" si="987"/>
        <v>120787.91241180686</v>
      </c>
      <c r="T575">
        <f t="shared" si="988"/>
        <v>120.78791241180686</v>
      </c>
    </row>
    <row r="576" spans="1:104" x14ac:dyDescent="0.25">
      <c r="A576" s="5">
        <v>44017</v>
      </c>
      <c r="B576">
        <v>5.6049999999999997E-3</v>
      </c>
      <c r="C576">
        <v>6.9969999999999997E-3</v>
      </c>
      <c r="D576">
        <v>5.5139999999999998E-3</v>
      </c>
      <c r="E576">
        <v>6.8659999999999997E-3</v>
      </c>
      <c r="F576">
        <v>4601645693</v>
      </c>
      <c r="G576">
        <v>0</v>
      </c>
      <c r="L576" t="s">
        <v>8</v>
      </c>
      <c r="M576" t="s">
        <v>8</v>
      </c>
      <c r="N576" t="s">
        <v>7</v>
      </c>
      <c r="P576">
        <f t="shared" si="984"/>
        <v>0.82333108563722179</v>
      </c>
      <c r="Q576">
        <f t="shared" si="985"/>
        <v>3788677944.1355357</v>
      </c>
      <c r="R576">
        <f t="shared" si="986"/>
        <v>14463349767.899225</v>
      </c>
      <c r="S576">
        <f t="shared" si="987"/>
        <v>144633.49767899225</v>
      </c>
      <c r="T576">
        <f t="shared" si="988"/>
        <v>144.63349767899226</v>
      </c>
    </row>
    <row r="577" spans="1:20" x14ac:dyDescent="0.25">
      <c r="A577" s="5">
        <v>44016</v>
      </c>
      <c r="B577">
        <v>5.4860000000000004E-3</v>
      </c>
      <c r="C577">
        <v>5.6569999999999997E-3</v>
      </c>
      <c r="D577">
        <v>5.4289999999999998E-3</v>
      </c>
      <c r="E577">
        <v>5.6010000000000001E-3</v>
      </c>
      <c r="F577">
        <v>838262166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0.50877192982456443</v>
      </c>
      <c r="Q577">
        <f t="shared" si="985"/>
        <v>426484259.89473939</v>
      </c>
      <c r="R577">
        <f t="shared" si="986"/>
        <v>10674671823.763689</v>
      </c>
      <c r="S577">
        <f t="shared" si="987"/>
        <v>106746.71823763689</v>
      </c>
      <c r="T577">
        <f t="shared" si="988"/>
        <v>106.74671823763688</v>
      </c>
    </row>
    <row r="578" spans="1:20" x14ac:dyDescent="0.25">
      <c r="A578" s="5">
        <v>44015</v>
      </c>
      <c r="B578">
        <v>5.4419999999999998E-3</v>
      </c>
      <c r="C578">
        <v>5.666E-3</v>
      </c>
      <c r="D578">
        <v>5.3839999999999999E-3</v>
      </c>
      <c r="E578">
        <v>5.4879999999999998E-3</v>
      </c>
      <c r="F578">
        <v>852057855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-0.26241134751773137</v>
      </c>
      <c r="Q578">
        <f t="shared" si="985"/>
        <v>-223589649.89361778</v>
      </c>
      <c r="R578">
        <f t="shared" si="986"/>
        <v>10248187563.86895</v>
      </c>
      <c r="S578">
        <f t="shared" si="987"/>
        <v>102481.8756386895</v>
      </c>
      <c r="T578">
        <f t="shared" si="988"/>
        <v>102.4818756386895</v>
      </c>
    </row>
    <row r="579" spans="1:20" x14ac:dyDescent="0.25">
      <c r="A579" s="5">
        <v>44014</v>
      </c>
      <c r="B579">
        <v>5.6699999999999997E-3</v>
      </c>
      <c r="C579">
        <v>5.8329999999999996E-3</v>
      </c>
      <c r="D579">
        <v>5.3E-3</v>
      </c>
      <c r="E579">
        <v>5.4429999999999999E-3</v>
      </c>
      <c r="F579">
        <v>1351929852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-0.46341463414634149</v>
      </c>
      <c r="Q579">
        <f t="shared" si="985"/>
        <v>-626504077.75609756</v>
      </c>
      <c r="R579">
        <f t="shared" si="986"/>
        <v>10471777213.762568</v>
      </c>
      <c r="S579">
        <f t="shared" si="987"/>
        <v>104717.77213762568</v>
      </c>
      <c r="T579">
        <f t="shared" si="988"/>
        <v>104.71777213762569</v>
      </c>
    </row>
    <row r="580" spans="1:20" x14ac:dyDescent="0.25">
      <c r="A580" s="5">
        <v>44013</v>
      </c>
      <c r="B580">
        <v>5.522E-3</v>
      </c>
      <c r="C580">
        <v>5.7879999999999997E-3</v>
      </c>
      <c r="D580">
        <v>5.4510000000000001E-3</v>
      </c>
      <c r="E580">
        <v>5.6699999999999997E-3</v>
      </c>
      <c r="F580">
        <v>816359706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0.2997032640949544</v>
      </c>
      <c r="Q580">
        <f t="shared" si="985"/>
        <v>244665668.56379732</v>
      </c>
      <c r="R580">
        <f t="shared" si="986"/>
        <v>11098281291.518665</v>
      </c>
      <c r="S580">
        <f t="shared" si="987"/>
        <v>110982.81291518666</v>
      </c>
      <c r="T580">
        <f t="shared" si="988"/>
        <v>110.98281291518666</v>
      </c>
    </row>
    <row r="581" spans="1:20" x14ac:dyDescent="0.25">
      <c r="A581" s="5">
        <v>44012</v>
      </c>
      <c r="B581">
        <v>5.6140000000000001E-3</v>
      </c>
      <c r="C581">
        <v>5.6509999999999998E-3</v>
      </c>
      <c r="D581">
        <v>5.3889999999999997E-3</v>
      </c>
      <c r="E581">
        <v>5.5180000000000003E-3</v>
      </c>
      <c r="F581">
        <v>716411473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-1.5267175572514485E-2</v>
      </c>
      <c r="Q581">
        <f t="shared" si="985"/>
        <v>-10937579.74045472</v>
      </c>
      <c r="R581">
        <f t="shared" si="986"/>
        <v>10853615622.954868</v>
      </c>
      <c r="S581">
        <f t="shared" si="987"/>
        <v>108536.15622954868</v>
      </c>
      <c r="T581">
        <f t="shared" si="988"/>
        <v>108.53615622954868</v>
      </c>
    </row>
    <row r="582" spans="1:20" x14ac:dyDescent="0.25">
      <c r="A582" s="5">
        <v>44011</v>
      </c>
      <c r="B582">
        <v>5.6259999999999999E-3</v>
      </c>
      <c r="C582">
        <v>5.7250000000000001E-3</v>
      </c>
      <c r="D582">
        <v>5.4869999999999997E-3</v>
      </c>
      <c r="E582">
        <v>5.6129999999999999E-3</v>
      </c>
      <c r="F582">
        <v>1249411590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5.8823529411765135E-2</v>
      </c>
      <c r="Q582">
        <f t="shared" ref="Q582:Q645" si="990">F582*P582</f>
        <v>73494799.411765248</v>
      </c>
      <c r="R582">
        <f t="shared" ref="R582:R645" si="991">R583+Q582</f>
        <v>10864553202.695324</v>
      </c>
      <c r="S582">
        <f t="shared" ref="S582:S645" si="992">R582/100000</f>
        <v>108645.53202695324</v>
      </c>
      <c r="T582">
        <f t="shared" ref="T582:T645" si="993">S582/1000</f>
        <v>108.64553202695323</v>
      </c>
    </row>
    <row r="583" spans="1:20" x14ac:dyDescent="0.25">
      <c r="A583" s="5">
        <v>44010</v>
      </c>
      <c r="B583">
        <v>5.522E-3</v>
      </c>
      <c r="C583">
        <v>5.7790000000000003E-3</v>
      </c>
      <c r="D583">
        <v>5.4180000000000001E-3</v>
      </c>
      <c r="E583">
        <v>5.6249999999999998E-3</v>
      </c>
      <c r="F583">
        <v>976347440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0.14681440443213073</v>
      </c>
      <c r="Q583">
        <f t="shared" si="990"/>
        <v>143341867.92243549</v>
      </c>
      <c r="R583">
        <f t="shared" si="991"/>
        <v>10791058403.283558</v>
      </c>
      <c r="S583">
        <f t="shared" si="992"/>
        <v>107910.58403283558</v>
      </c>
      <c r="T583">
        <f t="shared" si="993"/>
        <v>107.91058403283559</v>
      </c>
    </row>
    <row r="584" spans="1:20" x14ac:dyDescent="0.25">
      <c r="A584" s="5">
        <v>44009</v>
      </c>
      <c r="B584">
        <v>6.1219999999999998E-3</v>
      </c>
      <c r="C584">
        <v>6.2199999999999998E-3</v>
      </c>
      <c r="D584">
        <v>5.2769999999999996E-3</v>
      </c>
      <c r="E584">
        <v>5.522E-3</v>
      </c>
      <c r="F584">
        <v>1367708144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-0.48038176033934177</v>
      </c>
      <c r="Q584">
        <f t="shared" si="990"/>
        <v>-657022045.84517395</v>
      </c>
      <c r="R584">
        <f t="shared" si="991"/>
        <v>10647716535.361122</v>
      </c>
      <c r="S584">
        <f t="shared" si="992"/>
        <v>106477.16535361123</v>
      </c>
      <c r="T584">
        <f t="shared" si="993"/>
        <v>106.47716535361123</v>
      </c>
    </row>
    <row r="585" spans="1:20" x14ac:dyDescent="0.25">
      <c r="A585" s="5">
        <v>44008</v>
      </c>
      <c r="B585">
        <v>6.1409999999999998E-3</v>
      </c>
      <c r="C585">
        <v>6.3369999999999998E-3</v>
      </c>
      <c r="D585">
        <v>5.9569999999999996E-3</v>
      </c>
      <c r="E585">
        <v>6.1219999999999998E-3</v>
      </c>
      <c r="F585">
        <v>1341929683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-0.13157894736842021</v>
      </c>
      <c r="Q585">
        <f t="shared" si="990"/>
        <v>-176569695.13157782</v>
      </c>
      <c r="R585">
        <f t="shared" si="991"/>
        <v>11304738581.206297</v>
      </c>
      <c r="S585">
        <f t="shared" si="992"/>
        <v>113047.38581206297</v>
      </c>
      <c r="T585">
        <f t="shared" si="993"/>
        <v>113.04738581206297</v>
      </c>
    </row>
    <row r="586" spans="1:20" x14ac:dyDescent="0.25">
      <c r="A586" s="5">
        <v>44007</v>
      </c>
      <c r="B586">
        <v>6.3499999999999997E-3</v>
      </c>
      <c r="C586">
        <v>6.3819999999999997E-3</v>
      </c>
      <c r="D586">
        <v>5.9389999999999998E-3</v>
      </c>
      <c r="E586">
        <v>6.149E-3</v>
      </c>
      <c r="F586">
        <v>1126680527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-5.1918735891646937E-2</v>
      </c>
      <c r="Q586">
        <f t="shared" si="990"/>
        <v>-58495828.715574585</v>
      </c>
      <c r="R586">
        <f t="shared" si="991"/>
        <v>11481308276.337875</v>
      </c>
      <c r="S586">
        <f t="shared" si="992"/>
        <v>114813.08276337876</v>
      </c>
      <c r="T586">
        <f t="shared" si="993"/>
        <v>114.81308276337876</v>
      </c>
    </row>
    <row r="587" spans="1:20" x14ac:dyDescent="0.25">
      <c r="A587" s="5">
        <v>44006</v>
      </c>
      <c r="B587">
        <v>6.5459999999999997E-3</v>
      </c>
      <c r="C587">
        <v>6.7679999999999997E-3</v>
      </c>
      <c r="D587">
        <v>6.1529999999999996E-3</v>
      </c>
      <c r="E587">
        <v>6.352E-3</v>
      </c>
      <c r="F587">
        <v>1815721165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-0.35284552845528339</v>
      </c>
      <c r="Q587">
        <f t="shared" si="990"/>
        <v>-640669093.99186778</v>
      </c>
      <c r="R587">
        <f t="shared" si="991"/>
        <v>11539804105.05345</v>
      </c>
      <c r="S587">
        <f t="shared" si="992"/>
        <v>115398.04105053449</v>
      </c>
      <c r="T587">
        <f t="shared" si="993"/>
        <v>115.39804105053449</v>
      </c>
    </row>
    <row r="588" spans="1:20" x14ac:dyDescent="0.25">
      <c r="A588" s="5">
        <v>44005</v>
      </c>
      <c r="B588">
        <v>6.7679999999999997E-3</v>
      </c>
      <c r="C588">
        <v>7.1999999999999998E-3</v>
      </c>
      <c r="D588">
        <v>6.4469999999999996E-3</v>
      </c>
      <c r="E588">
        <v>6.5449999999999996E-3</v>
      </c>
      <c r="F588">
        <v>1957989023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-0.73970783532536533</v>
      </c>
      <c r="Q588">
        <f t="shared" si="990"/>
        <v>-1448339821.794157</v>
      </c>
      <c r="R588">
        <f t="shared" si="991"/>
        <v>12180473199.045317</v>
      </c>
      <c r="S588">
        <f t="shared" si="992"/>
        <v>121804.73199045316</v>
      </c>
      <c r="T588">
        <f t="shared" si="993"/>
        <v>121.80473199045316</v>
      </c>
    </row>
    <row r="589" spans="1:20" x14ac:dyDescent="0.25">
      <c r="A589" s="5">
        <v>44004</v>
      </c>
      <c r="B589">
        <v>5.9699999999999996E-3</v>
      </c>
      <c r="C589">
        <v>6.8739999999999999E-3</v>
      </c>
      <c r="D589">
        <v>5.9589999999999999E-3</v>
      </c>
      <c r="E589">
        <v>6.7669999999999996E-3</v>
      </c>
      <c r="F589">
        <v>2605341129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0.76612021857923429</v>
      </c>
      <c r="Q589">
        <f t="shared" si="990"/>
        <v>1996004515.222949</v>
      </c>
      <c r="R589">
        <f t="shared" si="991"/>
        <v>13628813020.839474</v>
      </c>
      <c r="S589">
        <f t="shared" si="992"/>
        <v>136288.13020839472</v>
      </c>
      <c r="T589">
        <f t="shared" si="993"/>
        <v>136.28813020839473</v>
      </c>
    </row>
    <row r="590" spans="1:20" x14ac:dyDescent="0.25">
      <c r="A590" s="5">
        <v>44003</v>
      </c>
      <c r="B590">
        <v>6.0639999999999999E-3</v>
      </c>
      <c r="C590">
        <v>6.1609999999999998E-3</v>
      </c>
      <c r="D590">
        <v>5.8900000000000003E-3</v>
      </c>
      <c r="E590">
        <v>5.9699999999999996E-3</v>
      </c>
      <c r="F590">
        <v>904342584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-0.40959409594096324</v>
      </c>
      <c r="Q590">
        <f t="shared" si="990"/>
        <v>-370413383.11439461</v>
      </c>
      <c r="R590">
        <f t="shared" si="991"/>
        <v>11632808505.616524</v>
      </c>
      <c r="S590">
        <f t="shared" si="992"/>
        <v>116328.08505616523</v>
      </c>
      <c r="T590">
        <f t="shared" si="993"/>
        <v>116.32808505616524</v>
      </c>
    </row>
    <row r="591" spans="1:20" x14ac:dyDescent="0.25">
      <c r="A591" s="5">
        <v>44002</v>
      </c>
      <c r="B591">
        <v>5.8710000000000004E-3</v>
      </c>
      <c r="C591">
        <v>6.0670000000000003E-3</v>
      </c>
      <c r="D591">
        <v>5.7149999999999996E-3</v>
      </c>
      <c r="E591">
        <v>6.0639999999999999E-3</v>
      </c>
      <c r="F591">
        <v>731247744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0.98295454545454319</v>
      </c>
      <c r="Q591">
        <f t="shared" si="990"/>
        <v>718783293.8181802</v>
      </c>
      <c r="R591">
        <f t="shared" si="991"/>
        <v>12003221888.730919</v>
      </c>
      <c r="S591">
        <f t="shared" si="992"/>
        <v>120032.21888730919</v>
      </c>
      <c r="T591">
        <f t="shared" si="993"/>
        <v>120.0322188873092</v>
      </c>
    </row>
    <row r="592" spans="1:20" x14ac:dyDescent="0.25">
      <c r="A592" s="5">
        <v>44001</v>
      </c>
      <c r="B592">
        <v>5.7140000000000003E-3</v>
      </c>
      <c r="C592">
        <v>6.0520000000000001E-3</v>
      </c>
      <c r="D592">
        <v>5.574E-3</v>
      </c>
      <c r="E592">
        <v>5.8700000000000002E-3</v>
      </c>
      <c r="F592">
        <v>1640128111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0.23849372384937312</v>
      </c>
      <c r="Q592">
        <f t="shared" si="990"/>
        <v>391160260.78242797</v>
      </c>
      <c r="R592">
        <f t="shared" si="991"/>
        <v>11284438594.912739</v>
      </c>
      <c r="S592">
        <f t="shared" si="992"/>
        <v>112844.38594912739</v>
      </c>
      <c r="T592">
        <f t="shared" si="993"/>
        <v>112.84438594912739</v>
      </c>
    </row>
    <row r="593" spans="1:20" x14ac:dyDescent="0.25">
      <c r="A593" s="5">
        <v>44000</v>
      </c>
      <c r="B593">
        <v>5.7159999999999997E-3</v>
      </c>
      <c r="C593">
        <v>5.9750000000000003E-3</v>
      </c>
      <c r="D593">
        <v>5.6140000000000001E-3</v>
      </c>
      <c r="E593">
        <v>5.7109999999999999E-3</v>
      </c>
      <c r="F593">
        <v>1464027784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-0.46260387811634457</v>
      </c>
      <c r="Q593">
        <f t="shared" si="990"/>
        <v>-677264930.54847801</v>
      </c>
      <c r="R593">
        <f t="shared" si="991"/>
        <v>10893278334.13031</v>
      </c>
      <c r="S593">
        <f t="shared" si="992"/>
        <v>108932.7833413031</v>
      </c>
      <c r="T593">
        <f t="shared" si="993"/>
        <v>108.93278334130311</v>
      </c>
    </row>
    <row r="594" spans="1:20" x14ac:dyDescent="0.25">
      <c r="A594" s="5">
        <v>43999</v>
      </c>
      <c r="B594">
        <v>5.9109999999999996E-3</v>
      </c>
      <c r="C594">
        <v>5.9160000000000003E-3</v>
      </c>
      <c r="D594">
        <v>5.4599999999999996E-3</v>
      </c>
      <c r="E594">
        <v>5.7149999999999996E-3</v>
      </c>
      <c r="F594">
        <v>1212186560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0.11842105263157737</v>
      </c>
      <c r="Q594">
        <f t="shared" si="990"/>
        <v>143548408.42105073</v>
      </c>
      <c r="R594">
        <f t="shared" si="991"/>
        <v>11570543264.678787</v>
      </c>
      <c r="S594">
        <f t="shared" si="992"/>
        <v>115705.43264678787</v>
      </c>
      <c r="T594">
        <f t="shared" si="993"/>
        <v>115.70543264678787</v>
      </c>
    </row>
    <row r="595" spans="1:20" x14ac:dyDescent="0.25">
      <c r="A595" s="5">
        <v>43998</v>
      </c>
      <c r="B595">
        <v>5.5250000000000004E-3</v>
      </c>
      <c r="C595">
        <v>5.94E-3</v>
      </c>
      <c r="D595">
        <v>5.4000000000000003E-3</v>
      </c>
      <c r="E595">
        <v>5.9109999999999996E-3</v>
      </c>
      <c r="F595">
        <v>1206014997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0.89259259259259116</v>
      </c>
      <c r="Q595">
        <f t="shared" si="990"/>
        <v>1076480052.8777761</v>
      </c>
      <c r="R595">
        <f t="shared" si="991"/>
        <v>11426994856.257736</v>
      </c>
      <c r="S595">
        <f t="shared" si="992"/>
        <v>114269.94856257737</v>
      </c>
      <c r="T595">
        <f t="shared" si="993"/>
        <v>114.26994856257737</v>
      </c>
    </row>
    <row r="596" spans="1:20" x14ac:dyDescent="0.25">
      <c r="A596" s="5">
        <v>43997</v>
      </c>
      <c r="B596">
        <v>5.607E-3</v>
      </c>
      <c r="C596">
        <v>5.6090000000000003E-3</v>
      </c>
      <c r="D596">
        <v>5.0850000000000001E-3</v>
      </c>
      <c r="E596">
        <v>5.5199999999999997E-3</v>
      </c>
      <c r="F596">
        <v>1502100300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0.66030534351144843</v>
      </c>
      <c r="Q596">
        <f t="shared" si="990"/>
        <v>991844854.58014977</v>
      </c>
      <c r="R596">
        <f t="shared" si="991"/>
        <v>10350514803.379961</v>
      </c>
      <c r="S596">
        <f t="shared" si="992"/>
        <v>103505.1480337996</v>
      </c>
      <c r="T596">
        <f t="shared" si="993"/>
        <v>103.5051480337996</v>
      </c>
    </row>
    <row r="597" spans="1:20" x14ac:dyDescent="0.25">
      <c r="A597" s="5">
        <v>43996</v>
      </c>
      <c r="B597">
        <v>6.0619999999999997E-3</v>
      </c>
      <c r="C597">
        <v>6.0650000000000001E-3</v>
      </c>
      <c r="D597">
        <v>5.5389999999999997E-3</v>
      </c>
      <c r="E597">
        <v>5.607E-3</v>
      </c>
      <c r="F597">
        <v>1269808451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-0.74144486692015099</v>
      </c>
      <c r="Q597">
        <f t="shared" si="990"/>
        <v>-941492957.96577811</v>
      </c>
      <c r="R597">
        <f t="shared" si="991"/>
        <v>9358669948.7998104</v>
      </c>
      <c r="S597">
        <f t="shared" si="992"/>
        <v>93586.699487998107</v>
      </c>
      <c r="T597">
        <f t="shared" si="993"/>
        <v>93.586699487998104</v>
      </c>
    </row>
    <row r="598" spans="1:20" x14ac:dyDescent="0.25">
      <c r="A598" s="5">
        <v>43995</v>
      </c>
      <c r="B598">
        <v>5.64E-3</v>
      </c>
      <c r="C598">
        <v>6.195E-3</v>
      </c>
      <c r="D598">
        <v>5.4949999999999999E-3</v>
      </c>
      <c r="E598">
        <v>6.0569999999999999E-3</v>
      </c>
      <c r="F598">
        <v>1513654388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0.60571428571428543</v>
      </c>
      <c r="Q598">
        <f t="shared" si="990"/>
        <v>916842086.44571388</v>
      </c>
      <c r="R598">
        <f t="shared" si="991"/>
        <v>10300162906.765589</v>
      </c>
      <c r="S598">
        <f t="shared" si="992"/>
        <v>103001.62906765589</v>
      </c>
      <c r="T598">
        <f t="shared" si="993"/>
        <v>103.00162906765588</v>
      </c>
    </row>
    <row r="599" spans="1:20" x14ac:dyDescent="0.25">
      <c r="A599" s="5">
        <v>43994</v>
      </c>
      <c r="B599">
        <v>5.0870000000000004E-3</v>
      </c>
      <c r="C599">
        <v>5.7499999999999999E-3</v>
      </c>
      <c r="D599">
        <v>5.0020000000000004E-3</v>
      </c>
      <c r="E599">
        <v>5.64E-3</v>
      </c>
      <c r="F599">
        <v>1125300629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0.70588235294117663</v>
      </c>
      <c r="Q599">
        <f t="shared" si="990"/>
        <v>794329855.76470602</v>
      </c>
      <c r="R599">
        <f t="shared" si="991"/>
        <v>9383320820.3198757</v>
      </c>
      <c r="S599">
        <f t="shared" si="992"/>
        <v>93833.208203198752</v>
      </c>
      <c r="T599">
        <f t="shared" si="993"/>
        <v>93.833208203198751</v>
      </c>
    </row>
    <row r="600" spans="1:20" x14ac:dyDescent="0.25">
      <c r="A600" s="5">
        <v>43993</v>
      </c>
      <c r="B600">
        <v>5.6579999999999998E-3</v>
      </c>
      <c r="C600">
        <v>5.9290000000000002E-3</v>
      </c>
      <c r="D600">
        <v>5.0109999999999998E-3</v>
      </c>
      <c r="E600">
        <v>5.0850000000000001E-3</v>
      </c>
      <c r="F600">
        <v>1385164589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-0.83877995642701475</v>
      </c>
      <c r="Q600">
        <f t="shared" si="990"/>
        <v>-1161848293.6056638</v>
      </c>
      <c r="R600">
        <f t="shared" si="991"/>
        <v>8588990964.5551701</v>
      </c>
      <c r="S600">
        <f t="shared" si="992"/>
        <v>85889.909645551699</v>
      </c>
      <c r="T600">
        <f t="shared" si="993"/>
        <v>85.889909645551697</v>
      </c>
    </row>
    <row r="601" spans="1:20" x14ac:dyDescent="0.25">
      <c r="A601" s="5">
        <v>43992</v>
      </c>
      <c r="B601">
        <v>5.4339999999999996E-3</v>
      </c>
      <c r="C601">
        <v>5.7080000000000004E-3</v>
      </c>
      <c r="D601">
        <v>5.4200000000000003E-3</v>
      </c>
      <c r="E601">
        <v>5.6579999999999998E-3</v>
      </c>
      <c r="F601">
        <v>848032091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0.6527777777777739</v>
      </c>
      <c r="Q601">
        <f t="shared" si="990"/>
        <v>553576503.84721899</v>
      </c>
      <c r="R601">
        <f t="shared" si="991"/>
        <v>9750839258.1608334</v>
      </c>
      <c r="S601">
        <f t="shared" si="992"/>
        <v>97508.392581608336</v>
      </c>
      <c r="T601">
        <f t="shared" si="993"/>
        <v>97.508392581608334</v>
      </c>
    </row>
    <row r="602" spans="1:20" x14ac:dyDescent="0.25">
      <c r="A602" s="5">
        <v>43991</v>
      </c>
      <c r="B602">
        <v>5.2659999999999998E-3</v>
      </c>
      <c r="C602">
        <v>5.4980000000000003E-3</v>
      </c>
      <c r="D602">
        <v>5.1330000000000004E-3</v>
      </c>
      <c r="E602">
        <v>5.4310000000000001E-3</v>
      </c>
      <c r="F602">
        <v>1039758523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0.63287671232876574</v>
      </c>
      <c r="Q602">
        <f t="shared" si="990"/>
        <v>658038955.65205336</v>
      </c>
      <c r="R602">
        <f t="shared" si="991"/>
        <v>9197262754.3136139</v>
      </c>
      <c r="S602">
        <f t="shared" si="992"/>
        <v>91972.627543136143</v>
      </c>
      <c r="T602">
        <f t="shared" si="993"/>
        <v>91.972627543136142</v>
      </c>
    </row>
    <row r="603" spans="1:20" x14ac:dyDescent="0.25">
      <c r="A603" s="5">
        <v>43990</v>
      </c>
      <c r="B603">
        <v>5.1659999999999996E-3</v>
      </c>
      <c r="C603">
        <v>5.3610000000000003E-3</v>
      </c>
      <c r="D603">
        <v>5.0980000000000001E-3</v>
      </c>
      <c r="E603">
        <v>5.267E-3</v>
      </c>
      <c r="F603">
        <v>595432364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0.28517110266159501</v>
      </c>
      <c r="Q603">
        <f t="shared" si="990"/>
        <v>169800103.80228022</v>
      </c>
      <c r="R603">
        <f t="shared" si="991"/>
        <v>8539223798.661561</v>
      </c>
      <c r="S603">
        <f t="shared" si="992"/>
        <v>85392.237986615612</v>
      </c>
      <c r="T603">
        <f t="shared" si="993"/>
        <v>85.392237986615612</v>
      </c>
    </row>
    <row r="604" spans="1:20" x14ac:dyDescent="0.25">
      <c r="A604" s="5">
        <v>43989</v>
      </c>
      <c r="B604">
        <v>5.3369999999999997E-3</v>
      </c>
      <c r="C604">
        <v>5.3610000000000003E-3</v>
      </c>
      <c r="D604">
        <v>4.9360000000000003E-3</v>
      </c>
      <c r="E604">
        <v>5.1650000000000003E-3</v>
      </c>
      <c r="F604">
        <v>704805051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7.7647058823529513E-2</v>
      </c>
      <c r="Q604">
        <f t="shared" si="990"/>
        <v>54726039.25411772</v>
      </c>
      <c r="R604">
        <f t="shared" si="991"/>
        <v>8369423694.8592806</v>
      </c>
      <c r="S604">
        <f t="shared" si="992"/>
        <v>83694.236948592807</v>
      </c>
      <c r="T604">
        <f t="shared" si="993"/>
        <v>83.694236948592803</v>
      </c>
    </row>
    <row r="605" spans="1:20" x14ac:dyDescent="0.25">
      <c r="A605" s="5">
        <v>43988</v>
      </c>
      <c r="B605">
        <v>5.1419999999999999E-3</v>
      </c>
      <c r="C605">
        <v>5.4310000000000001E-3</v>
      </c>
      <c r="D605">
        <v>5.0610000000000004E-3</v>
      </c>
      <c r="E605">
        <v>5.3270000000000001E-3</v>
      </c>
      <c r="F605">
        <v>1111952669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0.43783783783783775</v>
      </c>
      <c r="Q605">
        <f t="shared" si="990"/>
        <v>486854952.37297291</v>
      </c>
      <c r="R605">
        <f t="shared" si="991"/>
        <v>8314697655.6051626</v>
      </c>
      <c r="S605">
        <f t="shared" si="992"/>
        <v>83146.976556051624</v>
      </c>
      <c r="T605">
        <f t="shared" si="993"/>
        <v>83.146976556051627</v>
      </c>
    </row>
    <row r="606" spans="1:20" x14ac:dyDescent="0.25">
      <c r="A606" s="5">
        <v>43987</v>
      </c>
      <c r="B606">
        <v>4.9509999999999997E-3</v>
      </c>
      <c r="C606">
        <v>5.3200000000000001E-3</v>
      </c>
      <c r="D606">
        <v>4.8780000000000004E-3</v>
      </c>
      <c r="E606">
        <v>5.1460000000000004E-3</v>
      </c>
      <c r="F606">
        <v>1373269047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0.21266968325791946</v>
      </c>
      <c r="Q606">
        <f t="shared" si="990"/>
        <v>292052693.2533949</v>
      </c>
      <c r="R606">
        <f t="shared" si="991"/>
        <v>7827842703.2321901</v>
      </c>
      <c r="S606">
        <f t="shared" si="992"/>
        <v>78278.427032321895</v>
      </c>
      <c r="T606">
        <f t="shared" si="993"/>
        <v>78.2784270323219</v>
      </c>
    </row>
    <row r="607" spans="1:20" x14ac:dyDescent="0.25">
      <c r="A607" s="5">
        <v>43986</v>
      </c>
      <c r="B607">
        <v>5.0099999999999997E-3</v>
      </c>
      <c r="C607">
        <v>5.0949999999999997E-3</v>
      </c>
      <c r="D607">
        <v>4.7330000000000002E-3</v>
      </c>
      <c r="E607">
        <v>4.9519999999999998E-3</v>
      </c>
      <c r="F607">
        <v>676414514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0.20994475138121488</v>
      </c>
      <c r="Q607">
        <f t="shared" si="990"/>
        <v>142009676.9723753</v>
      </c>
      <c r="R607">
        <f t="shared" si="991"/>
        <v>7535790009.9787951</v>
      </c>
      <c r="S607">
        <f t="shared" si="992"/>
        <v>75357.900099787948</v>
      </c>
      <c r="T607">
        <f t="shared" si="993"/>
        <v>75.357900099787955</v>
      </c>
    </row>
    <row r="608" spans="1:20" x14ac:dyDescent="0.25">
      <c r="A608" s="5">
        <v>43985</v>
      </c>
      <c r="B608">
        <v>4.901E-3</v>
      </c>
      <c r="C608">
        <v>5.0499999999999998E-3</v>
      </c>
      <c r="D608">
        <v>4.7429999999999998E-3</v>
      </c>
      <c r="E608">
        <v>5.0099999999999997E-3</v>
      </c>
      <c r="F608">
        <v>804884740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0.73941368078175829</v>
      </c>
      <c r="Q608">
        <f t="shared" si="990"/>
        <v>595142788.20846856</v>
      </c>
      <c r="R608">
        <f t="shared" si="991"/>
        <v>7393780333.0064201</v>
      </c>
      <c r="S608">
        <f t="shared" si="992"/>
        <v>73937.803330064198</v>
      </c>
      <c r="T608">
        <f t="shared" si="993"/>
        <v>73.937803330064199</v>
      </c>
    </row>
    <row r="609" spans="1:20" x14ac:dyDescent="0.25">
      <c r="A609" s="5">
        <v>43984</v>
      </c>
      <c r="B609">
        <v>5.0949999999999997E-3</v>
      </c>
      <c r="C609">
        <v>5.2779999999999997E-3</v>
      </c>
      <c r="D609">
        <v>4.5430000000000002E-3</v>
      </c>
      <c r="E609">
        <v>4.8989999999999997E-3</v>
      </c>
      <c r="F609">
        <v>1218953712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-3.1292517006803355E-2</v>
      </c>
      <c r="Q609">
        <f t="shared" si="990"/>
        <v>-38144129.763266079</v>
      </c>
      <c r="R609">
        <f t="shared" si="991"/>
        <v>6798637544.7979517</v>
      </c>
      <c r="S609">
        <f t="shared" si="992"/>
        <v>67986.375447979517</v>
      </c>
      <c r="T609">
        <f t="shared" si="993"/>
        <v>67.986375447979512</v>
      </c>
    </row>
    <row r="610" spans="1:20" x14ac:dyDescent="0.25">
      <c r="A610" s="5">
        <v>43983</v>
      </c>
      <c r="B610">
        <v>4.7149999999999996E-3</v>
      </c>
      <c r="C610">
        <v>5.2900000000000004E-3</v>
      </c>
      <c r="D610">
        <v>4.6860000000000001E-3</v>
      </c>
      <c r="E610">
        <v>5.0930000000000003E-3</v>
      </c>
      <c r="F610">
        <v>1390358747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0.34768211920529801</v>
      </c>
      <c r="Q610">
        <f t="shared" si="990"/>
        <v>483402875.6125828</v>
      </c>
      <c r="R610">
        <f t="shared" si="991"/>
        <v>6836781674.5612173</v>
      </c>
      <c r="S610">
        <f t="shared" si="992"/>
        <v>68367.816745612174</v>
      </c>
      <c r="T610">
        <f t="shared" si="993"/>
        <v>68.367816745612174</v>
      </c>
    </row>
    <row r="611" spans="1:20" x14ac:dyDescent="0.25">
      <c r="A611" s="5">
        <v>43982</v>
      </c>
      <c r="B611">
        <v>4.7530000000000003E-3</v>
      </c>
      <c r="C611">
        <v>4.9480000000000001E-3</v>
      </c>
      <c r="D611">
        <v>4.535E-3</v>
      </c>
      <c r="E611">
        <v>4.7099999999999998E-3</v>
      </c>
      <c r="F611">
        <v>1158732013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-0.15254237288135722</v>
      </c>
      <c r="Q611">
        <f t="shared" si="990"/>
        <v>-176755730.79661167</v>
      </c>
      <c r="R611">
        <f t="shared" si="991"/>
        <v>6353378798.9486341</v>
      </c>
      <c r="S611">
        <f t="shared" si="992"/>
        <v>63533.787989486344</v>
      </c>
      <c r="T611">
        <f t="shared" si="993"/>
        <v>63.533787989486342</v>
      </c>
    </row>
    <row r="612" spans="1:20" x14ac:dyDescent="0.25">
      <c r="A612" s="5">
        <v>43981</v>
      </c>
      <c r="B612">
        <v>4.5019999999999999E-3</v>
      </c>
      <c r="C612">
        <v>4.8580000000000003E-3</v>
      </c>
      <c r="D612">
        <v>4.4359999999999998E-3</v>
      </c>
      <c r="E612">
        <v>4.7520000000000001E-3</v>
      </c>
      <c r="F612">
        <v>1043306133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0.4976303317535542</v>
      </c>
      <c r="Q612">
        <f t="shared" si="990"/>
        <v>519180777.08530772</v>
      </c>
      <c r="R612">
        <f t="shared" si="991"/>
        <v>6530134529.7452459</v>
      </c>
      <c r="S612">
        <f t="shared" si="992"/>
        <v>65301.345297452463</v>
      </c>
      <c r="T612">
        <f t="shared" si="993"/>
        <v>65.301345297452457</v>
      </c>
    </row>
    <row r="613" spans="1:20" x14ac:dyDescent="0.25">
      <c r="A613" s="5">
        <v>43980</v>
      </c>
      <c r="B613">
        <v>4.5620000000000001E-3</v>
      </c>
      <c r="C613">
        <v>4.6090000000000002E-3</v>
      </c>
      <c r="D613">
        <v>4.3550000000000004E-3</v>
      </c>
      <c r="E613">
        <v>4.4990000000000004E-3</v>
      </c>
      <c r="F613">
        <v>858375249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0.13385826771653619</v>
      </c>
      <c r="Q613">
        <f t="shared" si="990"/>
        <v>114900623.88189042</v>
      </c>
      <c r="R613">
        <f t="shared" si="991"/>
        <v>6010953752.6599379</v>
      </c>
      <c r="S613">
        <f t="shared" si="992"/>
        <v>60109.537526599379</v>
      </c>
      <c r="T613">
        <f t="shared" si="993"/>
        <v>60.109537526599382</v>
      </c>
    </row>
    <row r="614" spans="1:20" x14ac:dyDescent="0.25">
      <c r="A614" s="5">
        <v>43979</v>
      </c>
      <c r="B614">
        <v>4.4099999999999999E-3</v>
      </c>
      <c r="C614">
        <v>4.6800000000000001E-3</v>
      </c>
      <c r="D614">
        <v>4.2820000000000002E-3</v>
      </c>
      <c r="E614">
        <v>4.5580000000000004E-3</v>
      </c>
      <c r="F614">
        <v>1379333516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0.38693467336683546</v>
      </c>
      <c r="Q614">
        <f t="shared" si="990"/>
        <v>533711963.47738868</v>
      </c>
      <c r="R614">
        <f t="shared" si="991"/>
        <v>5896053128.7780476</v>
      </c>
      <c r="S614">
        <f t="shared" si="992"/>
        <v>58960.531287780475</v>
      </c>
      <c r="T614">
        <f t="shared" si="993"/>
        <v>58.960531287780476</v>
      </c>
    </row>
    <row r="615" spans="1:20" x14ac:dyDescent="0.25">
      <c r="A615" s="5">
        <v>43978</v>
      </c>
      <c r="B615">
        <v>4.4590000000000003E-3</v>
      </c>
      <c r="C615">
        <v>4.5149999999999999E-3</v>
      </c>
      <c r="D615">
        <v>4.2620000000000002E-3</v>
      </c>
      <c r="E615">
        <v>4.4099999999999999E-3</v>
      </c>
      <c r="F615">
        <v>1298336545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0.16996047430829911</v>
      </c>
      <c r="Q615">
        <f t="shared" si="990"/>
        <v>220665894.99999833</v>
      </c>
      <c r="R615">
        <f t="shared" si="991"/>
        <v>5362341165.3006592</v>
      </c>
      <c r="S615">
        <f t="shared" si="992"/>
        <v>53623.411653006595</v>
      </c>
      <c r="T615">
        <f t="shared" si="993"/>
        <v>53.623411653006592</v>
      </c>
    </row>
    <row r="616" spans="1:20" x14ac:dyDescent="0.25">
      <c r="A616" s="5">
        <v>43977</v>
      </c>
      <c r="B616">
        <v>4.6030000000000003E-3</v>
      </c>
      <c r="C616">
        <v>4.8960000000000002E-3</v>
      </c>
      <c r="D616">
        <v>4.3600000000000002E-3</v>
      </c>
      <c r="E616">
        <v>4.4590000000000003E-3</v>
      </c>
      <c r="F616">
        <v>1948877178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-0.63059701492537268</v>
      </c>
      <c r="Q616">
        <f t="shared" si="990"/>
        <v>-1228956130.9029841</v>
      </c>
      <c r="R616">
        <f t="shared" si="991"/>
        <v>5141675270.3006611</v>
      </c>
      <c r="S616">
        <f t="shared" si="992"/>
        <v>51416.752703006612</v>
      </c>
      <c r="T616">
        <f t="shared" si="993"/>
        <v>51.416752703006615</v>
      </c>
    </row>
    <row r="617" spans="1:20" x14ac:dyDescent="0.25">
      <c r="A617" s="5">
        <v>43976</v>
      </c>
      <c r="B617">
        <v>3.7729999999999999E-3</v>
      </c>
      <c r="C617">
        <v>4.6979999999999999E-3</v>
      </c>
      <c r="D617">
        <v>3.751E-3</v>
      </c>
      <c r="E617">
        <v>4.5979999999999997E-3</v>
      </c>
      <c r="F617">
        <v>2800627739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0.78880675818373758</v>
      </c>
      <c r="Q617">
        <f t="shared" si="990"/>
        <v>2209154087.6800408</v>
      </c>
      <c r="R617">
        <f t="shared" si="991"/>
        <v>6370631401.2036457</v>
      </c>
      <c r="S617">
        <f t="shared" si="992"/>
        <v>63706.314012036455</v>
      </c>
      <c r="T617">
        <f t="shared" si="993"/>
        <v>63.706314012036458</v>
      </c>
    </row>
    <row r="618" spans="1:20" x14ac:dyDescent="0.25">
      <c r="A618" s="5">
        <v>43975</v>
      </c>
      <c r="B618">
        <v>3.9379999999999997E-3</v>
      </c>
      <c r="C618">
        <v>4.1399999999999996E-3</v>
      </c>
      <c r="D618">
        <v>3.7729999999999999E-3</v>
      </c>
      <c r="E618">
        <v>3.7729999999999999E-3</v>
      </c>
      <c r="F618">
        <v>845269748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-1</v>
      </c>
      <c r="Q618">
        <f t="shared" si="990"/>
        <v>-845269748</v>
      </c>
      <c r="R618">
        <f t="shared" si="991"/>
        <v>4161477313.5236044</v>
      </c>
      <c r="S618">
        <f t="shared" si="992"/>
        <v>41614.773135236042</v>
      </c>
      <c r="T618">
        <f t="shared" si="993"/>
        <v>41.614773135236042</v>
      </c>
    </row>
    <row r="619" spans="1:20" x14ac:dyDescent="0.25">
      <c r="A619" s="5">
        <v>43974</v>
      </c>
      <c r="B619">
        <v>4.1700000000000001E-3</v>
      </c>
      <c r="C619">
        <v>4.2500000000000003E-3</v>
      </c>
      <c r="D619">
        <v>3.8779999999999999E-3</v>
      </c>
      <c r="E619">
        <v>3.9389999999999998E-3</v>
      </c>
      <c r="F619">
        <v>857115179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-0.67204301075268924</v>
      </c>
      <c r="Q619">
        <f t="shared" si="990"/>
        <v>-576018265.45699012</v>
      </c>
      <c r="R619">
        <f t="shared" si="991"/>
        <v>5006747061.5236044</v>
      </c>
      <c r="S619">
        <f t="shared" si="992"/>
        <v>50067.470615236045</v>
      </c>
      <c r="T619">
        <f t="shared" si="993"/>
        <v>50.067470615236047</v>
      </c>
    </row>
    <row r="620" spans="1:20" x14ac:dyDescent="0.25">
      <c r="A620" s="5">
        <v>43973</v>
      </c>
      <c r="B620">
        <v>3.5660000000000002E-3</v>
      </c>
      <c r="C620">
        <v>4.339E-3</v>
      </c>
      <c r="D620">
        <v>3.509E-3</v>
      </c>
      <c r="E620">
        <v>4.1700000000000001E-3</v>
      </c>
      <c r="F620">
        <v>1775280095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0.59277108433734971</v>
      </c>
      <c r="Q620">
        <f t="shared" si="990"/>
        <v>1052334706.9156632</v>
      </c>
      <c r="R620">
        <f t="shared" si="991"/>
        <v>5582765326.9805946</v>
      </c>
      <c r="S620">
        <f t="shared" si="992"/>
        <v>55827.653269805945</v>
      </c>
      <c r="T620">
        <f t="shared" si="993"/>
        <v>55.827653269805943</v>
      </c>
    </row>
    <row r="621" spans="1:20" x14ac:dyDescent="0.25">
      <c r="A621" s="5">
        <v>43972</v>
      </c>
      <c r="B621">
        <v>3.5799999999999998E-3</v>
      </c>
      <c r="C621">
        <v>3.8409999999999998E-3</v>
      </c>
      <c r="D621">
        <v>3.3579999999999999E-3</v>
      </c>
      <c r="E621">
        <v>3.5660000000000002E-3</v>
      </c>
      <c r="F621">
        <v>1179543074</v>
      </c>
      <c r="G621">
        <v>0</v>
      </c>
      <c r="L621" t="s">
        <v>8</v>
      </c>
      <c r="M621" t="s">
        <v>8</v>
      </c>
      <c r="N621" t="s">
        <v>7</v>
      </c>
      <c r="P621">
        <f t="shared" si="989"/>
        <v>-0.13871635610765914</v>
      </c>
      <c r="Q621">
        <f t="shared" si="990"/>
        <v>-163621917.09730694</v>
      </c>
      <c r="R621">
        <f t="shared" si="991"/>
        <v>4530430620.0649309</v>
      </c>
      <c r="S621">
        <f t="shared" si="992"/>
        <v>45304.306200649306</v>
      </c>
      <c r="T621">
        <f t="shared" si="993"/>
        <v>45.304306200649307</v>
      </c>
    </row>
    <row r="622" spans="1:20" x14ac:dyDescent="0.25">
      <c r="A622" s="5">
        <v>43971</v>
      </c>
      <c r="B622">
        <v>3.5890000000000002E-3</v>
      </c>
      <c r="C622">
        <v>3.7030000000000001E-3</v>
      </c>
      <c r="D622">
        <v>3.5000000000000001E-3</v>
      </c>
      <c r="E622">
        <v>3.5799999999999998E-3</v>
      </c>
      <c r="F622">
        <v>549725781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-0.2118226600985246</v>
      </c>
      <c r="Q622">
        <f t="shared" si="990"/>
        <v>-116444377.25615898</v>
      </c>
      <c r="R622">
        <f t="shared" si="991"/>
        <v>4694052537.1622381</v>
      </c>
      <c r="S622">
        <f t="shared" si="992"/>
        <v>46940.525371622381</v>
      </c>
      <c r="T622">
        <f t="shared" si="993"/>
        <v>46.940525371622378</v>
      </c>
    </row>
    <row r="623" spans="1:20" x14ac:dyDescent="0.25">
      <c r="A623" s="5">
        <v>43970</v>
      </c>
      <c r="B623">
        <v>3.6410000000000001E-3</v>
      </c>
      <c r="C623">
        <v>3.6440000000000001E-3</v>
      </c>
      <c r="D623">
        <v>3.5279999999999999E-3</v>
      </c>
      <c r="E623">
        <v>3.5899999999999999E-3</v>
      </c>
      <c r="F623">
        <v>347485414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6.8965517241377117E-2</v>
      </c>
      <c r="Q623">
        <f t="shared" si="990"/>
        <v>23964511.310344066</v>
      </c>
      <c r="R623">
        <f t="shared" si="991"/>
        <v>4810496914.4183969</v>
      </c>
      <c r="S623">
        <f t="shared" si="992"/>
        <v>48104.969144183968</v>
      </c>
      <c r="T623">
        <f t="shared" si="993"/>
        <v>48.104969144183968</v>
      </c>
    </row>
    <row r="624" spans="1:20" x14ac:dyDescent="0.25">
      <c r="A624" s="5">
        <v>43969</v>
      </c>
      <c r="B624">
        <v>3.5049999999999999E-3</v>
      </c>
      <c r="C624">
        <v>3.6779999999999998E-3</v>
      </c>
      <c r="D624">
        <v>3.493E-3</v>
      </c>
      <c r="E624">
        <v>3.6389999999999999E-3</v>
      </c>
      <c r="F624">
        <v>386122478</v>
      </c>
      <c r="G624">
        <v>0</v>
      </c>
      <c r="L624" t="s">
        <v>8</v>
      </c>
      <c r="M624" t="s">
        <v>8</v>
      </c>
      <c r="N624" t="s">
        <v>7</v>
      </c>
      <c r="P624">
        <f t="shared" si="989"/>
        <v>0.57837837837837835</v>
      </c>
      <c r="Q624">
        <f t="shared" si="990"/>
        <v>223324892.68108109</v>
      </c>
      <c r="R624">
        <f t="shared" si="991"/>
        <v>4786532403.1080532</v>
      </c>
      <c r="S624">
        <f t="shared" si="992"/>
        <v>47865.324031080534</v>
      </c>
      <c r="T624">
        <f t="shared" si="993"/>
        <v>47.865324031080533</v>
      </c>
    </row>
    <row r="625" spans="1:20" x14ac:dyDescent="0.25">
      <c r="A625" s="5">
        <v>43968</v>
      </c>
      <c r="B625">
        <v>3.4970000000000001E-3</v>
      </c>
      <c r="C625">
        <v>3.6240000000000001E-3</v>
      </c>
      <c r="D625">
        <v>3.4770000000000001E-3</v>
      </c>
      <c r="E625">
        <v>3.5019999999999999E-3</v>
      </c>
      <c r="F625">
        <v>294634732</v>
      </c>
      <c r="G625">
        <v>0</v>
      </c>
      <c r="L625" t="s">
        <v>8</v>
      </c>
      <c r="M625" t="s">
        <v>8</v>
      </c>
      <c r="N625" t="s">
        <v>7</v>
      </c>
      <c r="P625">
        <f t="shared" si="989"/>
        <v>-0.65986394557823336</v>
      </c>
      <c r="Q625">
        <f t="shared" si="990"/>
        <v>-194418836.76190537</v>
      </c>
      <c r="R625">
        <f t="shared" si="991"/>
        <v>4563207510.4269724</v>
      </c>
      <c r="S625">
        <f t="shared" si="992"/>
        <v>45632.075104269723</v>
      </c>
      <c r="T625">
        <f t="shared" si="993"/>
        <v>45.632075104269724</v>
      </c>
    </row>
    <row r="626" spans="1:20" x14ac:dyDescent="0.25">
      <c r="A626" s="5">
        <v>43967</v>
      </c>
      <c r="B626">
        <v>3.4719999999999998E-3</v>
      </c>
      <c r="C626">
        <v>3.5620000000000001E-3</v>
      </c>
      <c r="D626">
        <v>3.447E-3</v>
      </c>
      <c r="E626">
        <v>3.4949999999999998E-3</v>
      </c>
      <c r="F626">
        <v>341684049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-0.16521739130435079</v>
      </c>
      <c r="Q626">
        <f t="shared" si="990"/>
        <v>-56452147.226087965</v>
      </c>
      <c r="R626">
        <f t="shared" si="991"/>
        <v>4757626347.1888781</v>
      </c>
      <c r="S626">
        <f t="shared" si="992"/>
        <v>47576.263471888778</v>
      </c>
      <c r="T626">
        <f t="shared" si="993"/>
        <v>47.57626347188878</v>
      </c>
    </row>
    <row r="627" spans="1:20" x14ac:dyDescent="0.25">
      <c r="A627" s="5">
        <v>43966</v>
      </c>
      <c r="B627">
        <v>3.5490000000000001E-3</v>
      </c>
      <c r="C627">
        <v>3.5959999999999998E-3</v>
      </c>
      <c r="D627">
        <v>3.4120000000000001E-3</v>
      </c>
      <c r="E627">
        <v>3.4719999999999998E-3</v>
      </c>
      <c r="F627">
        <v>538014084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-0.34782608695652367</v>
      </c>
      <c r="Q627">
        <f t="shared" si="990"/>
        <v>-187135333.56521842</v>
      </c>
      <c r="R627">
        <f t="shared" si="991"/>
        <v>4814078494.4149656</v>
      </c>
      <c r="S627">
        <f t="shared" si="992"/>
        <v>48140.784944149658</v>
      </c>
      <c r="T627">
        <f t="shared" si="993"/>
        <v>48.140784944149658</v>
      </c>
    </row>
    <row r="628" spans="1:20" x14ac:dyDescent="0.25">
      <c r="A628" s="5">
        <v>43965</v>
      </c>
      <c r="B628">
        <v>3.5409999999999999E-3</v>
      </c>
      <c r="C628">
        <v>3.617E-3</v>
      </c>
      <c r="D628">
        <v>3.473E-3</v>
      </c>
      <c r="E628">
        <v>3.5500000000000002E-3</v>
      </c>
      <c r="F628">
        <v>795529377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6.9444444444447626E-2</v>
      </c>
      <c r="Q628">
        <f t="shared" si="990"/>
        <v>55245095.625002533</v>
      </c>
      <c r="R628">
        <f t="shared" si="991"/>
        <v>5001213827.9801836</v>
      </c>
      <c r="S628">
        <f t="shared" si="992"/>
        <v>50012.138279801839</v>
      </c>
      <c r="T628">
        <f t="shared" si="993"/>
        <v>50.012138279801839</v>
      </c>
    </row>
    <row r="629" spans="1:20" x14ac:dyDescent="0.25">
      <c r="A629" s="5">
        <v>43964</v>
      </c>
      <c r="B629">
        <v>3.398E-3</v>
      </c>
      <c r="C629">
        <v>3.5969999999999999E-3</v>
      </c>
      <c r="D629">
        <v>3.3930000000000002E-3</v>
      </c>
      <c r="E629">
        <v>3.5439999999999998E-3</v>
      </c>
      <c r="F629">
        <v>424829579</v>
      </c>
      <c r="G629">
        <v>0</v>
      </c>
      <c r="L629" t="s">
        <v>8</v>
      </c>
      <c r="M629" t="s">
        <v>8</v>
      </c>
      <c r="N629" t="s">
        <v>7</v>
      </c>
      <c r="P629">
        <f t="shared" si="989"/>
        <v>0.48039215686274356</v>
      </c>
      <c r="Q629">
        <f t="shared" si="990"/>
        <v>204084797.75490132</v>
      </c>
      <c r="R629">
        <f t="shared" si="991"/>
        <v>4945968732.3551807</v>
      </c>
      <c r="S629">
        <f t="shared" si="992"/>
        <v>49459.687323551807</v>
      </c>
      <c r="T629">
        <f t="shared" si="993"/>
        <v>49.459687323551805</v>
      </c>
    </row>
    <row r="630" spans="1:20" x14ac:dyDescent="0.25">
      <c r="A630" s="5">
        <v>43963</v>
      </c>
      <c r="B630">
        <v>3.271E-3</v>
      </c>
      <c r="C630">
        <v>3.4650000000000002E-3</v>
      </c>
      <c r="D630">
        <v>3.2629999999999998E-3</v>
      </c>
      <c r="E630">
        <v>3.3960000000000001E-3</v>
      </c>
      <c r="F630">
        <v>415357970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0.31683168316831756</v>
      </c>
      <c r="Q630">
        <f t="shared" si="990"/>
        <v>131598564.75247554</v>
      </c>
      <c r="R630">
        <f t="shared" si="991"/>
        <v>4741883934.6002798</v>
      </c>
      <c r="S630">
        <f t="shared" si="992"/>
        <v>47418.839346002795</v>
      </c>
      <c r="T630">
        <f t="shared" si="993"/>
        <v>47.418839346002798</v>
      </c>
    </row>
    <row r="631" spans="1:20" x14ac:dyDescent="0.25">
      <c r="A631" s="5">
        <v>43962</v>
      </c>
      <c r="B631">
        <v>3.3540000000000002E-3</v>
      </c>
      <c r="C631">
        <v>3.4229999999999998E-3</v>
      </c>
      <c r="D631">
        <v>3.088E-3</v>
      </c>
      <c r="E631">
        <v>3.2680000000000001E-3</v>
      </c>
      <c r="F631">
        <v>725828857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7.4626865671642686E-2</v>
      </c>
      <c r="Q631">
        <f t="shared" si="990"/>
        <v>54166332.61194095</v>
      </c>
      <c r="R631">
        <f t="shared" si="991"/>
        <v>4610285369.8478041</v>
      </c>
      <c r="S631">
        <f t="shared" si="992"/>
        <v>46102.853698478044</v>
      </c>
      <c r="T631">
        <f t="shared" si="993"/>
        <v>46.102853698478043</v>
      </c>
    </row>
    <row r="632" spans="1:20" x14ac:dyDescent="0.25">
      <c r="A632" s="5">
        <v>43961</v>
      </c>
      <c r="B632">
        <v>3.7339999999999999E-3</v>
      </c>
      <c r="C632">
        <v>3.735E-3</v>
      </c>
      <c r="D632">
        <v>2.9229999999999998E-3</v>
      </c>
      <c r="E632">
        <v>3.3519999999999999E-3</v>
      </c>
      <c r="F632">
        <v>1250865989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5.6650246305418747E-2</v>
      </c>
      <c r="Q632">
        <f t="shared" si="990"/>
        <v>70861866.371921211</v>
      </c>
      <c r="R632">
        <f t="shared" si="991"/>
        <v>4556119037.2358627</v>
      </c>
      <c r="S632">
        <f t="shared" si="992"/>
        <v>45561.190372358629</v>
      </c>
      <c r="T632">
        <f t="shared" si="993"/>
        <v>45.561190372358631</v>
      </c>
    </row>
    <row r="633" spans="1:20" x14ac:dyDescent="0.25">
      <c r="A633" s="5">
        <v>43960</v>
      </c>
      <c r="B633">
        <v>3.8289999999999999E-3</v>
      </c>
      <c r="C633">
        <v>3.9519999999999998E-3</v>
      </c>
      <c r="D633">
        <v>3.6979999999999999E-3</v>
      </c>
      <c r="E633">
        <v>3.7339999999999999E-3</v>
      </c>
      <c r="F633">
        <v>517095457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-0.71653543307086598</v>
      </c>
      <c r="Q633">
        <f t="shared" si="990"/>
        <v>-370517217.22047234</v>
      </c>
      <c r="R633">
        <f t="shared" si="991"/>
        <v>4485257170.8639412</v>
      </c>
      <c r="S633">
        <f t="shared" si="992"/>
        <v>44852.571708639414</v>
      </c>
      <c r="T633">
        <f t="shared" si="993"/>
        <v>44.852571708639417</v>
      </c>
    </row>
    <row r="634" spans="1:20" x14ac:dyDescent="0.25">
      <c r="A634" s="5">
        <v>43959</v>
      </c>
      <c r="B634">
        <v>3.7000000000000002E-3</v>
      </c>
      <c r="C634">
        <v>3.8990000000000001E-3</v>
      </c>
      <c r="D634">
        <v>3.6410000000000001E-3</v>
      </c>
      <c r="E634">
        <v>3.8310000000000002E-3</v>
      </c>
      <c r="F634">
        <v>535165420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0.47286821705426418</v>
      </c>
      <c r="Q634">
        <f t="shared" si="990"/>
        <v>253062717.98449644</v>
      </c>
      <c r="R634">
        <f t="shared" si="991"/>
        <v>4855774388.0844135</v>
      </c>
      <c r="S634">
        <f t="shared" si="992"/>
        <v>48557.743880844137</v>
      </c>
      <c r="T634">
        <f t="shared" si="993"/>
        <v>48.557743880844136</v>
      </c>
    </row>
    <row r="635" spans="1:20" x14ac:dyDescent="0.25">
      <c r="A635" s="5">
        <v>43958</v>
      </c>
      <c r="B635">
        <v>3.571E-3</v>
      </c>
      <c r="C635">
        <v>3.7360000000000002E-3</v>
      </c>
      <c r="D635">
        <v>3.5330000000000001E-3</v>
      </c>
      <c r="E635">
        <v>3.699E-3</v>
      </c>
      <c r="F635">
        <v>602769928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0.63546798029556517</v>
      </c>
      <c r="Q635">
        <f t="shared" si="990"/>
        <v>383040988.72906321</v>
      </c>
      <c r="R635">
        <f t="shared" si="991"/>
        <v>4602711670.0999174</v>
      </c>
      <c r="S635">
        <f t="shared" si="992"/>
        <v>46027.116700999177</v>
      </c>
      <c r="T635">
        <f t="shared" si="993"/>
        <v>46.02711670099918</v>
      </c>
    </row>
    <row r="636" spans="1:20" x14ac:dyDescent="0.25">
      <c r="A636" s="5">
        <v>43957</v>
      </c>
      <c r="B636">
        <v>3.6979999999999999E-3</v>
      </c>
      <c r="C636">
        <v>3.8449999999999999E-3</v>
      </c>
      <c r="D636">
        <v>3.297E-3</v>
      </c>
      <c r="E636">
        <v>3.5699999999999998E-3</v>
      </c>
      <c r="F636">
        <v>749365581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-3.6496350364968355E-3</v>
      </c>
      <c r="Q636">
        <f t="shared" si="990"/>
        <v>-2734910.8795624073</v>
      </c>
      <c r="R636">
        <f t="shared" si="991"/>
        <v>4219670681.3708544</v>
      </c>
      <c r="S636">
        <f t="shared" si="992"/>
        <v>42196.706813708544</v>
      </c>
      <c r="T636">
        <f t="shared" si="993"/>
        <v>42.196706813708545</v>
      </c>
    </row>
    <row r="637" spans="1:20" x14ac:dyDescent="0.25">
      <c r="A637" s="5">
        <v>43956</v>
      </c>
      <c r="B637">
        <v>3.7550000000000001E-3</v>
      </c>
      <c r="C637">
        <v>3.8080000000000002E-3</v>
      </c>
      <c r="D637">
        <v>3.5950000000000001E-3</v>
      </c>
      <c r="E637">
        <v>3.699E-3</v>
      </c>
      <c r="F637">
        <v>670643278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-2.3474178403756939E-2</v>
      </c>
      <c r="Q637">
        <f t="shared" si="990"/>
        <v>-15742799.953052361</v>
      </c>
      <c r="R637">
        <f t="shared" si="991"/>
        <v>4222405592.2504168</v>
      </c>
      <c r="S637">
        <f t="shared" si="992"/>
        <v>42224.055922504165</v>
      </c>
      <c r="T637">
        <f t="shared" si="993"/>
        <v>42.224055922504164</v>
      </c>
    </row>
    <row r="638" spans="1:20" x14ac:dyDescent="0.25">
      <c r="A638" s="5">
        <v>43955</v>
      </c>
      <c r="B638">
        <v>3.8040000000000001E-3</v>
      </c>
      <c r="C638">
        <v>3.8119999999999999E-3</v>
      </c>
      <c r="D638">
        <v>3.5270000000000002E-3</v>
      </c>
      <c r="E638">
        <v>3.754E-3</v>
      </c>
      <c r="F638">
        <v>679270689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0.59298245614035117</v>
      </c>
      <c r="Q638">
        <f t="shared" si="990"/>
        <v>402795601.54736865</v>
      </c>
      <c r="R638">
        <f t="shared" si="991"/>
        <v>4238148392.2034693</v>
      </c>
      <c r="S638">
        <f t="shared" si="992"/>
        <v>42381.483922034691</v>
      </c>
      <c r="T638">
        <f t="shared" si="993"/>
        <v>42.38148392203469</v>
      </c>
    </row>
    <row r="639" spans="1:20" x14ac:dyDescent="0.25">
      <c r="A639" s="5">
        <v>43954</v>
      </c>
      <c r="B639">
        <v>3.9329999999999999E-3</v>
      </c>
      <c r="C639">
        <v>4.0289999999999996E-3</v>
      </c>
      <c r="D639">
        <v>3.7130000000000002E-3</v>
      </c>
      <c r="E639">
        <v>3.8040000000000001E-3</v>
      </c>
      <c r="F639">
        <v>524721525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-0.42405063291139178</v>
      </c>
      <c r="Q639">
        <f t="shared" si="990"/>
        <v>-222508494.77848068</v>
      </c>
      <c r="R639">
        <f t="shared" si="991"/>
        <v>3835352790.6561007</v>
      </c>
      <c r="S639">
        <f t="shared" si="992"/>
        <v>38353.527906561008</v>
      </c>
      <c r="T639">
        <f t="shared" si="993"/>
        <v>38.353527906561006</v>
      </c>
    </row>
    <row r="640" spans="1:20" x14ac:dyDescent="0.25">
      <c r="A640" s="5">
        <v>43953</v>
      </c>
      <c r="B640">
        <v>3.7950000000000002E-3</v>
      </c>
      <c r="C640">
        <v>3.96E-3</v>
      </c>
      <c r="D640">
        <v>3.7680000000000001E-3</v>
      </c>
      <c r="E640">
        <v>3.9329999999999999E-3</v>
      </c>
      <c r="F640">
        <v>412069942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0.71874999999999867</v>
      </c>
      <c r="Q640">
        <f t="shared" si="990"/>
        <v>296175270.81249946</v>
      </c>
      <c r="R640">
        <f t="shared" si="991"/>
        <v>4057861285.4345813</v>
      </c>
      <c r="S640">
        <f t="shared" si="992"/>
        <v>40578.612854345811</v>
      </c>
      <c r="T640">
        <f t="shared" si="993"/>
        <v>40.578612854345813</v>
      </c>
    </row>
    <row r="641" spans="1:20" x14ac:dyDescent="0.25">
      <c r="A641" s="5">
        <v>43952</v>
      </c>
      <c r="B641">
        <v>3.6610000000000002E-3</v>
      </c>
      <c r="C641">
        <v>3.9329999999999999E-3</v>
      </c>
      <c r="D641">
        <v>3.6579999999999998E-3</v>
      </c>
      <c r="E641">
        <v>3.7910000000000001E-3</v>
      </c>
      <c r="F641">
        <v>547591495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-3.2727272727270752E-2</v>
      </c>
      <c r="Q641">
        <f t="shared" si="990"/>
        <v>-17921176.199998919</v>
      </c>
      <c r="R641">
        <f t="shared" si="991"/>
        <v>3761686014.6220818</v>
      </c>
      <c r="S641">
        <f t="shared" si="992"/>
        <v>37616.860146220817</v>
      </c>
      <c r="T641">
        <f t="shared" si="993"/>
        <v>37.616860146220816</v>
      </c>
    </row>
    <row r="642" spans="1:20" x14ac:dyDescent="0.25">
      <c r="A642" s="5">
        <v>43951</v>
      </c>
      <c r="B642">
        <v>3.9259999999999998E-3</v>
      </c>
      <c r="C642">
        <v>4.0270000000000002E-3</v>
      </c>
      <c r="D642">
        <v>3.5959999999999998E-3</v>
      </c>
      <c r="E642">
        <v>3.6600000000000001E-3</v>
      </c>
      <c r="F642">
        <v>956571315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-0.70301624129930307</v>
      </c>
      <c r="Q642">
        <f t="shared" si="990"/>
        <v>-672485170.40603161</v>
      </c>
      <c r="R642">
        <f t="shared" si="991"/>
        <v>3779607190.8220806</v>
      </c>
      <c r="S642">
        <f t="shared" si="992"/>
        <v>37796.071908220809</v>
      </c>
      <c r="T642">
        <f t="shared" si="993"/>
        <v>37.79607190822081</v>
      </c>
    </row>
    <row r="643" spans="1:20" x14ac:dyDescent="0.25">
      <c r="A643" s="5">
        <v>43950</v>
      </c>
      <c r="B643">
        <v>3.5200000000000001E-3</v>
      </c>
      <c r="C643">
        <v>3.9979999999999998E-3</v>
      </c>
      <c r="D643">
        <v>3.5140000000000002E-3</v>
      </c>
      <c r="E643">
        <v>3.9220000000000001E-3</v>
      </c>
      <c r="F643">
        <v>1334407354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0.68595041322314154</v>
      </c>
      <c r="Q643">
        <f t="shared" si="990"/>
        <v>915337275.88429892</v>
      </c>
      <c r="R643">
        <f t="shared" si="991"/>
        <v>4452092361.2281122</v>
      </c>
      <c r="S643">
        <f t="shared" si="992"/>
        <v>44520.92361228112</v>
      </c>
      <c r="T643">
        <f t="shared" si="993"/>
        <v>44.520923612281123</v>
      </c>
    </row>
    <row r="644" spans="1:20" x14ac:dyDescent="0.25">
      <c r="A644" s="5">
        <v>43949</v>
      </c>
      <c r="B644">
        <v>3.5360000000000001E-3</v>
      </c>
      <c r="C644">
        <v>3.5820000000000001E-3</v>
      </c>
      <c r="D644">
        <v>3.434E-3</v>
      </c>
      <c r="E644">
        <v>3.5200000000000001E-3</v>
      </c>
      <c r="F644">
        <v>431036670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0.16216216216216303</v>
      </c>
      <c r="Q644">
        <f t="shared" si="990"/>
        <v>69897838.378378749</v>
      </c>
      <c r="R644">
        <f t="shared" si="991"/>
        <v>3536755085.3438129</v>
      </c>
      <c r="S644">
        <f t="shared" si="992"/>
        <v>35367.55085343813</v>
      </c>
      <c r="T644">
        <f t="shared" si="993"/>
        <v>35.367550853438132</v>
      </c>
    </row>
    <row r="645" spans="1:20" x14ac:dyDescent="0.25">
      <c r="A645" s="5">
        <v>43948</v>
      </c>
      <c r="B645">
        <v>3.578E-3</v>
      </c>
      <c r="C645">
        <v>3.6240000000000001E-3</v>
      </c>
      <c r="D645">
        <v>3.382E-3</v>
      </c>
      <c r="E645">
        <v>3.5379999999999999E-3</v>
      </c>
      <c r="F645">
        <v>461248348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0.28925619834710636</v>
      </c>
      <c r="Q645">
        <f t="shared" si="990"/>
        <v>133418943.63636313</v>
      </c>
      <c r="R645">
        <f t="shared" si="991"/>
        <v>3466857246.9654341</v>
      </c>
      <c r="S645">
        <f t="shared" si="992"/>
        <v>34668.57246965434</v>
      </c>
      <c r="T645">
        <f t="shared" si="993"/>
        <v>34.668572469654343</v>
      </c>
    </row>
    <row r="646" spans="1:20" x14ac:dyDescent="0.25">
      <c r="A646" s="5">
        <v>43947</v>
      </c>
      <c r="B646">
        <v>3.5249999999999999E-3</v>
      </c>
      <c r="C646">
        <v>3.6740000000000002E-3</v>
      </c>
      <c r="D646">
        <v>3.47E-3</v>
      </c>
      <c r="E646">
        <v>3.5769999999999999E-3</v>
      </c>
      <c r="F646">
        <v>517716345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4.9019607843135214E-2</v>
      </c>
      <c r="Q646">
        <f t="shared" ref="Q646:Q709" si="995">F646*P646</f>
        <v>25378252.205881298</v>
      </c>
      <c r="R646">
        <f t="shared" ref="R646:R709" si="996">R647+Q646</f>
        <v>3333438303.329071</v>
      </c>
      <c r="S646">
        <f t="shared" ref="S646:S709" si="997">R646/100000</f>
        <v>33334.383033290709</v>
      </c>
      <c r="T646">
        <f t="shared" ref="T646:T709" si="998">S646/1000</f>
        <v>33.334383033290706</v>
      </c>
    </row>
    <row r="647" spans="1:20" x14ac:dyDescent="0.25">
      <c r="A647" s="5">
        <v>43946</v>
      </c>
      <c r="B647">
        <v>3.5890000000000002E-3</v>
      </c>
      <c r="C647">
        <v>3.6389999999999999E-3</v>
      </c>
      <c r="D647">
        <v>3.4680000000000002E-3</v>
      </c>
      <c r="E647">
        <v>3.5270000000000002E-3</v>
      </c>
      <c r="F647">
        <v>615918158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-0.3099415204678348</v>
      </c>
      <c r="Q647">
        <f t="shared" si="995"/>
        <v>-190898610.37426811</v>
      </c>
      <c r="R647">
        <f t="shared" si="996"/>
        <v>3308060051.1231899</v>
      </c>
      <c r="S647">
        <f t="shared" si="997"/>
        <v>33080.600511231896</v>
      </c>
      <c r="T647">
        <f t="shared" si="998"/>
        <v>33.080600511231893</v>
      </c>
    </row>
    <row r="648" spans="1:20" x14ac:dyDescent="0.25">
      <c r="A648" s="5">
        <v>43945</v>
      </c>
      <c r="B648">
        <v>3.336E-3</v>
      </c>
      <c r="C648">
        <v>3.7260000000000001E-3</v>
      </c>
      <c r="D648">
        <v>3.2669999999999999E-3</v>
      </c>
      <c r="E648">
        <v>3.5869999999999999E-3</v>
      </c>
      <c r="F648">
        <v>1293475542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0.39433551198257005</v>
      </c>
      <c r="Q648">
        <f t="shared" si="995"/>
        <v>510063340.09150231</v>
      </c>
      <c r="R648">
        <f t="shared" si="996"/>
        <v>3498958661.497458</v>
      </c>
      <c r="S648">
        <f t="shared" si="997"/>
        <v>34989.586614974578</v>
      </c>
      <c r="T648">
        <f t="shared" si="998"/>
        <v>34.989586614974577</v>
      </c>
    </row>
    <row r="649" spans="1:20" x14ac:dyDescent="0.25">
      <c r="A649" s="5">
        <v>43944</v>
      </c>
      <c r="B649">
        <v>3.1819999999999999E-3</v>
      </c>
      <c r="C649">
        <v>3.424E-3</v>
      </c>
      <c r="D649">
        <v>3.0890000000000002E-3</v>
      </c>
      <c r="E649">
        <v>3.336E-3</v>
      </c>
      <c r="F649">
        <v>532048200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0.47462686567164164</v>
      </c>
      <c r="Q649">
        <f t="shared" si="995"/>
        <v>252524369.55223873</v>
      </c>
      <c r="R649">
        <f t="shared" si="996"/>
        <v>2988895321.4059558</v>
      </c>
      <c r="S649">
        <f t="shared" si="997"/>
        <v>29888.953214059558</v>
      </c>
      <c r="T649">
        <f t="shared" si="998"/>
        <v>29.888953214059558</v>
      </c>
    </row>
    <row r="650" spans="1:20" x14ac:dyDescent="0.25">
      <c r="A650" s="5">
        <v>43943</v>
      </c>
      <c r="B650">
        <v>3.0439999999999998E-3</v>
      </c>
      <c r="C650">
        <v>3.2000000000000002E-3</v>
      </c>
      <c r="D650">
        <v>3.0240000000000002E-3</v>
      </c>
      <c r="E650">
        <v>3.1779999999999998E-3</v>
      </c>
      <c r="F650">
        <v>256756229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0.74999999999999634</v>
      </c>
      <c r="Q650">
        <f t="shared" si="995"/>
        <v>192567171.74999905</v>
      </c>
      <c r="R650">
        <f t="shared" si="996"/>
        <v>2736370951.8537169</v>
      </c>
      <c r="S650">
        <f t="shared" si="997"/>
        <v>27363.709518537169</v>
      </c>
      <c r="T650">
        <f t="shared" si="998"/>
        <v>27.363709518537171</v>
      </c>
    </row>
    <row r="651" spans="1:20" x14ac:dyDescent="0.25">
      <c r="A651" s="5">
        <v>43942</v>
      </c>
      <c r="B651">
        <v>3.0500000000000002E-3</v>
      </c>
      <c r="C651">
        <v>3.104E-3</v>
      </c>
      <c r="D651">
        <v>2.9719999999999998E-3</v>
      </c>
      <c r="E651">
        <v>3.0439999999999998E-3</v>
      </c>
      <c r="F651">
        <v>418855732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9.0909090909089718E-2</v>
      </c>
      <c r="Q651">
        <f t="shared" si="995"/>
        <v>38077793.818181321</v>
      </c>
      <c r="R651">
        <f t="shared" si="996"/>
        <v>2543803780.1037178</v>
      </c>
      <c r="S651">
        <f t="shared" si="997"/>
        <v>25438.037801037179</v>
      </c>
      <c r="T651">
        <f t="shared" si="998"/>
        <v>25.438037801037179</v>
      </c>
    </row>
    <row r="652" spans="1:20" x14ac:dyDescent="0.25">
      <c r="A652" s="5">
        <v>43941</v>
      </c>
      <c r="B652">
        <v>3.2729999999999999E-3</v>
      </c>
      <c r="C652">
        <v>3.3570000000000002E-3</v>
      </c>
      <c r="D652">
        <v>3.0119999999999999E-3</v>
      </c>
      <c r="E652">
        <v>3.052E-3</v>
      </c>
      <c r="F652">
        <v>579327625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-0.76811594202898503</v>
      </c>
      <c r="Q652">
        <f t="shared" si="995"/>
        <v>-444990784.42028958</v>
      </c>
      <c r="R652">
        <f t="shared" si="996"/>
        <v>2505725986.2855363</v>
      </c>
      <c r="S652">
        <f t="shared" si="997"/>
        <v>25057.259862855364</v>
      </c>
      <c r="T652">
        <f t="shared" si="998"/>
        <v>25.057259862855364</v>
      </c>
    </row>
    <row r="653" spans="1:20" x14ac:dyDescent="0.25">
      <c r="A653" s="5">
        <v>43940</v>
      </c>
      <c r="B653">
        <v>3.405E-3</v>
      </c>
      <c r="C653">
        <v>3.4229999999999998E-3</v>
      </c>
      <c r="D653">
        <v>3.2490000000000002E-3</v>
      </c>
      <c r="E653">
        <v>3.277E-3</v>
      </c>
      <c r="F653">
        <v>269986910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-0.67816091954023139</v>
      </c>
      <c r="Q653">
        <f t="shared" si="995"/>
        <v>-183094571.14942569</v>
      </c>
      <c r="R653">
        <f t="shared" si="996"/>
        <v>2950716770.7058258</v>
      </c>
      <c r="S653">
        <f t="shared" si="997"/>
        <v>29507.167707058259</v>
      </c>
      <c r="T653">
        <f t="shared" si="998"/>
        <v>29.507167707058258</v>
      </c>
    </row>
    <row r="654" spans="1:20" x14ac:dyDescent="0.25">
      <c r="A654" s="5">
        <v>43939</v>
      </c>
      <c r="B654">
        <v>3.2590000000000002E-3</v>
      </c>
      <c r="C654">
        <v>3.4650000000000002E-3</v>
      </c>
      <c r="D654">
        <v>3.258E-3</v>
      </c>
      <c r="E654">
        <v>3.405E-3</v>
      </c>
      <c r="F654">
        <v>520648400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0.42028985507246269</v>
      </c>
      <c r="Q654">
        <f t="shared" si="995"/>
        <v>218823240.57970959</v>
      </c>
      <c r="R654">
        <f t="shared" si="996"/>
        <v>3133811341.8552513</v>
      </c>
      <c r="S654">
        <f t="shared" si="997"/>
        <v>31338.113418552512</v>
      </c>
      <c r="T654">
        <f t="shared" si="998"/>
        <v>31.33811341855251</v>
      </c>
    </row>
    <row r="655" spans="1:20" x14ac:dyDescent="0.25">
      <c r="A655" s="5">
        <v>43938</v>
      </c>
      <c r="B655">
        <v>3.2829999999999999E-3</v>
      </c>
      <c r="C655">
        <v>3.3210000000000002E-3</v>
      </c>
      <c r="D655">
        <v>3.2369999999999999E-3</v>
      </c>
      <c r="E655">
        <v>3.2599999999999999E-3</v>
      </c>
      <c r="F655">
        <v>395374417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-0.45238095238095399</v>
      </c>
      <c r="Q655">
        <f t="shared" si="995"/>
        <v>-178859855.30952445</v>
      </c>
      <c r="R655">
        <f t="shared" si="996"/>
        <v>2914988101.2755418</v>
      </c>
      <c r="S655">
        <f t="shared" si="997"/>
        <v>29149.881012755417</v>
      </c>
      <c r="T655">
        <f t="shared" si="998"/>
        <v>29.149881012755419</v>
      </c>
    </row>
    <row r="656" spans="1:20" x14ac:dyDescent="0.25">
      <c r="A656" s="5">
        <v>43937</v>
      </c>
      <c r="B656">
        <v>3.0209999999999998E-3</v>
      </c>
      <c r="C656">
        <v>3.3219999999999999E-3</v>
      </c>
      <c r="D656">
        <v>2.9229999999999998E-3</v>
      </c>
      <c r="E656">
        <v>3.2789999999999998E-3</v>
      </c>
      <c r="F656">
        <v>782551767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0.78446115288220519</v>
      </c>
      <c r="Q656">
        <f t="shared" si="995"/>
        <v>613881461.33082676</v>
      </c>
      <c r="R656">
        <f t="shared" si="996"/>
        <v>3093847956.5850663</v>
      </c>
      <c r="S656">
        <f t="shared" si="997"/>
        <v>30938.479565850663</v>
      </c>
      <c r="T656">
        <f t="shared" si="998"/>
        <v>30.938479565850663</v>
      </c>
    </row>
    <row r="657" spans="1:20" x14ac:dyDescent="0.25">
      <c r="A657" s="5">
        <v>43936</v>
      </c>
      <c r="B657">
        <v>3.16E-3</v>
      </c>
      <c r="C657">
        <v>3.2139999999999998E-3</v>
      </c>
      <c r="D657">
        <v>3.0179999999999998E-3</v>
      </c>
      <c r="E657">
        <v>3.0209999999999998E-3</v>
      </c>
      <c r="F657">
        <v>317226046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-0.96938775510204123</v>
      </c>
      <c r="Q657">
        <f t="shared" si="995"/>
        <v>-307515044.59183687</v>
      </c>
      <c r="R657">
        <f t="shared" si="996"/>
        <v>2479966495.2542396</v>
      </c>
      <c r="S657">
        <f t="shared" si="997"/>
        <v>24799.664952542396</v>
      </c>
      <c r="T657">
        <f t="shared" si="998"/>
        <v>24.799664952542397</v>
      </c>
    </row>
    <row r="658" spans="1:20" x14ac:dyDescent="0.25">
      <c r="A658" s="5">
        <v>43935</v>
      </c>
      <c r="B658">
        <v>3.1719999999999999E-3</v>
      </c>
      <c r="C658">
        <v>3.2230000000000002E-3</v>
      </c>
      <c r="D658">
        <v>3.0999999999999999E-3</v>
      </c>
      <c r="E658">
        <v>3.163E-3</v>
      </c>
      <c r="F658">
        <v>385077311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2.4390243902438682E-2</v>
      </c>
      <c r="Q658">
        <f t="shared" si="995"/>
        <v>9392129.5365852341</v>
      </c>
      <c r="R658">
        <f t="shared" si="996"/>
        <v>2787481539.8460765</v>
      </c>
      <c r="S658">
        <f t="shared" si="997"/>
        <v>27874.815398460763</v>
      </c>
      <c r="T658">
        <f t="shared" si="998"/>
        <v>27.874815398460765</v>
      </c>
    </row>
    <row r="659" spans="1:20" x14ac:dyDescent="0.25">
      <c r="A659" s="5">
        <v>43934</v>
      </c>
      <c r="B659">
        <v>3.1649999999999998E-3</v>
      </c>
      <c r="C659">
        <v>3.2039999999999998E-3</v>
      </c>
      <c r="D659">
        <v>3.0270000000000002E-3</v>
      </c>
      <c r="E659">
        <v>3.1719999999999999E-3</v>
      </c>
      <c r="F659">
        <v>524477400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0.63841807909604542</v>
      </c>
      <c r="Q659">
        <f t="shared" si="995"/>
        <v>334835854.23728824</v>
      </c>
      <c r="R659">
        <f t="shared" si="996"/>
        <v>2778089410.3094912</v>
      </c>
      <c r="S659">
        <f t="shared" si="997"/>
        <v>27780.89410309491</v>
      </c>
      <c r="T659">
        <f t="shared" si="998"/>
        <v>27.780894103094909</v>
      </c>
    </row>
    <row r="660" spans="1:20" x14ac:dyDescent="0.25">
      <c r="A660" s="5">
        <v>43933</v>
      </c>
      <c r="B660">
        <v>3.1510000000000002E-3</v>
      </c>
      <c r="C660">
        <v>3.3019999999999998E-3</v>
      </c>
      <c r="D660">
        <v>3.091E-3</v>
      </c>
      <c r="E660">
        <v>3.1689999999999999E-3</v>
      </c>
      <c r="F660">
        <v>399290272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-0.2606635071090046</v>
      </c>
      <c r="Q660">
        <f t="shared" si="995"/>
        <v>-104080402.65402839</v>
      </c>
      <c r="R660">
        <f t="shared" si="996"/>
        <v>2443253556.0722032</v>
      </c>
      <c r="S660">
        <f t="shared" si="997"/>
        <v>24432.53556072203</v>
      </c>
      <c r="T660">
        <f t="shared" si="998"/>
        <v>24.43253556072203</v>
      </c>
    </row>
    <row r="661" spans="1:20" x14ac:dyDescent="0.25">
      <c r="A661" s="5">
        <v>43932</v>
      </c>
      <c r="B661">
        <v>3.1689999999999999E-3</v>
      </c>
      <c r="C661">
        <v>3.2399999999999998E-3</v>
      </c>
      <c r="D661">
        <v>3.0660000000000001E-3</v>
      </c>
      <c r="E661">
        <v>3.15E-3</v>
      </c>
      <c r="F661">
        <v>387183915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-3.4482758620689315E-2</v>
      </c>
      <c r="Q661">
        <f t="shared" si="995"/>
        <v>-13351169.482758489</v>
      </c>
      <c r="R661">
        <f t="shared" si="996"/>
        <v>2547333958.7262316</v>
      </c>
      <c r="S661">
        <f t="shared" si="997"/>
        <v>25473.339587262315</v>
      </c>
      <c r="T661">
        <f t="shared" si="998"/>
        <v>25.473339587262316</v>
      </c>
    </row>
    <row r="662" spans="1:20" x14ac:dyDescent="0.25">
      <c r="A662" s="5">
        <v>43931</v>
      </c>
      <c r="B662">
        <v>3.4910000000000002E-3</v>
      </c>
      <c r="C662">
        <v>3.516E-3</v>
      </c>
      <c r="D662">
        <v>3.0990000000000002E-3</v>
      </c>
      <c r="E662">
        <v>3.1689999999999999E-3</v>
      </c>
      <c r="F662">
        <v>816915023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-0.66426858513189557</v>
      </c>
      <c r="Q662">
        <f t="shared" si="995"/>
        <v>-542650986.50119996</v>
      </c>
      <c r="R662">
        <f t="shared" si="996"/>
        <v>2560685128.2089901</v>
      </c>
      <c r="S662">
        <f t="shared" si="997"/>
        <v>25606.851282089901</v>
      </c>
      <c r="T662">
        <f t="shared" si="998"/>
        <v>25.606851282089902</v>
      </c>
    </row>
    <row r="663" spans="1:20" x14ac:dyDescent="0.25">
      <c r="A663" s="5">
        <v>43930</v>
      </c>
      <c r="B663">
        <v>3.571E-3</v>
      </c>
      <c r="C663">
        <v>3.6380000000000002E-3</v>
      </c>
      <c r="D663">
        <v>3.4129999999999998E-3</v>
      </c>
      <c r="E663">
        <v>3.4910000000000002E-3</v>
      </c>
      <c r="F663">
        <v>355281234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-0.30666666666666448</v>
      </c>
      <c r="Q663">
        <f t="shared" si="995"/>
        <v>-108952911.75999922</v>
      </c>
      <c r="R663">
        <f t="shared" si="996"/>
        <v>3103336114.7101898</v>
      </c>
      <c r="S663">
        <f t="shared" si="997"/>
        <v>31033.361147101899</v>
      </c>
      <c r="T663">
        <f t="shared" si="998"/>
        <v>31.0333611471019</v>
      </c>
    </row>
    <row r="664" spans="1:20" x14ac:dyDescent="0.25">
      <c r="A664" s="5">
        <v>43929</v>
      </c>
      <c r="B664">
        <v>3.3960000000000001E-3</v>
      </c>
      <c r="C664">
        <v>3.5729999999999998E-3</v>
      </c>
      <c r="D664">
        <v>3.3670000000000002E-3</v>
      </c>
      <c r="E664">
        <v>3.571E-3</v>
      </c>
      <c r="F664">
        <v>417743381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0.98058252427184622</v>
      </c>
      <c r="Q664">
        <f t="shared" si="995"/>
        <v>409631859.03883559</v>
      </c>
      <c r="R664">
        <f t="shared" si="996"/>
        <v>3212289026.4701891</v>
      </c>
      <c r="S664">
        <f t="shared" si="997"/>
        <v>32122.890264701891</v>
      </c>
      <c r="T664">
        <f t="shared" si="998"/>
        <v>32.122890264701894</v>
      </c>
    </row>
    <row r="665" spans="1:20" x14ac:dyDescent="0.25">
      <c r="A665" s="5">
        <v>43928</v>
      </c>
      <c r="B665">
        <v>3.4919999999999999E-3</v>
      </c>
      <c r="C665">
        <v>3.65E-3</v>
      </c>
      <c r="D665">
        <v>3.3300000000000001E-3</v>
      </c>
      <c r="E665">
        <v>3.395E-3</v>
      </c>
      <c r="F665">
        <v>763082821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-0.59375000000000022</v>
      </c>
      <c r="Q665">
        <f t="shared" si="995"/>
        <v>-453080424.96875018</v>
      </c>
      <c r="R665">
        <f t="shared" si="996"/>
        <v>2802657167.4313536</v>
      </c>
      <c r="S665">
        <f t="shared" si="997"/>
        <v>28026.571674313534</v>
      </c>
      <c r="T665">
        <f t="shared" si="998"/>
        <v>28.026571674313534</v>
      </c>
    </row>
    <row r="666" spans="1:20" x14ac:dyDescent="0.25">
      <c r="A666" s="5">
        <v>43927</v>
      </c>
      <c r="B666">
        <v>3.1570000000000001E-3</v>
      </c>
      <c r="C666">
        <v>3.5349999999999999E-3</v>
      </c>
      <c r="D666">
        <v>3.1570000000000001E-3</v>
      </c>
      <c r="E666">
        <v>3.49E-3</v>
      </c>
      <c r="F666">
        <v>596000296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0.76190476190476231</v>
      </c>
      <c r="Q666">
        <f t="shared" si="995"/>
        <v>454095463.61904788</v>
      </c>
      <c r="R666">
        <f t="shared" si="996"/>
        <v>3255737592.4001036</v>
      </c>
      <c r="S666">
        <f t="shared" si="997"/>
        <v>32557.375924001037</v>
      </c>
      <c r="T666">
        <f t="shared" si="998"/>
        <v>32.557375924001036</v>
      </c>
    </row>
    <row r="667" spans="1:20" x14ac:dyDescent="0.25">
      <c r="A667" s="5">
        <v>43926</v>
      </c>
      <c r="B667">
        <v>3.241E-3</v>
      </c>
      <c r="C667">
        <v>3.2789999999999998E-3</v>
      </c>
      <c r="D667">
        <v>3.1310000000000001E-3</v>
      </c>
      <c r="E667">
        <v>3.1570000000000001E-3</v>
      </c>
      <c r="F667">
        <v>317495594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-0.64864864864864813</v>
      </c>
      <c r="Q667">
        <f t="shared" si="995"/>
        <v>-205943087.99999982</v>
      </c>
      <c r="R667">
        <f t="shared" si="996"/>
        <v>2801642128.7810555</v>
      </c>
      <c r="S667">
        <f t="shared" si="997"/>
        <v>28016.421287810554</v>
      </c>
      <c r="T667">
        <f t="shared" si="998"/>
        <v>28.016421287810555</v>
      </c>
    </row>
    <row r="668" spans="1:20" x14ac:dyDescent="0.25">
      <c r="A668" s="5">
        <v>43925</v>
      </c>
      <c r="B668">
        <v>3.166E-3</v>
      </c>
      <c r="C668">
        <v>3.2959999999999999E-3</v>
      </c>
      <c r="D668">
        <v>3.1589999999999999E-3</v>
      </c>
      <c r="E668">
        <v>3.241E-3</v>
      </c>
      <c r="F668">
        <v>455017399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0.19708029197080379</v>
      </c>
      <c r="Q668">
        <f t="shared" si="995"/>
        <v>89674961.846715719</v>
      </c>
      <c r="R668">
        <f t="shared" si="996"/>
        <v>3007585216.7810555</v>
      </c>
      <c r="S668">
        <f t="shared" si="997"/>
        <v>30075.852167810554</v>
      </c>
      <c r="T668">
        <f t="shared" si="998"/>
        <v>30.075852167810552</v>
      </c>
    </row>
    <row r="669" spans="1:20" x14ac:dyDescent="0.25">
      <c r="A669" s="5">
        <v>43924</v>
      </c>
      <c r="B669">
        <v>3.1199999999999999E-3</v>
      </c>
      <c r="C669">
        <v>3.2759999999999998E-3</v>
      </c>
      <c r="D669">
        <v>3.078E-3</v>
      </c>
      <c r="E669">
        <v>3.1689999999999999E-3</v>
      </c>
      <c r="F669">
        <v>537770585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-8.0808080808080648E-2</v>
      </c>
      <c r="Q669">
        <f t="shared" si="995"/>
        <v>-43456208.888888806</v>
      </c>
      <c r="R669">
        <f t="shared" si="996"/>
        <v>2917910254.9343395</v>
      </c>
      <c r="S669">
        <f t="shared" si="997"/>
        <v>29179.102549343395</v>
      </c>
      <c r="T669">
        <f t="shared" si="998"/>
        <v>29.179102549343394</v>
      </c>
    </row>
    <row r="670" spans="1:20" x14ac:dyDescent="0.25">
      <c r="A670" s="5">
        <v>43923</v>
      </c>
      <c r="B670">
        <v>3.0370000000000002E-3</v>
      </c>
      <c r="C670">
        <v>3.349E-3</v>
      </c>
      <c r="D670">
        <v>3.0370000000000002E-3</v>
      </c>
      <c r="E670">
        <v>3.1220000000000002E-3</v>
      </c>
      <c r="F670">
        <v>790866850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-0.45512820512820468</v>
      </c>
      <c r="Q670">
        <f t="shared" si="995"/>
        <v>-359945809.93589705</v>
      </c>
      <c r="R670">
        <f t="shared" si="996"/>
        <v>2961366463.8232284</v>
      </c>
      <c r="S670">
        <f t="shared" si="997"/>
        <v>29613.664638232283</v>
      </c>
      <c r="T670">
        <f t="shared" si="998"/>
        <v>29.613664638232283</v>
      </c>
    </row>
    <row r="671" spans="1:20" x14ac:dyDescent="0.25">
      <c r="A671" s="5">
        <v>43922</v>
      </c>
      <c r="B671">
        <v>3.0349999999999999E-3</v>
      </c>
      <c r="C671">
        <v>3.0500000000000002E-3</v>
      </c>
      <c r="D671">
        <v>2.882E-3</v>
      </c>
      <c r="E671">
        <v>3.0360000000000001E-3</v>
      </c>
      <c r="F671">
        <v>495043173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0.83333333333333204</v>
      </c>
      <c r="Q671">
        <f t="shared" si="995"/>
        <v>412535977.49999934</v>
      </c>
      <c r="R671">
        <f t="shared" si="996"/>
        <v>3321312273.7591252</v>
      </c>
      <c r="S671">
        <f t="shared" si="997"/>
        <v>33213.122737591249</v>
      </c>
      <c r="T671">
        <f t="shared" si="998"/>
        <v>33.213122737591249</v>
      </c>
    </row>
    <row r="672" spans="1:20" x14ac:dyDescent="0.25">
      <c r="A672" s="5">
        <v>43921</v>
      </c>
      <c r="B672">
        <v>2.9250000000000001E-3</v>
      </c>
      <c r="C672">
        <v>3.1350000000000002E-3</v>
      </c>
      <c r="D672">
        <v>2.9250000000000001E-3</v>
      </c>
      <c r="E672">
        <v>3.0339999999999998E-3</v>
      </c>
      <c r="F672">
        <v>465845462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3.8095238095234872E-2</v>
      </c>
      <c r="Q672">
        <f t="shared" si="995"/>
        <v>17746493.79047469</v>
      </c>
      <c r="R672">
        <f t="shared" si="996"/>
        <v>2908776296.2591257</v>
      </c>
      <c r="S672">
        <f t="shared" si="997"/>
        <v>29087.762962591256</v>
      </c>
      <c r="T672">
        <f t="shared" si="998"/>
        <v>29.087762962591256</v>
      </c>
    </row>
    <row r="673" spans="1:20" x14ac:dyDescent="0.25">
      <c r="A673" s="5">
        <v>43920</v>
      </c>
      <c r="B673">
        <v>2.7430000000000002E-3</v>
      </c>
      <c r="C673">
        <v>3.026E-3</v>
      </c>
      <c r="D673">
        <v>2.7369999999999998E-3</v>
      </c>
      <c r="E673">
        <v>2.9250000000000001E-3</v>
      </c>
      <c r="F673">
        <v>437076829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0.30103806228373775</v>
      </c>
      <c r="Q673">
        <f t="shared" si="995"/>
        <v>131576761.67128059</v>
      </c>
      <c r="R673">
        <f t="shared" si="996"/>
        <v>2891029802.4686508</v>
      </c>
      <c r="S673">
        <f t="shared" si="997"/>
        <v>28910.298024686508</v>
      </c>
      <c r="T673">
        <f t="shared" si="998"/>
        <v>28.910298024686508</v>
      </c>
    </row>
    <row r="674" spans="1:20" x14ac:dyDescent="0.25">
      <c r="A674" s="5">
        <v>43919</v>
      </c>
      <c r="B674">
        <v>2.957E-3</v>
      </c>
      <c r="C674">
        <v>2.9780000000000002E-3</v>
      </c>
      <c r="D674">
        <v>2.7420000000000001E-3</v>
      </c>
      <c r="E674">
        <v>2.7430000000000002E-3</v>
      </c>
      <c r="F674">
        <v>408605419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-0.99152542372881247</v>
      </c>
      <c r="Q674">
        <f t="shared" si="995"/>
        <v>-405142661.21186393</v>
      </c>
      <c r="R674">
        <f t="shared" si="996"/>
        <v>2759453040.7973704</v>
      </c>
      <c r="S674">
        <f t="shared" si="997"/>
        <v>27594.530407973703</v>
      </c>
      <c r="T674">
        <f t="shared" si="998"/>
        <v>27.594530407973703</v>
      </c>
    </row>
    <row r="675" spans="1:20" x14ac:dyDescent="0.25">
      <c r="A675" s="5">
        <v>43918</v>
      </c>
      <c r="B675">
        <v>2.9680000000000002E-3</v>
      </c>
      <c r="C675">
        <v>3.032E-3</v>
      </c>
      <c r="D675">
        <v>2.794E-3</v>
      </c>
      <c r="E675">
        <v>2.9580000000000001E-3</v>
      </c>
      <c r="F675">
        <v>608595993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0.37815126050420278</v>
      </c>
      <c r="Q675">
        <f t="shared" si="995"/>
        <v>230141341.89075696</v>
      </c>
      <c r="R675">
        <f t="shared" si="996"/>
        <v>3164595702.0092344</v>
      </c>
      <c r="S675">
        <f t="shared" si="997"/>
        <v>31645.957020092344</v>
      </c>
      <c r="T675">
        <f t="shared" si="998"/>
        <v>31.645957020092343</v>
      </c>
    </row>
    <row r="676" spans="1:20" x14ac:dyDescent="0.25">
      <c r="A676" s="5">
        <v>43917</v>
      </c>
      <c r="B676">
        <v>3.1589999999999999E-3</v>
      </c>
      <c r="C676">
        <v>3.2989999999999998E-3</v>
      </c>
      <c r="D676">
        <v>2.9580000000000001E-3</v>
      </c>
      <c r="E676">
        <v>2.97E-3</v>
      </c>
      <c r="F676">
        <v>493685479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-0.92961876832844648</v>
      </c>
      <c r="Q676">
        <f t="shared" si="995"/>
        <v>-458939286.92961913</v>
      </c>
      <c r="R676">
        <f t="shared" si="996"/>
        <v>2934454360.1184773</v>
      </c>
      <c r="S676">
        <f t="shared" si="997"/>
        <v>29344.543601184774</v>
      </c>
      <c r="T676">
        <f t="shared" si="998"/>
        <v>29.344543601184775</v>
      </c>
    </row>
    <row r="677" spans="1:20" x14ac:dyDescent="0.25">
      <c r="A677" s="5">
        <v>43916</v>
      </c>
      <c r="B677">
        <v>3.1380000000000002E-3</v>
      </c>
      <c r="C677">
        <v>3.2299999999999998E-3</v>
      </c>
      <c r="D677">
        <v>3.0709999999999999E-3</v>
      </c>
      <c r="E677">
        <v>3.1610000000000002E-3</v>
      </c>
      <c r="F677">
        <v>388120831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0.13207547169811723</v>
      </c>
      <c r="Q677">
        <f t="shared" si="995"/>
        <v>51261241.830190241</v>
      </c>
      <c r="R677">
        <f t="shared" si="996"/>
        <v>3393393647.0480967</v>
      </c>
      <c r="S677">
        <f t="shared" si="997"/>
        <v>33933.936470480963</v>
      </c>
      <c r="T677">
        <f t="shared" si="998"/>
        <v>33.933936470480965</v>
      </c>
    </row>
    <row r="678" spans="1:20" x14ac:dyDescent="0.25">
      <c r="A678" s="5">
        <v>43915</v>
      </c>
      <c r="B678">
        <v>3.3470000000000001E-3</v>
      </c>
      <c r="C678">
        <v>3.356E-3</v>
      </c>
      <c r="D678">
        <v>3.0379999999999999E-3</v>
      </c>
      <c r="E678">
        <v>3.137E-3</v>
      </c>
      <c r="F678">
        <v>615141104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-0.37735849056603721</v>
      </c>
      <c r="Q678">
        <f t="shared" si="995"/>
        <v>-232128718.49056572</v>
      </c>
      <c r="R678">
        <f t="shared" si="996"/>
        <v>3342132405.2179065</v>
      </c>
      <c r="S678">
        <f t="shared" si="997"/>
        <v>33421.324052179065</v>
      </c>
      <c r="T678">
        <f t="shared" si="998"/>
        <v>33.421324052179067</v>
      </c>
    </row>
    <row r="679" spans="1:20" x14ac:dyDescent="0.25">
      <c r="A679" s="5">
        <v>43914</v>
      </c>
      <c r="B679">
        <v>3.2590000000000002E-3</v>
      </c>
      <c r="C679">
        <v>3.3679999999999999E-3</v>
      </c>
      <c r="D679">
        <v>3.101E-3</v>
      </c>
      <c r="E679">
        <v>3.346E-3</v>
      </c>
      <c r="F679">
        <v>738027723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0.83520599250936411</v>
      </c>
      <c r="Q679">
        <f t="shared" si="995"/>
        <v>616405176.88764107</v>
      </c>
      <c r="R679">
        <f t="shared" si="996"/>
        <v>3574261123.7084723</v>
      </c>
      <c r="S679">
        <f t="shared" si="997"/>
        <v>35742.611237084726</v>
      </c>
      <c r="T679">
        <f t="shared" si="998"/>
        <v>35.742611237084724</v>
      </c>
    </row>
    <row r="680" spans="1:20" x14ac:dyDescent="0.25">
      <c r="A680" s="5">
        <v>43913</v>
      </c>
      <c r="B680">
        <v>2.9580000000000001E-3</v>
      </c>
      <c r="C680">
        <v>3.3019999999999998E-3</v>
      </c>
      <c r="D680">
        <v>2.882E-3</v>
      </c>
      <c r="E680">
        <v>3.258E-3</v>
      </c>
      <c r="F680">
        <v>1007005362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0.79047619047619144</v>
      </c>
      <c r="Q680">
        <f t="shared" si="995"/>
        <v>796013762.34285808</v>
      </c>
      <c r="R680">
        <f t="shared" si="996"/>
        <v>2957855946.8208313</v>
      </c>
      <c r="S680">
        <f t="shared" si="997"/>
        <v>29578.559468208314</v>
      </c>
      <c r="T680">
        <f t="shared" si="998"/>
        <v>29.578559468208315</v>
      </c>
    </row>
    <row r="681" spans="1:20" x14ac:dyDescent="0.25">
      <c r="A681" s="5">
        <v>43912</v>
      </c>
      <c r="B681">
        <v>3.434E-3</v>
      </c>
      <c r="C681">
        <v>3.6129999999999999E-3</v>
      </c>
      <c r="D681">
        <v>2.9260000000000002E-3</v>
      </c>
      <c r="E681">
        <v>2.9589999999999998E-3</v>
      </c>
      <c r="F681">
        <v>1241558975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-0.90393013100436792</v>
      </c>
      <c r="Q681">
        <f t="shared" si="995"/>
        <v>-1122282566.9213986</v>
      </c>
      <c r="R681">
        <f t="shared" si="996"/>
        <v>2161842184.4779735</v>
      </c>
      <c r="S681">
        <f t="shared" si="997"/>
        <v>21618.421844779736</v>
      </c>
      <c r="T681">
        <f t="shared" si="998"/>
        <v>21.618421844779736</v>
      </c>
    </row>
    <row r="682" spans="1:20" x14ac:dyDescent="0.25">
      <c r="A682" s="5">
        <v>43911</v>
      </c>
      <c r="B682">
        <v>3.1470000000000001E-3</v>
      </c>
      <c r="C682">
        <v>3.8379999999999998E-3</v>
      </c>
      <c r="D682">
        <v>3.0769999999999999E-3</v>
      </c>
      <c r="E682">
        <v>3.4329999999999999E-3</v>
      </c>
      <c r="F682">
        <v>2025877241</v>
      </c>
      <c r="G682">
        <v>0</v>
      </c>
      <c r="L682" t="s">
        <v>8</v>
      </c>
      <c r="M682" t="s">
        <v>7</v>
      </c>
      <c r="N682" t="s">
        <v>8</v>
      </c>
      <c r="P682">
        <f t="shared" si="994"/>
        <v>-6.4388961892247049E-2</v>
      </c>
      <c r="Q682">
        <f t="shared" si="995"/>
        <v>-130444132.46911959</v>
      </c>
      <c r="R682">
        <f t="shared" si="996"/>
        <v>3284124751.3993721</v>
      </c>
      <c r="S682">
        <f t="shared" si="997"/>
        <v>32841.247513993723</v>
      </c>
      <c r="T682">
        <f t="shared" si="998"/>
        <v>32.841247513993721</v>
      </c>
    </row>
    <row r="683" spans="1:20" x14ac:dyDescent="0.25">
      <c r="A683" s="5">
        <v>43910</v>
      </c>
      <c r="B683">
        <v>2.8470000000000001E-3</v>
      </c>
      <c r="C683">
        <v>3.7859999999999999E-3</v>
      </c>
      <c r="D683">
        <v>2.8E-3</v>
      </c>
      <c r="E683">
        <v>3.1459999999999999E-3</v>
      </c>
      <c r="F683">
        <v>2095337398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-0.29817444219066941</v>
      </c>
      <c r="Q683">
        <f t="shared" si="995"/>
        <v>-624776059.8498987</v>
      </c>
      <c r="R683">
        <f t="shared" si="996"/>
        <v>3414568883.8684916</v>
      </c>
      <c r="S683">
        <f t="shared" si="997"/>
        <v>34145.688838684917</v>
      </c>
      <c r="T683">
        <f t="shared" si="998"/>
        <v>34.145688838684919</v>
      </c>
    </row>
    <row r="684" spans="1:20" x14ac:dyDescent="0.25">
      <c r="A684" s="5">
        <v>43909</v>
      </c>
      <c r="B684">
        <v>2.519E-3</v>
      </c>
      <c r="C684">
        <v>2.9880000000000002E-3</v>
      </c>
      <c r="D684">
        <v>2.4859999999999999E-3</v>
      </c>
      <c r="E684">
        <v>2.8470000000000001E-3</v>
      </c>
      <c r="F684">
        <v>790266305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0.43824701195219129</v>
      </c>
      <c r="Q684">
        <f t="shared" si="995"/>
        <v>346331846.81274903</v>
      </c>
      <c r="R684">
        <f t="shared" si="996"/>
        <v>4039344943.7183905</v>
      </c>
      <c r="S684">
        <f t="shared" si="997"/>
        <v>40393.449437183903</v>
      </c>
      <c r="T684">
        <f t="shared" si="998"/>
        <v>40.393449437183904</v>
      </c>
    </row>
    <row r="685" spans="1:20" x14ac:dyDescent="0.25">
      <c r="A685" s="5">
        <v>43908</v>
      </c>
      <c r="B685">
        <v>2.516E-3</v>
      </c>
      <c r="C685">
        <v>2.5379999999999999E-3</v>
      </c>
      <c r="D685">
        <v>2.3180000000000002E-3</v>
      </c>
      <c r="E685">
        <v>2.5100000000000001E-3</v>
      </c>
      <c r="F685">
        <v>596611532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0.74545454545454681</v>
      </c>
      <c r="Q685">
        <f t="shared" si="995"/>
        <v>444746778.40000081</v>
      </c>
      <c r="R685">
        <f t="shared" si="996"/>
        <v>3693013096.9056416</v>
      </c>
      <c r="S685">
        <f t="shared" si="997"/>
        <v>36930.130969056416</v>
      </c>
      <c r="T685">
        <f t="shared" si="998"/>
        <v>36.930130969056414</v>
      </c>
    </row>
    <row r="686" spans="1:20" x14ac:dyDescent="0.25">
      <c r="A686" s="5">
        <v>43907</v>
      </c>
      <c r="B686">
        <v>2.4199999999999998E-3</v>
      </c>
      <c r="C686">
        <v>2.6199999999999999E-3</v>
      </c>
      <c r="D686">
        <v>2.3749999999999999E-3</v>
      </c>
      <c r="E686">
        <v>2.5149999999999999E-3</v>
      </c>
      <c r="F686">
        <v>744024490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0.14285714285714235</v>
      </c>
      <c r="Q686">
        <f t="shared" si="995"/>
        <v>106289212.85714248</v>
      </c>
      <c r="R686">
        <f t="shared" si="996"/>
        <v>3248266318.505641</v>
      </c>
      <c r="S686">
        <f t="shared" si="997"/>
        <v>32482.663185056408</v>
      </c>
      <c r="T686">
        <f t="shared" si="998"/>
        <v>32.48266318505641</v>
      </c>
    </row>
    <row r="687" spans="1:20" x14ac:dyDescent="0.25">
      <c r="A687" s="5">
        <v>43906</v>
      </c>
      <c r="B687">
        <v>2.7590000000000002E-3</v>
      </c>
      <c r="C687">
        <v>2.7590000000000002E-3</v>
      </c>
      <c r="D687">
        <v>2.124E-3</v>
      </c>
      <c r="E687">
        <v>2.4169999999999999E-3</v>
      </c>
      <c r="F687">
        <v>1556801108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-7.7165354330709326E-2</v>
      </c>
      <c r="Q687">
        <f t="shared" si="995"/>
        <v>-120131109.12126088</v>
      </c>
      <c r="R687">
        <f t="shared" si="996"/>
        <v>3141977105.6484985</v>
      </c>
      <c r="S687">
        <f t="shared" si="997"/>
        <v>31419.771056484984</v>
      </c>
      <c r="T687">
        <f t="shared" si="998"/>
        <v>31.419771056484983</v>
      </c>
    </row>
    <row r="688" spans="1:20" x14ac:dyDescent="0.25">
      <c r="A688" s="5">
        <v>43905</v>
      </c>
      <c r="B688">
        <v>2.5999999999999999E-3</v>
      </c>
      <c r="C688">
        <v>2.934E-3</v>
      </c>
      <c r="D688">
        <v>2.5709999999999999E-3</v>
      </c>
      <c r="E688">
        <v>2.761E-3</v>
      </c>
      <c r="F688">
        <v>1315535600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4.6831955922865251E-2</v>
      </c>
      <c r="Q688">
        <f t="shared" si="995"/>
        <v>61609105.234160088</v>
      </c>
      <c r="R688">
        <f t="shared" si="996"/>
        <v>3262108214.7697597</v>
      </c>
      <c r="S688">
        <f t="shared" si="997"/>
        <v>32621.082147697598</v>
      </c>
      <c r="T688">
        <f t="shared" si="998"/>
        <v>32.621082147697599</v>
      </c>
    </row>
    <row r="689" spans="1:20" x14ac:dyDescent="0.25">
      <c r="A689" s="5">
        <v>43904</v>
      </c>
      <c r="B689">
        <v>2.5630000000000002E-3</v>
      </c>
      <c r="C689">
        <v>2.7269999999999998E-3</v>
      </c>
      <c r="D689">
        <v>2.385E-3</v>
      </c>
      <c r="E689">
        <v>2.5990000000000002E-3</v>
      </c>
      <c r="F689">
        <v>1032963663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0.25146198830409533</v>
      </c>
      <c r="Q689">
        <f t="shared" si="995"/>
        <v>259751096.54386148</v>
      </c>
      <c r="R689">
        <f t="shared" si="996"/>
        <v>3200499109.5355997</v>
      </c>
      <c r="S689">
        <f t="shared" si="997"/>
        <v>32004.991095355996</v>
      </c>
      <c r="T689">
        <f t="shared" si="998"/>
        <v>32.004991095355997</v>
      </c>
    </row>
    <row r="690" spans="1:20" x14ac:dyDescent="0.25">
      <c r="A690" s="5">
        <v>43903</v>
      </c>
      <c r="B690">
        <v>2.2920000000000002E-3</v>
      </c>
      <c r="C690">
        <v>2.81E-3</v>
      </c>
      <c r="D690">
        <v>1.3630000000000001E-3</v>
      </c>
      <c r="E690">
        <v>2.562E-3</v>
      </c>
      <c r="F690">
        <v>2474756587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0.65722183828610925</v>
      </c>
      <c r="Q690">
        <f t="shared" si="995"/>
        <v>1626464073.4187977</v>
      </c>
      <c r="R690">
        <f t="shared" si="996"/>
        <v>2940748012.9917383</v>
      </c>
      <c r="S690">
        <f t="shared" si="997"/>
        <v>29407.480129917381</v>
      </c>
      <c r="T690">
        <f t="shared" si="998"/>
        <v>29.407480129917381</v>
      </c>
    </row>
    <row r="691" spans="1:20" x14ac:dyDescent="0.25">
      <c r="A691" s="5">
        <v>43902</v>
      </c>
      <c r="B691">
        <v>4.4450000000000002E-3</v>
      </c>
      <c r="C691">
        <v>4.4809999999999997E-3</v>
      </c>
      <c r="D691">
        <v>2.124E-3</v>
      </c>
      <c r="E691">
        <v>2.2929999999999999E-3</v>
      </c>
      <c r="F691">
        <v>2014697037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-0.85659736953754784</v>
      </c>
      <c r="Q691">
        <f t="shared" si="995"/>
        <v>-1725784182.3092916</v>
      </c>
      <c r="R691">
        <f t="shared" si="996"/>
        <v>1314283939.5729406</v>
      </c>
      <c r="S691">
        <f t="shared" si="997"/>
        <v>13142.839395729407</v>
      </c>
      <c r="T691">
        <f t="shared" si="998"/>
        <v>13.142839395729407</v>
      </c>
    </row>
    <row r="692" spans="1:20" x14ac:dyDescent="0.25">
      <c r="A692" s="5">
        <v>43901</v>
      </c>
      <c r="B692">
        <v>4.5589999999999997E-3</v>
      </c>
      <c r="C692">
        <v>4.6420000000000003E-3</v>
      </c>
      <c r="D692">
        <v>4.2160000000000001E-3</v>
      </c>
      <c r="E692">
        <v>4.444E-3</v>
      </c>
      <c r="F692">
        <v>534254010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7.0422535211266749E-2</v>
      </c>
      <c r="Q692">
        <f t="shared" si="995"/>
        <v>37623521.830985457</v>
      </c>
      <c r="R692">
        <f t="shared" si="996"/>
        <v>3040068121.8822322</v>
      </c>
      <c r="S692">
        <f t="shared" si="997"/>
        <v>30400.681218822323</v>
      </c>
      <c r="T692">
        <f t="shared" si="998"/>
        <v>30.400681218822324</v>
      </c>
    </row>
    <row r="693" spans="1:20" x14ac:dyDescent="0.25">
      <c r="A693" s="5">
        <v>43900</v>
      </c>
      <c r="B693">
        <v>4.4980000000000003E-3</v>
      </c>
      <c r="C693">
        <v>4.6389999999999999E-3</v>
      </c>
      <c r="D693">
        <v>4.3909999999999999E-3</v>
      </c>
      <c r="E693">
        <v>4.5620000000000001E-3</v>
      </c>
      <c r="F693">
        <v>748767658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0.37903225806451751</v>
      </c>
      <c r="Q693">
        <f t="shared" si="995"/>
        <v>283807096.17742038</v>
      </c>
      <c r="R693">
        <f t="shared" si="996"/>
        <v>3002444600.0512466</v>
      </c>
      <c r="S693">
        <f t="shared" si="997"/>
        <v>30024.446000512467</v>
      </c>
      <c r="T693">
        <f t="shared" si="998"/>
        <v>30.024446000512466</v>
      </c>
    </row>
    <row r="694" spans="1:20" x14ac:dyDescent="0.25">
      <c r="A694" s="5">
        <v>43899</v>
      </c>
      <c r="B694">
        <v>4.6150000000000002E-3</v>
      </c>
      <c r="C694">
        <v>4.6940000000000003E-3</v>
      </c>
      <c r="D694">
        <v>4.1190000000000003E-3</v>
      </c>
      <c r="E694">
        <v>4.4980000000000003E-3</v>
      </c>
      <c r="F694">
        <v>1398009600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0.31826086956521737</v>
      </c>
      <c r="Q694">
        <f t="shared" si="995"/>
        <v>444931750.95652169</v>
      </c>
      <c r="R694">
        <f t="shared" si="996"/>
        <v>2718637503.873826</v>
      </c>
      <c r="S694">
        <f t="shared" si="997"/>
        <v>27186.375038738261</v>
      </c>
      <c r="T694">
        <f t="shared" si="998"/>
        <v>27.186375038738262</v>
      </c>
    </row>
    <row r="695" spans="1:20" x14ac:dyDescent="0.25">
      <c r="A695" s="5">
        <v>43898</v>
      </c>
      <c r="B695">
        <v>5.3810000000000004E-3</v>
      </c>
      <c r="C695">
        <v>5.3810000000000004E-3</v>
      </c>
      <c r="D695">
        <v>4.5770000000000003E-3</v>
      </c>
      <c r="E695">
        <v>4.6150000000000002E-3</v>
      </c>
      <c r="F695">
        <v>845114675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-0.90547263681592083</v>
      </c>
      <c r="Q695">
        <f t="shared" si="995"/>
        <v>-765228213.18408</v>
      </c>
      <c r="R695">
        <f t="shared" si="996"/>
        <v>2273705752.9173045</v>
      </c>
      <c r="S695">
        <f t="shared" si="997"/>
        <v>22737.057529173046</v>
      </c>
      <c r="T695">
        <f t="shared" si="998"/>
        <v>22.737057529173047</v>
      </c>
    </row>
    <row r="696" spans="1:20" x14ac:dyDescent="0.25">
      <c r="A696" s="5">
        <v>43897</v>
      </c>
      <c r="B696">
        <v>5.7099999999999998E-3</v>
      </c>
      <c r="C696">
        <v>5.8510000000000003E-3</v>
      </c>
      <c r="D696">
        <v>5.3439999999999998E-3</v>
      </c>
      <c r="E696">
        <v>5.3860000000000002E-3</v>
      </c>
      <c r="F696">
        <v>478241319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-0.83431952662721764</v>
      </c>
      <c r="Q696">
        <f t="shared" si="995"/>
        <v>-399006070.88165617</v>
      </c>
      <c r="R696">
        <f t="shared" si="996"/>
        <v>3038933966.1013846</v>
      </c>
      <c r="S696">
        <f t="shared" si="997"/>
        <v>30389.339661013848</v>
      </c>
      <c r="T696">
        <f t="shared" si="998"/>
        <v>30.38933966101385</v>
      </c>
    </row>
    <row r="697" spans="1:20" x14ac:dyDescent="0.25">
      <c r="A697" s="5">
        <v>43896</v>
      </c>
      <c r="B697">
        <v>5.4749999999999998E-3</v>
      </c>
      <c r="C697">
        <v>5.7099999999999998E-3</v>
      </c>
      <c r="D697">
        <v>5.4180000000000001E-3</v>
      </c>
      <c r="E697">
        <v>5.7099999999999998E-3</v>
      </c>
      <c r="F697">
        <v>350352470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1</v>
      </c>
      <c r="Q697">
        <f t="shared" si="995"/>
        <v>350352470</v>
      </c>
      <c r="R697">
        <f t="shared" si="996"/>
        <v>3437940036.9830408</v>
      </c>
      <c r="S697">
        <f t="shared" si="997"/>
        <v>34379.400369830408</v>
      </c>
      <c r="T697">
        <f t="shared" si="998"/>
        <v>34.379400369830407</v>
      </c>
    </row>
    <row r="698" spans="1:20" x14ac:dyDescent="0.25">
      <c r="A698" s="5">
        <v>43895</v>
      </c>
      <c r="B698">
        <v>5.4729999999999996E-3</v>
      </c>
      <c r="C698">
        <v>5.6420000000000003E-3</v>
      </c>
      <c r="D698">
        <v>5.4429999999999999E-3</v>
      </c>
      <c r="E698">
        <v>5.4729999999999996E-3</v>
      </c>
      <c r="F698">
        <v>457985429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-0.69849246231156192</v>
      </c>
      <c r="Q698">
        <f t="shared" si="995"/>
        <v>-319899370.005027</v>
      </c>
      <c r="R698">
        <f t="shared" si="996"/>
        <v>3087587566.9830408</v>
      </c>
      <c r="S698">
        <f t="shared" si="997"/>
        <v>30875.87566983041</v>
      </c>
      <c r="T698">
        <f t="shared" si="998"/>
        <v>30.87587566983041</v>
      </c>
    </row>
    <row r="699" spans="1:20" x14ac:dyDescent="0.25">
      <c r="A699" s="5">
        <v>43894</v>
      </c>
      <c r="B699">
        <v>5.1900000000000002E-3</v>
      </c>
      <c r="C699">
        <v>5.5599999999999998E-3</v>
      </c>
      <c r="D699">
        <v>5.1700000000000001E-3</v>
      </c>
      <c r="E699">
        <v>5.4710000000000002E-3</v>
      </c>
      <c r="F699">
        <v>681991545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0.54358974358974499</v>
      </c>
      <c r="Q699">
        <f t="shared" si="995"/>
        <v>370723609.07692403</v>
      </c>
      <c r="R699">
        <f t="shared" si="996"/>
        <v>3407486936.9880676</v>
      </c>
      <c r="S699">
        <f t="shared" si="997"/>
        <v>34074.869369880675</v>
      </c>
      <c r="T699">
        <f t="shared" si="998"/>
        <v>34.074869369880673</v>
      </c>
    </row>
    <row r="700" spans="1:20" x14ac:dyDescent="0.25">
      <c r="A700" s="5">
        <v>43893</v>
      </c>
      <c r="B700">
        <v>5.2859999999999999E-3</v>
      </c>
      <c r="C700">
        <v>5.2900000000000004E-3</v>
      </c>
      <c r="D700">
        <v>5.0670000000000003E-3</v>
      </c>
      <c r="E700">
        <v>5.1859999999999996E-3</v>
      </c>
      <c r="F700">
        <v>481315087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6.7264573991024729E-2</v>
      </c>
      <c r="Q700">
        <f t="shared" si="995"/>
        <v>32375454.282508004</v>
      </c>
      <c r="R700">
        <f t="shared" si="996"/>
        <v>3036763327.9111438</v>
      </c>
      <c r="S700">
        <f t="shared" si="997"/>
        <v>30367.633279111436</v>
      </c>
      <c r="T700">
        <f t="shared" si="998"/>
        <v>30.367633279111438</v>
      </c>
    </row>
    <row r="701" spans="1:20" x14ac:dyDescent="0.25">
      <c r="A701" s="5">
        <v>43892</v>
      </c>
      <c r="B701">
        <v>5.045E-3</v>
      </c>
      <c r="C701">
        <v>5.4010000000000004E-3</v>
      </c>
      <c r="D701">
        <v>5.0289999999999996E-3</v>
      </c>
      <c r="E701">
        <v>5.2830000000000004E-3</v>
      </c>
      <c r="F701">
        <v>339813567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0.36559139784946348</v>
      </c>
      <c r="Q701">
        <f t="shared" si="995"/>
        <v>124232916.96774231</v>
      </c>
      <c r="R701">
        <f t="shared" si="996"/>
        <v>3004387873.6286359</v>
      </c>
      <c r="S701">
        <f t="shared" si="997"/>
        <v>30043.878736286359</v>
      </c>
      <c r="T701">
        <f t="shared" si="998"/>
        <v>30.043878736286359</v>
      </c>
    </row>
    <row r="702" spans="1:20" x14ac:dyDescent="0.25">
      <c r="A702" s="5">
        <v>43891</v>
      </c>
      <c r="B702">
        <v>5.1110000000000001E-3</v>
      </c>
      <c r="C702">
        <v>5.3480000000000003E-3</v>
      </c>
      <c r="D702">
        <v>4.9300000000000004E-3</v>
      </c>
      <c r="E702">
        <v>5.0489999999999997E-3</v>
      </c>
      <c r="F702">
        <v>543384755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-0.43062200956938124</v>
      </c>
      <c r="Q702">
        <f t="shared" si="995"/>
        <v>-233993435.16746587</v>
      </c>
      <c r="R702">
        <f t="shared" si="996"/>
        <v>2880154956.6608934</v>
      </c>
      <c r="S702">
        <f t="shared" si="997"/>
        <v>28801.549566608934</v>
      </c>
      <c r="T702">
        <f t="shared" si="998"/>
        <v>28.801549566608934</v>
      </c>
    </row>
    <row r="703" spans="1:20" x14ac:dyDescent="0.25">
      <c r="A703" s="5">
        <v>43890</v>
      </c>
      <c r="B703">
        <v>5.2519999999999997E-3</v>
      </c>
      <c r="C703">
        <v>5.3179999999999998E-3</v>
      </c>
      <c r="D703">
        <v>5.1120000000000002E-3</v>
      </c>
      <c r="E703">
        <v>5.1149999999999998E-3</v>
      </c>
      <c r="F703">
        <v>396365064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-0.97087378640777144</v>
      </c>
      <c r="Q703">
        <f t="shared" si="995"/>
        <v>-384820450.48543864</v>
      </c>
      <c r="R703">
        <f t="shared" si="996"/>
        <v>3114148391.8283591</v>
      </c>
      <c r="S703">
        <f t="shared" si="997"/>
        <v>31141.483918283593</v>
      </c>
      <c r="T703">
        <f t="shared" si="998"/>
        <v>31.141483918283594</v>
      </c>
    </row>
    <row r="704" spans="1:20" x14ac:dyDescent="0.25">
      <c r="A704" s="5">
        <v>43889</v>
      </c>
      <c r="B704">
        <v>5.2310000000000004E-3</v>
      </c>
      <c r="C704">
        <v>5.4070000000000003E-3</v>
      </c>
      <c r="D704">
        <v>4.8919999999999996E-3</v>
      </c>
      <c r="E704">
        <v>5.2509999999999996E-3</v>
      </c>
      <c r="F704">
        <v>713512088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0.39417475728155127</v>
      </c>
      <c r="Q704">
        <f t="shared" si="995"/>
        <v>281248454.10485286</v>
      </c>
      <c r="R704">
        <f t="shared" si="996"/>
        <v>3498968842.313798</v>
      </c>
      <c r="S704">
        <f t="shared" si="997"/>
        <v>34989.688423137981</v>
      </c>
      <c r="T704">
        <f t="shared" si="998"/>
        <v>34.989688423137984</v>
      </c>
    </row>
    <row r="705" spans="1:20" x14ac:dyDescent="0.25">
      <c r="A705" s="5">
        <v>43888</v>
      </c>
      <c r="B705">
        <v>5.0499999999999998E-3</v>
      </c>
      <c r="C705">
        <v>5.4200000000000003E-3</v>
      </c>
      <c r="D705">
        <v>4.7759999999999999E-3</v>
      </c>
      <c r="E705">
        <v>5.2300000000000003E-3</v>
      </c>
      <c r="F705">
        <v>802832507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0.40993788819875798</v>
      </c>
      <c r="Q705">
        <f t="shared" si="995"/>
        <v>329111462.4968946</v>
      </c>
      <c r="R705">
        <f t="shared" si="996"/>
        <v>3217720388.2089453</v>
      </c>
      <c r="S705">
        <f t="shared" si="997"/>
        <v>32177.203882089452</v>
      </c>
      <c r="T705">
        <f t="shared" si="998"/>
        <v>32.177203882089451</v>
      </c>
    </row>
    <row r="706" spans="1:20" x14ac:dyDescent="0.25">
      <c r="A706" s="5">
        <v>43887</v>
      </c>
      <c r="B706">
        <v>5.5950000000000001E-3</v>
      </c>
      <c r="C706">
        <v>5.6410000000000002E-3</v>
      </c>
      <c r="D706">
        <v>4.8129999999999996E-3</v>
      </c>
      <c r="E706">
        <v>5.0499999999999998E-3</v>
      </c>
      <c r="F706">
        <v>1074546121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-0.42753623188405782</v>
      </c>
      <c r="Q706">
        <f t="shared" si="995"/>
        <v>-459407399.55797082</v>
      </c>
      <c r="R706">
        <f t="shared" si="996"/>
        <v>2888608925.7120504</v>
      </c>
      <c r="S706">
        <f t="shared" si="997"/>
        <v>28886.089257120504</v>
      </c>
      <c r="T706">
        <f t="shared" si="998"/>
        <v>28.886089257120503</v>
      </c>
    </row>
    <row r="707" spans="1:20" x14ac:dyDescent="0.25">
      <c r="A707" s="5">
        <v>43886</v>
      </c>
      <c r="B707">
        <v>6.1640000000000002E-3</v>
      </c>
      <c r="C707">
        <v>6.1780000000000003E-3</v>
      </c>
      <c r="D707">
        <v>5.4999999999999997E-3</v>
      </c>
      <c r="E707">
        <v>5.5950000000000001E-3</v>
      </c>
      <c r="F707">
        <v>753855028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-0.71976401179940896</v>
      </c>
      <c r="Q707">
        <f t="shared" si="995"/>
        <v>-542597719.26843572</v>
      </c>
      <c r="R707">
        <f t="shared" si="996"/>
        <v>3348016325.2700214</v>
      </c>
      <c r="S707">
        <f t="shared" si="997"/>
        <v>33480.163252700215</v>
      </c>
      <c r="T707">
        <f t="shared" si="998"/>
        <v>33.480163252700216</v>
      </c>
    </row>
    <row r="708" spans="1:20" x14ac:dyDescent="0.25">
      <c r="A708" s="5">
        <v>43885</v>
      </c>
      <c r="B708">
        <v>6.4310000000000001E-3</v>
      </c>
      <c r="C708">
        <v>6.463E-3</v>
      </c>
      <c r="D708">
        <v>5.9849999999999999E-3</v>
      </c>
      <c r="E708">
        <v>6.1650000000000003E-3</v>
      </c>
      <c r="F708">
        <v>461764976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-0.2468619246861907</v>
      </c>
      <c r="Q708">
        <f t="shared" si="995"/>
        <v>-113992190.72803265</v>
      </c>
      <c r="R708">
        <f t="shared" si="996"/>
        <v>3890614044.5384569</v>
      </c>
      <c r="S708">
        <f t="shared" si="997"/>
        <v>38906.140445384568</v>
      </c>
      <c r="T708">
        <f t="shared" si="998"/>
        <v>38.906140445384565</v>
      </c>
    </row>
    <row r="709" spans="1:20" x14ac:dyDescent="0.25">
      <c r="A709" s="5">
        <v>43884</v>
      </c>
      <c r="B709">
        <v>6.2230000000000002E-3</v>
      </c>
      <c r="C709">
        <v>6.496E-3</v>
      </c>
      <c r="D709">
        <v>6.215E-3</v>
      </c>
      <c r="E709">
        <v>6.4320000000000002E-3</v>
      </c>
      <c r="F709">
        <v>364748687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0.5444839857651258</v>
      </c>
      <c r="Q709">
        <f t="shared" si="995"/>
        <v>198599818.90035632</v>
      </c>
      <c r="R709">
        <f t="shared" si="996"/>
        <v>4004606235.2664895</v>
      </c>
      <c r="S709">
        <f t="shared" si="997"/>
        <v>40046.062352664892</v>
      </c>
      <c r="T709">
        <f t="shared" si="998"/>
        <v>40.04606235266489</v>
      </c>
    </row>
    <row r="710" spans="1:20" x14ac:dyDescent="0.25">
      <c r="A710" s="5">
        <v>43883</v>
      </c>
      <c r="B710">
        <v>6.3449999999999999E-3</v>
      </c>
      <c r="C710">
        <v>6.3930000000000002E-3</v>
      </c>
      <c r="D710">
        <v>6.1120000000000002E-3</v>
      </c>
      <c r="E710">
        <v>6.2220000000000001E-3</v>
      </c>
      <c r="F710">
        <v>402833666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-0.21708185053380885</v>
      </c>
      <c r="Q710">
        <f t="shared" ref="Q710:Q766" si="1000">F710*P710</f>
        <v>-87447877.672598273</v>
      </c>
      <c r="R710">
        <f t="shared" ref="R710:R766" si="1001">R711+Q710</f>
        <v>3806006416.3661332</v>
      </c>
      <c r="S710">
        <f t="shared" ref="S710:S766" si="1002">R710/100000</f>
        <v>38060.064163661329</v>
      </c>
      <c r="T710">
        <f t="shared" ref="T710:T766" si="1003">S710/1000</f>
        <v>38.06006416366133</v>
      </c>
    </row>
    <row r="711" spans="1:20" x14ac:dyDescent="0.25">
      <c r="A711" s="5">
        <v>43882</v>
      </c>
      <c r="B711">
        <v>6.1919999999999996E-3</v>
      </c>
      <c r="C711">
        <v>6.4900000000000001E-3</v>
      </c>
      <c r="D711">
        <v>6.1640000000000002E-3</v>
      </c>
      <c r="E711">
        <v>6.3470000000000002E-3</v>
      </c>
      <c r="F711">
        <v>642875153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0.12269938650306784</v>
      </c>
      <c r="Q711">
        <f t="shared" si="1000"/>
        <v>78880386.871165872</v>
      </c>
      <c r="R711">
        <f t="shared" si="1001"/>
        <v>3893454294.0387316</v>
      </c>
      <c r="S711">
        <f t="shared" si="1002"/>
        <v>38934.542940387313</v>
      </c>
      <c r="T711">
        <f t="shared" si="1003"/>
        <v>38.93454294038731</v>
      </c>
    </row>
    <row r="712" spans="1:20" x14ac:dyDescent="0.25">
      <c r="A712" s="5">
        <v>43881</v>
      </c>
      <c r="B712">
        <v>6.1999999999999998E-3</v>
      </c>
      <c r="C712">
        <v>6.3730000000000002E-3</v>
      </c>
      <c r="D712">
        <v>5.9420000000000002E-3</v>
      </c>
      <c r="E712">
        <v>6.1890000000000001E-3</v>
      </c>
      <c r="F712">
        <v>857070140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0.14617169373549813</v>
      </c>
      <c r="Q712">
        <f t="shared" si="1000"/>
        <v>125279394.0139205</v>
      </c>
      <c r="R712">
        <f t="shared" si="1001"/>
        <v>3814573907.1675658</v>
      </c>
      <c r="S712">
        <f t="shared" si="1002"/>
        <v>38145.739071675656</v>
      </c>
      <c r="T712">
        <f t="shared" si="1003"/>
        <v>38.145739071675656</v>
      </c>
    </row>
    <row r="713" spans="1:20" x14ac:dyDescent="0.25">
      <c r="A713" s="5">
        <v>43880</v>
      </c>
      <c r="B713">
        <v>6.7840000000000001E-3</v>
      </c>
      <c r="C713">
        <v>6.8199999999999997E-3</v>
      </c>
      <c r="D713">
        <v>6.1390000000000004E-3</v>
      </c>
      <c r="E713">
        <v>6.2049999999999996E-3</v>
      </c>
      <c r="F713">
        <v>482790422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-0.80616740088105932</v>
      </c>
      <c r="Q713">
        <f t="shared" si="1000"/>
        <v>-389209899.6740098</v>
      </c>
      <c r="R713">
        <f t="shared" si="1001"/>
        <v>3689294513.1536455</v>
      </c>
      <c r="S713">
        <f t="shared" si="1002"/>
        <v>36892.945131536457</v>
      </c>
      <c r="T713">
        <f t="shared" si="1003"/>
        <v>36.892945131536457</v>
      </c>
    </row>
    <row r="714" spans="1:20" x14ac:dyDescent="0.25">
      <c r="A714" s="5">
        <v>43879</v>
      </c>
      <c r="B714">
        <v>6.5329999999999997E-3</v>
      </c>
      <c r="C714">
        <v>6.868E-3</v>
      </c>
      <c r="D714">
        <v>6.2779999999999997E-3</v>
      </c>
      <c r="E714">
        <v>6.7850000000000002E-3</v>
      </c>
      <c r="F714">
        <v>706866728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0.71864406779661116</v>
      </c>
      <c r="Q714">
        <f t="shared" si="1000"/>
        <v>507985580.80000073</v>
      </c>
      <c r="R714">
        <f t="shared" si="1001"/>
        <v>4078504412.8276553</v>
      </c>
      <c r="S714">
        <f t="shared" si="1002"/>
        <v>40785.044128276553</v>
      </c>
      <c r="T714">
        <f t="shared" si="1003"/>
        <v>40.785044128276553</v>
      </c>
    </row>
    <row r="715" spans="1:20" x14ac:dyDescent="0.25">
      <c r="A715" s="5">
        <v>43878</v>
      </c>
      <c r="B715">
        <v>6.6779999999999999E-3</v>
      </c>
      <c r="C715">
        <v>6.7489999999999998E-3</v>
      </c>
      <c r="D715">
        <v>6.0489999999999997E-3</v>
      </c>
      <c r="E715">
        <v>6.5319999999999996E-3</v>
      </c>
      <c r="F715">
        <v>1400608266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0.37999999999999956</v>
      </c>
      <c r="Q715">
        <f t="shared" si="1000"/>
        <v>532231141.07999939</v>
      </c>
      <c r="R715">
        <f t="shared" si="1001"/>
        <v>3570518832.0276546</v>
      </c>
      <c r="S715">
        <f t="shared" si="1002"/>
        <v>35705.188320276546</v>
      </c>
      <c r="T715">
        <f t="shared" si="1003"/>
        <v>35.705188320276548</v>
      </c>
    </row>
    <row r="716" spans="1:20" x14ac:dyDescent="0.25">
      <c r="A716" s="5">
        <v>43877</v>
      </c>
      <c r="B716">
        <v>7.3759999999999997E-3</v>
      </c>
      <c r="C716">
        <v>7.7419999999999998E-3</v>
      </c>
      <c r="D716">
        <v>6.1060000000000003E-3</v>
      </c>
      <c r="E716">
        <v>6.6819999999999996E-3</v>
      </c>
      <c r="F716">
        <v>1366685964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-0.29584352078239673</v>
      </c>
      <c r="Q716">
        <f t="shared" si="1000"/>
        <v>-404325187.39364392</v>
      </c>
      <c r="R716">
        <f t="shared" si="1001"/>
        <v>3038287690.9476552</v>
      </c>
      <c r="S716">
        <f t="shared" si="1002"/>
        <v>30382.876909476552</v>
      </c>
      <c r="T716">
        <f t="shared" si="1003"/>
        <v>30.382876909476551</v>
      </c>
    </row>
    <row r="717" spans="1:20" x14ac:dyDescent="0.25">
      <c r="A717" s="5">
        <v>43876</v>
      </c>
      <c r="B717">
        <v>8.345E-3</v>
      </c>
      <c r="C717">
        <v>8.4049999999999993E-3</v>
      </c>
      <c r="D717">
        <v>7.2300000000000003E-3</v>
      </c>
      <c r="E717">
        <v>7.3819999999999997E-3</v>
      </c>
      <c r="F717">
        <v>751033004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-0.74127659574468174</v>
      </c>
      <c r="Q717">
        <f t="shared" si="1000"/>
        <v>-556723188.49702191</v>
      </c>
      <c r="R717">
        <f t="shared" si="1001"/>
        <v>3442612878.3412991</v>
      </c>
      <c r="S717">
        <f t="shared" si="1002"/>
        <v>34426.128783412991</v>
      </c>
      <c r="T717">
        <f t="shared" si="1003"/>
        <v>34.426128783412992</v>
      </c>
    </row>
    <row r="718" spans="1:20" x14ac:dyDescent="0.25">
      <c r="A718" s="5">
        <v>43875</v>
      </c>
      <c r="B718">
        <v>7.783E-3</v>
      </c>
      <c r="C718">
        <v>8.3890000000000006E-3</v>
      </c>
      <c r="D718">
        <v>7.7039999999999999E-3</v>
      </c>
      <c r="E718">
        <v>8.3429999999999997E-3</v>
      </c>
      <c r="F718">
        <v>451981542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0.86569343065693183</v>
      </c>
      <c r="Q718">
        <f t="shared" si="1000"/>
        <v>391277451.68759012</v>
      </c>
      <c r="R718">
        <f t="shared" si="1001"/>
        <v>3999336066.8383212</v>
      </c>
      <c r="S718">
        <f t="shared" si="1002"/>
        <v>39993.360668383211</v>
      </c>
      <c r="T718">
        <f t="shared" si="1003"/>
        <v>39.993360668383211</v>
      </c>
    </row>
    <row r="719" spans="1:20" x14ac:dyDescent="0.25">
      <c r="A719" s="5">
        <v>43874</v>
      </c>
      <c r="B719">
        <v>7.9489999999999995E-3</v>
      </c>
      <c r="C719">
        <v>8.2380000000000005E-3</v>
      </c>
      <c r="D719">
        <v>7.4720000000000003E-3</v>
      </c>
      <c r="E719">
        <v>7.7780000000000002E-3</v>
      </c>
      <c r="F719">
        <v>1045263195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-0.20104438642297709</v>
      </c>
      <c r="Q719">
        <f t="shared" si="1000"/>
        <v>-210144297.68929565</v>
      </c>
      <c r="R719">
        <f t="shared" si="1001"/>
        <v>3608058615.1507311</v>
      </c>
      <c r="S719">
        <f t="shared" si="1002"/>
        <v>36080.586151507312</v>
      </c>
      <c r="T719">
        <f t="shared" si="1003"/>
        <v>36.080586151507312</v>
      </c>
    </row>
    <row r="720" spans="1:20" x14ac:dyDescent="0.25">
      <c r="A720" s="5">
        <v>43873</v>
      </c>
      <c r="B720">
        <v>7.5940000000000001E-3</v>
      </c>
      <c r="C720">
        <v>8.1259999999999995E-3</v>
      </c>
      <c r="D720">
        <v>7.5940000000000001E-3</v>
      </c>
      <c r="E720">
        <v>7.9459999999999999E-3</v>
      </c>
      <c r="F720">
        <v>859711711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0.32330827067669254</v>
      </c>
      <c r="Q720">
        <f t="shared" si="1000"/>
        <v>277951906.56391048</v>
      </c>
      <c r="R720">
        <f t="shared" si="1001"/>
        <v>3818202912.8400269</v>
      </c>
      <c r="S720">
        <f t="shared" si="1002"/>
        <v>38182.029128400267</v>
      </c>
      <c r="T720">
        <f t="shared" si="1003"/>
        <v>38.182029128400266</v>
      </c>
    </row>
    <row r="721" spans="1:20" x14ac:dyDescent="0.25">
      <c r="A721" s="5">
        <v>43872</v>
      </c>
      <c r="B721">
        <v>7.4729999999999996E-3</v>
      </c>
      <c r="C721">
        <v>7.6210000000000002E-3</v>
      </c>
      <c r="D721">
        <v>7.1250000000000003E-3</v>
      </c>
      <c r="E721">
        <v>7.5940000000000001E-3</v>
      </c>
      <c r="F721">
        <v>711440807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0.89112903225806406</v>
      </c>
      <c r="Q721">
        <f t="shared" si="1000"/>
        <v>633985557.85080612</v>
      </c>
      <c r="R721">
        <f t="shared" si="1001"/>
        <v>3540251006.2761164</v>
      </c>
      <c r="S721">
        <f t="shared" si="1002"/>
        <v>35402.510062761161</v>
      </c>
      <c r="T721">
        <f t="shared" si="1003"/>
        <v>35.402510062761159</v>
      </c>
    </row>
    <row r="722" spans="1:20" x14ac:dyDescent="0.25">
      <c r="A722" s="5">
        <v>43871</v>
      </c>
      <c r="B722">
        <v>7.5979999999999997E-3</v>
      </c>
      <c r="C722">
        <v>7.6340000000000002E-3</v>
      </c>
      <c r="D722">
        <v>7.0270000000000003E-3</v>
      </c>
      <c r="E722">
        <v>7.4720000000000003E-3</v>
      </c>
      <c r="F722">
        <v>735158112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0.46622734761120316</v>
      </c>
      <c r="Q722">
        <f t="shared" si="1000"/>
        <v>342750816.6326198</v>
      </c>
      <c r="R722">
        <f t="shared" si="1001"/>
        <v>2906265448.4253101</v>
      </c>
      <c r="S722">
        <f t="shared" si="1002"/>
        <v>29062.6544842531</v>
      </c>
      <c r="T722">
        <f t="shared" si="1003"/>
        <v>29.062654484253102</v>
      </c>
    </row>
    <row r="723" spans="1:20" x14ac:dyDescent="0.25">
      <c r="A723" s="5">
        <v>43870</v>
      </c>
      <c r="B723">
        <v>7.077E-3</v>
      </c>
      <c r="C723">
        <v>7.607E-3</v>
      </c>
      <c r="D723">
        <v>7.0349999999999996E-3</v>
      </c>
      <c r="E723">
        <v>7.5979999999999997E-3</v>
      </c>
      <c r="F723">
        <v>661803182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0.96853146853146743</v>
      </c>
      <c r="Q723">
        <f t="shared" si="1000"/>
        <v>640977207.74125803</v>
      </c>
      <c r="R723">
        <f t="shared" si="1001"/>
        <v>2563514631.7926903</v>
      </c>
      <c r="S723">
        <f t="shared" si="1002"/>
        <v>25635.146317926901</v>
      </c>
      <c r="T723">
        <f t="shared" si="1003"/>
        <v>25.6351463179269</v>
      </c>
    </row>
    <row r="724" spans="1:20" x14ac:dyDescent="0.25">
      <c r="A724" s="5">
        <v>43869</v>
      </c>
      <c r="B724">
        <v>7.2950000000000003E-3</v>
      </c>
      <c r="C724">
        <v>7.4149999999999997E-3</v>
      </c>
      <c r="D724">
        <v>6.744E-3</v>
      </c>
      <c r="E724">
        <v>7.077E-3</v>
      </c>
      <c r="F724">
        <v>582488938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-7.4515648286137088E-3</v>
      </c>
      <c r="Q724">
        <f t="shared" si="1000"/>
        <v>-4340454.0834573517</v>
      </c>
      <c r="R724">
        <f t="shared" si="1001"/>
        <v>1922537424.0514321</v>
      </c>
      <c r="S724">
        <f t="shared" si="1002"/>
        <v>19225.37424051432</v>
      </c>
      <c r="T724">
        <f t="shared" si="1003"/>
        <v>19.22537424051432</v>
      </c>
    </row>
    <row r="725" spans="1:20" x14ac:dyDescent="0.25">
      <c r="A725" s="5">
        <v>43868</v>
      </c>
      <c r="B725">
        <v>7.1110000000000001E-3</v>
      </c>
      <c r="C725">
        <v>7.5160000000000001E-3</v>
      </c>
      <c r="D725">
        <v>6.9369999999999996E-3</v>
      </c>
      <c r="E725">
        <v>7.2989999999999999E-3</v>
      </c>
      <c r="F725">
        <v>500877392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0.25043177892918833</v>
      </c>
      <c r="Q725">
        <f t="shared" si="1000"/>
        <v>125435616.30397241</v>
      </c>
      <c r="R725">
        <f t="shared" si="1001"/>
        <v>1926877878.1348896</v>
      </c>
      <c r="S725">
        <f t="shared" si="1002"/>
        <v>19268.778781348898</v>
      </c>
      <c r="T725">
        <f t="shared" si="1003"/>
        <v>19.268778781348896</v>
      </c>
    </row>
    <row r="726" spans="1:20" x14ac:dyDescent="0.25">
      <c r="A726" s="5">
        <v>43867</v>
      </c>
      <c r="B726">
        <v>6.6730000000000001E-3</v>
      </c>
      <c r="C726">
        <v>7.2560000000000003E-3</v>
      </c>
      <c r="D726">
        <v>6.5719999999999997E-3</v>
      </c>
      <c r="E726">
        <v>7.1130000000000004E-3</v>
      </c>
      <c r="F726">
        <v>469674675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0.58187134502924043</v>
      </c>
      <c r="Q726">
        <f t="shared" si="1000"/>
        <v>273290234.86842138</v>
      </c>
      <c r="R726">
        <f t="shared" si="1001"/>
        <v>1801442261.8309171</v>
      </c>
      <c r="S726">
        <f t="shared" si="1002"/>
        <v>18014.422618309171</v>
      </c>
      <c r="T726">
        <f t="shared" si="1003"/>
        <v>18.014422618309169</v>
      </c>
    </row>
    <row r="727" spans="1:20" x14ac:dyDescent="0.25">
      <c r="A727" s="5">
        <v>43866</v>
      </c>
      <c r="B727">
        <v>6.6480000000000003E-3</v>
      </c>
      <c r="C727">
        <v>6.7840000000000001E-3</v>
      </c>
      <c r="D727">
        <v>6.43E-3</v>
      </c>
      <c r="E727">
        <v>6.6810000000000003E-3</v>
      </c>
      <c r="F727">
        <v>436294660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0.41807909604519916</v>
      </c>
      <c r="Q727">
        <f t="shared" si="1000"/>
        <v>182405677.0621475</v>
      </c>
      <c r="R727">
        <f t="shared" si="1001"/>
        <v>1528152026.9624958</v>
      </c>
      <c r="S727">
        <f t="shared" si="1002"/>
        <v>15281.520269624958</v>
      </c>
      <c r="T727">
        <f t="shared" si="1003"/>
        <v>15.281520269624957</v>
      </c>
    </row>
    <row r="728" spans="1:20" x14ac:dyDescent="0.25">
      <c r="A728" s="5">
        <v>43865</v>
      </c>
      <c r="B728">
        <v>6.1279999999999998E-3</v>
      </c>
      <c r="C728">
        <v>6.6610000000000003E-3</v>
      </c>
      <c r="D728">
        <v>5.9280000000000001E-3</v>
      </c>
      <c r="E728">
        <v>6.6559999999999996E-3</v>
      </c>
      <c r="F728">
        <v>462654758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0.98635743519781538</v>
      </c>
      <c r="Q728">
        <f t="shared" si="1000"/>
        <v>456342960.48294598</v>
      </c>
      <c r="R728">
        <f t="shared" si="1001"/>
        <v>1345746349.9003482</v>
      </c>
      <c r="S728">
        <f t="shared" si="1002"/>
        <v>13457.463499003481</v>
      </c>
      <c r="T728">
        <f t="shared" si="1003"/>
        <v>13.457463499003481</v>
      </c>
    </row>
    <row r="729" spans="1:20" x14ac:dyDescent="0.25">
      <c r="A729" s="5">
        <v>43864</v>
      </c>
      <c r="B729">
        <v>6.0899999999999999E-3</v>
      </c>
      <c r="C729">
        <v>6.2839999999999997E-3</v>
      </c>
      <c r="D729">
        <v>5.8979999999999996E-3</v>
      </c>
      <c r="E729">
        <v>6.1279999999999998E-3</v>
      </c>
      <c r="F729">
        <v>390265271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0.1917098445595862</v>
      </c>
      <c r="Q729">
        <f t="shared" si="1000"/>
        <v>74817694.440414786</v>
      </c>
      <c r="R729">
        <f t="shared" si="1001"/>
        <v>889403389.41740227</v>
      </c>
      <c r="S729">
        <f t="shared" si="1002"/>
        <v>8894.0338941740229</v>
      </c>
      <c r="T729">
        <f t="shared" si="1003"/>
        <v>8.8940338941740222</v>
      </c>
    </row>
    <row r="730" spans="1:20" x14ac:dyDescent="0.25">
      <c r="A730" s="5">
        <v>43863</v>
      </c>
      <c r="B730">
        <v>5.921E-3</v>
      </c>
      <c r="C730">
        <v>6.2969999999999996E-3</v>
      </c>
      <c r="D730">
        <v>5.836E-3</v>
      </c>
      <c r="E730">
        <v>6.0899999999999999E-3</v>
      </c>
      <c r="F730">
        <v>560317377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0.10195227765726726</v>
      </c>
      <c r="Q730">
        <f t="shared" si="1000"/>
        <v>57125632.796095699</v>
      </c>
      <c r="R730">
        <f t="shared" si="1001"/>
        <v>814585694.97698748</v>
      </c>
      <c r="S730">
        <f t="shared" si="1002"/>
        <v>8145.8569497698745</v>
      </c>
      <c r="T730">
        <f t="shared" si="1003"/>
        <v>8.1458569497698754</v>
      </c>
    </row>
    <row r="731" spans="1:20" x14ac:dyDescent="0.25">
      <c r="A731" s="5">
        <v>43862</v>
      </c>
      <c r="B731">
        <v>5.6769999999999998E-3</v>
      </c>
      <c r="C731">
        <v>6.1570000000000001E-3</v>
      </c>
      <c r="D731">
        <v>5.6189999999999999E-3</v>
      </c>
      <c r="E731">
        <v>5.9220000000000002E-3</v>
      </c>
      <c r="F731">
        <v>477660965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0.12639405204461024</v>
      </c>
      <c r="Q731">
        <f t="shared" si="1000"/>
        <v>60373504.869888753</v>
      </c>
      <c r="R731">
        <f t="shared" si="1001"/>
        <v>757460062.18089175</v>
      </c>
      <c r="S731">
        <f t="shared" si="1002"/>
        <v>7574.6006218089178</v>
      </c>
      <c r="T731">
        <f t="shared" si="1003"/>
        <v>7.5746006218089175</v>
      </c>
    </row>
    <row r="732" spans="1:20" x14ac:dyDescent="0.25">
      <c r="A732" s="5">
        <v>43861</v>
      </c>
      <c r="B732">
        <v>5.6010000000000001E-3</v>
      </c>
      <c r="C732">
        <v>5.8830000000000002E-3</v>
      </c>
      <c r="D732">
        <v>5.4310000000000001E-3</v>
      </c>
      <c r="E732">
        <v>5.6740000000000002E-3</v>
      </c>
      <c r="F732">
        <v>465554217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7.5221238938053464E-2</v>
      </c>
      <c r="Q732">
        <f t="shared" si="1000"/>
        <v>35019564.995575391</v>
      </c>
      <c r="R732">
        <f t="shared" si="1001"/>
        <v>697086557.31100297</v>
      </c>
      <c r="S732">
        <f t="shared" si="1002"/>
        <v>6970.8655731100298</v>
      </c>
      <c r="T732">
        <f t="shared" si="1003"/>
        <v>6.9708655731100295</v>
      </c>
    </row>
    <row r="733" spans="1:20" x14ac:dyDescent="0.25">
      <c r="A733" s="5">
        <v>43860</v>
      </c>
      <c r="B733">
        <v>5.6059999999999999E-3</v>
      </c>
      <c r="C733">
        <v>5.6579999999999998E-3</v>
      </c>
      <c r="D733">
        <v>5.4809999999999998E-3</v>
      </c>
      <c r="E733">
        <v>5.5989999999999998E-3</v>
      </c>
      <c r="F733">
        <v>435339537</v>
      </c>
      <c r="G733">
        <v>0</v>
      </c>
      <c r="L733" t="s">
        <v>8</v>
      </c>
      <c r="M733" t="s">
        <v>7</v>
      </c>
      <c r="N733" t="s">
        <v>8</v>
      </c>
      <c r="P733">
        <f t="shared" si="999"/>
        <v>0.33333333333333331</v>
      </c>
      <c r="Q733">
        <f t="shared" si="1000"/>
        <v>145113179</v>
      </c>
      <c r="R733">
        <f t="shared" si="1001"/>
        <v>662066992.31542754</v>
      </c>
      <c r="S733">
        <f t="shared" si="1002"/>
        <v>6620.6699231542752</v>
      </c>
      <c r="T733">
        <f t="shared" si="1003"/>
        <v>6.6206699231542752</v>
      </c>
    </row>
    <row r="734" spans="1:20" x14ac:dyDescent="0.25">
      <c r="A734" s="5">
        <v>43859</v>
      </c>
      <c r="B734">
        <v>5.6829999999999997E-3</v>
      </c>
      <c r="C734">
        <v>5.7749999999999998E-3</v>
      </c>
      <c r="D734">
        <v>5.574E-3</v>
      </c>
      <c r="E734">
        <v>5.607E-3</v>
      </c>
      <c r="F734">
        <v>346115247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-0.67164179104477539</v>
      </c>
      <c r="Q734">
        <f t="shared" si="1000"/>
        <v>-232465464.40298483</v>
      </c>
      <c r="R734">
        <f t="shared" si="1001"/>
        <v>516953813.31542754</v>
      </c>
      <c r="S734">
        <f t="shared" si="1002"/>
        <v>5169.5381331542758</v>
      </c>
      <c r="T734">
        <f t="shared" si="1003"/>
        <v>5.1695381331542754</v>
      </c>
    </row>
    <row r="735" spans="1:20" x14ac:dyDescent="0.25">
      <c r="A735" s="5">
        <v>43858</v>
      </c>
      <c r="B735">
        <v>5.4359999999999999E-3</v>
      </c>
      <c r="C735">
        <v>5.7250000000000001E-3</v>
      </c>
      <c r="D735">
        <v>5.4359999999999999E-3</v>
      </c>
      <c r="E735">
        <v>5.6810000000000003E-3</v>
      </c>
      <c r="F735">
        <v>403904279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0.695501730103808</v>
      </c>
      <c r="Q735">
        <f t="shared" si="1000"/>
        <v>280916124.84083116</v>
      </c>
      <c r="R735">
        <f t="shared" si="1001"/>
        <v>749419277.7184124</v>
      </c>
      <c r="S735">
        <f t="shared" si="1002"/>
        <v>7494.1927771841238</v>
      </c>
      <c r="T735">
        <f t="shared" si="1003"/>
        <v>7.4941927771841241</v>
      </c>
    </row>
    <row r="736" spans="1:20" x14ac:dyDescent="0.25">
      <c r="A736" s="5">
        <v>43857</v>
      </c>
      <c r="B736">
        <v>5.3889999999999997E-3</v>
      </c>
      <c r="C736">
        <v>5.5180000000000003E-3</v>
      </c>
      <c r="D736">
        <v>5.2789999999999998E-3</v>
      </c>
      <c r="E736">
        <v>5.4279999999999997E-3</v>
      </c>
      <c r="F736">
        <v>308196469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0.24686192468618842</v>
      </c>
      <c r="Q736">
        <f t="shared" si="1000"/>
        <v>76081973.5188272</v>
      </c>
      <c r="R736">
        <f t="shared" si="1001"/>
        <v>468503152.87758118</v>
      </c>
      <c r="S736">
        <f t="shared" si="1002"/>
        <v>4685.0315287758121</v>
      </c>
      <c r="T736">
        <f t="shared" si="1003"/>
        <v>4.685031528775812</v>
      </c>
    </row>
    <row r="737" spans="1:20" x14ac:dyDescent="0.25">
      <c r="A737" s="5">
        <v>43856</v>
      </c>
      <c r="B737">
        <v>5.195E-3</v>
      </c>
      <c r="C737">
        <v>5.3899999999999998E-3</v>
      </c>
      <c r="D737">
        <v>5.156E-3</v>
      </c>
      <c r="E737">
        <v>5.3839999999999999E-3</v>
      </c>
      <c r="F737">
        <v>143967172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0.94871794871794923</v>
      </c>
      <c r="Q737">
        <f t="shared" si="1000"/>
        <v>136584240.10256419</v>
      </c>
      <c r="R737">
        <f t="shared" si="1001"/>
        <v>392421179.35875398</v>
      </c>
      <c r="S737">
        <f t="shared" si="1002"/>
        <v>3924.2117935875399</v>
      </c>
      <c r="T737">
        <f t="shared" si="1003"/>
        <v>3.9242117935875398</v>
      </c>
    </row>
    <row r="738" spans="1:20" x14ac:dyDescent="0.25">
      <c r="A738" s="5">
        <v>43855</v>
      </c>
      <c r="B738">
        <v>5.1910000000000003E-3</v>
      </c>
      <c r="C738">
        <v>5.3359999999999996E-3</v>
      </c>
      <c r="D738">
        <v>5.045E-3</v>
      </c>
      <c r="E738">
        <v>5.1980000000000004E-3</v>
      </c>
      <c r="F738">
        <v>168977040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5.1546391752581251E-2</v>
      </c>
      <c r="Q738">
        <f t="shared" si="1000"/>
        <v>8710156.7010315917</v>
      </c>
      <c r="R738">
        <f t="shared" si="1001"/>
        <v>255836939.25618979</v>
      </c>
      <c r="S738">
        <f t="shared" si="1002"/>
        <v>2558.3693925618977</v>
      </c>
      <c r="T738">
        <f t="shared" si="1003"/>
        <v>2.5583693925618975</v>
      </c>
    </row>
    <row r="739" spans="1:20" x14ac:dyDescent="0.25">
      <c r="A739" s="5">
        <v>43854</v>
      </c>
      <c r="B739">
        <v>5.2560000000000003E-3</v>
      </c>
      <c r="C739">
        <v>5.2960000000000004E-3</v>
      </c>
      <c r="D739">
        <v>5.0169999999999998E-3</v>
      </c>
      <c r="E739">
        <v>5.1960000000000001E-3</v>
      </c>
      <c r="F739">
        <v>193130891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0.28315412186379896</v>
      </c>
      <c r="Q739">
        <f t="shared" si="1000"/>
        <v>54685807.845878072</v>
      </c>
      <c r="R739">
        <f t="shared" si="1001"/>
        <v>247126782.5551582</v>
      </c>
      <c r="S739">
        <f t="shared" si="1002"/>
        <v>2471.2678255515821</v>
      </c>
      <c r="T739">
        <f t="shared" si="1003"/>
        <v>2.4712678255515819</v>
      </c>
    </row>
    <row r="740" spans="1:20" x14ac:dyDescent="0.25">
      <c r="A740" s="5">
        <v>43853</v>
      </c>
      <c r="B740">
        <v>5.4599999999999996E-3</v>
      </c>
      <c r="C740">
        <v>5.4720000000000003E-3</v>
      </c>
      <c r="D740">
        <v>5.1219999999999998E-3</v>
      </c>
      <c r="E740">
        <v>5.2579999999999997E-3</v>
      </c>
      <c r="F740">
        <v>194745829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-0.22285714285714486</v>
      </c>
      <c r="Q740">
        <f t="shared" si="1000"/>
        <v>-43400499.034286104</v>
      </c>
      <c r="R740">
        <f t="shared" si="1001"/>
        <v>192440974.70928013</v>
      </c>
      <c r="S740">
        <f t="shared" si="1002"/>
        <v>1924.4097470928014</v>
      </c>
      <c r="T740">
        <f t="shared" si="1003"/>
        <v>1.9244097470928014</v>
      </c>
    </row>
    <row r="741" spans="1:20" x14ac:dyDescent="0.25">
      <c r="A741" s="5">
        <v>43852</v>
      </c>
      <c r="B741">
        <v>5.4089999999999997E-3</v>
      </c>
      <c r="C741">
        <v>5.496E-3</v>
      </c>
      <c r="D741">
        <v>5.3350000000000003E-3</v>
      </c>
      <c r="E741">
        <v>5.4619999999999998E-3</v>
      </c>
      <c r="F741">
        <v>123072681</v>
      </c>
      <c r="G741">
        <v>0</v>
      </c>
      <c r="L741" t="s">
        <v>7</v>
      </c>
      <c r="M741" t="s">
        <v>8</v>
      </c>
      <c r="N741" t="s">
        <v>8</v>
      </c>
      <c r="P741">
        <f t="shared" si="999"/>
        <v>0.57763975155279201</v>
      </c>
      <c r="Q741">
        <f t="shared" si="1000"/>
        <v>71091672.875776023</v>
      </c>
      <c r="R741">
        <f t="shared" si="1001"/>
        <v>235841473.74356624</v>
      </c>
      <c r="S741">
        <f t="shared" si="1002"/>
        <v>2358.4147374356626</v>
      </c>
      <c r="T741">
        <f t="shared" si="1003"/>
        <v>2.3584147374356625</v>
      </c>
    </row>
    <row r="742" spans="1:20" x14ac:dyDescent="0.25">
      <c r="A742" s="5">
        <v>43851</v>
      </c>
      <c r="B742">
        <v>5.3680000000000004E-3</v>
      </c>
      <c r="C742">
        <v>5.4900000000000001E-3</v>
      </c>
      <c r="D742">
        <v>5.2950000000000002E-3</v>
      </c>
      <c r="E742">
        <v>5.4089999999999997E-3</v>
      </c>
      <c r="F742">
        <v>248454489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0.16923076923076513</v>
      </c>
      <c r="Q742">
        <f t="shared" si="1000"/>
        <v>42046144.292306677</v>
      </c>
      <c r="R742">
        <f t="shared" si="1001"/>
        <v>164749800.86779022</v>
      </c>
      <c r="S742">
        <f t="shared" si="1002"/>
        <v>1647.4980086779021</v>
      </c>
      <c r="T742">
        <f t="shared" si="1003"/>
        <v>1.6474980086779021</v>
      </c>
    </row>
    <row r="743" spans="1:20" x14ac:dyDescent="0.25">
      <c r="A743" s="5">
        <v>43850</v>
      </c>
      <c r="B743">
        <v>5.4799999999999996E-3</v>
      </c>
      <c r="C743">
        <v>5.4980000000000003E-3</v>
      </c>
      <c r="D743">
        <v>5.2129999999999998E-3</v>
      </c>
      <c r="E743">
        <v>5.3629999999999997E-3</v>
      </c>
      <c r="F743">
        <v>243746153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5.2631578947366177E-2</v>
      </c>
      <c r="Q743">
        <f t="shared" si="1000"/>
        <v>12828744.894736296</v>
      </c>
      <c r="R743">
        <f t="shared" si="1001"/>
        <v>122703656.57548356</v>
      </c>
      <c r="S743">
        <f t="shared" si="1002"/>
        <v>1227.0365657548357</v>
      </c>
      <c r="T743">
        <f t="shared" si="1003"/>
        <v>1.2270365657548357</v>
      </c>
    </row>
    <row r="744" spans="1:20" x14ac:dyDescent="0.25">
      <c r="A744" s="5">
        <v>43849</v>
      </c>
      <c r="B744">
        <v>5.8450000000000004E-3</v>
      </c>
      <c r="C744">
        <v>5.9779999999999998E-3</v>
      </c>
      <c r="D744">
        <v>5.2570000000000004E-3</v>
      </c>
      <c r="E744">
        <v>5.483E-3</v>
      </c>
      <c r="F744">
        <v>470734791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-0.37309292649098524</v>
      </c>
      <c r="Q744">
        <f t="shared" si="1000"/>
        <v>-175627820.7753123</v>
      </c>
      <c r="R744">
        <f t="shared" si="1001"/>
        <v>109874911.68074727</v>
      </c>
      <c r="S744">
        <f t="shared" si="1002"/>
        <v>1098.7491168074728</v>
      </c>
      <c r="T744">
        <f t="shared" si="1003"/>
        <v>1.0987491168074728</v>
      </c>
    </row>
    <row r="745" spans="1:20" x14ac:dyDescent="0.25">
      <c r="A745" s="5">
        <v>43848</v>
      </c>
      <c r="B745">
        <v>6.1250000000000002E-3</v>
      </c>
      <c r="C745">
        <v>6.2440000000000004E-3</v>
      </c>
      <c r="D745">
        <v>5.7609999999999996E-3</v>
      </c>
      <c r="E745">
        <v>5.849E-3</v>
      </c>
      <c r="F745">
        <v>429290624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-0.63561076604554756</v>
      </c>
      <c r="Q745">
        <f t="shared" si="1000"/>
        <v>-272861742.37681115</v>
      </c>
      <c r="R745">
        <f t="shared" si="1001"/>
        <v>285502732.45605958</v>
      </c>
      <c r="S745">
        <f t="shared" si="1002"/>
        <v>2855.0273245605958</v>
      </c>
      <c r="T745">
        <f t="shared" si="1003"/>
        <v>2.8550273245605959</v>
      </c>
    </row>
    <row r="746" spans="1:20" x14ac:dyDescent="0.25">
      <c r="A746" s="5">
        <v>43847</v>
      </c>
      <c r="B746">
        <v>5.8799999999999998E-3</v>
      </c>
      <c r="C746">
        <v>6.1679999999999999E-3</v>
      </c>
      <c r="D746">
        <v>5.7479999999999996E-3</v>
      </c>
      <c r="E746">
        <v>6.1250000000000002E-3</v>
      </c>
      <c r="F746">
        <v>614768277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0.79523809523809708</v>
      </c>
      <c r="Q746">
        <f t="shared" si="1000"/>
        <v>488887153.61428684</v>
      </c>
      <c r="R746">
        <f t="shared" si="1001"/>
        <v>558364474.83287072</v>
      </c>
      <c r="S746">
        <f t="shared" si="1002"/>
        <v>5583.6447483287075</v>
      </c>
      <c r="T746">
        <f t="shared" si="1003"/>
        <v>5.5836447483287071</v>
      </c>
    </row>
    <row r="747" spans="1:20" x14ac:dyDescent="0.25">
      <c r="A747" s="5">
        <v>43846</v>
      </c>
      <c r="B747">
        <v>5.8149999999999999E-3</v>
      </c>
      <c r="C747">
        <v>5.9080000000000001E-3</v>
      </c>
      <c r="D747">
        <v>5.4469999999999996E-3</v>
      </c>
      <c r="E747">
        <v>5.8840000000000003E-3</v>
      </c>
      <c r="F747">
        <v>409771580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0.89587852494577136</v>
      </c>
      <c r="Q747">
        <f t="shared" si="1000"/>
        <v>367105558.65509814</v>
      </c>
      <c r="R747">
        <f t="shared" si="1001"/>
        <v>69477321.218583941</v>
      </c>
      <c r="S747">
        <f t="shared" si="1002"/>
        <v>694.77321218583938</v>
      </c>
      <c r="T747">
        <f t="shared" si="1003"/>
        <v>0.69477321218583943</v>
      </c>
    </row>
    <row r="748" spans="1:20" x14ac:dyDescent="0.25">
      <c r="A748" s="5">
        <v>43845</v>
      </c>
      <c r="B748">
        <v>5.757E-3</v>
      </c>
      <c r="C748">
        <v>6.1440000000000002E-3</v>
      </c>
      <c r="D748">
        <v>5.5599999999999998E-3</v>
      </c>
      <c r="E748">
        <v>5.8149999999999999E-3</v>
      </c>
      <c r="F748">
        <v>690934801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-0.12671232876712371</v>
      </c>
      <c r="Q748">
        <f t="shared" si="1000"/>
        <v>-87549957.660959199</v>
      </c>
      <c r="R748">
        <f t="shared" si="1001"/>
        <v>-297628237.4365142</v>
      </c>
      <c r="S748">
        <f t="shared" si="1002"/>
        <v>-2976.282374365142</v>
      </c>
      <c r="T748">
        <f t="shared" si="1003"/>
        <v>-2.9762823743651419</v>
      </c>
    </row>
    <row r="749" spans="1:20" x14ac:dyDescent="0.25">
      <c r="A749" s="5">
        <v>43844</v>
      </c>
      <c r="B749">
        <v>5.11E-3</v>
      </c>
      <c r="C749">
        <v>5.8100000000000001E-3</v>
      </c>
      <c r="D749">
        <v>5.1060000000000003E-3</v>
      </c>
      <c r="E749">
        <v>5.7580000000000001E-3</v>
      </c>
      <c r="F749">
        <v>899094220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0.85227272727272729</v>
      </c>
      <c r="Q749">
        <f t="shared" si="1000"/>
        <v>766273482.9545455</v>
      </c>
      <c r="R749">
        <f t="shared" si="1001"/>
        <v>-210078279.77555501</v>
      </c>
      <c r="S749">
        <f t="shared" si="1002"/>
        <v>-2100.7827977555503</v>
      </c>
      <c r="T749">
        <f t="shared" si="1003"/>
        <v>-2.1007827977555502</v>
      </c>
    </row>
    <row r="750" spans="1:20" x14ac:dyDescent="0.25">
      <c r="A750" s="5">
        <v>43843</v>
      </c>
      <c r="B750">
        <v>5.3629999999999997E-3</v>
      </c>
      <c r="C750">
        <v>5.3699999999999998E-3</v>
      </c>
      <c r="D750">
        <v>5.0769999999999999E-3</v>
      </c>
      <c r="E750">
        <v>5.1079999999999997E-3</v>
      </c>
      <c r="F750">
        <v>272392808</v>
      </c>
      <c r="G750">
        <v>0</v>
      </c>
      <c r="L750" t="s">
        <v>8</v>
      </c>
      <c r="M750" t="s">
        <v>8</v>
      </c>
      <c r="N750" t="s">
        <v>8</v>
      </c>
      <c r="P750">
        <f t="shared" si="999"/>
        <v>-0.78839590443686147</v>
      </c>
      <c r="Q750">
        <f t="shared" si="1000"/>
        <v>-214753374.22525635</v>
      </c>
      <c r="R750">
        <f t="shared" si="1001"/>
        <v>-976351762.73010051</v>
      </c>
      <c r="S750">
        <f t="shared" si="1002"/>
        <v>-9763.5176273010056</v>
      </c>
      <c r="T750">
        <f t="shared" si="1003"/>
        <v>-9.763517627301006</v>
      </c>
    </row>
    <row r="751" spans="1:20" x14ac:dyDescent="0.25">
      <c r="A751" s="5">
        <v>43842</v>
      </c>
      <c r="B751">
        <v>4.9810000000000002E-3</v>
      </c>
      <c r="C751">
        <v>5.4669999999999996E-3</v>
      </c>
      <c r="D751">
        <v>4.9199999999999999E-3</v>
      </c>
      <c r="E751">
        <v>5.3610000000000003E-3</v>
      </c>
      <c r="F751">
        <v>519147405</v>
      </c>
      <c r="G751">
        <v>0</v>
      </c>
      <c r="L751" t="s">
        <v>8</v>
      </c>
      <c r="M751" t="s">
        <v>8</v>
      </c>
      <c r="N751" t="s">
        <v>8</v>
      </c>
      <c r="P751">
        <f t="shared" si="999"/>
        <v>0.61243144424131857</v>
      </c>
      <c r="Q751">
        <f t="shared" si="1000"/>
        <v>317942195.01828271</v>
      </c>
      <c r="R751">
        <f t="shared" si="1001"/>
        <v>-761598388.50484419</v>
      </c>
      <c r="S751">
        <f t="shared" si="1002"/>
        <v>-7615.9838850484421</v>
      </c>
      <c r="T751">
        <f t="shared" si="1003"/>
        <v>-7.6159838850484425</v>
      </c>
    </row>
    <row r="752" spans="1:20" x14ac:dyDescent="0.25">
      <c r="A752" s="5">
        <v>43841</v>
      </c>
      <c r="B752">
        <v>5.0899999999999999E-3</v>
      </c>
      <c r="C752">
        <v>5.1710000000000002E-3</v>
      </c>
      <c r="D752">
        <v>4.9020000000000001E-3</v>
      </c>
      <c r="E752">
        <v>4.9829999999999996E-3</v>
      </c>
      <c r="F752">
        <v>295201665</v>
      </c>
      <c r="G752">
        <v>0</v>
      </c>
      <c r="L752" t="s">
        <v>8</v>
      </c>
      <c r="M752" t="s">
        <v>7</v>
      </c>
      <c r="N752" t="s">
        <v>8</v>
      </c>
      <c r="P752">
        <f t="shared" si="999"/>
        <v>-0.39776951672862876</v>
      </c>
      <c r="Q752">
        <f t="shared" si="1000"/>
        <v>-117422223.62453656</v>
      </c>
      <c r="R752">
        <f t="shared" si="1001"/>
        <v>-1079540583.5231268</v>
      </c>
      <c r="S752">
        <f t="shared" si="1002"/>
        <v>-10795.405835231268</v>
      </c>
      <c r="T752">
        <f t="shared" si="1003"/>
        <v>-10.795405835231268</v>
      </c>
    </row>
    <row r="753" spans="1:20" x14ac:dyDescent="0.25">
      <c r="A753" s="5">
        <v>43840</v>
      </c>
      <c r="B753">
        <v>4.764E-3</v>
      </c>
      <c r="C753">
        <v>5.1989999999999996E-3</v>
      </c>
      <c r="D753">
        <v>4.751E-3</v>
      </c>
      <c r="E753">
        <v>5.0949999999999997E-3</v>
      </c>
      <c r="F753">
        <v>557631659</v>
      </c>
      <c r="G753">
        <v>0</v>
      </c>
      <c r="L753" t="s">
        <v>8</v>
      </c>
      <c r="M753" t="s">
        <v>7</v>
      </c>
      <c r="N753" t="s">
        <v>8</v>
      </c>
      <c r="P753">
        <f t="shared" si="999"/>
        <v>0.5357142857142857</v>
      </c>
      <c r="Q753">
        <f t="shared" si="1000"/>
        <v>298731245.89285713</v>
      </c>
      <c r="R753">
        <f t="shared" si="1001"/>
        <v>-962118359.89859033</v>
      </c>
      <c r="S753">
        <f t="shared" si="1002"/>
        <v>-9621.1835989859028</v>
      </c>
      <c r="T753">
        <f t="shared" si="1003"/>
        <v>-9.6211835989859029</v>
      </c>
    </row>
    <row r="754" spans="1:20" x14ac:dyDescent="0.25">
      <c r="A754" s="5">
        <v>43839</v>
      </c>
      <c r="B754">
        <v>4.7159999999999997E-3</v>
      </c>
      <c r="C754">
        <v>4.895E-3</v>
      </c>
      <c r="D754">
        <v>4.6719999999999999E-3</v>
      </c>
      <c r="E754">
        <v>4.7660000000000003E-3</v>
      </c>
      <c r="F754">
        <v>269740717</v>
      </c>
      <c r="G754">
        <v>0</v>
      </c>
      <c r="L754" t="s">
        <v>7</v>
      </c>
      <c r="M754" t="s">
        <v>7</v>
      </c>
      <c r="N754" t="s">
        <v>8</v>
      </c>
      <c r="P754">
        <f t="shared" si="999"/>
        <v>-0.15695067264573734</v>
      </c>
      <c r="Q754">
        <f t="shared" si="1000"/>
        <v>-42335986.97309348</v>
      </c>
      <c r="R754">
        <f t="shared" si="1001"/>
        <v>-1260849605.7914474</v>
      </c>
      <c r="S754">
        <f t="shared" si="1002"/>
        <v>-12608.496057914474</v>
      </c>
      <c r="T754">
        <f t="shared" si="1003"/>
        <v>-12.608496057914474</v>
      </c>
    </row>
    <row r="755" spans="1:20" x14ac:dyDescent="0.25">
      <c r="A755" s="5">
        <v>43838</v>
      </c>
      <c r="B755">
        <v>4.9589999999999999E-3</v>
      </c>
      <c r="C755">
        <v>5.0790000000000002E-3</v>
      </c>
      <c r="D755">
        <v>4.646E-3</v>
      </c>
      <c r="E755">
        <v>4.7159999999999997E-3</v>
      </c>
      <c r="F755">
        <v>489254660</v>
      </c>
      <c r="G755">
        <v>0</v>
      </c>
      <c r="L755" t="s">
        <v>7</v>
      </c>
      <c r="M755" t="s">
        <v>7</v>
      </c>
      <c r="N755" t="s">
        <v>8</v>
      </c>
      <c r="P755">
        <f t="shared" si="999"/>
        <v>-0.67667436489607524</v>
      </c>
      <c r="Q755">
        <f t="shared" si="1000"/>
        <v>-331066086.32794523</v>
      </c>
      <c r="R755">
        <f t="shared" si="1001"/>
        <v>-1218513618.8183539</v>
      </c>
      <c r="S755">
        <f t="shared" si="1002"/>
        <v>-12185.136188183538</v>
      </c>
      <c r="T755">
        <f t="shared" si="1003"/>
        <v>-12.185136188183538</v>
      </c>
    </row>
    <row r="756" spans="1:20" x14ac:dyDescent="0.25">
      <c r="A756" s="5">
        <v>43837</v>
      </c>
      <c r="B756">
        <v>5.1219999999999998E-3</v>
      </c>
      <c r="C756">
        <v>5.1999999999999998E-3</v>
      </c>
      <c r="D756">
        <v>4.8789999999999997E-3</v>
      </c>
      <c r="E756">
        <v>4.96E-3</v>
      </c>
      <c r="F756">
        <v>352191391</v>
      </c>
      <c r="G756">
        <v>0</v>
      </c>
      <c r="L756" t="s">
        <v>8</v>
      </c>
      <c r="M756" t="s">
        <v>7</v>
      </c>
      <c r="N756" t="s">
        <v>8</v>
      </c>
      <c r="P756">
        <f t="shared" si="999"/>
        <v>-0.49532710280373637</v>
      </c>
      <c r="Q756">
        <f t="shared" si="1000"/>
        <v>-174449941.33644792</v>
      </c>
      <c r="R756">
        <f t="shared" si="1001"/>
        <v>-887447532.49040866</v>
      </c>
      <c r="S756">
        <f t="shared" si="1002"/>
        <v>-8874.4753249040859</v>
      </c>
      <c r="T756">
        <f t="shared" si="1003"/>
        <v>-8.8744753249040862</v>
      </c>
    </row>
    <row r="757" spans="1:20" x14ac:dyDescent="0.25">
      <c r="A757" s="5">
        <v>43836</v>
      </c>
      <c r="B757">
        <v>4.9129999999999998E-3</v>
      </c>
      <c r="C757">
        <v>5.1650000000000003E-3</v>
      </c>
      <c r="D757">
        <v>4.8970000000000003E-3</v>
      </c>
      <c r="E757">
        <v>5.1200000000000004E-3</v>
      </c>
      <c r="F757">
        <v>323220139</v>
      </c>
      <c r="G757">
        <v>0</v>
      </c>
      <c r="L757" t="s">
        <v>8</v>
      </c>
      <c r="M757" t="s">
        <v>7</v>
      </c>
      <c r="N757" t="s">
        <v>8</v>
      </c>
      <c r="P757">
        <f t="shared" si="999"/>
        <v>0.66417910447761264</v>
      </c>
      <c r="Q757">
        <f t="shared" si="1000"/>
        <v>214676062.47014949</v>
      </c>
      <c r="R757">
        <f t="shared" si="1001"/>
        <v>-712997591.1539607</v>
      </c>
      <c r="S757">
        <f t="shared" si="1002"/>
        <v>-7129.9759115396073</v>
      </c>
      <c r="T757">
        <f t="shared" si="1003"/>
        <v>-7.1299759115396073</v>
      </c>
    </row>
    <row r="758" spans="1:20" x14ac:dyDescent="0.25">
      <c r="A758" s="5">
        <v>43835</v>
      </c>
      <c r="B758">
        <v>4.8710000000000003E-3</v>
      </c>
      <c r="C758">
        <v>5.0340000000000003E-3</v>
      </c>
      <c r="D758">
        <v>4.8329999999999996E-3</v>
      </c>
      <c r="E758">
        <v>4.9160000000000002E-3</v>
      </c>
      <c r="F758">
        <v>307209613</v>
      </c>
      <c r="G758">
        <v>0</v>
      </c>
      <c r="L758" t="s">
        <v>8</v>
      </c>
      <c r="M758" t="s">
        <v>7</v>
      </c>
      <c r="N758" t="s">
        <v>8</v>
      </c>
      <c r="P758">
        <f t="shared" si="999"/>
        <v>-0.1741293532338275</v>
      </c>
      <c r="Q758">
        <f t="shared" si="1000"/>
        <v>-53494211.218904443</v>
      </c>
      <c r="R758">
        <f t="shared" si="1001"/>
        <v>-927673653.62411022</v>
      </c>
      <c r="S758">
        <f t="shared" si="1002"/>
        <v>-9276.7365362411019</v>
      </c>
      <c r="T758">
        <f t="shared" si="1003"/>
        <v>-9.2767365362411027</v>
      </c>
    </row>
    <row r="759" spans="1:20" x14ac:dyDescent="0.25">
      <c r="A759" s="5">
        <v>43834</v>
      </c>
      <c r="B759">
        <v>4.816E-3</v>
      </c>
      <c r="C759">
        <v>4.9280000000000001E-3</v>
      </c>
      <c r="D759">
        <v>4.7619999999999997E-3</v>
      </c>
      <c r="E759">
        <v>4.8690000000000001E-3</v>
      </c>
      <c r="F759">
        <v>190749278</v>
      </c>
      <c r="G759">
        <v>0</v>
      </c>
      <c r="L759" t="s">
        <v>8</v>
      </c>
      <c r="M759" t="s">
        <v>7</v>
      </c>
      <c r="N759" t="s">
        <v>8</v>
      </c>
      <c r="P759">
        <f t="shared" si="999"/>
        <v>0.2891566265060253</v>
      </c>
      <c r="Q759">
        <f t="shared" si="1000"/>
        <v>55156417.734939992</v>
      </c>
      <c r="R759">
        <f t="shared" si="1001"/>
        <v>-874179442.40520573</v>
      </c>
      <c r="S759">
        <f t="shared" si="1002"/>
        <v>-8741.7944240520574</v>
      </c>
      <c r="T759">
        <f t="shared" si="1003"/>
        <v>-8.741794424052058</v>
      </c>
    </row>
    <row r="760" spans="1:20" x14ac:dyDescent="0.25">
      <c r="A760" s="5">
        <v>43833</v>
      </c>
      <c r="B760">
        <v>4.6039999999999996E-3</v>
      </c>
      <c r="C760">
        <v>4.9709999999999997E-3</v>
      </c>
      <c r="D760">
        <v>4.5319999999999996E-3</v>
      </c>
      <c r="E760">
        <v>4.8190000000000004E-3</v>
      </c>
      <c r="F760">
        <v>339017029</v>
      </c>
      <c r="G760">
        <v>0</v>
      </c>
      <c r="L760" t="s">
        <v>8</v>
      </c>
      <c r="M760" t="s">
        <v>7</v>
      </c>
      <c r="N760" t="s">
        <v>8</v>
      </c>
      <c r="P760">
        <f t="shared" si="999"/>
        <v>0.30751708428246333</v>
      </c>
      <c r="Q760">
        <f t="shared" si="1000"/>
        <v>104253528.28018332</v>
      </c>
      <c r="R760">
        <f t="shared" si="1001"/>
        <v>-929335860.14014578</v>
      </c>
      <c r="S760">
        <f t="shared" si="1002"/>
        <v>-9293.3586014014581</v>
      </c>
      <c r="T760">
        <f t="shared" si="1003"/>
        <v>-9.293358601401458</v>
      </c>
    </row>
    <row r="761" spans="1:20" x14ac:dyDescent="0.25">
      <c r="A761" s="5">
        <v>43832</v>
      </c>
      <c r="B761">
        <v>4.8190000000000004E-3</v>
      </c>
      <c r="C761">
        <v>4.9059999999999998E-3</v>
      </c>
      <c r="D761">
        <v>4.542E-3</v>
      </c>
      <c r="E761">
        <v>4.6049999999999997E-3</v>
      </c>
      <c r="F761">
        <v>363859470</v>
      </c>
      <c r="G761">
        <v>0</v>
      </c>
      <c r="L761" t="s">
        <v>7</v>
      </c>
      <c r="M761" t="s">
        <v>7</v>
      </c>
      <c r="N761" t="s">
        <v>8</v>
      </c>
      <c r="P761">
        <f t="shared" si="999"/>
        <v>-0.6538461538461553</v>
      </c>
      <c r="Q761">
        <f t="shared" si="1000"/>
        <v>-237908115.00000054</v>
      </c>
      <c r="R761">
        <f t="shared" si="1001"/>
        <v>-1033589388.4203291</v>
      </c>
      <c r="S761">
        <f t="shared" si="1002"/>
        <v>-10335.893884203291</v>
      </c>
      <c r="T761">
        <f t="shared" si="1003"/>
        <v>-10.335893884203291</v>
      </c>
    </row>
    <row r="762" spans="1:20" x14ac:dyDescent="0.25">
      <c r="A762" s="5">
        <v>43831</v>
      </c>
      <c r="B762">
        <v>4.6730000000000001E-3</v>
      </c>
      <c r="C762">
        <v>4.9249999999999997E-3</v>
      </c>
      <c r="D762">
        <v>4.6490000000000004E-3</v>
      </c>
      <c r="E762">
        <v>4.8170000000000001E-3</v>
      </c>
      <c r="F762">
        <v>247755371</v>
      </c>
      <c r="G762">
        <v>0</v>
      </c>
      <c r="L762" t="s">
        <v>7</v>
      </c>
      <c r="M762" t="s">
        <v>7</v>
      </c>
      <c r="N762" t="s">
        <v>8</v>
      </c>
      <c r="P762">
        <f t="shared" si="999"/>
        <v>0.21739130434782719</v>
      </c>
      <c r="Q762">
        <f t="shared" si="1000"/>
        <v>53859863.260869838</v>
      </c>
      <c r="R762">
        <f t="shared" si="1001"/>
        <v>-795681273.4203285</v>
      </c>
      <c r="S762">
        <f t="shared" si="1002"/>
        <v>-7956.8127342032849</v>
      </c>
      <c r="T762">
        <f t="shared" si="1003"/>
        <v>-7.9568127342032851</v>
      </c>
    </row>
    <row r="763" spans="1:20" x14ac:dyDescent="0.25">
      <c r="A763" s="5">
        <v>43830</v>
      </c>
      <c r="B763">
        <v>4.8390000000000004E-3</v>
      </c>
      <c r="C763">
        <v>4.8939999999999999E-3</v>
      </c>
      <c r="D763">
        <v>4.5820000000000001E-3</v>
      </c>
      <c r="E763">
        <v>4.6759999999999996E-3</v>
      </c>
      <c r="F763">
        <v>306244376</v>
      </c>
      <c r="G763">
        <v>0</v>
      </c>
      <c r="L763" t="s">
        <v>7</v>
      </c>
      <c r="M763" t="s">
        <v>7</v>
      </c>
      <c r="N763" t="s">
        <v>8</v>
      </c>
      <c r="P763">
        <f t="shared" si="999"/>
        <v>-0.39743589743590041</v>
      </c>
      <c r="Q763">
        <f t="shared" si="1000"/>
        <v>-121712508.41025732</v>
      </c>
      <c r="R763">
        <f t="shared" si="1001"/>
        <v>-849541136.68119836</v>
      </c>
      <c r="S763">
        <f t="shared" si="1002"/>
        <v>-8495.4113668119844</v>
      </c>
      <c r="T763">
        <f t="shared" si="1003"/>
        <v>-8.4954113668119842</v>
      </c>
    </row>
    <row r="764" spans="1:20" x14ac:dyDescent="0.25">
      <c r="A764" s="5">
        <v>43829</v>
      </c>
      <c r="B764">
        <v>5.0540000000000003E-3</v>
      </c>
      <c r="C764">
        <v>5.1060000000000003E-3</v>
      </c>
      <c r="D764">
        <v>4.7910000000000001E-3</v>
      </c>
      <c r="E764">
        <v>4.8409999999999998E-3</v>
      </c>
      <c r="F764">
        <v>277293979</v>
      </c>
      <c r="G764">
        <v>0</v>
      </c>
      <c r="L764" t="s">
        <v>7</v>
      </c>
      <c r="M764" t="s">
        <v>7</v>
      </c>
      <c r="N764" t="s">
        <v>8</v>
      </c>
      <c r="P764">
        <f t="shared" si="999"/>
        <v>-0.68253968253968467</v>
      </c>
      <c r="Q764">
        <f t="shared" si="1000"/>
        <v>-189264144.396826</v>
      </c>
      <c r="R764">
        <f t="shared" si="1001"/>
        <v>-727828628.27094102</v>
      </c>
      <c r="S764">
        <f t="shared" si="1002"/>
        <v>-7278.2862827094104</v>
      </c>
      <c r="T764">
        <f t="shared" si="1003"/>
        <v>-7.2782862827094101</v>
      </c>
    </row>
    <row r="765" spans="1:20" x14ac:dyDescent="0.25">
      <c r="A765" s="5">
        <v>43828</v>
      </c>
      <c r="B765">
        <v>5.0889999999999998E-3</v>
      </c>
      <c r="C765">
        <v>5.1739999999999998E-3</v>
      </c>
      <c r="D765">
        <v>5.0340000000000003E-3</v>
      </c>
      <c r="E765">
        <v>5.0569999999999999E-3</v>
      </c>
      <c r="F765">
        <v>238103710</v>
      </c>
      <c r="G765">
        <v>0</v>
      </c>
      <c r="L765" t="s">
        <v>7</v>
      </c>
      <c r="M765" t="s">
        <v>7</v>
      </c>
      <c r="N765" t="s">
        <v>8</v>
      </c>
      <c r="P765">
        <f t="shared" si="999"/>
        <v>-0.67142857142857626</v>
      </c>
      <c r="Q765">
        <f t="shared" si="1000"/>
        <v>-159869633.857144</v>
      </c>
      <c r="R765">
        <f t="shared" si="1001"/>
        <v>-538564483.87411499</v>
      </c>
      <c r="S765">
        <f t="shared" si="1002"/>
        <v>-5385.6448387411501</v>
      </c>
      <c r="T765">
        <f t="shared" si="1003"/>
        <v>-5.3856448387411504</v>
      </c>
    </row>
    <row r="766" spans="1:20" x14ac:dyDescent="0.25">
      <c r="A766" s="5">
        <v>43827</v>
      </c>
      <c r="B766">
        <v>5.0179999999999999E-3</v>
      </c>
      <c r="C766">
        <v>5.1999999999999998E-3</v>
      </c>
      <c r="D766">
        <v>5.0020000000000004E-3</v>
      </c>
      <c r="E766">
        <v>5.0920000000000002E-3</v>
      </c>
      <c r="F766">
        <v>223432950</v>
      </c>
      <c r="G766">
        <v>0</v>
      </c>
      <c r="L766" t="s">
        <v>7</v>
      </c>
      <c r="M766" t="s">
        <v>7</v>
      </c>
      <c r="N766" t="s">
        <v>8</v>
      </c>
      <c r="P766">
        <f t="shared" si="999"/>
        <v>-9.0909090909090107E-2</v>
      </c>
      <c r="Q766">
        <f t="shared" si="1000"/>
        <v>-20312086.363636184</v>
      </c>
      <c r="R766">
        <f t="shared" si="1001"/>
        <v>-378694850.01697099</v>
      </c>
      <c r="S766">
        <f t="shared" si="1002"/>
        <v>-3786.9485001697099</v>
      </c>
      <c r="T766">
        <f t="shared" si="1003"/>
        <v>-3.7869485001697099</v>
      </c>
    </row>
    <row r="767" spans="1:20" x14ac:dyDescent="0.25">
      <c r="A767" s="5">
        <v>43826</v>
      </c>
      <c r="B767">
        <v>5.0670000000000003E-3</v>
      </c>
      <c r="C767">
        <v>5.1440000000000001E-3</v>
      </c>
      <c r="D767">
        <v>4.8989999999999997E-3</v>
      </c>
      <c r="E767">
        <v>5.0220000000000004E-3</v>
      </c>
      <c r="F767">
        <v>234730829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4.0816326530652997E-3</v>
      </c>
      <c r="Q767">
        <f t="shared" ref="Q767:Q830" si="1005">F767*P767</f>
        <v>958085.01632748719</v>
      </c>
      <c r="R767">
        <f t="shared" ref="R767:R830" si="1006">R768+Q767</f>
        <v>-358382763.6533348</v>
      </c>
      <c r="S767">
        <f t="shared" ref="S767:S830" si="1007">R767/100000</f>
        <v>-3583.8276365333481</v>
      </c>
      <c r="T767">
        <f t="shared" ref="T767:T830" si="1008">S767/1000</f>
        <v>-3.5838276365333481</v>
      </c>
    </row>
    <row r="768" spans="1:20" x14ac:dyDescent="0.25">
      <c r="A768" s="5">
        <v>43825</v>
      </c>
      <c r="B768">
        <v>5.0299999999999997E-3</v>
      </c>
      <c r="C768">
        <v>5.2630000000000003E-3</v>
      </c>
      <c r="D768">
        <v>4.9610000000000001E-3</v>
      </c>
      <c r="E768">
        <v>5.0679999999999996E-3</v>
      </c>
      <c r="F768">
        <v>401772983</v>
      </c>
      <c r="G768">
        <v>0</v>
      </c>
      <c r="L768" t="s">
        <v>8</v>
      </c>
      <c r="M768" t="s">
        <v>8</v>
      </c>
      <c r="N768" t="s">
        <v>8</v>
      </c>
      <c r="P768">
        <f t="shared" si="1004"/>
        <v>-0.29139072847682523</v>
      </c>
      <c r="Q768">
        <f t="shared" si="1005"/>
        <v>-117072922.19867712</v>
      </c>
      <c r="R768">
        <f t="shared" si="1006"/>
        <v>-359340848.6696623</v>
      </c>
      <c r="S768">
        <f t="shared" si="1007"/>
        <v>-3593.4084866966232</v>
      </c>
      <c r="T768">
        <f t="shared" si="1008"/>
        <v>-3.5934084866966232</v>
      </c>
    </row>
    <row r="769" spans="1:20" x14ac:dyDescent="0.25">
      <c r="A769" s="5">
        <v>43824</v>
      </c>
      <c r="B769">
        <v>5.1840000000000002E-3</v>
      </c>
      <c r="C769">
        <v>5.189E-3</v>
      </c>
      <c r="D769">
        <v>4.9519999999999998E-3</v>
      </c>
      <c r="E769">
        <v>5.0270000000000002E-3</v>
      </c>
      <c r="F769">
        <v>276464417</v>
      </c>
      <c r="G769">
        <v>0</v>
      </c>
      <c r="L769" t="s">
        <v>7</v>
      </c>
      <c r="M769" t="s">
        <v>8</v>
      </c>
      <c r="N769" t="s">
        <v>8</v>
      </c>
      <c r="P769">
        <f t="shared" si="1004"/>
        <v>-0.36708860759493384</v>
      </c>
      <c r="Q769">
        <f t="shared" si="1005"/>
        <v>-101486937.88607515</v>
      </c>
      <c r="R769">
        <f t="shared" si="1006"/>
        <v>-242267926.47098517</v>
      </c>
      <c r="S769">
        <f t="shared" si="1007"/>
        <v>-2422.6792647098519</v>
      </c>
      <c r="T769">
        <f t="shared" si="1008"/>
        <v>-2.4226792647098518</v>
      </c>
    </row>
    <row r="770" spans="1:20" x14ac:dyDescent="0.25">
      <c r="A770" s="5">
        <v>43823</v>
      </c>
      <c r="B770">
        <v>5.1599999999999997E-3</v>
      </c>
      <c r="C770">
        <v>5.2729999999999999E-3</v>
      </c>
      <c r="D770">
        <v>5.0549999999999996E-3</v>
      </c>
      <c r="E770">
        <v>5.189E-3</v>
      </c>
      <c r="F770">
        <v>370975416</v>
      </c>
      <c r="G770">
        <v>0</v>
      </c>
      <c r="L770" t="s">
        <v>7</v>
      </c>
      <c r="M770" t="s">
        <v>8</v>
      </c>
      <c r="N770" t="s">
        <v>8</v>
      </c>
      <c r="P770">
        <f t="shared" si="1004"/>
        <v>0.22935779816513988</v>
      </c>
      <c r="Q770">
        <f t="shared" si="1005"/>
        <v>85086104.587156802</v>
      </c>
      <c r="R770">
        <f t="shared" si="1006"/>
        <v>-140780988.58491001</v>
      </c>
      <c r="S770">
        <f t="shared" si="1007"/>
        <v>-1407.8098858491001</v>
      </c>
      <c r="T770">
        <f t="shared" si="1008"/>
        <v>-1.4078098858491002</v>
      </c>
    </row>
    <row r="771" spans="1:20" x14ac:dyDescent="0.25">
      <c r="A771" s="5">
        <v>43822</v>
      </c>
      <c r="B771">
        <v>5.4419999999999998E-3</v>
      </c>
      <c r="C771">
        <v>5.4990000000000004E-3</v>
      </c>
      <c r="D771">
        <v>5.0920000000000002E-3</v>
      </c>
      <c r="E771">
        <v>5.1529999999999996E-3</v>
      </c>
      <c r="F771">
        <v>521259029</v>
      </c>
      <c r="G771">
        <v>0</v>
      </c>
      <c r="L771" t="s">
        <v>7</v>
      </c>
      <c r="M771" t="s">
        <v>8</v>
      </c>
      <c r="N771" t="s">
        <v>8</v>
      </c>
      <c r="P771">
        <f t="shared" si="1004"/>
        <v>-0.70024570024570321</v>
      </c>
      <c r="Q771">
        <f t="shared" si="1005"/>
        <v>-365009393.77150029</v>
      </c>
      <c r="R771">
        <f t="shared" si="1006"/>
        <v>-225867093.17206681</v>
      </c>
      <c r="S771">
        <f t="shared" si="1007"/>
        <v>-2258.6709317206682</v>
      </c>
      <c r="T771">
        <f t="shared" si="1008"/>
        <v>-2.2586709317206681</v>
      </c>
    </row>
    <row r="772" spans="1:20" x14ac:dyDescent="0.25">
      <c r="A772" s="5">
        <v>43821</v>
      </c>
      <c r="B772">
        <v>5.3189999999999999E-3</v>
      </c>
      <c r="C772">
        <v>5.5319999999999996E-3</v>
      </c>
      <c r="D772">
        <v>5.2240000000000003E-3</v>
      </c>
      <c r="E772">
        <v>5.4330000000000003E-3</v>
      </c>
      <c r="F772">
        <v>658204405</v>
      </c>
      <c r="G772">
        <v>0</v>
      </c>
      <c r="L772" t="s">
        <v>7</v>
      </c>
      <c r="M772" t="s">
        <v>8</v>
      </c>
      <c r="N772" t="s">
        <v>8</v>
      </c>
      <c r="P772">
        <f t="shared" si="1004"/>
        <v>0.35714285714286037</v>
      </c>
      <c r="Q772">
        <f t="shared" si="1005"/>
        <v>235073001.78571641</v>
      </c>
      <c r="R772">
        <f t="shared" si="1006"/>
        <v>139142300.59943348</v>
      </c>
      <c r="S772">
        <f t="shared" si="1007"/>
        <v>1391.4230059943347</v>
      </c>
      <c r="T772">
        <f t="shared" si="1008"/>
        <v>1.3914230059943347</v>
      </c>
    </row>
    <row r="773" spans="1:20" x14ac:dyDescent="0.25">
      <c r="A773" s="5">
        <v>43820</v>
      </c>
      <c r="B773">
        <v>5.633E-3</v>
      </c>
      <c r="C773">
        <v>5.7340000000000004E-3</v>
      </c>
      <c r="D773">
        <v>5.2399999999999999E-3</v>
      </c>
      <c r="E773">
        <v>5.3200000000000001E-3</v>
      </c>
      <c r="F773">
        <v>866973177</v>
      </c>
      <c r="G773">
        <v>0</v>
      </c>
      <c r="L773" t="s">
        <v>7</v>
      </c>
      <c r="M773" t="s">
        <v>8</v>
      </c>
      <c r="N773" t="s">
        <v>8</v>
      </c>
      <c r="P773">
        <f t="shared" si="1004"/>
        <v>-0.67611336032388614</v>
      </c>
      <c r="Q773">
        <f t="shared" si="1005"/>
        <v>-586172148.01214528</v>
      </c>
      <c r="R773">
        <f t="shared" si="1006"/>
        <v>-95930701.186282933</v>
      </c>
      <c r="S773">
        <f t="shared" si="1007"/>
        <v>-959.30701186282931</v>
      </c>
      <c r="T773">
        <f t="shared" si="1008"/>
        <v>-0.9593070118628293</v>
      </c>
    </row>
    <row r="774" spans="1:20" x14ac:dyDescent="0.25">
      <c r="A774" s="5">
        <v>43819</v>
      </c>
      <c r="B774">
        <v>5.0829999999999998E-3</v>
      </c>
      <c r="C774">
        <v>5.8129999999999996E-3</v>
      </c>
      <c r="D774">
        <v>4.927E-3</v>
      </c>
      <c r="E774">
        <v>5.6340000000000001E-3</v>
      </c>
      <c r="F774">
        <v>1119192152</v>
      </c>
      <c r="G774">
        <v>0</v>
      </c>
      <c r="L774" t="s">
        <v>8</v>
      </c>
      <c r="M774" t="s">
        <v>8</v>
      </c>
      <c r="N774" t="s">
        <v>8</v>
      </c>
      <c r="P774">
        <f t="shared" si="1004"/>
        <v>0.59593679458239379</v>
      </c>
      <c r="Q774">
        <f t="shared" si="1005"/>
        <v>666967783.58465123</v>
      </c>
      <c r="R774">
        <f t="shared" si="1006"/>
        <v>490241446.82586235</v>
      </c>
      <c r="S774">
        <f t="shared" si="1007"/>
        <v>4902.4144682586239</v>
      </c>
      <c r="T774">
        <f t="shared" si="1008"/>
        <v>4.9024144682586241</v>
      </c>
    </row>
    <row r="775" spans="1:20" x14ac:dyDescent="0.25">
      <c r="A775" s="5">
        <v>43818</v>
      </c>
      <c r="B775">
        <v>5.1700000000000001E-3</v>
      </c>
      <c r="C775">
        <v>5.2570000000000004E-3</v>
      </c>
      <c r="D775">
        <v>4.8520000000000004E-3</v>
      </c>
      <c r="E775">
        <v>5.0829999999999998E-3</v>
      </c>
      <c r="F775">
        <v>279269152</v>
      </c>
      <c r="G775">
        <v>0</v>
      </c>
      <c r="L775" t="s">
        <v>7</v>
      </c>
      <c r="M775" t="s">
        <v>7</v>
      </c>
      <c r="N775" t="s">
        <v>8</v>
      </c>
      <c r="P775">
        <f t="shared" si="1004"/>
        <v>0.140740740740738</v>
      </c>
      <c r="Q775">
        <f t="shared" si="1005"/>
        <v>39304547.318517752</v>
      </c>
      <c r="R775">
        <f t="shared" si="1006"/>
        <v>-176726336.75878888</v>
      </c>
      <c r="S775">
        <f t="shared" si="1007"/>
        <v>-1767.2633675878888</v>
      </c>
      <c r="T775">
        <f t="shared" si="1008"/>
        <v>-1.7672633675878888</v>
      </c>
    </row>
    <row r="776" spans="1:20" x14ac:dyDescent="0.25">
      <c r="A776" s="5">
        <v>43817</v>
      </c>
      <c r="B776">
        <v>4.6059999999999999E-3</v>
      </c>
      <c r="C776">
        <v>5.2469999999999999E-3</v>
      </c>
      <c r="D776">
        <v>4.516E-3</v>
      </c>
      <c r="E776">
        <v>5.1679999999999999E-3</v>
      </c>
      <c r="F776">
        <v>454108570</v>
      </c>
      <c r="G776">
        <v>0</v>
      </c>
      <c r="L776" t="s">
        <v>8</v>
      </c>
      <c r="M776" t="s">
        <v>7</v>
      </c>
      <c r="N776" t="s">
        <v>8</v>
      </c>
      <c r="P776">
        <f t="shared" si="1004"/>
        <v>0.78385772913816665</v>
      </c>
      <c r="Q776">
        <f t="shared" si="1005"/>
        <v>355956512.46238017</v>
      </c>
      <c r="R776">
        <f t="shared" si="1006"/>
        <v>-216030884.07730663</v>
      </c>
      <c r="S776">
        <f t="shared" si="1007"/>
        <v>-2160.3088407730661</v>
      </c>
      <c r="T776">
        <f t="shared" si="1008"/>
        <v>-2.160308840773066</v>
      </c>
    </row>
    <row r="777" spans="1:20" x14ac:dyDescent="0.25">
      <c r="A777" s="5">
        <v>43816</v>
      </c>
      <c r="B777">
        <v>4.8919999999999996E-3</v>
      </c>
      <c r="C777">
        <v>4.9030000000000002E-3</v>
      </c>
      <c r="D777">
        <v>4.5469999999999998E-3</v>
      </c>
      <c r="E777">
        <v>4.5989999999999998E-3</v>
      </c>
      <c r="F777">
        <v>294142620</v>
      </c>
      <c r="G777">
        <v>0</v>
      </c>
      <c r="L777" t="s">
        <v>7</v>
      </c>
      <c r="M777" t="s">
        <v>7</v>
      </c>
      <c r="N777" t="s">
        <v>8</v>
      </c>
      <c r="P777">
        <f t="shared" si="1004"/>
        <v>-0.70786516853932635</v>
      </c>
      <c r="Q777">
        <f t="shared" si="1005"/>
        <v>-208213315.28089902</v>
      </c>
      <c r="R777">
        <f t="shared" si="1006"/>
        <v>-571987396.5396868</v>
      </c>
      <c r="S777">
        <f t="shared" si="1007"/>
        <v>-5719.8739653968678</v>
      </c>
      <c r="T777">
        <f t="shared" si="1008"/>
        <v>-5.719873965396868</v>
      </c>
    </row>
    <row r="778" spans="1:20" x14ac:dyDescent="0.25">
      <c r="A778" s="5">
        <v>43815</v>
      </c>
      <c r="B778">
        <v>5.2040000000000003E-3</v>
      </c>
      <c r="C778">
        <v>5.215E-3</v>
      </c>
      <c r="D778">
        <v>4.8009999999999997E-3</v>
      </c>
      <c r="E778">
        <v>4.8939999999999999E-3</v>
      </c>
      <c r="F778">
        <v>186516028</v>
      </c>
      <c r="G778">
        <v>0</v>
      </c>
      <c r="L778" t="s">
        <v>7</v>
      </c>
      <c r="M778" t="s">
        <v>7</v>
      </c>
      <c r="N778" t="s">
        <v>8</v>
      </c>
      <c r="P778">
        <f t="shared" si="1004"/>
        <v>-0.55072463768115876</v>
      </c>
      <c r="Q778">
        <f t="shared" si="1005"/>
        <v>-102718971.94202887</v>
      </c>
      <c r="R778">
        <f t="shared" si="1006"/>
        <v>-363774081.25878775</v>
      </c>
      <c r="S778">
        <f t="shared" si="1007"/>
        <v>-3637.7408125878774</v>
      </c>
      <c r="T778">
        <f t="shared" si="1008"/>
        <v>-3.6377408125878774</v>
      </c>
    </row>
    <row r="779" spans="1:20" x14ac:dyDescent="0.25">
      <c r="A779" s="5">
        <v>43814</v>
      </c>
      <c r="B779">
        <v>5.1510000000000002E-3</v>
      </c>
      <c r="C779">
        <v>5.3489999999999996E-3</v>
      </c>
      <c r="D779">
        <v>5.0460000000000001E-3</v>
      </c>
      <c r="E779">
        <v>5.1999999999999998E-3</v>
      </c>
      <c r="F779">
        <v>142254005</v>
      </c>
      <c r="G779">
        <v>0</v>
      </c>
      <c r="L779" t="s">
        <v>7</v>
      </c>
      <c r="M779" t="s">
        <v>7</v>
      </c>
      <c r="N779" t="s">
        <v>8</v>
      </c>
      <c r="P779">
        <f t="shared" si="1004"/>
        <v>1.6501650165015858E-2</v>
      </c>
      <c r="Q779">
        <f t="shared" si="1005"/>
        <v>2347425.8250824166</v>
      </c>
      <c r="R779">
        <f t="shared" si="1006"/>
        <v>-261055109.3167589</v>
      </c>
      <c r="S779">
        <f t="shared" si="1007"/>
        <v>-2610.551093167589</v>
      </c>
      <c r="T779">
        <f t="shared" si="1008"/>
        <v>-2.6105510931675888</v>
      </c>
    </row>
    <row r="780" spans="1:20" x14ac:dyDescent="0.25">
      <c r="A780" s="5">
        <v>43813</v>
      </c>
      <c r="B780">
        <v>5.3619999999999996E-3</v>
      </c>
      <c r="C780">
        <v>5.4920000000000004E-3</v>
      </c>
      <c r="D780">
        <v>5.0299999999999997E-3</v>
      </c>
      <c r="E780">
        <v>5.1539999999999997E-3</v>
      </c>
      <c r="F780">
        <v>202406446</v>
      </c>
      <c r="G780">
        <v>0</v>
      </c>
      <c r="L780" t="s">
        <v>7</v>
      </c>
      <c r="M780" t="s">
        <v>7</v>
      </c>
      <c r="N780" t="s">
        <v>8</v>
      </c>
      <c r="P780">
        <f t="shared" si="1004"/>
        <v>-0.46320346320346401</v>
      </c>
      <c r="Q780">
        <f t="shared" si="1005"/>
        <v>-93755366.761904925</v>
      </c>
      <c r="R780">
        <f t="shared" si="1006"/>
        <v>-263402535.14184132</v>
      </c>
      <c r="S780">
        <f t="shared" si="1007"/>
        <v>-2634.0253514184133</v>
      </c>
      <c r="T780">
        <f t="shared" si="1008"/>
        <v>-2.6340253514184133</v>
      </c>
    </row>
    <row r="781" spans="1:20" x14ac:dyDescent="0.25">
      <c r="A781" s="5">
        <v>43812</v>
      </c>
      <c r="B781">
        <v>5.1149999999999998E-3</v>
      </c>
      <c r="C781">
        <v>5.489E-3</v>
      </c>
      <c r="D781">
        <v>5.1089999999999998E-3</v>
      </c>
      <c r="E781">
        <v>5.3600000000000002E-3</v>
      </c>
      <c r="F781">
        <v>281185026</v>
      </c>
      <c r="G781">
        <v>0</v>
      </c>
      <c r="L781" t="s">
        <v>8</v>
      </c>
      <c r="M781" t="s">
        <v>7</v>
      </c>
      <c r="N781" t="s">
        <v>8</v>
      </c>
      <c r="P781">
        <f t="shared" si="1004"/>
        <v>0.32105263157894881</v>
      </c>
      <c r="Q781">
        <f t="shared" si="1005"/>
        <v>90275192.557895139</v>
      </c>
      <c r="R781">
        <f t="shared" si="1006"/>
        <v>-169647168.3799364</v>
      </c>
      <c r="S781">
        <f t="shared" si="1007"/>
        <v>-1696.471683799364</v>
      </c>
      <c r="T781">
        <f t="shared" si="1008"/>
        <v>-1.6964716837993641</v>
      </c>
    </row>
    <row r="782" spans="1:20" x14ac:dyDescent="0.25">
      <c r="A782" s="5">
        <v>43811</v>
      </c>
      <c r="B782">
        <v>5.1580000000000003E-3</v>
      </c>
      <c r="C782">
        <v>5.228E-3</v>
      </c>
      <c r="D782">
        <v>4.9529999999999999E-3</v>
      </c>
      <c r="E782">
        <v>5.1089999999999998E-3</v>
      </c>
      <c r="F782">
        <v>377265723</v>
      </c>
      <c r="G782">
        <v>0</v>
      </c>
      <c r="L782" t="s">
        <v>7</v>
      </c>
      <c r="M782" t="s">
        <v>7</v>
      </c>
      <c r="N782" t="s">
        <v>8</v>
      </c>
      <c r="P782">
        <f t="shared" si="1004"/>
        <v>0.13454545454545344</v>
      </c>
      <c r="Q782">
        <f t="shared" si="1005"/>
        <v>50759388.18545413</v>
      </c>
      <c r="R782">
        <f t="shared" si="1006"/>
        <v>-259922360.93783152</v>
      </c>
      <c r="S782">
        <f t="shared" si="1007"/>
        <v>-2599.2236093783154</v>
      </c>
      <c r="T782">
        <f t="shared" si="1008"/>
        <v>-2.5992236093783152</v>
      </c>
    </row>
    <row r="783" spans="1:20" x14ac:dyDescent="0.25">
      <c r="A783" s="5">
        <v>43810</v>
      </c>
      <c r="B783">
        <v>5.3189999999999999E-3</v>
      </c>
      <c r="C783">
        <v>5.3730000000000002E-3</v>
      </c>
      <c r="D783">
        <v>5.0990000000000002E-3</v>
      </c>
      <c r="E783">
        <v>5.1549999999999999E-3</v>
      </c>
      <c r="F783">
        <v>304441918</v>
      </c>
      <c r="G783">
        <v>0</v>
      </c>
      <c r="L783" t="s">
        <v>7</v>
      </c>
      <c r="M783" t="s">
        <v>7</v>
      </c>
      <c r="N783" t="s">
        <v>8</v>
      </c>
      <c r="P783">
        <f t="shared" si="1004"/>
        <v>-0.59124087591241137</v>
      </c>
      <c r="Q783">
        <f t="shared" si="1005"/>
        <v>-179998506.26277453</v>
      </c>
      <c r="R783">
        <f t="shared" si="1006"/>
        <v>-310681749.12328565</v>
      </c>
      <c r="S783">
        <f t="shared" si="1007"/>
        <v>-3106.8174912328564</v>
      </c>
      <c r="T783">
        <f t="shared" si="1008"/>
        <v>-3.1068174912328566</v>
      </c>
    </row>
    <row r="784" spans="1:20" x14ac:dyDescent="0.25">
      <c r="A784" s="5">
        <v>43809</v>
      </c>
      <c r="B784">
        <v>5.8989999999999997E-3</v>
      </c>
      <c r="C784">
        <v>5.9439999999999996E-3</v>
      </c>
      <c r="D784">
        <v>5.11E-3</v>
      </c>
      <c r="E784">
        <v>5.3169999999999997E-3</v>
      </c>
      <c r="F784">
        <v>922000452</v>
      </c>
      <c r="G784">
        <v>0</v>
      </c>
      <c r="L784" t="s">
        <v>7</v>
      </c>
      <c r="M784" t="s">
        <v>7</v>
      </c>
      <c r="N784" t="s">
        <v>8</v>
      </c>
      <c r="P784">
        <f t="shared" si="1004"/>
        <v>-0.50359712230215881</v>
      </c>
      <c r="Q784">
        <f t="shared" si="1005"/>
        <v>-464316774.38848972</v>
      </c>
      <c r="R784">
        <f t="shared" si="1006"/>
        <v>-130683242.86051112</v>
      </c>
      <c r="S784">
        <f t="shared" si="1007"/>
        <v>-1306.8324286051113</v>
      </c>
      <c r="T784">
        <f t="shared" si="1008"/>
        <v>-1.3068324286051114</v>
      </c>
    </row>
    <row r="785" spans="1:20" x14ac:dyDescent="0.25">
      <c r="A785" s="5">
        <v>43808</v>
      </c>
      <c r="B785">
        <v>5.9319999999999998E-3</v>
      </c>
      <c r="C785">
        <v>6.228E-3</v>
      </c>
      <c r="D785">
        <v>5.8409999999999998E-3</v>
      </c>
      <c r="E785">
        <v>5.8900000000000003E-3</v>
      </c>
      <c r="F785">
        <v>548494763</v>
      </c>
      <c r="G785">
        <v>0</v>
      </c>
      <c r="L785" t="s">
        <v>8</v>
      </c>
      <c r="M785" t="s">
        <v>8</v>
      </c>
      <c r="N785" t="s">
        <v>8</v>
      </c>
      <c r="P785">
        <f t="shared" si="1004"/>
        <v>-0.74677002583979113</v>
      </c>
      <c r="Q785">
        <f t="shared" si="1005"/>
        <v>-409599448.33850008</v>
      </c>
      <c r="R785">
        <f t="shared" si="1006"/>
        <v>333633531.5279786</v>
      </c>
      <c r="S785">
        <f t="shared" si="1007"/>
        <v>3336.3353152797858</v>
      </c>
      <c r="T785">
        <f t="shared" si="1008"/>
        <v>3.3363353152797859</v>
      </c>
    </row>
    <row r="786" spans="1:20" x14ac:dyDescent="0.25">
      <c r="A786" s="5">
        <v>43807</v>
      </c>
      <c r="B786">
        <v>6.0720000000000001E-3</v>
      </c>
      <c r="C786">
        <v>6.1120000000000002E-3</v>
      </c>
      <c r="D786">
        <v>5.7809999999999997E-3</v>
      </c>
      <c r="E786">
        <v>5.9319999999999998E-3</v>
      </c>
      <c r="F786">
        <v>559642727</v>
      </c>
      <c r="G786">
        <v>0</v>
      </c>
      <c r="L786" t="s">
        <v>7</v>
      </c>
      <c r="M786" t="s">
        <v>8</v>
      </c>
      <c r="N786" t="s">
        <v>8</v>
      </c>
      <c r="P786">
        <f t="shared" si="1004"/>
        <v>-8.7613293051360508E-2</v>
      </c>
      <c r="Q786">
        <f t="shared" si="1005"/>
        <v>-49032142.244713545</v>
      </c>
      <c r="R786">
        <f t="shared" si="1006"/>
        <v>743232979.86647868</v>
      </c>
      <c r="S786">
        <f t="shared" si="1007"/>
        <v>7432.3297986647867</v>
      </c>
      <c r="T786">
        <f t="shared" si="1008"/>
        <v>7.4323297986647869</v>
      </c>
    </row>
    <row r="787" spans="1:20" x14ac:dyDescent="0.25">
      <c r="A787" s="5">
        <v>43806</v>
      </c>
      <c r="B787">
        <v>5.9550000000000002E-3</v>
      </c>
      <c r="C787">
        <v>6.2579999999999997E-3</v>
      </c>
      <c r="D787">
        <v>5.9199999999999999E-3</v>
      </c>
      <c r="E787">
        <v>6.0769999999999999E-3</v>
      </c>
      <c r="F787">
        <v>525893347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-7.1005917159762524E-2</v>
      </c>
      <c r="Q787">
        <f t="shared" si="1005"/>
        <v>-37341539.431952246</v>
      </c>
      <c r="R787">
        <f t="shared" si="1006"/>
        <v>792265122.11119223</v>
      </c>
      <c r="S787">
        <f t="shared" si="1007"/>
        <v>7922.6512211119225</v>
      </c>
      <c r="T787">
        <f t="shared" si="1008"/>
        <v>7.9226512211119227</v>
      </c>
    </row>
    <row r="788" spans="1:20" x14ac:dyDescent="0.25">
      <c r="A788" s="5">
        <v>43805</v>
      </c>
      <c r="B788">
        <v>5.8380000000000003E-3</v>
      </c>
      <c r="C788">
        <v>6.0340000000000003E-3</v>
      </c>
      <c r="D788">
        <v>5.5900000000000004E-3</v>
      </c>
      <c r="E788">
        <v>5.9540000000000001E-3</v>
      </c>
      <c r="F788">
        <v>530266535</v>
      </c>
      <c r="G788">
        <v>0</v>
      </c>
      <c r="L788" t="s">
        <v>8</v>
      </c>
      <c r="M788" t="s">
        <v>7</v>
      </c>
      <c r="N788" t="s">
        <v>8</v>
      </c>
      <c r="P788">
        <f t="shared" si="1004"/>
        <v>0.63963963963963866</v>
      </c>
      <c r="Q788">
        <f t="shared" si="1005"/>
        <v>339179495.36035985</v>
      </c>
      <c r="R788">
        <f t="shared" si="1006"/>
        <v>829606661.54314446</v>
      </c>
      <c r="S788">
        <f t="shared" si="1007"/>
        <v>8296.066615431444</v>
      </c>
      <c r="T788">
        <f t="shared" si="1008"/>
        <v>8.2960666154314442</v>
      </c>
    </row>
    <row r="789" spans="1:20" x14ac:dyDescent="0.25">
      <c r="A789" s="5">
        <v>43804</v>
      </c>
      <c r="B789">
        <v>5.5929999999999999E-3</v>
      </c>
      <c r="C789">
        <v>5.9540000000000001E-3</v>
      </c>
      <c r="D789">
        <v>5.3759999999999997E-3</v>
      </c>
      <c r="E789">
        <v>5.8370000000000002E-3</v>
      </c>
      <c r="F789">
        <v>646174906</v>
      </c>
      <c r="G789">
        <v>0</v>
      </c>
      <c r="L789" t="s">
        <v>7</v>
      </c>
      <c r="M789" t="s">
        <v>7</v>
      </c>
      <c r="N789" t="s">
        <v>8</v>
      </c>
      <c r="P789">
        <f t="shared" si="1004"/>
        <v>0.59515570934256112</v>
      </c>
      <c r="Q789">
        <f t="shared" si="1005"/>
        <v>384574684.53979278</v>
      </c>
      <c r="R789">
        <f t="shared" si="1006"/>
        <v>490427166.18278468</v>
      </c>
      <c r="S789">
        <f t="shared" si="1007"/>
        <v>4904.2716618278464</v>
      </c>
      <c r="T789">
        <f t="shared" si="1008"/>
        <v>4.9042716618278464</v>
      </c>
    </row>
    <row r="790" spans="1:20" x14ac:dyDescent="0.25">
      <c r="A790" s="5">
        <v>43803</v>
      </c>
      <c r="B790">
        <v>5.8500000000000002E-3</v>
      </c>
      <c r="C790">
        <v>6.1000000000000004E-3</v>
      </c>
      <c r="D790">
        <v>5.4949999999999999E-3</v>
      </c>
      <c r="E790">
        <v>5.6059999999999999E-3</v>
      </c>
      <c r="F790">
        <v>737249956</v>
      </c>
      <c r="G790">
        <v>0</v>
      </c>
      <c r="L790" t="s">
        <v>7</v>
      </c>
      <c r="M790" t="s">
        <v>8</v>
      </c>
      <c r="N790" t="s">
        <v>8</v>
      </c>
      <c r="P790">
        <f t="shared" si="1004"/>
        <v>-0.63305785123966973</v>
      </c>
      <c r="Q790">
        <f t="shared" si="1005"/>
        <v>-466721872.97190106</v>
      </c>
      <c r="R790">
        <f t="shared" si="1006"/>
        <v>105852481.6429919</v>
      </c>
      <c r="S790">
        <f t="shared" si="1007"/>
        <v>1058.5248164299189</v>
      </c>
      <c r="T790">
        <f t="shared" si="1008"/>
        <v>1.058524816429919</v>
      </c>
    </row>
    <row r="791" spans="1:20" x14ac:dyDescent="0.25">
      <c r="A791" s="5">
        <v>43802</v>
      </c>
      <c r="B791">
        <v>5.9839999999999997E-3</v>
      </c>
      <c r="C791">
        <v>6.2230000000000002E-3</v>
      </c>
      <c r="D791">
        <v>5.7999999999999996E-3</v>
      </c>
      <c r="E791">
        <v>5.8500000000000002E-3</v>
      </c>
      <c r="F791">
        <v>768188289</v>
      </c>
      <c r="G791">
        <v>0</v>
      </c>
      <c r="L791" t="s">
        <v>7</v>
      </c>
      <c r="M791" t="s">
        <v>8</v>
      </c>
      <c r="N791" t="s">
        <v>8</v>
      </c>
      <c r="P791">
        <f t="shared" si="1004"/>
        <v>-0.76359338061465487</v>
      </c>
      <c r="Q791">
        <f t="shared" si="1005"/>
        <v>-586583492.54609752</v>
      </c>
      <c r="R791">
        <f t="shared" si="1006"/>
        <v>572574354.61489296</v>
      </c>
      <c r="S791">
        <f t="shared" si="1007"/>
        <v>5725.7435461489295</v>
      </c>
      <c r="T791">
        <f t="shared" si="1008"/>
        <v>5.7257435461489292</v>
      </c>
    </row>
    <row r="792" spans="1:20" x14ac:dyDescent="0.25">
      <c r="A792" s="5">
        <v>43801</v>
      </c>
      <c r="B792">
        <v>5.4200000000000003E-3</v>
      </c>
      <c r="C792">
        <v>6.2839999999999997E-3</v>
      </c>
      <c r="D792">
        <v>5.2319999999999997E-3</v>
      </c>
      <c r="E792">
        <v>5.9789999999999999E-3</v>
      </c>
      <c r="F792">
        <v>964191950</v>
      </c>
      <c r="G792">
        <v>0</v>
      </c>
      <c r="L792" t="s">
        <v>8</v>
      </c>
      <c r="M792" t="s">
        <v>8</v>
      </c>
      <c r="N792" t="s">
        <v>8</v>
      </c>
      <c r="P792">
        <f t="shared" si="1004"/>
        <v>0.42015209125475339</v>
      </c>
      <c r="Q792">
        <f t="shared" si="1005"/>
        <v>405107264.16349864</v>
      </c>
      <c r="R792">
        <f t="shared" si="1006"/>
        <v>1159157847.1609905</v>
      </c>
      <c r="S792">
        <f t="shared" si="1007"/>
        <v>11591.578471609904</v>
      </c>
      <c r="T792">
        <f t="shared" si="1008"/>
        <v>11.591578471609905</v>
      </c>
    </row>
    <row r="793" spans="1:20" x14ac:dyDescent="0.25">
      <c r="A793" s="5">
        <v>43800</v>
      </c>
      <c r="B793">
        <v>5.2449999999999997E-3</v>
      </c>
      <c r="C793">
        <v>5.6429999999999996E-3</v>
      </c>
      <c r="D793">
        <v>4.9880000000000002E-3</v>
      </c>
      <c r="E793">
        <v>5.4200000000000003E-3</v>
      </c>
      <c r="F793">
        <v>894002441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0.31908396946565049</v>
      </c>
      <c r="Q793">
        <f t="shared" si="1005"/>
        <v>285261847.58626097</v>
      </c>
      <c r="R793">
        <f t="shared" si="1006"/>
        <v>754050582.99749184</v>
      </c>
      <c r="S793">
        <f t="shared" si="1007"/>
        <v>7540.505829974918</v>
      </c>
      <c r="T793">
        <f t="shared" si="1008"/>
        <v>7.5405058299749177</v>
      </c>
    </row>
    <row r="794" spans="1:20" x14ac:dyDescent="0.25">
      <c r="A794" s="5">
        <v>43799</v>
      </c>
      <c r="B794">
        <v>5.5760000000000002E-3</v>
      </c>
      <c r="C794">
        <v>5.6439999999999997E-3</v>
      </c>
      <c r="D794">
        <v>5.1450000000000003E-3</v>
      </c>
      <c r="E794">
        <v>5.2490000000000002E-3</v>
      </c>
      <c r="F794">
        <v>443682292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-0.58316633266533047</v>
      </c>
      <c r="Q794">
        <f t="shared" si="1005"/>
        <v>-258740575.0941883</v>
      </c>
      <c r="R794">
        <f t="shared" si="1006"/>
        <v>468788735.4112308</v>
      </c>
      <c r="S794">
        <f t="shared" si="1007"/>
        <v>4687.8873541123085</v>
      </c>
      <c r="T794">
        <f t="shared" si="1008"/>
        <v>4.6878873541123083</v>
      </c>
    </row>
    <row r="795" spans="1:20" x14ac:dyDescent="0.25">
      <c r="A795" s="5">
        <v>43798</v>
      </c>
      <c r="B795">
        <v>5.4729999999999996E-3</v>
      </c>
      <c r="C795">
        <v>5.646E-3</v>
      </c>
      <c r="D795">
        <v>5.4440000000000001E-3</v>
      </c>
      <c r="E795">
        <v>5.5770000000000004E-3</v>
      </c>
      <c r="F795">
        <v>312290394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0.31683168316832033</v>
      </c>
      <c r="Q795">
        <f t="shared" si="1005"/>
        <v>98943491.168317929</v>
      </c>
      <c r="R795">
        <f t="shared" si="1006"/>
        <v>727529310.50541914</v>
      </c>
      <c r="S795">
        <f t="shared" si="1007"/>
        <v>7275.2931050541911</v>
      </c>
      <c r="T795">
        <f t="shared" si="1008"/>
        <v>7.2752931050541907</v>
      </c>
    </row>
    <row r="796" spans="1:20" x14ac:dyDescent="0.25">
      <c r="A796" s="5">
        <v>43797</v>
      </c>
      <c r="B796">
        <v>5.3569999999999998E-3</v>
      </c>
      <c r="C796">
        <v>5.6849999999999999E-3</v>
      </c>
      <c r="D796">
        <v>5.3309999999999998E-3</v>
      </c>
      <c r="E796">
        <v>5.4749999999999998E-3</v>
      </c>
      <c r="F796">
        <v>612440164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-0.18644067796610186</v>
      </c>
      <c r="Q796">
        <f t="shared" si="1005"/>
        <v>-114183759.38983062</v>
      </c>
      <c r="R796">
        <f t="shared" si="1006"/>
        <v>628585819.33710122</v>
      </c>
      <c r="S796">
        <f t="shared" si="1007"/>
        <v>6285.858193371012</v>
      </c>
      <c r="T796">
        <f t="shared" si="1008"/>
        <v>6.2858581933710118</v>
      </c>
    </row>
    <row r="797" spans="1:20" x14ac:dyDescent="0.25">
      <c r="A797" s="5">
        <v>43796</v>
      </c>
      <c r="B797">
        <v>4.8630000000000001E-3</v>
      </c>
      <c r="C797">
        <v>5.4999999999999997E-3</v>
      </c>
      <c r="D797">
        <v>4.7400000000000003E-3</v>
      </c>
      <c r="E797">
        <v>5.3629999999999997E-3</v>
      </c>
      <c r="F797">
        <v>804774073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0.63947368421052608</v>
      </c>
      <c r="Q797">
        <f t="shared" si="1005"/>
        <v>514631841.41842085</v>
      </c>
      <c r="R797">
        <f t="shared" si="1006"/>
        <v>742769578.72693181</v>
      </c>
      <c r="S797">
        <f t="shared" si="1007"/>
        <v>7427.6957872693183</v>
      </c>
      <c r="T797">
        <f t="shared" si="1008"/>
        <v>7.4276957872693181</v>
      </c>
    </row>
    <row r="798" spans="1:20" x14ac:dyDescent="0.25">
      <c r="A798" s="5">
        <v>43795</v>
      </c>
      <c r="B798">
        <v>4.7889999999999999E-3</v>
      </c>
      <c r="C798">
        <v>4.9940000000000002E-3</v>
      </c>
      <c r="D798">
        <v>4.7099999999999998E-3</v>
      </c>
      <c r="E798">
        <v>4.8560000000000001E-3</v>
      </c>
      <c r="F798">
        <v>346001057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2.8169014084507688E-2</v>
      </c>
      <c r="Q798">
        <f t="shared" si="1005"/>
        <v>9746508.6478875466</v>
      </c>
      <c r="R798">
        <f t="shared" si="1006"/>
        <v>228137737.30851093</v>
      </c>
      <c r="S798">
        <f t="shared" si="1007"/>
        <v>2281.3773730851094</v>
      </c>
      <c r="T798">
        <f t="shared" si="1008"/>
        <v>2.2813773730851095</v>
      </c>
    </row>
    <row r="799" spans="1:20" x14ac:dyDescent="0.25">
      <c r="A799" s="5">
        <v>43794</v>
      </c>
      <c r="B799">
        <v>4.5030000000000001E-3</v>
      </c>
      <c r="C799">
        <v>5.0340000000000003E-3</v>
      </c>
      <c r="D799">
        <v>4.1790000000000004E-3</v>
      </c>
      <c r="E799">
        <v>4.7990000000000003E-3</v>
      </c>
      <c r="F799">
        <v>967088639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0.45029239766081869</v>
      </c>
      <c r="Q799">
        <f t="shared" si="1005"/>
        <v>435472662.00584793</v>
      </c>
      <c r="R799">
        <f t="shared" si="1006"/>
        <v>218391228.66062337</v>
      </c>
      <c r="S799">
        <f t="shared" si="1007"/>
        <v>2183.9122866062339</v>
      </c>
      <c r="T799">
        <f t="shared" si="1008"/>
        <v>2.1839122866062337</v>
      </c>
    </row>
    <row r="800" spans="1:20" x14ac:dyDescent="0.25">
      <c r="A800" s="5">
        <v>43793</v>
      </c>
      <c r="B800">
        <v>5.0639999999999999E-3</v>
      </c>
      <c r="C800">
        <v>5.1120000000000002E-3</v>
      </c>
      <c r="D800">
        <v>4.4650000000000002E-3</v>
      </c>
      <c r="E800">
        <v>4.4990000000000004E-3</v>
      </c>
      <c r="F800">
        <v>683327575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-0.89489953632148322</v>
      </c>
      <c r="Q800">
        <f t="shared" si="1005"/>
        <v>-611509530.02318358</v>
      </c>
      <c r="R800">
        <f t="shared" si="1006"/>
        <v>-217081433.34522456</v>
      </c>
      <c r="S800">
        <f t="shared" si="1007"/>
        <v>-2170.8143334522456</v>
      </c>
      <c r="T800">
        <f t="shared" si="1008"/>
        <v>-2.1708143334522454</v>
      </c>
    </row>
    <row r="801" spans="1:20" x14ac:dyDescent="0.25">
      <c r="A801" s="5">
        <v>43792</v>
      </c>
      <c r="B801">
        <v>4.7759999999999999E-3</v>
      </c>
      <c r="C801">
        <v>5.1500000000000001E-3</v>
      </c>
      <c r="D801">
        <v>4.5799999999999999E-3</v>
      </c>
      <c r="E801">
        <v>5.0600000000000003E-3</v>
      </c>
      <c r="F801">
        <v>907267970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0.68421052631579027</v>
      </c>
      <c r="Q801">
        <f t="shared" si="1005"/>
        <v>620762295.26315856</v>
      </c>
      <c r="R801">
        <f t="shared" si="1006"/>
        <v>394428096.67795902</v>
      </c>
      <c r="S801">
        <f t="shared" si="1007"/>
        <v>3944.2809667795905</v>
      </c>
      <c r="T801">
        <f t="shared" si="1008"/>
        <v>3.9442809667795906</v>
      </c>
    </row>
    <row r="802" spans="1:20" x14ac:dyDescent="0.25">
      <c r="A802" s="5">
        <v>43791</v>
      </c>
      <c r="B802">
        <v>5.4910000000000002E-3</v>
      </c>
      <c r="C802">
        <v>5.548E-3</v>
      </c>
      <c r="D802">
        <v>4.3600000000000002E-3</v>
      </c>
      <c r="E802">
        <v>4.7829999999999999E-3</v>
      </c>
      <c r="F802">
        <v>852270550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-0.28787878787878818</v>
      </c>
      <c r="Q802">
        <f t="shared" si="1005"/>
        <v>-245350612.87878814</v>
      </c>
      <c r="R802">
        <f t="shared" si="1006"/>
        <v>-226334198.58519953</v>
      </c>
      <c r="S802">
        <f t="shared" si="1007"/>
        <v>-2263.3419858519956</v>
      </c>
      <c r="T802">
        <f t="shared" si="1008"/>
        <v>-2.2633419858519956</v>
      </c>
    </row>
    <row r="803" spans="1:20" x14ac:dyDescent="0.25">
      <c r="A803" s="5">
        <v>43790</v>
      </c>
      <c r="B803">
        <v>6.0670000000000003E-3</v>
      </c>
      <c r="C803">
        <v>6.0899999999999999E-3</v>
      </c>
      <c r="D803">
        <v>5.2880000000000002E-3</v>
      </c>
      <c r="E803">
        <v>5.4980000000000003E-3</v>
      </c>
      <c r="F803">
        <v>561241892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-0.47630922693266786</v>
      </c>
      <c r="Q803">
        <f t="shared" si="1005"/>
        <v>-267324691.70074788</v>
      </c>
      <c r="R803">
        <f t="shared" si="1006"/>
        <v>19016414.293588609</v>
      </c>
      <c r="S803">
        <f t="shared" si="1007"/>
        <v>190.16414293588608</v>
      </c>
      <c r="T803">
        <f t="shared" si="1008"/>
        <v>0.19016414293588607</v>
      </c>
    </row>
    <row r="804" spans="1:20" x14ac:dyDescent="0.25">
      <c r="A804" s="5">
        <v>43789</v>
      </c>
      <c r="B804">
        <v>6.3730000000000002E-3</v>
      </c>
      <c r="C804">
        <v>6.4159999999999998E-3</v>
      </c>
      <c r="D804">
        <v>5.9410000000000001E-3</v>
      </c>
      <c r="E804">
        <v>6.0679999999999996E-3</v>
      </c>
      <c r="F804">
        <v>481001197</v>
      </c>
      <c r="G804">
        <v>0</v>
      </c>
      <c r="L804" t="s">
        <v>8</v>
      </c>
      <c r="M804" t="s">
        <v>7</v>
      </c>
      <c r="N804" t="s">
        <v>7</v>
      </c>
      <c r="P804">
        <f t="shared" si="1004"/>
        <v>-0.4652631578947386</v>
      </c>
      <c r="Q804">
        <f t="shared" si="1005"/>
        <v>-223792135.86736926</v>
      </c>
      <c r="R804">
        <f t="shared" si="1006"/>
        <v>286341105.99433649</v>
      </c>
      <c r="S804">
        <f t="shared" si="1007"/>
        <v>2863.4110599433648</v>
      </c>
      <c r="T804">
        <f t="shared" si="1008"/>
        <v>2.8634110599433646</v>
      </c>
    </row>
    <row r="805" spans="1:20" x14ac:dyDescent="0.25">
      <c r="A805" s="5">
        <v>43788</v>
      </c>
      <c r="B805">
        <v>6.0720000000000001E-3</v>
      </c>
      <c r="C805">
        <v>6.4570000000000001E-3</v>
      </c>
      <c r="D805">
        <v>5.8329999999999996E-3</v>
      </c>
      <c r="E805">
        <v>6.3740000000000003E-3</v>
      </c>
      <c r="F805">
        <v>894237742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0.73397435897436003</v>
      </c>
      <c r="Q805">
        <f t="shared" si="1005"/>
        <v>656347573.45512915</v>
      </c>
      <c r="R805">
        <f t="shared" si="1006"/>
        <v>510133241.86170578</v>
      </c>
      <c r="S805">
        <f t="shared" si="1007"/>
        <v>5101.3324186170576</v>
      </c>
      <c r="T805">
        <f t="shared" si="1008"/>
        <v>5.1013324186170577</v>
      </c>
    </row>
    <row r="806" spans="1:20" x14ac:dyDescent="0.25">
      <c r="A806" s="5">
        <v>43787</v>
      </c>
      <c r="B806">
        <v>6.4749999999999999E-3</v>
      </c>
      <c r="C806">
        <v>6.6429999999999996E-3</v>
      </c>
      <c r="D806">
        <v>6.0070000000000002E-3</v>
      </c>
      <c r="E806">
        <v>6.0759999999999998E-3</v>
      </c>
      <c r="F806">
        <v>587266608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-0.78301886792452935</v>
      </c>
      <c r="Q806">
        <f t="shared" si="1005"/>
        <v>-459840834.56603837</v>
      </c>
      <c r="R806">
        <f t="shared" si="1006"/>
        <v>-146214331.59342337</v>
      </c>
      <c r="S806">
        <f t="shared" si="1007"/>
        <v>-1462.1433159342337</v>
      </c>
      <c r="T806">
        <f t="shared" si="1008"/>
        <v>-1.4621433159342336</v>
      </c>
    </row>
    <row r="807" spans="1:20" x14ac:dyDescent="0.25">
      <c r="A807" s="5">
        <v>43786</v>
      </c>
      <c r="B807">
        <v>6.613E-3</v>
      </c>
      <c r="C807">
        <v>6.816E-3</v>
      </c>
      <c r="D807">
        <v>6.4390000000000003E-3</v>
      </c>
      <c r="E807">
        <v>6.4749999999999999E-3</v>
      </c>
      <c r="F807">
        <v>392779004</v>
      </c>
      <c r="G807">
        <v>0</v>
      </c>
      <c r="L807" t="s">
        <v>8</v>
      </c>
      <c r="M807" t="s">
        <v>7</v>
      </c>
      <c r="N807" t="s">
        <v>7</v>
      </c>
      <c r="P807">
        <f t="shared" si="1004"/>
        <v>-0.80901856763925939</v>
      </c>
      <c r="Q807">
        <f t="shared" si="1005"/>
        <v>-317765507.21485496</v>
      </c>
      <c r="R807">
        <f t="shared" si="1006"/>
        <v>313626502.972615</v>
      </c>
      <c r="S807">
        <f t="shared" si="1007"/>
        <v>3136.2650297261503</v>
      </c>
      <c r="T807">
        <f t="shared" si="1008"/>
        <v>3.1362650297261503</v>
      </c>
    </row>
    <row r="808" spans="1:20" x14ac:dyDescent="0.25">
      <c r="A808" s="5">
        <v>43785</v>
      </c>
      <c r="B808">
        <v>6.5269999999999998E-3</v>
      </c>
      <c r="C808">
        <v>6.6629999999999997E-3</v>
      </c>
      <c r="D808">
        <v>6.4440000000000001E-3</v>
      </c>
      <c r="E808">
        <v>6.6119999999999998E-3</v>
      </c>
      <c r="F808">
        <v>352993088</v>
      </c>
      <c r="G808">
        <v>0</v>
      </c>
      <c r="L808" t="s">
        <v>8</v>
      </c>
      <c r="M808" t="s">
        <v>7</v>
      </c>
      <c r="N808" t="s">
        <v>7</v>
      </c>
      <c r="P808">
        <f t="shared" si="1004"/>
        <v>0.53424657534246645</v>
      </c>
      <c r="Q808">
        <f t="shared" si="1005"/>
        <v>188585348.38356188</v>
      </c>
      <c r="R808">
        <f t="shared" si="1006"/>
        <v>631392010.18746996</v>
      </c>
      <c r="S808">
        <f t="shared" si="1007"/>
        <v>6313.9201018746999</v>
      </c>
      <c r="T808">
        <f t="shared" si="1008"/>
        <v>6.3139201018747002</v>
      </c>
    </row>
    <row r="809" spans="1:20" x14ac:dyDescent="0.25">
      <c r="A809" s="5">
        <v>43784</v>
      </c>
      <c r="B809">
        <v>6.4000000000000003E-3</v>
      </c>
      <c r="C809">
        <v>6.7999999999999996E-3</v>
      </c>
      <c r="D809">
        <v>6.2189999999999997E-3</v>
      </c>
      <c r="E809">
        <v>6.5290000000000001E-3</v>
      </c>
      <c r="F809">
        <v>612010921</v>
      </c>
      <c r="G809">
        <v>0</v>
      </c>
      <c r="L809" t="s">
        <v>8</v>
      </c>
      <c r="M809" t="s">
        <v>7</v>
      </c>
      <c r="N809" t="s">
        <v>7</v>
      </c>
      <c r="P809">
        <f t="shared" si="1004"/>
        <v>6.71256454388999E-2</v>
      </c>
      <c r="Q809">
        <f t="shared" si="1005"/>
        <v>41081628.08778058</v>
      </c>
      <c r="R809">
        <f t="shared" si="1006"/>
        <v>442806661.80390805</v>
      </c>
      <c r="S809">
        <f t="shared" si="1007"/>
        <v>4428.0666180390808</v>
      </c>
      <c r="T809">
        <f t="shared" si="1008"/>
        <v>4.4280666180390806</v>
      </c>
    </row>
    <row r="810" spans="1:20" x14ac:dyDescent="0.25">
      <c r="A810" s="5">
        <v>43783</v>
      </c>
      <c r="B810">
        <v>6.5300000000000002E-3</v>
      </c>
      <c r="C810">
        <v>6.5729999999999998E-3</v>
      </c>
      <c r="D810">
        <v>6.2069999999999998E-3</v>
      </c>
      <c r="E810">
        <v>6.4000000000000003E-3</v>
      </c>
      <c r="F810">
        <v>317770524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5.4644808743171909E-2</v>
      </c>
      <c r="Q810">
        <f t="shared" si="1005"/>
        <v>17364509.50819752</v>
      </c>
      <c r="R810">
        <f t="shared" si="1006"/>
        <v>401725033.71612746</v>
      </c>
      <c r="S810">
        <f t="shared" si="1007"/>
        <v>4017.2503371612747</v>
      </c>
      <c r="T810">
        <f t="shared" si="1008"/>
        <v>4.0172503371612747</v>
      </c>
    </row>
    <row r="811" spans="1:20" x14ac:dyDescent="0.25">
      <c r="A811" s="5">
        <v>43782</v>
      </c>
      <c r="B811">
        <v>6.4270000000000004E-3</v>
      </c>
      <c r="C811">
        <v>6.6839999999999998E-3</v>
      </c>
      <c r="D811">
        <v>6.3179999999999998E-3</v>
      </c>
      <c r="E811">
        <v>6.5230000000000002E-3</v>
      </c>
      <c r="F811">
        <v>460970889</v>
      </c>
      <c r="G811">
        <v>0</v>
      </c>
      <c r="L811" t="s">
        <v>8</v>
      </c>
      <c r="M811" t="s">
        <v>7</v>
      </c>
      <c r="N811" t="s">
        <v>7</v>
      </c>
      <c r="P811">
        <f t="shared" si="1004"/>
        <v>0.12021857923497441</v>
      </c>
      <c r="Q811">
        <f t="shared" si="1005"/>
        <v>55417265.344263092</v>
      </c>
      <c r="R811">
        <f t="shared" si="1006"/>
        <v>384360524.20792991</v>
      </c>
      <c r="S811">
        <f t="shared" si="1007"/>
        <v>3843.6052420792989</v>
      </c>
      <c r="T811">
        <f t="shared" si="1008"/>
        <v>3.843605242079299</v>
      </c>
    </row>
    <row r="812" spans="1:20" x14ac:dyDescent="0.25">
      <c r="A812" s="5">
        <v>43781</v>
      </c>
      <c r="B812">
        <v>6.2119999999999996E-3</v>
      </c>
      <c r="C812">
        <v>6.6350000000000003E-3</v>
      </c>
      <c r="D812">
        <v>6.1749999999999999E-3</v>
      </c>
      <c r="E812">
        <v>6.4260000000000003E-3</v>
      </c>
      <c r="F812">
        <v>740465215</v>
      </c>
      <c r="G812">
        <v>0</v>
      </c>
      <c r="L812" t="s">
        <v>8</v>
      </c>
      <c r="M812" t="s">
        <v>7</v>
      </c>
      <c r="N812" t="s">
        <v>7</v>
      </c>
      <c r="P812">
        <f t="shared" si="1004"/>
        <v>9.1304347826087692E-2</v>
      </c>
      <c r="Q812">
        <f t="shared" si="1005"/>
        <v>67607693.543478802</v>
      </c>
      <c r="R812">
        <f t="shared" si="1006"/>
        <v>328943258.86366683</v>
      </c>
      <c r="S812">
        <f t="shared" si="1007"/>
        <v>3289.4325886366682</v>
      </c>
      <c r="T812">
        <f t="shared" si="1008"/>
        <v>3.2894325886366684</v>
      </c>
    </row>
    <row r="813" spans="1:20" x14ac:dyDescent="0.25">
      <c r="A813" s="5">
        <v>43780</v>
      </c>
      <c r="B813">
        <v>6.1580000000000003E-3</v>
      </c>
      <c r="C813">
        <v>6.3109999999999998E-3</v>
      </c>
      <c r="D813">
        <v>5.8840000000000003E-3</v>
      </c>
      <c r="E813">
        <v>6.2129999999999998E-3</v>
      </c>
      <c r="F813">
        <v>530650903</v>
      </c>
      <c r="G813">
        <v>0</v>
      </c>
      <c r="L813" t="s">
        <v>8</v>
      </c>
      <c r="M813" t="s">
        <v>7</v>
      </c>
      <c r="N813" t="s">
        <v>7</v>
      </c>
      <c r="P813">
        <f t="shared" si="1004"/>
        <v>0.54098360655737643</v>
      </c>
      <c r="Q813">
        <f t="shared" si="1005"/>
        <v>287073439.32786852</v>
      </c>
      <c r="R813">
        <f t="shared" si="1006"/>
        <v>261335565.32018805</v>
      </c>
      <c r="S813">
        <f t="shared" si="1007"/>
        <v>2613.3556532018806</v>
      </c>
      <c r="T813">
        <f t="shared" si="1008"/>
        <v>2.6133556532018805</v>
      </c>
    </row>
    <row r="814" spans="1:20" x14ac:dyDescent="0.25">
      <c r="A814" s="5">
        <v>43779</v>
      </c>
      <c r="B814">
        <v>5.9979999999999999E-3</v>
      </c>
      <c r="C814">
        <v>6.2179999999999996E-3</v>
      </c>
      <c r="D814">
        <v>5.9150000000000001E-3</v>
      </c>
      <c r="E814">
        <v>6.1529999999999996E-3</v>
      </c>
      <c r="F814">
        <v>499784013</v>
      </c>
      <c r="G814">
        <v>0</v>
      </c>
      <c r="L814" t="s">
        <v>8</v>
      </c>
      <c r="M814" t="s">
        <v>7</v>
      </c>
      <c r="N814" t="s">
        <v>7</v>
      </c>
      <c r="P814">
        <f t="shared" si="1004"/>
        <v>0.57095709570957054</v>
      </c>
      <c r="Q814">
        <f t="shared" si="1005"/>
        <v>285355228.54455423</v>
      </c>
      <c r="R814">
        <f t="shared" si="1006"/>
        <v>-25737874.007680476</v>
      </c>
      <c r="S814">
        <f t="shared" si="1007"/>
        <v>-257.37874007680477</v>
      </c>
      <c r="T814">
        <f t="shared" si="1008"/>
        <v>-0.25737874007680478</v>
      </c>
    </row>
    <row r="815" spans="1:20" x14ac:dyDescent="0.25">
      <c r="A815" s="5">
        <v>43778</v>
      </c>
      <c r="B815">
        <v>5.9680000000000002E-3</v>
      </c>
      <c r="C815">
        <v>6.1250000000000002E-3</v>
      </c>
      <c r="D815">
        <v>5.901E-3</v>
      </c>
      <c r="E815">
        <v>6.0010000000000003E-3</v>
      </c>
      <c r="F815">
        <v>369491651</v>
      </c>
      <c r="G815">
        <v>0</v>
      </c>
      <c r="L815" t="s">
        <v>7</v>
      </c>
      <c r="M815" t="s">
        <v>7</v>
      </c>
      <c r="N815" t="s">
        <v>7</v>
      </c>
      <c r="P815">
        <f t="shared" si="1004"/>
        <v>-0.10714285714285576</v>
      </c>
      <c r="Q815">
        <f t="shared" si="1005"/>
        <v>-39588391.178570919</v>
      </c>
      <c r="R815">
        <f t="shared" si="1006"/>
        <v>-311093102.55223471</v>
      </c>
      <c r="S815">
        <f t="shared" si="1007"/>
        <v>-3110.9310255223472</v>
      </c>
      <c r="T815">
        <f t="shared" si="1008"/>
        <v>-3.1109310255223472</v>
      </c>
    </row>
    <row r="816" spans="1:20" x14ac:dyDescent="0.25">
      <c r="A816" s="5">
        <v>43777</v>
      </c>
      <c r="B816">
        <v>6.5189999999999996E-3</v>
      </c>
      <c r="C816">
        <v>6.5659999999999998E-3</v>
      </c>
      <c r="D816">
        <v>5.7850000000000002E-3</v>
      </c>
      <c r="E816">
        <v>5.9670000000000001E-3</v>
      </c>
      <c r="F816">
        <v>1121372577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-0.53393085787451988</v>
      </c>
      <c r="Q816">
        <f t="shared" si="1005"/>
        <v>-598735422.03457105</v>
      </c>
      <c r="R816">
        <f t="shared" si="1006"/>
        <v>-271504711.37366378</v>
      </c>
      <c r="S816">
        <f t="shared" si="1007"/>
        <v>-2715.047113736638</v>
      </c>
      <c r="T816">
        <f t="shared" si="1008"/>
        <v>-2.7150471137366381</v>
      </c>
    </row>
    <row r="817" spans="1:20" x14ac:dyDescent="0.25">
      <c r="A817" s="5">
        <v>43776</v>
      </c>
      <c r="B817">
        <v>6.973E-3</v>
      </c>
      <c r="C817">
        <v>6.973E-3</v>
      </c>
      <c r="D817">
        <v>6.2700000000000004E-3</v>
      </c>
      <c r="E817">
        <v>6.5170000000000002E-3</v>
      </c>
      <c r="F817">
        <v>4932778789</v>
      </c>
      <c r="G817">
        <v>0</v>
      </c>
      <c r="L817" t="s">
        <v>7</v>
      </c>
      <c r="M817" t="s">
        <v>8</v>
      </c>
      <c r="N817" t="s">
        <v>8</v>
      </c>
      <c r="P817">
        <f t="shared" si="1004"/>
        <v>-0.29729729729729742</v>
      </c>
      <c r="Q817">
        <f t="shared" si="1005"/>
        <v>-1466501802.1351357</v>
      </c>
      <c r="R817">
        <f t="shared" si="1006"/>
        <v>327230710.66090727</v>
      </c>
      <c r="S817">
        <f t="shared" si="1007"/>
        <v>3272.3071066090729</v>
      </c>
      <c r="T817">
        <f t="shared" si="1008"/>
        <v>3.2723071066090728</v>
      </c>
    </row>
    <row r="818" spans="1:20" x14ac:dyDescent="0.25">
      <c r="A818" s="5">
        <v>43775</v>
      </c>
      <c r="B818">
        <v>6.9760000000000004E-3</v>
      </c>
      <c r="C818">
        <v>7.0190000000000001E-3</v>
      </c>
      <c r="D818">
        <v>6.7580000000000001E-3</v>
      </c>
      <c r="E818">
        <v>6.9740000000000002E-3</v>
      </c>
      <c r="F818">
        <v>647732381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0.65517241379310409</v>
      </c>
      <c r="Q818">
        <f t="shared" si="1005"/>
        <v>424376387.55172455</v>
      </c>
      <c r="R818">
        <f t="shared" si="1006"/>
        <v>1793732512.7960429</v>
      </c>
      <c r="S818">
        <f t="shared" si="1007"/>
        <v>17937.32512796043</v>
      </c>
      <c r="T818">
        <f t="shared" si="1008"/>
        <v>17.937325127960431</v>
      </c>
    </row>
    <row r="819" spans="1:20" x14ac:dyDescent="0.25">
      <c r="A819" s="5">
        <v>43774</v>
      </c>
      <c r="B819">
        <v>6.7200000000000003E-3</v>
      </c>
      <c r="C819">
        <v>7.1999999999999998E-3</v>
      </c>
      <c r="D819">
        <v>6.5500000000000003E-3</v>
      </c>
      <c r="E819">
        <v>6.9760000000000004E-3</v>
      </c>
      <c r="F819">
        <v>986657891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0.31076923076923219</v>
      </c>
      <c r="Q819">
        <f t="shared" si="1005"/>
        <v>306622913.81846291</v>
      </c>
      <c r="R819">
        <f t="shared" si="1006"/>
        <v>1369356125.2443182</v>
      </c>
      <c r="S819">
        <f t="shared" si="1007"/>
        <v>13693.561252443182</v>
      </c>
      <c r="T819">
        <f t="shared" si="1008"/>
        <v>13.693561252443182</v>
      </c>
    </row>
    <row r="820" spans="1:20" x14ac:dyDescent="0.25">
      <c r="A820" s="5">
        <v>43773</v>
      </c>
      <c r="B820">
        <v>6.7229999999999998E-3</v>
      </c>
      <c r="C820">
        <v>6.8859999999999998E-3</v>
      </c>
      <c r="D820">
        <v>6.4609999999999997E-3</v>
      </c>
      <c r="E820">
        <v>6.7200000000000003E-3</v>
      </c>
      <c r="F820">
        <v>654564574</v>
      </c>
      <c r="G820">
        <v>0</v>
      </c>
      <c r="L820" t="s">
        <v>7</v>
      </c>
      <c r="M820" t="s">
        <v>8</v>
      </c>
      <c r="N820" t="s">
        <v>8</v>
      </c>
      <c r="P820">
        <f t="shared" si="1004"/>
        <v>0.21882352941176719</v>
      </c>
      <c r="Q820">
        <f t="shared" si="1005"/>
        <v>143234130.31058985</v>
      </c>
      <c r="R820">
        <f t="shared" si="1006"/>
        <v>1062733211.4258554</v>
      </c>
      <c r="S820">
        <f t="shared" si="1007"/>
        <v>10627.332114258554</v>
      </c>
      <c r="T820">
        <f t="shared" si="1008"/>
        <v>10.627332114258554</v>
      </c>
    </row>
    <row r="821" spans="1:20" x14ac:dyDescent="0.25">
      <c r="A821" s="5">
        <v>43772</v>
      </c>
      <c r="B821">
        <v>6.9490000000000003E-3</v>
      </c>
      <c r="C821">
        <v>7.0899999999999999E-3</v>
      </c>
      <c r="D821">
        <v>6.6049999999999998E-3</v>
      </c>
      <c r="E821">
        <v>6.7229999999999998E-3</v>
      </c>
      <c r="F821">
        <v>597798933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-0.51340206185567006</v>
      </c>
      <c r="Q821">
        <f t="shared" si="1005"/>
        <v>-306911204.77731955</v>
      </c>
      <c r="R821">
        <f t="shared" si="1006"/>
        <v>919499081.11526549</v>
      </c>
      <c r="S821">
        <f t="shared" si="1007"/>
        <v>9194.9908111526547</v>
      </c>
      <c r="T821">
        <f t="shared" si="1008"/>
        <v>9.194990811152655</v>
      </c>
    </row>
    <row r="822" spans="1:20" x14ac:dyDescent="0.25">
      <c r="A822" s="5">
        <v>43771</v>
      </c>
      <c r="B822">
        <v>7.0140000000000003E-3</v>
      </c>
      <c r="C822">
        <v>7.1729999999999997E-3</v>
      </c>
      <c r="D822">
        <v>6.7999999999999996E-3</v>
      </c>
      <c r="E822">
        <v>6.9499999999999996E-3</v>
      </c>
      <c r="F822">
        <v>808900041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-0.19571045576407542</v>
      </c>
      <c r="Q822">
        <f t="shared" si="1005"/>
        <v>-158310195.69168928</v>
      </c>
      <c r="R822">
        <f t="shared" si="1006"/>
        <v>1226410285.892585</v>
      </c>
      <c r="S822">
        <f t="shared" si="1007"/>
        <v>12264.102858925851</v>
      </c>
      <c r="T822">
        <f t="shared" si="1008"/>
        <v>12.264102858925851</v>
      </c>
    </row>
    <row r="823" spans="1:20" x14ac:dyDescent="0.25">
      <c r="A823" s="5">
        <v>43770</v>
      </c>
      <c r="B823">
        <v>7.1780000000000004E-3</v>
      </c>
      <c r="C823">
        <v>7.3020000000000003E-3</v>
      </c>
      <c r="D823">
        <v>6.6550000000000003E-3</v>
      </c>
      <c r="E823">
        <v>7.012E-3</v>
      </c>
      <c r="F823">
        <v>1594239119</v>
      </c>
      <c r="G823">
        <v>0</v>
      </c>
      <c r="L823" t="s">
        <v>8</v>
      </c>
      <c r="M823" t="s">
        <v>8</v>
      </c>
      <c r="N823" t="s">
        <v>8</v>
      </c>
      <c r="P823">
        <f t="shared" si="1004"/>
        <v>0.1035548686244194</v>
      </c>
      <c r="Q823">
        <f t="shared" si="1005"/>
        <v>165091222.52395514</v>
      </c>
      <c r="R823">
        <f t="shared" si="1006"/>
        <v>1384720481.5842743</v>
      </c>
      <c r="S823">
        <f t="shared" si="1007"/>
        <v>13847.204815842742</v>
      </c>
      <c r="T823">
        <f t="shared" si="1008"/>
        <v>13.847204815842742</v>
      </c>
    </row>
    <row r="824" spans="1:20" x14ac:dyDescent="0.25">
      <c r="A824" s="5">
        <v>43769</v>
      </c>
      <c r="B824">
        <v>6.5849999999999997E-3</v>
      </c>
      <c r="C824">
        <v>7.4999999999999997E-3</v>
      </c>
      <c r="D824">
        <v>6.0109999999999999E-3</v>
      </c>
      <c r="E824">
        <v>7.1770000000000002E-3</v>
      </c>
      <c r="F824">
        <v>1909573881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0.56615177971793218</v>
      </c>
      <c r="Q824">
        <f t="shared" si="1005"/>
        <v>1081108651.2310288</v>
      </c>
      <c r="R824">
        <f t="shared" si="1006"/>
        <v>1219629259.0603192</v>
      </c>
      <c r="S824">
        <f t="shared" si="1007"/>
        <v>12196.292590603192</v>
      </c>
      <c r="T824">
        <f t="shared" si="1008"/>
        <v>12.196292590603193</v>
      </c>
    </row>
    <row r="825" spans="1:20" x14ac:dyDescent="0.25">
      <c r="A825" s="5">
        <v>43768</v>
      </c>
      <c r="B825">
        <v>5.6410000000000002E-3</v>
      </c>
      <c r="C825">
        <v>7.8440000000000003E-3</v>
      </c>
      <c r="D825">
        <v>5.3959999999999998E-3</v>
      </c>
      <c r="E825">
        <v>6.5770000000000004E-3</v>
      </c>
      <c r="F825">
        <v>3234425769</v>
      </c>
      <c r="G825">
        <v>0</v>
      </c>
      <c r="L825" t="s">
        <v>8</v>
      </c>
      <c r="M825" t="s">
        <v>8</v>
      </c>
      <c r="N825" t="s">
        <v>8</v>
      </c>
      <c r="P825">
        <f t="shared" si="1004"/>
        <v>-3.5130718954248061E-2</v>
      </c>
      <c r="Q825">
        <f t="shared" si="1005"/>
        <v>-113627702.66911666</v>
      </c>
      <c r="R825">
        <f t="shared" si="1006"/>
        <v>138520607.82929045</v>
      </c>
      <c r="S825">
        <f t="shared" si="1007"/>
        <v>1385.2060782929045</v>
      </c>
      <c r="T825">
        <f t="shared" si="1008"/>
        <v>1.3852060782929045</v>
      </c>
    </row>
    <row r="826" spans="1:20" x14ac:dyDescent="0.25">
      <c r="A826" s="5">
        <v>43767</v>
      </c>
      <c r="B826">
        <v>5.3860000000000002E-3</v>
      </c>
      <c r="C826">
        <v>5.777E-3</v>
      </c>
      <c r="D826">
        <v>5.1529999999999996E-3</v>
      </c>
      <c r="E826">
        <v>5.6410000000000002E-3</v>
      </c>
      <c r="F826">
        <v>776426840</v>
      </c>
      <c r="G826">
        <v>0</v>
      </c>
      <c r="L826" t="s">
        <v>7</v>
      </c>
      <c r="M826" t="s">
        <v>7</v>
      </c>
      <c r="N826" t="s">
        <v>7</v>
      </c>
      <c r="P826">
        <f t="shared" si="1004"/>
        <v>0.56410256410256487</v>
      </c>
      <c r="Q826">
        <f t="shared" si="1005"/>
        <v>437984371.28205186</v>
      </c>
      <c r="R826">
        <f t="shared" si="1006"/>
        <v>252148310.49840713</v>
      </c>
      <c r="S826">
        <f t="shared" si="1007"/>
        <v>2521.4831049840714</v>
      </c>
      <c r="T826">
        <f t="shared" si="1008"/>
        <v>2.5214831049840716</v>
      </c>
    </row>
    <row r="827" spans="1:20" x14ac:dyDescent="0.25">
      <c r="A827" s="5">
        <v>43766</v>
      </c>
      <c r="B827">
        <v>6.0540000000000004E-3</v>
      </c>
      <c r="C827">
        <v>6.6779999999999999E-3</v>
      </c>
      <c r="D827">
        <v>5.2919999999999998E-3</v>
      </c>
      <c r="E827">
        <v>5.3870000000000003E-3</v>
      </c>
      <c r="F827">
        <v>588540171</v>
      </c>
      <c r="G827">
        <v>0</v>
      </c>
      <c r="L827" t="s">
        <v>7</v>
      </c>
      <c r="M827" t="s">
        <v>7</v>
      </c>
      <c r="N827" t="s">
        <v>8</v>
      </c>
      <c r="P827">
        <f t="shared" si="1004"/>
        <v>-0.8629148629148623</v>
      </c>
      <c r="Q827">
        <f t="shared" si="1005"/>
        <v>-507860060.97835463</v>
      </c>
      <c r="R827">
        <f t="shared" si="1006"/>
        <v>-185836060.78364474</v>
      </c>
      <c r="S827">
        <f t="shared" si="1007"/>
        <v>-1858.3606078364473</v>
      </c>
      <c r="T827">
        <f t="shared" si="1008"/>
        <v>-1.8583606078364474</v>
      </c>
    </row>
    <row r="828" spans="1:20" x14ac:dyDescent="0.25">
      <c r="A828" s="5">
        <v>43765</v>
      </c>
      <c r="B828">
        <v>4.4359999999999998E-3</v>
      </c>
      <c r="C828">
        <v>7.7260000000000002E-3</v>
      </c>
      <c r="D828">
        <v>4.3839999999999999E-3</v>
      </c>
      <c r="E828">
        <v>6.0540000000000004E-3</v>
      </c>
      <c r="F828">
        <v>807077645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-5.9844404548156725E-4</v>
      </c>
      <c r="Q828">
        <f t="shared" si="1005"/>
        <v>-482990.81089153618</v>
      </c>
      <c r="R828">
        <f t="shared" si="1006"/>
        <v>322024000.1947099</v>
      </c>
      <c r="S828">
        <f t="shared" si="1007"/>
        <v>3220.2400019470988</v>
      </c>
      <c r="T828">
        <f t="shared" si="1008"/>
        <v>3.2202400019470989</v>
      </c>
    </row>
    <row r="829" spans="1:20" x14ac:dyDescent="0.25">
      <c r="A829" s="5">
        <v>43764</v>
      </c>
      <c r="B829">
        <v>4.5370000000000002E-3</v>
      </c>
      <c r="C829">
        <v>4.7600000000000003E-3</v>
      </c>
      <c r="D829">
        <v>4.2820000000000002E-3</v>
      </c>
      <c r="E829">
        <v>4.437E-3</v>
      </c>
      <c r="F829">
        <v>292862789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-0.35146443514644471</v>
      </c>
      <c r="Q829">
        <f t="shared" si="1005"/>
        <v>-102930854.71129742</v>
      </c>
      <c r="R829">
        <f t="shared" si="1006"/>
        <v>322506991.00560141</v>
      </c>
      <c r="S829">
        <f t="shared" si="1007"/>
        <v>3225.0699100560141</v>
      </c>
      <c r="T829">
        <f t="shared" si="1008"/>
        <v>3.2250699100560141</v>
      </c>
    </row>
    <row r="830" spans="1:20" x14ac:dyDescent="0.25">
      <c r="A830" s="5">
        <v>43763</v>
      </c>
      <c r="B830">
        <v>3.947E-3</v>
      </c>
      <c r="C830">
        <v>4.5380000000000004E-3</v>
      </c>
      <c r="D830">
        <v>3.9020000000000001E-3</v>
      </c>
      <c r="E830">
        <v>4.5300000000000002E-3</v>
      </c>
      <c r="F830">
        <v>259213308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0.97484276729559693</v>
      </c>
      <c r="Q830">
        <f t="shared" si="1005"/>
        <v>252692218.4905659</v>
      </c>
      <c r="R830">
        <f t="shared" si="1006"/>
        <v>425437845.7168988</v>
      </c>
      <c r="S830">
        <f t="shared" si="1007"/>
        <v>4254.3784571689876</v>
      </c>
      <c r="T830">
        <f t="shared" si="1008"/>
        <v>4.254378457168988</v>
      </c>
    </row>
    <row r="831" spans="1:20" x14ac:dyDescent="0.25">
      <c r="A831" s="5">
        <v>43762</v>
      </c>
      <c r="B831">
        <v>3.9620000000000002E-3</v>
      </c>
      <c r="C831">
        <v>4.0049999999999999E-3</v>
      </c>
      <c r="D831">
        <v>3.8830000000000002E-3</v>
      </c>
      <c r="E831">
        <v>3.954E-3</v>
      </c>
      <c r="F831">
        <v>165323637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0.16393442622950902</v>
      </c>
      <c r="Q831">
        <f t="shared" ref="Q831:Q894" si="1010">F831*P831</f>
        <v>27102235.573770627</v>
      </c>
      <c r="R831">
        <f t="shared" ref="R831:R894" si="1011">R832+Q831</f>
        <v>172745627.2263329</v>
      </c>
      <c r="S831">
        <f t="shared" ref="S831:S894" si="1012">R831/100000</f>
        <v>1727.4562722633291</v>
      </c>
      <c r="T831">
        <f t="shared" ref="T831:T894" si="1013">S831/1000</f>
        <v>1.7274562722633291</v>
      </c>
    </row>
    <row r="832" spans="1:20" x14ac:dyDescent="0.25">
      <c r="A832" s="5">
        <v>43761</v>
      </c>
      <c r="B832">
        <v>4.2659999999999998E-3</v>
      </c>
      <c r="C832">
        <v>4.2909999999999997E-3</v>
      </c>
      <c r="D832">
        <v>3.764E-3</v>
      </c>
      <c r="E832">
        <v>3.967E-3</v>
      </c>
      <c r="F832">
        <v>265724379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-0.22960151802656481</v>
      </c>
      <c r="Q832">
        <f t="shared" si="1010"/>
        <v>-61010720.795066237</v>
      </c>
      <c r="R832">
        <f t="shared" si="1011"/>
        <v>145643391.65256226</v>
      </c>
      <c r="S832">
        <f t="shared" si="1012"/>
        <v>1456.4339165256226</v>
      </c>
      <c r="T832">
        <f t="shared" si="1013"/>
        <v>1.4564339165256226</v>
      </c>
    </row>
    <row r="833" spans="1:20" x14ac:dyDescent="0.25">
      <c r="A833" s="5">
        <v>43760</v>
      </c>
      <c r="B833">
        <v>4.3829999999999997E-3</v>
      </c>
      <c r="C833">
        <v>4.4120000000000001E-3</v>
      </c>
      <c r="D833">
        <v>4.235E-3</v>
      </c>
      <c r="E833">
        <v>4.2680000000000001E-3</v>
      </c>
      <c r="F833">
        <v>77736928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-0.62711864406779627</v>
      </c>
      <c r="Q833">
        <f t="shared" si="1010"/>
        <v>-48750276.881355904</v>
      </c>
      <c r="R833">
        <f t="shared" si="1011"/>
        <v>206654112.4476285</v>
      </c>
      <c r="S833">
        <f t="shared" si="1012"/>
        <v>2066.5411244762849</v>
      </c>
      <c r="T833">
        <f t="shared" si="1013"/>
        <v>2.0665411244762848</v>
      </c>
    </row>
    <row r="834" spans="1:20" x14ac:dyDescent="0.25">
      <c r="A834" s="5">
        <v>43759</v>
      </c>
      <c r="B834">
        <v>4.4099999999999999E-3</v>
      </c>
      <c r="C834">
        <v>4.444E-3</v>
      </c>
      <c r="D834">
        <v>4.3439999999999998E-3</v>
      </c>
      <c r="E834">
        <v>4.3860000000000001E-3</v>
      </c>
      <c r="F834">
        <v>78541170</v>
      </c>
      <c r="G834">
        <v>0</v>
      </c>
      <c r="L834" t="s">
        <v>7</v>
      </c>
      <c r="M834" t="s">
        <v>7</v>
      </c>
      <c r="N834" t="s">
        <v>7</v>
      </c>
      <c r="P834">
        <f t="shared" si="1009"/>
        <v>-0.15999999999999479</v>
      </c>
      <c r="Q834">
        <f t="shared" si="1010"/>
        <v>-12566587.199999591</v>
      </c>
      <c r="R834">
        <f t="shared" si="1011"/>
        <v>255404389.32898441</v>
      </c>
      <c r="S834">
        <f t="shared" si="1012"/>
        <v>2554.0438932898442</v>
      </c>
      <c r="T834">
        <f t="shared" si="1013"/>
        <v>2.5540438932898444</v>
      </c>
    </row>
    <row r="835" spans="1:20" x14ac:dyDescent="0.25">
      <c r="A835" s="5">
        <v>43758</v>
      </c>
      <c r="B835">
        <v>4.2820000000000002E-3</v>
      </c>
      <c r="C835">
        <v>4.4330000000000003E-3</v>
      </c>
      <c r="D835">
        <v>4.2310000000000004E-3</v>
      </c>
      <c r="E835">
        <v>4.4120000000000001E-3</v>
      </c>
      <c r="F835">
        <v>108324103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0.79207920792079012</v>
      </c>
      <c r="Q835">
        <f t="shared" si="1010"/>
        <v>85801269.702970088</v>
      </c>
      <c r="R835">
        <f t="shared" si="1011"/>
        <v>267970976.52898401</v>
      </c>
      <c r="S835">
        <f t="shared" si="1012"/>
        <v>2679.7097652898401</v>
      </c>
      <c r="T835">
        <f t="shared" si="1013"/>
        <v>2.6797097652898403</v>
      </c>
    </row>
    <row r="836" spans="1:20" x14ac:dyDescent="0.25">
      <c r="A836" s="5">
        <v>43757</v>
      </c>
      <c r="B836">
        <v>4.3620000000000004E-3</v>
      </c>
      <c r="C836">
        <v>4.4299999999999999E-3</v>
      </c>
      <c r="D836">
        <v>4.2630000000000003E-3</v>
      </c>
      <c r="E836">
        <v>4.2839999999999996E-3</v>
      </c>
      <c r="F836">
        <v>157970522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-0.74850299401198361</v>
      </c>
      <c r="Q836">
        <f t="shared" si="1010"/>
        <v>-118241408.68263592</v>
      </c>
      <c r="R836">
        <f t="shared" si="1011"/>
        <v>182169706.82601392</v>
      </c>
      <c r="S836">
        <f t="shared" si="1012"/>
        <v>1821.6970682601393</v>
      </c>
      <c r="T836">
        <f t="shared" si="1013"/>
        <v>1.8216970682601392</v>
      </c>
    </row>
    <row r="837" spans="1:20" x14ac:dyDescent="0.25">
      <c r="A837" s="5">
        <v>43756</v>
      </c>
      <c r="B837">
        <v>4.568E-3</v>
      </c>
      <c r="C837">
        <v>4.594E-3</v>
      </c>
      <c r="D837">
        <v>4.2579999999999996E-3</v>
      </c>
      <c r="E837">
        <v>4.3629999999999997E-3</v>
      </c>
      <c r="F837">
        <v>154381260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-0.37500000000000033</v>
      </c>
      <c r="Q837">
        <f t="shared" si="1010"/>
        <v>-57892972.500000052</v>
      </c>
      <c r="R837">
        <f t="shared" si="1011"/>
        <v>300411115.50864983</v>
      </c>
      <c r="S837">
        <f t="shared" si="1012"/>
        <v>3004.1111550864985</v>
      </c>
      <c r="T837">
        <f t="shared" si="1013"/>
        <v>3.0041111550864983</v>
      </c>
    </row>
    <row r="838" spans="1:20" x14ac:dyDescent="0.25">
      <c r="A838" s="5">
        <v>43755</v>
      </c>
      <c r="B838">
        <v>4.4149999999999997E-3</v>
      </c>
      <c r="C838">
        <v>4.62E-3</v>
      </c>
      <c r="D838">
        <v>4.2859999999999999E-3</v>
      </c>
      <c r="E838">
        <v>4.5710000000000004E-3</v>
      </c>
      <c r="F838">
        <v>172310324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0.70658682634730807</v>
      </c>
      <c r="Q838">
        <f t="shared" si="1010"/>
        <v>121752204.9820364</v>
      </c>
      <c r="R838">
        <f t="shared" si="1011"/>
        <v>358304088.00864989</v>
      </c>
      <c r="S838">
        <f t="shared" si="1012"/>
        <v>3583.0408800864989</v>
      </c>
      <c r="T838">
        <f t="shared" si="1013"/>
        <v>3.5830408800864988</v>
      </c>
    </row>
    <row r="839" spans="1:20" x14ac:dyDescent="0.25">
      <c r="A839" s="5">
        <v>43754</v>
      </c>
      <c r="B839">
        <v>4.6800000000000001E-3</v>
      </c>
      <c r="C839">
        <v>4.7280000000000004E-3</v>
      </c>
      <c r="D839">
        <v>4.2119999999999996E-3</v>
      </c>
      <c r="E839">
        <v>4.4149999999999997E-3</v>
      </c>
      <c r="F839">
        <v>194123213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-0.21317829457364446</v>
      </c>
      <c r="Q839">
        <f t="shared" si="1010"/>
        <v>-41382855.484496325</v>
      </c>
      <c r="R839">
        <f t="shared" si="1011"/>
        <v>236551883.0266135</v>
      </c>
      <c r="S839">
        <f t="shared" si="1012"/>
        <v>2365.518830266135</v>
      </c>
      <c r="T839">
        <f t="shared" si="1013"/>
        <v>2.3655188302661347</v>
      </c>
    </row>
    <row r="840" spans="1:20" x14ac:dyDescent="0.25">
      <c r="A840" s="5">
        <v>43753</v>
      </c>
      <c r="B840">
        <v>4.9309999999999996E-3</v>
      </c>
      <c r="C840">
        <v>4.9449999999999997E-3</v>
      </c>
      <c r="D840">
        <v>4.6490000000000004E-3</v>
      </c>
      <c r="E840">
        <v>4.6779999999999999E-3</v>
      </c>
      <c r="F840">
        <v>142430257</v>
      </c>
      <c r="G840">
        <v>0</v>
      </c>
      <c r="L840" t="s">
        <v>7</v>
      </c>
      <c r="M840" t="s">
        <v>7</v>
      </c>
      <c r="N840" t="s">
        <v>7</v>
      </c>
      <c r="P840">
        <f t="shared" si="1009"/>
        <v>-0.80405405405405694</v>
      </c>
      <c r="Q840">
        <f t="shared" si="1010"/>
        <v>-114521625.56081122</v>
      </c>
      <c r="R840">
        <f t="shared" si="1011"/>
        <v>277934738.51110983</v>
      </c>
      <c r="S840">
        <f t="shared" si="1012"/>
        <v>2779.3473851110984</v>
      </c>
      <c r="T840">
        <f t="shared" si="1013"/>
        <v>2.7793473851110986</v>
      </c>
    </row>
    <row r="841" spans="1:20" x14ac:dyDescent="0.25">
      <c r="A841" s="5">
        <v>43752</v>
      </c>
      <c r="B841">
        <v>4.8929999999999998E-3</v>
      </c>
      <c r="C841">
        <v>4.9540000000000001E-3</v>
      </c>
      <c r="D841">
        <v>4.8479999999999999E-3</v>
      </c>
      <c r="E841">
        <v>4.9290000000000002E-3</v>
      </c>
      <c r="F841">
        <v>101740935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0.52830188679245649</v>
      </c>
      <c r="Q841">
        <f t="shared" si="1010"/>
        <v>53749927.924528673</v>
      </c>
      <c r="R841">
        <f t="shared" si="1011"/>
        <v>392456364.07192105</v>
      </c>
      <c r="S841">
        <f t="shared" si="1012"/>
        <v>3924.5636407192105</v>
      </c>
      <c r="T841">
        <f t="shared" si="1013"/>
        <v>3.9245636407192106</v>
      </c>
    </row>
    <row r="842" spans="1:20" x14ac:dyDescent="0.25">
      <c r="A842" s="5">
        <v>43751</v>
      </c>
      <c r="B842">
        <v>4.9870000000000001E-3</v>
      </c>
      <c r="C842">
        <v>5.0400000000000002E-3</v>
      </c>
      <c r="D842">
        <v>4.7549999999999997E-3</v>
      </c>
      <c r="E842">
        <v>4.9049999999999996E-3</v>
      </c>
      <c r="F842">
        <v>136629377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5.2631578947366177E-2</v>
      </c>
      <c r="Q842">
        <f t="shared" si="1010"/>
        <v>7191019.8421049565</v>
      </c>
      <c r="R842">
        <f t="shared" si="1011"/>
        <v>338706436.14739239</v>
      </c>
      <c r="S842">
        <f t="shared" si="1012"/>
        <v>3387.0643614739238</v>
      </c>
      <c r="T842">
        <f t="shared" si="1013"/>
        <v>3.3870643614739238</v>
      </c>
    </row>
    <row r="843" spans="1:20" x14ac:dyDescent="0.25">
      <c r="A843" s="5">
        <v>43750</v>
      </c>
      <c r="B843">
        <v>4.8260000000000004E-3</v>
      </c>
      <c r="C843">
        <v>5.0689999999999997E-3</v>
      </c>
      <c r="D843">
        <v>4.8219999999999999E-3</v>
      </c>
      <c r="E843">
        <v>4.9919999999999999E-3</v>
      </c>
      <c r="F843">
        <v>126066914</v>
      </c>
      <c r="G843">
        <v>0</v>
      </c>
      <c r="L843" t="s">
        <v>8</v>
      </c>
      <c r="M843" t="s">
        <v>8</v>
      </c>
      <c r="N843" t="s">
        <v>7</v>
      </c>
      <c r="P843">
        <f t="shared" si="1009"/>
        <v>0.37651821862348284</v>
      </c>
      <c r="Q843">
        <f t="shared" si="1010"/>
        <v>47466489.886639811</v>
      </c>
      <c r="R843">
        <f t="shared" si="1011"/>
        <v>331515416.30528742</v>
      </c>
      <c r="S843">
        <f t="shared" si="1012"/>
        <v>3315.1541630528741</v>
      </c>
      <c r="T843">
        <f t="shared" si="1013"/>
        <v>3.315154163052874</v>
      </c>
    </row>
    <row r="844" spans="1:20" x14ac:dyDescent="0.25">
      <c r="A844" s="5">
        <v>43749</v>
      </c>
      <c r="B844">
        <v>4.9509999999999997E-3</v>
      </c>
      <c r="C844">
        <v>5.0090000000000004E-3</v>
      </c>
      <c r="D844">
        <v>4.7260000000000002E-3</v>
      </c>
      <c r="E844">
        <v>4.8219999999999999E-3</v>
      </c>
      <c r="F844">
        <v>370054936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-0.32155477031802371</v>
      </c>
      <c r="Q844">
        <f t="shared" si="1010"/>
        <v>-118992929.95053096</v>
      </c>
      <c r="R844">
        <f t="shared" si="1011"/>
        <v>284048926.41864759</v>
      </c>
      <c r="S844">
        <f t="shared" si="1012"/>
        <v>2840.4892641864758</v>
      </c>
      <c r="T844">
        <f t="shared" si="1013"/>
        <v>2.8404892641864756</v>
      </c>
    </row>
    <row r="845" spans="1:20" x14ac:dyDescent="0.25">
      <c r="A845" s="5">
        <v>43748</v>
      </c>
      <c r="B845">
        <v>5.1260000000000003E-3</v>
      </c>
      <c r="C845">
        <v>5.3160000000000004E-3</v>
      </c>
      <c r="D845">
        <v>4.8019999999999998E-3</v>
      </c>
      <c r="E845">
        <v>4.9509999999999997E-3</v>
      </c>
      <c r="F845">
        <v>173031212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-0.42023346303502079</v>
      </c>
      <c r="Q845">
        <f t="shared" si="1010"/>
        <v>-72713505.431906849</v>
      </c>
      <c r="R845">
        <f t="shared" si="1011"/>
        <v>403041856.36917853</v>
      </c>
      <c r="S845">
        <f t="shared" si="1012"/>
        <v>4030.4185636917855</v>
      </c>
      <c r="T845">
        <f t="shared" si="1013"/>
        <v>4.0304185636917857</v>
      </c>
    </row>
    <row r="846" spans="1:20" x14ac:dyDescent="0.25">
      <c r="A846" s="5">
        <v>43747</v>
      </c>
      <c r="B846">
        <v>5.0809999999999996E-3</v>
      </c>
      <c r="C846">
        <v>5.339E-3</v>
      </c>
      <c r="D846">
        <v>5.0340000000000003E-3</v>
      </c>
      <c r="E846">
        <v>5.1359999999999999E-3</v>
      </c>
      <c r="F846">
        <v>170729632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-0.33114754098360816</v>
      </c>
      <c r="Q846">
        <f t="shared" si="1010"/>
        <v>-56536697.809836335</v>
      </c>
      <c r="R846">
        <f t="shared" si="1011"/>
        <v>475755361.80108535</v>
      </c>
      <c r="S846">
        <f t="shared" si="1012"/>
        <v>4757.5536180108538</v>
      </c>
      <c r="T846">
        <f t="shared" si="1013"/>
        <v>4.7575536180108537</v>
      </c>
    </row>
    <row r="847" spans="1:20" x14ac:dyDescent="0.25">
      <c r="A847" s="5">
        <v>43746</v>
      </c>
      <c r="B847">
        <v>5.2509999999999996E-3</v>
      </c>
      <c r="C847">
        <v>5.3600000000000002E-3</v>
      </c>
      <c r="D847">
        <v>4.8479999999999999E-3</v>
      </c>
      <c r="E847">
        <v>5.0829999999999998E-3</v>
      </c>
      <c r="F847">
        <v>295079170</v>
      </c>
      <c r="G847">
        <v>0</v>
      </c>
      <c r="L847" t="s">
        <v>7</v>
      </c>
      <c r="M847" t="s">
        <v>8</v>
      </c>
      <c r="N847" t="s">
        <v>7</v>
      </c>
      <c r="P847">
        <f t="shared" si="1009"/>
        <v>-8.203125000000068E-2</v>
      </c>
      <c r="Q847">
        <f t="shared" si="1010"/>
        <v>-24205713.164062701</v>
      </c>
      <c r="R847">
        <f t="shared" si="1011"/>
        <v>532292059.61092168</v>
      </c>
      <c r="S847">
        <f t="shared" si="1012"/>
        <v>5322.9205961092166</v>
      </c>
      <c r="T847">
        <f t="shared" si="1013"/>
        <v>5.322920596109217</v>
      </c>
    </row>
    <row r="848" spans="1:20" x14ac:dyDescent="0.25">
      <c r="A848" s="5">
        <v>43745</v>
      </c>
      <c r="B848">
        <v>5.1110000000000001E-3</v>
      </c>
      <c r="C848">
        <v>5.359E-3</v>
      </c>
      <c r="D848">
        <v>5.0000000000000001E-3</v>
      </c>
      <c r="E848">
        <v>5.2610000000000001E-3</v>
      </c>
      <c r="F848">
        <v>132624601</v>
      </c>
      <c r="G848">
        <v>0</v>
      </c>
      <c r="L848" t="s">
        <v>7</v>
      </c>
      <c r="M848" t="s">
        <v>8</v>
      </c>
      <c r="N848" t="s">
        <v>7</v>
      </c>
      <c r="P848">
        <f t="shared" si="1009"/>
        <v>0.4540389972144846</v>
      </c>
      <c r="Q848">
        <f t="shared" si="1010"/>
        <v>60216740.844011128</v>
      </c>
      <c r="R848">
        <f t="shared" si="1011"/>
        <v>556497772.77498436</v>
      </c>
      <c r="S848">
        <f t="shared" si="1012"/>
        <v>5564.9777277498433</v>
      </c>
      <c r="T848">
        <f t="shared" si="1013"/>
        <v>5.5649777277498433</v>
      </c>
    </row>
    <row r="849" spans="1:20" x14ac:dyDescent="0.25">
      <c r="A849" s="5">
        <v>43744</v>
      </c>
      <c r="B849">
        <v>5.3420000000000004E-3</v>
      </c>
      <c r="C849">
        <v>5.4400000000000004E-3</v>
      </c>
      <c r="D849">
        <v>5.0660000000000002E-3</v>
      </c>
      <c r="E849">
        <v>5.1070000000000004E-3</v>
      </c>
      <c r="F849">
        <v>123749937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-0.78074866310160318</v>
      </c>
      <c r="Q849">
        <f t="shared" si="1010"/>
        <v>-96617597.871657625</v>
      </c>
      <c r="R849">
        <f t="shared" si="1011"/>
        <v>496281031.93097317</v>
      </c>
      <c r="S849">
        <f t="shared" si="1012"/>
        <v>4962.8103193097313</v>
      </c>
      <c r="T849">
        <f t="shared" si="1013"/>
        <v>4.9628103193097317</v>
      </c>
    </row>
    <row r="850" spans="1:20" x14ac:dyDescent="0.25">
      <c r="A850" s="5">
        <v>43743</v>
      </c>
      <c r="B850">
        <v>5.3660000000000001E-3</v>
      </c>
      <c r="C850">
        <v>5.5189999999999996E-3</v>
      </c>
      <c r="D850">
        <v>5.1440000000000001E-3</v>
      </c>
      <c r="E850">
        <v>5.339E-3</v>
      </c>
      <c r="F850">
        <v>140179838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4.0000000000000743E-2</v>
      </c>
      <c r="Q850">
        <f t="shared" si="1010"/>
        <v>5607193.5200001039</v>
      </c>
      <c r="R850">
        <f t="shared" si="1011"/>
        <v>592898629.80263078</v>
      </c>
      <c r="S850">
        <f t="shared" si="1012"/>
        <v>5928.9862980263078</v>
      </c>
      <c r="T850">
        <f t="shared" si="1013"/>
        <v>5.9289862980263077</v>
      </c>
    </row>
    <row r="851" spans="1:20" x14ac:dyDescent="0.25">
      <c r="A851" s="5">
        <v>43742</v>
      </c>
      <c r="B851">
        <v>5.1209999999999997E-3</v>
      </c>
      <c r="C851">
        <v>5.6559999999999996E-3</v>
      </c>
      <c r="D851">
        <v>4.9649999999999998E-3</v>
      </c>
      <c r="E851">
        <v>5.3689999999999996E-3</v>
      </c>
      <c r="F851">
        <v>209846857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0.1693198263386396</v>
      </c>
      <c r="Q851">
        <f t="shared" si="1010"/>
        <v>35531233.384949334</v>
      </c>
      <c r="R851">
        <f t="shared" si="1011"/>
        <v>587291436.28263068</v>
      </c>
      <c r="S851">
        <f t="shared" si="1012"/>
        <v>5872.9143628263064</v>
      </c>
      <c r="T851">
        <f t="shared" si="1013"/>
        <v>5.8729143628263065</v>
      </c>
    </row>
    <row r="852" spans="1:20" x14ac:dyDescent="0.25">
      <c r="A852" s="5">
        <v>43741</v>
      </c>
      <c r="B852">
        <v>4.6880000000000003E-3</v>
      </c>
      <c r="C852">
        <v>5.3749999999999996E-3</v>
      </c>
      <c r="D852">
        <v>4.5259999999999996E-3</v>
      </c>
      <c r="E852">
        <v>5.1219999999999998E-3</v>
      </c>
      <c r="F852">
        <v>247031930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0.40400471142520666</v>
      </c>
      <c r="Q852">
        <f t="shared" si="1010"/>
        <v>99802063.592461854</v>
      </c>
      <c r="R852">
        <f t="shared" si="1011"/>
        <v>551760202.89768136</v>
      </c>
      <c r="S852">
        <f t="shared" si="1012"/>
        <v>5517.6020289768139</v>
      </c>
      <c r="T852">
        <f t="shared" si="1013"/>
        <v>5.517602028976814</v>
      </c>
    </row>
    <row r="853" spans="1:20" x14ac:dyDescent="0.25">
      <c r="A853" s="5">
        <v>43740</v>
      </c>
      <c r="B853">
        <v>4.6490000000000004E-3</v>
      </c>
      <c r="C853">
        <v>4.7800000000000004E-3</v>
      </c>
      <c r="D853">
        <v>4.5779999999999996E-3</v>
      </c>
      <c r="E853">
        <v>4.692E-3</v>
      </c>
      <c r="F853">
        <v>102704170</v>
      </c>
      <c r="G853">
        <v>0</v>
      </c>
      <c r="L853" t="s">
        <v>7</v>
      </c>
      <c r="M853" t="s">
        <v>8</v>
      </c>
      <c r="N853" t="s">
        <v>7</v>
      </c>
      <c r="P853">
        <f t="shared" si="1009"/>
        <v>0.12871287128712811</v>
      </c>
      <c r="Q853">
        <f t="shared" si="1010"/>
        <v>13219348.613861324</v>
      </c>
      <c r="R853">
        <f t="shared" si="1011"/>
        <v>451958139.30521953</v>
      </c>
      <c r="S853">
        <f t="shared" si="1012"/>
        <v>4519.5813930521954</v>
      </c>
      <c r="T853">
        <f t="shared" si="1013"/>
        <v>4.5195813930521958</v>
      </c>
    </row>
    <row r="854" spans="1:20" x14ac:dyDescent="0.25">
      <c r="A854" s="5">
        <v>43739</v>
      </c>
      <c r="B854">
        <v>4.7759999999999999E-3</v>
      </c>
      <c r="C854">
        <v>4.8910000000000004E-3</v>
      </c>
      <c r="D854">
        <v>4.6369999999999996E-3</v>
      </c>
      <c r="E854">
        <v>4.6430000000000004E-3</v>
      </c>
      <c r="F854">
        <v>55210248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-0.95275590551180489</v>
      </c>
      <c r="Q854">
        <f t="shared" si="1010"/>
        <v>-52601889.826771311</v>
      </c>
      <c r="R854">
        <f t="shared" si="1011"/>
        <v>438738790.69135821</v>
      </c>
      <c r="S854">
        <f t="shared" si="1012"/>
        <v>4387.3879069135819</v>
      </c>
      <c r="T854">
        <f t="shared" si="1013"/>
        <v>4.3873879069135819</v>
      </c>
    </row>
    <row r="855" spans="1:20" x14ac:dyDescent="0.25">
      <c r="A855" s="5">
        <v>43738</v>
      </c>
      <c r="B855">
        <v>4.6870000000000002E-3</v>
      </c>
      <c r="C855">
        <v>4.7809999999999997E-3</v>
      </c>
      <c r="D855">
        <v>4.4390000000000002E-3</v>
      </c>
      <c r="E855">
        <v>4.7759999999999999E-3</v>
      </c>
      <c r="F855">
        <v>85409621</v>
      </c>
      <c r="G855">
        <v>0</v>
      </c>
      <c r="L855" t="s">
        <v>7</v>
      </c>
      <c r="M855" t="s">
        <v>8</v>
      </c>
      <c r="N855" t="s">
        <v>7</v>
      </c>
      <c r="P855">
        <f t="shared" si="1009"/>
        <v>0.97076023391812982</v>
      </c>
      <c r="Q855">
        <f t="shared" si="1010"/>
        <v>82912263.660818815</v>
      </c>
      <c r="R855">
        <f t="shared" si="1011"/>
        <v>491340680.51812953</v>
      </c>
      <c r="S855">
        <f t="shared" si="1012"/>
        <v>4913.4068051812956</v>
      </c>
      <c r="T855">
        <f t="shared" si="1013"/>
        <v>4.9134068051812951</v>
      </c>
    </row>
    <row r="856" spans="1:20" x14ac:dyDescent="0.25">
      <c r="A856" s="5">
        <v>43737</v>
      </c>
      <c r="B856">
        <v>4.7460000000000002E-3</v>
      </c>
      <c r="C856">
        <v>4.7999999999999996E-3</v>
      </c>
      <c r="D856">
        <v>4.5380000000000004E-3</v>
      </c>
      <c r="E856">
        <v>4.6839999999999998E-3</v>
      </c>
      <c r="F856">
        <v>169005114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0.11450381679389211</v>
      </c>
      <c r="Q856">
        <f t="shared" si="1010"/>
        <v>19351730.61068685</v>
      </c>
      <c r="R856">
        <f t="shared" si="1011"/>
        <v>408428416.85731071</v>
      </c>
      <c r="S856">
        <f t="shared" si="1012"/>
        <v>4084.2841685731073</v>
      </c>
      <c r="T856">
        <f t="shared" si="1013"/>
        <v>4.0842841685731077</v>
      </c>
    </row>
    <row r="857" spans="1:20" x14ac:dyDescent="0.25">
      <c r="A857" s="5">
        <v>43736</v>
      </c>
      <c r="B857">
        <v>4.7650000000000001E-3</v>
      </c>
      <c r="C857">
        <v>4.8690000000000001E-3</v>
      </c>
      <c r="D857">
        <v>4.6800000000000001E-3</v>
      </c>
      <c r="E857">
        <v>4.7470000000000004E-3</v>
      </c>
      <c r="F857">
        <v>82576144</v>
      </c>
      <c r="G857">
        <v>0</v>
      </c>
      <c r="L857" t="s">
        <v>8</v>
      </c>
      <c r="M857" t="s">
        <v>8</v>
      </c>
      <c r="N857" t="s">
        <v>7</v>
      </c>
      <c r="P857">
        <f t="shared" si="1009"/>
        <v>-0.29100529100528844</v>
      </c>
      <c r="Q857">
        <f t="shared" si="1010"/>
        <v>-24030094.814814601</v>
      </c>
      <c r="R857">
        <f t="shared" si="1011"/>
        <v>389076686.24662387</v>
      </c>
      <c r="S857">
        <f t="shared" si="1012"/>
        <v>3890.7668624662388</v>
      </c>
      <c r="T857">
        <f t="shared" si="1013"/>
        <v>3.8907668624662386</v>
      </c>
    </row>
    <row r="858" spans="1:20" x14ac:dyDescent="0.25">
      <c r="A858" s="5">
        <v>43735</v>
      </c>
      <c r="B858">
        <v>4.6829999999999997E-3</v>
      </c>
      <c r="C858">
        <v>4.8380000000000003E-3</v>
      </c>
      <c r="D858">
        <v>4.509E-3</v>
      </c>
      <c r="E858">
        <v>4.7629999999999999E-3</v>
      </c>
      <c r="F858">
        <v>143270440</v>
      </c>
      <c r="G858">
        <v>0</v>
      </c>
      <c r="L858" t="s">
        <v>7</v>
      </c>
      <c r="M858" t="s">
        <v>8</v>
      </c>
      <c r="N858" t="s">
        <v>7</v>
      </c>
      <c r="P858">
        <f t="shared" si="1009"/>
        <v>0.54407294832826536</v>
      </c>
      <c r="Q858">
        <f t="shared" si="1010"/>
        <v>77949570.699087843</v>
      </c>
      <c r="R858">
        <f t="shared" si="1011"/>
        <v>413106781.0614385</v>
      </c>
      <c r="S858">
        <f t="shared" si="1012"/>
        <v>4131.0678106143851</v>
      </c>
      <c r="T858">
        <f t="shared" si="1013"/>
        <v>4.1310678106143852</v>
      </c>
    </row>
    <row r="859" spans="1:20" x14ac:dyDescent="0.25">
      <c r="A859" s="5">
        <v>43734</v>
      </c>
      <c r="B859">
        <v>4.7320000000000001E-3</v>
      </c>
      <c r="C859">
        <v>5.0390000000000001E-3</v>
      </c>
      <c r="D859">
        <v>4.2719999999999998E-3</v>
      </c>
      <c r="E859">
        <v>4.6750000000000003E-3</v>
      </c>
      <c r="F859">
        <v>154456497</v>
      </c>
      <c r="G859">
        <v>0</v>
      </c>
      <c r="L859" t="s">
        <v>8</v>
      </c>
      <c r="M859" t="s">
        <v>8</v>
      </c>
      <c r="N859" t="s">
        <v>7</v>
      </c>
      <c r="P859">
        <f t="shared" si="1009"/>
        <v>5.0847457627119716E-2</v>
      </c>
      <c r="Q859">
        <f t="shared" si="1010"/>
        <v>7853720.1864408432</v>
      </c>
      <c r="R859">
        <f t="shared" si="1011"/>
        <v>335157210.36235064</v>
      </c>
      <c r="S859">
        <f t="shared" si="1012"/>
        <v>3351.5721036235063</v>
      </c>
      <c r="T859">
        <f t="shared" si="1013"/>
        <v>3.3515721036235062</v>
      </c>
    </row>
    <row r="860" spans="1:20" x14ac:dyDescent="0.25">
      <c r="A860" s="5">
        <v>43733</v>
      </c>
      <c r="B860">
        <v>4.5799999999999999E-3</v>
      </c>
      <c r="C860">
        <v>4.8149999999999998E-3</v>
      </c>
      <c r="D860">
        <v>4.3819999999999996E-3</v>
      </c>
      <c r="E860">
        <v>4.7330000000000002E-3</v>
      </c>
      <c r="F860">
        <v>168041621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0.6212471131639743</v>
      </c>
      <c r="Q860">
        <f t="shared" si="1010"/>
        <v>104395371.93764468</v>
      </c>
      <c r="R860">
        <f t="shared" si="1011"/>
        <v>327303490.17590982</v>
      </c>
      <c r="S860">
        <f t="shared" si="1012"/>
        <v>3273.0349017590984</v>
      </c>
      <c r="T860">
        <f t="shared" si="1013"/>
        <v>3.2730349017590985</v>
      </c>
    </row>
    <row r="861" spans="1:20" x14ac:dyDescent="0.25">
      <c r="A861" s="5">
        <v>43732</v>
      </c>
      <c r="B861">
        <v>6.1219999999999998E-3</v>
      </c>
      <c r="C861">
        <v>6.2989999999999999E-3</v>
      </c>
      <c r="D861">
        <v>4.0330000000000001E-3</v>
      </c>
      <c r="E861">
        <v>4.5789999999999997E-3</v>
      </c>
      <c r="F861">
        <v>254959434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-0.51809355692850867</v>
      </c>
      <c r="Q861">
        <f t="shared" si="1010"/>
        <v>-132092840.03353935</v>
      </c>
      <c r="R861">
        <f t="shared" si="1011"/>
        <v>222908118.23826516</v>
      </c>
      <c r="S861">
        <f t="shared" si="1012"/>
        <v>2229.0811823826516</v>
      </c>
      <c r="T861">
        <f t="shared" si="1013"/>
        <v>2.2290811823826515</v>
      </c>
    </row>
    <row r="862" spans="1:20" x14ac:dyDescent="0.25">
      <c r="A862" s="5">
        <v>43731</v>
      </c>
      <c r="B862">
        <v>6.4559999999999999E-3</v>
      </c>
      <c r="C862">
        <v>6.4900000000000001E-3</v>
      </c>
      <c r="D862">
        <v>5.9500000000000004E-3</v>
      </c>
      <c r="E862">
        <v>6.1180000000000002E-3</v>
      </c>
      <c r="F862">
        <v>100603429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-0.37777777777777832</v>
      </c>
      <c r="Q862">
        <f t="shared" si="1010"/>
        <v>-38005739.844444498</v>
      </c>
      <c r="R862">
        <f t="shared" si="1011"/>
        <v>355000958.27180451</v>
      </c>
      <c r="S862">
        <f t="shared" si="1012"/>
        <v>3550.0095827180453</v>
      </c>
      <c r="T862">
        <f t="shared" si="1013"/>
        <v>3.5500095827180451</v>
      </c>
    </row>
    <row r="863" spans="1:20" x14ac:dyDescent="0.25">
      <c r="A863" s="5">
        <v>43730</v>
      </c>
      <c r="B863">
        <v>6.9369999999999996E-3</v>
      </c>
      <c r="C863">
        <v>6.9410000000000001E-3</v>
      </c>
      <c r="D863">
        <v>6.267E-3</v>
      </c>
      <c r="E863">
        <v>6.4570000000000001E-3</v>
      </c>
      <c r="F863">
        <v>75498492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-0.43620178041543017</v>
      </c>
      <c r="Q863">
        <f t="shared" si="1010"/>
        <v>-32932576.629080113</v>
      </c>
      <c r="R863">
        <f t="shared" si="1011"/>
        <v>393006698.11624902</v>
      </c>
      <c r="S863">
        <f t="shared" si="1012"/>
        <v>3930.0669811624903</v>
      </c>
      <c r="T863">
        <f t="shared" si="1013"/>
        <v>3.9300669811624904</v>
      </c>
    </row>
    <row r="864" spans="1:20" x14ac:dyDescent="0.25">
      <c r="A864" s="5">
        <v>43729</v>
      </c>
      <c r="B864">
        <v>7.1250000000000003E-3</v>
      </c>
      <c r="C864">
        <v>7.1250000000000003E-3</v>
      </c>
      <c r="D864">
        <v>6.8890000000000002E-3</v>
      </c>
      <c r="E864">
        <v>6.9360000000000003E-3</v>
      </c>
      <c r="F864">
        <v>21067845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-0.60169491525423602</v>
      </c>
      <c r="Q864">
        <f t="shared" si="1010"/>
        <v>-12676415.21186438</v>
      </c>
      <c r="R864">
        <f t="shared" si="1011"/>
        <v>425939274.74532914</v>
      </c>
      <c r="S864">
        <f t="shared" si="1012"/>
        <v>4259.3927474532911</v>
      </c>
      <c r="T864">
        <f t="shared" si="1013"/>
        <v>4.2593927474532913</v>
      </c>
    </row>
    <row r="865" spans="1:20" x14ac:dyDescent="0.25">
      <c r="A865" s="5">
        <v>43728</v>
      </c>
      <c r="B865">
        <v>7.156E-3</v>
      </c>
      <c r="C865">
        <v>7.1919999999999996E-3</v>
      </c>
      <c r="D865">
        <v>6.9940000000000002E-3</v>
      </c>
      <c r="E865">
        <v>7.1339999999999997E-3</v>
      </c>
      <c r="F865">
        <v>21597640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0.41414141414141342</v>
      </c>
      <c r="Q865">
        <f t="shared" si="1010"/>
        <v>8944477.1717171557</v>
      </c>
      <c r="R865">
        <f t="shared" si="1011"/>
        <v>438615689.95719349</v>
      </c>
      <c r="S865">
        <f t="shared" si="1012"/>
        <v>4386.1568995719354</v>
      </c>
      <c r="T865">
        <f t="shared" si="1013"/>
        <v>4.3861568995719358</v>
      </c>
    </row>
    <row r="866" spans="1:20" x14ac:dyDescent="0.25">
      <c r="A866" s="5">
        <v>43727</v>
      </c>
      <c r="B866">
        <v>7.4060000000000003E-3</v>
      </c>
      <c r="C866">
        <v>7.4060000000000003E-3</v>
      </c>
      <c r="D866">
        <v>6.7999999999999996E-3</v>
      </c>
      <c r="E866">
        <v>7.1590000000000004E-3</v>
      </c>
      <c r="F866">
        <v>70433229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0.18481848184818625</v>
      </c>
      <c r="Q866">
        <f t="shared" si="1010"/>
        <v>13017362.455445645</v>
      </c>
      <c r="R866">
        <f t="shared" si="1011"/>
        <v>429671212.78547633</v>
      </c>
      <c r="S866">
        <f t="shared" si="1012"/>
        <v>4296.7121278547629</v>
      </c>
      <c r="T866">
        <f t="shared" si="1013"/>
        <v>4.2967121278547626</v>
      </c>
    </row>
    <row r="867" spans="1:20" x14ac:dyDescent="0.25">
      <c r="A867" s="5">
        <v>43726</v>
      </c>
      <c r="B867">
        <v>7.0780000000000001E-3</v>
      </c>
      <c r="C867">
        <v>7.5300000000000002E-3</v>
      </c>
      <c r="D867">
        <v>7.0470000000000003E-3</v>
      </c>
      <c r="E867">
        <v>7.4079999999999997E-3</v>
      </c>
      <c r="F867">
        <v>97974720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0.49482401656314451</v>
      </c>
      <c r="Q867">
        <f t="shared" si="1010"/>
        <v>48480244.472049445</v>
      </c>
      <c r="R867">
        <f t="shared" si="1011"/>
        <v>416653850.33003068</v>
      </c>
      <c r="S867">
        <f t="shared" si="1012"/>
        <v>4166.5385033003067</v>
      </c>
      <c r="T867">
        <f t="shared" si="1013"/>
        <v>4.1665385033003064</v>
      </c>
    </row>
    <row r="868" spans="1:20" x14ac:dyDescent="0.25">
      <c r="A868" s="5">
        <v>43725</v>
      </c>
      <c r="B868">
        <v>6.9620000000000003E-3</v>
      </c>
      <c r="C868">
        <v>7.2610000000000001E-3</v>
      </c>
      <c r="D868">
        <v>6.7879999999999998E-3</v>
      </c>
      <c r="E868">
        <v>7.084E-3</v>
      </c>
      <c r="F868">
        <v>61516642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0.25158562367864712</v>
      </c>
      <c r="Q868">
        <f t="shared" si="1010"/>
        <v>15476702.744186059</v>
      </c>
      <c r="R868">
        <f t="shared" si="1011"/>
        <v>368173605.8579812</v>
      </c>
      <c r="S868">
        <f t="shared" si="1012"/>
        <v>3681.7360585798119</v>
      </c>
      <c r="T868">
        <f t="shared" si="1013"/>
        <v>3.681736058579812</v>
      </c>
    </row>
    <row r="869" spans="1:20" x14ac:dyDescent="0.25">
      <c r="A869" s="5">
        <v>43724</v>
      </c>
      <c r="B869">
        <v>6.881E-3</v>
      </c>
      <c r="C869">
        <v>7.0000000000000001E-3</v>
      </c>
      <c r="D869">
        <v>6.7739999999999996E-3</v>
      </c>
      <c r="E869">
        <v>6.9620000000000003E-3</v>
      </c>
      <c r="F869">
        <v>52827138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0.66371681415929418</v>
      </c>
      <c r="Q869">
        <f t="shared" si="1010"/>
        <v>35062259.734513387</v>
      </c>
      <c r="R869">
        <f t="shared" si="1011"/>
        <v>352696903.11379516</v>
      </c>
      <c r="S869">
        <f t="shared" si="1012"/>
        <v>3526.9690311379518</v>
      </c>
      <c r="T869">
        <f t="shared" si="1013"/>
        <v>3.5269690311379516</v>
      </c>
    </row>
    <row r="870" spans="1:20" x14ac:dyDescent="0.25">
      <c r="A870" s="5">
        <v>43723</v>
      </c>
      <c r="B870">
        <v>6.8589999999999996E-3</v>
      </c>
      <c r="C870">
        <v>6.8989999999999998E-3</v>
      </c>
      <c r="D870">
        <v>6.7650000000000002E-3</v>
      </c>
      <c r="E870">
        <v>6.8789999999999997E-3</v>
      </c>
      <c r="F870">
        <v>32118049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0.70149253731343109</v>
      </c>
      <c r="Q870">
        <f t="shared" si="1010"/>
        <v>22530571.686567109</v>
      </c>
      <c r="R870">
        <f t="shared" si="1011"/>
        <v>317634643.37928176</v>
      </c>
      <c r="S870">
        <f t="shared" si="1012"/>
        <v>3176.3464337928176</v>
      </c>
      <c r="T870">
        <f t="shared" si="1013"/>
        <v>3.1763464337928178</v>
      </c>
    </row>
    <row r="871" spans="1:20" x14ac:dyDescent="0.25">
      <c r="A871" s="5">
        <v>43722</v>
      </c>
      <c r="B871">
        <v>6.7369999999999999E-3</v>
      </c>
      <c r="C871">
        <v>6.8989999999999998E-3</v>
      </c>
      <c r="D871">
        <v>6.705E-3</v>
      </c>
      <c r="E871">
        <v>6.8820000000000001E-3</v>
      </c>
      <c r="F871">
        <v>31600068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0.8247422680412404</v>
      </c>
      <c r="Q871">
        <f t="shared" si="1010"/>
        <v>26061911.752577424</v>
      </c>
      <c r="R871">
        <f t="shared" si="1011"/>
        <v>295104071.69271463</v>
      </c>
      <c r="S871">
        <f t="shared" si="1012"/>
        <v>2951.0407169271461</v>
      </c>
      <c r="T871">
        <f t="shared" si="1013"/>
        <v>2.951040716927146</v>
      </c>
    </row>
    <row r="872" spans="1:20" x14ac:dyDescent="0.25">
      <c r="A872" s="5">
        <v>43721</v>
      </c>
      <c r="B872">
        <v>6.9280000000000001E-3</v>
      </c>
      <c r="C872">
        <v>6.9350000000000002E-3</v>
      </c>
      <c r="D872">
        <v>6.7029999999999998E-3</v>
      </c>
      <c r="E872">
        <v>6.7320000000000001E-3</v>
      </c>
      <c r="F872">
        <v>30745516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-0.74999999999999722</v>
      </c>
      <c r="Q872">
        <f t="shared" si="1010"/>
        <v>-23059136.999999914</v>
      </c>
      <c r="R872">
        <f t="shared" si="1011"/>
        <v>269042159.94013721</v>
      </c>
      <c r="S872">
        <f t="shared" si="1012"/>
        <v>2690.4215994013721</v>
      </c>
      <c r="T872">
        <f t="shared" si="1013"/>
        <v>2.6904215994013723</v>
      </c>
    </row>
    <row r="873" spans="1:20" x14ac:dyDescent="0.25">
      <c r="A873" s="5">
        <v>43720</v>
      </c>
      <c r="B873">
        <v>6.9210000000000001E-3</v>
      </c>
      <c r="C873">
        <v>6.9969999999999997E-3</v>
      </c>
      <c r="D873">
        <v>6.6530000000000001E-3</v>
      </c>
      <c r="E873">
        <v>6.9290000000000003E-3</v>
      </c>
      <c r="F873">
        <v>75442082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0.6046511627907003</v>
      </c>
      <c r="Q873">
        <f t="shared" si="1010"/>
        <v>45616142.604651362</v>
      </c>
      <c r="R873">
        <f t="shared" si="1011"/>
        <v>292101296.94013715</v>
      </c>
      <c r="S873">
        <f t="shared" si="1012"/>
        <v>2921.0129694013713</v>
      </c>
      <c r="T873">
        <f t="shared" si="1013"/>
        <v>2.9210129694013713</v>
      </c>
    </row>
    <row r="874" spans="1:20" x14ac:dyDescent="0.25">
      <c r="A874" s="5">
        <v>43719</v>
      </c>
      <c r="B874">
        <v>6.9779999999999998E-3</v>
      </c>
      <c r="C874">
        <v>7.1000000000000004E-3</v>
      </c>
      <c r="D874">
        <v>6.868E-3</v>
      </c>
      <c r="E874">
        <v>6.9150000000000001E-3</v>
      </c>
      <c r="F874">
        <v>45837490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-0.59482758620689591</v>
      </c>
      <c r="Q874">
        <f t="shared" si="1010"/>
        <v>-27265403.534482729</v>
      </c>
      <c r="R874">
        <f t="shared" si="1011"/>
        <v>246485154.33548576</v>
      </c>
      <c r="S874">
        <f t="shared" si="1012"/>
        <v>2464.8515433548578</v>
      </c>
      <c r="T874">
        <f t="shared" si="1013"/>
        <v>2.4648515433548579</v>
      </c>
    </row>
    <row r="875" spans="1:20" x14ac:dyDescent="0.25">
      <c r="A875" s="5">
        <v>43718</v>
      </c>
      <c r="B875">
        <v>7.1970000000000003E-3</v>
      </c>
      <c r="C875">
        <v>7.2859999999999999E-3</v>
      </c>
      <c r="D875">
        <v>6.9569999999999996E-3</v>
      </c>
      <c r="E875">
        <v>6.9969999999999997E-3</v>
      </c>
      <c r="F875">
        <v>56996891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-0.75683890577507562</v>
      </c>
      <c r="Q875">
        <f t="shared" si="1010"/>
        <v>-43137464.617021255</v>
      </c>
      <c r="R875">
        <f t="shared" si="1011"/>
        <v>273750557.86996847</v>
      </c>
      <c r="S875">
        <f t="shared" si="1012"/>
        <v>2737.5055786996845</v>
      </c>
      <c r="T875">
        <f t="shared" si="1013"/>
        <v>2.7375055786996847</v>
      </c>
    </row>
    <row r="876" spans="1:20" x14ac:dyDescent="0.25">
      <c r="A876" s="5">
        <v>43717</v>
      </c>
      <c r="B876">
        <v>6.9319999999999998E-3</v>
      </c>
      <c r="C876">
        <v>7.2300000000000003E-3</v>
      </c>
      <c r="D876">
        <v>6.7819999999999998E-3</v>
      </c>
      <c r="E876">
        <v>7.1960000000000001E-3</v>
      </c>
      <c r="F876">
        <v>37978631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0.84821428571428514</v>
      </c>
      <c r="Q876">
        <f t="shared" si="1010"/>
        <v>32214017.366071407</v>
      </c>
      <c r="R876">
        <f t="shared" si="1011"/>
        <v>316888022.48698974</v>
      </c>
      <c r="S876">
        <f t="shared" si="1012"/>
        <v>3168.8802248698976</v>
      </c>
      <c r="T876">
        <f t="shared" si="1013"/>
        <v>3.1688802248698975</v>
      </c>
    </row>
    <row r="877" spans="1:20" x14ac:dyDescent="0.25">
      <c r="A877" s="5">
        <v>43716</v>
      </c>
      <c r="B877">
        <v>6.9969999999999997E-3</v>
      </c>
      <c r="C877">
        <v>7.0670000000000004E-3</v>
      </c>
      <c r="D877">
        <v>6.7809999999999997E-3</v>
      </c>
      <c r="E877">
        <v>6.9319999999999998E-3</v>
      </c>
      <c r="F877">
        <v>60677323</v>
      </c>
      <c r="G877">
        <v>0</v>
      </c>
      <c r="L877" t="s">
        <v>7</v>
      </c>
      <c r="M877" t="s">
        <v>7</v>
      </c>
      <c r="N877" t="s">
        <v>7</v>
      </c>
      <c r="P877">
        <f t="shared" si="1009"/>
        <v>5.594405594405414E-2</v>
      </c>
      <c r="Q877">
        <f t="shared" si="1010"/>
        <v>3394535.5524474429</v>
      </c>
      <c r="R877">
        <f t="shared" si="1011"/>
        <v>284674005.12091833</v>
      </c>
      <c r="S877">
        <f t="shared" si="1012"/>
        <v>2846.7400512091835</v>
      </c>
      <c r="T877">
        <f t="shared" si="1013"/>
        <v>2.8467400512091836</v>
      </c>
    </row>
    <row r="878" spans="1:20" x14ac:dyDescent="0.25">
      <c r="A878" s="5">
        <v>43715</v>
      </c>
      <c r="B878">
        <v>6.8519999999999996E-3</v>
      </c>
      <c r="C878">
        <v>7.136E-3</v>
      </c>
      <c r="D878">
        <v>6.6010000000000001E-3</v>
      </c>
      <c r="E878">
        <v>6.9950000000000003E-3</v>
      </c>
      <c r="F878">
        <v>46501803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0.47289719626168353</v>
      </c>
      <c r="Q878">
        <f t="shared" si="1010"/>
        <v>21990572.259813145</v>
      </c>
      <c r="R878">
        <f t="shared" si="1011"/>
        <v>281279469.5684709</v>
      </c>
      <c r="S878">
        <f t="shared" si="1012"/>
        <v>2812.794695684709</v>
      </c>
      <c r="T878">
        <f t="shared" si="1013"/>
        <v>2.8127946956847092</v>
      </c>
    </row>
    <row r="879" spans="1:20" x14ac:dyDescent="0.25">
      <c r="A879" s="5">
        <v>43714</v>
      </c>
      <c r="B879">
        <v>7.1939999999999999E-3</v>
      </c>
      <c r="C879">
        <v>7.195E-3</v>
      </c>
      <c r="D879">
        <v>6.8149999999999999E-3</v>
      </c>
      <c r="E879">
        <v>6.8560000000000001E-3</v>
      </c>
      <c r="F879">
        <v>71752451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-0.78421052631578825</v>
      </c>
      <c r="Q879">
        <f t="shared" si="1010"/>
        <v>-56269027.363157809</v>
      </c>
      <c r="R879">
        <f t="shared" si="1011"/>
        <v>259288897.30865777</v>
      </c>
      <c r="S879">
        <f t="shared" si="1012"/>
        <v>2592.8889730865776</v>
      </c>
      <c r="T879">
        <f t="shared" si="1013"/>
        <v>2.5928889730865774</v>
      </c>
    </row>
    <row r="880" spans="1:20" x14ac:dyDescent="0.25">
      <c r="A880" s="5">
        <v>43713</v>
      </c>
      <c r="B880">
        <v>7.208E-3</v>
      </c>
      <c r="C880">
        <v>7.267E-3</v>
      </c>
      <c r="D880">
        <v>7.1019999999999998E-3</v>
      </c>
      <c r="E880">
        <v>7.1939999999999999E-3</v>
      </c>
      <c r="F880">
        <v>40239393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0.11515151515151452</v>
      </c>
      <c r="Q880">
        <f t="shared" si="1010"/>
        <v>4633627.0727272471</v>
      </c>
      <c r="R880">
        <f t="shared" si="1011"/>
        <v>315557924.67181557</v>
      </c>
      <c r="S880">
        <f t="shared" si="1012"/>
        <v>3155.5792467181559</v>
      </c>
      <c r="T880">
        <f t="shared" si="1013"/>
        <v>3.155579246718156</v>
      </c>
    </row>
    <row r="881" spans="1:20" x14ac:dyDescent="0.25">
      <c r="A881" s="5">
        <v>43712</v>
      </c>
      <c r="B881">
        <v>7.2610000000000001E-3</v>
      </c>
      <c r="C881">
        <v>7.2989999999999999E-3</v>
      </c>
      <c r="D881">
        <v>7.1640000000000002E-3</v>
      </c>
      <c r="E881">
        <v>7.2090000000000001E-3</v>
      </c>
      <c r="F881">
        <v>45438053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-0.33333333333333331</v>
      </c>
      <c r="Q881">
        <f t="shared" si="1010"/>
        <v>-15146017.666666666</v>
      </c>
      <c r="R881">
        <f t="shared" si="1011"/>
        <v>310924297.59908831</v>
      </c>
      <c r="S881">
        <f t="shared" si="1012"/>
        <v>3109.2429759908832</v>
      </c>
      <c r="T881">
        <f t="shared" si="1013"/>
        <v>3.1092429759908833</v>
      </c>
    </row>
    <row r="882" spans="1:20" x14ac:dyDescent="0.25">
      <c r="A882" s="5">
        <v>43711</v>
      </c>
      <c r="B882">
        <v>7.1830000000000001E-3</v>
      </c>
      <c r="C882">
        <v>7.3020000000000003E-3</v>
      </c>
      <c r="D882">
        <v>7.0600000000000003E-3</v>
      </c>
      <c r="E882">
        <v>7.2630000000000004E-3</v>
      </c>
      <c r="F882">
        <v>27675945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0.67768595041322344</v>
      </c>
      <c r="Q882">
        <f t="shared" si="1010"/>
        <v>18755599.090909097</v>
      </c>
      <c r="R882">
        <f t="shared" si="1011"/>
        <v>326070315.265755</v>
      </c>
      <c r="S882">
        <f t="shared" si="1012"/>
        <v>3260.7031526575502</v>
      </c>
      <c r="T882">
        <f t="shared" si="1013"/>
        <v>3.2607031526575501</v>
      </c>
    </row>
    <row r="883" spans="1:20" x14ac:dyDescent="0.25">
      <c r="A883" s="5">
        <v>43710</v>
      </c>
      <c r="B883">
        <v>6.9750000000000003E-3</v>
      </c>
      <c r="C883">
        <v>7.1999999999999998E-3</v>
      </c>
      <c r="D883">
        <v>6.914E-3</v>
      </c>
      <c r="E883">
        <v>7.1900000000000002E-3</v>
      </c>
      <c r="F883">
        <v>41936128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0.93006993006993288</v>
      </c>
      <c r="Q883">
        <f t="shared" si="1010"/>
        <v>39003531.636363752</v>
      </c>
      <c r="R883">
        <f t="shared" si="1011"/>
        <v>307314716.17484587</v>
      </c>
      <c r="S883">
        <f t="shared" si="1012"/>
        <v>3073.1471617484585</v>
      </c>
      <c r="T883">
        <f t="shared" si="1013"/>
        <v>3.0731471617484587</v>
      </c>
    </row>
    <row r="884" spans="1:20" x14ac:dyDescent="0.25">
      <c r="A884" s="5">
        <v>43709</v>
      </c>
      <c r="B884">
        <v>7.1869999999999998E-3</v>
      </c>
      <c r="C884">
        <v>7.2439999999999996E-3</v>
      </c>
      <c r="D884">
        <v>6.8479999999999999E-3</v>
      </c>
      <c r="E884">
        <v>6.9890000000000004E-3</v>
      </c>
      <c r="F884">
        <v>46748974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-0.28787878787878474</v>
      </c>
      <c r="Q884">
        <f t="shared" si="1010"/>
        <v>-13458037.969696824</v>
      </c>
      <c r="R884">
        <f t="shared" si="1011"/>
        <v>268311184.53848213</v>
      </c>
      <c r="S884">
        <f t="shared" si="1012"/>
        <v>2683.1118453848212</v>
      </c>
      <c r="T884">
        <f t="shared" si="1013"/>
        <v>2.6831118453848211</v>
      </c>
    </row>
    <row r="885" spans="1:20" x14ac:dyDescent="0.25">
      <c r="A885" s="5">
        <v>43708</v>
      </c>
      <c r="B885">
        <v>7.3220000000000004E-3</v>
      </c>
      <c r="C885">
        <v>7.5009999999999999E-3</v>
      </c>
      <c r="D885">
        <v>7.0219999999999996E-3</v>
      </c>
      <c r="E885">
        <v>7.195E-3</v>
      </c>
      <c r="F885">
        <v>33320903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-0.27766179540709679</v>
      </c>
      <c r="Q885">
        <f t="shared" si="1010"/>
        <v>-9251941.7515657172</v>
      </c>
      <c r="R885">
        <f t="shared" si="1011"/>
        <v>281769222.50817895</v>
      </c>
      <c r="S885">
        <f t="shared" si="1012"/>
        <v>2817.6922250817893</v>
      </c>
      <c r="T885">
        <f t="shared" si="1013"/>
        <v>2.8176922250817893</v>
      </c>
    </row>
    <row r="886" spans="1:20" x14ac:dyDescent="0.25">
      <c r="A886" s="5">
        <v>43707</v>
      </c>
      <c r="B886">
        <v>7.2630000000000004E-3</v>
      </c>
      <c r="C886">
        <v>7.6350000000000003E-3</v>
      </c>
      <c r="D886">
        <v>7.2059999999999997E-3</v>
      </c>
      <c r="E886">
        <v>7.3140000000000002E-3</v>
      </c>
      <c r="F886">
        <v>79039995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-0.49650349650349501</v>
      </c>
      <c r="Q886">
        <f t="shared" si="1010"/>
        <v>-39243633.88111876</v>
      </c>
      <c r="R886">
        <f t="shared" si="1011"/>
        <v>291021164.25974464</v>
      </c>
      <c r="S886">
        <f t="shared" si="1012"/>
        <v>2910.2116425974464</v>
      </c>
      <c r="T886">
        <f t="shared" si="1013"/>
        <v>2.9102116425974462</v>
      </c>
    </row>
    <row r="887" spans="1:20" x14ac:dyDescent="0.25">
      <c r="A887" s="5">
        <v>43706</v>
      </c>
      <c r="B887">
        <v>7.757E-3</v>
      </c>
      <c r="C887">
        <v>7.7869999999999997E-3</v>
      </c>
      <c r="D887">
        <v>7.0330000000000002E-3</v>
      </c>
      <c r="E887">
        <v>7.2500000000000004E-3</v>
      </c>
      <c r="F887">
        <v>70756320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-0.42440318302387181</v>
      </c>
      <c r="Q887">
        <f t="shared" si="1010"/>
        <v>-30029207.427055642</v>
      </c>
      <c r="R887">
        <f t="shared" si="1011"/>
        <v>330264798.14086342</v>
      </c>
      <c r="S887">
        <f t="shared" si="1012"/>
        <v>3302.6479814086342</v>
      </c>
      <c r="T887">
        <f t="shared" si="1013"/>
        <v>3.3026479814086342</v>
      </c>
    </row>
    <row r="888" spans="1:20" x14ac:dyDescent="0.25">
      <c r="A888" s="5">
        <v>43705</v>
      </c>
      <c r="B888">
        <v>8.2120000000000005E-3</v>
      </c>
      <c r="C888">
        <v>8.4220000000000007E-3</v>
      </c>
      <c r="D888">
        <v>7.7429999999999999E-3</v>
      </c>
      <c r="E888">
        <v>7.7600000000000004E-3</v>
      </c>
      <c r="F888">
        <v>66696601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-0.94992636229749483</v>
      </c>
      <c r="Q888">
        <f t="shared" si="1010"/>
        <v>-63356859.565537453</v>
      </c>
      <c r="R888">
        <f t="shared" si="1011"/>
        <v>360294005.56791908</v>
      </c>
      <c r="S888">
        <f t="shared" si="1012"/>
        <v>3602.9400556791907</v>
      </c>
      <c r="T888">
        <f t="shared" si="1013"/>
        <v>3.6029400556791908</v>
      </c>
    </row>
    <row r="889" spans="1:20" x14ac:dyDescent="0.25">
      <c r="A889" s="5">
        <v>43704</v>
      </c>
      <c r="B889">
        <v>8.3169999999999997E-3</v>
      </c>
      <c r="C889">
        <v>8.4499999999999992E-3</v>
      </c>
      <c r="D889">
        <v>8.1589999999999996E-3</v>
      </c>
      <c r="E889">
        <v>8.2039999999999995E-3</v>
      </c>
      <c r="F889">
        <v>25457555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-0.69072164948453629</v>
      </c>
      <c r="Q889">
        <f t="shared" si="1010"/>
        <v>-17584084.381443303</v>
      </c>
      <c r="R889">
        <f t="shared" si="1011"/>
        <v>423650865.13345653</v>
      </c>
      <c r="S889">
        <f t="shared" si="1012"/>
        <v>4236.508651334565</v>
      </c>
      <c r="T889">
        <f t="shared" si="1013"/>
        <v>4.2365086513345647</v>
      </c>
    </row>
    <row r="890" spans="1:20" x14ac:dyDescent="0.25">
      <c r="A890" s="5">
        <v>43703</v>
      </c>
      <c r="B890">
        <v>8.3009999999999994E-3</v>
      </c>
      <c r="C890">
        <v>8.5649999999999997E-3</v>
      </c>
      <c r="D890">
        <v>8.1429999999999992E-3</v>
      </c>
      <c r="E890">
        <v>8.319E-3</v>
      </c>
      <c r="F890">
        <v>70171971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-0.16587677725118199</v>
      </c>
      <c r="Q890">
        <f t="shared" si="1010"/>
        <v>-11639900.402843403</v>
      </c>
      <c r="R890">
        <f t="shared" si="1011"/>
        <v>441234949.51489985</v>
      </c>
      <c r="S890">
        <f t="shared" si="1012"/>
        <v>4412.3494951489984</v>
      </c>
      <c r="T890">
        <f t="shared" si="1013"/>
        <v>4.4123494951489981</v>
      </c>
    </row>
    <row r="891" spans="1:20" x14ac:dyDescent="0.25">
      <c r="A891" s="5">
        <v>43702</v>
      </c>
      <c r="B891">
        <v>8.5120000000000005E-3</v>
      </c>
      <c r="C891">
        <v>8.7320000000000002E-3</v>
      </c>
      <c r="D891">
        <v>8.2050000000000005E-3</v>
      </c>
      <c r="E891">
        <v>8.3059999999999991E-3</v>
      </c>
      <c r="F891">
        <v>31900219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-0.61669829222011874</v>
      </c>
      <c r="Q891">
        <f t="shared" si="1010"/>
        <v>-19672810.578747783</v>
      </c>
      <c r="R891">
        <f t="shared" si="1011"/>
        <v>452874849.91774327</v>
      </c>
      <c r="S891">
        <f t="shared" si="1012"/>
        <v>4528.7484991774327</v>
      </c>
      <c r="T891">
        <f t="shared" si="1013"/>
        <v>4.5287484991774329</v>
      </c>
    </row>
    <row r="892" spans="1:20" x14ac:dyDescent="0.25">
      <c r="A892" s="5">
        <v>43701</v>
      </c>
      <c r="B892">
        <v>8.6730000000000002E-3</v>
      </c>
      <c r="C892">
        <v>8.8159999999999992E-3</v>
      </c>
      <c r="D892">
        <v>8.1510000000000003E-3</v>
      </c>
      <c r="E892">
        <v>8.5030000000000001E-3</v>
      </c>
      <c r="F892">
        <v>39289016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5.8646616541354737E-2</v>
      </c>
      <c r="Q892">
        <f t="shared" si="1010"/>
        <v>2304167.8556391508</v>
      </c>
      <c r="R892">
        <f t="shared" si="1011"/>
        <v>472547660.49649107</v>
      </c>
      <c r="S892">
        <f t="shared" si="1012"/>
        <v>4725.4766049649106</v>
      </c>
      <c r="T892">
        <f t="shared" si="1013"/>
        <v>4.7254766049649106</v>
      </c>
    </row>
    <row r="893" spans="1:20" x14ac:dyDescent="0.25">
      <c r="A893" s="5">
        <v>43700</v>
      </c>
      <c r="B893">
        <v>8.5909999999999997E-3</v>
      </c>
      <c r="C893">
        <v>8.7980000000000003E-3</v>
      </c>
      <c r="D893">
        <v>8.5179999999999995E-3</v>
      </c>
      <c r="E893">
        <v>8.6739999999999994E-3</v>
      </c>
      <c r="F893">
        <v>23172931</v>
      </c>
      <c r="G893">
        <v>0</v>
      </c>
      <c r="L893" t="s">
        <v>7</v>
      </c>
      <c r="M893" t="s">
        <v>7</v>
      </c>
      <c r="N893" t="s">
        <v>7</v>
      </c>
      <c r="P893">
        <f t="shared" si="1009"/>
        <v>0.11428571428571056</v>
      </c>
      <c r="Q893">
        <f t="shared" si="1010"/>
        <v>2648334.9714284851</v>
      </c>
      <c r="R893">
        <f t="shared" si="1011"/>
        <v>470243492.64085191</v>
      </c>
      <c r="S893">
        <f t="shared" si="1012"/>
        <v>4702.4349264085195</v>
      </c>
      <c r="T893">
        <f t="shared" si="1013"/>
        <v>4.7024349264085199</v>
      </c>
    </row>
    <row r="894" spans="1:20" x14ac:dyDescent="0.25">
      <c r="A894" s="5">
        <v>43699</v>
      </c>
      <c r="B894">
        <v>8.4180000000000001E-3</v>
      </c>
      <c r="C894">
        <v>8.7039999999999999E-3</v>
      </c>
      <c r="D894">
        <v>8.2100000000000003E-3</v>
      </c>
      <c r="E894">
        <v>8.5900000000000004E-3</v>
      </c>
      <c r="F894">
        <v>27666626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0.5384615384615401</v>
      </c>
      <c r="Q894">
        <f t="shared" si="1010"/>
        <v>14897414.000000045</v>
      </c>
      <c r="R894">
        <f t="shared" si="1011"/>
        <v>467595157.6694234</v>
      </c>
      <c r="S894">
        <f t="shared" si="1012"/>
        <v>4675.9515766942341</v>
      </c>
      <c r="T894">
        <f t="shared" si="1013"/>
        <v>4.6759515766942341</v>
      </c>
    </row>
    <row r="895" spans="1:20" x14ac:dyDescent="0.25">
      <c r="A895" s="5">
        <v>43698</v>
      </c>
      <c r="B895">
        <v>8.8660000000000006E-3</v>
      </c>
      <c r="C895">
        <v>8.9239999999999996E-3</v>
      </c>
      <c r="D895">
        <v>8.2000000000000007E-3</v>
      </c>
      <c r="E895">
        <v>8.4180000000000001E-3</v>
      </c>
      <c r="F895">
        <v>26798760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-0.39779005524861943</v>
      </c>
      <c r="Q895">
        <f t="shared" ref="Q895:Q958" si="1015">F895*P895</f>
        <v>-10660280.220994493</v>
      </c>
      <c r="R895">
        <f t="shared" ref="R895:R958" si="1016">R896+Q895</f>
        <v>452697743.66942334</v>
      </c>
      <c r="S895">
        <f t="shared" ref="S895:S958" si="1017">R895/100000</f>
        <v>4526.9774366942338</v>
      </c>
      <c r="T895">
        <f t="shared" ref="T895:T958" si="1018">S895/1000</f>
        <v>4.5269774366942341</v>
      </c>
    </row>
    <row r="896" spans="1:20" x14ac:dyDescent="0.25">
      <c r="A896" s="5">
        <v>43697</v>
      </c>
      <c r="B896">
        <v>8.907E-3</v>
      </c>
      <c r="C896">
        <v>9.0460000000000002E-3</v>
      </c>
      <c r="D896">
        <v>8.7790000000000003E-3</v>
      </c>
      <c r="E896">
        <v>8.8280000000000008E-3</v>
      </c>
      <c r="F896">
        <v>22524871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-0.63295880149812389</v>
      </c>
      <c r="Q896">
        <f t="shared" si="1015"/>
        <v>-14257315.352059847</v>
      </c>
      <c r="R896">
        <f t="shared" si="1016"/>
        <v>463358023.89041781</v>
      </c>
      <c r="S896">
        <f t="shared" si="1017"/>
        <v>4633.5802389041783</v>
      </c>
      <c r="T896">
        <f t="shared" si="1018"/>
        <v>4.6335802389041785</v>
      </c>
    </row>
    <row r="897" spans="1:20" x14ac:dyDescent="0.25">
      <c r="A897" s="5">
        <v>43696</v>
      </c>
      <c r="B897">
        <v>8.7550000000000006E-3</v>
      </c>
      <c r="C897">
        <v>9.0539999999999995E-3</v>
      </c>
      <c r="D897">
        <v>8.7500000000000008E-3</v>
      </c>
      <c r="E897">
        <v>8.907E-3</v>
      </c>
      <c r="F897">
        <v>32854230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3.2894736842104061E-2</v>
      </c>
      <c r="Q897">
        <f t="shared" si="1015"/>
        <v>1080731.2499999604</v>
      </c>
      <c r="R897">
        <f t="shared" si="1016"/>
        <v>477615339.24247766</v>
      </c>
      <c r="S897">
        <f t="shared" si="1017"/>
        <v>4776.1533924247769</v>
      </c>
      <c r="T897">
        <f t="shared" si="1018"/>
        <v>4.776153392424777</v>
      </c>
    </row>
    <row r="898" spans="1:20" x14ac:dyDescent="0.25">
      <c r="A898" s="5">
        <v>43695</v>
      </c>
      <c r="B898">
        <v>8.6859999999999993E-3</v>
      </c>
      <c r="C898">
        <v>9.0159999999999997E-3</v>
      </c>
      <c r="D898">
        <v>8.6420000000000004E-3</v>
      </c>
      <c r="E898">
        <v>8.7709999999999993E-3</v>
      </c>
      <c r="F898">
        <v>14829037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-0.31016042780749126</v>
      </c>
      <c r="Q898">
        <f t="shared" si="1015"/>
        <v>-4599380.4598931167</v>
      </c>
      <c r="R898">
        <f t="shared" si="1016"/>
        <v>476534607.99247772</v>
      </c>
      <c r="S898">
        <f t="shared" si="1017"/>
        <v>4765.3460799247769</v>
      </c>
      <c r="T898">
        <f t="shared" si="1018"/>
        <v>4.7653460799247771</v>
      </c>
    </row>
    <row r="899" spans="1:20" x14ac:dyDescent="0.25">
      <c r="A899" s="5">
        <v>43694</v>
      </c>
      <c r="B899">
        <v>8.5249999999999996E-3</v>
      </c>
      <c r="C899">
        <v>8.8800000000000007E-3</v>
      </c>
      <c r="D899">
        <v>8.4980000000000003E-3</v>
      </c>
      <c r="E899">
        <v>8.6899999999999998E-3</v>
      </c>
      <c r="F899">
        <v>17625227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5.2356020942369861E-3</v>
      </c>
      <c r="Q899">
        <f t="shared" si="1015"/>
        <v>92278.675392602265</v>
      </c>
      <c r="R899">
        <f t="shared" si="1016"/>
        <v>481133988.45237082</v>
      </c>
      <c r="S899">
        <f t="shared" si="1017"/>
        <v>4811.339884523708</v>
      </c>
      <c r="T899">
        <f t="shared" si="1018"/>
        <v>4.8113398845237079</v>
      </c>
    </row>
    <row r="900" spans="1:20" x14ac:dyDescent="0.25">
      <c r="A900" s="5">
        <v>43693</v>
      </c>
      <c r="B900">
        <v>8.3599999999999994E-3</v>
      </c>
      <c r="C900">
        <v>8.7729999999999995E-3</v>
      </c>
      <c r="D900">
        <v>8.1359999999999991E-3</v>
      </c>
      <c r="E900">
        <v>8.5450000000000005E-3</v>
      </c>
      <c r="F900">
        <v>24956889</v>
      </c>
      <c r="G900">
        <v>0</v>
      </c>
      <c r="L900" t="s">
        <v>8</v>
      </c>
      <c r="M900" t="s">
        <v>7</v>
      </c>
      <c r="N900" t="s">
        <v>7</v>
      </c>
      <c r="P900">
        <f t="shared" si="1014"/>
        <v>0.28414442700157333</v>
      </c>
      <c r="Q900">
        <f t="shared" si="1015"/>
        <v>7091360.9246468684</v>
      </c>
      <c r="R900">
        <f t="shared" si="1016"/>
        <v>481041709.77697819</v>
      </c>
      <c r="S900">
        <f t="shared" si="1017"/>
        <v>4810.4170977697822</v>
      </c>
      <c r="T900">
        <f t="shared" si="1018"/>
        <v>4.8104170977697827</v>
      </c>
    </row>
    <row r="901" spans="1:20" x14ac:dyDescent="0.25">
      <c r="A901" s="5">
        <v>43692</v>
      </c>
      <c r="B901">
        <v>8.3649999999999992E-3</v>
      </c>
      <c r="C901">
        <v>8.5920000000000007E-3</v>
      </c>
      <c r="D901">
        <v>8.1689999999999992E-3</v>
      </c>
      <c r="E901">
        <v>8.3750000000000005E-3</v>
      </c>
      <c r="F901">
        <v>20717186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-2.6004728132384913E-2</v>
      </c>
      <c r="Q901">
        <f t="shared" si="1015"/>
        <v>-538744.78959805088</v>
      </c>
      <c r="R901">
        <f t="shared" si="1016"/>
        <v>473950348.85233134</v>
      </c>
      <c r="S901">
        <f t="shared" si="1017"/>
        <v>4739.5034885233135</v>
      </c>
      <c r="T901">
        <f t="shared" si="1018"/>
        <v>4.7395034885233134</v>
      </c>
    </row>
    <row r="902" spans="1:20" x14ac:dyDescent="0.25">
      <c r="A902" s="5">
        <v>43691</v>
      </c>
      <c r="B902">
        <v>8.7539999999999996E-3</v>
      </c>
      <c r="C902">
        <v>9.0699999999999999E-3</v>
      </c>
      <c r="D902">
        <v>7.8449999999999995E-3</v>
      </c>
      <c r="E902">
        <v>8.3580000000000008E-3</v>
      </c>
      <c r="F902">
        <v>32909331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-0.16244897959183488</v>
      </c>
      <c r="Q902">
        <f t="shared" si="1015"/>
        <v>-5346087.2399999388</v>
      </c>
      <c r="R902">
        <f t="shared" si="1016"/>
        <v>474489093.64192939</v>
      </c>
      <c r="S902">
        <f t="shared" si="1017"/>
        <v>4744.8909364192941</v>
      </c>
      <c r="T902">
        <f t="shared" si="1018"/>
        <v>4.7448909364192939</v>
      </c>
    </row>
    <row r="903" spans="1:20" x14ac:dyDescent="0.25">
      <c r="A903" s="5">
        <v>43690</v>
      </c>
      <c r="B903">
        <v>8.8909999999999996E-3</v>
      </c>
      <c r="C903">
        <v>8.9300000000000004E-3</v>
      </c>
      <c r="D903">
        <v>8.5389999999999997E-3</v>
      </c>
      <c r="E903">
        <v>8.7500000000000008E-3</v>
      </c>
      <c r="F903">
        <v>25794603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7.9283887468034414E-2</v>
      </c>
      <c r="Q903">
        <f t="shared" si="1015"/>
        <v>2045096.401534623</v>
      </c>
      <c r="R903">
        <f t="shared" si="1016"/>
        <v>479835180.88192934</v>
      </c>
      <c r="S903">
        <f t="shared" si="1017"/>
        <v>4798.3518088192932</v>
      </c>
      <c r="T903">
        <f t="shared" si="1018"/>
        <v>4.7983518088192936</v>
      </c>
    </row>
    <row r="904" spans="1:20" x14ac:dyDescent="0.25">
      <c r="A904" s="5">
        <v>43689</v>
      </c>
      <c r="B904">
        <v>9.221E-3</v>
      </c>
      <c r="C904">
        <v>9.3720000000000001E-3</v>
      </c>
      <c r="D904">
        <v>8.7460000000000003E-3</v>
      </c>
      <c r="E904">
        <v>8.8800000000000007E-3</v>
      </c>
      <c r="F904">
        <v>15004807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-0.57188498402555754</v>
      </c>
      <c r="Q904">
        <f t="shared" si="1015"/>
        <v>-8581023.8115015738</v>
      </c>
      <c r="R904">
        <f t="shared" si="1016"/>
        <v>477790084.48039472</v>
      </c>
      <c r="S904">
        <f t="shared" si="1017"/>
        <v>4777.9008448039476</v>
      </c>
      <c r="T904">
        <f t="shared" si="1018"/>
        <v>4.7779008448039475</v>
      </c>
    </row>
    <row r="905" spans="1:20" x14ac:dyDescent="0.25">
      <c r="A905" s="5">
        <v>43688</v>
      </c>
      <c r="B905">
        <v>8.7299999999999999E-3</v>
      </c>
      <c r="C905">
        <v>9.3989999999999994E-3</v>
      </c>
      <c r="D905">
        <v>8.7089999999999997E-3</v>
      </c>
      <c r="E905">
        <v>9.2479999999999993E-3</v>
      </c>
      <c r="F905">
        <v>18037640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0.5623188405797096</v>
      </c>
      <c r="Q905">
        <f t="shared" si="1015"/>
        <v>10142904.811594194</v>
      </c>
      <c r="R905">
        <f t="shared" si="1016"/>
        <v>486371108.29189628</v>
      </c>
      <c r="S905">
        <f t="shared" si="1017"/>
        <v>4863.7110829189633</v>
      </c>
      <c r="T905">
        <f t="shared" si="1018"/>
        <v>4.8637110829189636</v>
      </c>
    </row>
    <row r="906" spans="1:20" x14ac:dyDescent="0.25">
      <c r="A906" s="5">
        <v>43687</v>
      </c>
      <c r="B906">
        <v>8.5120000000000005E-3</v>
      </c>
      <c r="C906">
        <v>9.0329999999999994E-3</v>
      </c>
      <c r="D906">
        <v>8.1790000000000005E-3</v>
      </c>
      <c r="E906">
        <v>8.77E-3</v>
      </c>
      <c r="F906">
        <v>31801233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0.38407494145199134</v>
      </c>
      <c r="Q906">
        <f t="shared" si="1015"/>
        <v>12214056.702576134</v>
      </c>
      <c r="R906">
        <f t="shared" si="1016"/>
        <v>476228203.4803021</v>
      </c>
      <c r="S906">
        <f t="shared" si="1017"/>
        <v>4762.2820348030209</v>
      </c>
      <c r="T906">
        <f t="shared" si="1018"/>
        <v>4.7622820348030208</v>
      </c>
    </row>
    <row r="907" spans="1:20" x14ac:dyDescent="0.25">
      <c r="A907" s="5">
        <v>43686</v>
      </c>
      <c r="B907">
        <v>9.9830000000000006E-3</v>
      </c>
      <c r="C907">
        <v>1.0540000000000001E-2</v>
      </c>
      <c r="D907">
        <v>8.2539999999999992E-3</v>
      </c>
      <c r="E907">
        <v>8.5210000000000008E-3</v>
      </c>
      <c r="F907">
        <v>217230871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-0.76640419947506433</v>
      </c>
      <c r="Q907">
        <f t="shared" si="1015"/>
        <v>-166486651.79002598</v>
      </c>
      <c r="R907">
        <f t="shared" si="1016"/>
        <v>464014146.77772593</v>
      </c>
      <c r="S907">
        <f t="shared" si="1017"/>
        <v>4640.1414677772591</v>
      </c>
      <c r="T907">
        <f t="shared" si="1018"/>
        <v>4.6401414677772594</v>
      </c>
    </row>
    <row r="908" spans="1:20" x14ac:dyDescent="0.25">
      <c r="A908" s="5">
        <v>43685</v>
      </c>
      <c r="B908">
        <v>1.0702E-2</v>
      </c>
      <c r="C908">
        <v>1.18E-2</v>
      </c>
      <c r="D908">
        <v>9.7160000000000007E-3</v>
      </c>
      <c r="E908">
        <v>9.9819999999999996E-3</v>
      </c>
      <c r="F908">
        <v>107540799</v>
      </c>
      <c r="G908">
        <v>0</v>
      </c>
      <c r="L908" t="s">
        <v>8</v>
      </c>
      <c r="M908" t="s">
        <v>8</v>
      </c>
      <c r="N908" t="s">
        <v>8</v>
      </c>
      <c r="P908">
        <f t="shared" si="1014"/>
        <v>-0.74472168905950187</v>
      </c>
      <c r="Q908">
        <f t="shared" si="1015"/>
        <v>-80087965.474088386</v>
      </c>
      <c r="R908">
        <f t="shared" si="1016"/>
        <v>630500798.56775188</v>
      </c>
      <c r="S908">
        <f t="shared" si="1017"/>
        <v>6305.0079856775192</v>
      </c>
      <c r="T908">
        <f t="shared" si="1018"/>
        <v>6.305007985677519</v>
      </c>
    </row>
    <row r="909" spans="1:20" x14ac:dyDescent="0.25">
      <c r="A909" s="5">
        <v>43684</v>
      </c>
      <c r="B909">
        <v>9.3089999999999996E-3</v>
      </c>
      <c r="C909">
        <v>1.123E-2</v>
      </c>
      <c r="D909">
        <v>9.2420000000000002E-3</v>
      </c>
      <c r="E909">
        <v>1.0652E-2</v>
      </c>
      <c r="F909">
        <v>124036839</v>
      </c>
      <c r="G909">
        <v>0</v>
      </c>
      <c r="L909" t="s">
        <v>8</v>
      </c>
      <c r="M909" t="s">
        <v>8</v>
      </c>
      <c r="N909" t="s">
        <v>8</v>
      </c>
      <c r="P909">
        <f t="shared" si="1014"/>
        <v>0.41851106639839003</v>
      </c>
      <c r="Q909">
        <f t="shared" si="1015"/>
        <v>51910789.762575418</v>
      </c>
      <c r="R909">
        <f t="shared" si="1016"/>
        <v>710588764.04184031</v>
      </c>
      <c r="S909">
        <f t="shared" si="1017"/>
        <v>7105.887640418403</v>
      </c>
      <c r="T909">
        <f t="shared" si="1018"/>
        <v>7.1058876404184028</v>
      </c>
    </row>
    <row r="910" spans="1:20" x14ac:dyDescent="0.25">
      <c r="A910" s="5">
        <v>43683</v>
      </c>
      <c r="B910">
        <v>9.9629999999999996E-3</v>
      </c>
      <c r="C910">
        <v>9.9629999999999996E-3</v>
      </c>
      <c r="D910">
        <v>9.1409999999999998E-3</v>
      </c>
      <c r="E910">
        <v>9.3039999999999998E-3</v>
      </c>
      <c r="F910">
        <v>28891509</v>
      </c>
      <c r="G910">
        <v>0</v>
      </c>
      <c r="L910" t="s">
        <v>7</v>
      </c>
      <c r="M910" t="s">
        <v>8</v>
      </c>
      <c r="N910" t="s">
        <v>8</v>
      </c>
      <c r="P910">
        <f t="shared" si="1014"/>
        <v>-0.6034063260340633</v>
      </c>
      <c r="Q910">
        <f t="shared" si="1015"/>
        <v>-17433319.299270075</v>
      </c>
      <c r="R910">
        <f t="shared" si="1016"/>
        <v>658677974.27926493</v>
      </c>
      <c r="S910">
        <f t="shared" si="1017"/>
        <v>6586.7797427926489</v>
      </c>
      <c r="T910">
        <f t="shared" si="1018"/>
        <v>6.5867797427926487</v>
      </c>
    </row>
    <row r="911" spans="1:20" x14ac:dyDescent="0.25">
      <c r="A911" s="5">
        <v>43682</v>
      </c>
      <c r="B911">
        <v>9.9150000000000002E-3</v>
      </c>
      <c r="C911">
        <v>1.0203E-2</v>
      </c>
      <c r="D911">
        <v>9.8440000000000003E-3</v>
      </c>
      <c r="E911">
        <v>9.9380000000000007E-3</v>
      </c>
      <c r="F911">
        <v>23895743</v>
      </c>
      <c r="G911">
        <v>0</v>
      </c>
      <c r="L911" t="s">
        <v>8</v>
      </c>
      <c r="M911" t="s">
        <v>8</v>
      </c>
      <c r="N911" t="s">
        <v>8</v>
      </c>
      <c r="P911">
        <f t="shared" si="1014"/>
        <v>-0.47632311977715686</v>
      </c>
      <c r="Q911">
        <f t="shared" si="1015"/>
        <v>-11382094.855153158</v>
      </c>
      <c r="R911">
        <f t="shared" si="1016"/>
        <v>676111293.57853496</v>
      </c>
      <c r="S911">
        <f t="shared" si="1017"/>
        <v>6761.1129357853497</v>
      </c>
      <c r="T911">
        <f t="shared" si="1018"/>
        <v>6.7611129357853494</v>
      </c>
    </row>
    <row r="912" spans="1:20" x14ac:dyDescent="0.25">
      <c r="A912" s="5">
        <v>43681</v>
      </c>
      <c r="B912">
        <v>9.9600000000000001E-3</v>
      </c>
      <c r="C912">
        <v>1.0078E-2</v>
      </c>
      <c r="D912">
        <v>9.7509999999999993E-3</v>
      </c>
      <c r="E912">
        <v>9.8720000000000006E-3</v>
      </c>
      <c r="F912">
        <v>16725527</v>
      </c>
      <c r="G912">
        <v>0</v>
      </c>
      <c r="L912" t="s">
        <v>8</v>
      </c>
      <c r="M912" t="s">
        <v>8</v>
      </c>
      <c r="N912" t="s">
        <v>8</v>
      </c>
      <c r="P912">
        <f t="shared" si="1014"/>
        <v>-0.25993883792048328</v>
      </c>
      <c r="Q912">
        <f t="shared" si="1015"/>
        <v>-4347614.0519876666</v>
      </c>
      <c r="R912">
        <f t="shared" si="1016"/>
        <v>687493388.43368816</v>
      </c>
      <c r="S912">
        <f t="shared" si="1017"/>
        <v>6874.9338843368814</v>
      </c>
      <c r="T912">
        <f t="shared" si="1018"/>
        <v>6.8749338843368815</v>
      </c>
    </row>
    <row r="913" spans="1:20" x14ac:dyDescent="0.25">
      <c r="A913" s="5">
        <v>43680</v>
      </c>
      <c r="B913">
        <v>1.0033E-2</v>
      </c>
      <c r="C913">
        <v>1.0238000000000001E-2</v>
      </c>
      <c r="D913">
        <v>9.8799999999999999E-3</v>
      </c>
      <c r="E913">
        <v>9.9839999999999998E-3</v>
      </c>
      <c r="F913">
        <v>18957800</v>
      </c>
      <c r="G913">
        <v>0</v>
      </c>
      <c r="L913" t="s">
        <v>8</v>
      </c>
      <c r="M913" t="s">
        <v>8</v>
      </c>
      <c r="N913" t="s">
        <v>8</v>
      </c>
      <c r="P913">
        <f t="shared" si="1014"/>
        <v>-0.41899441340782273</v>
      </c>
      <c r="Q913">
        <f t="shared" si="1015"/>
        <v>-7943212.290502822</v>
      </c>
      <c r="R913">
        <f t="shared" si="1016"/>
        <v>691841002.48567581</v>
      </c>
      <c r="S913">
        <f t="shared" si="1017"/>
        <v>6918.4100248567584</v>
      </c>
      <c r="T913">
        <f t="shared" si="1018"/>
        <v>6.9184100248567582</v>
      </c>
    </row>
    <row r="914" spans="1:20" x14ac:dyDescent="0.25">
      <c r="A914" s="5">
        <v>43679</v>
      </c>
      <c r="B914">
        <v>9.9389999999999999E-3</v>
      </c>
      <c r="C914">
        <v>1.03E-2</v>
      </c>
      <c r="D914">
        <v>9.8200000000000006E-3</v>
      </c>
      <c r="E914">
        <v>1.0043E-2</v>
      </c>
      <c r="F914">
        <v>31749981</v>
      </c>
      <c r="G914">
        <v>0</v>
      </c>
      <c r="L914" t="s">
        <v>8</v>
      </c>
      <c r="M914" t="s">
        <v>8</v>
      </c>
      <c r="N914" t="s">
        <v>8</v>
      </c>
      <c r="P914">
        <f t="shared" si="1014"/>
        <v>-7.083333333333558E-2</v>
      </c>
      <c r="Q914">
        <f t="shared" si="1015"/>
        <v>-2248956.9875000715</v>
      </c>
      <c r="R914">
        <f t="shared" si="1016"/>
        <v>699784214.7761786</v>
      </c>
      <c r="S914">
        <f t="shared" si="1017"/>
        <v>6997.8421477617858</v>
      </c>
      <c r="T914">
        <f t="shared" si="1018"/>
        <v>6.9978421477617854</v>
      </c>
    </row>
    <row r="915" spans="1:20" x14ac:dyDescent="0.25">
      <c r="A915" s="5">
        <v>43678</v>
      </c>
      <c r="B915">
        <v>9.9979999999999999E-3</v>
      </c>
      <c r="C915">
        <v>1.0155000000000001E-2</v>
      </c>
      <c r="D915">
        <v>9.6930000000000002E-3</v>
      </c>
      <c r="E915">
        <v>9.9229999999999995E-3</v>
      </c>
      <c r="F915">
        <v>22362488</v>
      </c>
      <c r="G915">
        <v>0</v>
      </c>
      <c r="L915" t="s">
        <v>8</v>
      </c>
      <c r="M915" t="s">
        <v>8</v>
      </c>
      <c r="N915" t="s">
        <v>8</v>
      </c>
      <c r="P915">
        <f t="shared" si="1014"/>
        <v>-4.3290043290086528E-3</v>
      </c>
      <c r="Q915">
        <f t="shared" si="1015"/>
        <v>-96807.307359404047</v>
      </c>
      <c r="R915">
        <f t="shared" si="1016"/>
        <v>702033171.76367867</v>
      </c>
      <c r="S915">
        <f t="shared" si="1017"/>
        <v>7020.3317176367864</v>
      </c>
      <c r="T915">
        <f t="shared" si="1018"/>
        <v>7.0203317176367861</v>
      </c>
    </row>
    <row r="916" spans="1:20" x14ac:dyDescent="0.25">
      <c r="A916" s="5">
        <v>43677</v>
      </c>
      <c r="B916">
        <v>9.8560000000000002E-3</v>
      </c>
      <c r="C916">
        <v>1.0293999999999999E-2</v>
      </c>
      <c r="D916">
        <v>9.8560000000000002E-3</v>
      </c>
      <c r="E916">
        <v>1.0022E-2</v>
      </c>
      <c r="F916">
        <v>34874678</v>
      </c>
      <c r="G916">
        <v>0</v>
      </c>
      <c r="L916" t="s">
        <v>8</v>
      </c>
      <c r="M916" t="s">
        <v>8</v>
      </c>
      <c r="N916" t="s">
        <v>8</v>
      </c>
      <c r="P916">
        <f t="shared" si="1014"/>
        <v>-0.24200913242009223</v>
      </c>
      <c r="Q916">
        <f t="shared" si="1015"/>
        <v>-8439990.5662100762</v>
      </c>
      <c r="R916">
        <f t="shared" si="1016"/>
        <v>702129979.07103813</v>
      </c>
      <c r="S916">
        <f t="shared" si="1017"/>
        <v>7021.2997907103809</v>
      </c>
      <c r="T916">
        <f t="shared" si="1018"/>
        <v>7.0212997907103807</v>
      </c>
    </row>
    <row r="917" spans="1:20" x14ac:dyDescent="0.25">
      <c r="A917" s="5">
        <v>43676</v>
      </c>
      <c r="B917">
        <v>9.9010000000000001E-3</v>
      </c>
      <c r="C917">
        <v>0.01</v>
      </c>
      <c r="D917">
        <v>9.6710000000000008E-3</v>
      </c>
      <c r="E917">
        <v>9.8490000000000001E-3</v>
      </c>
      <c r="F917">
        <v>32024254</v>
      </c>
      <c r="G917">
        <v>0</v>
      </c>
      <c r="L917" t="s">
        <v>8</v>
      </c>
      <c r="M917" t="s">
        <v>8</v>
      </c>
      <c r="N917" t="s">
        <v>8</v>
      </c>
      <c r="P917">
        <f t="shared" si="1014"/>
        <v>8.2066869300909701E-2</v>
      </c>
      <c r="Q917">
        <f t="shared" si="1015"/>
        <v>2628130.2674771347</v>
      </c>
      <c r="R917">
        <f t="shared" si="1016"/>
        <v>710569969.63724816</v>
      </c>
      <c r="S917">
        <f t="shared" si="1017"/>
        <v>7105.6996963724814</v>
      </c>
      <c r="T917">
        <f t="shared" si="1018"/>
        <v>7.105699696372481</v>
      </c>
    </row>
    <row r="918" spans="1:20" x14ac:dyDescent="0.25">
      <c r="A918" s="5">
        <v>43675</v>
      </c>
      <c r="B918">
        <v>9.2239999999999996E-3</v>
      </c>
      <c r="C918">
        <v>1.0227999999999999E-2</v>
      </c>
      <c r="D918">
        <v>9.1310000000000002E-3</v>
      </c>
      <c r="E918">
        <v>9.9080000000000001E-3</v>
      </c>
      <c r="F918">
        <v>143600468</v>
      </c>
      <c r="G918">
        <v>0</v>
      </c>
      <c r="L918" t="s">
        <v>8</v>
      </c>
      <c r="M918" t="s">
        <v>8</v>
      </c>
      <c r="N918" t="s">
        <v>8</v>
      </c>
      <c r="P918">
        <f t="shared" si="1014"/>
        <v>0.41659070191431286</v>
      </c>
      <c r="Q918">
        <f t="shared" si="1015"/>
        <v>59822619.759343825</v>
      </c>
      <c r="R918">
        <f t="shared" si="1016"/>
        <v>707941839.369771</v>
      </c>
      <c r="S918">
        <f t="shared" si="1017"/>
        <v>7079.4183936977097</v>
      </c>
      <c r="T918">
        <f t="shared" si="1018"/>
        <v>7.0794183936977095</v>
      </c>
    </row>
    <row r="919" spans="1:20" x14ac:dyDescent="0.25">
      <c r="A919" s="5">
        <v>43674</v>
      </c>
      <c r="B919">
        <v>8.9280000000000002E-3</v>
      </c>
      <c r="C919">
        <v>9.3679999999999996E-3</v>
      </c>
      <c r="D919">
        <v>8.8629999999999994E-3</v>
      </c>
      <c r="E919">
        <v>9.221E-3</v>
      </c>
      <c r="F919">
        <v>24618897</v>
      </c>
      <c r="G919">
        <v>0</v>
      </c>
      <c r="L919" t="s">
        <v>8</v>
      </c>
      <c r="M919" t="s">
        <v>8</v>
      </c>
      <c r="N919" t="s">
        <v>8</v>
      </c>
      <c r="P919">
        <f t="shared" si="1014"/>
        <v>0.41782178217821986</v>
      </c>
      <c r="Q919">
        <f t="shared" si="1015"/>
        <v>10286311.419802031</v>
      </c>
      <c r="R919">
        <f t="shared" si="1016"/>
        <v>648119219.61042714</v>
      </c>
      <c r="S919">
        <f t="shared" si="1017"/>
        <v>6481.1921961042717</v>
      </c>
      <c r="T919">
        <f t="shared" si="1018"/>
        <v>6.4811921961042716</v>
      </c>
    </row>
    <row r="920" spans="1:20" x14ac:dyDescent="0.25">
      <c r="A920" s="5">
        <v>43673</v>
      </c>
      <c r="B920">
        <v>9.0749999999999997E-3</v>
      </c>
      <c r="C920">
        <v>9.4109999999999992E-3</v>
      </c>
      <c r="D920">
        <v>8.6449999999999999E-3</v>
      </c>
      <c r="E920">
        <v>8.9490000000000004E-3</v>
      </c>
      <c r="F920">
        <v>34696284</v>
      </c>
      <c r="G920">
        <v>0</v>
      </c>
      <c r="L920" t="s">
        <v>8</v>
      </c>
      <c r="M920" t="s">
        <v>8</v>
      </c>
      <c r="N920" t="s">
        <v>8</v>
      </c>
      <c r="P920">
        <f t="shared" si="1014"/>
        <v>-0.20626631853785712</v>
      </c>
      <c r="Q920">
        <f t="shared" si="1015"/>
        <v>-7156674.7676239554</v>
      </c>
      <c r="R920">
        <f t="shared" si="1016"/>
        <v>637832908.19062507</v>
      </c>
      <c r="S920">
        <f t="shared" si="1017"/>
        <v>6378.3290819062504</v>
      </c>
      <c r="T920">
        <f t="shared" si="1018"/>
        <v>6.3783290819062506</v>
      </c>
    </row>
    <row r="921" spans="1:20" x14ac:dyDescent="0.25">
      <c r="A921" s="5">
        <v>43672</v>
      </c>
      <c r="B921">
        <v>8.8310000000000003E-3</v>
      </c>
      <c r="C921">
        <v>9.2790000000000008E-3</v>
      </c>
      <c r="D921">
        <v>8.5100000000000002E-3</v>
      </c>
      <c r="E921">
        <v>9.0900000000000009E-3</v>
      </c>
      <c r="F921">
        <v>24536341</v>
      </c>
      <c r="G921">
        <v>0</v>
      </c>
      <c r="L921" t="s">
        <v>7</v>
      </c>
      <c r="M921" t="s">
        <v>8</v>
      </c>
      <c r="N921" t="s">
        <v>8</v>
      </c>
      <c r="P921">
        <f t="shared" si="1014"/>
        <v>0.5084525357607288</v>
      </c>
      <c r="Q921">
        <f t="shared" si="1015"/>
        <v>12475564.799739936</v>
      </c>
      <c r="R921">
        <f t="shared" si="1016"/>
        <v>644989582.95824897</v>
      </c>
      <c r="S921">
        <f t="shared" si="1017"/>
        <v>6449.8958295824896</v>
      </c>
      <c r="T921">
        <f t="shared" si="1018"/>
        <v>6.4498958295824895</v>
      </c>
    </row>
    <row r="922" spans="1:20" x14ac:dyDescent="0.25">
      <c r="A922" s="5">
        <v>43671</v>
      </c>
      <c r="B922">
        <v>8.4030000000000007E-3</v>
      </c>
      <c r="C922">
        <v>9.1819999999999992E-3</v>
      </c>
      <c r="D922">
        <v>8.3770000000000008E-3</v>
      </c>
      <c r="E922">
        <v>8.7880000000000007E-3</v>
      </c>
      <c r="F922">
        <v>38944400</v>
      </c>
      <c r="G922">
        <v>0</v>
      </c>
      <c r="L922" t="s">
        <v>8</v>
      </c>
      <c r="M922" t="s">
        <v>7</v>
      </c>
      <c r="N922" t="s">
        <v>8</v>
      </c>
      <c r="P922">
        <f t="shared" si="1014"/>
        <v>2.1118012422362015E-2</v>
      </c>
      <c r="Q922">
        <f t="shared" si="1015"/>
        <v>822428.32298143522</v>
      </c>
      <c r="R922">
        <f t="shared" si="1016"/>
        <v>632514018.15850902</v>
      </c>
      <c r="S922">
        <f t="shared" si="1017"/>
        <v>6325.1401815850904</v>
      </c>
      <c r="T922">
        <f t="shared" si="1018"/>
        <v>6.3251401815850903</v>
      </c>
    </row>
    <row r="923" spans="1:20" x14ac:dyDescent="0.25">
      <c r="A923" s="5">
        <v>43670</v>
      </c>
      <c r="B923">
        <v>8.1110000000000002E-3</v>
      </c>
      <c r="C923">
        <v>8.6879999999999995E-3</v>
      </c>
      <c r="D923">
        <v>7.7889999999999999E-3</v>
      </c>
      <c r="E923">
        <v>8.4180000000000001E-3</v>
      </c>
      <c r="F923">
        <v>33095559</v>
      </c>
      <c r="G923">
        <v>0</v>
      </c>
      <c r="L923" t="s">
        <v>7</v>
      </c>
      <c r="M923" t="s">
        <v>7</v>
      </c>
      <c r="N923" t="s">
        <v>8</v>
      </c>
      <c r="P923">
        <f t="shared" si="1014"/>
        <v>0.39933259176863289</v>
      </c>
      <c r="Q923">
        <f t="shared" si="1015"/>
        <v>13216135.351501705</v>
      </c>
      <c r="R923">
        <f t="shared" si="1016"/>
        <v>631691589.83552754</v>
      </c>
      <c r="S923">
        <f t="shared" si="1017"/>
        <v>6316.9158983552752</v>
      </c>
      <c r="T923">
        <f t="shared" si="1018"/>
        <v>6.3169158983552753</v>
      </c>
    </row>
    <row r="924" spans="1:20" x14ac:dyDescent="0.25">
      <c r="A924" s="5">
        <v>43669</v>
      </c>
      <c r="B924">
        <v>8.6879999999999995E-3</v>
      </c>
      <c r="C924">
        <v>8.829E-3</v>
      </c>
      <c r="D924">
        <v>8.0079999999999995E-3</v>
      </c>
      <c r="E924">
        <v>8.1359999999999991E-3</v>
      </c>
      <c r="F924">
        <v>54683743</v>
      </c>
      <c r="G924">
        <v>0</v>
      </c>
      <c r="L924" t="s">
        <v>7</v>
      </c>
      <c r="M924" t="s">
        <v>8</v>
      </c>
      <c r="N924" t="s">
        <v>8</v>
      </c>
      <c r="P924">
        <f t="shared" si="1014"/>
        <v>-0.68818514007308274</v>
      </c>
      <c r="Q924">
        <f t="shared" si="1015"/>
        <v>-37632539.336175457</v>
      </c>
      <c r="R924">
        <f t="shared" si="1016"/>
        <v>618475454.48402584</v>
      </c>
      <c r="S924">
        <f t="shared" si="1017"/>
        <v>6184.7545448402579</v>
      </c>
      <c r="T924">
        <f t="shared" si="1018"/>
        <v>6.1847545448402581</v>
      </c>
    </row>
    <row r="925" spans="1:20" x14ac:dyDescent="0.25">
      <c r="A925" s="5">
        <v>43668</v>
      </c>
      <c r="B925">
        <v>9.2079999999999992E-3</v>
      </c>
      <c r="C925">
        <v>9.3500000000000007E-3</v>
      </c>
      <c r="D925">
        <v>8.3859999999999994E-3</v>
      </c>
      <c r="E925">
        <v>8.6840000000000007E-3</v>
      </c>
      <c r="F925">
        <v>55715551</v>
      </c>
      <c r="G925">
        <v>0</v>
      </c>
      <c r="L925" t="s">
        <v>7</v>
      </c>
      <c r="M925" t="s">
        <v>8</v>
      </c>
      <c r="N925" t="s">
        <v>8</v>
      </c>
      <c r="P925">
        <f t="shared" si="1014"/>
        <v>-0.3817427385892096</v>
      </c>
      <c r="Q925">
        <f t="shared" si="1015"/>
        <v>-21269007.020746775</v>
      </c>
      <c r="R925">
        <f t="shared" si="1016"/>
        <v>656107993.82020128</v>
      </c>
      <c r="S925">
        <f t="shared" si="1017"/>
        <v>6561.0799382020132</v>
      </c>
      <c r="T925">
        <f t="shared" si="1018"/>
        <v>6.5610799382020133</v>
      </c>
    </row>
    <row r="926" spans="1:20" x14ac:dyDescent="0.25">
      <c r="A926" s="5">
        <v>43667</v>
      </c>
      <c r="B926">
        <v>9.1690000000000001E-3</v>
      </c>
      <c r="C926">
        <v>9.6629999999999997E-3</v>
      </c>
      <c r="D926">
        <v>8.7279999999999996E-3</v>
      </c>
      <c r="E926">
        <v>9.1850000000000005E-3</v>
      </c>
      <c r="F926">
        <v>137249343</v>
      </c>
      <c r="G926">
        <v>0</v>
      </c>
      <c r="L926" t="s">
        <v>7</v>
      </c>
      <c r="M926" t="s">
        <v>8</v>
      </c>
      <c r="N926" t="s">
        <v>8</v>
      </c>
      <c r="P926">
        <f t="shared" si="1014"/>
        <v>-2.2459893048126685E-2</v>
      </c>
      <c r="Q926">
        <f t="shared" si="1015"/>
        <v>-3082605.564705655</v>
      </c>
      <c r="R926">
        <f t="shared" si="1016"/>
        <v>677377000.8409481</v>
      </c>
      <c r="S926">
        <f t="shared" si="1017"/>
        <v>6773.7700084094813</v>
      </c>
      <c r="T926">
        <f t="shared" si="1018"/>
        <v>6.773770008409481</v>
      </c>
    </row>
    <row r="927" spans="1:20" x14ac:dyDescent="0.25">
      <c r="A927" s="5">
        <v>43666</v>
      </c>
      <c r="B927">
        <v>7.3670000000000003E-3</v>
      </c>
      <c r="C927">
        <v>9.6950000000000005E-3</v>
      </c>
      <c r="D927">
        <v>7.3629999999999998E-3</v>
      </c>
      <c r="E927">
        <v>9.1690000000000001E-3</v>
      </c>
      <c r="F927">
        <v>182978116</v>
      </c>
      <c r="G927">
        <v>0</v>
      </c>
      <c r="L927" t="s">
        <v>8</v>
      </c>
      <c r="M927" t="s">
        <v>8</v>
      </c>
      <c r="N927" t="s">
        <v>8</v>
      </c>
      <c r="P927">
        <f t="shared" si="1014"/>
        <v>0.54888507718696378</v>
      </c>
      <c r="Q927">
        <f t="shared" si="1015"/>
        <v>100433957.32418521</v>
      </c>
      <c r="R927">
        <f t="shared" si="1016"/>
        <v>680459606.40565372</v>
      </c>
      <c r="S927">
        <f t="shared" si="1017"/>
        <v>6804.5960640565372</v>
      </c>
      <c r="T927">
        <f t="shared" si="1018"/>
        <v>6.8045960640565371</v>
      </c>
    </row>
    <row r="928" spans="1:20" x14ac:dyDescent="0.25">
      <c r="A928" s="5">
        <v>43665</v>
      </c>
      <c r="B928">
        <v>7.4229999999999999E-3</v>
      </c>
      <c r="C928">
        <v>7.5119999999999996E-3</v>
      </c>
      <c r="D928">
        <v>7.1890000000000001E-3</v>
      </c>
      <c r="E928">
        <v>7.3530000000000002E-3</v>
      </c>
      <c r="F928">
        <v>31298939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1.547987616099279E-2</v>
      </c>
      <c r="Q928">
        <f t="shared" si="1015"/>
        <v>484503.6996904675</v>
      </c>
      <c r="R928">
        <f t="shared" si="1016"/>
        <v>580025649.08146846</v>
      </c>
      <c r="S928">
        <f t="shared" si="1017"/>
        <v>5800.2564908146842</v>
      </c>
      <c r="T928">
        <f t="shared" si="1018"/>
        <v>5.8002564908146841</v>
      </c>
    </row>
    <row r="929" spans="1:20" x14ac:dyDescent="0.25">
      <c r="A929" s="5">
        <v>43664</v>
      </c>
      <c r="B929">
        <v>6.9179999999999997E-3</v>
      </c>
      <c r="C929">
        <v>7.5500000000000003E-3</v>
      </c>
      <c r="D929">
        <v>6.6439999999999997E-3</v>
      </c>
      <c r="E929">
        <v>7.3699999999999998E-3</v>
      </c>
      <c r="F929">
        <v>60030908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0.60264900662251575</v>
      </c>
      <c r="Q929">
        <f t="shared" si="1015"/>
        <v>36177567.072847635</v>
      </c>
      <c r="R929">
        <f t="shared" si="1016"/>
        <v>579541145.381778</v>
      </c>
      <c r="S929">
        <f t="shared" si="1017"/>
        <v>5795.4114538177801</v>
      </c>
      <c r="T929">
        <f t="shared" si="1018"/>
        <v>5.7954114538177803</v>
      </c>
    </row>
    <row r="930" spans="1:20" x14ac:dyDescent="0.25">
      <c r="A930" s="5">
        <v>43663</v>
      </c>
      <c r="B930">
        <v>6.6779999999999999E-3</v>
      </c>
      <c r="C930">
        <v>7.2859999999999999E-3</v>
      </c>
      <c r="D930">
        <v>6.2300000000000003E-3</v>
      </c>
      <c r="E930">
        <v>6.9150000000000001E-3</v>
      </c>
      <c r="F930">
        <v>73665962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0.29734848484848497</v>
      </c>
      <c r="Q930">
        <f t="shared" si="1015"/>
        <v>21904462.18560607</v>
      </c>
      <c r="R930">
        <f t="shared" si="1016"/>
        <v>543363578.3089304</v>
      </c>
      <c r="S930">
        <f t="shared" si="1017"/>
        <v>5433.6357830893039</v>
      </c>
      <c r="T930">
        <f t="shared" si="1018"/>
        <v>5.4336357830893043</v>
      </c>
    </row>
    <row r="931" spans="1:20" x14ac:dyDescent="0.25">
      <c r="A931" s="5">
        <v>43662</v>
      </c>
      <c r="B931">
        <v>7.6420000000000004E-3</v>
      </c>
      <c r="C931">
        <v>7.9369999999999996E-3</v>
      </c>
      <c r="D931">
        <v>6.5799999999999999E-3</v>
      </c>
      <c r="E931">
        <v>6.6670000000000002E-3</v>
      </c>
      <c r="F931">
        <v>68673406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-0.87177597641856996</v>
      </c>
      <c r="Q931">
        <f t="shared" si="1015"/>
        <v>-59867825.569638878</v>
      </c>
      <c r="R931">
        <f t="shared" si="1016"/>
        <v>521459116.12332428</v>
      </c>
      <c r="S931">
        <f t="shared" si="1017"/>
        <v>5214.5911612332429</v>
      </c>
      <c r="T931">
        <f t="shared" si="1018"/>
        <v>5.2145911612332432</v>
      </c>
    </row>
    <row r="932" spans="1:20" x14ac:dyDescent="0.25">
      <c r="A932" s="5">
        <v>43661</v>
      </c>
      <c r="B932">
        <v>7.4669999999999997E-3</v>
      </c>
      <c r="C932">
        <v>7.8519999999999996E-3</v>
      </c>
      <c r="D932">
        <v>6.8970000000000004E-3</v>
      </c>
      <c r="E932">
        <v>7.6010000000000001E-3</v>
      </c>
      <c r="F932">
        <v>135815130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0.47434554973822057</v>
      </c>
      <c r="Q932">
        <f t="shared" si="1015"/>
        <v>64423302.502617896</v>
      </c>
      <c r="R932">
        <f t="shared" si="1016"/>
        <v>581326941.69296312</v>
      </c>
      <c r="S932">
        <f t="shared" si="1017"/>
        <v>5813.269416929631</v>
      </c>
      <c r="T932">
        <f t="shared" si="1018"/>
        <v>5.8132694169296313</v>
      </c>
    </row>
    <row r="933" spans="1:20" x14ac:dyDescent="0.25">
      <c r="A933" s="5">
        <v>43660</v>
      </c>
      <c r="B933">
        <v>9.3220000000000004E-3</v>
      </c>
      <c r="C933">
        <v>9.5090000000000001E-3</v>
      </c>
      <c r="D933">
        <v>7.3210000000000003E-3</v>
      </c>
      <c r="E933">
        <v>7.4720000000000003E-3</v>
      </c>
      <c r="F933">
        <v>109144132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-0.86197440585009133</v>
      </c>
      <c r="Q933">
        <f t="shared" si="1015"/>
        <v>-94079448.332723945</v>
      </c>
      <c r="R933">
        <f t="shared" si="1016"/>
        <v>516903639.19034517</v>
      </c>
      <c r="S933">
        <f t="shared" si="1017"/>
        <v>5169.0363919034517</v>
      </c>
      <c r="T933">
        <f t="shared" si="1018"/>
        <v>5.1690363919034521</v>
      </c>
    </row>
    <row r="934" spans="1:20" x14ac:dyDescent="0.25">
      <c r="A934" s="5">
        <v>43659</v>
      </c>
      <c r="B934">
        <v>9.7610000000000006E-3</v>
      </c>
      <c r="C934">
        <v>9.7710000000000002E-3</v>
      </c>
      <c r="D934">
        <v>8.8999999999999999E-3</v>
      </c>
      <c r="E934">
        <v>9.3150000000000004E-3</v>
      </c>
      <c r="F934">
        <v>45691383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-4.7072330654419473E-2</v>
      </c>
      <c r="Q934">
        <f t="shared" si="1015"/>
        <v>-2150799.8886337206</v>
      </c>
      <c r="R934">
        <f t="shared" si="1016"/>
        <v>610983087.52306914</v>
      </c>
      <c r="S934">
        <f t="shared" si="1017"/>
        <v>6109.8308752306912</v>
      </c>
      <c r="T934">
        <f t="shared" si="1018"/>
        <v>6.1098308752306911</v>
      </c>
    </row>
    <row r="935" spans="1:20" x14ac:dyDescent="0.25">
      <c r="A935" s="5">
        <v>43658</v>
      </c>
      <c r="B935">
        <v>9.4710000000000003E-3</v>
      </c>
      <c r="C935">
        <v>9.8840000000000004E-3</v>
      </c>
      <c r="D935">
        <v>8.907E-3</v>
      </c>
      <c r="E935">
        <v>9.7479999999999997E-3</v>
      </c>
      <c r="F935">
        <v>92971128</v>
      </c>
      <c r="G935">
        <v>0</v>
      </c>
      <c r="L935" t="s">
        <v>7</v>
      </c>
      <c r="M935" t="s">
        <v>7</v>
      </c>
      <c r="N935" t="s">
        <v>7</v>
      </c>
      <c r="P935">
        <f t="shared" si="1014"/>
        <v>0.7215967246673477</v>
      </c>
      <c r="Q935">
        <f t="shared" si="1015"/>
        <v>67087661.453428738</v>
      </c>
      <c r="R935">
        <f t="shared" si="1016"/>
        <v>613133887.41170287</v>
      </c>
      <c r="S935">
        <f t="shared" si="1017"/>
        <v>6131.3388741170284</v>
      </c>
      <c r="T935">
        <f t="shared" si="1018"/>
        <v>6.131338874117028</v>
      </c>
    </row>
    <row r="936" spans="1:20" x14ac:dyDescent="0.25">
      <c r="A936" s="5">
        <v>43657</v>
      </c>
      <c r="B936">
        <v>1.1270000000000001E-2</v>
      </c>
      <c r="C936">
        <v>1.2537E-2</v>
      </c>
      <c r="D936">
        <v>9.1500000000000001E-3</v>
      </c>
      <c r="E936">
        <v>9.4479999999999998E-3</v>
      </c>
      <c r="F936">
        <v>196155173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-0.82403306761145578</v>
      </c>
      <c r="Q936">
        <f t="shared" si="1015"/>
        <v>-161638348.93504581</v>
      </c>
      <c r="R936">
        <f t="shared" si="1016"/>
        <v>546046225.95827413</v>
      </c>
      <c r="S936">
        <f t="shared" si="1017"/>
        <v>5460.4622595827414</v>
      </c>
      <c r="T936">
        <f t="shared" si="1018"/>
        <v>5.4604622595827417</v>
      </c>
    </row>
    <row r="937" spans="1:20" x14ac:dyDescent="0.25">
      <c r="A937" s="5">
        <v>43656</v>
      </c>
      <c r="B937">
        <v>1.2475E-2</v>
      </c>
      <c r="C937">
        <v>1.2623000000000001E-2</v>
      </c>
      <c r="D937">
        <v>1.0357E-2</v>
      </c>
      <c r="E937">
        <v>1.1280999999999999E-2</v>
      </c>
      <c r="F937">
        <v>102812869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-0.18446601941747642</v>
      </c>
      <c r="Q937">
        <f t="shared" si="1015"/>
        <v>-18965480.68932046</v>
      </c>
      <c r="R937">
        <f t="shared" si="1016"/>
        <v>707684574.89331996</v>
      </c>
      <c r="S937">
        <f t="shared" si="1017"/>
        <v>7076.8457489331995</v>
      </c>
      <c r="T937">
        <f t="shared" si="1018"/>
        <v>7.0768457489331995</v>
      </c>
    </row>
    <row r="938" spans="1:20" x14ac:dyDescent="0.25">
      <c r="A938" s="5">
        <v>43655</v>
      </c>
      <c r="B938">
        <v>1.3379E-2</v>
      </c>
      <c r="C938">
        <v>1.3488999999999999E-2</v>
      </c>
      <c r="D938">
        <v>1.231E-2</v>
      </c>
      <c r="E938">
        <v>1.2456E-2</v>
      </c>
      <c r="F938">
        <v>46145402</v>
      </c>
      <c r="G938">
        <v>0</v>
      </c>
      <c r="L938" t="s">
        <v>7</v>
      </c>
      <c r="M938" t="s">
        <v>7</v>
      </c>
      <c r="N938" t="s">
        <v>8</v>
      </c>
      <c r="P938">
        <f t="shared" si="1014"/>
        <v>-0.75233248515691198</v>
      </c>
      <c r="Q938">
        <f t="shared" si="1015"/>
        <v>-34716684.965224735</v>
      </c>
      <c r="R938">
        <f t="shared" si="1016"/>
        <v>726650055.58264041</v>
      </c>
      <c r="S938">
        <f t="shared" si="1017"/>
        <v>7266.5005558264038</v>
      </c>
      <c r="T938">
        <f t="shared" si="1018"/>
        <v>7.2665005558264042</v>
      </c>
    </row>
    <row r="939" spans="1:20" x14ac:dyDescent="0.25">
      <c r="A939" s="5">
        <v>43654</v>
      </c>
      <c r="B939">
        <v>1.3117E-2</v>
      </c>
      <c r="C939">
        <v>1.3728000000000001E-2</v>
      </c>
      <c r="D939">
        <v>1.2906000000000001E-2</v>
      </c>
      <c r="E939">
        <v>1.3384E-2</v>
      </c>
      <c r="F939">
        <v>42234934</v>
      </c>
      <c r="G939">
        <v>0</v>
      </c>
      <c r="L939" t="s">
        <v>8</v>
      </c>
      <c r="M939" t="s">
        <v>8</v>
      </c>
      <c r="N939" t="s">
        <v>8</v>
      </c>
      <c r="P939">
        <f t="shared" si="1014"/>
        <v>0.16301703163016878</v>
      </c>
      <c r="Q939">
        <f t="shared" si="1015"/>
        <v>6885013.5717760911</v>
      </c>
      <c r="R939">
        <f t="shared" si="1016"/>
        <v>761366740.54786515</v>
      </c>
      <c r="S939">
        <f t="shared" si="1017"/>
        <v>7613.6674054786517</v>
      </c>
      <c r="T939">
        <f t="shared" si="1018"/>
        <v>7.613667405478652</v>
      </c>
    </row>
    <row r="940" spans="1:20" x14ac:dyDescent="0.25">
      <c r="A940" s="5">
        <v>43653</v>
      </c>
      <c r="B940">
        <v>1.3017000000000001E-2</v>
      </c>
      <c r="C940">
        <v>1.3429999999999999E-2</v>
      </c>
      <c r="D940">
        <v>1.2711E-2</v>
      </c>
      <c r="E940">
        <v>1.3139E-2</v>
      </c>
      <c r="F940">
        <v>34838952</v>
      </c>
      <c r="G940">
        <v>0</v>
      </c>
      <c r="L940" t="s">
        <v>7</v>
      </c>
      <c r="M940" t="s">
        <v>8</v>
      </c>
      <c r="N940" t="s">
        <v>8</v>
      </c>
      <c r="P940">
        <f t="shared" si="1014"/>
        <v>0.1905424200278166</v>
      </c>
      <c r="Q940">
        <f t="shared" si="1015"/>
        <v>6638298.2253129408</v>
      </c>
      <c r="R940">
        <f t="shared" si="1016"/>
        <v>754481726.97608912</v>
      </c>
      <c r="S940">
        <f t="shared" si="1017"/>
        <v>7544.8172697608916</v>
      </c>
      <c r="T940">
        <f t="shared" si="1018"/>
        <v>7.544817269760892</v>
      </c>
    </row>
    <row r="941" spans="1:20" x14ac:dyDescent="0.25">
      <c r="A941" s="5">
        <v>43652</v>
      </c>
      <c r="B941">
        <v>1.213E-2</v>
      </c>
      <c r="C941">
        <v>1.4500000000000001E-2</v>
      </c>
      <c r="D941">
        <v>1.213E-2</v>
      </c>
      <c r="E941">
        <v>1.303E-2</v>
      </c>
      <c r="F941">
        <v>87605936</v>
      </c>
      <c r="G941">
        <v>0</v>
      </c>
      <c r="L941" t="s">
        <v>8</v>
      </c>
      <c r="M941" t="s">
        <v>8</v>
      </c>
      <c r="N941" t="s">
        <v>8</v>
      </c>
      <c r="P941">
        <f t="shared" si="1014"/>
        <v>-0.24050632911392444</v>
      </c>
      <c r="Q941">
        <f t="shared" si="1015"/>
        <v>-21069782.075949401</v>
      </c>
      <c r="R941">
        <f t="shared" si="1016"/>
        <v>747843428.75077617</v>
      </c>
      <c r="S941">
        <f t="shared" si="1017"/>
        <v>7478.4342875077618</v>
      </c>
      <c r="T941">
        <f t="shared" si="1018"/>
        <v>7.4784342875077616</v>
      </c>
    </row>
    <row r="942" spans="1:20" x14ac:dyDescent="0.25">
      <c r="A942" s="5">
        <v>43651</v>
      </c>
      <c r="B942">
        <v>1.209E-2</v>
      </c>
      <c r="C942">
        <v>1.2317E-2</v>
      </c>
      <c r="D942">
        <v>1.1936E-2</v>
      </c>
      <c r="E942">
        <v>1.2175999999999999E-2</v>
      </c>
      <c r="F942">
        <v>15078755</v>
      </c>
      <c r="G942">
        <v>0</v>
      </c>
      <c r="L942" t="s">
        <v>7</v>
      </c>
      <c r="M942" t="s">
        <v>7</v>
      </c>
      <c r="N942" t="s">
        <v>8</v>
      </c>
      <c r="P942">
        <f t="shared" si="1014"/>
        <v>0.25984251968503558</v>
      </c>
      <c r="Q942">
        <f t="shared" si="1015"/>
        <v>3918101.6929133288</v>
      </c>
      <c r="R942">
        <f t="shared" si="1016"/>
        <v>768913210.8267256</v>
      </c>
      <c r="S942">
        <f t="shared" si="1017"/>
        <v>7689.1321082672557</v>
      </c>
      <c r="T942">
        <f t="shared" si="1018"/>
        <v>7.6891321082672555</v>
      </c>
    </row>
    <row r="943" spans="1:20" x14ac:dyDescent="0.25">
      <c r="A943" s="5">
        <v>43650</v>
      </c>
      <c r="B943">
        <v>1.2829999999999999E-2</v>
      </c>
      <c r="C943">
        <v>1.286E-2</v>
      </c>
      <c r="D943">
        <v>1.2001E-2</v>
      </c>
      <c r="E943">
        <v>1.2104E-2</v>
      </c>
      <c r="F943">
        <v>36931517</v>
      </c>
      <c r="G943">
        <v>0</v>
      </c>
      <c r="L943" t="s">
        <v>7</v>
      </c>
      <c r="M943" t="s">
        <v>7</v>
      </c>
      <c r="N943" t="s">
        <v>8</v>
      </c>
      <c r="P943">
        <f t="shared" si="1014"/>
        <v>-0.76018626309662252</v>
      </c>
      <c r="Q943">
        <f t="shared" si="1015"/>
        <v>-28074831.898719385</v>
      </c>
      <c r="R943">
        <f t="shared" si="1016"/>
        <v>764995109.13381231</v>
      </c>
      <c r="S943">
        <f t="shared" si="1017"/>
        <v>7649.9510913381228</v>
      </c>
      <c r="T943">
        <f t="shared" si="1018"/>
        <v>7.6499510913381226</v>
      </c>
    </row>
    <row r="944" spans="1:20" x14ac:dyDescent="0.25">
      <c r="A944" s="5">
        <v>43649</v>
      </c>
      <c r="B944">
        <v>1.2177E-2</v>
      </c>
      <c r="C944">
        <v>1.2985E-2</v>
      </c>
      <c r="D944">
        <v>1.2045999999999999E-2</v>
      </c>
      <c r="E944">
        <v>1.2822999999999999E-2</v>
      </c>
      <c r="F944">
        <v>53478775</v>
      </c>
      <c r="G944">
        <v>0</v>
      </c>
      <c r="L944" t="s">
        <v>8</v>
      </c>
      <c r="M944" t="s">
        <v>7</v>
      </c>
      <c r="N944" t="s">
        <v>8</v>
      </c>
      <c r="P944">
        <f t="shared" si="1014"/>
        <v>0.65495207667731503</v>
      </c>
      <c r="Q944">
        <f t="shared" si="1015"/>
        <v>35026034.744408876</v>
      </c>
      <c r="R944">
        <f t="shared" si="1016"/>
        <v>793069941.03253174</v>
      </c>
      <c r="S944">
        <f t="shared" si="1017"/>
        <v>7930.6994103253173</v>
      </c>
      <c r="T944">
        <f t="shared" si="1018"/>
        <v>7.9306994103253174</v>
      </c>
    </row>
    <row r="945" spans="1:20" x14ac:dyDescent="0.25">
      <c r="A945" s="5">
        <v>43648</v>
      </c>
      <c r="B945">
        <v>1.2484E-2</v>
      </c>
      <c r="C945">
        <v>1.2507000000000001E-2</v>
      </c>
      <c r="D945">
        <v>1.17E-2</v>
      </c>
      <c r="E945">
        <v>1.2152E-2</v>
      </c>
      <c r="F945">
        <v>75932163</v>
      </c>
      <c r="G945">
        <v>0</v>
      </c>
      <c r="L945" t="s">
        <v>7</v>
      </c>
      <c r="M945" t="s">
        <v>7</v>
      </c>
      <c r="N945" t="s">
        <v>8</v>
      </c>
      <c r="P945">
        <f t="shared" si="1014"/>
        <v>0.12019826517967544</v>
      </c>
      <c r="Q945">
        <f t="shared" si="1015"/>
        <v>9126914.2639403399</v>
      </c>
      <c r="R945">
        <f t="shared" si="1016"/>
        <v>758043906.28812289</v>
      </c>
      <c r="S945">
        <f t="shared" si="1017"/>
        <v>7580.4390628812289</v>
      </c>
      <c r="T945">
        <f t="shared" si="1018"/>
        <v>7.5804390628812293</v>
      </c>
    </row>
    <row r="946" spans="1:20" x14ac:dyDescent="0.25">
      <c r="A946" s="5">
        <v>43647</v>
      </c>
      <c r="B946">
        <v>1.259E-2</v>
      </c>
      <c r="C946">
        <v>1.3089E-2</v>
      </c>
      <c r="D946">
        <v>1.1721000000000001E-2</v>
      </c>
      <c r="E946">
        <v>1.2470999999999999E-2</v>
      </c>
      <c r="F946">
        <v>90852707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9.6491228070174337E-2</v>
      </c>
      <c r="Q946">
        <f t="shared" si="1015"/>
        <v>8766489.2719297241</v>
      </c>
      <c r="R946">
        <f t="shared" si="1016"/>
        <v>748916992.02418256</v>
      </c>
      <c r="S946">
        <f t="shared" si="1017"/>
        <v>7489.1699202418258</v>
      </c>
      <c r="T946">
        <f t="shared" si="1018"/>
        <v>7.4891699202418263</v>
      </c>
    </row>
    <row r="947" spans="1:20" x14ac:dyDescent="0.25">
      <c r="A947" s="5">
        <v>43646</v>
      </c>
      <c r="B947">
        <v>1.3747000000000001E-2</v>
      </c>
      <c r="C947">
        <v>1.3849E-2</v>
      </c>
      <c r="D947">
        <v>1.239E-2</v>
      </c>
      <c r="E947">
        <v>1.2544E-2</v>
      </c>
      <c r="F947">
        <v>68994454</v>
      </c>
      <c r="G947">
        <v>0</v>
      </c>
      <c r="L947" t="s">
        <v>7</v>
      </c>
      <c r="M947" t="s">
        <v>8</v>
      </c>
      <c r="N947" t="s">
        <v>8</v>
      </c>
      <c r="P947">
        <f t="shared" si="1014"/>
        <v>-0.78889650445510684</v>
      </c>
      <c r="Q947">
        <f t="shared" si="1015"/>
        <v>-54429483.587388664</v>
      </c>
      <c r="R947">
        <f t="shared" si="1016"/>
        <v>740150502.75225282</v>
      </c>
      <c r="S947">
        <f t="shared" si="1017"/>
        <v>7401.5050275225285</v>
      </c>
      <c r="T947">
        <f t="shared" si="1018"/>
        <v>7.4015050275225285</v>
      </c>
    </row>
    <row r="948" spans="1:20" x14ac:dyDescent="0.25">
      <c r="A948" s="5">
        <v>43645</v>
      </c>
      <c r="B948">
        <v>1.3072E-2</v>
      </c>
      <c r="C948">
        <v>1.3905000000000001E-2</v>
      </c>
      <c r="D948">
        <v>1.2769000000000001E-2</v>
      </c>
      <c r="E948">
        <v>1.3755E-2</v>
      </c>
      <c r="F948">
        <v>59242560</v>
      </c>
      <c r="G948">
        <v>0</v>
      </c>
      <c r="L948" t="s">
        <v>8</v>
      </c>
      <c r="M948" t="s">
        <v>8</v>
      </c>
      <c r="N948" t="s">
        <v>8</v>
      </c>
      <c r="P948">
        <f t="shared" si="1014"/>
        <v>0.73591549295774494</v>
      </c>
      <c r="Q948">
        <f t="shared" si="1015"/>
        <v>43597517.746478781</v>
      </c>
      <c r="R948">
        <f t="shared" si="1016"/>
        <v>794579986.33964145</v>
      </c>
      <c r="S948">
        <f t="shared" si="1017"/>
        <v>7945.7998633964144</v>
      </c>
      <c r="T948">
        <f t="shared" si="1018"/>
        <v>7.945799863396414</v>
      </c>
    </row>
    <row r="949" spans="1:20" x14ac:dyDescent="0.25">
      <c r="A949" s="5">
        <v>43644</v>
      </c>
      <c r="B949">
        <v>1.2256E-2</v>
      </c>
      <c r="C949">
        <v>1.3346999999999999E-2</v>
      </c>
      <c r="D949">
        <v>1.2194999999999999E-2</v>
      </c>
      <c r="E949">
        <v>1.3070999999999999E-2</v>
      </c>
      <c r="F949">
        <v>106215954</v>
      </c>
      <c r="G949">
        <v>0</v>
      </c>
      <c r="L949" t="s">
        <v>8</v>
      </c>
      <c r="M949" t="s">
        <v>7</v>
      </c>
      <c r="N949" t="s">
        <v>8</v>
      </c>
      <c r="P949">
        <f t="shared" si="1014"/>
        <v>0.52083333333333304</v>
      </c>
      <c r="Q949">
        <f t="shared" si="1015"/>
        <v>55320809.37499997</v>
      </c>
      <c r="R949">
        <f t="shared" si="1016"/>
        <v>750982468.59316266</v>
      </c>
      <c r="S949">
        <f t="shared" si="1017"/>
        <v>7509.8246859316268</v>
      </c>
      <c r="T949">
        <f t="shared" si="1018"/>
        <v>7.5098246859316271</v>
      </c>
    </row>
    <row r="950" spans="1:20" x14ac:dyDescent="0.25">
      <c r="A950" s="5">
        <v>43643</v>
      </c>
      <c r="B950">
        <v>1.3599E-2</v>
      </c>
      <c r="C950">
        <v>1.3657000000000001E-2</v>
      </c>
      <c r="D950">
        <v>1.1753E-2</v>
      </c>
      <c r="E950">
        <v>1.2256E-2</v>
      </c>
      <c r="F950">
        <v>169633765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-0.47163865546218525</v>
      </c>
      <c r="Q950">
        <f t="shared" si="1015"/>
        <v>-80005840.845588297</v>
      </c>
      <c r="R950">
        <f t="shared" si="1016"/>
        <v>695661659.21816266</v>
      </c>
      <c r="S950">
        <f t="shared" si="1017"/>
        <v>6956.6165921816264</v>
      </c>
      <c r="T950">
        <f t="shared" si="1018"/>
        <v>6.9566165921816268</v>
      </c>
    </row>
    <row r="951" spans="1:20" x14ac:dyDescent="0.25">
      <c r="A951" s="5">
        <v>43642</v>
      </c>
      <c r="B951">
        <v>1.4052E-2</v>
      </c>
      <c r="C951">
        <v>1.5141999999999999E-2</v>
      </c>
      <c r="D951">
        <v>1.3037999999999999E-2</v>
      </c>
      <c r="E951">
        <v>1.3599E-2</v>
      </c>
      <c r="F951">
        <v>264197731</v>
      </c>
      <c r="G951">
        <v>0</v>
      </c>
      <c r="L951" t="s">
        <v>8</v>
      </c>
      <c r="M951" t="s">
        <v>8</v>
      </c>
      <c r="N951" t="s">
        <v>8</v>
      </c>
      <c r="P951">
        <f t="shared" si="1014"/>
        <v>-0.46673003802281299</v>
      </c>
      <c r="Q951">
        <f t="shared" si="1015"/>
        <v>-123309017.03517091</v>
      </c>
      <c r="R951">
        <f t="shared" si="1016"/>
        <v>775667500.06375098</v>
      </c>
      <c r="S951">
        <f t="shared" si="1017"/>
        <v>7756.6750006375096</v>
      </c>
      <c r="T951">
        <f t="shared" si="1018"/>
        <v>7.7566750006375091</v>
      </c>
    </row>
    <row r="952" spans="1:20" x14ac:dyDescent="0.25">
      <c r="A952" s="5">
        <v>43641</v>
      </c>
      <c r="B952">
        <v>1.3157E-2</v>
      </c>
      <c r="C952">
        <v>1.4399E-2</v>
      </c>
      <c r="D952">
        <v>1.3086E-2</v>
      </c>
      <c r="E952">
        <v>1.4062E-2</v>
      </c>
      <c r="F952">
        <v>192449115</v>
      </c>
      <c r="G952">
        <v>0</v>
      </c>
      <c r="L952" t="s">
        <v>8</v>
      </c>
      <c r="M952" t="s">
        <v>8</v>
      </c>
      <c r="N952" t="s">
        <v>8</v>
      </c>
      <c r="P952">
        <f t="shared" si="1014"/>
        <v>0.48667174409748587</v>
      </c>
      <c r="Q952">
        <f t="shared" si="1015"/>
        <v>93659546.447067633</v>
      </c>
      <c r="R952">
        <f t="shared" si="1016"/>
        <v>898976517.0989219</v>
      </c>
      <c r="S952">
        <f t="shared" si="1017"/>
        <v>8989.7651709892198</v>
      </c>
      <c r="T952">
        <f t="shared" si="1018"/>
        <v>8.9897651709892195</v>
      </c>
    </row>
    <row r="953" spans="1:20" x14ac:dyDescent="0.25">
      <c r="A953" s="5">
        <v>43640</v>
      </c>
      <c r="B953">
        <v>1.2159E-2</v>
      </c>
      <c r="C953">
        <v>1.3864E-2</v>
      </c>
      <c r="D953">
        <v>1.1703E-2</v>
      </c>
      <c r="E953">
        <v>1.312E-2</v>
      </c>
      <c r="F953">
        <v>181910575</v>
      </c>
      <c r="G953">
        <v>0</v>
      </c>
      <c r="L953" t="s">
        <v>8</v>
      </c>
      <c r="M953" t="s">
        <v>8</v>
      </c>
      <c r="N953" t="s">
        <v>8</v>
      </c>
      <c r="P953">
        <f t="shared" si="1014"/>
        <v>0.31142989356779271</v>
      </c>
      <c r="Q953">
        <f t="shared" si="1015"/>
        <v>56652391.011105977</v>
      </c>
      <c r="R953">
        <f t="shared" si="1016"/>
        <v>805316970.65185428</v>
      </c>
      <c r="S953">
        <f t="shared" si="1017"/>
        <v>8053.1697065185426</v>
      </c>
      <c r="T953">
        <f t="shared" si="1018"/>
        <v>8.0531697065185419</v>
      </c>
    </row>
    <row r="954" spans="1:20" x14ac:dyDescent="0.25">
      <c r="A954" s="5">
        <v>43639</v>
      </c>
      <c r="B954">
        <v>1.2182999999999999E-2</v>
      </c>
      <c r="C954">
        <v>1.2694E-2</v>
      </c>
      <c r="D954">
        <v>1.1967E-2</v>
      </c>
      <c r="E954">
        <v>1.2166E-2</v>
      </c>
      <c r="F954">
        <v>72203346</v>
      </c>
      <c r="G954">
        <v>0</v>
      </c>
      <c r="L954" t="s">
        <v>8</v>
      </c>
      <c r="M954" t="s">
        <v>8</v>
      </c>
      <c r="N954" t="s">
        <v>7</v>
      </c>
      <c r="P954">
        <f t="shared" si="1014"/>
        <v>-0.45254470426410048</v>
      </c>
      <c r="Q954">
        <f t="shared" si="1015"/>
        <v>-32675241.862448521</v>
      </c>
      <c r="R954">
        <f t="shared" si="1016"/>
        <v>748664579.64074826</v>
      </c>
      <c r="S954">
        <f t="shared" si="1017"/>
        <v>7486.6457964074825</v>
      </c>
      <c r="T954">
        <f t="shared" si="1018"/>
        <v>7.4866457964074824</v>
      </c>
    </row>
    <row r="955" spans="1:20" x14ac:dyDescent="0.25">
      <c r="A955" s="5">
        <v>43638</v>
      </c>
      <c r="B955">
        <v>1.1592999999999999E-2</v>
      </c>
      <c r="C955">
        <v>1.2529999999999999E-2</v>
      </c>
      <c r="D955">
        <v>1.1446E-2</v>
      </c>
      <c r="E955">
        <v>1.2227E-2</v>
      </c>
      <c r="F955">
        <v>133163395</v>
      </c>
      <c r="G955">
        <v>0</v>
      </c>
      <c r="L955" t="s">
        <v>8</v>
      </c>
      <c r="M955" t="s">
        <v>8</v>
      </c>
      <c r="N955" t="s">
        <v>7</v>
      </c>
      <c r="P955">
        <f t="shared" si="1014"/>
        <v>0.44095940959409691</v>
      </c>
      <c r="Q955">
        <f t="shared" si="1015"/>
        <v>58719652.038745515</v>
      </c>
      <c r="R955">
        <f t="shared" si="1016"/>
        <v>781339821.50319684</v>
      </c>
      <c r="S955">
        <f t="shared" si="1017"/>
        <v>7813.398215031968</v>
      </c>
      <c r="T955">
        <f t="shared" si="1018"/>
        <v>7.8133982150319676</v>
      </c>
    </row>
    <row r="956" spans="1:20" x14ac:dyDescent="0.25">
      <c r="A956" s="5">
        <v>43637</v>
      </c>
      <c r="B956">
        <v>1.172E-2</v>
      </c>
      <c r="C956">
        <v>1.2042000000000001E-2</v>
      </c>
      <c r="D956">
        <v>1.1348E-2</v>
      </c>
      <c r="E956">
        <v>1.1639999999999999E-2</v>
      </c>
      <c r="F956">
        <v>54372407</v>
      </c>
      <c r="G956">
        <v>0</v>
      </c>
      <c r="L956" t="s">
        <v>7</v>
      </c>
      <c r="M956" t="s">
        <v>8</v>
      </c>
      <c r="N956" t="s">
        <v>7</v>
      </c>
      <c r="P956">
        <f t="shared" si="1014"/>
        <v>-0.1585014409221937</v>
      </c>
      <c r="Q956">
        <f t="shared" si="1015"/>
        <v>-8618104.855907971</v>
      </c>
      <c r="R956">
        <f t="shared" si="1016"/>
        <v>722620169.46445131</v>
      </c>
      <c r="S956">
        <f t="shared" si="1017"/>
        <v>7226.2016946445128</v>
      </c>
      <c r="T956">
        <f t="shared" si="1018"/>
        <v>7.2262016946445131</v>
      </c>
    </row>
    <row r="957" spans="1:20" x14ac:dyDescent="0.25">
      <c r="A957" s="5">
        <v>43636</v>
      </c>
      <c r="B957">
        <v>1.2031999999999999E-2</v>
      </c>
      <c r="C957">
        <v>1.2536E-2</v>
      </c>
      <c r="D957">
        <v>1.1521E-2</v>
      </c>
      <c r="E957">
        <v>1.1716000000000001E-2</v>
      </c>
      <c r="F957">
        <v>66373731</v>
      </c>
      <c r="G957">
        <v>0</v>
      </c>
      <c r="L957" t="s">
        <v>7</v>
      </c>
      <c r="M957" t="s">
        <v>8</v>
      </c>
      <c r="N957" t="s">
        <v>7</v>
      </c>
      <c r="P957">
        <f t="shared" si="1014"/>
        <v>-0.61576354679802825</v>
      </c>
      <c r="Q957">
        <f t="shared" si="1015"/>
        <v>-40870524.014778242</v>
      </c>
      <c r="R957">
        <f t="shared" si="1016"/>
        <v>731238274.32035923</v>
      </c>
      <c r="S957">
        <f t="shared" si="1017"/>
        <v>7312.3827432035923</v>
      </c>
      <c r="T957">
        <f t="shared" si="1018"/>
        <v>7.3123827432035924</v>
      </c>
    </row>
    <row r="958" spans="1:20" x14ac:dyDescent="0.25">
      <c r="A958" s="5">
        <v>43635</v>
      </c>
      <c r="B958">
        <v>1.2102999999999999E-2</v>
      </c>
      <c r="C958">
        <v>1.217E-2</v>
      </c>
      <c r="D958">
        <v>1.1896E-2</v>
      </c>
      <c r="E958">
        <v>1.2059E-2</v>
      </c>
      <c r="F958">
        <v>37315166</v>
      </c>
      <c r="G958">
        <v>0</v>
      </c>
      <c r="L958" t="s">
        <v>7</v>
      </c>
      <c r="M958" t="s">
        <v>8</v>
      </c>
      <c r="N958" t="s">
        <v>7</v>
      </c>
      <c r="P958">
        <f t="shared" si="1014"/>
        <v>0.18978102189781013</v>
      </c>
      <c r="Q958">
        <f t="shared" si="1015"/>
        <v>7081710.3357664198</v>
      </c>
      <c r="R958">
        <f t="shared" si="1016"/>
        <v>772108798.33513749</v>
      </c>
      <c r="S958">
        <f t="shared" si="1017"/>
        <v>7721.0879833513745</v>
      </c>
      <c r="T958">
        <f t="shared" si="1018"/>
        <v>7.7210879833513744</v>
      </c>
    </row>
    <row r="959" spans="1:20" x14ac:dyDescent="0.25">
      <c r="A959" s="5">
        <v>43634</v>
      </c>
      <c r="B959">
        <v>1.2982E-2</v>
      </c>
      <c r="C959">
        <v>1.3050000000000001E-2</v>
      </c>
      <c r="D959">
        <v>1.1643000000000001E-2</v>
      </c>
      <c r="E959">
        <v>1.2054E-2</v>
      </c>
      <c r="F959">
        <v>99597320</v>
      </c>
      <c r="G959">
        <v>0</v>
      </c>
      <c r="L959" t="s">
        <v>7</v>
      </c>
      <c r="M959" t="s">
        <v>8</v>
      </c>
      <c r="N959" t="s">
        <v>7</v>
      </c>
      <c r="P959">
        <f t="shared" ref="P959:P1022" si="1019">IF(C959=D959,0,((E959-D959)-(C959-E959))/(C959-D959))</f>
        <v>-0.41577825159914739</v>
      </c>
      <c r="Q959">
        <f t="shared" ref="Q959:Q1022" si="1020">F959*P959</f>
        <v>-41410399.573560797</v>
      </c>
      <c r="R959">
        <f t="shared" ref="R959:R1022" si="1021">R960+Q959</f>
        <v>765027087.99937105</v>
      </c>
      <c r="S959">
        <f t="shared" ref="S959:S1022" si="1022">R959/100000</f>
        <v>7650.2708799937109</v>
      </c>
      <c r="T959">
        <f t="shared" ref="T959:T1022" si="1023">S959/1000</f>
        <v>7.6502708799937107</v>
      </c>
    </row>
    <row r="960" spans="1:20" x14ac:dyDescent="0.25">
      <c r="A960" s="5">
        <v>43633</v>
      </c>
      <c r="B960">
        <v>1.1722E-2</v>
      </c>
      <c r="C960">
        <v>1.3351999999999999E-2</v>
      </c>
      <c r="D960">
        <v>1.1705999999999999E-2</v>
      </c>
      <c r="E960">
        <v>1.2999E-2</v>
      </c>
      <c r="F960">
        <v>165262704</v>
      </c>
      <c r="G960">
        <v>0</v>
      </c>
      <c r="L960" t="s">
        <v>8</v>
      </c>
      <c r="M960" t="s">
        <v>8</v>
      </c>
      <c r="N960" t="s">
        <v>7</v>
      </c>
      <c r="P960">
        <f t="shared" si="1019"/>
        <v>0.57108140947752228</v>
      </c>
      <c r="Q960">
        <f t="shared" si="1020"/>
        <v>94378457.934386566</v>
      </c>
      <c r="R960">
        <f t="shared" si="1021"/>
        <v>806437487.57293189</v>
      </c>
      <c r="S960">
        <f t="shared" si="1022"/>
        <v>8064.3748757293188</v>
      </c>
      <c r="T960">
        <f t="shared" si="1023"/>
        <v>8.0643748757293192</v>
      </c>
    </row>
    <row r="961" spans="1:20" x14ac:dyDescent="0.25">
      <c r="A961" s="5">
        <v>43632</v>
      </c>
      <c r="B961">
        <v>1.1636000000000001E-2</v>
      </c>
      <c r="C961">
        <v>1.1793E-2</v>
      </c>
      <c r="D961">
        <v>1.1405999999999999E-2</v>
      </c>
      <c r="E961">
        <v>1.1717999999999999E-2</v>
      </c>
      <c r="F961">
        <v>66271160</v>
      </c>
      <c r="G961">
        <v>0</v>
      </c>
      <c r="L961" t="s">
        <v>8</v>
      </c>
      <c r="M961" t="s">
        <v>8</v>
      </c>
      <c r="N961" t="s">
        <v>7</v>
      </c>
      <c r="P961">
        <f t="shared" si="1019"/>
        <v>0.61240310077519189</v>
      </c>
      <c r="Q961">
        <f t="shared" si="1020"/>
        <v>40584663.875968866</v>
      </c>
      <c r="R961">
        <f t="shared" si="1021"/>
        <v>712059029.63854527</v>
      </c>
      <c r="S961">
        <f t="shared" si="1022"/>
        <v>7120.5902963854523</v>
      </c>
      <c r="T961">
        <f t="shared" si="1023"/>
        <v>7.1205902963854522</v>
      </c>
    </row>
    <row r="962" spans="1:20" x14ac:dyDescent="0.25">
      <c r="A962" s="5">
        <v>43631</v>
      </c>
      <c r="B962">
        <v>1.1493E-2</v>
      </c>
      <c r="C962">
        <v>1.18E-2</v>
      </c>
      <c r="D962">
        <v>1.1287999999999999E-2</v>
      </c>
      <c r="E962">
        <v>1.1629E-2</v>
      </c>
      <c r="F962">
        <v>57356080</v>
      </c>
      <c r="G962">
        <v>0</v>
      </c>
      <c r="L962" t="s">
        <v>8</v>
      </c>
      <c r="M962" t="s">
        <v>8</v>
      </c>
      <c r="N962" t="s">
        <v>7</v>
      </c>
      <c r="P962">
        <f t="shared" si="1019"/>
        <v>0.33203125000000322</v>
      </c>
      <c r="Q962">
        <f t="shared" si="1020"/>
        <v>19044010.937500186</v>
      </c>
      <c r="R962">
        <f t="shared" si="1021"/>
        <v>671474365.76257646</v>
      </c>
      <c r="S962">
        <f t="shared" si="1022"/>
        <v>6714.7436576257642</v>
      </c>
      <c r="T962">
        <f t="shared" si="1023"/>
        <v>6.714743657625764</v>
      </c>
    </row>
    <row r="963" spans="1:20" x14ac:dyDescent="0.25">
      <c r="A963" s="5">
        <v>43630</v>
      </c>
      <c r="B963">
        <v>1.1537E-2</v>
      </c>
      <c r="C963">
        <v>1.1860000000000001E-2</v>
      </c>
      <c r="D963">
        <v>1.1035E-2</v>
      </c>
      <c r="E963">
        <v>1.1521999999999999E-2</v>
      </c>
      <c r="F963">
        <v>65980266</v>
      </c>
      <c r="G963">
        <v>0</v>
      </c>
      <c r="L963" t="s">
        <v>8</v>
      </c>
      <c r="M963" t="s">
        <v>8</v>
      </c>
      <c r="N963" t="s">
        <v>7</v>
      </c>
      <c r="P963">
        <f t="shared" si="1019"/>
        <v>0.18060606060605805</v>
      </c>
      <c r="Q963">
        <f t="shared" si="1020"/>
        <v>11916435.91999983</v>
      </c>
      <c r="R963">
        <f t="shared" si="1021"/>
        <v>652430354.82507622</v>
      </c>
      <c r="S963">
        <f t="shared" si="1022"/>
        <v>6524.3035482507621</v>
      </c>
      <c r="T963">
        <f t="shared" si="1023"/>
        <v>6.5243035482507619</v>
      </c>
    </row>
    <row r="964" spans="1:20" x14ac:dyDescent="0.25">
      <c r="A964" s="5">
        <v>43629</v>
      </c>
      <c r="B964">
        <v>1.1481999999999999E-2</v>
      </c>
      <c r="C964">
        <v>1.1771E-2</v>
      </c>
      <c r="D964">
        <v>1.1365E-2</v>
      </c>
      <c r="E964">
        <v>1.1534000000000001E-2</v>
      </c>
      <c r="F964">
        <v>80978325</v>
      </c>
      <c r="G964">
        <v>0</v>
      </c>
      <c r="L964" t="s">
        <v>7</v>
      </c>
      <c r="M964" t="s">
        <v>8</v>
      </c>
      <c r="N964" t="s">
        <v>7</v>
      </c>
      <c r="P964">
        <f t="shared" si="1019"/>
        <v>-0.16748768472906059</v>
      </c>
      <c r="Q964">
        <f t="shared" si="1020"/>
        <v>-13562872.167487405</v>
      </c>
      <c r="R964">
        <f t="shared" si="1021"/>
        <v>640513918.90507638</v>
      </c>
      <c r="S964">
        <f t="shared" si="1022"/>
        <v>6405.1391890507639</v>
      </c>
      <c r="T964">
        <f t="shared" si="1023"/>
        <v>6.4051391890507636</v>
      </c>
    </row>
    <row r="965" spans="1:20" x14ac:dyDescent="0.25">
      <c r="A965" s="5">
        <v>43628</v>
      </c>
      <c r="B965">
        <v>1.1285E-2</v>
      </c>
      <c r="C965">
        <v>1.1606999999999999E-2</v>
      </c>
      <c r="D965">
        <v>1.1114000000000001E-2</v>
      </c>
      <c r="E965">
        <v>1.1492E-2</v>
      </c>
      <c r="F965">
        <v>72329188</v>
      </c>
      <c r="G965">
        <v>0</v>
      </c>
      <c r="L965" t="s">
        <v>7</v>
      </c>
      <c r="M965" t="s">
        <v>8</v>
      </c>
      <c r="N965" t="s">
        <v>7</v>
      </c>
      <c r="P965">
        <f t="shared" si="1019"/>
        <v>0.53346855983773189</v>
      </c>
      <c r="Q965">
        <f t="shared" si="1020"/>
        <v>38585347.756592557</v>
      </c>
      <c r="R965">
        <f t="shared" si="1021"/>
        <v>654076791.07256377</v>
      </c>
      <c r="S965">
        <f t="shared" si="1022"/>
        <v>6540.7679107256381</v>
      </c>
      <c r="T965">
        <f t="shared" si="1023"/>
        <v>6.5407679107256378</v>
      </c>
    </row>
    <row r="966" spans="1:20" x14ac:dyDescent="0.25">
      <c r="A966" s="5">
        <v>43627</v>
      </c>
      <c r="B966">
        <v>1.1657000000000001E-2</v>
      </c>
      <c r="C966">
        <v>1.1672E-2</v>
      </c>
      <c r="D966">
        <v>1.0944000000000001E-2</v>
      </c>
      <c r="E966">
        <v>1.1318E-2</v>
      </c>
      <c r="F966">
        <v>74133431</v>
      </c>
      <c r="G966">
        <v>0</v>
      </c>
      <c r="L966" t="s">
        <v>7</v>
      </c>
      <c r="M966" t="s">
        <v>8</v>
      </c>
      <c r="N966" t="s">
        <v>7</v>
      </c>
      <c r="P966">
        <f t="shared" si="1019"/>
        <v>2.7472527472526372E-2</v>
      </c>
      <c r="Q966">
        <f t="shared" si="1020"/>
        <v>2036632.7197801382</v>
      </c>
      <c r="R966">
        <f t="shared" si="1021"/>
        <v>615491443.31597126</v>
      </c>
      <c r="S966">
        <f t="shared" si="1022"/>
        <v>6154.9144331597126</v>
      </c>
      <c r="T966">
        <f t="shared" si="1023"/>
        <v>6.1549144331597123</v>
      </c>
    </row>
    <row r="967" spans="1:20" x14ac:dyDescent="0.25">
      <c r="A967" s="5">
        <v>43626</v>
      </c>
      <c r="B967">
        <v>1.0832E-2</v>
      </c>
      <c r="C967">
        <v>1.2111E-2</v>
      </c>
      <c r="D967">
        <v>1.0659E-2</v>
      </c>
      <c r="E967">
        <v>1.1657000000000001E-2</v>
      </c>
      <c r="F967">
        <v>371598655</v>
      </c>
      <c r="G967">
        <v>0</v>
      </c>
      <c r="L967" t="s">
        <v>8</v>
      </c>
      <c r="M967" t="s">
        <v>8</v>
      </c>
      <c r="N967" t="s">
        <v>7</v>
      </c>
      <c r="P967">
        <f t="shared" si="1019"/>
        <v>0.37465564738292079</v>
      </c>
      <c r="Q967">
        <f t="shared" si="1020"/>
        <v>139221534.65564764</v>
      </c>
      <c r="R967">
        <f t="shared" si="1021"/>
        <v>613454810.59619117</v>
      </c>
      <c r="S967">
        <f t="shared" si="1022"/>
        <v>6134.5481059619115</v>
      </c>
      <c r="T967">
        <f t="shared" si="1023"/>
        <v>6.1345481059619118</v>
      </c>
    </row>
    <row r="968" spans="1:20" x14ac:dyDescent="0.25">
      <c r="A968" s="5">
        <v>43625</v>
      </c>
      <c r="B968">
        <v>1.1353E-2</v>
      </c>
      <c r="C968">
        <v>1.146E-2</v>
      </c>
      <c r="D968">
        <v>1.0501E-2</v>
      </c>
      <c r="E968">
        <v>1.0857E-2</v>
      </c>
      <c r="F968">
        <v>52917301</v>
      </c>
      <c r="G968">
        <v>0</v>
      </c>
      <c r="L968" t="s">
        <v>7</v>
      </c>
      <c r="M968" t="s">
        <v>8</v>
      </c>
      <c r="N968" t="s">
        <v>7</v>
      </c>
      <c r="P968">
        <f t="shared" si="1019"/>
        <v>-0.25755995828988426</v>
      </c>
      <c r="Q968">
        <f t="shared" si="1020"/>
        <v>-13629377.838373251</v>
      </c>
      <c r="R968">
        <f t="shared" si="1021"/>
        <v>474233275.94054359</v>
      </c>
      <c r="S968">
        <f t="shared" si="1022"/>
        <v>4742.3327594054363</v>
      </c>
      <c r="T968">
        <f t="shared" si="1023"/>
        <v>4.7423327594054365</v>
      </c>
    </row>
    <row r="969" spans="1:20" x14ac:dyDescent="0.25">
      <c r="A969" s="5">
        <v>43624</v>
      </c>
      <c r="B969">
        <v>1.14E-2</v>
      </c>
      <c r="C969">
        <v>1.1879000000000001E-2</v>
      </c>
      <c r="D969">
        <v>1.12E-2</v>
      </c>
      <c r="E969">
        <v>1.1381E-2</v>
      </c>
      <c r="F969">
        <v>78536828</v>
      </c>
      <c r="G969">
        <v>0</v>
      </c>
      <c r="L969" t="s">
        <v>8</v>
      </c>
      <c r="M969" t="s">
        <v>8</v>
      </c>
      <c r="N969" t="s">
        <v>7</v>
      </c>
      <c r="P969">
        <f t="shared" si="1019"/>
        <v>-0.46686303387334199</v>
      </c>
      <c r="Q969">
        <f t="shared" si="1020"/>
        <v>-36665941.790868834</v>
      </c>
      <c r="R969">
        <f t="shared" si="1021"/>
        <v>487862653.77891684</v>
      </c>
      <c r="S969">
        <f t="shared" si="1022"/>
        <v>4878.6265377891687</v>
      </c>
      <c r="T969">
        <f t="shared" si="1023"/>
        <v>4.8786265377891684</v>
      </c>
    </row>
    <row r="970" spans="1:20" x14ac:dyDescent="0.25">
      <c r="A970" s="5">
        <v>43623</v>
      </c>
      <c r="B970">
        <v>1.1065E-2</v>
      </c>
      <c r="C970">
        <v>1.17E-2</v>
      </c>
      <c r="D970">
        <v>1.0954999999999999E-2</v>
      </c>
      <c r="E970">
        <v>1.14E-2</v>
      </c>
      <c r="F970">
        <v>93747118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0.19463087248322264</v>
      </c>
      <c r="Q970">
        <f t="shared" si="1020"/>
        <v>18246083.369127627</v>
      </c>
      <c r="R970">
        <f t="shared" si="1021"/>
        <v>524528595.56978565</v>
      </c>
      <c r="S970">
        <f t="shared" si="1022"/>
        <v>5245.2859556978565</v>
      </c>
      <c r="T970">
        <f t="shared" si="1023"/>
        <v>5.2452859556978568</v>
      </c>
    </row>
    <row r="971" spans="1:20" x14ac:dyDescent="0.25">
      <c r="A971" s="5">
        <v>43622</v>
      </c>
      <c r="B971">
        <v>1.111E-2</v>
      </c>
      <c r="C971">
        <v>1.1339E-2</v>
      </c>
      <c r="D971">
        <v>0.01</v>
      </c>
      <c r="E971">
        <v>1.1065999999999999E-2</v>
      </c>
      <c r="F971">
        <v>75790368</v>
      </c>
      <c r="G971">
        <v>0</v>
      </c>
      <c r="L971" t="s">
        <v>7</v>
      </c>
      <c r="M971" t="s">
        <v>7</v>
      </c>
      <c r="N971" t="s">
        <v>7</v>
      </c>
      <c r="P971">
        <f t="shared" si="1019"/>
        <v>0.59223300970873682</v>
      </c>
      <c r="Q971">
        <f t="shared" si="1020"/>
        <v>44885557.747572735</v>
      </c>
      <c r="R971">
        <f t="shared" si="1021"/>
        <v>506282512.20065802</v>
      </c>
      <c r="S971">
        <f t="shared" si="1022"/>
        <v>5062.8251220065804</v>
      </c>
      <c r="T971">
        <f t="shared" si="1023"/>
        <v>5.0628251220065801</v>
      </c>
    </row>
    <row r="972" spans="1:20" x14ac:dyDescent="0.25">
      <c r="A972" s="5">
        <v>43621</v>
      </c>
      <c r="B972">
        <v>1.1087E-2</v>
      </c>
      <c r="C972">
        <v>1.149E-2</v>
      </c>
      <c r="D972">
        <v>1.0775E-2</v>
      </c>
      <c r="E972">
        <v>1.1124E-2</v>
      </c>
      <c r="F972">
        <v>121762347</v>
      </c>
      <c r="G972">
        <v>0</v>
      </c>
      <c r="L972" t="s">
        <v>8</v>
      </c>
      <c r="M972" t="s">
        <v>7</v>
      </c>
      <c r="N972" t="s">
        <v>7</v>
      </c>
      <c r="P972">
        <f t="shared" si="1019"/>
        <v>-2.3776223776223279E-2</v>
      </c>
      <c r="Q972">
        <f t="shared" si="1020"/>
        <v>-2895048.8097901493</v>
      </c>
      <c r="R972">
        <f t="shared" si="1021"/>
        <v>461396954.4530853</v>
      </c>
      <c r="S972">
        <f t="shared" si="1022"/>
        <v>4613.9695445308535</v>
      </c>
      <c r="T972">
        <f t="shared" si="1023"/>
        <v>4.6139695445308533</v>
      </c>
    </row>
    <row r="973" spans="1:20" x14ac:dyDescent="0.25">
      <c r="A973" s="5">
        <v>43620</v>
      </c>
      <c r="B973">
        <v>1.1664000000000001E-2</v>
      </c>
      <c r="C973">
        <v>1.2289E-2</v>
      </c>
      <c r="D973">
        <v>1.0623E-2</v>
      </c>
      <c r="E973">
        <v>1.1087E-2</v>
      </c>
      <c r="F973">
        <v>588793007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-0.44297719087635129</v>
      </c>
      <c r="Q973">
        <f t="shared" si="1020"/>
        <v>-260821872.24849984</v>
      </c>
      <c r="R973">
        <f t="shared" si="1021"/>
        <v>464292003.26287544</v>
      </c>
      <c r="S973">
        <f t="shared" si="1022"/>
        <v>4642.9200326287546</v>
      </c>
      <c r="T973">
        <f t="shared" si="1023"/>
        <v>4.642920032628755</v>
      </c>
    </row>
    <row r="974" spans="1:20" x14ac:dyDescent="0.25">
      <c r="A974" s="5">
        <v>43619</v>
      </c>
      <c r="B974">
        <v>1.2936E-2</v>
      </c>
      <c r="C974">
        <v>1.2997E-2</v>
      </c>
      <c r="D974">
        <v>1.1577E-2</v>
      </c>
      <c r="E974">
        <v>1.1663E-2</v>
      </c>
      <c r="F974">
        <v>173024182</v>
      </c>
      <c r="G974">
        <v>0</v>
      </c>
      <c r="L974" t="s">
        <v>7</v>
      </c>
      <c r="M974" t="s">
        <v>7</v>
      </c>
      <c r="N974" t="s">
        <v>7</v>
      </c>
      <c r="P974">
        <f t="shared" si="1019"/>
        <v>-0.87887323943662066</v>
      </c>
      <c r="Q974">
        <f t="shared" si="1020"/>
        <v>-152066323.33521143</v>
      </c>
      <c r="R974">
        <f t="shared" si="1021"/>
        <v>725113875.51137531</v>
      </c>
      <c r="S974">
        <f t="shared" si="1022"/>
        <v>7251.1387551137532</v>
      </c>
      <c r="T974">
        <f t="shared" si="1023"/>
        <v>7.2511387551137529</v>
      </c>
    </row>
    <row r="975" spans="1:20" x14ac:dyDescent="0.25">
      <c r="A975" s="5">
        <v>43618</v>
      </c>
      <c r="B975">
        <v>1.2787E-2</v>
      </c>
      <c r="C975">
        <v>1.3299999999999999E-2</v>
      </c>
      <c r="D975">
        <v>1.2718E-2</v>
      </c>
      <c r="E975">
        <v>1.2947E-2</v>
      </c>
      <c r="F975">
        <v>58925102</v>
      </c>
      <c r="G975">
        <v>0</v>
      </c>
      <c r="L975" t="s">
        <v>7</v>
      </c>
      <c r="M975" t="s">
        <v>8</v>
      </c>
      <c r="N975" t="s">
        <v>7</v>
      </c>
      <c r="P975">
        <f t="shared" si="1019"/>
        <v>-0.21305841924398503</v>
      </c>
      <c r="Q975">
        <f t="shared" si="1020"/>
        <v>-12554489.085910581</v>
      </c>
      <c r="R975">
        <f t="shared" si="1021"/>
        <v>877180198.8465867</v>
      </c>
      <c r="S975">
        <f t="shared" si="1022"/>
        <v>8771.8019884658679</v>
      </c>
      <c r="T975">
        <f t="shared" si="1023"/>
        <v>8.7718019884658673</v>
      </c>
    </row>
    <row r="976" spans="1:20" x14ac:dyDescent="0.25">
      <c r="A976" s="5">
        <v>43617</v>
      </c>
      <c r="B976">
        <v>1.3317000000000001E-2</v>
      </c>
      <c r="C976">
        <v>1.353E-2</v>
      </c>
      <c r="D976">
        <v>1.265E-2</v>
      </c>
      <c r="E976">
        <v>1.2749E-2</v>
      </c>
      <c r="F976">
        <v>88174858</v>
      </c>
      <c r="G976">
        <v>0</v>
      </c>
      <c r="L976" t="s">
        <v>7</v>
      </c>
      <c r="M976" t="s">
        <v>8</v>
      </c>
      <c r="N976" t="s">
        <v>7</v>
      </c>
      <c r="P976">
        <f t="shared" si="1019"/>
        <v>-0.7749999999999998</v>
      </c>
      <c r="Q976">
        <f t="shared" si="1020"/>
        <v>-68335514.949999988</v>
      </c>
      <c r="R976">
        <f t="shared" si="1021"/>
        <v>889734687.93249726</v>
      </c>
      <c r="S976">
        <f t="shared" si="1022"/>
        <v>8897.3468793249722</v>
      </c>
      <c r="T976">
        <f t="shared" si="1023"/>
        <v>8.8973468793249726</v>
      </c>
    </row>
    <row r="977" spans="1:20" x14ac:dyDescent="0.25">
      <c r="A977" s="5">
        <v>43616</v>
      </c>
      <c r="B977">
        <v>1.2803999999999999E-2</v>
      </c>
      <c r="C977">
        <v>1.3457E-2</v>
      </c>
      <c r="D977">
        <v>1.2703000000000001E-2</v>
      </c>
      <c r="E977">
        <v>1.3316E-2</v>
      </c>
      <c r="F977">
        <v>80942399</v>
      </c>
      <c r="G977">
        <v>0</v>
      </c>
      <c r="L977" t="s">
        <v>7</v>
      </c>
      <c r="M977" t="s">
        <v>8</v>
      </c>
      <c r="N977" t="s">
        <v>7</v>
      </c>
      <c r="P977">
        <f t="shared" si="1019"/>
        <v>0.62599469496021065</v>
      </c>
      <c r="Q977">
        <f t="shared" si="1020"/>
        <v>50669512.371352658</v>
      </c>
      <c r="R977">
        <f t="shared" si="1021"/>
        <v>958070202.88249731</v>
      </c>
      <c r="S977">
        <f t="shared" si="1022"/>
        <v>9580.7020288249732</v>
      </c>
      <c r="T977">
        <f t="shared" si="1023"/>
        <v>9.5807020288249731</v>
      </c>
    </row>
    <row r="978" spans="1:20" x14ac:dyDescent="0.25">
      <c r="A978" s="5">
        <v>43615</v>
      </c>
      <c r="B978">
        <v>1.3511E-2</v>
      </c>
      <c r="C978">
        <v>1.4829E-2</v>
      </c>
      <c r="D978">
        <v>1.2572E-2</v>
      </c>
      <c r="E978">
        <v>1.2840000000000001E-2</v>
      </c>
      <c r="F978">
        <v>286246597</v>
      </c>
      <c r="G978">
        <v>0</v>
      </c>
      <c r="L978" t="s">
        <v>7</v>
      </c>
      <c r="M978" t="s">
        <v>8</v>
      </c>
      <c r="N978" t="s">
        <v>7</v>
      </c>
      <c r="P978">
        <f t="shared" si="1019"/>
        <v>-0.76251661497563061</v>
      </c>
      <c r="Q978">
        <f t="shared" si="1020"/>
        <v>-218267786.1927335</v>
      </c>
      <c r="R978">
        <f t="shared" si="1021"/>
        <v>907400690.51114464</v>
      </c>
      <c r="S978">
        <f t="shared" si="1022"/>
        <v>9074.006905111446</v>
      </c>
      <c r="T978">
        <f t="shared" si="1023"/>
        <v>9.074006905111446</v>
      </c>
    </row>
    <row r="979" spans="1:20" x14ac:dyDescent="0.25">
      <c r="A979" s="5">
        <v>43614</v>
      </c>
      <c r="B979">
        <v>1.3717E-2</v>
      </c>
      <c r="C979">
        <v>1.41E-2</v>
      </c>
      <c r="D979">
        <v>1.2909E-2</v>
      </c>
      <c r="E979">
        <v>1.3514999999999999E-2</v>
      </c>
      <c r="F979">
        <v>107656351</v>
      </c>
      <c r="G979">
        <v>0</v>
      </c>
      <c r="L979" t="s">
        <v>7</v>
      </c>
      <c r="M979" t="s">
        <v>8</v>
      </c>
      <c r="N979" t="s">
        <v>7</v>
      </c>
      <c r="P979">
        <f t="shared" si="1019"/>
        <v>1.7632241813600725E-2</v>
      </c>
      <c r="Q979">
        <f t="shared" si="1020"/>
        <v>1898222.8136018761</v>
      </c>
      <c r="R979">
        <f t="shared" si="1021"/>
        <v>1125668476.7038782</v>
      </c>
      <c r="S979">
        <f t="shared" si="1022"/>
        <v>11256.684767038782</v>
      </c>
      <c r="T979">
        <f t="shared" si="1023"/>
        <v>11.256684767038781</v>
      </c>
    </row>
    <row r="980" spans="1:20" x14ac:dyDescent="0.25">
      <c r="A980" s="5">
        <v>43613</v>
      </c>
      <c r="B980">
        <v>1.3901999999999999E-2</v>
      </c>
      <c r="C980">
        <v>1.46E-2</v>
      </c>
      <c r="D980">
        <v>1.3313999999999999E-2</v>
      </c>
      <c r="E980">
        <v>1.3688000000000001E-2</v>
      </c>
      <c r="F980">
        <v>155641345</v>
      </c>
      <c r="G980">
        <v>0</v>
      </c>
      <c r="L980" t="s">
        <v>8</v>
      </c>
      <c r="M980" t="s">
        <v>8</v>
      </c>
      <c r="N980" t="s">
        <v>7</v>
      </c>
      <c r="P980">
        <f t="shared" si="1019"/>
        <v>-0.41835147744945433</v>
      </c>
      <c r="Q980">
        <f t="shared" si="1020"/>
        <v>-65112786.632970244</v>
      </c>
      <c r="R980">
        <f t="shared" si="1021"/>
        <v>1123770253.8902762</v>
      </c>
      <c r="S980">
        <f t="shared" si="1022"/>
        <v>11237.702538902762</v>
      </c>
      <c r="T980">
        <f t="shared" si="1023"/>
        <v>11.237702538902763</v>
      </c>
    </row>
    <row r="981" spans="1:20" x14ac:dyDescent="0.25">
      <c r="A981" s="5">
        <v>43612</v>
      </c>
      <c r="B981">
        <v>1.2883E-2</v>
      </c>
      <c r="C981">
        <v>1.4378999999999999E-2</v>
      </c>
      <c r="D981">
        <v>1.2808999999999999E-2</v>
      </c>
      <c r="E981">
        <v>1.3901999999999999E-2</v>
      </c>
      <c r="F981">
        <v>316299474</v>
      </c>
      <c r="G981">
        <v>0</v>
      </c>
      <c r="L981" t="s">
        <v>8</v>
      </c>
      <c r="M981" t="s">
        <v>8</v>
      </c>
      <c r="N981" t="s">
        <v>7</v>
      </c>
      <c r="P981">
        <f t="shared" si="1019"/>
        <v>0.39235668789808925</v>
      </c>
      <c r="Q981">
        <f t="shared" si="1020"/>
        <v>124102214.0025478</v>
      </c>
      <c r="R981">
        <f t="shared" si="1021"/>
        <v>1188883040.5232465</v>
      </c>
      <c r="S981">
        <f t="shared" si="1022"/>
        <v>11888.830405232466</v>
      </c>
      <c r="T981">
        <f t="shared" si="1023"/>
        <v>11.888830405232465</v>
      </c>
    </row>
    <row r="982" spans="1:20" x14ac:dyDescent="0.25">
      <c r="A982" s="5">
        <v>43611</v>
      </c>
      <c r="B982">
        <v>1.2163999999999999E-2</v>
      </c>
      <c r="C982">
        <v>1.2976E-2</v>
      </c>
      <c r="D982">
        <v>1.1951E-2</v>
      </c>
      <c r="E982">
        <v>1.2916E-2</v>
      </c>
      <c r="F982">
        <v>118145195</v>
      </c>
      <c r="G982">
        <v>0</v>
      </c>
      <c r="L982" t="s">
        <v>8</v>
      </c>
      <c r="M982" t="s">
        <v>7</v>
      </c>
      <c r="N982" t="s">
        <v>7</v>
      </c>
      <c r="P982">
        <f t="shared" si="1019"/>
        <v>0.88292682926829402</v>
      </c>
      <c r="Q982">
        <f t="shared" si="1020"/>
        <v>104313562.4146343</v>
      </c>
      <c r="R982">
        <f t="shared" si="1021"/>
        <v>1064780826.5206987</v>
      </c>
      <c r="S982">
        <f t="shared" si="1022"/>
        <v>10647.808265206986</v>
      </c>
      <c r="T982">
        <f t="shared" si="1023"/>
        <v>10.647808265206987</v>
      </c>
    </row>
    <row r="983" spans="1:20" x14ac:dyDescent="0.25">
      <c r="A983" s="5">
        <v>43610</v>
      </c>
      <c r="B983">
        <v>1.2083999999999999E-2</v>
      </c>
      <c r="C983">
        <v>1.23E-2</v>
      </c>
      <c r="D983">
        <v>1.1823E-2</v>
      </c>
      <c r="E983">
        <v>1.2152E-2</v>
      </c>
      <c r="F983">
        <v>40187102</v>
      </c>
      <c r="G983">
        <v>0</v>
      </c>
      <c r="L983" t="s">
        <v>8</v>
      </c>
      <c r="M983" t="s">
        <v>7</v>
      </c>
      <c r="N983" t="s">
        <v>7</v>
      </c>
      <c r="P983">
        <f t="shared" si="1019"/>
        <v>0.37945492662473557</v>
      </c>
      <c r="Q983">
        <f t="shared" si="1020"/>
        <v>15249193.840670764</v>
      </c>
      <c r="R983">
        <f t="shared" si="1021"/>
        <v>960467264.10606432</v>
      </c>
      <c r="S983">
        <f t="shared" si="1022"/>
        <v>9604.6726410606425</v>
      </c>
      <c r="T983">
        <f t="shared" si="1023"/>
        <v>9.6046726410606418</v>
      </c>
    </row>
    <row r="984" spans="1:20" x14ac:dyDescent="0.25">
      <c r="A984" s="5">
        <v>43609</v>
      </c>
      <c r="B984">
        <v>1.1782000000000001E-2</v>
      </c>
      <c r="C984">
        <v>1.2454E-2</v>
      </c>
      <c r="D984">
        <v>1.1723000000000001E-2</v>
      </c>
      <c r="E984">
        <v>1.2067E-2</v>
      </c>
      <c r="F984">
        <v>69357229</v>
      </c>
      <c r="G984">
        <v>0</v>
      </c>
      <c r="L984" t="s">
        <v>8</v>
      </c>
      <c r="M984" t="s">
        <v>7</v>
      </c>
      <c r="N984" t="s">
        <v>7</v>
      </c>
      <c r="P984">
        <f t="shared" si="1019"/>
        <v>-5.8823529411766662E-2</v>
      </c>
      <c r="Q984">
        <f t="shared" si="1020"/>
        <v>-4079837.0000001355</v>
      </c>
      <c r="R984">
        <f t="shared" si="1021"/>
        <v>945218070.2653935</v>
      </c>
      <c r="S984">
        <f t="shared" si="1022"/>
        <v>9452.1807026539354</v>
      </c>
      <c r="T984">
        <f t="shared" si="1023"/>
        <v>9.4521807026539353</v>
      </c>
    </row>
    <row r="985" spans="1:20" x14ac:dyDescent="0.25">
      <c r="A985" s="5">
        <v>43608</v>
      </c>
      <c r="B985">
        <v>1.1523E-2</v>
      </c>
      <c r="C985">
        <v>1.1981E-2</v>
      </c>
      <c r="D985">
        <v>1.1105E-2</v>
      </c>
      <c r="E985">
        <v>1.1714E-2</v>
      </c>
      <c r="F985">
        <v>63157274</v>
      </c>
      <c r="G985">
        <v>0</v>
      </c>
      <c r="L985" t="s">
        <v>7</v>
      </c>
      <c r="M985" t="s">
        <v>7</v>
      </c>
      <c r="N985" t="s">
        <v>7</v>
      </c>
      <c r="P985">
        <f t="shared" si="1019"/>
        <v>0.39041095890410993</v>
      </c>
      <c r="Q985">
        <f t="shared" si="1020"/>
        <v>24657291.904109612</v>
      </c>
      <c r="R985">
        <f t="shared" si="1021"/>
        <v>949297907.26539361</v>
      </c>
      <c r="S985">
        <f t="shared" si="1022"/>
        <v>9492.9790726539359</v>
      </c>
      <c r="T985">
        <f t="shared" si="1023"/>
        <v>9.4929790726539363</v>
      </c>
    </row>
    <row r="986" spans="1:20" x14ac:dyDescent="0.25">
      <c r="A986" s="5">
        <v>43607</v>
      </c>
      <c r="B986">
        <v>1.2877E-2</v>
      </c>
      <c r="C986">
        <v>1.3089E-2</v>
      </c>
      <c r="D986">
        <v>1.1436E-2</v>
      </c>
      <c r="E986">
        <v>1.15E-2</v>
      </c>
      <c r="F986">
        <v>150314800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-0.92256503327283745</v>
      </c>
      <c r="Q986">
        <f t="shared" si="1020"/>
        <v>-138675178.46339992</v>
      </c>
      <c r="R986">
        <f t="shared" si="1021"/>
        <v>924640615.36128402</v>
      </c>
      <c r="S986">
        <f t="shared" si="1022"/>
        <v>9246.4061536128411</v>
      </c>
      <c r="T986">
        <f t="shared" si="1023"/>
        <v>9.2464061536128419</v>
      </c>
    </row>
    <row r="987" spans="1:20" x14ac:dyDescent="0.25">
      <c r="A987" s="5">
        <v>43606</v>
      </c>
      <c r="B987">
        <v>1.2002000000000001E-2</v>
      </c>
      <c r="C987">
        <v>1.3169E-2</v>
      </c>
      <c r="D987">
        <v>1.188E-2</v>
      </c>
      <c r="E987">
        <v>1.2919999999999999E-2</v>
      </c>
      <c r="F987">
        <v>196287767</v>
      </c>
      <c r="G987">
        <v>0</v>
      </c>
      <c r="L987" t="s">
        <v>8</v>
      </c>
      <c r="M987" t="s">
        <v>7</v>
      </c>
      <c r="N987" t="s">
        <v>8</v>
      </c>
      <c r="P987">
        <f t="shared" si="1019"/>
        <v>0.61365399534522747</v>
      </c>
      <c r="Q987">
        <f t="shared" si="1020"/>
        <v>120452772.45694309</v>
      </c>
      <c r="R987">
        <f t="shared" si="1021"/>
        <v>1063315793.8246839</v>
      </c>
      <c r="S987">
        <f t="shared" si="1022"/>
        <v>10633.157938246839</v>
      </c>
      <c r="T987">
        <f t="shared" si="1023"/>
        <v>10.633157938246839</v>
      </c>
    </row>
    <row r="988" spans="1:20" x14ac:dyDescent="0.25">
      <c r="A988" s="5">
        <v>43605</v>
      </c>
      <c r="B988">
        <v>1.2364999999999999E-2</v>
      </c>
      <c r="C988">
        <v>1.2666E-2</v>
      </c>
      <c r="D988">
        <v>1.1634E-2</v>
      </c>
      <c r="E988">
        <v>1.2061000000000001E-2</v>
      </c>
      <c r="F988">
        <v>149260938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-0.17248062015503812</v>
      </c>
      <c r="Q988">
        <f t="shared" si="1020"/>
        <v>-25744619.151162695</v>
      </c>
      <c r="R988">
        <f t="shared" si="1021"/>
        <v>942863021.36774075</v>
      </c>
      <c r="S988">
        <f t="shared" si="1022"/>
        <v>9428.6302136774084</v>
      </c>
      <c r="T988">
        <f t="shared" si="1023"/>
        <v>9.4286302136774083</v>
      </c>
    </row>
    <row r="989" spans="1:20" x14ac:dyDescent="0.25">
      <c r="A989" s="5">
        <v>43604</v>
      </c>
      <c r="B989">
        <v>1.1832000000000001E-2</v>
      </c>
      <c r="C989">
        <v>1.2688E-2</v>
      </c>
      <c r="D989">
        <v>1.1769999999999999E-2</v>
      </c>
      <c r="E989">
        <v>1.2385E-2</v>
      </c>
      <c r="F989">
        <v>111988433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0.33986928104575315</v>
      </c>
      <c r="Q989">
        <f t="shared" si="1020"/>
        <v>38061428.209150493</v>
      </c>
      <c r="R989">
        <f t="shared" si="1021"/>
        <v>968607640.51890349</v>
      </c>
      <c r="S989">
        <f t="shared" si="1022"/>
        <v>9686.0764051890346</v>
      </c>
      <c r="T989">
        <f t="shared" si="1023"/>
        <v>9.6860764051890342</v>
      </c>
    </row>
    <row r="990" spans="1:20" x14ac:dyDescent="0.25">
      <c r="A990" s="5">
        <v>43603</v>
      </c>
      <c r="B990">
        <v>1.2276E-2</v>
      </c>
      <c r="C990">
        <v>1.2475999999999999E-2</v>
      </c>
      <c r="D990">
        <v>1.1474E-2</v>
      </c>
      <c r="E990">
        <v>1.1807E-2</v>
      </c>
      <c r="F990">
        <v>88084014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-0.33532934131736497</v>
      </c>
      <c r="Q990">
        <f t="shared" si="1020"/>
        <v>-29537154.395209555</v>
      </c>
      <c r="R990">
        <f t="shared" si="1021"/>
        <v>930546212.30975306</v>
      </c>
      <c r="S990">
        <f t="shared" si="1022"/>
        <v>9305.4621230975299</v>
      </c>
      <c r="T990">
        <f t="shared" si="1023"/>
        <v>9.3054621230975307</v>
      </c>
    </row>
    <row r="991" spans="1:20" x14ac:dyDescent="0.25">
      <c r="A991" s="5">
        <v>43602</v>
      </c>
      <c r="B991">
        <v>1.3331000000000001E-2</v>
      </c>
      <c r="C991">
        <v>1.349E-2</v>
      </c>
      <c r="D991">
        <v>1.136E-2</v>
      </c>
      <c r="E991">
        <v>1.2296E-2</v>
      </c>
      <c r="F991">
        <v>214237713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-0.12112676056338088</v>
      </c>
      <c r="Q991">
        <f t="shared" si="1020"/>
        <v>-25949920.166197311</v>
      </c>
      <c r="R991">
        <f t="shared" si="1021"/>
        <v>960083366.70496261</v>
      </c>
      <c r="S991">
        <f t="shared" si="1022"/>
        <v>9600.8336670496265</v>
      </c>
      <c r="T991">
        <f t="shared" si="1023"/>
        <v>9.6008336670496259</v>
      </c>
    </row>
    <row r="992" spans="1:20" x14ac:dyDescent="0.25">
      <c r="A992" s="5">
        <v>43601</v>
      </c>
      <c r="B992">
        <v>1.4515E-2</v>
      </c>
      <c r="C992">
        <v>1.5417E-2</v>
      </c>
      <c r="D992">
        <v>1.2800000000000001E-2</v>
      </c>
      <c r="E992">
        <v>1.3337E-2</v>
      </c>
      <c r="F992">
        <v>258041370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-0.5896064195643872</v>
      </c>
      <c r="Q992">
        <f t="shared" si="1020"/>
        <v>-152142848.26518929</v>
      </c>
      <c r="R992">
        <f t="shared" si="1021"/>
        <v>986033286.87115991</v>
      </c>
      <c r="S992">
        <f t="shared" si="1022"/>
        <v>9860.3328687115991</v>
      </c>
      <c r="T992">
        <f t="shared" si="1023"/>
        <v>9.8603328687115983</v>
      </c>
    </row>
    <row r="993" spans="1:20" x14ac:dyDescent="0.25">
      <c r="A993" s="5">
        <v>43600</v>
      </c>
      <c r="B993">
        <v>1.3357000000000001E-2</v>
      </c>
      <c r="C993">
        <v>1.481E-2</v>
      </c>
      <c r="D993">
        <v>1.3273E-2</v>
      </c>
      <c r="E993">
        <v>1.4515E-2</v>
      </c>
      <c r="F993">
        <v>106268284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0.61613532856213393</v>
      </c>
      <c r="Q993">
        <f t="shared" si="1020"/>
        <v>65475644.078074157</v>
      </c>
      <c r="R993">
        <f t="shared" si="1021"/>
        <v>1138176135.1363492</v>
      </c>
      <c r="S993">
        <f t="shared" si="1022"/>
        <v>11381.761351363491</v>
      </c>
      <c r="T993">
        <f t="shared" si="1023"/>
        <v>11.381761351363492</v>
      </c>
    </row>
    <row r="994" spans="1:20" x14ac:dyDescent="0.25">
      <c r="A994" s="5">
        <v>43599</v>
      </c>
      <c r="B994">
        <v>1.2695E-2</v>
      </c>
      <c r="C994">
        <v>1.3826E-2</v>
      </c>
      <c r="D994">
        <v>1.2622E-2</v>
      </c>
      <c r="E994">
        <v>1.3468000000000001E-2</v>
      </c>
      <c r="F994">
        <v>157889451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0.40531561461794208</v>
      </c>
      <c r="Q994">
        <f t="shared" si="1020"/>
        <v>63995059.873754449</v>
      </c>
      <c r="R994">
        <f t="shared" si="1021"/>
        <v>1072700491.0582751</v>
      </c>
      <c r="S994">
        <f t="shared" si="1022"/>
        <v>10727.004910582751</v>
      </c>
      <c r="T994">
        <f t="shared" si="1023"/>
        <v>10.727004910582751</v>
      </c>
    </row>
    <row r="995" spans="1:20" x14ac:dyDescent="0.25">
      <c r="A995" s="5">
        <v>43598</v>
      </c>
      <c r="B995">
        <v>1.2696000000000001E-2</v>
      </c>
      <c r="C995">
        <v>1.3424E-2</v>
      </c>
      <c r="D995">
        <v>1.2447E-2</v>
      </c>
      <c r="E995">
        <v>1.2711999999999999E-2</v>
      </c>
      <c r="F995">
        <v>98840943</v>
      </c>
      <c r="G995">
        <v>0</v>
      </c>
      <c r="L995" t="s">
        <v>7</v>
      </c>
      <c r="M995" t="s">
        <v>8</v>
      </c>
      <c r="N995" t="s">
        <v>8</v>
      </c>
      <c r="P995">
        <f t="shared" si="1019"/>
        <v>-0.4575230296827032</v>
      </c>
      <c r="Q995">
        <f t="shared" si="1020"/>
        <v>-45222007.698055372</v>
      </c>
      <c r="R995">
        <f t="shared" si="1021"/>
        <v>1008705431.1845206</v>
      </c>
      <c r="S995">
        <f t="shared" si="1022"/>
        <v>10087.054311845206</v>
      </c>
      <c r="T995">
        <f t="shared" si="1023"/>
        <v>10.087054311845206</v>
      </c>
    </row>
    <row r="996" spans="1:20" x14ac:dyDescent="0.25">
      <c r="A996" s="5">
        <v>43597</v>
      </c>
      <c r="B996">
        <v>1.3105E-2</v>
      </c>
      <c r="C996">
        <v>1.4285000000000001E-2</v>
      </c>
      <c r="D996">
        <v>1.2115000000000001E-2</v>
      </c>
      <c r="E996">
        <v>1.2685999999999999E-2</v>
      </c>
      <c r="F996">
        <v>333072616</v>
      </c>
      <c r="G996">
        <v>0</v>
      </c>
      <c r="L996" t="s">
        <v>8</v>
      </c>
      <c r="M996" t="s">
        <v>8</v>
      </c>
      <c r="N996" t="s">
        <v>8</v>
      </c>
      <c r="P996">
        <f t="shared" si="1019"/>
        <v>-0.47373271889401053</v>
      </c>
      <c r="Q996">
        <f t="shared" si="1020"/>
        <v>-157787395.96682072</v>
      </c>
      <c r="R996">
        <f t="shared" si="1021"/>
        <v>1053927438.882576</v>
      </c>
      <c r="S996">
        <f t="shared" si="1022"/>
        <v>10539.274388825759</v>
      </c>
      <c r="T996">
        <f t="shared" si="1023"/>
        <v>10.53927438882576</v>
      </c>
    </row>
    <row r="997" spans="1:20" x14ac:dyDescent="0.25">
      <c r="A997" s="5">
        <v>43596</v>
      </c>
      <c r="B997">
        <v>1.2004000000000001E-2</v>
      </c>
      <c r="C997">
        <v>1.3671000000000001E-2</v>
      </c>
      <c r="D997">
        <v>1.197E-2</v>
      </c>
      <c r="E997">
        <v>1.3122E-2</v>
      </c>
      <c r="F997">
        <v>201368800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0.35449735449735387</v>
      </c>
      <c r="Q997">
        <f t="shared" si="1020"/>
        <v>71384706.878306746</v>
      </c>
      <c r="R997">
        <f t="shared" si="1021"/>
        <v>1211714834.8493967</v>
      </c>
      <c r="S997">
        <f t="shared" si="1022"/>
        <v>12117.148348493967</v>
      </c>
      <c r="T997">
        <f t="shared" si="1023"/>
        <v>12.117148348493966</v>
      </c>
    </row>
    <row r="998" spans="1:20" x14ac:dyDescent="0.25">
      <c r="A998" s="5">
        <v>43595</v>
      </c>
      <c r="B998">
        <v>1.1568999999999999E-2</v>
      </c>
      <c r="C998">
        <v>1.2371999999999999E-2</v>
      </c>
      <c r="D998">
        <v>1.1207999999999999E-2</v>
      </c>
      <c r="E998">
        <v>1.1981E-2</v>
      </c>
      <c r="F998">
        <v>167903087</v>
      </c>
      <c r="G998">
        <v>0</v>
      </c>
      <c r="L998" t="s">
        <v>8</v>
      </c>
      <c r="M998" t="s">
        <v>8</v>
      </c>
      <c r="N998" t="s">
        <v>7</v>
      </c>
      <c r="P998">
        <f t="shared" si="1019"/>
        <v>0.32817869415807738</v>
      </c>
      <c r="Q998">
        <f t="shared" si="1020"/>
        <v>55102215.836770058</v>
      </c>
      <c r="R998">
        <f t="shared" si="1021"/>
        <v>1140330127.9710901</v>
      </c>
      <c r="S998">
        <f t="shared" si="1022"/>
        <v>11403.3012797109</v>
      </c>
      <c r="T998">
        <f t="shared" si="1023"/>
        <v>11.403301279710901</v>
      </c>
    </row>
    <row r="999" spans="1:20" x14ac:dyDescent="0.25">
      <c r="A999" s="5">
        <v>43594</v>
      </c>
      <c r="B999">
        <v>1.1209999999999999E-2</v>
      </c>
      <c r="C999">
        <v>1.2034E-2</v>
      </c>
      <c r="D999">
        <v>1.0999999999999999E-2</v>
      </c>
      <c r="E999">
        <v>1.1554999999999999E-2</v>
      </c>
      <c r="F999">
        <v>193472708</v>
      </c>
      <c r="G999">
        <v>0</v>
      </c>
      <c r="L999" t="s">
        <v>8</v>
      </c>
      <c r="M999" t="s">
        <v>8</v>
      </c>
      <c r="N999" t="s">
        <v>7</v>
      </c>
      <c r="P999">
        <f t="shared" si="1019"/>
        <v>7.3500967117988064E-2</v>
      </c>
      <c r="Q999">
        <f t="shared" si="1020"/>
        <v>14220431.148936106</v>
      </c>
      <c r="R999">
        <f t="shared" si="1021"/>
        <v>1085227912.13432</v>
      </c>
      <c r="S999">
        <f t="shared" si="1022"/>
        <v>10852.279121343201</v>
      </c>
      <c r="T999">
        <f t="shared" si="1023"/>
        <v>10.852279121343201</v>
      </c>
    </row>
    <row r="1000" spans="1:20" x14ac:dyDescent="0.25">
      <c r="A1000" s="5">
        <v>43593</v>
      </c>
      <c r="B1000">
        <v>1.1030999999999999E-2</v>
      </c>
      <c r="C1000">
        <v>1.1823E-2</v>
      </c>
      <c r="D1000">
        <v>1.0618000000000001E-2</v>
      </c>
      <c r="E1000">
        <v>1.1209999999999999E-2</v>
      </c>
      <c r="F1000">
        <v>89735008</v>
      </c>
      <c r="G1000">
        <v>0</v>
      </c>
      <c r="L1000" t="s">
        <v>7</v>
      </c>
      <c r="M1000" t="s">
        <v>8</v>
      </c>
      <c r="N1000" t="s">
        <v>7</v>
      </c>
      <c r="P1000">
        <f t="shared" si="1019"/>
        <v>-1.7427385892117783E-2</v>
      </c>
      <c r="Q1000">
        <f t="shared" si="1020"/>
        <v>-1563846.6124482763</v>
      </c>
      <c r="R1000">
        <f t="shared" si="1021"/>
        <v>1071007480.9853839</v>
      </c>
      <c r="S1000">
        <f t="shared" si="1022"/>
        <v>10710.074809853839</v>
      </c>
      <c r="T1000">
        <f t="shared" si="1023"/>
        <v>10.71007480985384</v>
      </c>
    </row>
    <row r="1001" spans="1:20" x14ac:dyDescent="0.25">
      <c r="A1001" s="5">
        <v>43592</v>
      </c>
      <c r="B1001">
        <v>1.0926E-2</v>
      </c>
      <c r="C1001">
        <v>1.222E-2</v>
      </c>
      <c r="D1001">
        <v>1.0926E-2</v>
      </c>
      <c r="E1001">
        <v>1.1063999999999999E-2</v>
      </c>
      <c r="F1001">
        <v>161864686</v>
      </c>
      <c r="G1001">
        <v>0</v>
      </c>
      <c r="L1001" t="s">
        <v>8</v>
      </c>
      <c r="M1001" t="s">
        <v>8</v>
      </c>
      <c r="N1001" t="s">
        <v>7</v>
      </c>
      <c r="P1001">
        <f t="shared" si="1019"/>
        <v>-0.78670788253477708</v>
      </c>
      <c r="Q1001">
        <f t="shared" si="1020"/>
        <v>-127340224.38021658</v>
      </c>
      <c r="R1001">
        <f t="shared" si="1021"/>
        <v>1072571327.5978322</v>
      </c>
      <c r="S1001">
        <f t="shared" si="1022"/>
        <v>10725.713275978322</v>
      </c>
      <c r="T1001">
        <f t="shared" si="1023"/>
        <v>10.725713275978322</v>
      </c>
    </row>
    <row r="1002" spans="1:20" x14ac:dyDescent="0.25">
      <c r="A1002" s="5">
        <v>43591</v>
      </c>
      <c r="B1002">
        <v>1.0803E-2</v>
      </c>
      <c r="C1002">
        <v>1.1180000000000001E-2</v>
      </c>
      <c r="D1002">
        <v>1.04E-2</v>
      </c>
      <c r="E1002">
        <v>1.0926999999999999E-2</v>
      </c>
      <c r="F1002">
        <v>66948822</v>
      </c>
      <c r="G1002">
        <v>0</v>
      </c>
      <c r="L1002" t="s">
        <v>7</v>
      </c>
      <c r="M1002" t="s">
        <v>8</v>
      </c>
      <c r="N1002" t="s">
        <v>7</v>
      </c>
      <c r="P1002">
        <f t="shared" si="1019"/>
        <v>0.35128205128204842</v>
      </c>
      <c r="Q1002">
        <f t="shared" si="1020"/>
        <v>23517919.523076732</v>
      </c>
      <c r="R1002">
        <f t="shared" si="1021"/>
        <v>1199911551.9780488</v>
      </c>
      <c r="S1002">
        <f t="shared" si="1022"/>
        <v>11999.115519780487</v>
      </c>
      <c r="T1002">
        <f t="shared" si="1023"/>
        <v>11.999115519780487</v>
      </c>
    </row>
    <row r="1003" spans="1:20" x14ac:dyDescent="0.25">
      <c r="A1003" s="5">
        <v>43590</v>
      </c>
      <c r="B1003">
        <v>1.0814000000000001E-2</v>
      </c>
      <c r="C1003">
        <v>1.1301E-2</v>
      </c>
      <c r="D1003">
        <v>1.0624E-2</v>
      </c>
      <c r="E1003">
        <v>1.0813E-2</v>
      </c>
      <c r="F1003">
        <v>67084697</v>
      </c>
      <c r="G1003">
        <v>0</v>
      </c>
      <c r="L1003" t="s">
        <v>8</v>
      </c>
      <c r="M1003" t="s">
        <v>8</v>
      </c>
      <c r="N1003" t="s">
        <v>7</v>
      </c>
      <c r="P1003">
        <f t="shared" si="1019"/>
        <v>-0.44165435745938025</v>
      </c>
      <c r="Q1003">
        <f t="shared" si="1020"/>
        <v>-29628248.748892214</v>
      </c>
      <c r="R1003">
        <f t="shared" si="1021"/>
        <v>1176393632.454972</v>
      </c>
      <c r="S1003">
        <f t="shared" si="1022"/>
        <v>11763.936324549721</v>
      </c>
      <c r="T1003">
        <f t="shared" si="1023"/>
        <v>11.763936324549721</v>
      </c>
    </row>
    <row r="1004" spans="1:20" x14ac:dyDescent="0.25">
      <c r="A1004" s="5">
        <v>43589</v>
      </c>
      <c r="B1004">
        <v>1.1589E-2</v>
      </c>
      <c r="C1004">
        <v>1.1950000000000001E-2</v>
      </c>
      <c r="D1004">
        <v>1.0281999999999999E-2</v>
      </c>
      <c r="E1004">
        <v>1.0815E-2</v>
      </c>
      <c r="F1004">
        <v>120510011</v>
      </c>
      <c r="G1004">
        <v>0</v>
      </c>
      <c r="L1004" t="s">
        <v>7</v>
      </c>
      <c r="M1004" t="s">
        <v>8</v>
      </c>
      <c r="N1004" t="s">
        <v>7</v>
      </c>
      <c r="P1004">
        <f t="shared" si="1019"/>
        <v>-0.36091127098321324</v>
      </c>
      <c r="Q1004">
        <f t="shared" si="1020"/>
        <v>-43493421.236211009</v>
      </c>
      <c r="R1004">
        <f t="shared" si="1021"/>
        <v>1206021881.2038643</v>
      </c>
      <c r="S1004">
        <f t="shared" si="1022"/>
        <v>12060.218812038644</v>
      </c>
      <c r="T1004">
        <f t="shared" si="1023"/>
        <v>12.060218812038643</v>
      </c>
    </row>
    <row r="1005" spans="1:20" x14ac:dyDescent="0.25">
      <c r="A1005" s="5">
        <v>43588</v>
      </c>
      <c r="B1005">
        <v>1.1311999999999999E-2</v>
      </c>
      <c r="C1005">
        <v>1.1925E-2</v>
      </c>
      <c r="D1005">
        <v>1.1165E-2</v>
      </c>
      <c r="E1005">
        <v>1.1594E-2</v>
      </c>
      <c r="F1005">
        <v>72721319</v>
      </c>
      <c r="G1005">
        <v>0</v>
      </c>
      <c r="L1005" t="s">
        <v>8</v>
      </c>
      <c r="M1005" t="s">
        <v>8</v>
      </c>
      <c r="N1005" t="s">
        <v>7</v>
      </c>
      <c r="P1005">
        <f t="shared" si="1019"/>
        <v>0.12894736842105373</v>
      </c>
      <c r="Q1005">
        <f t="shared" si="1020"/>
        <v>9377222.7131579742</v>
      </c>
      <c r="R1005">
        <f t="shared" si="1021"/>
        <v>1249515302.4400754</v>
      </c>
      <c r="S1005">
        <f t="shared" si="1022"/>
        <v>12495.153024400754</v>
      </c>
      <c r="T1005">
        <f t="shared" si="1023"/>
        <v>12.495153024400754</v>
      </c>
    </row>
    <row r="1006" spans="1:20" x14ac:dyDescent="0.25">
      <c r="A1006" s="5">
        <v>43587</v>
      </c>
      <c r="B1006">
        <v>1.1361E-2</v>
      </c>
      <c r="C1006">
        <v>1.1694E-2</v>
      </c>
      <c r="D1006">
        <v>1.1037E-2</v>
      </c>
      <c r="E1006">
        <v>1.1313E-2</v>
      </c>
      <c r="F1006">
        <v>40803595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-0.15981735159817237</v>
      </c>
      <c r="Q1006">
        <f t="shared" si="1020"/>
        <v>-6521122.4885844281</v>
      </c>
      <c r="R1006">
        <f t="shared" si="1021"/>
        <v>1240138079.7269175</v>
      </c>
      <c r="S1006">
        <f t="shared" si="1022"/>
        <v>12401.380797269176</v>
      </c>
      <c r="T1006">
        <f t="shared" si="1023"/>
        <v>12.401380797269177</v>
      </c>
    </row>
    <row r="1007" spans="1:20" x14ac:dyDescent="0.25">
      <c r="A1007" s="5">
        <v>43586</v>
      </c>
      <c r="B1007">
        <v>1.132E-2</v>
      </c>
      <c r="C1007">
        <v>1.1535999999999999E-2</v>
      </c>
      <c r="D1007">
        <v>1.1216E-2</v>
      </c>
      <c r="E1007">
        <v>1.1339E-2</v>
      </c>
      <c r="F1007">
        <v>35032426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-0.23124999999999882</v>
      </c>
      <c r="Q1007">
        <f t="shared" si="1020"/>
        <v>-8101248.5124999583</v>
      </c>
      <c r="R1007">
        <f t="shared" si="1021"/>
        <v>1246659202.215502</v>
      </c>
      <c r="S1007">
        <f t="shared" si="1022"/>
        <v>12466.59202215502</v>
      </c>
      <c r="T1007">
        <f t="shared" si="1023"/>
        <v>12.466592022155021</v>
      </c>
    </row>
    <row r="1008" spans="1:20" x14ac:dyDescent="0.25">
      <c r="A1008" s="5">
        <v>43585</v>
      </c>
      <c r="B1008">
        <v>1.0985E-2</v>
      </c>
      <c r="C1008">
        <v>1.1424999999999999E-2</v>
      </c>
      <c r="D1008">
        <v>1.0588999999999999E-2</v>
      </c>
      <c r="E1008">
        <v>1.1332999999999999E-2</v>
      </c>
      <c r="F1008">
        <v>115894569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0.77990430622009554</v>
      </c>
      <c r="Q1008">
        <f t="shared" si="1020"/>
        <v>90386673.430621997</v>
      </c>
      <c r="R1008">
        <f t="shared" si="1021"/>
        <v>1254760450.7280021</v>
      </c>
      <c r="S1008">
        <f t="shared" si="1022"/>
        <v>12547.604507280021</v>
      </c>
      <c r="T1008">
        <f t="shared" si="1023"/>
        <v>12.54760450728002</v>
      </c>
    </row>
    <row r="1009" spans="1:20" x14ac:dyDescent="0.25">
      <c r="A1009" s="5">
        <v>43584</v>
      </c>
      <c r="B1009">
        <v>1.0848999999999999E-2</v>
      </c>
      <c r="C1009">
        <v>1.1367E-2</v>
      </c>
      <c r="D1009">
        <v>1.0109999999999999E-2</v>
      </c>
      <c r="E1009">
        <v>1.0970000000000001E-2</v>
      </c>
      <c r="F1009">
        <v>129744136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0.36833731105807571</v>
      </c>
      <c r="Q1009">
        <f t="shared" si="1020"/>
        <v>47789606.179793276</v>
      </c>
      <c r="R1009">
        <f t="shared" si="1021"/>
        <v>1164373777.29738</v>
      </c>
      <c r="S1009">
        <f t="shared" si="1022"/>
        <v>11643.7377729738</v>
      </c>
      <c r="T1009">
        <f t="shared" si="1023"/>
        <v>11.6437377729738</v>
      </c>
    </row>
    <row r="1010" spans="1:20" x14ac:dyDescent="0.25">
      <c r="A1010" s="5">
        <v>43583</v>
      </c>
      <c r="B1010">
        <v>1.1715E-2</v>
      </c>
      <c r="C1010">
        <v>1.2031E-2</v>
      </c>
      <c r="D1010">
        <v>1.0605E-2</v>
      </c>
      <c r="E1010">
        <v>1.0864E-2</v>
      </c>
      <c r="F1010">
        <v>91221212</v>
      </c>
      <c r="G1010">
        <v>0</v>
      </c>
      <c r="L1010" t="s">
        <v>8</v>
      </c>
      <c r="M1010" t="s">
        <v>8</v>
      </c>
      <c r="N1010" t="s">
        <v>7</v>
      </c>
      <c r="P1010">
        <f t="shared" si="1019"/>
        <v>-0.63674614305750277</v>
      </c>
      <c r="Q1010">
        <f t="shared" si="1020"/>
        <v>-58084754.906030789</v>
      </c>
      <c r="R1010">
        <f t="shared" si="1021"/>
        <v>1116584171.1175866</v>
      </c>
      <c r="S1010">
        <f t="shared" si="1022"/>
        <v>11165.841711175866</v>
      </c>
      <c r="T1010">
        <f t="shared" si="1023"/>
        <v>11.165841711175867</v>
      </c>
    </row>
    <row r="1011" spans="1:20" x14ac:dyDescent="0.25">
      <c r="A1011" s="5">
        <v>43582</v>
      </c>
      <c r="B1011">
        <v>1.0718E-2</v>
      </c>
      <c r="C1011">
        <v>1.1832000000000001E-2</v>
      </c>
      <c r="D1011">
        <v>1.0623E-2</v>
      </c>
      <c r="E1011">
        <v>1.1703E-2</v>
      </c>
      <c r="F1011">
        <v>110701546</v>
      </c>
      <c r="G1011">
        <v>0</v>
      </c>
      <c r="L1011" t="s">
        <v>8</v>
      </c>
      <c r="M1011" t="s">
        <v>8</v>
      </c>
      <c r="N1011" t="s">
        <v>7</v>
      </c>
      <c r="P1011">
        <f t="shared" si="1019"/>
        <v>0.78660049627791462</v>
      </c>
      <c r="Q1011">
        <f t="shared" si="1020"/>
        <v>87077891.0223324</v>
      </c>
      <c r="R1011">
        <f t="shared" si="1021"/>
        <v>1174668926.0236175</v>
      </c>
      <c r="S1011">
        <f t="shared" si="1022"/>
        <v>11746.689260236175</v>
      </c>
      <c r="T1011">
        <f t="shared" si="1023"/>
        <v>11.746689260236176</v>
      </c>
    </row>
    <row r="1012" spans="1:20" x14ac:dyDescent="0.25">
      <c r="A1012" s="5">
        <v>43581</v>
      </c>
      <c r="B1012">
        <v>1.0255E-2</v>
      </c>
      <c r="C1012">
        <v>1.1098999999999999E-2</v>
      </c>
      <c r="D1012">
        <v>9.8180000000000003E-3</v>
      </c>
      <c r="E1012">
        <v>1.0725E-2</v>
      </c>
      <c r="F1012">
        <v>142659321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0.41608118657299048</v>
      </c>
      <c r="Q1012">
        <f t="shared" si="1020"/>
        <v>59357859.557377137</v>
      </c>
      <c r="R1012">
        <f t="shared" si="1021"/>
        <v>1087591035.0012851</v>
      </c>
      <c r="S1012">
        <f t="shared" si="1022"/>
        <v>10875.910350012851</v>
      </c>
      <c r="T1012">
        <f t="shared" si="1023"/>
        <v>10.875910350012852</v>
      </c>
    </row>
    <row r="1013" spans="1:20" x14ac:dyDescent="0.25">
      <c r="A1013" s="5">
        <v>43580</v>
      </c>
      <c r="B1013">
        <v>1.1381E-2</v>
      </c>
      <c r="C1013">
        <v>1.1599999999999999E-2</v>
      </c>
      <c r="D1013">
        <v>1.0106E-2</v>
      </c>
      <c r="E1013">
        <v>1.0255E-2</v>
      </c>
      <c r="F1013">
        <v>109650624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-0.80053547523427049</v>
      </c>
      <c r="Q1013">
        <f t="shared" si="1020"/>
        <v>-87779214.393574312</v>
      </c>
      <c r="R1013">
        <f t="shared" si="1021"/>
        <v>1028233175.4439079</v>
      </c>
      <c r="S1013">
        <f t="shared" si="1022"/>
        <v>10282.331754439079</v>
      </c>
      <c r="T1013">
        <f t="shared" si="1023"/>
        <v>10.282331754439079</v>
      </c>
    </row>
    <row r="1014" spans="1:20" x14ac:dyDescent="0.25">
      <c r="A1014" s="5">
        <v>43579</v>
      </c>
      <c r="B1014">
        <v>1.2003E-2</v>
      </c>
      <c r="C1014">
        <v>1.2173E-2</v>
      </c>
      <c r="D1014">
        <v>1.0364999999999999E-2</v>
      </c>
      <c r="E1014">
        <v>1.146E-2</v>
      </c>
      <c r="F1014">
        <v>147064532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0.21128318584070813</v>
      </c>
      <c r="Q1014">
        <f t="shared" si="1020"/>
        <v>31072262.845132768</v>
      </c>
      <c r="R1014">
        <f t="shared" si="1021"/>
        <v>1116012389.8374822</v>
      </c>
      <c r="S1014">
        <f t="shared" si="1022"/>
        <v>11160.123898374823</v>
      </c>
      <c r="T1014">
        <f t="shared" si="1023"/>
        <v>11.160123898374822</v>
      </c>
    </row>
    <row r="1015" spans="1:20" x14ac:dyDescent="0.25">
      <c r="A1015" s="5">
        <v>43578</v>
      </c>
      <c r="B1015">
        <v>1.3402000000000001E-2</v>
      </c>
      <c r="C1015">
        <v>1.3650000000000001E-2</v>
      </c>
      <c r="D1015">
        <v>1.1950000000000001E-2</v>
      </c>
      <c r="E1015">
        <v>1.2021E-2</v>
      </c>
      <c r="F1015">
        <v>119714607</v>
      </c>
      <c r="G1015">
        <v>0</v>
      </c>
      <c r="L1015" t="s">
        <v>7</v>
      </c>
      <c r="M1015" t="s">
        <v>7</v>
      </c>
      <c r="N1015" t="s">
        <v>7</v>
      </c>
      <c r="P1015">
        <f t="shared" si="1019"/>
        <v>-0.91647058823529426</v>
      </c>
      <c r="Q1015">
        <f t="shared" si="1020"/>
        <v>-109714916.29764707</v>
      </c>
      <c r="R1015">
        <f t="shared" si="1021"/>
        <v>1084940126.9923494</v>
      </c>
      <c r="S1015">
        <f t="shared" si="1022"/>
        <v>10849.401269923494</v>
      </c>
      <c r="T1015">
        <f t="shared" si="1023"/>
        <v>10.849401269923494</v>
      </c>
    </row>
    <row r="1016" spans="1:20" x14ac:dyDescent="0.25">
      <c r="A1016" s="5">
        <v>43577</v>
      </c>
      <c r="B1016">
        <v>1.38E-2</v>
      </c>
      <c r="C1016">
        <v>1.389E-2</v>
      </c>
      <c r="D1016">
        <v>1.3049E-2</v>
      </c>
      <c r="E1016">
        <v>1.3379E-2</v>
      </c>
      <c r="F1016">
        <v>84829136</v>
      </c>
      <c r="G1016">
        <v>0</v>
      </c>
      <c r="L1016" t="s">
        <v>7</v>
      </c>
      <c r="M1016" t="s">
        <v>7</v>
      </c>
      <c r="N1016" t="s">
        <v>7</v>
      </c>
      <c r="P1016">
        <f t="shared" si="1019"/>
        <v>-0.21521997621878589</v>
      </c>
      <c r="Q1016">
        <f t="shared" si="1020"/>
        <v>-18256924.632580154</v>
      </c>
      <c r="R1016">
        <f t="shared" si="1021"/>
        <v>1194655043.2899964</v>
      </c>
      <c r="S1016">
        <f t="shared" si="1022"/>
        <v>11946.550432899963</v>
      </c>
      <c r="T1016">
        <f t="shared" si="1023"/>
        <v>11.946550432899963</v>
      </c>
    </row>
    <row r="1017" spans="1:20" x14ac:dyDescent="0.25">
      <c r="A1017" s="5">
        <v>43576</v>
      </c>
      <c r="B1017">
        <v>1.3615E-2</v>
      </c>
      <c r="C1017">
        <v>1.4318000000000001E-2</v>
      </c>
      <c r="D1017">
        <v>1.242E-2</v>
      </c>
      <c r="E1017">
        <v>1.38E-2</v>
      </c>
      <c r="F1017">
        <v>175981862</v>
      </c>
      <c r="G1017">
        <v>0</v>
      </c>
      <c r="L1017" t="s">
        <v>8</v>
      </c>
      <c r="M1017" t="s">
        <v>7</v>
      </c>
      <c r="N1017" t="s">
        <v>7</v>
      </c>
      <c r="P1017">
        <f t="shared" si="1019"/>
        <v>0.45416227608008325</v>
      </c>
      <c r="Q1017">
        <f t="shared" si="1020"/>
        <v>79924322.994731113</v>
      </c>
      <c r="R1017">
        <f t="shared" si="1021"/>
        <v>1212911967.9225764</v>
      </c>
      <c r="S1017">
        <f t="shared" si="1022"/>
        <v>12129.119679225765</v>
      </c>
      <c r="T1017">
        <f t="shared" si="1023"/>
        <v>12.129119679225765</v>
      </c>
    </row>
    <row r="1018" spans="1:20" x14ac:dyDescent="0.25">
      <c r="A1018" s="5">
        <v>43575</v>
      </c>
      <c r="B1018">
        <v>1.2472E-2</v>
      </c>
      <c r="C1018">
        <v>1.3924000000000001E-2</v>
      </c>
      <c r="D1018">
        <v>1.2305E-2</v>
      </c>
      <c r="E1018">
        <v>1.3653999999999999E-2</v>
      </c>
      <c r="F1018">
        <v>157734139</v>
      </c>
      <c r="G1018">
        <v>0</v>
      </c>
      <c r="L1018" t="s">
        <v>8</v>
      </c>
      <c r="M1018" t="s">
        <v>7</v>
      </c>
      <c r="N1018" t="s">
        <v>7</v>
      </c>
      <c r="P1018">
        <f t="shared" si="1019"/>
        <v>0.66646077825818284</v>
      </c>
      <c r="Q1018">
        <f t="shared" si="1020"/>
        <v>105123617.03582439</v>
      </c>
      <c r="R1018">
        <f t="shared" si="1021"/>
        <v>1132987644.9278452</v>
      </c>
      <c r="S1018">
        <f t="shared" si="1022"/>
        <v>11329.876449278452</v>
      </c>
      <c r="T1018">
        <f t="shared" si="1023"/>
        <v>11.329876449278451</v>
      </c>
    </row>
    <row r="1019" spans="1:20" x14ac:dyDescent="0.25">
      <c r="A1019" s="5">
        <v>43574</v>
      </c>
      <c r="B1019">
        <v>1.2803999999999999E-2</v>
      </c>
      <c r="C1019">
        <v>1.2803999999999999E-2</v>
      </c>
      <c r="D1019">
        <v>1.2204E-2</v>
      </c>
      <c r="E1019">
        <v>1.2452E-2</v>
      </c>
      <c r="F1019">
        <v>72506636</v>
      </c>
      <c r="G1019">
        <v>0</v>
      </c>
      <c r="L1019" t="s">
        <v>7</v>
      </c>
      <c r="M1019" t="s">
        <v>7</v>
      </c>
      <c r="N1019" t="s">
        <v>7</v>
      </c>
      <c r="P1019">
        <f t="shared" si="1019"/>
        <v>-0.17333333333333326</v>
      </c>
      <c r="Q1019">
        <f t="shared" si="1020"/>
        <v>-12567816.906666661</v>
      </c>
      <c r="R1019">
        <f t="shared" si="1021"/>
        <v>1027864027.8920209</v>
      </c>
      <c r="S1019">
        <f t="shared" si="1022"/>
        <v>10278.640278920209</v>
      </c>
      <c r="T1019">
        <f t="shared" si="1023"/>
        <v>10.278640278920209</v>
      </c>
    </row>
    <row r="1020" spans="1:20" x14ac:dyDescent="0.25">
      <c r="A1020" s="5">
        <v>43573</v>
      </c>
      <c r="B1020">
        <v>1.285E-2</v>
      </c>
      <c r="C1020">
        <v>1.3223E-2</v>
      </c>
      <c r="D1020">
        <v>1.259E-2</v>
      </c>
      <c r="E1020">
        <v>1.2818E-2</v>
      </c>
      <c r="F1020">
        <v>68671088</v>
      </c>
      <c r="G1020">
        <v>0</v>
      </c>
      <c r="L1020" t="s">
        <v>8</v>
      </c>
      <c r="M1020" t="s">
        <v>7</v>
      </c>
      <c r="N1020" t="s">
        <v>7</v>
      </c>
      <c r="P1020">
        <f t="shared" si="1019"/>
        <v>-0.27962085308057161</v>
      </c>
      <c r="Q1020">
        <f t="shared" si="1020"/>
        <v>-19201868.208531003</v>
      </c>
      <c r="R1020">
        <f t="shared" si="1021"/>
        <v>1040431844.7986876</v>
      </c>
      <c r="S1020">
        <f t="shared" si="1022"/>
        <v>10404.318447986876</v>
      </c>
      <c r="T1020">
        <f t="shared" si="1023"/>
        <v>10.404318447986876</v>
      </c>
    </row>
    <row r="1021" spans="1:20" x14ac:dyDescent="0.25">
      <c r="A1021" s="5">
        <v>43572</v>
      </c>
      <c r="B1021">
        <v>1.2943E-2</v>
      </c>
      <c r="C1021">
        <v>1.32E-2</v>
      </c>
      <c r="D1021">
        <v>1.2442999999999999E-2</v>
      </c>
      <c r="E1021">
        <v>1.2886999999999999E-2</v>
      </c>
      <c r="F1021">
        <v>66851328</v>
      </c>
      <c r="G1021">
        <v>0</v>
      </c>
      <c r="L1021" t="s">
        <v>8</v>
      </c>
      <c r="M1021" t="s">
        <v>7</v>
      </c>
      <c r="N1021" t="s">
        <v>7</v>
      </c>
      <c r="P1021">
        <f t="shared" si="1019"/>
        <v>0.17305151915455622</v>
      </c>
      <c r="Q1021">
        <f t="shared" si="1020"/>
        <v>11568723.86789952</v>
      </c>
      <c r="R1021">
        <f t="shared" si="1021"/>
        <v>1059633713.0072186</v>
      </c>
      <c r="S1021">
        <f t="shared" si="1022"/>
        <v>10596.337130072186</v>
      </c>
      <c r="T1021">
        <f t="shared" si="1023"/>
        <v>10.596337130072186</v>
      </c>
    </row>
    <row r="1022" spans="1:20" x14ac:dyDescent="0.25">
      <c r="A1022" s="5">
        <v>43571</v>
      </c>
      <c r="B1022">
        <v>1.2630000000000001E-2</v>
      </c>
      <c r="C1022">
        <v>1.3075E-2</v>
      </c>
      <c r="D1022">
        <v>1.2258E-2</v>
      </c>
      <c r="E1022">
        <v>1.2954E-2</v>
      </c>
      <c r="F1022">
        <v>82314073</v>
      </c>
      <c r="G1022">
        <v>0</v>
      </c>
      <c r="L1022" t="s">
        <v>7</v>
      </c>
      <c r="M1022" t="s">
        <v>7</v>
      </c>
      <c r="N1022" t="s">
        <v>7</v>
      </c>
      <c r="P1022">
        <f t="shared" si="1019"/>
        <v>0.70379436964504383</v>
      </c>
      <c r="Q1022">
        <f t="shared" si="1020"/>
        <v>57932181.119951122</v>
      </c>
      <c r="R1022">
        <f t="shared" si="1021"/>
        <v>1048064989.1393191</v>
      </c>
      <c r="S1022">
        <f t="shared" si="1022"/>
        <v>10480.64989139319</v>
      </c>
      <c r="T1022">
        <f t="shared" si="1023"/>
        <v>10.48064989139319</v>
      </c>
    </row>
    <row r="1023" spans="1:20" x14ac:dyDescent="0.25">
      <c r="A1023" s="5">
        <v>43570</v>
      </c>
      <c r="B1023">
        <v>1.3899999999999999E-2</v>
      </c>
      <c r="C1023">
        <v>1.3974E-2</v>
      </c>
      <c r="D1023">
        <v>1.2204E-2</v>
      </c>
      <c r="E1023">
        <v>1.264E-2</v>
      </c>
      <c r="F1023">
        <v>117613811</v>
      </c>
      <c r="G1023">
        <v>0</v>
      </c>
      <c r="L1023" t="s">
        <v>7</v>
      </c>
      <c r="M1023" t="s">
        <v>7</v>
      </c>
      <c r="N1023" t="s">
        <v>7</v>
      </c>
      <c r="P1023">
        <f t="shared" ref="P1023:P1047" si="1024">IF(C1023=D1023,0,((E1023-D1023)-(C1023-E1023))/(C1023-D1023))</f>
        <v>-0.50734463276836106</v>
      </c>
      <c r="Q1023">
        <f t="shared" ref="Q1023:Q1047" si="1025">F1023*P1023</f>
        <v>-59670735.750282422</v>
      </c>
      <c r="R1023">
        <f t="shared" ref="R1023:R1047" si="1026">R1024+Q1023</f>
        <v>990132808.01936793</v>
      </c>
      <c r="S1023">
        <f t="shared" ref="S1023:S1047" si="1027">R1023/100000</f>
        <v>9901.3280801936799</v>
      </c>
      <c r="T1023">
        <f t="shared" ref="T1023:T1047" si="1028">S1023/1000</f>
        <v>9.9013280801936805</v>
      </c>
    </row>
    <row r="1024" spans="1:20" x14ac:dyDescent="0.25">
      <c r="A1024" s="5">
        <v>43569</v>
      </c>
      <c r="B1024">
        <v>1.3499000000000001E-2</v>
      </c>
      <c r="C1024">
        <v>1.3899999999999999E-2</v>
      </c>
      <c r="D1024">
        <v>1.311E-2</v>
      </c>
      <c r="E1024">
        <v>1.3899999999999999E-2</v>
      </c>
      <c r="F1024">
        <v>80032586</v>
      </c>
      <c r="G1024">
        <v>0</v>
      </c>
      <c r="L1024" t="s">
        <v>8</v>
      </c>
      <c r="M1024" t="s">
        <v>7</v>
      </c>
      <c r="N1024" t="s">
        <v>7</v>
      </c>
      <c r="P1024">
        <f t="shared" si="1024"/>
        <v>1</v>
      </c>
      <c r="Q1024">
        <f t="shared" si="1025"/>
        <v>80032586</v>
      </c>
      <c r="R1024">
        <f t="shared" si="1026"/>
        <v>1049803543.7696503</v>
      </c>
      <c r="S1024">
        <f t="shared" si="1027"/>
        <v>10498.035437696504</v>
      </c>
      <c r="T1024">
        <f t="shared" si="1028"/>
        <v>10.498035437696505</v>
      </c>
    </row>
    <row r="1025" spans="1:20" x14ac:dyDescent="0.25">
      <c r="A1025" s="5">
        <v>43568</v>
      </c>
      <c r="B1025">
        <v>1.3165E-2</v>
      </c>
      <c r="C1025">
        <v>1.4146000000000001E-2</v>
      </c>
      <c r="D1025">
        <v>1.303E-2</v>
      </c>
      <c r="E1025">
        <v>1.355E-2</v>
      </c>
      <c r="F1025">
        <v>157909941</v>
      </c>
      <c r="G1025">
        <v>0</v>
      </c>
      <c r="L1025" t="s">
        <v>8</v>
      </c>
      <c r="M1025" t="s">
        <v>7</v>
      </c>
      <c r="N1025" t="s">
        <v>7</v>
      </c>
      <c r="P1025">
        <f t="shared" si="1024"/>
        <v>-6.8100358422940294E-2</v>
      </c>
      <c r="Q1025">
        <f t="shared" si="1025"/>
        <v>-10753723.580645354</v>
      </c>
      <c r="R1025">
        <f t="shared" si="1026"/>
        <v>969770957.76965034</v>
      </c>
      <c r="S1025">
        <f t="shared" si="1027"/>
        <v>9697.7095776965034</v>
      </c>
      <c r="T1025">
        <f t="shared" si="1028"/>
        <v>9.6977095776965037</v>
      </c>
    </row>
    <row r="1026" spans="1:20" x14ac:dyDescent="0.25">
      <c r="A1026" s="5">
        <v>43567</v>
      </c>
      <c r="B1026">
        <v>1.3050000000000001E-2</v>
      </c>
      <c r="C1026">
        <v>1.3554999999999999E-2</v>
      </c>
      <c r="D1026">
        <v>1.21E-2</v>
      </c>
      <c r="E1026">
        <v>1.3174E-2</v>
      </c>
      <c r="F1026">
        <v>149735401</v>
      </c>
      <c r="G1026">
        <v>0</v>
      </c>
      <c r="L1026" t="s">
        <v>8</v>
      </c>
      <c r="M1026" t="s">
        <v>7</v>
      </c>
      <c r="N1026" t="s">
        <v>7</v>
      </c>
      <c r="P1026">
        <f t="shared" si="1024"/>
        <v>0.47628865979381518</v>
      </c>
      <c r="Q1026">
        <f t="shared" si="1025"/>
        <v>71317273.465979487</v>
      </c>
      <c r="R1026">
        <f t="shared" si="1026"/>
        <v>980524681.35029566</v>
      </c>
      <c r="S1026">
        <f t="shared" si="1027"/>
        <v>9805.2468135029558</v>
      </c>
      <c r="T1026">
        <f t="shared" si="1028"/>
        <v>9.805246813502956</v>
      </c>
    </row>
    <row r="1027" spans="1:20" x14ac:dyDescent="0.25">
      <c r="A1027" s="5">
        <v>43566</v>
      </c>
      <c r="B1027">
        <v>1.5154000000000001E-2</v>
      </c>
      <c r="C1027">
        <v>1.5169999999999999E-2</v>
      </c>
      <c r="D1027">
        <v>1.2141000000000001E-2</v>
      </c>
      <c r="E1027">
        <v>1.3089999999999999E-2</v>
      </c>
      <c r="F1027">
        <v>340491429</v>
      </c>
      <c r="G1027">
        <v>0</v>
      </c>
      <c r="L1027" t="s">
        <v>7</v>
      </c>
      <c r="M1027" t="s">
        <v>7</v>
      </c>
      <c r="N1027" t="s">
        <v>7</v>
      </c>
      <c r="P1027">
        <f t="shared" si="1024"/>
        <v>-0.37339055793991494</v>
      </c>
      <c r="Q1027">
        <f t="shared" si="1025"/>
        <v>-127136284.64806893</v>
      </c>
      <c r="R1027">
        <f t="shared" si="1026"/>
        <v>909207407.88431621</v>
      </c>
      <c r="S1027">
        <f t="shared" si="1027"/>
        <v>9092.0740788431613</v>
      </c>
      <c r="T1027">
        <f t="shared" si="1028"/>
        <v>9.0920740788431615</v>
      </c>
    </row>
    <row r="1028" spans="1:20" x14ac:dyDescent="0.25">
      <c r="A1028" s="5">
        <v>43565</v>
      </c>
      <c r="B1028">
        <v>1.5070999999999999E-2</v>
      </c>
      <c r="C1028">
        <v>1.6025999999999999E-2</v>
      </c>
      <c r="D1028">
        <v>1.4291999999999999E-2</v>
      </c>
      <c r="E1028">
        <v>1.5167E-2</v>
      </c>
      <c r="F1028">
        <v>175969010</v>
      </c>
      <c r="G1028">
        <v>0</v>
      </c>
      <c r="L1028" t="s">
        <v>8</v>
      </c>
      <c r="M1028" t="s">
        <v>7</v>
      </c>
      <c r="N1028" t="s">
        <v>8</v>
      </c>
      <c r="P1028">
        <f t="shared" si="1024"/>
        <v>9.2272202998858882E-3</v>
      </c>
      <c r="Q1028">
        <f t="shared" si="1025"/>
        <v>1623704.8212228229</v>
      </c>
      <c r="R1028">
        <f t="shared" si="1026"/>
        <v>1036343692.5323851</v>
      </c>
      <c r="S1028">
        <f t="shared" si="1027"/>
        <v>10363.436925323851</v>
      </c>
      <c r="T1028">
        <f t="shared" si="1028"/>
        <v>10.363436925323851</v>
      </c>
    </row>
    <row r="1029" spans="1:20" x14ac:dyDescent="0.25">
      <c r="A1029" s="5">
        <v>43564</v>
      </c>
      <c r="B1029">
        <v>1.5178000000000001E-2</v>
      </c>
      <c r="C1029">
        <v>1.5417E-2</v>
      </c>
      <c r="D1029">
        <v>1.4258E-2</v>
      </c>
      <c r="E1029">
        <v>1.5037E-2</v>
      </c>
      <c r="F1029">
        <v>154957738</v>
      </c>
      <c r="G1029">
        <v>0</v>
      </c>
      <c r="L1029" t="s">
        <v>8</v>
      </c>
      <c r="M1029" t="s">
        <v>7</v>
      </c>
      <c r="N1029" t="s">
        <v>8</v>
      </c>
      <c r="P1029">
        <f t="shared" si="1024"/>
        <v>0.34426229508196715</v>
      </c>
      <c r="Q1029">
        <f t="shared" si="1025"/>
        <v>53346106.524590157</v>
      </c>
      <c r="R1029">
        <f t="shared" si="1026"/>
        <v>1034719987.7111623</v>
      </c>
      <c r="S1029">
        <f t="shared" si="1027"/>
        <v>10347.199877111623</v>
      </c>
      <c r="T1029">
        <f t="shared" si="1028"/>
        <v>10.347199877111624</v>
      </c>
    </row>
    <row r="1030" spans="1:20" x14ac:dyDescent="0.25">
      <c r="A1030" s="5">
        <v>43563</v>
      </c>
      <c r="B1030">
        <v>1.6167999999999998E-2</v>
      </c>
      <c r="C1030">
        <v>1.7600000000000001E-2</v>
      </c>
      <c r="D1030">
        <v>1.4281E-2</v>
      </c>
      <c r="E1030">
        <v>1.5136E-2</v>
      </c>
      <c r="F1030">
        <v>427294825</v>
      </c>
      <c r="G1030">
        <v>0</v>
      </c>
      <c r="L1030" t="s">
        <v>7</v>
      </c>
      <c r="M1030" t="s">
        <v>7</v>
      </c>
      <c r="N1030" t="s">
        <v>8</v>
      </c>
      <c r="P1030">
        <f t="shared" si="1024"/>
        <v>-0.4847845736667673</v>
      </c>
      <c r="Q1030">
        <f t="shared" si="1025"/>
        <v>-207145939.56764093</v>
      </c>
      <c r="R1030">
        <f t="shared" si="1026"/>
        <v>981373881.18657219</v>
      </c>
      <c r="S1030">
        <f t="shared" si="1027"/>
        <v>9813.7388118657218</v>
      </c>
      <c r="T1030">
        <f t="shared" si="1028"/>
        <v>9.8137388118657221</v>
      </c>
    </row>
    <row r="1031" spans="1:20" x14ac:dyDescent="0.25">
      <c r="A1031" s="5">
        <v>43562</v>
      </c>
      <c r="B1031">
        <v>1.6546000000000002E-2</v>
      </c>
      <c r="C1031">
        <v>1.7049999999999999E-2</v>
      </c>
      <c r="D1031">
        <v>1.5623E-2</v>
      </c>
      <c r="E1031">
        <v>1.6249E-2</v>
      </c>
      <c r="F1031">
        <v>154661672</v>
      </c>
      <c r="G1031">
        <v>0</v>
      </c>
      <c r="L1031" t="s">
        <v>7</v>
      </c>
      <c r="M1031" t="s">
        <v>7</v>
      </c>
      <c r="N1031" t="s">
        <v>8</v>
      </c>
      <c r="P1031">
        <f t="shared" si="1024"/>
        <v>-0.12263489838822696</v>
      </c>
      <c r="Q1031">
        <f t="shared" si="1025"/>
        <v>-18966918.430273287</v>
      </c>
      <c r="R1031">
        <f t="shared" si="1026"/>
        <v>1188519820.7542131</v>
      </c>
      <c r="S1031">
        <f t="shared" si="1027"/>
        <v>11885.198207542131</v>
      </c>
      <c r="T1031">
        <f t="shared" si="1028"/>
        <v>11.885198207542132</v>
      </c>
    </row>
    <row r="1032" spans="1:20" x14ac:dyDescent="0.25">
      <c r="A1032" s="5">
        <v>43561</v>
      </c>
      <c r="B1032">
        <v>1.7978999999999998E-2</v>
      </c>
      <c r="C1032">
        <v>1.8322000000000001E-2</v>
      </c>
      <c r="D1032">
        <v>1.6102999999999999E-2</v>
      </c>
      <c r="E1032">
        <v>1.6639999999999999E-2</v>
      </c>
      <c r="F1032">
        <v>302058354</v>
      </c>
      <c r="G1032">
        <v>0</v>
      </c>
      <c r="L1032" t="s">
        <v>7</v>
      </c>
      <c r="M1032" t="s">
        <v>8</v>
      </c>
      <c r="N1032" t="s">
        <v>8</v>
      </c>
      <c r="P1032">
        <f t="shared" si="1024"/>
        <v>-0.51599819738621111</v>
      </c>
      <c r="Q1032">
        <f t="shared" si="1025"/>
        <v>-155861566.16944602</v>
      </c>
      <c r="R1032">
        <f t="shared" si="1026"/>
        <v>1207486739.1844864</v>
      </c>
      <c r="S1032">
        <f t="shared" si="1027"/>
        <v>12074.867391844864</v>
      </c>
      <c r="T1032">
        <f t="shared" si="1028"/>
        <v>12.074867391844863</v>
      </c>
    </row>
    <row r="1033" spans="1:20" x14ac:dyDescent="0.25">
      <c r="A1033" s="5">
        <v>43560</v>
      </c>
      <c r="B1033">
        <v>1.6421000000000002E-2</v>
      </c>
      <c r="C1033">
        <v>1.8599999999999998E-2</v>
      </c>
      <c r="D1033">
        <v>1.5810000000000001E-2</v>
      </c>
      <c r="E1033">
        <v>1.8020999999999999E-2</v>
      </c>
      <c r="F1033">
        <v>354457992</v>
      </c>
      <c r="G1033">
        <v>0</v>
      </c>
      <c r="L1033" t="s">
        <v>8</v>
      </c>
      <c r="M1033" t="s">
        <v>8</v>
      </c>
      <c r="N1033" t="s">
        <v>8</v>
      </c>
      <c r="P1033">
        <f t="shared" si="1024"/>
        <v>0.58494623655913969</v>
      </c>
      <c r="Q1033">
        <f t="shared" si="1025"/>
        <v>207338868.43870965</v>
      </c>
      <c r="R1033">
        <f t="shared" si="1026"/>
        <v>1363348305.3539324</v>
      </c>
      <c r="S1033">
        <f t="shared" si="1027"/>
        <v>13633.483053539323</v>
      </c>
      <c r="T1033">
        <f t="shared" si="1028"/>
        <v>13.633483053539322</v>
      </c>
    </row>
    <row r="1034" spans="1:20" x14ac:dyDescent="0.25">
      <c r="A1034" s="5">
        <v>43559</v>
      </c>
      <c r="B1034">
        <v>1.3469999999999999E-2</v>
      </c>
      <c r="C1034">
        <v>1.6855999999999999E-2</v>
      </c>
      <c r="D1034">
        <v>1.3195E-2</v>
      </c>
      <c r="E1034">
        <v>1.6421000000000002E-2</v>
      </c>
      <c r="F1034">
        <v>508775535</v>
      </c>
      <c r="G1034">
        <v>0</v>
      </c>
      <c r="L1034" t="s">
        <v>8</v>
      </c>
      <c r="M1034" t="s">
        <v>8</v>
      </c>
      <c r="N1034" t="s">
        <v>8</v>
      </c>
      <c r="P1034">
        <f t="shared" si="1024"/>
        <v>0.7623600109259776</v>
      </c>
      <c r="Q1034">
        <f t="shared" si="1025"/>
        <v>387870122.42147011</v>
      </c>
      <c r="R1034">
        <f t="shared" si="1026"/>
        <v>1156009436.9152226</v>
      </c>
      <c r="S1034">
        <f t="shared" si="1027"/>
        <v>11560.094369152226</v>
      </c>
      <c r="T1034">
        <f t="shared" si="1028"/>
        <v>11.560094369152226</v>
      </c>
    </row>
    <row r="1035" spans="1:20" x14ac:dyDescent="0.25">
      <c r="A1035" s="5">
        <v>43558</v>
      </c>
      <c r="B1035">
        <v>1.2482E-2</v>
      </c>
      <c r="C1035">
        <v>1.4909E-2</v>
      </c>
      <c r="D1035">
        <v>1.1792E-2</v>
      </c>
      <c r="E1035">
        <v>1.3431999999999999E-2</v>
      </c>
      <c r="F1035">
        <v>294645122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5.229387231312102E-2</v>
      </c>
      <c r="Q1035">
        <f t="shared" si="1025"/>
        <v>15408134.387551965</v>
      </c>
      <c r="R1035">
        <f t="shared" si="1026"/>
        <v>768139314.4937526</v>
      </c>
      <c r="S1035">
        <f t="shared" si="1027"/>
        <v>7681.3931449375259</v>
      </c>
      <c r="T1035">
        <f t="shared" si="1028"/>
        <v>7.6813931449375259</v>
      </c>
    </row>
    <row r="1036" spans="1:20" x14ac:dyDescent="0.25">
      <c r="A1036" s="5">
        <v>43557</v>
      </c>
      <c r="B1036">
        <v>1.1403999999999999E-2</v>
      </c>
      <c r="C1036">
        <v>1.3202E-2</v>
      </c>
      <c r="D1036">
        <v>1.1375E-2</v>
      </c>
      <c r="E1036">
        <v>1.2482E-2</v>
      </c>
      <c r="F1036">
        <v>353075471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0.21182266009852221</v>
      </c>
      <c r="Q1036">
        <f t="shared" si="1025"/>
        <v>74789385.482758641</v>
      </c>
      <c r="R1036">
        <f t="shared" si="1026"/>
        <v>752731180.10620058</v>
      </c>
      <c r="S1036">
        <f t="shared" si="1027"/>
        <v>7527.3118010620055</v>
      </c>
      <c r="T1036">
        <f t="shared" si="1028"/>
        <v>7.5273118010620053</v>
      </c>
    </row>
    <row r="1037" spans="1:20" x14ac:dyDescent="0.25">
      <c r="A1037" s="5">
        <v>43556</v>
      </c>
      <c r="B1037">
        <v>9.8910000000000005E-3</v>
      </c>
      <c r="C1037">
        <v>1.17E-2</v>
      </c>
      <c r="D1037">
        <v>9.7999999999999997E-3</v>
      </c>
      <c r="E1037">
        <v>1.1403E-2</v>
      </c>
      <c r="F1037">
        <v>264704128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0.6873684210526313</v>
      </c>
      <c r="Q1037">
        <f t="shared" si="1025"/>
        <v>181949258.50947362</v>
      </c>
      <c r="R1037">
        <f t="shared" si="1026"/>
        <v>677941794.62344193</v>
      </c>
      <c r="S1037">
        <f t="shared" si="1027"/>
        <v>6779.4179462344191</v>
      </c>
      <c r="T1037">
        <f t="shared" si="1028"/>
        <v>6.7794179462344193</v>
      </c>
    </row>
    <row r="1038" spans="1:20" x14ac:dyDescent="0.25">
      <c r="A1038" s="5">
        <v>43555</v>
      </c>
      <c r="B1038">
        <v>9.7610000000000006E-3</v>
      </c>
      <c r="C1038">
        <v>1.0005E-2</v>
      </c>
      <c r="D1038">
        <v>9.4120000000000002E-3</v>
      </c>
      <c r="E1038">
        <v>9.887E-3</v>
      </c>
      <c r="F1038">
        <v>79863881</v>
      </c>
      <c r="G1038">
        <v>0</v>
      </c>
      <c r="L1038" t="s">
        <v>7</v>
      </c>
      <c r="M1038" t="s">
        <v>8</v>
      </c>
      <c r="N1038" t="s">
        <v>7</v>
      </c>
      <c r="P1038">
        <f t="shared" si="1024"/>
        <v>0.60202360876897099</v>
      </c>
      <c r="Q1038">
        <f t="shared" si="1025"/>
        <v>48079941.849915653</v>
      </c>
      <c r="R1038">
        <f t="shared" si="1026"/>
        <v>495992536.11396837</v>
      </c>
      <c r="S1038">
        <f t="shared" si="1027"/>
        <v>4959.9253611396834</v>
      </c>
      <c r="T1038">
        <f t="shared" si="1028"/>
        <v>4.9599253611396836</v>
      </c>
    </row>
    <row r="1039" spans="1:20" x14ac:dyDescent="0.25">
      <c r="A1039" s="5">
        <v>43554</v>
      </c>
      <c r="B1039">
        <v>1.0374E-2</v>
      </c>
      <c r="C1039">
        <v>1.0395E-2</v>
      </c>
      <c r="D1039">
        <v>9.5720000000000006E-3</v>
      </c>
      <c r="E1039">
        <v>9.7599999999999996E-3</v>
      </c>
      <c r="F1039">
        <v>153916494</v>
      </c>
      <c r="G1039">
        <v>0</v>
      </c>
      <c r="L1039" t="s">
        <v>7</v>
      </c>
      <c r="M1039" t="s">
        <v>8</v>
      </c>
      <c r="N1039" t="s">
        <v>7</v>
      </c>
      <c r="P1039">
        <f t="shared" si="1024"/>
        <v>-0.54313487241798508</v>
      </c>
      <c r="Q1039">
        <f t="shared" si="1025"/>
        <v>-83597415.331713572</v>
      </c>
      <c r="R1039">
        <f t="shared" si="1026"/>
        <v>447912594.26405275</v>
      </c>
      <c r="S1039">
        <f t="shared" si="1027"/>
        <v>4479.1259426405277</v>
      </c>
      <c r="T1039">
        <f t="shared" si="1028"/>
        <v>4.4791259426405281</v>
      </c>
    </row>
    <row r="1040" spans="1:20" x14ac:dyDescent="0.25">
      <c r="A1040" s="5">
        <v>43553</v>
      </c>
      <c r="B1040">
        <v>8.6990000000000001E-3</v>
      </c>
      <c r="C1040">
        <v>1.0500000000000001E-2</v>
      </c>
      <c r="D1040">
        <v>8.6990000000000001E-3</v>
      </c>
      <c r="E1040">
        <v>1.0359E-2</v>
      </c>
      <c r="F1040">
        <v>275623278</v>
      </c>
      <c r="G1040">
        <v>0</v>
      </c>
      <c r="L1040" t="s">
        <v>8</v>
      </c>
      <c r="M1040" t="s">
        <v>8</v>
      </c>
      <c r="N1040" t="s">
        <v>7</v>
      </c>
      <c r="P1040">
        <f t="shared" si="1024"/>
        <v>0.84342032204330875</v>
      </c>
      <c r="Q1040">
        <f t="shared" si="1025"/>
        <v>232466273.89339241</v>
      </c>
      <c r="R1040">
        <f t="shared" si="1026"/>
        <v>531510009.59576631</v>
      </c>
      <c r="S1040">
        <f t="shared" si="1027"/>
        <v>5315.1000959576631</v>
      </c>
      <c r="T1040">
        <f t="shared" si="1028"/>
        <v>5.3151000959576633</v>
      </c>
    </row>
    <row r="1041" spans="1:20" x14ac:dyDescent="0.25">
      <c r="A1041" s="5">
        <v>43552</v>
      </c>
      <c r="B1041">
        <v>8.6169999999999997E-3</v>
      </c>
      <c r="C1041">
        <v>8.8129999999999997E-3</v>
      </c>
      <c r="D1041">
        <v>8.4349999999999998E-3</v>
      </c>
      <c r="E1041">
        <v>8.7060000000000002E-3</v>
      </c>
      <c r="F1041">
        <v>71591763</v>
      </c>
      <c r="G1041">
        <v>0</v>
      </c>
      <c r="L1041" t="s">
        <v>8</v>
      </c>
      <c r="M1041" t="s">
        <v>7</v>
      </c>
      <c r="N1041" t="s">
        <v>7</v>
      </c>
      <c r="P1041">
        <f t="shared" si="1024"/>
        <v>0.43386243386243656</v>
      </c>
      <c r="Q1041">
        <f t="shared" si="1025"/>
        <v>31060976.539682731</v>
      </c>
      <c r="R1041">
        <f t="shared" si="1026"/>
        <v>299043735.70237386</v>
      </c>
      <c r="S1041">
        <f t="shared" si="1027"/>
        <v>2990.4373570237385</v>
      </c>
      <c r="T1041">
        <f t="shared" si="1028"/>
        <v>2.9904373570237386</v>
      </c>
    </row>
    <row r="1042" spans="1:20" x14ac:dyDescent="0.25">
      <c r="A1042" s="5">
        <v>43551</v>
      </c>
      <c r="B1042">
        <v>8.2430000000000003E-3</v>
      </c>
      <c r="C1042">
        <v>8.8839999999999995E-3</v>
      </c>
      <c r="D1042">
        <v>8.1810000000000008E-3</v>
      </c>
      <c r="E1042">
        <v>8.6169999999999997E-3</v>
      </c>
      <c r="F1042">
        <v>1240701351</v>
      </c>
      <c r="G1042">
        <v>0</v>
      </c>
      <c r="L1042" t="s">
        <v>8</v>
      </c>
      <c r="M1042" t="s">
        <v>7</v>
      </c>
      <c r="N1042" t="s">
        <v>7</v>
      </c>
      <c r="P1042">
        <f t="shared" si="1024"/>
        <v>0.24039829302987101</v>
      </c>
      <c r="Q1042">
        <f t="shared" si="1025"/>
        <v>298262486.94025487</v>
      </c>
      <c r="R1042">
        <f t="shared" si="1026"/>
        <v>267982759.16269112</v>
      </c>
      <c r="S1042">
        <f t="shared" si="1027"/>
        <v>2679.8275916269113</v>
      </c>
      <c r="T1042">
        <f t="shared" si="1028"/>
        <v>2.6798275916269114</v>
      </c>
    </row>
    <row r="1043" spans="1:20" x14ac:dyDescent="0.25">
      <c r="A1043" s="5">
        <v>43550</v>
      </c>
      <c r="B1043">
        <v>8.1359999999999991E-3</v>
      </c>
      <c r="C1043">
        <v>8.4950000000000008E-3</v>
      </c>
      <c r="D1043">
        <v>7.8709999999999995E-3</v>
      </c>
      <c r="E1043">
        <v>8.2520000000000007E-3</v>
      </c>
      <c r="F1043">
        <v>352720832</v>
      </c>
      <c r="G1043">
        <v>0</v>
      </c>
      <c r="L1043" t="s">
        <v>8</v>
      </c>
      <c r="M1043" t="s">
        <v>7</v>
      </c>
      <c r="N1043" t="s">
        <v>7</v>
      </c>
      <c r="P1043">
        <f t="shared" si="1024"/>
        <v>0.22115384615384726</v>
      </c>
      <c r="Q1043">
        <f t="shared" si="1025"/>
        <v>78005568.615385011</v>
      </c>
      <c r="R1043">
        <f t="shared" si="1026"/>
        <v>-30279727.777563751</v>
      </c>
      <c r="S1043">
        <f t="shared" si="1027"/>
        <v>-302.7972777756375</v>
      </c>
      <c r="T1043">
        <f t="shared" si="1028"/>
        <v>-0.30279727777563747</v>
      </c>
    </row>
    <row r="1044" spans="1:20" x14ac:dyDescent="0.25">
      <c r="A1044" s="5">
        <v>43549</v>
      </c>
      <c r="B1044">
        <v>8.5599999999999999E-3</v>
      </c>
      <c r="C1044">
        <v>8.5909999999999997E-3</v>
      </c>
      <c r="D1044">
        <v>7.9670000000000001E-3</v>
      </c>
      <c r="E1044">
        <v>8.1379999999999994E-3</v>
      </c>
      <c r="F1044">
        <v>391152943</v>
      </c>
      <c r="G1044">
        <v>0</v>
      </c>
      <c r="L1044" t="s">
        <v>7</v>
      </c>
      <c r="M1044" t="s">
        <v>7</v>
      </c>
      <c r="N1044" t="s">
        <v>7</v>
      </c>
      <c r="P1044">
        <f t="shared" si="1024"/>
        <v>-0.45192307692307887</v>
      </c>
      <c r="Q1044">
        <f t="shared" si="1025"/>
        <v>-176771041.54807767</v>
      </c>
      <c r="R1044">
        <f t="shared" si="1026"/>
        <v>-108285296.39294876</v>
      </c>
      <c r="S1044">
        <f t="shared" si="1027"/>
        <v>-1082.8529639294877</v>
      </c>
      <c r="T1044">
        <f t="shared" si="1028"/>
        <v>-1.0828529639294877</v>
      </c>
    </row>
    <row r="1045" spans="1:20" x14ac:dyDescent="0.25">
      <c r="A1045" s="5">
        <v>43548</v>
      </c>
      <c r="B1045">
        <v>8.8330000000000006E-3</v>
      </c>
      <c r="C1045">
        <v>8.8419999999999992E-3</v>
      </c>
      <c r="D1045">
        <v>8.3619999999999996E-3</v>
      </c>
      <c r="E1045">
        <v>8.5609999999999992E-3</v>
      </c>
      <c r="F1045">
        <v>772263905</v>
      </c>
      <c r="G1045">
        <v>0</v>
      </c>
      <c r="L1045" t="s">
        <v>7</v>
      </c>
      <c r="M1045" t="s">
        <v>7</v>
      </c>
      <c r="N1045" t="s">
        <v>7</v>
      </c>
      <c r="P1045">
        <f t="shared" si="1024"/>
        <v>-0.1708333333333345</v>
      </c>
      <c r="Q1045">
        <f t="shared" si="1025"/>
        <v>-131928417.10416757</v>
      </c>
      <c r="R1045">
        <f t="shared" si="1026"/>
        <v>68485745.155128911</v>
      </c>
      <c r="S1045">
        <f t="shared" si="1027"/>
        <v>684.85745155128916</v>
      </c>
      <c r="T1045">
        <f t="shared" si="1028"/>
        <v>0.68485745155128919</v>
      </c>
    </row>
    <row r="1046" spans="1:20" x14ac:dyDescent="0.25">
      <c r="A1046" s="5">
        <v>43547</v>
      </c>
      <c r="B1046">
        <v>8.5570000000000004E-3</v>
      </c>
      <c r="C1046">
        <v>8.9130000000000008E-3</v>
      </c>
      <c r="D1046">
        <v>8.3999999999999995E-3</v>
      </c>
      <c r="E1046">
        <v>8.829E-3</v>
      </c>
      <c r="F1046">
        <v>862483605</v>
      </c>
      <c r="G1046">
        <v>0</v>
      </c>
      <c r="L1046" t="s">
        <v>7</v>
      </c>
      <c r="M1046" t="s">
        <v>7</v>
      </c>
      <c r="N1046" t="s">
        <v>7</v>
      </c>
      <c r="P1046">
        <f t="shared" si="1024"/>
        <v>0.67251461988303884</v>
      </c>
      <c r="Q1046">
        <f t="shared" si="1025"/>
        <v>580032833.77192807</v>
      </c>
      <c r="R1046">
        <f t="shared" si="1026"/>
        <v>200414162.25929648</v>
      </c>
      <c r="S1046">
        <f t="shared" si="1027"/>
        <v>2004.1416225929647</v>
      </c>
      <c r="T1046">
        <f t="shared" si="1028"/>
        <v>2.0041416225929649</v>
      </c>
    </row>
    <row r="1047" spans="1:20" x14ac:dyDescent="0.25">
      <c r="A1047" s="5">
        <v>43546</v>
      </c>
      <c r="B1047">
        <v>0.03</v>
      </c>
      <c r="C1047">
        <v>0.03</v>
      </c>
      <c r="D1047">
        <v>8.5459999999999998E-3</v>
      </c>
      <c r="E1047">
        <v>8.5570000000000004E-3</v>
      </c>
      <c r="F1047">
        <v>380008351</v>
      </c>
      <c r="G1047">
        <v>0</v>
      </c>
      <c r="P1047">
        <f t="shared" si="1024"/>
        <v>-0.99897455020042858</v>
      </c>
      <c r="Q1047">
        <f t="shared" si="1025"/>
        <v>-379618671.5126316</v>
      </c>
      <c r="R1047">
        <f t="shared" si="1026"/>
        <v>-379618671.5126316</v>
      </c>
      <c r="S1047">
        <f t="shared" si="1027"/>
        <v>-3796.1867151263159</v>
      </c>
      <c r="T1047">
        <f t="shared" si="1028"/>
        <v>-3.796186715126316</v>
      </c>
    </row>
    <row r="1048" spans="1:20" x14ac:dyDescent="0.25">
      <c r="A1048" s="5"/>
      <c r="C1048"/>
      <c r="D1048"/>
    </row>
    <row r="1049" spans="1:20" x14ac:dyDescent="0.25">
      <c r="A1049" s="5"/>
      <c r="C1049"/>
      <c r="D1049"/>
    </row>
    <row r="1050" spans="1:20" x14ac:dyDescent="0.25">
      <c r="A1050" s="5"/>
      <c r="C1050"/>
      <c r="D1050"/>
    </row>
    <row r="1051" spans="1:20" x14ac:dyDescent="0.25">
      <c r="A1051" s="5"/>
      <c r="C1051"/>
      <c r="D1051"/>
    </row>
    <row r="1052" spans="1:20" x14ac:dyDescent="0.25">
      <c r="A1052" s="5"/>
      <c r="C1052"/>
      <c r="D1052"/>
    </row>
    <row r="1053" spans="1:20" x14ac:dyDescent="0.25">
      <c r="A1053" s="5"/>
      <c r="C1053"/>
      <c r="D1053"/>
    </row>
    <row r="1054" spans="1:20" x14ac:dyDescent="0.25">
      <c r="A1054" s="5"/>
      <c r="C1054"/>
      <c r="D1054"/>
    </row>
    <row r="1055" spans="1:20" x14ac:dyDescent="0.25">
      <c r="A1055" s="5"/>
      <c r="C1055"/>
      <c r="D1055"/>
    </row>
    <row r="1056" spans="1:20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D777" sqref="QD77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$A$776</v>
      </c>
      <c r="D111" s="1" t="str">
        <f>ADDRESS(C121-1,D121,1,1)</f>
        <v>$QD$776</v>
      </c>
      <c r="E111"/>
    </row>
    <row r="112" spans="1:5" x14ac:dyDescent="0.25">
      <c r="A112" s="7">
        <v>12164.144957890772</v>
      </c>
      <c r="C112" s="1" t="str">
        <f>ADDRESS(C121,1,1,1)</f>
        <v>$A$777</v>
      </c>
      <c r="D112" s="1" t="str">
        <f>ADDRESS(C121,D121-1,1,1)</f>
        <v>$QC$777</v>
      </c>
      <c r="E112"/>
    </row>
    <row r="113" spans="1:5" x14ac:dyDescent="0.25">
      <c r="A113" s="7">
        <v>11925.63231165762</v>
      </c>
      <c r="C113" s="1" t="str">
        <f>ADDRESS(C121+1,1,1,1)</f>
        <v>$A$778</v>
      </c>
      <c r="D113" s="1" t="str">
        <f>ADDRESS(C121-1,D121+1,1,1)</f>
        <v>$QE$776</v>
      </c>
    </row>
    <row r="114" spans="1:5" x14ac:dyDescent="0.25">
      <c r="A114" s="7">
        <v>11691.796383978059</v>
      </c>
      <c r="C114" s="1" t="str">
        <f>ADDRESS(C121,D121,1,1)</f>
        <v>$QD$777</v>
      </c>
      <c r="D114" s="1" t="str">
        <f>ADDRESS(C121+1,D121+1,1,1)</f>
        <v>$QE$778</v>
      </c>
    </row>
    <row r="115" spans="1:5" x14ac:dyDescent="0.25">
      <c r="A115" s="7">
        <v>11462.545474488292</v>
      </c>
      <c r="C115" s="1" t="str">
        <f>ADDRESS(C121+1,D121,1,1)</f>
        <v>$QD$778</v>
      </c>
    </row>
    <row r="116" spans="1:5" x14ac:dyDescent="0.25">
      <c r="A116" s="7">
        <v>11237.789680870874</v>
      </c>
      <c r="C116" s="1">
        <f>C117-1</f>
        <v>776</v>
      </c>
    </row>
    <row r="117" spans="1:5" x14ac:dyDescent="0.25">
      <c r="A117" s="7">
        <v>11017.440863598895</v>
      </c>
      <c r="C117" s="1">
        <f>C121</f>
        <v>777</v>
      </c>
      <c r="D117" s="1">
        <f>D121</f>
        <v>446</v>
      </c>
    </row>
    <row r="118" spans="1:5" x14ac:dyDescent="0.25">
      <c r="A118" s="7">
        <v>10801.412611371465</v>
      </c>
      <c r="C118" s="1">
        <f>C117+1</f>
        <v>778</v>
      </c>
      <c r="D118" s="1">
        <f>D117+1</f>
        <v>447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777</v>
      </c>
      <c r="D121" s="19">
        <v>446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R777</v>
      </c>
      <c r="D123" s="1" t="str">
        <f>"C"&amp;D121</f>
        <v>C446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2.3225622624333527E-2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390" x14ac:dyDescent="0.25">
      <c r="A705" s="7">
        <v>9.6645076037824032E-2</v>
      </c>
      <c r="B705"/>
      <c r="C705"/>
      <c r="D705"/>
      <c r="E705"/>
      <c r="F705" s="27" t="s">
        <v>7</v>
      </c>
    </row>
    <row r="706" spans="1:390" x14ac:dyDescent="0.25">
      <c r="A706" s="7">
        <v>9.4750074546886304E-2</v>
      </c>
      <c r="B706"/>
      <c r="C706"/>
      <c r="D706"/>
      <c r="E706"/>
      <c r="F706" s="27" t="s">
        <v>7</v>
      </c>
    </row>
    <row r="707" spans="1:390" x14ac:dyDescent="0.25">
      <c r="A707" s="7">
        <v>9.2892229947927743E-2</v>
      </c>
      <c r="B707"/>
      <c r="C707"/>
      <c r="D707"/>
      <c r="E707"/>
      <c r="F707" s="27" t="s">
        <v>7</v>
      </c>
    </row>
    <row r="708" spans="1:390" x14ac:dyDescent="0.25">
      <c r="A708" s="7">
        <v>9.1070813674438963E-2</v>
      </c>
      <c r="B708"/>
      <c r="C708"/>
      <c r="D708"/>
      <c r="E708"/>
      <c r="F708" s="27" t="s">
        <v>7</v>
      </c>
      <c r="KY708" s="27" t="s">
        <v>8</v>
      </c>
    </row>
    <row r="709" spans="1:390" x14ac:dyDescent="0.25">
      <c r="A709" s="7">
        <v>8.9285111445528392E-2</v>
      </c>
      <c r="B709"/>
      <c r="C709"/>
      <c r="D709"/>
      <c r="E709"/>
      <c r="F709" s="27" t="s">
        <v>7</v>
      </c>
      <c r="KY709" s="27" t="s">
        <v>8</v>
      </c>
      <c r="KZ709" s="27" t="s">
        <v>7</v>
      </c>
      <c r="LA709" s="27" t="s">
        <v>8</v>
      </c>
    </row>
    <row r="710" spans="1:390" x14ac:dyDescent="0.25">
      <c r="A710" s="7">
        <v>8.7534422985812155E-2</v>
      </c>
      <c r="B710"/>
      <c r="C710"/>
      <c r="D710"/>
      <c r="E710"/>
      <c r="F710" s="27" t="s">
        <v>7</v>
      </c>
      <c r="KY710" s="27" t="s">
        <v>8</v>
      </c>
      <c r="KZ710" s="27" t="s">
        <v>7</v>
      </c>
      <c r="LA710" s="27" t="s">
        <v>8</v>
      </c>
      <c r="LB710" s="27" t="s">
        <v>7</v>
      </c>
    </row>
    <row r="711" spans="1:390" x14ac:dyDescent="0.25">
      <c r="A711" s="7">
        <v>8.5818061750796232E-2</v>
      </c>
      <c r="B711"/>
      <c r="C711"/>
      <c r="D711"/>
      <c r="E711"/>
      <c r="F711" s="27" t="s">
        <v>7</v>
      </c>
      <c r="KY711" s="27" t="s">
        <v>8</v>
      </c>
      <c r="KZ711" s="27" t="s">
        <v>7</v>
      </c>
      <c r="LA711" s="27" t="s">
        <v>8</v>
      </c>
      <c r="LB711" s="27" t="s">
        <v>7</v>
      </c>
      <c r="NU711" s="27" t="s">
        <v>8</v>
      </c>
    </row>
    <row r="712" spans="1:390" x14ac:dyDescent="0.25">
      <c r="A712" s="7">
        <v>8.4135354657643366E-2</v>
      </c>
      <c r="B712"/>
      <c r="C712"/>
      <c r="D712"/>
      <c r="E712"/>
      <c r="F712" s="27" t="s">
        <v>7</v>
      </c>
      <c r="KY712" s="27" t="s">
        <v>8</v>
      </c>
      <c r="KZ712" s="27" t="s">
        <v>7</v>
      </c>
      <c r="LA712" s="27" t="s">
        <v>8</v>
      </c>
      <c r="LB712" s="27" t="s">
        <v>7</v>
      </c>
      <c r="NU712" s="27" t="s">
        <v>8</v>
      </c>
      <c r="NV712" s="27" t="s">
        <v>7</v>
      </c>
    </row>
    <row r="713" spans="1:390" x14ac:dyDescent="0.25">
      <c r="A713" s="7">
        <v>8.248564182121898E-2</v>
      </c>
      <c r="B713"/>
      <c r="C713"/>
      <c r="D713"/>
      <c r="E713"/>
      <c r="F713" s="27" t="s">
        <v>7</v>
      </c>
      <c r="KY713" s="27" t="s">
        <v>8</v>
      </c>
      <c r="KZ713" s="27" t="s">
        <v>7</v>
      </c>
      <c r="LA713" s="27" t="s">
        <v>8</v>
      </c>
      <c r="LB713" s="27" t="s">
        <v>7</v>
      </c>
      <c r="NU713" s="27" t="s">
        <v>8</v>
      </c>
      <c r="NV713" s="27" t="s">
        <v>7</v>
      </c>
    </row>
    <row r="714" spans="1:390" x14ac:dyDescent="0.25">
      <c r="A714" s="7">
        <v>8.0868276295312735E-2</v>
      </c>
      <c r="B714"/>
      <c r="C714"/>
      <c r="D714"/>
      <c r="E714"/>
      <c r="F714" s="27" t="s">
        <v>7</v>
      </c>
      <c r="KY714" s="27" t="s">
        <v>8</v>
      </c>
      <c r="KZ714" s="27" t="s">
        <v>7</v>
      </c>
      <c r="LA714" s="27" t="s">
        <v>8</v>
      </c>
      <c r="LB714" s="27" t="s">
        <v>7</v>
      </c>
      <c r="LC714" s="27" t="s">
        <v>8</v>
      </c>
      <c r="NU714" s="27" t="s">
        <v>8</v>
      </c>
      <c r="NV714" s="27" t="s">
        <v>7</v>
      </c>
      <c r="NY714" s="27" t="s">
        <v>8</v>
      </c>
    </row>
    <row r="715" spans="1:390" x14ac:dyDescent="0.25">
      <c r="A715" s="7">
        <v>7.9282623818934056E-2</v>
      </c>
      <c r="B715"/>
      <c r="C715"/>
      <c r="D715"/>
      <c r="E715"/>
      <c r="F715" s="27" t="s">
        <v>7</v>
      </c>
      <c r="KY715" s="27" t="s">
        <v>8</v>
      </c>
      <c r="KZ715" s="27" t="s">
        <v>7</v>
      </c>
      <c r="LA715" s="27" t="s">
        <v>8</v>
      </c>
      <c r="LB715" s="27" t="s">
        <v>7</v>
      </c>
      <c r="LC715" s="27" t="s">
        <v>8</v>
      </c>
      <c r="LD715" s="27" t="s">
        <v>7</v>
      </c>
      <c r="NU715" s="27" t="s">
        <v>8</v>
      </c>
      <c r="NV715" s="27" t="s">
        <v>7</v>
      </c>
      <c r="NY715" s="27" t="s">
        <v>8</v>
      </c>
      <c r="NZ715" s="27" t="s">
        <v>7</v>
      </c>
    </row>
    <row r="716" spans="1:390" x14ac:dyDescent="0.25">
      <c r="A716" s="7">
        <v>7.7728062567582412E-2</v>
      </c>
      <c r="B716"/>
      <c r="C716"/>
      <c r="D716"/>
      <c r="E716"/>
      <c r="F716" s="27" t="s">
        <v>7</v>
      </c>
      <c r="KY716" s="27" t="s">
        <v>8</v>
      </c>
      <c r="KZ716" s="27" t="s">
        <v>7</v>
      </c>
      <c r="LA716" s="27" t="s">
        <v>8</v>
      </c>
      <c r="LB716" s="27" t="s">
        <v>7</v>
      </c>
      <c r="LC716" s="27" t="s">
        <v>8</v>
      </c>
      <c r="LD716" s="27" t="s">
        <v>7</v>
      </c>
      <c r="NU716" s="27" t="s">
        <v>8</v>
      </c>
      <c r="NV716" s="27" t="s">
        <v>7</v>
      </c>
      <c r="NW716" s="27" t="s">
        <v>8</v>
      </c>
      <c r="NY716" s="27" t="s">
        <v>8</v>
      </c>
      <c r="NZ716" s="27" t="s">
        <v>7</v>
      </c>
    </row>
    <row r="717" spans="1:390" x14ac:dyDescent="0.25">
      <c r="A717" s="7">
        <v>7.6203982909394521E-2</v>
      </c>
      <c r="B717"/>
      <c r="C717"/>
      <c r="D717"/>
      <c r="E717"/>
      <c r="F717" s="27" t="s">
        <v>7</v>
      </c>
      <c r="KY717" s="27" t="s">
        <v>8</v>
      </c>
      <c r="KZ717" s="27" t="s">
        <v>7</v>
      </c>
      <c r="LA717" s="27" t="s">
        <v>8</v>
      </c>
      <c r="LB717" s="27" t="s">
        <v>7</v>
      </c>
      <c r="LC717" s="27" t="s">
        <v>8</v>
      </c>
      <c r="LD717" s="27" t="s">
        <v>7</v>
      </c>
      <c r="LO717" s="27" t="s">
        <v>8</v>
      </c>
      <c r="NU717" s="27" t="s">
        <v>8</v>
      </c>
      <c r="NV717" s="27" t="s">
        <v>7</v>
      </c>
      <c r="NW717" s="27" t="s">
        <v>8</v>
      </c>
      <c r="NX717" s="27" t="s">
        <v>7</v>
      </c>
      <c r="NY717" s="27" t="s">
        <v>8</v>
      </c>
      <c r="NZ717" s="27" t="s">
        <v>7</v>
      </c>
    </row>
    <row r="718" spans="1:390" x14ac:dyDescent="0.25">
      <c r="A718" s="7">
        <v>7.4709787166073058E-2</v>
      </c>
      <c r="B718"/>
      <c r="C718"/>
      <c r="D718"/>
      <c r="E718"/>
      <c r="F718" s="27" t="s">
        <v>7</v>
      </c>
      <c r="KY718" s="27" t="s">
        <v>8</v>
      </c>
      <c r="KZ718" s="27" t="s">
        <v>7</v>
      </c>
      <c r="LA718" s="27" t="s">
        <v>8</v>
      </c>
      <c r="LB718" s="27" t="s">
        <v>7</v>
      </c>
      <c r="LC718" s="27" t="s">
        <v>8</v>
      </c>
      <c r="LD718" s="27" t="s">
        <v>7</v>
      </c>
      <c r="LO718" s="27" t="s">
        <v>8</v>
      </c>
      <c r="LP718" s="27" t="s">
        <v>7</v>
      </c>
      <c r="NU718" s="27" t="s">
        <v>8</v>
      </c>
      <c r="NV718" s="27" t="s">
        <v>7</v>
      </c>
      <c r="NW718" s="27" t="s">
        <v>8</v>
      </c>
      <c r="NX718" s="27" t="s">
        <v>7</v>
      </c>
      <c r="NY718" s="27" t="s">
        <v>8</v>
      </c>
      <c r="NZ718" s="27" t="s">
        <v>7</v>
      </c>
    </row>
    <row r="719" spans="1:390" x14ac:dyDescent="0.25">
      <c r="A719" s="7">
        <v>7.3244889378503E-2</v>
      </c>
      <c r="B719"/>
      <c r="C719"/>
      <c r="D719"/>
      <c r="E719"/>
      <c r="F719" s="27" t="s">
        <v>7</v>
      </c>
      <c r="KY719" s="27" t="s">
        <v>8</v>
      </c>
      <c r="KZ719" s="27" t="s">
        <v>7</v>
      </c>
      <c r="LA719" s="27" t="s">
        <v>8</v>
      </c>
      <c r="LB719" s="27" t="s">
        <v>7</v>
      </c>
      <c r="LC719" s="27" t="s">
        <v>8</v>
      </c>
      <c r="LD719" s="27" t="s">
        <v>7</v>
      </c>
      <c r="LO719" s="27" t="s">
        <v>8</v>
      </c>
      <c r="LP719" s="27" t="s">
        <v>7</v>
      </c>
      <c r="NU719" s="27" t="s">
        <v>8</v>
      </c>
      <c r="NV719" s="27" t="s">
        <v>7</v>
      </c>
      <c r="NW719" s="27" t="s">
        <v>8</v>
      </c>
      <c r="NX719" s="27" t="s">
        <v>7</v>
      </c>
      <c r="NY719" s="27" t="s">
        <v>8</v>
      </c>
      <c r="NZ719" s="27" t="s">
        <v>7</v>
      </c>
    </row>
    <row r="720" spans="1:390" x14ac:dyDescent="0.25">
      <c r="A720" s="7">
        <v>7.1808715076963722E-2</v>
      </c>
      <c r="B720"/>
      <c r="C720"/>
      <c r="D720"/>
      <c r="E720"/>
      <c r="F720" s="27" t="s">
        <v>7</v>
      </c>
      <c r="KY720" s="27" t="s">
        <v>8</v>
      </c>
      <c r="KZ720" s="27" t="s">
        <v>7</v>
      </c>
      <c r="LA720" s="27" t="s">
        <v>8</v>
      </c>
      <c r="LB720" s="27" t="s">
        <v>7</v>
      </c>
      <c r="LC720" s="27" t="s">
        <v>8</v>
      </c>
      <c r="LD720" s="27" t="s">
        <v>7</v>
      </c>
      <c r="LO720" s="27" t="s">
        <v>8</v>
      </c>
      <c r="LP720" s="27" t="s">
        <v>7</v>
      </c>
      <c r="NU720" s="27" t="s">
        <v>8</v>
      </c>
      <c r="NV720" s="27" t="s">
        <v>7</v>
      </c>
      <c r="NW720" s="27" t="s">
        <v>8</v>
      </c>
      <c r="NX720" s="27" t="s">
        <v>7</v>
      </c>
      <c r="NY720" s="27" t="s">
        <v>8</v>
      </c>
      <c r="NZ720" s="27" t="s">
        <v>7</v>
      </c>
    </row>
    <row r="721" spans="1:416" x14ac:dyDescent="0.25">
      <c r="A721" s="7">
        <v>7.0400701055846782E-2</v>
      </c>
      <c r="B721"/>
      <c r="C721"/>
      <c r="D721"/>
      <c r="E721"/>
      <c r="F721" s="27" t="s">
        <v>7</v>
      </c>
      <c r="KY721" s="27" t="s">
        <v>8</v>
      </c>
      <c r="KZ721" s="27" t="s">
        <v>7</v>
      </c>
      <c r="LA721" s="27" t="s">
        <v>8</v>
      </c>
      <c r="LB721" s="27" t="s">
        <v>7</v>
      </c>
      <c r="LC721" s="27" t="s">
        <v>8</v>
      </c>
      <c r="LD721" s="27" t="s">
        <v>7</v>
      </c>
      <c r="LE721" s="27" t="s">
        <v>8</v>
      </c>
      <c r="LO721" s="27" t="s">
        <v>8</v>
      </c>
      <c r="LP721" s="27" t="s">
        <v>7</v>
      </c>
      <c r="NU721" s="27" t="s">
        <v>8</v>
      </c>
      <c r="NV721" s="27" t="s">
        <v>7</v>
      </c>
      <c r="NX721" s="27" t="s">
        <v>7</v>
      </c>
      <c r="NY721" s="27" t="s">
        <v>8</v>
      </c>
      <c r="NZ721" s="27" t="s">
        <v>7</v>
      </c>
    </row>
    <row r="722" spans="1:416" x14ac:dyDescent="0.25">
      <c r="A722" s="7">
        <v>6.9020295152790956E-2</v>
      </c>
      <c r="B722"/>
      <c r="C722"/>
      <c r="D722"/>
      <c r="E722"/>
      <c r="F722" s="27" t="s">
        <v>7</v>
      </c>
      <c r="KE722" s="27" t="s">
        <v>8</v>
      </c>
      <c r="KY722" s="27" t="s">
        <v>8</v>
      </c>
      <c r="KZ722" s="27" t="s">
        <v>7</v>
      </c>
      <c r="LA722" s="27" t="s">
        <v>8</v>
      </c>
      <c r="LB722" s="27" t="s">
        <v>7</v>
      </c>
      <c r="LC722" s="27" t="s">
        <v>8</v>
      </c>
      <c r="LD722" s="27" t="s">
        <v>7</v>
      </c>
      <c r="LE722" s="27" t="s">
        <v>8</v>
      </c>
      <c r="LF722" s="27" t="s">
        <v>7</v>
      </c>
      <c r="LK722" s="27" t="s">
        <v>8</v>
      </c>
      <c r="LO722" s="27" t="s">
        <v>8</v>
      </c>
      <c r="LP722" s="27" t="s">
        <v>7</v>
      </c>
      <c r="NS722" s="27" t="s">
        <v>8</v>
      </c>
      <c r="NU722" s="27" t="s">
        <v>8</v>
      </c>
      <c r="NX722" s="27" t="s">
        <v>7</v>
      </c>
      <c r="NY722" s="27" t="s">
        <v>8</v>
      </c>
      <c r="NZ722" s="27" t="s">
        <v>7</v>
      </c>
    </row>
    <row r="723" spans="1:416" x14ac:dyDescent="0.25">
      <c r="A723" s="7">
        <v>6.7666956032147993E-2</v>
      </c>
      <c r="B723"/>
      <c r="C723"/>
      <c r="D723"/>
      <c r="E723"/>
      <c r="F723" s="27" t="s">
        <v>7</v>
      </c>
      <c r="KE723" s="27" t="s">
        <v>8</v>
      </c>
      <c r="KF723" s="27" t="s">
        <v>7</v>
      </c>
      <c r="KY723" s="27" t="s">
        <v>8</v>
      </c>
      <c r="KZ723" s="27" t="s">
        <v>7</v>
      </c>
      <c r="LB723" s="27" t="s">
        <v>7</v>
      </c>
      <c r="LC723" s="27" t="s">
        <v>8</v>
      </c>
      <c r="LD723" s="27" t="s">
        <v>7</v>
      </c>
      <c r="LE723" s="27" t="s">
        <v>8</v>
      </c>
      <c r="LF723" s="27" t="s">
        <v>7</v>
      </c>
      <c r="LK723" s="27" t="s">
        <v>8</v>
      </c>
      <c r="LL723" s="27" t="s">
        <v>7</v>
      </c>
      <c r="LO723" s="27" t="s">
        <v>8</v>
      </c>
      <c r="LP723" s="27" t="s">
        <v>7</v>
      </c>
      <c r="NS723" s="27" t="s">
        <v>8</v>
      </c>
      <c r="NT723" s="27" t="s">
        <v>7</v>
      </c>
      <c r="NU723" s="27" t="s">
        <v>8</v>
      </c>
      <c r="NX723" s="27" t="s">
        <v>7</v>
      </c>
      <c r="NY723" s="27" t="s">
        <v>8</v>
      </c>
      <c r="NZ723" s="27" t="s">
        <v>7</v>
      </c>
    </row>
    <row r="724" spans="1:416" x14ac:dyDescent="0.25">
      <c r="A724" s="7">
        <v>6.6340152972694105E-2</v>
      </c>
      <c r="B724"/>
      <c r="C724"/>
      <c r="D724"/>
      <c r="E724"/>
      <c r="F724" s="27" t="s">
        <v>7</v>
      </c>
      <c r="KE724" s="27" t="s">
        <v>8</v>
      </c>
      <c r="KF724" s="27" t="s">
        <v>7</v>
      </c>
      <c r="KQ724" s="27" t="s">
        <v>8</v>
      </c>
      <c r="KY724" s="27" t="s">
        <v>8</v>
      </c>
      <c r="LB724" s="27" t="s">
        <v>7</v>
      </c>
      <c r="LC724" s="27" t="s">
        <v>8</v>
      </c>
      <c r="LD724" s="27" t="s">
        <v>7</v>
      </c>
      <c r="LE724" s="27" t="s">
        <v>8</v>
      </c>
      <c r="LF724" s="27" t="s">
        <v>7</v>
      </c>
      <c r="LI724" s="27" t="s">
        <v>8</v>
      </c>
      <c r="LK724" s="27" t="s">
        <v>8</v>
      </c>
      <c r="LL724" s="27" t="s">
        <v>7</v>
      </c>
      <c r="LM724" s="27" t="s">
        <v>8</v>
      </c>
      <c r="LO724" s="27" t="s">
        <v>8</v>
      </c>
      <c r="LP724" s="27" t="s">
        <v>7</v>
      </c>
      <c r="NS724" s="27" t="s">
        <v>8</v>
      </c>
      <c r="NT724" s="27" t="s">
        <v>7</v>
      </c>
      <c r="NU724" s="27" t="s">
        <v>8</v>
      </c>
      <c r="NX724" s="27" t="s">
        <v>7</v>
      </c>
      <c r="NY724" s="27" t="s">
        <v>8</v>
      </c>
      <c r="NZ724" s="27" t="s">
        <v>7</v>
      </c>
      <c r="OA724" s="27" t="s">
        <v>8</v>
      </c>
    </row>
    <row r="725" spans="1:416" x14ac:dyDescent="0.25">
      <c r="A725" s="7">
        <v>6.5039365659504023E-2</v>
      </c>
      <c r="B725"/>
      <c r="C725"/>
      <c r="D725"/>
      <c r="E725"/>
      <c r="F725" s="27" t="s">
        <v>7</v>
      </c>
      <c r="KE725" s="27" t="s">
        <v>8</v>
      </c>
      <c r="KF725" s="27" t="s">
        <v>7</v>
      </c>
      <c r="KQ725" s="27" t="s">
        <v>8</v>
      </c>
      <c r="KR725" s="27" t="s">
        <v>7</v>
      </c>
      <c r="KY725" s="27" t="s">
        <v>8</v>
      </c>
      <c r="LB725" s="27" t="s">
        <v>7</v>
      </c>
      <c r="LC725" s="27" t="s">
        <v>8</v>
      </c>
      <c r="LD725" s="27" t="s">
        <v>7</v>
      </c>
      <c r="LE725" s="27" t="s">
        <v>8</v>
      </c>
      <c r="LF725" s="27" t="s">
        <v>7</v>
      </c>
      <c r="LI725" s="27" t="s">
        <v>8</v>
      </c>
      <c r="LJ725" s="27" t="s">
        <v>7</v>
      </c>
      <c r="LK725" s="27" t="s">
        <v>8</v>
      </c>
      <c r="LL725" s="27" t="s">
        <v>7</v>
      </c>
      <c r="LM725" s="27" t="s">
        <v>8</v>
      </c>
      <c r="LN725" s="27" t="s">
        <v>7</v>
      </c>
      <c r="LO725" s="27" t="s">
        <v>8</v>
      </c>
      <c r="LP725" s="27" t="s">
        <v>7</v>
      </c>
      <c r="NS725" s="27" t="s">
        <v>8</v>
      </c>
      <c r="NT725" s="27" t="s">
        <v>7</v>
      </c>
      <c r="NU725" s="27" t="s">
        <v>8</v>
      </c>
      <c r="NX725" s="27" t="s">
        <v>7</v>
      </c>
      <c r="NY725" s="27" t="s">
        <v>8</v>
      </c>
      <c r="NZ725" s="27" t="s">
        <v>7</v>
      </c>
      <c r="OA725" s="27" t="s">
        <v>8</v>
      </c>
      <c r="OB725" s="27" t="s">
        <v>7</v>
      </c>
    </row>
    <row r="726" spans="1:416" x14ac:dyDescent="0.25">
      <c r="A726" s="7">
        <v>6.3764083979905906E-2</v>
      </c>
      <c r="B726"/>
      <c r="C726"/>
      <c r="D726"/>
      <c r="E726"/>
      <c r="F726" s="27" t="s">
        <v>7</v>
      </c>
      <c r="KE726" s="27" t="s">
        <v>8</v>
      </c>
      <c r="KF726" s="27" t="s">
        <v>7</v>
      </c>
      <c r="KQ726" s="27" t="s">
        <v>8</v>
      </c>
      <c r="KR726" s="27" t="s">
        <v>7</v>
      </c>
      <c r="KY726" s="27" t="s">
        <v>8</v>
      </c>
      <c r="LB726" s="27" t="s">
        <v>7</v>
      </c>
      <c r="LC726" s="27" t="s">
        <v>8</v>
      </c>
      <c r="LD726" s="27" t="s">
        <v>7</v>
      </c>
      <c r="LE726" s="27" t="s">
        <v>8</v>
      </c>
      <c r="LF726" s="27" t="s">
        <v>7</v>
      </c>
      <c r="LI726" s="27" t="s">
        <v>8</v>
      </c>
      <c r="LJ726" s="27" t="s">
        <v>7</v>
      </c>
      <c r="LK726" s="27" t="s">
        <v>8</v>
      </c>
      <c r="LL726" s="27" t="s">
        <v>7</v>
      </c>
      <c r="LM726" s="27" t="s">
        <v>8</v>
      </c>
      <c r="LN726" s="27" t="s">
        <v>7</v>
      </c>
      <c r="LO726" s="27" t="s">
        <v>8</v>
      </c>
      <c r="LP726" s="27" t="s">
        <v>7</v>
      </c>
      <c r="NS726" s="27" t="s">
        <v>8</v>
      </c>
      <c r="NT726" s="27" t="s">
        <v>7</v>
      </c>
      <c r="NU726" s="27" t="s">
        <v>8</v>
      </c>
      <c r="NX726" s="27" t="s">
        <v>7</v>
      </c>
      <c r="NY726" s="27" t="s">
        <v>8</v>
      </c>
      <c r="NZ726" s="27" t="s">
        <v>7</v>
      </c>
      <c r="OA726" s="27" t="s">
        <v>8</v>
      </c>
      <c r="OB726" s="27" t="s">
        <v>7</v>
      </c>
    </row>
    <row r="727" spans="1:416" x14ac:dyDescent="0.25">
      <c r="A727" s="7">
        <v>6.251380782343717E-2</v>
      </c>
      <c r="B727"/>
      <c r="C727"/>
      <c r="D727"/>
      <c r="E727"/>
      <c r="F727" s="27" t="s">
        <v>7</v>
      </c>
      <c r="KE727" s="27" t="s">
        <v>8</v>
      </c>
      <c r="KF727" s="27" t="s">
        <v>7</v>
      </c>
      <c r="KQ727" s="27" t="s">
        <v>8</v>
      </c>
      <c r="KR727" s="27" t="s">
        <v>7</v>
      </c>
      <c r="KW727" s="27" t="s">
        <v>8</v>
      </c>
      <c r="KY727" s="27" t="s">
        <v>8</v>
      </c>
      <c r="LB727" s="27" t="s">
        <v>7</v>
      </c>
      <c r="LD727" s="27" t="s">
        <v>7</v>
      </c>
      <c r="LE727" s="27" t="s">
        <v>8</v>
      </c>
      <c r="LF727" s="27" t="s">
        <v>7</v>
      </c>
      <c r="LI727" s="27" t="s">
        <v>8</v>
      </c>
      <c r="LJ727" s="27" t="s">
        <v>7</v>
      </c>
      <c r="LK727" s="27" t="s">
        <v>8</v>
      </c>
      <c r="LL727" s="27" t="s">
        <v>7</v>
      </c>
      <c r="LN727" s="27" t="s">
        <v>7</v>
      </c>
      <c r="LO727" s="27" t="s">
        <v>8</v>
      </c>
      <c r="LP727" s="27" t="s">
        <v>7</v>
      </c>
      <c r="NS727" s="27" t="s">
        <v>8</v>
      </c>
      <c r="NT727" s="27" t="s">
        <v>7</v>
      </c>
      <c r="NU727" s="27" t="s">
        <v>8</v>
      </c>
      <c r="NX727" s="27" t="s">
        <v>7</v>
      </c>
      <c r="NZ727" s="27" t="s">
        <v>7</v>
      </c>
      <c r="OA727" s="27" t="s">
        <v>8</v>
      </c>
      <c r="OB727" s="27" t="s">
        <v>7</v>
      </c>
      <c r="OK727" s="27" t="s">
        <v>8</v>
      </c>
    </row>
    <row r="728" spans="1:416" x14ac:dyDescent="0.25">
      <c r="A728" s="7">
        <v>6.1288046885722716E-2</v>
      </c>
      <c r="B728"/>
      <c r="C728"/>
      <c r="D728"/>
      <c r="E728"/>
      <c r="F728" s="27" t="s">
        <v>7</v>
      </c>
      <c r="KE728" s="27" t="s">
        <v>8</v>
      </c>
      <c r="KF728" s="27" t="s">
        <v>7</v>
      </c>
      <c r="KQ728" s="27" t="s">
        <v>8</v>
      </c>
      <c r="KR728" s="27" t="s">
        <v>7</v>
      </c>
      <c r="KW728" s="27" t="s">
        <v>8</v>
      </c>
      <c r="KX728" s="27" t="s">
        <v>7</v>
      </c>
      <c r="KY728" s="27" t="s">
        <v>8</v>
      </c>
      <c r="LD728" s="27" t="s">
        <v>7</v>
      </c>
      <c r="LE728" s="27" t="s">
        <v>8</v>
      </c>
      <c r="LF728" s="27" t="s">
        <v>7</v>
      </c>
      <c r="LI728" s="27" t="s">
        <v>8</v>
      </c>
      <c r="LJ728" s="27" t="s">
        <v>7</v>
      </c>
      <c r="LK728" s="27" t="s">
        <v>8</v>
      </c>
      <c r="LN728" s="27" t="s">
        <v>7</v>
      </c>
      <c r="LO728" s="27" t="s">
        <v>8</v>
      </c>
      <c r="LP728" s="27" t="s">
        <v>7</v>
      </c>
      <c r="NS728" s="27" t="s">
        <v>8</v>
      </c>
      <c r="NT728" s="27" t="s">
        <v>7</v>
      </c>
      <c r="NU728" s="27" t="s">
        <v>8</v>
      </c>
      <c r="NZ728" s="27" t="s">
        <v>7</v>
      </c>
      <c r="OA728" s="27" t="s">
        <v>8</v>
      </c>
      <c r="OB728" s="27" t="s">
        <v>7</v>
      </c>
      <c r="OC728" s="27" t="s">
        <v>8</v>
      </c>
      <c r="OK728" s="27" t="s">
        <v>8</v>
      </c>
      <c r="OL728" s="27" t="s">
        <v>7</v>
      </c>
    </row>
    <row r="729" spans="1:416" x14ac:dyDescent="0.25">
      <c r="A729" s="7">
        <v>6.0086320476198739E-2</v>
      </c>
      <c r="B729"/>
      <c r="C729"/>
      <c r="D729"/>
      <c r="E729"/>
      <c r="F729" s="27" t="s">
        <v>7</v>
      </c>
      <c r="KE729" s="27" t="s">
        <v>8</v>
      </c>
      <c r="KF729" s="27" t="s">
        <v>7</v>
      </c>
      <c r="KQ729" s="27" t="s">
        <v>8</v>
      </c>
      <c r="KR729" s="27" t="s">
        <v>7</v>
      </c>
      <c r="KW729" s="27" t="s">
        <v>8</v>
      </c>
      <c r="KX729" s="27" t="s">
        <v>7</v>
      </c>
      <c r="KY729" s="27" t="s">
        <v>8</v>
      </c>
      <c r="LD729" s="27" t="s">
        <v>7</v>
      </c>
      <c r="LF729" s="27" t="s">
        <v>7</v>
      </c>
      <c r="LI729" s="27" t="s">
        <v>8</v>
      </c>
      <c r="LJ729" s="27" t="s">
        <v>7</v>
      </c>
      <c r="LK729" s="27" t="s">
        <v>8</v>
      </c>
      <c r="LN729" s="27" t="s">
        <v>7</v>
      </c>
      <c r="LO729" s="27" t="s">
        <v>8</v>
      </c>
      <c r="LP729" s="27" t="s">
        <v>7</v>
      </c>
      <c r="LQ729" s="27" t="s">
        <v>8</v>
      </c>
      <c r="NS729" s="27" t="s">
        <v>8</v>
      </c>
      <c r="NT729" s="27" t="s">
        <v>7</v>
      </c>
      <c r="NU729" s="27" t="s">
        <v>8</v>
      </c>
      <c r="NZ729" s="27" t="s">
        <v>7</v>
      </c>
      <c r="OA729" s="27" t="s">
        <v>8</v>
      </c>
      <c r="OB729" s="27" t="s">
        <v>7</v>
      </c>
      <c r="OC729" s="27" t="s">
        <v>8</v>
      </c>
      <c r="OD729" s="27" t="s">
        <v>7</v>
      </c>
      <c r="OE729" s="27" t="s">
        <v>8</v>
      </c>
      <c r="OK729" s="27" t="s">
        <v>8</v>
      </c>
      <c r="OL729" s="27" t="s">
        <v>7</v>
      </c>
    </row>
    <row r="730" spans="1:416" x14ac:dyDescent="0.25">
      <c r="A730" s="7">
        <v>5.8908157329606609E-2</v>
      </c>
      <c r="B730"/>
      <c r="C730"/>
      <c r="D730"/>
      <c r="E730"/>
      <c r="F730" s="27" t="s">
        <v>7</v>
      </c>
      <c r="KE730" s="27" t="s">
        <v>8</v>
      </c>
      <c r="KF730" s="27" t="s">
        <v>7</v>
      </c>
      <c r="KG730" s="27" t="s">
        <v>8</v>
      </c>
      <c r="KQ730" s="27" t="s">
        <v>8</v>
      </c>
      <c r="KR730" s="27" t="s">
        <v>7</v>
      </c>
      <c r="KW730" s="27" t="s">
        <v>8</v>
      </c>
      <c r="KX730" s="27" t="s">
        <v>7</v>
      </c>
      <c r="KY730" s="27" t="s">
        <v>8</v>
      </c>
      <c r="LF730" s="27" t="s">
        <v>7</v>
      </c>
      <c r="LI730" s="27" t="s">
        <v>8</v>
      </c>
      <c r="LJ730" s="27" t="s">
        <v>7</v>
      </c>
      <c r="LK730" s="27" t="s">
        <v>8</v>
      </c>
      <c r="LN730" s="27" t="s">
        <v>7</v>
      </c>
      <c r="LO730" s="27" t="s">
        <v>8</v>
      </c>
      <c r="LP730" s="27" t="s">
        <v>7</v>
      </c>
      <c r="LQ730" s="27" t="s">
        <v>8</v>
      </c>
      <c r="LR730" s="27" t="s">
        <v>7</v>
      </c>
      <c r="NS730" s="27" t="s">
        <v>8</v>
      </c>
      <c r="NT730" s="27" t="s">
        <v>7</v>
      </c>
      <c r="NU730" s="27" t="s">
        <v>8</v>
      </c>
      <c r="NZ730" s="27" t="s">
        <v>7</v>
      </c>
      <c r="OA730" s="27" t="s">
        <v>8</v>
      </c>
      <c r="OB730" s="27" t="s">
        <v>7</v>
      </c>
      <c r="OC730" s="27" t="s">
        <v>8</v>
      </c>
      <c r="OD730" s="27" t="s">
        <v>7</v>
      </c>
      <c r="OE730" s="27" t="s">
        <v>8</v>
      </c>
      <c r="OF730" s="27" t="s">
        <v>7</v>
      </c>
      <c r="OK730" s="27" t="s">
        <v>8</v>
      </c>
      <c r="OL730" s="27" t="s">
        <v>7</v>
      </c>
    </row>
    <row r="731" spans="1:416" x14ac:dyDescent="0.25">
      <c r="A731" s="7">
        <v>5.7753095421182947E-2</v>
      </c>
      <c r="B731"/>
      <c r="C731"/>
      <c r="D731"/>
      <c r="E731"/>
      <c r="F731" s="27" t="s">
        <v>7</v>
      </c>
      <c r="KE731" s="27" t="s">
        <v>8</v>
      </c>
      <c r="KF731" s="27" t="s">
        <v>7</v>
      </c>
      <c r="KG731" s="27" t="s">
        <v>8</v>
      </c>
      <c r="KH731" s="27" t="s">
        <v>7</v>
      </c>
      <c r="KQ731" s="27" t="s">
        <v>8</v>
      </c>
      <c r="KR731" s="27" t="s">
        <v>7</v>
      </c>
      <c r="KW731" s="27" t="s">
        <v>8</v>
      </c>
      <c r="KX731" s="27" t="s">
        <v>7</v>
      </c>
      <c r="KY731" s="27" t="s">
        <v>8</v>
      </c>
      <c r="LF731" s="27" t="s">
        <v>7</v>
      </c>
      <c r="LI731" s="27" t="s">
        <v>8</v>
      </c>
      <c r="LJ731" s="27" t="s">
        <v>7</v>
      </c>
      <c r="LN731" s="27" t="s">
        <v>7</v>
      </c>
      <c r="LO731" s="27" t="s">
        <v>8</v>
      </c>
      <c r="LP731" s="27" t="s">
        <v>7</v>
      </c>
      <c r="LQ731" s="27" t="s">
        <v>8</v>
      </c>
      <c r="LR731" s="27" t="s">
        <v>7</v>
      </c>
      <c r="NS731" s="27" t="s">
        <v>8</v>
      </c>
      <c r="NT731" s="27" t="s">
        <v>7</v>
      </c>
      <c r="NU731" s="27" t="s">
        <v>8</v>
      </c>
      <c r="NZ731" s="27" t="s">
        <v>7</v>
      </c>
      <c r="OA731" s="27" t="s">
        <v>8</v>
      </c>
      <c r="OB731" s="27" t="s">
        <v>7</v>
      </c>
      <c r="OC731" s="27" t="s">
        <v>8</v>
      </c>
      <c r="OD731" s="27" t="s">
        <v>7</v>
      </c>
      <c r="OE731" s="27" t="s">
        <v>8</v>
      </c>
      <c r="OF731" s="27" t="s">
        <v>7</v>
      </c>
      <c r="OG731" s="27" t="s">
        <v>8</v>
      </c>
      <c r="OI731" s="27" t="s">
        <v>8</v>
      </c>
      <c r="OK731" s="27" t="s">
        <v>8</v>
      </c>
      <c r="OL731" s="27" t="s">
        <v>7</v>
      </c>
    </row>
    <row r="732" spans="1:416" x14ac:dyDescent="0.25">
      <c r="A732" s="7">
        <v>5.6620681785473484E-2</v>
      </c>
      <c r="B732"/>
      <c r="C732"/>
      <c r="D732"/>
      <c r="E732"/>
      <c r="F732" s="27" t="s">
        <v>7</v>
      </c>
      <c r="KE732" s="27" t="s">
        <v>8</v>
      </c>
      <c r="KF732" s="27" t="s">
        <v>7</v>
      </c>
      <c r="KG732" s="27" t="s">
        <v>8</v>
      </c>
      <c r="KH732" s="27" t="s">
        <v>7</v>
      </c>
      <c r="KQ732" s="27" t="s">
        <v>8</v>
      </c>
      <c r="KR732" s="27" t="s">
        <v>7</v>
      </c>
      <c r="KU732" s="27" t="s">
        <v>8</v>
      </c>
      <c r="KW732" s="27" t="s">
        <v>8</v>
      </c>
      <c r="KX732" s="27" t="s">
        <v>7</v>
      </c>
      <c r="KY732" s="27" t="s">
        <v>8</v>
      </c>
      <c r="LF732" s="27" t="s">
        <v>7</v>
      </c>
      <c r="LI732" s="27" t="s">
        <v>8</v>
      </c>
      <c r="LN732" s="27" t="s">
        <v>7</v>
      </c>
      <c r="LO732" s="27" t="s">
        <v>8</v>
      </c>
      <c r="LP732" s="27" t="s">
        <v>7</v>
      </c>
      <c r="LQ732" s="27" t="s">
        <v>8</v>
      </c>
      <c r="LR732" s="27" t="s">
        <v>7</v>
      </c>
      <c r="NS732" s="27" t="s">
        <v>8</v>
      </c>
      <c r="NT732" s="27" t="s">
        <v>7</v>
      </c>
      <c r="NU732" s="27" t="s">
        <v>8</v>
      </c>
      <c r="NZ732" s="27" t="s">
        <v>7</v>
      </c>
      <c r="OA732" s="27" t="s">
        <v>8</v>
      </c>
      <c r="OB732" s="27" t="s">
        <v>7</v>
      </c>
      <c r="OC732" s="27" t="s">
        <v>8</v>
      </c>
      <c r="OD732" s="27" t="s">
        <v>7</v>
      </c>
      <c r="OE732" s="27" t="s">
        <v>8</v>
      </c>
      <c r="OF732" s="27" t="s">
        <v>7</v>
      </c>
      <c r="OG732" s="27" t="s">
        <v>8</v>
      </c>
      <c r="OH732" s="27" t="s">
        <v>7</v>
      </c>
      <c r="OI732" s="27" t="s">
        <v>8</v>
      </c>
      <c r="OJ732" s="27" t="s">
        <v>7</v>
      </c>
      <c r="OK732" s="27" t="s">
        <v>8</v>
      </c>
      <c r="OL732" s="27" t="s">
        <v>7</v>
      </c>
      <c r="OW732" s="27" t="s">
        <v>8</v>
      </c>
    </row>
    <row r="733" spans="1:416" x14ac:dyDescent="0.25">
      <c r="A733" s="7">
        <v>5.5510472338699497E-2</v>
      </c>
      <c r="B733"/>
      <c r="C733"/>
      <c r="D733"/>
      <c r="E733"/>
      <c r="F733" s="27" t="s">
        <v>7</v>
      </c>
      <c r="KE733" s="27" t="s">
        <v>8</v>
      </c>
      <c r="KF733" s="27" t="s">
        <v>7</v>
      </c>
      <c r="KG733" s="27" t="s">
        <v>8</v>
      </c>
      <c r="KH733" s="27" t="s">
        <v>7</v>
      </c>
      <c r="KQ733" s="27" t="s">
        <v>8</v>
      </c>
      <c r="KR733" s="27" t="s">
        <v>7</v>
      </c>
      <c r="KU733" s="27" t="s">
        <v>8</v>
      </c>
      <c r="KV733" s="27" t="s">
        <v>7</v>
      </c>
      <c r="KW733" s="27" t="s">
        <v>8</v>
      </c>
      <c r="KX733" s="27" t="s">
        <v>7</v>
      </c>
      <c r="KY733" s="27" t="s">
        <v>8</v>
      </c>
      <c r="LF733" s="27" t="s">
        <v>7</v>
      </c>
      <c r="LI733" s="27" t="s">
        <v>8</v>
      </c>
      <c r="LN733" s="27" t="s">
        <v>7</v>
      </c>
      <c r="LP733" s="27" t="s">
        <v>7</v>
      </c>
      <c r="LQ733" s="27" t="s">
        <v>8</v>
      </c>
      <c r="LR733" s="27" t="s">
        <v>7</v>
      </c>
      <c r="NS733" s="27" t="s">
        <v>8</v>
      </c>
      <c r="NT733" s="27" t="s">
        <v>7</v>
      </c>
      <c r="NU733" s="27" t="s">
        <v>8</v>
      </c>
      <c r="NZ733" s="27" t="s">
        <v>7</v>
      </c>
      <c r="OA733" s="27" t="s">
        <v>8</v>
      </c>
      <c r="OB733" s="27" t="s">
        <v>7</v>
      </c>
      <c r="OD733" s="27" t="s">
        <v>7</v>
      </c>
      <c r="OE733" s="27" t="s">
        <v>8</v>
      </c>
      <c r="OF733" s="27" t="s">
        <v>7</v>
      </c>
      <c r="OG733" s="27" t="s">
        <v>8</v>
      </c>
      <c r="OH733" s="27" t="s">
        <v>7</v>
      </c>
      <c r="OI733" s="27" t="s">
        <v>8</v>
      </c>
      <c r="OJ733" s="27" t="s">
        <v>7</v>
      </c>
      <c r="OK733" s="27" t="s">
        <v>8</v>
      </c>
      <c r="OL733" s="27" t="s">
        <v>7</v>
      </c>
      <c r="OW733" s="27" t="s">
        <v>8</v>
      </c>
      <c r="OX733" s="27" t="s">
        <v>7</v>
      </c>
    </row>
    <row r="734" spans="1:416" x14ac:dyDescent="0.25">
      <c r="A734" s="7">
        <v>5.4422031704607354E-2</v>
      </c>
      <c r="B734"/>
      <c r="C734"/>
      <c r="D734"/>
      <c r="E734"/>
      <c r="F734" s="27" t="s">
        <v>7</v>
      </c>
      <c r="KE734" s="27" t="s">
        <v>8</v>
      </c>
      <c r="KF734" s="27" t="s">
        <v>7</v>
      </c>
      <c r="KG734" s="27" t="s">
        <v>8</v>
      </c>
      <c r="KH734" s="27" t="s">
        <v>7</v>
      </c>
      <c r="KQ734" s="27" t="s">
        <v>8</v>
      </c>
      <c r="KR734" s="27" t="s">
        <v>7</v>
      </c>
      <c r="KU734" s="27" t="s">
        <v>8</v>
      </c>
      <c r="KV734" s="27" t="s">
        <v>7</v>
      </c>
      <c r="KW734" s="27" t="s">
        <v>8</v>
      </c>
      <c r="KX734" s="27" t="s">
        <v>7</v>
      </c>
      <c r="KY734" s="27" t="s">
        <v>8</v>
      </c>
      <c r="LF734" s="27" t="s">
        <v>7</v>
      </c>
      <c r="LI734" s="27" t="s">
        <v>8</v>
      </c>
      <c r="LP734" s="27" t="s">
        <v>7</v>
      </c>
      <c r="LQ734" s="27" t="s">
        <v>8</v>
      </c>
      <c r="LR734" s="27" t="s">
        <v>7</v>
      </c>
      <c r="LS734" s="27" t="s">
        <v>8</v>
      </c>
      <c r="NS734" s="27" t="s">
        <v>8</v>
      </c>
      <c r="NT734" s="27" t="s">
        <v>7</v>
      </c>
      <c r="NU734" s="27" t="s">
        <v>8</v>
      </c>
      <c r="NZ734" s="27" t="s">
        <v>7</v>
      </c>
      <c r="OA734" s="27" t="s">
        <v>8</v>
      </c>
      <c r="OD734" s="27" t="s">
        <v>7</v>
      </c>
      <c r="OF734" s="27" t="s">
        <v>7</v>
      </c>
      <c r="OG734" s="27" t="s">
        <v>8</v>
      </c>
      <c r="OH734" s="27" t="s">
        <v>7</v>
      </c>
      <c r="OI734" s="27" t="s">
        <v>8</v>
      </c>
      <c r="OJ734" s="27" t="s">
        <v>7</v>
      </c>
      <c r="OK734" s="27" t="s">
        <v>8</v>
      </c>
      <c r="OL734" s="27" t="s">
        <v>7</v>
      </c>
      <c r="OM734" s="27" t="s">
        <v>8</v>
      </c>
      <c r="OW734" s="27" t="s">
        <v>8</v>
      </c>
      <c r="OX734" s="27" t="s">
        <v>7</v>
      </c>
    </row>
    <row r="735" spans="1:416" x14ac:dyDescent="0.25">
      <c r="A735" s="7">
        <v>5.3354933043732705E-2</v>
      </c>
      <c r="B735"/>
      <c r="C735"/>
      <c r="D735"/>
      <c r="E735"/>
      <c r="F735" s="27" t="s">
        <v>7</v>
      </c>
      <c r="KE735" s="27" t="s">
        <v>8</v>
      </c>
      <c r="KF735" s="27" t="s">
        <v>7</v>
      </c>
      <c r="KG735" s="27" t="s">
        <v>8</v>
      </c>
      <c r="KH735" s="27" t="s">
        <v>7</v>
      </c>
      <c r="KQ735" s="27" t="s">
        <v>8</v>
      </c>
      <c r="KR735" s="27" t="s">
        <v>7</v>
      </c>
      <c r="KU735" s="27" t="s">
        <v>8</v>
      </c>
      <c r="KV735" s="27" t="s">
        <v>7</v>
      </c>
      <c r="KW735" s="27" t="s">
        <v>8</v>
      </c>
      <c r="KX735" s="27" t="s">
        <v>7</v>
      </c>
      <c r="KY735" s="27" t="s">
        <v>8</v>
      </c>
      <c r="LF735" s="27" t="s">
        <v>7</v>
      </c>
      <c r="LI735" s="27" t="s">
        <v>8</v>
      </c>
      <c r="LP735" s="27" t="s">
        <v>7</v>
      </c>
      <c r="LQ735" s="27" t="s">
        <v>8</v>
      </c>
      <c r="LR735" s="27" t="s">
        <v>7</v>
      </c>
      <c r="LS735" s="27" t="s">
        <v>8</v>
      </c>
      <c r="LT735" s="27" t="s">
        <v>7</v>
      </c>
      <c r="NS735" s="27" t="s">
        <v>8</v>
      </c>
      <c r="NT735" s="27" t="s">
        <v>7</v>
      </c>
      <c r="NU735" s="27" t="s">
        <v>8</v>
      </c>
      <c r="NZ735" s="27" t="s">
        <v>7</v>
      </c>
      <c r="OA735" s="27" t="s">
        <v>8</v>
      </c>
      <c r="OF735" s="27" t="s">
        <v>7</v>
      </c>
      <c r="OG735" s="27" t="s">
        <v>8</v>
      </c>
      <c r="OH735" s="27" t="s">
        <v>7</v>
      </c>
      <c r="OI735" s="27" t="s">
        <v>8</v>
      </c>
      <c r="OJ735" s="27" t="s">
        <v>7</v>
      </c>
      <c r="OK735" s="27" t="s">
        <v>8</v>
      </c>
      <c r="OL735" s="27" t="s">
        <v>7</v>
      </c>
      <c r="OM735" s="27" t="s">
        <v>8</v>
      </c>
      <c r="ON735" s="27" t="s">
        <v>7</v>
      </c>
      <c r="OW735" s="27" t="s">
        <v>8</v>
      </c>
      <c r="OX735" s="27" t="s">
        <v>7</v>
      </c>
      <c r="OY735" s="27" t="s">
        <v>8</v>
      </c>
    </row>
    <row r="736" spans="1:416" x14ac:dyDescent="0.25">
      <c r="A736" s="7">
        <v>5.2308757886012455E-2</v>
      </c>
      <c r="B736"/>
      <c r="C736"/>
      <c r="D736"/>
      <c r="E736"/>
      <c r="F736" s="27" t="s">
        <v>7</v>
      </c>
      <c r="KE736" s="27" t="s">
        <v>8</v>
      </c>
      <c r="KF736" s="27" t="s">
        <v>7</v>
      </c>
      <c r="KG736" s="27" t="s">
        <v>8</v>
      </c>
      <c r="KH736" s="27" t="s">
        <v>7</v>
      </c>
      <c r="KQ736" s="27" t="s">
        <v>8</v>
      </c>
      <c r="KR736" s="27" t="s">
        <v>7</v>
      </c>
      <c r="KU736" s="27" t="s">
        <v>8</v>
      </c>
      <c r="KV736" s="27" t="s">
        <v>7</v>
      </c>
      <c r="KW736" s="27" t="s">
        <v>8</v>
      </c>
      <c r="KX736" s="27" t="s">
        <v>7</v>
      </c>
      <c r="KY736" s="27" t="s">
        <v>8</v>
      </c>
      <c r="LF736" s="27" t="s">
        <v>7</v>
      </c>
      <c r="LG736" s="27" t="s">
        <v>8</v>
      </c>
      <c r="LI736" s="27" t="s">
        <v>8</v>
      </c>
      <c r="LP736" s="27" t="s">
        <v>7</v>
      </c>
      <c r="LQ736" s="27" t="s">
        <v>8</v>
      </c>
      <c r="LR736" s="27" t="s">
        <v>7</v>
      </c>
      <c r="LS736" s="27" t="s">
        <v>8</v>
      </c>
      <c r="LT736" s="27" t="s">
        <v>7</v>
      </c>
      <c r="NS736" s="27" t="s">
        <v>8</v>
      </c>
      <c r="NT736" s="27" t="s">
        <v>7</v>
      </c>
      <c r="NU736" s="27" t="s">
        <v>8</v>
      </c>
      <c r="NZ736" s="27" t="s">
        <v>7</v>
      </c>
      <c r="OA736" s="27" t="s">
        <v>8</v>
      </c>
      <c r="OF736" s="27" t="s">
        <v>7</v>
      </c>
      <c r="OG736" s="27" t="s">
        <v>8</v>
      </c>
      <c r="OH736" s="27" t="s">
        <v>7</v>
      </c>
      <c r="OJ736" s="27" t="s">
        <v>7</v>
      </c>
      <c r="OL736" s="27" t="s">
        <v>7</v>
      </c>
      <c r="OM736" s="27" t="s">
        <v>8</v>
      </c>
      <c r="ON736" s="27" t="s">
        <v>7</v>
      </c>
      <c r="OO736" s="27" t="s">
        <v>8</v>
      </c>
      <c r="OQ736" s="27" t="s">
        <v>8</v>
      </c>
      <c r="OW736" s="27" t="s">
        <v>8</v>
      </c>
      <c r="OX736" s="27" t="s">
        <v>7</v>
      </c>
      <c r="OY736" s="27" t="s">
        <v>8</v>
      </c>
      <c r="OZ736" s="27" t="s">
        <v>7</v>
      </c>
    </row>
    <row r="737" spans="1:435" x14ac:dyDescent="0.25">
      <c r="A737" s="7">
        <v>5.1283095966678877E-2</v>
      </c>
      <c r="B737"/>
      <c r="C737"/>
      <c r="D737"/>
      <c r="E737"/>
      <c r="F737" s="27" t="s">
        <v>7</v>
      </c>
      <c r="KE737" s="27" t="s">
        <v>8</v>
      </c>
      <c r="KF737" s="27" t="s">
        <v>7</v>
      </c>
      <c r="KG737" s="27" t="s">
        <v>8</v>
      </c>
      <c r="KH737" s="27" t="s">
        <v>7</v>
      </c>
      <c r="KK737" s="27" t="s">
        <v>8</v>
      </c>
      <c r="KQ737" s="27" t="s">
        <v>8</v>
      </c>
      <c r="KR737" s="27" t="s">
        <v>7</v>
      </c>
      <c r="KS737" s="27" t="s">
        <v>8</v>
      </c>
      <c r="KU737" s="27" t="s">
        <v>8</v>
      </c>
      <c r="KV737" s="27" t="s">
        <v>7</v>
      </c>
      <c r="KW737" s="27" t="s">
        <v>8</v>
      </c>
      <c r="KX737" s="27" t="s">
        <v>7</v>
      </c>
      <c r="KY737" s="27" t="s">
        <v>8</v>
      </c>
      <c r="LF737" s="27" t="s">
        <v>7</v>
      </c>
      <c r="LG737" s="27" t="s">
        <v>8</v>
      </c>
      <c r="LH737" s="27" t="s">
        <v>7</v>
      </c>
      <c r="LI737" s="27" t="s">
        <v>8</v>
      </c>
      <c r="LP737" s="27" t="s">
        <v>7</v>
      </c>
      <c r="LR737" s="27" t="s">
        <v>7</v>
      </c>
      <c r="LS737" s="27" t="s">
        <v>8</v>
      </c>
      <c r="LT737" s="27" t="s">
        <v>7</v>
      </c>
      <c r="NS737" s="27" t="s">
        <v>8</v>
      </c>
      <c r="NT737" s="27" t="s">
        <v>7</v>
      </c>
      <c r="NU737" s="27" t="s">
        <v>8</v>
      </c>
      <c r="NZ737" s="27" t="s">
        <v>7</v>
      </c>
      <c r="OF737" s="27" t="s">
        <v>7</v>
      </c>
      <c r="OL737" s="27" t="s">
        <v>7</v>
      </c>
      <c r="OM737" s="27" t="s">
        <v>8</v>
      </c>
      <c r="ON737" s="27" t="s">
        <v>7</v>
      </c>
      <c r="OO737" s="27" t="s">
        <v>8</v>
      </c>
      <c r="OP737" s="27" t="s">
        <v>7</v>
      </c>
      <c r="OQ737" s="27" t="s">
        <v>8</v>
      </c>
      <c r="OR737" s="27" t="s">
        <v>7</v>
      </c>
      <c r="OU737" s="27" t="s">
        <v>8</v>
      </c>
      <c r="OW737" s="27" t="s">
        <v>8</v>
      </c>
      <c r="OX737" s="27" t="s">
        <v>7</v>
      </c>
      <c r="OY737" s="27" t="s">
        <v>8</v>
      </c>
      <c r="OZ737" s="27" t="s">
        <v>7</v>
      </c>
    </row>
    <row r="738" spans="1:435" x14ac:dyDescent="0.25">
      <c r="A738" s="7">
        <v>5.0277545065371444E-2</v>
      </c>
      <c r="B738"/>
      <c r="C738"/>
      <c r="D738"/>
      <c r="E738"/>
      <c r="F738" s="27" t="s">
        <v>7</v>
      </c>
      <c r="KE738" s="27" t="s">
        <v>8</v>
      </c>
      <c r="KF738" s="27" t="s">
        <v>7</v>
      </c>
      <c r="KG738" s="27" t="s">
        <v>8</v>
      </c>
      <c r="KH738" s="27" t="s">
        <v>7</v>
      </c>
      <c r="KK738" s="27" t="s">
        <v>8</v>
      </c>
      <c r="KL738" s="27" t="s">
        <v>7</v>
      </c>
      <c r="KQ738" s="27" t="s">
        <v>8</v>
      </c>
      <c r="KR738" s="27" t="s">
        <v>7</v>
      </c>
      <c r="KS738" s="27" t="s">
        <v>8</v>
      </c>
      <c r="KT738" s="27" t="s">
        <v>7</v>
      </c>
      <c r="KU738" s="27" t="s">
        <v>8</v>
      </c>
      <c r="KV738" s="27" t="s">
        <v>7</v>
      </c>
      <c r="KW738" s="27" t="s">
        <v>8</v>
      </c>
      <c r="KX738" s="27" t="s">
        <v>7</v>
      </c>
      <c r="KY738" s="27" t="s">
        <v>8</v>
      </c>
      <c r="LF738" s="27" t="s">
        <v>7</v>
      </c>
      <c r="LG738" s="27" t="s">
        <v>8</v>
      </c>
      <c r="LH738" s="27" t="s">
        <v>7</v>
      </c>
      <c r="LI738" s="27" t="s">
        <v>8</v>
      </c>
      <c r="LR738" s="27" t="s">
        <v>7</v>
      </c>
      <c r="LS738" s="27" t="s">
        <v>8</v>
      </c>
      <c r="LT738" s="27" t="s">
        <v>7</v>
      </c>
      <c r="NS738" s="27" t="s">
        <v>8</v>
      </c>
      <c r="NT738" s="27" t="s">
        <v>7</v>
      </c>
      <c r="NU738" s="27" t="s">
        <v>8</v>
      </c>
      <c r="OL738" s="27" t="s">
        <v>7</v>
      </c>
      <c r="ON738" s="27" t="s">
        <v>7</v>
      </c>
      <c r="OO738" s="27" t="s">
        <v>8</v>
      </c>
      <c r="OP738" s="27" t="s">
        <v>7</v>
      </c>
      <c r="OQ738" s="27" t="s">
        <v>8</v>
      </c>
      <c r="OR738" s="27" t="s">
        <v>7</v>
      </c>
      <c r="OS738" s="27" t="s">
        <v>8</v>
      </c>
      <c r="OU738" s="27" t="s">
        <v>8</v>
      </c>
      <c r="OV738" s="27" t="s">
        <v>7</v>
      </c>
      <c r="OW738" s="27" t="s">
        <v>8</v>
      </c>
      <c r="OX738" s="27" t="s">
        <v>7</v>
      </c>
      <c r="OY738" s="27" t="s">
        <v>8</v>
      </c>
      <c r="OZ738" s="27" t="s">
        <v>7</v>
      </c>
      <c r="PA738" s="27" t="s">
        <v>8</v>
      </c>
    </row>
    <row r="739" spans="1:435" x14ac:dyDescent="0.25">
      <c r="A739" s="7">
        <v>4.9291710848403378E-2</v>
      </c>
      <c r="B739"/>
      <c r="C739"/>
      <c r="D739"/>
      <c r="E739"/>
      <c r="F739" s="27" t="s">
        <v>7</v>
      </c>
      <c r="KE739" s="27" t="s">
        <v>8</v>
      </c>
      <c r="KF739" s="27" t="s">
        <v>7</v>
      </c>
      <c r="KG739" s="27" t="s">
        <v>8</v>
      </c>
      <c r="KH739" s="27" t="s">
        <v>7</v>
      </c>
      <c r="KK739" s="27" t="s">
        <v>8</v>
      </c>
      <c r="KL739" s="27" t="s">
        <v>7</v>
      </c>
      <c r="KQ739" s="27" t="s">
        <v>8</v>
      </c>
      <c r="KR739" s="27" t="s">
        <v>7</v>
      </c>
      <c r="KS739" s="27" t="s">
        <v>8</v>
      </c>
      <c r="KT739" s="27" t="s">
        <v>7</v>
      </c>
      <c r="KU739" s="27" t="s">
        <v>8</v>
      </c>
      <c r="KV739" s="27" t="s">
        <v>7</v>
      </c>
      <c r="KX739" s="27" t="s">
        <v>7</v>
      </c>
      <c r="LF739" s="27" t="s">
        <v>7</v>
      </c>
      <c r="LG739" s="27" t="s">
        <v>8</v>
      </c>
      <c r="LH739" s="27" t="s">
        <v>7</v>
      </c>
      <c r="LI739" s="27" t="s">
        <v>8</v>
      </c>
      <c r="LR739" s="27" t="s">
        <v>7</v>
      </c>
      <c r="LS739" s="27" t="s">
        <v>8</v>
      </c>
      <c r="LT739" s="27" t="s">
        <v>7</v>
      </c>
      <c r="NS739" s="27" t="s">
        <v>8</v>
      </c>
      <c r="NT739" s="27" t="s">
        <v>7</v>
      </c>
      <c r="NU739" s="27" t="s">
        <v>8</v>
      </c>
      <c r="ON739" s="27" t="s">
        <v>7</v>
      </c>
      <c r="OP739" s="27" t="s">
        <v>7</v>
      </c>
      <c r="OR739" s="27" t="s">
        <v>7</v>
      </c>
      <c r="OS739" s="27" t="s">
        <v>8</v>
      </c>
      <c r="OT739" s="27" t="s">
        <v>7</v>
      </c>
      <c r="OU739" s="27" t="s">
        <v>8</v>
      </c>
      <c r="OV739" s="27" t="s">
        <v>7</v>
      </c>
      <c r="OW739" s="27" t="s">
        <v>8</v>
      </c>
      <c r="OX739" s="27" t="s">
        <v>7</v>
      </c>
      <c r="OY739" s="27" t="s">
        <v>8</v>
      </c>
      <c r="OZ739" s="27" t="s">
        <v>7</v>
      </c>
      <c r="PA739" s="27" t="s">
        <v>8</v>
      </c>
      <c r="PB739" s="27" t="s">
        <v>7</v>
      </c>
    </row>
    <row r="740" spans="1:435" x14ac:dyDescent="0.25">
      <c r="A740" s="7">
        <v>4.8325206714120959E-2</v>
      </c>
      <c r="B740"/>
      <c r="C740"/>
      <c r="D740"/>
      <c r="E740"/>
      <c r="F740" s="27" t="s">
        <v>7</v>
      </c>
      <c r="KE740" s="27" t="s">
        <v>8</v>
      </c>
      <c r="KF740" s="27" t="s">
        <v>7</v>
      </c>
      <c r="KG740" s="27" t="s">
        <v>8</v>
      </c>
      <c r="KH740" s="27" t="s">
        <v>7</v>
      </c>
      <c r="KK740" s="27" t="s">
        <v>8</v>
      </c>
      <c r="KL740" s="27" t="s">
        <v>7</v>
      </c>
      <c r="KM740" s="27" t="s">
        <v>8</v>
      </c>
      <c r="KQ740" s="27" t="s">
        <v>8</v>
      </c>
      <c r="KR740" s="27" t="s">
        <v>7</v>
      </c>
      <c r="KS740" s="27" t="s">
        <v>8</v>
      </c>
      <c r="KT740" s="27" t="s">
        <v>7</v>
      </c>
      <c r="LF740" s="27" t="s">
        <v>7</v>
      </c>
      <c r="LG740" s="27" t="s">
        <v>8</v>
      </c>
      <c r="LH740" s="27" t="s">
        <v>7</v>
      </c>
      <c r="LI740" s="27" t="s">
        <v>8</v>
      </c>
      <c r="LR740" s="27" t="s">
        <v>7</v>
      </c>
      <c r="LS740" s="27" t="s">
        <v>8</v>
      </c>
      <c r="LT740" s="27" t="s">
        <v>7</v>
      </c>
      <c r="LU740" s="27" t="s">
        <v>8</v>
      </c>
      <c r="NS740" s="27" t="s">
        <v>8</v>
      </c>
      <c r="NT740" s="27" t="s">
        <v>7</v>
      </c>
      <c r="NU740" s="27" t="s">
        <v>8</v>
      </c>
      <c r="OR740" s="27" t="s">
        <v>7</v>
      </c>
      <c r="OS740" s="27" t="s">
        <v>8</v>
      </c>
      <c r="OT740" s="27" t="s">
        <v>7</v>
      </c>
      <c r="OU740" s="27" t="s">
        <v>8</v>
      </c>
      <c r="OV740" s="27" t="s">
        <v>7</v>
      </c>
      <c r="OX740" s="27" t="s">
        <v>7</v>
      </c>
      <c r="OZ740" s="27" t="s">
        <v>7</v>
      </c>
      <c r="PA740" s="27" t="s">
        <v>8</v>
      </c>
      <c r="PB740" s="27" t="s">
        <v>7</v>
      </c>
    </row>
    <row r="741" spans="1:435" x14ac:dyDescent="0.25">
      <c r="A741" s="7">
        <v>4.7377653641295057E-2</v>
      </c>
      <c r="B741"/>
      <c r="C741"/>
      <c r="D741"/>
      <c r="E741"/>
      <c r="F741" s="27" t="s">
        <v>7</v>
      </c>
      <c r="KE741" s="27" t="s">
        <v>8</v>
      </c>
      <c r="KF741" s="27" t="s">
        <v>7</v>
      </c>
      <c r="KG741" s="27" t="s">
        <v>8</v>
      </c>
      <c r="KH741" s="27" t="s">
        <v>7</v>
      </c>
      <c r="KK741" s="27" t="s">
        <v>8</v>
      </c>
      <c r="KL741" s="27" t="s">
        <v>7</v>
      </c>
      <c r="KM741" s="27" t="s">
        <v>8</v>
      </c>
      <c r="KN741" s="27" t="s">
        <v>7</v>
      </c>
      <c r="KQ741" s="27" t="s">
        <v>8</v>
      </c>
      <c r="KR741" s="27" t="s">
        <v>7</v>
      </c>
      <c r="KS741" s="27" t="s">
        <v>8</v>
      </c>
      <c r="LF741" s="27" t="s">
        <v>7</v>
      </c>
      <c r="LG741" s="27" t="s">
        <v>8</v>
      </c>
      <c r="LH741" s="27" t="s">
        <v>7</v>
      </c>
      <c r="LI741" s="27" t="s">
        <v>8</v>
      </c>
      <c r="LR741" s="27" t="s">
        <v>7</v>
      </c>
      <c r="LS741" s="27" t="s">
        <v>8</v>
      </c>
      <c r="LT741" s="27" t="s">
        <v>7</v>
      </c>
      <c r="LU741" s="27" t="s">
        <v>8</v>
      </c>
      <c r="LV741" s="27" t="s">
        <v>7</v>
      </c>
      <c r="NO741" s="27" t="s">
        <v>8</v>
      </c>
      <c r="NS741" s="27" t="s">
        <v>8</v>
      </c>
      <c r="NT741" s="27" t="s">
        <v>7</v>
      </c>
      <c r="NU741" s="27" t="s">
        <v>8</v>
      </c>
      <c r="OR741" s="27" t="s">
        <v>7</v>
      </c>
      <c r="OS741" s="27" t="s">
        <v>8</v>
      </c>
      <c r="OT741" s="27" t="s">
        <v>7</v>
      </c>
      <c r="OU741" s="27" t="s">
        <v>8</v>
      </c>
      <c r="OZ741" s="27" t="s">
        <v>7</v>
      </c>
      <c r="PA741" s="27" t="s">
        <v>8</v>
      </c>
      <c r="PB741" s="27" t="s">
        <v>7</v>
      </c>
      <c r="PC741" s="27" t="s">
        <v>8</v>
      </c>
    </row>
    <row r="742" spans="1:435" x14ac:dyDescent="0.25">
      <c r="A742" s="7">
        <v>4.644868004048535E-2</v>
      </c>
      <c r="B742"/>
      <c r="C742"/>
      <c r="D742"/>
      <c r="E742"/>
      <c r="F742" s="27" t="s">
        <v>7</v>
      </c>
      <c r="KC742" s="27" t="s">
        <v>8</v>
      </c>
      <c r="KE742" s="27" t="s">
        <v>8</v>
      </c>
      <c r="KF742" s="27" t="s">
        <v>7</v>
      </c>
      <c r="KG742" s="27" t="s">
        <v>8</v>
      </c>
      <c r="KH742" s="27" t="s">
        <v>7</v>
      </c>
      <c r="KK742" s="27" t="s">
        <v>8</v>
      </c>
      <c r="KL742" s="27" t="s">
        <v>7</v>
      </c>
      <c r="KM742" s="27" t="s">
        <v>8</v>
      </c>
      <c r="KN742" s="27" t="s">
        <v>7</v>
      </c>
      <c r="KQ742" s="27" t="s">
        <v>8</v>
      </c>
      <c r="KR742" s="27" t="s">
        <v>7</v>
      </c>
      <c r="KS742" s="27" t="s">
        <v>8</v>
      </c>
      <c r="LF742" s="27" t="s">
        <v>7</v>
      </c>
      <c r="LG742" s="27" t="s">
        <v>8</v>
      </c>
      <c r="LH742" s="27" t="s">
        <v>7</v>
      </c>
      <c r="LI742" s="27" t="s">
        <v>8</v>
      </c>
      <c r="LR742" s="27" t="s">
        <v>7</v>
      </c>
      <c r="LS742" s="27" t="s">
        <v>8</v>
      </c>
      <c r="LT742" s="27" t="s">
        <v>7</v>
      </c>
      <c r="LU742" s="27" t="s">
        <v>8</v>
      </c>
      <c r="LV742" s="27" t="s">
        <v>7</v>
      </c>
      <c r="NO742" s="27" t="s">
        <v>8</v>
      </c>
      <c r="NP742" s="27" t="s">
        <v>7</v>
      </c>
      <c r="NQ742" s="27" t="s">
        <v>8</v>
      </c>
      <c r="NS742" s="27" t="s">
        <v>8</v>
      </c>
      <c r="NT742" s="27" t="s">
        <v>7</v>
      </c>
      <c r="OR742" s="27" t="s">
        <v>7</v>
      </c>
      <c r="OS742" s="27" t="s">
        <v>8</v>
      </c>
      <c r="OT742" s="27" t="s">
        <v>7</v>
      </c>
      <c r="OZ742" s="27" t="s">
        <v>7</v>
      </c>
      <c r="PA742" s="27" t="s">
        <v>8</v>
      </c>
      <c r="PB742" s="27" t="s">
        <v>7</v>
      </c>
      <c r="PC742" s="27" t="s">
        <v>8</v>
      </c>
      <c r="PD742" s="27" t="s">
        <v>7</v>
      </c>
    </row>
    <row r="743" spans="1:435" x14ac:dyDescent="0.25">
      <c r="A743" s="7">
        <v>4.5537921608318974E-2</v>
      </c>
      <c r="B743"/>
      <c r="C743"/>
      <c r="D743"/>
      <c r="E743"/>
      <c r="F743" s="27" t="s">
        <v>7</v>
      </c>
      <c r="KC743" s="27" t="s">
        <v>8</v>
      </c>
      <c r="KD743" s="27" t="s">
        <v>7</v>
      </c>
      <c r="KE743" s="27" t="s">
        <v>8</v>
      </c>
      <c r="KF743" s="27" t="s">
        <v>7</v>
      </c>
      <c r="KG743" s="27" t="s">
        <v>8</v>
      </c>
      <c r="KH743" s="27" t="s">
        <v>7</v>
      </c>
      <c r="KK743" s="27" t="s">
        <v>8</v>
      </c>
      <c r="KL743" s="27" t="s">
        <v>7</v>
      </c>
      <c r="KM743" s="27" t="s">
        <v>8</v>
      </c>
      <c r="KN743" s="27" t="s">
        <v>7</v>
      </c>
      <c r="KO743" s="27" t="s">
        <v>8</v>
      </c>
      <c r="KQ743" s="27" t="s">
        <v>8</v>
      </c>
      <c r="KR743" s="27" t="s">
        <v>7</v>
      </c>
      <c r="KS743" s="27" t="s">
        <v>8</v>
      </c>
      <c r="LF743" s="27" t="s">
        <v>7</v>
      </c>
      <c r="LG743" s="27" t="s">
        <v>8</v>
      </c>
      <c r="LH743" s="27" t="s">
        <v>7</v>
      </c>
      <c r="LI743" s="27" t="s">
        <v>8</v>
      </c>
      <c r="LR743" s="27" t="s">
        <v>7</v>
      </c>
      <c r="LT743" s="27" t="s">
        <v>7</v>
      </c>
      <c r="LU743" s="27" t="s">
        <v>8</v>
      </c>
      <c r="LV743" s="27" t="s">
        <v>7</v>
      </c>
      <c r="NO743" s="27" t="s">
        <v>8</v>
      </c>
      <c r="NP743" s="27" t="s">
        <v>7</v>
      </c>
      <c r="NQ743" s="27" t="s">
        <v>8</v>
      </c>
      <c r="NR743" s="27" t="s">
        <v>7</v>
      </c>
      <c r="NS743" s="27" t="s">
        <v>8</v>
      </c>
      <c r="OR743" s="27" t="s">
        <v>7</v>
      </c>
      <c r="OS743" s="27" t="s">
        <v>8</v>
      </c>
      <c r="OZ743" s="27" t="s">
        <v>7</v>
      </c>
      <c r="PA743" s="27" t="s">
        <v>8</v>
      </c>
      <c r="PB743" s="27" t="s">
        <v>7</v>
      </c>
      <c r="PC743" s="27" t="s">
        <v>8</v>
      </c>
      <c r="PD743" s="27" t="s">
        <v>7</v>
      </c>
      <c r="PE743" s="27" t="s">
        <v>8</v>
      </c>
      <c r="PG743" s="27" t="s">
        <v>8</v>
      </c>
    </row>
    <row r="744" spans="1:435" x14ac:dyDescent="0.25">
      <c r="A744" s="7">
        <v>4.4645021184626446E-2</v>
      </c>
      <c r="B744"/>
      <c r="C744"/>
      <c r="D744"/>
      <c r="E744"/>
      <c r="F744" s="27" t="s">
        <v>7</v>
      </c>
      <c r="KA744" s="27" t="s">
        <v>8</v>
      </c>
      <c r="KC744" s="27" t="s">
        <v>8</v>
      </c>
      <c r="KD744" s="27" t="s">
        <v>7</v>
      </c>
      <c r="KE744" s="27" t="s">
        <v>8</v>
      </c>
      <c r="KF744" s="27" t="s">
        <v>7</v>
      </c>
      <c r="KG744" s="27" t="s">
        <v>8</v>
      </c>
      <c r="KH744" s="27" t="s">
        <v>7</v>
      </c>
      <c r="KK744" s="27" t="s">
        <v>8</v>
      </c>
      <c r="KL744" s="27" t="s">
        <v>7</v>
      </c>
      <c r="KM744" s="27" t="s">
        <v>8</v>
      </c>
      <c r="KN744" s="27" t="s">
        <v>7</v>
      </c>
      <c r="KO744" s="27" t="s">
        <v>8</v>
      </c>
      <c r="KP744" s="27" t="s">
        <v>7</v>
      </c>
      <c r="KQ744" s="27" t="s">
        <v>8</v>
      </c>
      <c r="KR744" s="27" t="s">
        <v>7</v>
      </c>
      <c r="KS744" s="27" t="s">
        <v>8</v>
      </c>
      <c r="LF744" s="27" t="s">
        <v>7</v>
      </c>
      <c r="LG744" s="27" t="s">
        <v>8</v>
      </c>
      <c r="LH744" s="27" t="s">
        <v>7</v>
      </c>
      <c r="LI744" s="27" t="s">
        <v>8</v>
      </c>
      <c r="LT744" s="27" t="s">
        <v>7</v>
      </c>
      <c r="LU744" s="27" t="s">
        <v>8</v>
      </c>
      <c r="LV744" s="27" t="s">
        <v>7</v>
      </c>
      <c r="NM744" s="27" t="s">
        <v>8</v>
      </c>
      <c r="NO744" s="27" t="s">
        <v>8</v>
      </c>
      <c r="NP744" s="27" t="s">
        <v>7</v>
      </c>
      <c r="NQ744" s="27" t="s">
        <v>8</v>
      </c>
      <c r="NR744" s="27" t="s">
        <v>7</v>
      </c>
      <c r="NS744" s="27" t="s">
        <v>8</v>
      </c>
      <c r="OR744" s="27" t="s">
        <v>7</v>
      </c>
      <c r="OS744" s="27" t="s">
        <v>8</v>
      </c>
      <c r="OZ744" s="27" t="s">
        <v>7</v>
      </c>
      <c r="PA744" s="27" t="s">
        <v>8</v>
      </c>
      <c r="PB744" s="27" t="s">
        <v>7</v>
      </c>
      <c r="PC744" s="27" t="s">
        <v>8</v>
      </c>
      <c r="PD744" s="27" t="s">
        <v>7</v>
      </c>
      <c r="PE744" s="27" t="s">
        <v>8</v>
      </c>
      <c r="PF744" s="27" t="s">
        <v>7</v>
      </c>
      <c r="PG744" s="27" t="s">
        <v>8</v>
      </c>
      <c r="PH744" s="27" t="s">
        <v>7</v>
      </c>
    </row>
    <row r="745" spans="1:435" x14ac:dyDescent="0.25">
      <c r="A745" s="7">
        <v>4.3769628612378868E-2</v>
      </c>
      <c r="B745"/>
      <c r="C745"/>
      <c r="D745"/>
      <c r="E745"/>
      <c r="F745" s="27" t="s">
        <v>7</v>
      </c>
      <c r="KA745" s="27" t="s">
        <v>8</v>
      </c>
      <c r="KB745" s="27" t="s">
        <v>7</v>
      </c>
      <c r="KC745" s="27" t="s">
        <v>8</v>
      </c>
      <c r="KD745" s="27" t="s">
        <v>7</v>
      </c>
      <c r="KE745" s="27" t="s">
        <v>8</v>
      </c>
      <c r="KF745" s="27" t="s">
        <v>7</v>
      </c>
      <c r="KG745" s="27" t="s">
        <v>8</v>
      </c>
      <c r="KH745" s="27" t="s">
        <v>7</v>
      </c>
      <c r="KK745" s="27" t="s">
        <v>8</v>
      </c>
      <c r="KL745" s="27" t="s">
        <v>7</v>
      </c>
      <c r="KN745" s="27" t="s">
        <v>7</v>
      </c>
      <c r="KO745" s="27" t="s">
        <v>8</v>
      </c>
      <c r="KP745" s="27" t="s">
        <v>7</v>
      </c>
      <c r="KQ745" s="27" t="s">
        <v>8</v>
      </c>
      <c r="KR745" s="27" t="s">
        <v>7</v>
      </c>
      <c r="KS745" s="27" t="s">
        <v>8</v>
      </c>
      <c r="LF745" s="27" t="s">
        <v>7</v>
      </c>
      <c r="LG745" s="27" t="s">
        <v>8</v>
      </c>
      <c r="LH745" s="27" t="s">
        <v>7</v>
      </c>
      <c r="LI745" s="27" t="s">
        <v>8</v>
      </c>
      <c r="LT745" s="27" t="s">
        <v>7</v>
      </c>
      <c r="LV745" s="27" t="s">
        <v>7</v>
      </c>
      <c r="NM745" s="27" t="s">
        <v>8</v>
      </c>
      <c r="NN745" s="27" t="s">
        <v>7</v>
      </c>
      <c r="NO745" s="27" t="s">
        <v>8</v>
      </c>
      <c r="NP745" s="27" t="s">
        <v>7</v>
      </c>
      <c r="NQ745" s="27" t="s">
        <v>8</v>
      </c>
      <c r="NR745" s="27" t="s">
        <v>7</v>
      </c>
      <c r="NS745" s="27" t="s">
        <v>8</v>
      </c>
      <c r="OR745" s="27" t="s">
        <v>7</v>
      </c>
      <c r="OS745" s="27" t="s">
        <v>8</v>
      </c>
      <c r="OZ745" s="27" t="s">
        <v>7</v>
      </c>
      <c r="PA745" s="27" t="s">
        <v>8</v>
      </c>
      <c r="PB745" s="27" t="s">
        <v>7</v>
      </c>
      <c r="PC745" s="27" t="s">
        <v>8</v>
      </c>
      <c r="PD745" s="27" t="s">
        <v>7</v>
      </c>
      <c r="PE745" s="27" t="s">
        <v>8</v>
      </c>
      <c r="PF745" s="27" t="s">
        <v>7</v>
      </c>
      <c r="PG745" s="27" t="s">
        <v>8</v>
      </c>
      <c r="PH745" s="27" t="s">
        <v>7</v>
      </c>
    </row>
    <row r="746" spans="1:435" x14ac:dyDescent="0.25">
      <c r="A746" s="7">
        <v>4.2911400600371442E-2</v>
      </c>
      <c r="B746"/>
      <c r="C746"/>
      <c r="D746"/>
      <c r="E746"/>
      <c r="F746" s="27" t="s">
        <v>7</v>
      </c>
      <c r="KA746" s="27" t="s">
        <v>8</v>
      </c>
      <c r="KB746" s="27" t="s">
        <v>7</v>
      </c>
      <c r="KC746" s="27" t="s">
        <v>8</v>
      </c>
      <c r="KD746" s="27" t="s">
        <v>7</v>
      </c>
      <c r="KE746" s="27" t="s">
        <v>8</v>
      </c>
      <c r="KF746" s="27" t="s">
        <v>7</v>
      </c>
      <c r="KG746" s="27" t="s">
        <v>8</v>
      </c>
      <c r="KH746" s="27" t="s">
        <v>7</v>
      </c>
      <c r="KK746" s="27" t="s">
        <v>8</v>
      </c>
      <c r="KN746" s="27" t="s">
        <v>7</v>
      </c>
      <c r="KO746" s="27" t="s">
        <v>8</v>
      </c>
      <c r="KP746" s="27" t="s">
        <v>7</v>
      </c>
      <c r="KQ746" s="27" t="s">
        <v>8</v>
      </c>
      <c r="KR746" s="27" t="s">
        <v>7</v>
      </c>
      <c r="KS746" s="27" t="s">
        <v>8</v>
      </c>
      <c r="LF746" s="27" t="s">
        <v>7</v>
      </c>
      <c r="LG746" s="27" t="s">
        <v>8</v>
      </c>
      <c r="LH746" s="27" t="s">
        <v>7</v>
      </c>
      <c r="LV746" s="27" t="s">
        <v>7</v>
      </c>
      <c r="LW746" s="27" t="s">
        <v>8</v>
      </c>
      <c r="NM746" s="27" t="s">
        <v>8</v>
      </c>
      <c r="NN746" s="27" t="s">
        <v>7</v>
      </c>
      <c r="NO746" s="27" t="s">
        <v>8</v>
      </c>
      <c r="NP746" s="27" t="s">
        <v>7</v>
      </c>
      <c r="NQ746" s="27" t="s">
        <v>8</v>
      </c>
      <c r="NR746" s="27" t="s">
        <v>7</v>
      </c>
      <c r="NS746" s="27" t="s">
        <v>8</v>
      </c>
      <c r="OR746" s="27" t="s">
        <v>7</v>
      </c>
      <c r="OS746" s="27" t="s">
        <v>8</v>
      </c>
      <c r="OZ746" s="27" t="s">
        <v>7</v>
      </c>
      <c r="PB746" s="27" t="s">
        <v>7</v>
      </c>
      <c r="PC746" s="27" t="s">
        <v>8</v>
      </c>
      <c r="PD746" s="27" t="s">
        <v>7</v>
      </c>
      <c r="PE746" s="27" t="s">
        <v>8</v>
      </c>
      <c r="PF746" s="27" t="s">
        <v>7</v>
      </c>
      <c r="PG746" s="27" t="s">
        <v>8</v>
      </c>
      <c r="PH746" s="27" t="s">
        <v>7</v>
      </c>
    </row>
    <row r="747" spans="1:435" x14ac:dyDescent="0.25">
      <c r="A747" s="7">
        <v>4.2070000588599457E-2</v>
      </c>
      <c r="B747"/>
      <c r="C747"/>
      <c r="D747"/>
      <c r="E747"/>
      <c r="F747" s="27" t="s">
        <v>7</v>
      </c>
      <c r="KA747" s="27" t="s">
        <v>8</v>
      </c>
      <c r="KB747" s="27" t="s">
        <v>7</v>
      </c>
      <c r="KC747" s="27" t="s">
        <v>8</v>
      </c>
      <c r="KD747" s="27" t="s">
        <v>7</v>
      </c>
      <c r="KE747" s="27" t="s">
        <v>8</v>
      </c>
      <c r="KF747" s="27" t="s">
        <v>7</v>
      </c>
      <c r="KG747" s="27" t="s">
        <v>8</v>
      </c>
      <c r="KH747" s="27" t="s">
        <v>7</v>
      </c>
      <c r="KI747" s="27" t="s">
        <v>8</v>
      </c>
      <c r="KK747" s="27" t="s">
        <v>8</v>
      </c>
      <c r="KN747" s="27" t="s">
        <v>7</v>
      </c>
      <c r="KP747" s="27" t="s">
        <v>7</v>
      </c>
      <c r="KQ747" s="27" t="s">
        <v>8</v>
      </c>
      <c r="KR747" s="27" t="s">
        <v>7</v>
      </c>
      <c r="LF747" s="27" t="s">
        <v>7</v>
      </c>
      <c r="LG747" s="27" t="s">
        <v>8</v>
      </c>
      <c r="LV747" s="27" t="s">
        <v>7</v>
      </c>
      <c r="LW747" s="27" t="s">
        <v>8</v>
      </c>
      <c r="LX747" s="27" t="s">
        <v>7</v>
      </c>
      <c r="NM747" s="27" t="s">
        <v>8</v>
      </c>
      <c r="NN747" s="27" t="s">
        <v>7</v>
      </c>
      <c r="NO747" s="27" t="s">
        <v>8</v>
      </c>
      <c r="NP747" s="27" t="s">
        <v>7</v>
      </c>
      <c r="NR747" s="27" t="s">
        <v>7</v>
      </c>
      <c r="NS747" s="27" t="s">
        <v>8</v>
      </c>
      <c r="OR747" s="27" t="s">
        <v>7</v>
      </c>
      <c r="OS747" s="27" t="s">
        <v>8</v>
      </c>
      <c r="PB747" s="27" t="s">
        <v>7</v>
      </c>
      <c r="PD747" s="27" t="s">
        <v>7</v>
      </c>
      <c r="PE747" s="27" t="s">
        <v>8</v>
      </c>
      <c r="PF747" s="27" t="s">
        <v>7</v>
      </c>
      <c r="PG747" s="27" t="s">
        <v>8</v>
      </c>
      <c r="PH747" s="27" t="s">
        <v>7</v>
      </c>
      <c r="PI747" s="27" t="s">
        <v>8</v>
      </c>
    </row>
    <row r="748" spans="1:435" x14ac:dyDescent="0.25">
      <c r="A748" s="7">
        <v>4.1245098616273977E-2</v>
      </c>
      <c r="B748"/>
      <c r="C748"/>
      <c r="D748"/>
      <c r="E748"/>
      <c r="F748" s="27" t="s">
        <v>7</v>
      </c>
      <c r="KA748" s="27" t="s">
        <v>8</v>
      </c>
      <c r="KB748" s="27" t="s">
        <v>7</v>
      </c>
      <c r="KC748" s="27" t="s">
        <v>8</v>
      </c>
      <c r="KD748" s="27" t="s">
        <v>7</v>
      </c>
      <c r="KE748" s="27" t="s">
        <v>8</v>
      </c>
      <c r="KF748" s="27" t="s">
        <v>7</v>
      </c>
      <c r="KG748" s="27" t="s">
        <v>8</v>
      </c>
      <c r="KH748" s="27" t="s">
        <v>7</v>
      </c>
      <c r="KI748" s="27" t="s">
        <v>8</v>
      </c>
      <c r="KJ748" s="27" t="s">
        <v>7</v>
      </c>
      <c r="KK748" s="27" t="s">
        <v>8</v>
      </c>
      <c r="KP748" s="27" t="s">
        <v>7</v>
      </c>
      <c r="KQ748" s="27" t="s">
        <v>8</v>
      </c>
      <c r="LF748" s="27" t="s">
        <v>7</v>
      </c>
      <c r="LG748" s="27" t="s">
        <v>8</v>
      </c>
      <c r="LV748" s="27" t="s">
        <v>7</v>
      </c>
      <c r="LW748" s="27" t="s">
        <v>8</v>
      </c>
      <c r="LX748" s="27" t="s">
        <v>7</v>
      </c>
      <c r="NM748" s="27" t="s">
        <v>8</v>
      </c>
      <c r="NN748" s="27" t="s">
        <v>7</v>
      </c>
      <c r="NO748" s="27" t="s">
        <v>8</v>
      </c>
      <c r="NR748" s="27" t="s">
        <v>7</v>
      </c>
      <c r="NS748" s="27" t="s">
        <v>8</v>
      </c>
      <c r="OR748" s="27" t="s">
        <v>7</v>
      </c>
      <c r="OS748" s="27" t="s">
        <v>8</v>
      </c>
      <c r="PD748" s="27" t="s">
        <v>7</v>
      </c>
      <c r="PE748" s="27" t="s">
        <v>8</v>
      </c>
      <c r="PF748" s="27" t="s">
        <v>7</v>
      </c>
      <c r="PG748" s="27" t="s">
        <v>8</v>
      </c>
      <c r="PH748" s="27" t="s">
        <v>7</v>
      </c>
      <c r="PI748" s="27" t="s">
        <v>8</v>
      </c>
      <c r="PJ748" s="27" t="s">
        <v>7</v>
      </c>
    </row>
    <row r="749" spans="1:435" x14ac:dyDescent="0.25">
      <c r="A749" s="7">
        <v>4.043637119242547E-2</v>
      </c>
      <c r="B749"/>
      <c r="C749"/>
      <c r="D749"/>
      <c r="E749"/>
      <c r="F749" s="27" t="s">
        <v>7</v>
      </c>
      <c r="KA749" s="27" t="s">
        <v>8</v>
      </c>
      <c r="KB749" s="27" t="s">
        <v>7</v>
      </c>
      <c r="KC749" s="27" t="s">
        <v>8</v>
      </c>
      <c r="KD749" s="27" t="s">
        <v>7</v>
      </c>
      <c r="KF749" s="27" t="s">
        <v>7</v>
      </c>
      <c r="KG749" s="27" t="s">
        <v>8</v>
      </c>
      <c r="KH749" s="27" t="s">
        <v>7</v>
      </c>
      <c r="KI749" s="27" t="s">
        <v>8</v>
      </c>
      <c r="KJ749" s="27" t="s">
        <v>7</v>
      </c>
      <c r="KK749" s="27" t="s">
        <v>8</v>
      </c>
      <c r="KP749" s="27" t="s">
        <v>7</v>
      </c>
      <c r="KQ749" s="27" t="s">
        <v>8</v>
      </c>
      <c r="LF749" s="27" t="s">
        <v>7</v>
      </c>
      <c r="LG749" s="27" t="s">
        <v>8</v>
      </c>
      <c r="LV749" s="27" t="s">
        <v>7</v>
      </c>
      <c r="LW749" s="27" t="s">
        <v>8</v>
      </c>
      <c r="LX749" s="27" t="s">
        <v>7</v>
      </c>
      <c r="NM749" s="27" t="s">
        <v>8</v>
      </c>
      <c r="NN749" s="27" t="s">
        <v>7</v>
      </c>
      <c r="NO749" s="27" t="s">
        <v>8</v>
      </c>
      <c r="NR749" s="27" t="s">
        <v>7</v>
      </c>
      <c r="OR749" s="27" t="s">
        <v>7</v>
      </c>
      <c r="PD749" s="27" t="s">
        <v>7</v>
      </c>
      <c r="PE749" s="27" t="s">
        <v>8</v>
      </c>
      <c r="PF749" s="27" t="s">
        <v>7</v>
      </c>
      <c r="PG749" s="27" t="s">
        <v>8</v>
      </c>
      <c r="PH749" s="27" t="s">
        <v>7</v>
      </c>
      <c r="PI749" s="27" t="s">
        <v>8</v>
      </c>
      <c r="PJ749" s="27" t="s">
        <v>7</v>
      </c>
    </row>
    <row r="750" spans="1:435" x14ac:dyDescent="0.25">
      <c r="A750" s="7">
        <v>3.9643501169044582E-2</v>
      </c>
      <c r="B750"/>
      <c r="C750"/>
      <c r="D750"/>
      <c r="E750"/>
      <c r="F750" s="27" t="s">
        <v>7</v>
      </c>
      <c r="KA750" s="27" t="s">
        <v>8</v>
      </c>
      <c r="KB750" s="27" t="s">
        <v>7</v>
      </c>
      <c r="KC750" s="27" t="s">
        <v>8</v>
      </c>
      <c r="KF750" s="27" t="s">
        <v>7</v>
      </c>
      <c r="KG750" s="27" t="s">
        <v>8</v>
      </c>
      <c r="KH750" s="27" t="s">
        <v>7</v>
      </c>
      <c r="KI750" s="27" t="s">
        <v>8</v>
      </c>
      <c r="KJ750" s="27" t="s">
        <v>7</v>
      </c>
      <c r="KK750" s="27" t="s">
        <v>8</v>
      </c>
      <c r="KP750" s="27" t="s">
        <v>7</v>
      </c>
      <c r="LF750" s="27" t="s">
        <v>7</v>
      </c>
      <c r="LG750" s="27" t="s">
        <v>8</v>
      </c>
      <c r="LV750" s="27" t="s">
        <v>7</v>
      </c>
      <c r="LW750" s="27" t="s">
        <v>8</v>
      </c>
      <c r="LX750" s="27" t="s">
        <v>7</v>
      </c>
      <c r="NM750" s="27" t="s">
        <v>8</v>
      </c>
      <c r="NN750" s="27" t="s">
        <v>7</v>
      </c>
      <c r="NO750" s="27" t="s">
        <v>8</v>
      </c>
      <c r="PD750" s="27" t="s">
        <v>7</v>
      </c>
      <c r="PF750" s="27" t="s">
        <v>7</v>
      </c>
      <c r="PG750" s="27" t="s">
        <v>8</v>
      </c>
      <c r="PH750" s="27" t="s">
        <v>7</v>
      </c>
      <c r="PJ750" s="27" t="s">
        <v>7</v>
      </c>
    </row>
    <row r="751" spans="1:435" x14ac:dyDescent="0.25">
      <c r="A751" s="7">
        <v>3.8866177616710372E-2</v>
      </c>
      <c r="B751"/>
      <c r="C751"/>
      <c r="D751"/>
      <c r="E751"/>
      <c r="F751" s="27" t="s">
        <v>7</v>
      </c>
      <c r="KA751" s="27" t="s">
        <v>8</v>
      </c>
      <c r="KB751" s="27" t="s">
        <v>7</v>
      </c>
      <c r="KC751" s="27" t="s">
        <v>8</v>
      </c>
      <c r="KF751" s="27" t="s">
        <v>7</v>
      </c>
      <c r="KG751" s="27" t="s">
        <v>8</v>
      </c>
      <c r="KH751" s="27" t="s">
        <v>7</v>
      </c>
      <c r="KJ751" s="27" t="s">
        <v>7</v>
      </c>
      <c r="KK751" s="27" t="s">
        <v>8</v>
      </c>
      <c r="LF751" s="27" t="s">
        <v>7</v>
      </c>
      <c r="LG751" s="27" t="s">
        <v>8</v>
      </c>
      <c r="LV751" s="27" t="s">
        <v>7</v>
      </c>
      <c r="LW751" s="27" t="s">
        <v>8</v>
      </c>
      <c r="LX751" s="27" t="s">
        <v>7</v>
      </c>
      <c r="NM751" s="27" t="s">
        <v>8</v>
      </c>
      <c r="NN751" s="27" t="s">
        <v>7</v>
      </c>
      <c r="NO751" s="27" t="s">
        <v>8</v>
      </c>
      <c r="PF751" s="27" t="s">
        <v>7</v>
      </c>
      <c r="PG751" s="27" t="s">
        <v>8</v>
      </c>
      <c r="PJ751" s="27" t="s">
        <v>7</v>
      </c>
    </row>
    <row r="752" spans="1:435" x14ac:dyDescent="0.25">
      <c r="A752" s="7">
        <v>3.8104095702657229E-2</v>
      </c>
      <c r="B752"/>
      <c r="C752"/>
      <c r="D752"/>
      <c r="E752"/>
      <c r="F752" s="27" t="s">
        <v>7</v>
      </c>
      <c r="KA752" s="27" t="s">
        <v>8</v>
      </c>
      <c r="KB752" s="27" t="s">
        <v>7</v>
      </c>
      <c r="KF752" s="27" t="s">
        <v>7</v>
      </c>
      <c r="KG752" s="27" t="s">
        <v>8</v>
      </c>
      <c r="KJ752" s="27" t="s">
        <v>7</v>
      </c>
      <c r="KK752" s="27" t="s">
        <v>8</v>
      </c>
      <c r="LF752" s="27" t="s">
        <v>7</v>
      </c>
      <c r="LG752" s="27" t="s">
        <v>8</v>
      </c>
      <c r="LV752" s="27" t="s">
        <v>7</v>
      </c>
      <c r="LW752" s="27" t="s">
        <v>8</v>
      </c>
      <c r="LX752" s="27" t="s">
        <v>7</v>
      </c>
      <c r="NM752" s="27" t="s">
        <v>8</v>
      </c>
      <c r="NN752" s="27" t="s">
        <v>7</v>
      </c>
      <c r="PF752" s="27" t="s">
        <v>7</v>
      </c>
      <c r="PG752" s="27" t="s">
        <v>8</v>
      </c>
      <c r="PJ752" s="27" t="s">
        <v>7</v>
      </c>
      <c r="PS752" s="27" t="s">
        <v>8</v>
      </c>
    </row>
    <row r="753" spans="1:442" x14ac:dyDescent="0.25">
      <c r="A753" s="7">
        <v>3.7356956571232579E-2</v>
      </c>
      <c r="B753"/>
      <c r="C753"/>
      <c r="D753"/>
      <c r="E753"/>
      <c r="F753" s="27" t="s">
        <v>7</v>
      </c>
      <c r="JY753" s="27" t="s">
        <v>8</v>
      </c>
      <c r="KA753" s="27" t="s">
        <v>8</v>
      </c>
      <c r="KF753" s="27" t="s">
        <v>7</v>
      </c>
      <c r="KG753" s="27" t="s">
        <v>8</v>
      </c>
      <c r="KJ753" s="27" t="s">
        <v>7</v>
      </c>
      <c r="KK753" s="27" t="s">
        <v>8</v>
      </c>
      <c r="LF753" s="27" t="s">
        <v>7</v>
      </c>
      <c r="LV753" s="27" t="s">
        <v>7</v>
      </c>
      <c r="LW753" s="27" t="s">
        <v>8</v>
      </c>
      <c r="LX753" s="27" t="s">
        <v>7</v>
      </c>
      <c r="NM753" s="27" t="s">
        <v>8</v>
      </c>
      <c r="PF753" s="27" t="s">
        <v>7</v>
      </c>
      <c r="PG753" s="27" t="s">
        <v>8</v>
      </c>
      <c r="PJ753" s="27" t="s">
        <v>7</v>
      </c>
      <c r="PQ753" s="27" t="s">
        <v>8</v>
      </c>
      <c r="PS753" s="27" t="s">
        <v>8</v>
      </c>
      <c r="PT753" s="27" t="s">
        <v>7</v>
      </c>
    </row>
    <row r="754" spans="1:442" x14ac:dyDescent="0.25">
      <c r="A754" s="7">
        <v>3.6624467226698605E-2</v>
      </c>
      <c r="B754"/>
      <c r="C754"/>
      <c r="D754"/>
      <c r="E754"/>
      <c r="F754" s="27" t="s">
        <v>7</v>
      </c>
      <c r="JY754" s="27" t="s">
        <v>8</v>
      </c>
      <c r="JZ754" s="27" t="s">
        <v>7</v>
      </c>
      <c r="KA754" s="27" t="s">
        <v>8</v>
      </c>
      <c r="KF754" s="27" t="s">
        <v>7</v>
      </c>
      <c r="KG754" s="27" t="s">
        <v>8</v>
      </c>
      <c r="KJ754" s="27" t="s">
        <v>7</v>
      </c>
      <c r="KK754" s="27" t="s">
        <v>8</v>
      </c>
      <c r="LV754" s="27" t="s">
        <v>7</v>
      </c>
      <c r="LW754" s="27" t="s">
        <v>8</v>
      </c>
      <c r="LX754" s="27" t="s">
        <v>7</v>
      </c>
      <c r="MC754" s="27" t="s">
        <v>8</v>
      </c>
      <c r="NM754" s="27" t="s">
        <v>8</v>
      </c>
      <c r="PF754" s="27" t="s">
        <v>7</v>
      </c>
      <c r="PG754" s="27" t="s">
        <v>8</v>
      </c>
      <c r="PJ754" s="27" t="s">
        <v>7</v>
      </c>
      <c r="PQ754" s="27" t="s">
        <v>8</v>
      </c>
      <c r="PR754" s="27" t="s">
        <v>7</v>
      </c>
      <c r="PS754" s="27" t="s">
        <v>8</v>
      </c>
      <c r="PT754" s="27" t="s">
        <v>7</v>
      </c>
    </row>
    <row r="755" spans="1:442" x14ac:dyDescent="0.25">
      <c r="A755" s="7">
        <v>3.5906340418331961E-2</v>
      </c>
      <c r="B755"/>
      <c r="C755"/>
      <c r="D755"/>
      <c r="E755"/>
      <c r="F755" s="27" t="s">
        <v>7</v>
      </c>
      <c r="JY755" s="27" t="s">
        <v>8</v>
      </c>
      <c r="JZ755" s="27" t="s">
        <v>7</v>
      </c>
      <c r="KA755" s="27" t="s">
        <v>8</v>
      </c>
      <c r="KF755" s="27" t="s">
        <v>7</v>
      </c>
      <c r="KG755" s="27" t="s">
        <v>8</v>
      </c>
      <c r="KJ755" s="27" t="s">
        <v>7</v>
      </c>
      <c r="KK755" s="27" t="s">
        <v>8</v>
      </c>
      <c r="LV755" s="27" t="s">
        <v>7</v>
      </c>
      <c r="LW755" s="27" t="s">
        <v>8</v>
      </c>
      <c r="LX755" s="27" t="s">
        <v>7</v>
      </c>
      <c r="LY755" s="27" t="s">
        <v>8</v>
      </c>
      <c r="MC755" s="27" t="s">
        <v>8</v>
      </c>
      <c r="MD755" s="27" t="s">
        <v>7</v>
      </c>
      <c r="NM755" s="27" t="s">
        <v>8</v>
      </c>
      <c r="PF755" s="27" t="s">
        <v>7</v>
      </c>
      <c r="PG755" s="27" t="s">
        <v>8</v>
      </c>
      <c r="PJ755" s="27" t="s">
        <v>7</v>
      </c>
      <c r="PQ755" s="27" t="s">
        <v>8</v>
      </c>
      <c r="PR755" s="27" t="s">
        <v>7</v>
      </c>
      <c r="PS755" s="27" t="s">
        <v>8</v>
      </c>
      <c r="PT755" s="27" t="s">
        <v>7</v>
      </c>
    </row>
    <row r="756" spans="1:442" x14ac:dyDescent="0.25">
      <c r="A756" s="7">
        <v>3.5202294527776436E-2</v>
      </c>
      <c r="B756"/>
      <c r="C756"/>
      <c r="D756"/>
      <c r="E756"/>
      <c r="F756" s="27" t="s">
        <v>7</v>
      </c>
      <c r="JY756" s="27" t="s">
        <v>8</v>
      </c>
      <c r="JZ756" s="27" t="s">
        <v>7</v>
      </c>
      <c r="KA756" s="27" t="s">
        <v>8</v>
      </c>
      <c r="KF756" s="27" t="s">
        <v>7</v>
      </c>
      <c r="KG756" s="27" t="s">
        <v>8</v>
      </c>
      <c r="KJ756" s="27" t="s">
        <v>7</v>
      </c>
      <c r="KK756" s="27" t="s">
        <v>8</v>
      </c>
      <c r="LV756" s="27" t="s">
        <v>7</v>
      </c>
      <c r="LW756" s="27" t="s">
        <v>8</v>
      </c>
      <c r="LX756" s="27" t="s">
        <v>7</v>
      </c>
      <c r="LY756" s="27" t="s">
        <v>8</v>
      </c>
      <c r="LZ756" s="27" t="s">
        <v>7</v>
      </c>
      <c r="MC756" s="27" t="s">
        <v>8</v>
      </c>
      <c r="MD756" s="27" t="s">
        <v>7</v>
      </c>
      <c r="NM756" s="27" t="s">
        <v>8</v>
      </c>
      <c r="PF756" s="27" t="s">
        <v>7</v>
      </c>
      <c r="PJ756" s="27" t="s">
        <v>7</v>
      </c>
      <c r="PK756" s="27" t="s">
        <v>8</v>
      </c>
      <c r="PQ756" s="27" t="s">
        <v>8</v>
      </c>
      <c r="PR756" s="27" t="s">
        <v>7</v>
      </c>
      <c r="PS756" s="27" t="s">
        <v>8</v>
      </c>
      <c r="PT756" s="27" t="s">
        <v>7</v>
      </c>
    </row>
    <row r="757" spans="1:442" x14ac:dyDescent="0.25">
      <c r="A757" s="7">
        <v>3.451205345860435E-2</v>
      </c>
      <c r="B757"/>
      <c r="C757"/>
      <c r="D757"/>
      <c r="E757"/>
      <c r="F757" s="27" t="s">
        <v>7</v>
      </c>
      <c r="JY757" s="27" t="s">
        <v>8</v>
      </c>
      <c r="JZ757" s="27" t="s">
        <v>7</v>
      </c>
      <c r="KA757" s="27" t="s">
        <v>8</v>
      </c>
      <c r="KF757" s="27" t="s">
        <v>7</v>
      </c>
      <c r="KG757" s="27" t="s">
        <v>8</v>
      </c>
      <c r="KJ757" s="27" t="s">
        <v>7</v>
      </c>
      <c r="KK757" s="27" t="s">
        <v>8</v>
      </c>
      <c r="LV757" s="27" t="s">
        <v>7</v>
      </c>
      <c r="LW757" s="27" t="s">
        <v>8</v>
      </c>
      <c r="LX757" s="27" t="s">
        <v>7</v>
      </c>
      <c r="LY757" s="27" t="s">
        <v>8</v>
      </c>
      <c r="LZ757" s="27" t="s">
        <v>7</v>
      </c>
      <c r="MC757" s="27" t="s">
        <v>8</v>
      </c>
      <c r="MD757" s="27" t="s">
        <v>7</v>
      </c>
      <c r="NK757" s="27" t="s">
        <v>8</v>
      </c>
      <c r="NM757" s="27" t="s">
        <v>8</v>
      </c>
      <c r="PJ757" s="27" t="s">
        <v>7</v>
      </c>
      <c r="PK757" s="27" t="s">
        <v>8</v>
      </c>
      <c r="PL757" s="27" t="s">
        <v>7</v>
      </c>
      <c r="PM757" s="27" t="s">
        <v>8</v>
      </c>
      <c r="PQ757" s="27" t="s">
        <v>8</v>
      </c>
      <c r="PR757" s="27" t="s">
        <v>7</v>
      </c>
      <c r="PT757" s="27" t="s">
        <v>7</v>
      </c>
      <c r="PU757" s="27" t="s">
        <v>8</v>
      </c>
    </row>
    <row r="758" spans="1:442" x14ac:dyDescent="0.25">
      <c r="A758" s="7">
        <v>3.3835346528043479E-2</v>
      </c>
      <c r="B758"/>
      <c r="C758"/>
      <c r="D758"/>
      <c r="E758"/>
      <c r="F758" s="27" t="s">
        <v>7</v>
      </c>
      <c r="JY758" s="27" t="s">
        <v>8</v>
      </c>
      <c r="JZ758" s="27" t="s">
        <v>7</v>
      </c>
      <c r="KA758" s="27" t="s">
        <v>8</v>
      </c>
      <c r="KF758" s="27" t="s">
        <v>7</v>
      </c>
      <c r="KJ758" s="27" t="s">
        <v>7</v>
      </c>
      <c r="KK758" s="27" t="s">
        <v>8</v>
      </c>
      <c r="LV758" s="27" t="s">
        <v>7</v>
      </c>
      <c r="LW758" s="27" t="s">
        <v>8</v>
      </c>
      <c r="LX758" s="27" t="s">
        <v>7</v>
      </c>
      <c r="LY758" s="27" t="s">
        <v>8</v>
      </c>
      <c r="LZ758" s="27" t="s">
        <v>7</v>
      </c>
      <c r="MC758" s="27" t="s">
        <v>8</v>
      </c>
      <c r="MD758" s="27" t="s">
        <v>7</v>
      </c>
      <c r="ME758" s="27" t="s">
        <v>8</v>
      </c>
      <c r="NK758" s="27" t="s">
        <v>8</v>
      </c>
      <c r="NL758" s="27" t="s">
        <v>7</v>
      </c>
      <c r="NM758" s="27" t="s">
        <v>8</v>
      </c>
      <c r="PJ758" s="27" t="s">
        <v>7</v>
      </c>
      <c r="PK758" s="27" t="s">
        <v>8</v>
      </c>
      <c r="PL758" s="27" t="s">
        <v>7</v>
      </c>
      <c r="PM758" s="27" t="s">
        <v>8</v>
      </c>
      <c r="PN758" s="27" t="s">
        <v>7</v>
      </c>
      <c r="PQ758" s="27" t="s">
        <v>8</v>
      </c>
      <c r="PT758" s="27" t="s">
        <v>7</v>
      </c>
      <c r="PU758" s="27" t="s">
        <v>8</v>
      </c>
      <c r="PV758" s="27" t="s">
        <v>7</v>
      </c>
    </row>
    <row r="759" spans="1:442" x14ac:dyDescent="0.25">
      <c r="A759" s="7">
        <v>3.3171908360826938E-2</v>
      </c>
      <c r="B759"/>
      <c r="C759"/>
      <c r="D759"/>
      <c r="E759"/>
      <c r="F759" s="27" t="s">
        <v>7</v>
      </c>
      <c r="JY759" s="27" t="s">
        <v>8</v>
      </c>
      <c r="JZ759" s="27" t="s">
        <v>7</v>
      </c>
      <c r="KA759" s="27" t="s">
        <v>8</v>
      </c>
      <c r="KJ759" s="27" t="s">
        <v>7</v>
      </c>
      <c r="KK759" s="27" t="s">
        <v>8</v>
      </c>
      <c r="LV759" s="27" t="s">
        <v>7</v>
      </c>
      <c r="LW759" s="27" t="s">
        <v>8</v>
      </c>
      <c r="LX759" s="27" t="s">
        <v>7</v>
      </c>
      <c r="LY759" s="27" t="s">
        <v>8</v>
      </c>
      <c r="LZ759" s="27" t="s">
        <v>7</v>
      </c>
      <c r="MC759" s="27" t="s">
        <v>8</v>
      </c>
      <c r="MD759" s="27" t="s">
        <v>7</v>
      </c>
      <c r="ME759" s="27" t="s">
        <v>8</v>
      </c>
      <c r="MF759" s="27" t="s">
        <v>7</v>
      </c>
      <c r="NK759" s="27" t="s">
        <v>8</v>
      </c>
      <c r="NL759" s="27" t="s">
        <v>7</v>
      </c>
      <c r="NM759" s="27" t="s">
        <v>8</v>
      </c>
      <c r="PJ759" s="27" t="s">
        <v>7</v>
      </c>
      <c r="PK759" s="27" t="s">
        <v>8</v>
      </c>
      <c r="PL759" s="27" t="s">
        <v>7</v>
      </c>
      <c r="PM759" s="27" t="s">
        <v>8</v>
      </c>
      <c r="PN759" s="27" t="s">
        <v>7</v>
      </c>
      <c r="PQ759" s="27" t="s">
        <v>8</v>
      </c>
      <c r="PT759" s="27" t="s">
        <v>7</v>
      </c>
      <c r="PU759" s="27" t="s">
        <v>8</v>
      </c>
      <c r="PV759" s="27" t="s">
        <v>7</v>
      </c>
    </row>
    <row r="760" spans="1:442" x14ac:dyDescent="0.25">
      <c r="A760" s="7">
        <v>3.2521478785124451E-2</v>
      </c>
      <c r="B760"/>
      <c r="C760"/>
      <c r="D760"/>
      <c r="E760"/>
      <c r="F760" s="27" t="s">
        <v>7</v>
      </c>
      <c r="JY760" s="27" t="s">
        <v>8</v>
      </c>
      <c r="JZ760" s="27" t="s">
        <v>7</v>
      </c>
      <c r="KA760" s="27" t="s">
        <v>8</v>
      </c>
      <c r="KJ760" s="27" t="s">
        <v>7</v>
      </c>
      <c r="KK760" s="27" t="s">
        <v>8</v>
      </c>
      <c r="LV760" s="27" t="s">
        <v>7</v>
      </c>
      <c r="LW760" s="27" t="s">
        <v>8</v>
      </c>
      <c r="LX760" s="27" t="s">
        <v>7</v>
      </c>
      <c r="LY760" s="27" t="s">
        <v>8</v>
      </c>
      <c r="LZ760" s="27" t="s">
        <v>7</v>
      </c>
      <c r="MA760" s="27" t="s">
        <v>8</v>
      </c>
      <c r="MC760" s="27" t="s">
        <v>8</v>
      </c>
      <c r="MD760" s="27" t="s">
        <v>7</v>
      </c>
      <c r="ME760" s="27" t="s">
        <v>8</v>
      </c>
      <c r="MF760" s="27" t="s">
        <v>7</v>
      </c>
      <c r="NK760" s="27" t="s">
        <v>8</v>
      </c>
      <c r="NL760" s="27" t="s">
        <v>7</v>
      </c>
      <c r="NM760" s="27" t="s">
        <v>8</v>
      </c>
      <c r="PJ760" s="27" t="s">
        <v>7</v>
      </c>
      <c r="PK760" s="27" t="s">
        <v>8</v>
      </c>
      <c r="PL760" s="27" t="s">
        <v>7</v>
      </c>
      <c r="PM760" s="27" t="s">
        <v>8</v>
      </c>
      <c r="PN760" s="27" t="s">
        <v>7</v>
      </c>
      <c r="PQ760" s="27" t="s">
        <v>8</v>
      </c>
      <c r="PT760" s="27" t="s">
        <v>7</v>
      </c>
      <c r="PU760" s="27" t="s">
        <v>8</v>
      </c>
      <c r="PV760" s="27" t="s">
        <v>7</v>
      </c>
    </row>
    <row r="761" spans="1:442" x14ac:dyDescent="0.25">
      <c r="A761" s="7">
        <v>3.1883802730514173E-2</v>
      </c>
      <c r="B761"/>
      <c r="C761"/>
      <c r="D761"/>
      <c r="E761"/>
      <c r="F761" s="27" t="s">
        <v>7</v>
      </c>
      <c r="JY761" s="27" t="s">
        <v>8</v>
      </c>
      <c r="JZ761" s="27" t="s">
        <v>7</v>
      </c>
      <c r="KA761" s="27" t="s">
        <v>8</v>
      </c>
      <c r="KJ761" s="27" t="s">
        <v>7</v>
      </c>
      <c r="KK761" s="27" t="s">
        <v>8</v>
      </c>
      <c r="LV761" s="27" t="s">
        <v>7</v>
      </c>
      <c r="LW761" s="27" t="s">
        <v>8</v>
      </c>
      <c r="LX761" s="27" t="s">
        <v>7</v>
      </c>
      <c r="LY761" s="27" t="s">
        <v>8</v>
      </c>
      <c r="LZ761" s="27" t="s">
        <v>7</v>
      </c>
      <c r="MA761" s="27" t="s">
        <v>8</v>
      </c>
      <c r="MB761" s="27" t="s">
        <v>7</v>
      </c>
      <c r="MC761" s="27" t="s">
        <v>8</v>
      </c>
      <c r="MD761" s="27" t="s">
        <v>7</v>
      </c>
      <c r="ME761" s="27" t="s">
        <v>8</v>
      </c>
      <c r="MF761" s="27" t="s">
        <v>7</v>
      </c>
      <c r="NI761" s="27" t="s">
        <v>8</v>
      </c>
      <c r="NK761" s="27" t="s">
        <v>8</v>
      </c>
      <c r="NL761" s="27" t="s">
        <v>7</v>
      </c>
      <c r="NM761" s="27" t="s">
        <v>8</v>
      </c>
      <c r="PJ761" s="27" t="s">
        <v>7</v>
      </c>
      <c r="PK761" s="27" t="s">
        <v>8</v>
      </c>
      <c r="PL761" s="27" t="s">
        <v>7</v>
      </c>
      <c r="PM761" s="27" t="s">
        <v>8</v>
      </c>
      <c r="PN761" s="27" t="s">
        <v>7</v>
      </c>
      <c r="PQ761" s="27" t="s">
        <v>8</v>
      </c>
      <c r="PT761" s="27" t="s">
        <v>7</v>
      </c>
      <c r="PU761" s="27" t="s">
        <v>8</v>
      </c>
      <c r="PV761" s="27" t="s">
        <v>7</v>
      </c>
    </row>
    <row r="762" spans="1:442" x14ac:dyDescent="0.25">
      <c r="A762" s="7">
        <v>3.1258630127955073E-2</v>
      </c>
      <c r="B762"/>
      <c r="C762"/>
      <c r="D762"/>
      <c r="E762"/>
      <c r="F762" s="27" t="s">
        <v>7</v>
      </c>
      <c r="JY762" s="27" t="s">
        <v>8</v>
      </c>
      <c r="JZ762" s="27" t="s">
        <v>7</v>
      </c>
      <c r="KA762" s="27" t="s">
        <v>8</v>
      </c>
      <c r="KJ762" s="27" t="s">
        <v>7</v>
      </c>
      <c r="LV762" s="27" t="s">
        <v>7</v>
      </c>
      <c r="LW762" s="27" t="s">
        <v>8</v>
      </c>
      <c r="LX762" s="27" t="s">
        <v>7</v>
      </c>
      <c r="LY762" s="27" t="s">
        <v>8</v>
      </c>
      <c r="LZ762" s="27" t="s">
        <v>7</v>
      </c>
      <c r="MA762" s="27" t="s">
        <v>8</v>
      </c>
      <c r="MB762" s="27" t="s">
        <v>7</v>
      </c>
      <c r="MC762" s="27" t="s">
        <v>8</v>
      </c>
      <c r="MD762" s="27" t="s">
        <v>7</v>
      </c>
      <c r="ME762" s="27" t="s">
        <v>8</v>
      </c>
      <c r="MF762" s="27" t="s">
        <v>7</v>
      </c>
      <c r="NI762" s="27" t="s">
        <v>8</v>
      </c>
      <c r="NJ762" s="27" t="s">
        <v>7</v>
      </c>
      <c r="NK762" s="27" t="s">
        <v>8</v>
      </c>
      <c r="NL762" s="27" t="s">
        <v>7</v>
      </c>
      <c r="NM762" s="27" t="s">
        <v>8</v>
      </c>
      <c r="PJ762" s="27" t="s">
        <v>7</v>
      </c>
      <c r="PK762" s="27" t="s">
        <v>8</v>
      </c>
      <c r="PL762" s="27" t="s">
        <v>7</v>
      </c>
      <c r="PM762" s="27" t="s">
        <v>8</v>
      </c>
      <c r="PN762" s="27" t="s">
        <v>7</v>
      </c>
      <c r="PQ762" s="27" t="s">
        <v>8</v>
      </c>
      <c r="PT762" s="27" t="s">
        <v>7</v>
      </c>
      <c r="PU762" s="27" t="s">
        <v>8</v>
      </c>
      <c r="PV762" s="27" t="s">
        <v>7</v>
      </c>
    </row>
    <row r="763" spans="1:442" x14ac:dyDescent="0.25">
      <c r="A763" s="7">
        <v>3.064571581172066E-2</v>
      </c>
      <c r="B763"/>
      <c r="C763"/>
      <c r="D763"/>
      <c r="E763"/>
      <c r="F763" s="27" t="s">
        <v>7</v>
      </c>
      <c r="JY763" s="27" t="s">
        <v>8</v>
      </c>
      <c r="JZ763" s="27" t="s">
        <v>7</v>
      </c>
      <c r="KA763" s="27" t="s">
        <v>8</v>
      </c>
      <c r="LV763" s="27" t="s">
        <v>7</v>
      </c>
      <c r="LW763" s="27" t="s">
        <v>8</v>
      </c>
      <c r="LX763" s="27" t="s">
        <v>7</v>
      </c>
      <c r="LY763" s="27" t="s">
        <v>8</v>
      </c>
      <c r="LZ763" s="27" t="s">
        <v>7</v>
      </c>
      <c r="MA763" s="27" t="s">
        <v>8</v>
      </c>
      <c r="MB763" s="27" t="s">
        <v>7</v>
      </c>
      <c r="MD763" s="27" t="s">
        <v>7</v>
      </c>
      <c r="ME763" s="27" t="s">
        <v>8</v>
      </c>
      <c r="MF763" s="27" t="s">
        <v>7</v>
      </c>
      <c r="NI763" s="27" t="s">
        <v>8</v>
      </c>
      <c r="NJ763" s="27" t="s">
        <v>7</v>
      </c>
      <c r="NK763" s="27" t="s">
        <v>8</v>
      </c>
      <c r="NL763" s="27" t="s">
        <v>7</v>
      </c>
      <c r="NM763" s="27" t="s">
        <v>8</v>
      </c>
      <c r="PJ763" s="27" t="s">
        <v>7</v>
      </c>
      <c r="PK763" s="27" t="s">
        <v>8</v>
      </c>
      <c r="PL763" s="27" t="s">
        <v>7</v>
      </c>
      <c r="PN763" s="27" t="s">
        <v>7</v>
      </c>
      <c r="PO763" s="27" t="s">
        <v>8</v>
      </c>
      <c r="PQ763" s="27" t="s">
        <v>8</v>
      </c>
      <c r="PT763" s="27" t="s">
        <v>7</v>
      </c>
      <c r="PV763" s="27" t="s">
        <v>7</v>
      </c>
      <c r="PW763" s="27" t="s">
        <v>8</v>
      </c>
      <c r="PY763" s="27" t="s">
        <v>8</v>
      </c>
    </row>
    <row r="764" spans="1:442" x14ac:dyDescent="0.25">
      <c r="A764" s="7">
        <v>3.0044819423255549E-2</v>
      </c>
      <c r="B764"/>
      <c r="C764"/>
      <c r="D764"/>
      <c r="E764"/>
      <c r="F764" s="27" t="s">
        <v>7</v>
      </c>
      <c r="JY764" s="27" t="s">
        <v>8</v>
      </c>
      <c r="JZ764" s="27" t="s">
        <v>7</v>
      </c>
      <c r="KA764" s="27" t="s">
        <v>8</v>
      </c>
      <c r="LV764" s="27" t="s">
        <v>7</v>
      </c>
      <c r="LW764" s="27" t="s">
        <v>8</v>
      </c>
      <c r="LX764" s="27" t="s">
        <v>7</v>
      </c>
      <c r="LY764" s="27" t="s">
        <v>8</v>
      </c>
      <c r="LZ764" s="27" t="s">
        <v>7</v>
      </c>
      <c r="MA764" s="27" t="s">
        <v>8</v>
      </c>
      <c r="MD764" s="27" t="s">
        <v>7</v>
      </c>
      <c r="MF764" s="27" t="s">
        <v>7</v>
      </c>
      <c r="MG764" s="27" t="s">
        <v>8</v>
      </c>
      <c r="MI764" s="27" t="s">
        <v>8</v>
      </c>
      <c r="NI764" s="27" t="s">
        <v>8</v>
      </c>
      <c r="NJ764" s="27" t="s">
        <v>7</v>
      </c>
      <c r="NL764" s="27" t="s">
        <v>7</v>
      </c>
      <c r="NM764" s="27" t="s">
        <v>8</v>
      </c>
      <c r="PJ764" s="27" t="s">
        <v>7</v>
      </c>
      <c r="PK764" s="27" t="s">
        <v>8</v>
      </c>
      <c r="PN764" s="27" t="s">
        <v>7</v>
      </c>
      <c r="PO764" s="27" t="s">
        <v>8</v>
      </c>
      <c r="PP764" s="27" t="s">
        <v>7</v>
      </c>
      <c r="PQ764" s="27" t="s">
        <v>8</v>
      </c>
      <c r="PV764" s="27" t="s">
        <v>7</v>
      </c>
      <c r="PW764" s="27" t="s">
        <v>8</v>
      </c>
      <c r="PX764" s="27" t="s">
        <v>7</v>
      </c>
      <c r="PY764" s="27" t="s">
        <v>8</v>
      </c>
      <c r="PZ764" s="27" t="s">
        <v>7</v>
      </c>
    </row>
    <row r="765" spans="1:442" x14ac:dyDescent="0.25">
      <c r="A765" s="7">
        <v>2.9455705316917203E-2</v>
      </c>
      <c r="B765"/>
      <c r="C765"/>
      <c r="D765"/>
      <c r="E765"/>
      <c r="F765" s="27" t="s">
        <v>7</v>
      </c>
      <c r="JY765" s="27" t="s">
        <v>8</v>
      </c>
      <c r="JZ765" s="27" t="s">
        <v>7</v>
      </c>
      <c r="KA765" s="27" t="s">
        <v>8</v>
      </c>
      <c r="LV765" s="27" t="s">
        <v>7</v>
      </c>
      <c r="LW765" s="27" t="s">
        <v>8</v>
      </c>
      <c r="LX765" s="27" t="s">
        <v>7</v>
      </c>
      <c r="LY765" s="27" t="s">
        <v>8</v>
      </c>
      <c r="LZ765" s="27" t="s">
        <v>7</v>
      </c>
      <c r="MA765" s="27" t="s">
        <v>8</v>
      </c>
      <c r="MF765" s="27" t="s">
        <v>7</v>
      </c>
      <c r="MG765" s="27" t="s">
        <v>8</v>
      </c>
      <c r="MH765" s="27" t="s">
        <v>7</v>
      </c>
      <c r="MI765" s="27" t="s">
        <v>8</v>
      </c>
      <c r="MJ765" s="27" t="s">
        <v>7</v>
      </c>
      <c r="NI765" s="27" t="s">
        <v>8</v>
      </c>
      <c r="NL765" s="27" t="s">
        <v>7</v>
      </c>
      <c r="PJ765" s="27" t="s">
        <v>7</v>
      </c>
      <c r="PK765" s="27" t="s">
        <v>8</v>
      </c>
      <c r="PN765" s="27" t="s">
        <v>7</v>
      </c>
      <c r="PO765" s="27" t="s">
        <v>8</v>
      </c>
      <c r="PP765" s="27" t="s">
        <v>7</v>
      </c>
      <c r="PQ765" s="27" t="s">
        <v>8</v>
      </c>
      <c r="PV765" s="27" t="s">
        <v>7</v>
      </c>
      <c r="PW765" s="27" t="s">
        <v>8</v>
      </c>
      <c r="PX765" s="27" t="s">
        <v>7</v>
      </c>
      <c r="PY765" s="27" t="s">
        <v>8</v>
      </c>
      <c r="PZ765" s="27" t="s">
        <v>7</v>
      </c>
    </row>
    <row r="766" spans="1:442" x14ac:dyDescent="0.25">
      <c r="A766" s="7">
        <v>2.8878142467565884E-2</v>
      </c>
      <c r="B766"/>
      <c r="C766"/>
      <c r="D766"/>
      <c r="E766"/>
      <c r="F766" s="27" t="s">
        <v>7</v>
      </c>
      <c r="JY766" s="27" t="s">
        <v>8</v>
      </c>
      <c r="JZ766" s="27" t="s">
        <v>7</v>
      </c>
      <c r="KA766" s="27" t="s">
        <v>8</v>
      </c>
      <c r="LV766" s="27" t="s">
        <v>7</v>
      </c>
      <c r="LW766" s="27" t="s">
        <v>8</v>
      </c>
      <c r="LX766" s="27" t="s">
        <v>7</v>
      </c>
      <c r="LY766" s="27" t="s">
        <v>8</v>
      </c>
      <c r="LZ766" s="27" t="s">
        <v>7</v>
      </c>
      <c r="MA766" s="27" t="s">
        <v>8</v>
      </c>
      <c r="MF766" s="27" t="s">
        <v>7</v>
      </c>
      <c r="MG766" s="27" t="s">
        <v>8</v>
      </c>
      <c r="MH766" s="27" t="s">
        <v>7</v>
      </c>
      <c r="MI766" s="27" t="s">
        <v>8</v>
      </c>
      <c r="MJ766" s="27" t="s">
        <v>7</v>
      </c>
      <c r="NE766" s="27" t="s">
        <v>8</v>
      </c>
      <c r="NG766" s="27" t="s">
        <v>8</v>
      </c>
      <c r="NI766" s="27" t="s">
        <v>8</v>
      </c>
      <c r="PJ766" s="27" t="s">
        <v>7</v>
      </c>
      <c r="PK766" s="27" t="s">
        <v>8</v>
      </c>
      <c r="PN766" s="27" t="s">
        <v>7</v>
      </c>
      <c r="PO766" s="27" t="s">
        <v>8</v>
      </c>
      <c r="PP766" s="27" t="s">
        <v>7</v>
      </c>
      <c r="PQ766" s="27" t="s">
        <v>8</v>
      </c>
      <c r="PV766" s="27" t="s">
        <v>7</v>
      </c>
      <c r="PX766" s="27" t="s">
        <v>7</v>
      </c>
      <c r="PY766" s="27" t="s">
        <v>8</v>
      </c>
      <c r="PZ766" s="27" t="s">
        <v>7</v>
      </c>
    </row>
    <row r="767" spans="1:442" x14ac:dyDescent="0.25">
      <c r="A767" s="7">
        <v>2.8311904379966554E-2</v>
      </c>
      <c r="B767"/>
      <c r="C767"/>
      <c r="D767"/>
      <c r="E767"/>
      <c r="F767" s="27" t="s">
        <v>7</v>
      </c>
      <c r="JY767" s="27" t="s">
        <v>8</v>
      </c>
      <c r="JZ767" s="27" t="s">
        <v>7</v>
      </c>
      <c r="KA767" s="27" t="s">
        <v>8</v>
      </c>
      <c r="LV767" s="27" t="s">
        <v>7</v>
      </c>
      <c r="LW767" s="27" t="s">
        <v>8</v>
      </c>
      <c r="LX767" s="27" t="s">
        <v>7</v>
      </c>
      <c r="LY767" s="27" t="s">
        <v>8</v>
      </c>
      <c r="LZ767" s="27" t="s">
        <v>7</v>
      </c>
      <c r="MA767" s="27" t="s">
        <v>8</v>
      </c>
      <c r="MF767" s="27" t="s">
        <v>7</v>
      </c>
      <c r="MG767" s="27" t="s">
        <v>8</v>
      </c>
      <c r="MH767" s="27" t="s">
        <v>7</v>
      </c>
      <c r="MI767" s="27" t="s">
        <v>8</v>
      </c>
      <c r="MJ767" s="27" t="s">
        <v>7</v>
      </c>
      <c r="NC767" s="27" t="s">
        <v>8</v>
      </c>
      <c r="NE767" s="27" t="s">
        <v>8</v>
      </c>
      <c r="NF767" s="27" t="s">
        <v>7</v>
      </c>
      <c r="NG767" s="27" t="s">
        <v>8</v>
      </c>
      <c r="NH767" s="27" t="s">
        <v>7</v>
      </c>
      <c r="NI767" s="27" t="s">
        <v>8</v>
      </c>
      <c r="PJ767" s="27" t="s">
        <v>7</v>
      </c>
      <c r="PK767" s="27" t="s">
        <v>8</v>
      </c>
      <c r="PN767" s="27" t="s">
        <v>7</v>
      </c>
      <c r="PP767" s="27" t="s">
        <v>7</v>
      </c>
      <c r="PX767" s="27" t="s">
        <v>7</v>
      </c>
      <c r="PY767" s="27" t="s">
        <v>8</v>
      </c>
      <c r="PZ767" s="27" t="s">
        <v>7</v>
      </c>
    </row>
    <row r="768" spans="1:442" x14ac:dyDescent="0.25">
      <c r="A768" s="7">
        <v>2.7756768999967207E-2</v>
      </c>
      <c r="B768"/>
      <c r="C768"/>
      <c r="D768"/>
      <c r="E768"/>
      <c r="F768" s="27" t="s">
        <v>7</v>
      </c>
      <c r="JY768" s="27" t="s">
        <v>8</v>
      </c>
      <c r="JZ768" s="27" t="s">
        <v>7</v>
      </c>
      <c r="KA768" s="27" t="s">
        <v>8</v>
      </c>
      <c r="LV768" s="27" t="s">
        <v>7</v>
      </c>
      <c r="LW768" s="27" t="s">
        <v>8</v>
      </c>
      <c r="LX768" s="27" t="s">
        <v>7</v>
      </c>
      <c r="LY768" s="27" t="s">
        <v>8</v>
      </c>
      <c r="LZ768" s="27" t="s">
        <v>7</v>
      </c>
      <c r="MF768" s="27" t="s">
        <v>7</v>
      </c>
      <c r="MG768" s="27" t="s">
        <v>8</v>
      </c>
      <c r="MH768" s="27" t="s">
        <v>7</v>
      </c>
      <c r="MI768" s="27" t="s">
        <v>8</v>
      </c>
      <c r="MJ768" s="27" t="s">
        <v>7</v>
      </c>
      <c r="NC768" s="27" t="s">
        <v>8</v>
      </c>
      <c r="ND768" s="27" t="s">
        <v>7</v>
      </c>
      <c r="NE768" s="27" t="s">
        <v>8</v>
      </c>
      <c r="NF768" s="27" t="s">
        <v>7</v>
      </c>
      <c r="NG768" s="27" t="s">
        <v>8</v>
      </c>
      <c r="NH768" s="27" t="s">
        <v>7</v>
      </c>
      <c r="NI768" s="27" t="s">
        <v>8</v>
      </c>
      <c r="PJ768" s="27" t="s">
        <v>7</v>
      </c>
      <c r="PK768" s="27" t="s">
        <v>8</v>
      </c>
      <c r="PX768" s="27" t="s">
        <v>7</v>
      </c>
      <c r="PY768" s="27" t="s">
        <v>8</v>
      </c>
      <c r="PZ768" s="27" t="s">
        <v>7</v>
      </c>
    </row>
    <row r="769" spans="1:446" x14ac:dyDescent="0.25">
      <c r="A769" s="7">
        <v>2.7212518627418834E-2</v>
      </c>
      <c r="B769"/>
      <c r="C769"/>
      <c r="D769"/>
      <c r="E769"/>
      <c r="F769" s="27" t="s">
        <v>7</v>
      </c>
      <c r="JY769" s="27" t="s">
        <v>8</v>
      </c>
      <c r="JZ769" s="27" t="s">
        <v>7</v>
      </c>
      <c r="KA769" s="27" t="s">
        <v>8</v>
      </c>
      <c r="LV769" s="27" t="s">
        <v>7</v>
      </c>
      <c r="LW769" s="27" t="s">
        <v>8</v>
      </c>
      <c r="LX769" s="27" t="s">
        <v>7</v>
      </c>
      <c r="LY769" s="27" t="s">
        <v>8</v>
      </c>
      <c r="MF769" s="27" t="s">
        <v>7</v>
      </c>
      <c r="MG769" s="27" t="s">
        <v>8</v>
      </c>
      <c r="MH769" s="27" t="s">
        <v>7</v>
      </c>
      <c r="MI769" s="27" t="s">
        <v>8</v>
      </c>
      <c r="MJ769" s="27" t="s">
        <v>7</v>
      </c>
      <c r="NC769" s="27" t="s">
        <v>8</v>
      </c>
      <c r="ND769" s="27" t="s">
        <v>7</v>
      </c>
      <c r="NE769" s="27" t="s">
        <v>8</v>
      </c>
      <c r="NF769" s="27" t="s">
        <v>7</v>
      </c>
      <c r="NH769" s="27" t="s">
        <v>7</v>
      </c>
      <c r="NI769" s="27" t="s">
        <v>8</v>
      </c>
      <c r="PJ769" s="27" t="s">
        <v>7</v>
      </c>
      <c r="PK769" s="27" t="s">
        <v>8</v>
      </c>
      <c r="PX769" s="27" t="s">
        <v>7</v>
      </c>
      <c r="PY769" s="27" t="s">
        <v>8</v>
      </c>
      <c r="PZ769" s="27" t="s">
        <v>7</v>
      </c>
    </row>
    <row r="770" spans="1:446" x14ac:dyDescent="0.25">
      <c r="A770" s="7">
        <v>2.6678939830802779E-2</v>
      </c>
      <c r="B770"/>
      <c r="C770"/>
      <c r="D770"/>
      <c r="E770"/>
      <c r="F770" s="27" t="s">
        <v>7</v>
      </c>
      <c r="JM770" s="27" t="s">
        <v>8</v>
      </c>
      <c r="JY770" s="27" t="s">
        <v>8</v>
      </c>
      <c r="JZ770" s="27" t="s">
        <v>7</v>
      </c>
      <c r="KA770" s="27" t="s">
        <v>8</v>
      </c>
      <c r="LV770" s="27" t="s">
        <v>7</v>
      </c>
      <c r="LW770" s="27" t="s">
        <v>8</v>
      </c>
      <c r="LX770" s="27" t="s">
        <v>7</v>
      </c>
      <c r="LY770" s="27" t="s">
        <v>8</v>
      </c>
      <c r="MF770" s="27" t="s">
        <v>7</v>
      </c>
      <c r="MG770" s="27" t="s">
        <v>8</v>
      </c>
      <c r="MH770" s="27" t="s">
        <v>7</v>
      </c>
      <c r="MI770" s="27" t="s">
        <v>8</v>
      </c>
      <c r="MJ770" s="27" t="s">
        <v>7</v>
      </c>
      <c r="NC770" s="27" t="s">
        <v>8</v>
      </c>
      <c r="ND770" s="27" t="s">
        <v>7</v>
      </c>
      <c r="NE770" s="27" t="s">
        <v>8</v>
      </c>
      <c r="NH770" s="27" t="s">
        <v>7</v>
      </c>
      <c r="NI770" s="27" t="s">
        <v>8</v>
      </c>
      <c r="PJ770" s="27" t="s">
        <v>7</v>
      </c>
      <c r="PK770" s="27" t="s">
        <v>8</v>
      </c>
      <c r="PX770" s="27" t="s">
        <v>7</v>
      </c>
      <c r="PZ770" s="27" t="s">
        <v>7</v>
      </c>
    </row>
    <row r="771" spans="1:446" x14ac:dyDescent="0.25">
      <c r="A771" s="7">
        <v>2.615582336353214E-2</v>
      </c>
      <c r="B771"/>
      <c r="C771"/>
      <c r="D771"/>
      <c r="E771"/>
      <c r="F771" s="27" t="s">
        <v>7</v>
      </c>
      <c r="JM771" s="27" t="s">
        <v>8</v>
      </c>
      <c r="JN771" s="27" t="s">
        <v>7</v>
      </c>
      <c r="JY771" s="27" t="s">
        <v>8</v>
      </c>
      <c r="JZ771" s="27" t="s">
        <v>7</v>
      </c>
      <c r="KA771" s="27" t="s">
        <v>8</v>
      </c>
      <c r="LV771" s="27" t="s">
        <v>7</v>
      </c>
      <c r="LW771" s="27" t="s">
        <v>8</v>
      </c>
      <c r="LX771" s="27" t="s">
        <v>7</v>
      </c>
      <c r="LY771" s="27" t="s">
        <v>8</v>
      </c>
      <c r="MF771" s="27" t="s">
        <v>7</v>
      </c>
      <c r="MH771" s="27" t="s">
        <v>7</v>
      </c>
      <c r="MJ771" s="27" t="s">
        <v>7</v>
      </c>
      <c r="NC771" s="27" t="s">
        <v>8</v>
      </c>
      <c r="ND771" s="27" t="s">
        <v>7</v>
      </c>
      <c r="NE771" s="27" t="s">
        <v>8</v>
      </c>
      <c r="NH771" s="27" t="s">
        <v>7</v>
      </c>
      <c r="PJ771" s="27" t="s">
        <v>7</v>
      </c>
      <c r="PK771" s="27" t="s">
        <v>8</v>
      </c>
      <c r="PZ771" s="27" t="s">
        <v>7</v>
      </c>
    </row>
    <row r="772" spans="1:446" x14ac:dyDescent="0.25">
      <c r="A772" s="7">
        <v>2.5642964081894253E-2</v>
      </c>
      <c r="B772"/>
      <c r="C772"/>
      <c r="D772"/>
      <c r="E772"/>
      <c r="F772" s="27" t="s">
        <v>7</v>
      </c>
      <c r="JM772" s="27" t="s">
        <v>8</v>
      </c>
      <c r="JN772" s="27" t="s">
        <v>7</v>
      </c>
      <c r="JY772" s="27" t="s">
        <v>8</v>
      </c>
      <c r="JZ772" s="27" t="s">
        <v>7</v>
      </c>
      <c r="KA772" s="27" t="s">
        <v>8</v>
      </c>
      <c r="LV772" s="27" t="s">
        <v>7</v>
      </c>
      <c r="LW772" s="27" t="s">
        <v>8</v>
      </c>
      <c r="LX772" s="27" t="s">
        <v>7</v>
      </c>
      <c r="LY772" s="27" t="s">
        <v>8</v>
      </c>
      <c r="MJ772" s="27" t="s">
        <v>7</v>
      </c>
      <c r="MO772" s="27" t="s">
        <v>8</v>
      </c>
      <c r="MQ772" s="27" t="s">
        <v>8</v>
      </c>
      <c r="NC772" s="27" t="s">
        <v>8</v>
      </c>
      <c r="ND772" s="27" t="s">
        <v>7</v>
      </c>
      <c r="NE772" s="27" t="s">
        <v>8</v>
      </c>
      <c r="PJ772" s="27" t="s">
        <v>7</v>
      </c>
      <c r="PK772" s="27" t="s">
        <v>8</v>
      </c>
      <c r="PZ772" s="27" t="s">
        <v>7</v>
      </c>
    </row>
    <row r="773" spans="1:446" x14ac:dyDescent="0.25">
      <c r="A773" s="7">
        <v>2.5140160864602207E-2</v>
      </c>
      <c r="B773"/>
      <c r="C773"/>
      <c r="D773"/>
      <c r="E773"/>
      <c r="F773" s="27" t="s">
        <v>7</v>
      </c>
      <c r="JM773" s="27" t="s">
        <v>8</v>
      </c>
      <c r="JN773" s="27" t="s">
        <v>7</v>
      </c>
      <c r="JY773" s="27" t="s">
        <v>8</v>
      </c>
      <c r="JZ773" s="27" t="s">
        <v>7</v>
      </c>
      <c r="LV773" s="27" t="s">
        <v>7</v>
      </c>
      <c r="LW773" s="27" t="s">
        <v>8</v>
      </c>
      <c r="LX773" s="27" t="s">
        <v>7</v>
      </c>
      <c r="LY773" s="27" t="s">
        <v>8</v>
      </c>
      <c r="MJ773" s="27" t="s">
        <v>7</v>
      </c>
      <c r="MO773" s="27" t="s">
        <v>8</v>
      </c>
      <c r="MP773" s="27" t="s">
        <v>7</v>
      </c>
      <c r="MQ773" s="27" t="s">
        <v>8</v>
      </c>
      <c r="MR773" s="27" t="s">
        <v>7</v>
      </c>
      <c r="NA773" s="27" t="s">
        <v>8</v>
      </c>
      <c r="NC773" s="27" t="s">
        <v>8</v>
      </c>
      <c r="ND773" s="27" t="s">
        <v>7</v>
      </c>
      <c r="NE773" s="27" t="s">
        <v>8</v>
      </c>
      <c r="PJ773" s="27" t="s">
        <v>7</v>
      </c>
      <c r="PK773" s="27" t="s">
        <v>8</v>
      </c>
      <c r="PZ773" s="27" t="s">
        <v>7</v>
      </c>
      <c r="QC773" s="27" t="s">
        <v>8</v>
      </c>
    </row>
    <row r="774" spans="1:446" x14ac:dyDescent="0.25">
      <c r="A774" s="7">
        <v>2.4647216533923735E-2</v>
      </c>
      <c r="B774"/>
      <c r="C774"/>
      <c r="D774"/>
      <c r="E774"/>
      <c r="F774" s="27" t="s">
        <v>7</v>
      </c>
      <c r="JM774" s="27" t="s">
        <v>8</v>
      </c>
      <c r="JN774" s="27" t="s">
        <v>7</v>
      </c>
      <c r="JY774" s="27" t="s">
        <v>8</v>
      </c>
      <c r="LV774" s="27" t="s">
        <v>7</v>
      </c>
      <c r="LW774" s="27" t="s">
        <v>8</v>
      </c>
      <c r="LX774" s="27" t="s">
        <v>7</v>
      </c>
      <c r="LY774" s="27" t="s">
        <v>8</v>
      </c>
      <c r="MJ774" s="27" t="s">
        <v>7</v>
      </c>
      <c r="MO774" s="27" t="s">
        <v>8</v>
      </c>
      <c r="MP774" s="27" t="s">
        <v>7</v>
      </c>
      <c r="MQ774" s="27" t="s">
        <v>8</v>
      </c>
      <c r="MR774" s="27" t="s">
        <v>7</v>
      </c>
      <c r="MS774" s="27" t="s">
        <v>8</v>
      </c>
      <c r="NA774" s="27" t="s">
        <v>8</v>
      </c>
      <c r="NB774" s="27" t="s">
        <v>7</v>
      </c>
      <c r="NC774" s="27" t="s">
        <v>8</v>
      </c>
      <c r="ND774" s="27" t="s">
        <v>7</v>
      </c>
      <c r="NE774" s="27" t="s">
        <v>8</v>
      </c>
      <c r="PJ774" s="27" t="s">
        <v>7</v>
      </c>
      <c r="PK774" s="27" t="s">
        <v>8</v>
      </c>
      <c r="PZ774" s="27" t="s">
        <v>7</v>
      </c>
      <c r="QC774" s="27" t="s">
        <v>8</v>
      </c>
      <c r="QD774" s="27" t="s">
        <v>7</v>
      </c>
    </row>
    <row r="775" spans="1:446" x14ac:dyDescent="0.25">
      <c r="A775" s="7">
        <v>2.4163937778356601E-2</v>
      </c>
      <c r="B775"/>
      <c r="C775"/>
      <c r="D775"/>
      <c r="E775"/>
      <c r="F775" s="27" t="s">
        <v>7</v>
      </c>
      <c r="JM775" s="27" t="s">
        <v>8</v>
      </c>
      <c r="JN775" s="27" t="s">
        <v>7</v>
      </c>
      <c r="JY775" s="27" t="s">
        <v>8</v>
      </c>
      <c r="LV775" s="27" t="s">
        <v>7</v>
      </c>
      <c r="LW775" s="27" t="s">
        <v>8</v>
      </c>
      <c r="LX775" s="27" t="s">
        <v>7</v>
      </c>
      <c r="LY775" s="27" t="s">
        <v>8</v>
      </c>
      <c r="MJ775" s="27" t="s">
        <v>7</v>
      </c>
      <c r="MO775" s="27" t="s">
        <v>8</v>
      </c>
      <c r="MP775" s="27" t="s">
        <v>7</v>
      </c>
      <c r="MQ775" s="27" t="s">
        <v>8</v>
      </c>
      <c r="MR775" s="27" t="s">
        <v>7</v>
      </c>
      <c r="MS775" s="27" t="s">
        <v>8</v>
      </c>
      <c r="MT775" s="27" t="s">
        <v>7</v>
      </c>
      <c r="MY775" s="27" t="s">
        <v>8</v>
      </c>
      <c r="NA775" s="27" t="s">
        <v>8</v>
      </c>
      <c r="NB775" s="27" t="s">
        <v>7</v>
      </c>
      <c r="NC775" s="27" t="s">
        <v>8</v>
      </c>
      <c r="ND775" s="27" t="s">
        <v>7</v>
      </c>
      <c r="NE775" s="27" t="s">
        <v>8</v>
      </c>
      <c r="PJ775" s="27" t="s">
        <v>7</v>
      </c>
      <c r="PK775" s="27" t="s">
        <v>8</v>
      </c>
      <c r="PZ775" s="27" t="s">
        <v>7</v>
      </c>
      <c r="QC775" s="27" t="s">
        <v>8</v>
      </c>
      <c r="QD775" s="27" t="s">
        <v>7</v>
      </c>
    </row>
    <row r="776" spans="1:446" x14ac:dyDescent="0.25">
      <c r="A776" s="7">
        <v>2.3690135076820197E-2</v>
      </c>
      <c r="B776"/>
      <c r="C776"/>
      <c r="D776"/>
      <c r="E776"/>
      <c r="F776" s="27" t="s">
        <v>7</v>
      </c>
      <c r="JM776" s="27" t="s">
        <v>8</v>
      </c>
      <c r="JN776" s="27" t="s">
        <v>7</v>
      </c>
      <c r="JY776" s="27" t="s">
        <v>8</v>
      </c>
      <c r="LV776" s="27" t="s">
        <v>7</v>
      </c>
      <c r="LW776" s="27" t="s">
        <v>8</v>
      </c>
      <c r="LX776" s="27" t="s">
        <v>7</v>
      </c>
      <c r="LY776" s="27" t="s">
        <v>8</v>
      </c>
      <c r="MJ776" s="27" t="s">
        <v>7</v>
      </c>
      <c r="MO776" s="27" t="s">
        <v>8</v>
      </c>
      <c r="MP776" s="27" t="s">
        <v>7</v>
      </c>
      <c r="MQ776" s="27" t="s">
        <v>8</v>
      </c>
      <c r="MR776" s="27" t="s">
        <v>7</v>
      </c>
      <c r="MS776" s="27" t="s">
        <v>8</v>
      </c>
      <c r="MT776" s="27" t="s">
        <v>7</v>
      </c>
      <c r="MY776" s="27" t="s">
        <v>8</v>
      </c>
      <c r="MZ776" s="27" t="s">
        <v>7</v>
      </c>
      <c r="NA776" s="27" t="s">
        <v>8</v>
      </c>
      <c r="NB776" s="27" t="s">
        <v>7</v>
      </c>
      <c r="NC776" s="27" t="s">
        <v>8</v>
      </c>
      <c r="ND776" s="27" t="s">
        <v>7</v>
      </c>
      <c r="PJ776" s="27" t="s">
        <v>7</v>
      </c>
      <c r="PK776" s="27" t="s">
        <v>8</v>
      </c>
      <c r="PZ776" s="27" t="s">
        <v>7</v>
      </c>
      <c r="QC776" s="27" t="s">
        <v>8</v>
      </c>
      <c r="QD776" s="27" t="s">
        <v>7</v>
      </c>
    </row>
    <row r="777" spans="1:446" x14ac:dyDescent="0.25">
      <c r="A777" s="7">
        <v>2.3225622624333527E-2</v>
      </c>
      <c r="B777"/>
      <c r="C777"/>
      <c r="D777"/>
      <c r="E777"/>
      <c r="F777" s="27" t="s">
        <v>7</v>
      </c>
      <c r="JM777" s="27" t="s">
        <v>8</v>
      </c>
      <c r="JN777" s="27" t="s">
        <v>7</v>
      </c>
      <c r="JY777" s="27" t="s">
        <v>8</v>
      </c>
      <c r="LV777" s="27" t="s">
        <v>7</v>
      </c>
      <c r="LW777" s="27" t="s">
        <v>8</v>
      </c>
      <c r="LX777" s="27" t="s">
        <v>7</v>
      </c>
      <c r="LY777" s="27" t="s">
        <v>8</v>
      </c>
      <c r="MJ777" s="27" t="s">
        <v>7</v>
      </c>
      <c r="MO777" s="27" t="s">
        <v>8</v>
      </c>
      <c r="MP777" s="27" t="s">
        <v>7</v>
      </c>
      <c r="MR777" s="27" t="s">
        <v>7</v>
      </c>
      <c r="MT777" s="27" t="s">
        <v>7</v>
      </c>
      <c r="MY777" s="27" t="s">
        <v>8</v>
      </c>
      <c r="MZ777" s="27" t="s">
        <v>7</v>
      </c>
      <c r="NA777" s="27" t="s">
        <v>8</v>
      </c>
      <c r="NB777" s="27" t="s">
        <v>7</v>
      </c>
      <c r="NC777" s="27" t="s">
        <v>8</v>
      </c>
      <c r="PJ777" s="27" t="s">
        <v>7</v>
      </c>
      <c r="PZ777" s="27" t="s">
        <v>7</v>
      </c>
      <c r="QC777" s="27" t="s">
        <v>8</v>
      </c>
      <c r="QD777" s="27" t="s">
        <v>7</v>
      </c>
    </row>
    <row r="778" spans="1:446" x14ac:dyDescent="0.25">
      <c r="A778" s="7">
        <v>2.2770218259150519E-2</v>
      </c>
      <c r="B778"/>
      <c r="C778"/>
      <c r="D778"/>
      <c r="E778"/>
      <c r="F778" s="27" t="s">
        <v>7</v>
      </c>
      <c r="JM778" s="27" t="s">
        <v>8</v>
      </c>
      <c r="JN778" s="27" t="s">
        <v>7</v>
      </c>
      <c r="JO778" s="27" t="s">
        <v>8</v>
      </c>
      <c r="JY778" s="27" t="s">
        <v>8</v>
      </c>
      <c r="LV778" s="27" t="s">
        <v>7</v>
      </c>
      <c r="LW778" s="27" t="s">
        <v>8</v>
      </c>
      <c r="LX778" s="27" t="s">
        <v>7</v>
      </c>
      <c r="LY778" s="27" t="s">
        <v>8</v>
      </c>
      <c r="MJ778" s="27" t="s">
        <v>7</v>
      </c>
      <c r="MO778" s="27" t="s">
        <v>8</v>
      </c>
      <c r="MT778" s="27" t="s">
        <v>7</v>
      </c>
      <c r="MY778" s="27" t="s">
        <v>8</v>
      </c>
      <c r="MZ778" s="27" t="s">
        <v>7</v>
      </c>
      <c r="NA778" s="27" t="s">
        <v>8</v>
      </c>
      <c r="NB778" s="27" t="s">
        <v>7</v>
      </c>
      <c r="NC778" s="27" t="s">
        <v>8</v>
      </c>
      <c r="PZ778" s="27" t="s">
        <v>7</v>
      </c>
      <c r="QA778" s="27" t="s">
        <v>8</v>
      </c>
      <c r="QC778" s="27" t="s">
        <v>8</v>
      </c>
    </row>
    <row r="779" spans="1:446" x14ac:dyDescent="0.25">
      <c r="A779" s="7">
        <v>2.2323743391324039E-2</v>
      </c>
      <c r="B779"/>
      <c r="C779"/>
      <c r="D779"/>
      <c r="E779"/>
      <c r="F779" s="27" t="s">
        <v>7</v>
      </c>
      <c r="JM779" s="27" t="s">
        <v>8</v>
      </c>
      <c r="JN779" s="27" t="s">
        <v>7</v>
      </c>
      <c r="JO779" s="27" t="s">
        <v>8</v>
      </c>
      <c r="JP779" s="27" t="s">
        <v>7</v>
      </c>
      <c r="JY779" s="27" t="s">
        <v>8</v>
      </c>
      <c r="LV779" s="27" t="s">
        <v>7</v>
      </c>
      <c r="LW779" s="27" t="s">
        <v>8</v>
      </c>
      <c r="LX779" s="27" t="s">
        <v>7</v>
      </c>
      <c r="LY779" s="27" t="s">
        <v>8</v>
      </c>
      <c r="MJ779" s="27" t="s">
        <v>7</v>
      </c>
      <c r="MM779" s="27" t="s">
        <v>8</v>
      </c>
      <c r="MO779" s="27" t="s">
        <v>8</v>
      </c>
      <c r="MT779" s="27" t="s">
        <v>7</v>
      </c>
      <c r="MY779" s="27" t="s">
        <v>8</v>
      </c>
      <c r="MZ779" s="27" t="s">
        <v>7</v>
      </c>
      <c r="NB779" s="27" t="s">
        <v>7</v>
      </c>
      <c r="NC779" s="27" t="s">
        <v>8</v>
      </c>
      <c r="PZ779" s="27" t="s">
        <v>7</v>
      </c>
      <c r="QA779" s="27" t="s">
        <v>8</v>
      </c>
      <c r="QB779" s="27" t="s">
        <v>7</v>
      </c>
      <c r="QC779" s="27" t="s">
        <v>8</v>
      </c>
    </row>
    <row r="780" spans="1:446" x14ac:dyDescent="0.25">
      <c r="A780" s="7">
        <v>2.188602293267063E-2</v>
      </c>
      <c r="B780"/>
      <c r="C780"/>
      <c r="D780"/>
      <c r="E780"/>
      <c r="F780" s="27" t="s">
        <v>7</v>
      </c>
      <c r="JM780" s="27" t="s">
        <v>8</v>
      </c>
      <c r="JN780" s="27" t="s">
        <v>7</v>
      </c>
      <c r="JO780" s="27" t="s">
        <v>8</v>
      </c>
      <c r="JP780" s="27" t="s">
        <v>7</v>
      </c>
      <c r="JY780" s="27" t="s">
        <v>8</v>
      </c>
      <c r="LV780" s="27" t="s">
        <v>7</v>
      </c>
      <c r="LW780" s="27" t="s">
        <v>8</v>
      </c>
      <c r="LX780" s="27" t="s">
        <v>7</v>
      </c>
      <c r="LY780" s="27" t="s">
        <v>8</v>
      </c>
      <c r="MJ780" s="27" t="s">
        <v>7</v>
      </c>
      <c r="MM780" s="27" t="s">
        <v>8</v>
      </c>
      <c r="MN780" s="27" t="s">
        <v>7</v>
      </c>
      <c r="MO780" s="27" t="s">
        <v>8</v>
      </c>
      <c r="MT780" s="27" t="s">
        <v>7</v>
      </c>
      <c r="MU780" s="27" t="s">
        <v>8</v>
      </c>
      <c r="MY780" s="27" t="s">
        <v>8</v>
      </c>
      <c r="NB780" s="27" t="s">
        <v>7</v>
      </c>
      <c r="PZ780" s="27" t="s">
        <v>7</v>
      </c>
      <c r="QA780" s="27" t="s">
        <v>8</v>
      </c>
      <c r="QB780" s="27" t="s">
        <v>7</v>
      </c>
      <c r="QC780" s="27" t="s">
        <v>8</v>
      </c>
    </row>
    <row r="781" spans="1:446" x14ac:dyDescent="0.25">
      <c r="A781" s="7">
        <v>2.1456885228108461E-2</v>
      </c>
      <c r="B781"/>
      <c r="C781"/>
      <c r="D781"/>
      <c r="E781"/>
      <c r="F781" s="27" t="s">
        <v>7</v>
      </c>
      <c r="JM781" s="27" t="s">
        <v>8</v>
      </c>
      <c r="JN781" s="27" t="s">
        <v>7</v>
      </c>
      <c r="JO781" s="27" t="s">
        <v>8</v>
      </c>
      <c r="JP781" s="27" t="s">
        <v>7</v>
      </c>
      <c r="JY781" s="27" t="s">
        <v>8</v>
      </c>
      <c r="LV781" s="27" t="s">
        <v>7</v>
      </c>
      <c r="LW781" s="27" t="s">
        <v>8</v>
      </c>
      <c r="LX781" s="27" t="s">
        <v>7</v>
      </c>
      <c r="LY781" s="27" t="s">
        <v>8</v>
      </c>
      <c r="MJ781" s="27" t="s">
        <v>7</v>
      </c>
      <c r="MM781" s="27" t="s">
        <v>8</v>
      </c>
      <c r="MN781" s="27" t="s">
        <v>7</v>
      </c>
      <c r="MO781" s="27" t="s">
        <v>8</v>
      </c>
      <c r="MT781" s="27" t="s">
        <v>7</v>
      </c>
      <c r="MU781" s="27" t="s">
        <v>8</v>
      </c>
      <c r="MV781" s="27" t="s">
        <v>7</v>
      </c>
      <c r="MY781" s="27" t="s">
        <v>8</v>
      </c>
      <c r="PZ781" s="27" t="s">
        <v>7</v>
      </c>
      <c r="QA781" s="27" t="s">
        <v>8</v>
      </c>
      <c r="QB781" s="27" t="s">
        <v>7</v>
      </c>
      <c r="QC781" s="27" t="s">
        <v>8</v>
      </c>
    </row>
    <row r="782" spans="1:446" x14ac:dyDescent="0.25">
      <c r="A782" s="7">
        <v>2.1036161988341632E-2</v>
      </c>
      <c r="B782"/>
      <c r="C782"/>
      <c r="D782"/>
      <c r="E782"/>
      <c r="F782" s="27" t="s">
        <v>7</v>
      </c>
      <c r="JM782" s="27" t="s">
        <v>8</v>
      </c>
      <c r="JN782" s="27" t="s">
        <v>7</v>
      </c>
      <c r="JO782" s="27" t="s">
        <v>8</v>
      </c>
      <c r="JP782" s="27" t="s">
        <v>7</v>
      </c>
      <c r="JW782" s="27" t="s">
        <v>8</v>
      </c>
      <c r="JY782" s="27" t="s">
        <v>8</v>
      </c>
      <c r="LV782" s="27" t="s">
        <v>7</v>
      </c>
      <c r="LW782" s="27" t="s">
        <v>8</v>
      </c>
      <c r="LX782" s="27" t="s">
        <v>7</v>
      </c>
      <c r="MJ782" s="27" t="s">
        <v>7</v>
      </c>
      <c r="MM782" s="27" t="s">
        <v>8</v>
      </c>
      <c r="MN782" s="27" t="s">
        <v>7</v>
      </c>
      <c r="MO782" s="27" t="s">
        <v>8</v>
      </c>
      <c r="MT782" s="27" t="s">
        <v>7</v>
      </c>
      <c r="MU782" s="27" t="s">
        <v>8</v>
      </c>
      <c r="MV782" s="27" t="s">
        <v>7</v>
      </c>
      <c r="MY782" s="27" t="s">
        <v>8</v>
      </c>
      <c r="PZ782" s="27" t="s">
        <v>7</v>
      </c>
      <c r="QA782" s="27" t="s">
        <v>8</v>
      </c>
      <c r="QB782" s="27" t="s">
        <v>7</v>
      </c>
      <c r="QC782" s="27" t="s">
        <v>8</v>
      </c>
    </row>
    <row r="783" spans="1:446" x14ac:dyDescent="0.25">
      <c r="A783" s="7">
        <v>2.0623688223864345E-2</v>
      </c>
      <c r="B783"/>
      <c r="C783"/>
      <c r="D783"/>
      <c r="E783"/>
      <c r="F783" s="27" t="s">
        <v>7</v>
      </c>
      <c r="JM783" s="27" t="s">
        <v>8</v>
      </c>
      <c r="JN783" s="27" t="s">
        <v>7</v>
      </c>
      <c r="JO783" s="27" t="s">
        <v>8</v>
      </c>
      <c r="JP783" s="27" t="s">
        <v>7</v>
      </c>
      <c r="JW783" s="27" t="s">
        <v>8</v>
      </c>
      <c r="JX783" s="27" t="s">
        <v>7</v>
      </c>
      <c r="JY783" s="27" t="s">
        <v>8</v>
      </c>
      <c r="LV783" s="27" t="s">
        <v>7</v>
      </c>
      <c r="LW783" s="27" t="s">
        <v>8</v>
      </c>
      <c r="MJ783" s="27" t="s">
        <v>7</v>
      </c>
      <c r="MK783" s="27" t="s">
        <v>8</v>
      </c>
      <c r="MM783" s="27" t="s">
        <v>8</v>
      </c>
      <c r="MN783" s="27" t="s">
        <v>7</v>
      </c>
      <c r="MT783" s="27" t="s">
        <v>7</v>
      </c>
      <c r="MU783" s="27" t="s">
        <v>8</v>
      </c>
      <c r="MV783" s="27" t="s">
        <v>7</v>
      </c>
      <c r="MY783" s="27" t="s">
        <v>8</v>
      </c>
      <c r="PZ783" s="27" t="s">
        <v>7</v>
      </c>
      <c r="QA783" s="27" t="s">
        <v>8</v>
      </c>
      <c r="QB783" s="27" t="s">
        <v>7</v>
      </c>
      <c r="QC783" s="27" t="s">
        <v>8</v>
      </c>
    </row>
    <row r="784" spans="1:446" x14ac:dyDescent="0.25">
      <c r="A784" s="7">
        <v>2.021930218025916E-2</v>
      </c>
      <c r="B784"/>
      <c r="C784"/>
      <c r="D784"/>
      <c r="E784"/>
      <c r="F784" s="27" t="s">
        <v>7</v>
      </c>
      <c r="JM784" s="27" t="s">
        <v>8</v>
      </c>
      <c r="JN784" s="27" t="s">
        <v>7</v>
      </c>
      <c r="JO784" s="27" t="s">
        <v>8</v>
      </c>
      <c r="JP784" s="27" t="s">
        <v>7</v>
      </c>
      <c r="JW784" s="27" t="s">
        <v>8</v>
      </c>
      <c r="JX784" s="27" t="s">
        <v>7</v>
      </c>
      <c r="JY784" s="27" t="s">
        <v>8</v>
      </c>
      <c r="LV784" s="27" t="s">
        <v>7</v>
      </c>
      <c r="MJ784" s="27" t="s">
        <v>7</v>
      </c>
      <c r="MK784" s="27" t="s">
        <v>8</v>
      </c>
      <c r="ML784" s="27" t="s">
        <v>7</v>
      </c>
      <c r="MM784" s="27" t="s">
        <v>8</v>
      </c>
      <c r="MT784" s="27" t="s">
        <v>7</v>
      </c>
      <c r="MU784" s="27" t="s">
        <v>8</v>
      </c>
      <c r="MV784" s="27" t="s">
        <v>7</v>
      </c>
      <c r="MW784" s="27" t="s">
        <v>8</v>
      </c>
      <c r="MY784" s="27" t="s">
        <v>8</v>
      </c>
      <c r="PZ784" s="27" t="s">
        <v>7</v>
      </c>
      <c r="QA784" s="27" t="s">
        <v>8</v>
      </c>
      <c r="QB784" s="27" t="s">
        <v>7</v>
      </c>
      <c r="QC784" s="27" t="s">
        <v>8</v>
      </c>
    </row>
    <row r="785" spans="1:444" x14ac:dyDescent="0.25">
      <c r="A785" s="7">
        <v>1.9822845274763884E-2</v>
      </c>
      <c r="B785"/>
      <c r="C785"/>
      <c r="D785"/>
      <c r="E785"/>
      <c r="F785" s="27" t="s">
        <v>7</v>
      </c>
      <c r="JM785" s="27" t="s">
        <v>8</v>
      </c>
      <c r="JN785" s="27" t="s">
        <v>7</v>
      </c>
      <c r="JO785" s="27" t="s">
        <v>8</v>
      </c>
      <c r="JP785" s="27" t="s">
        <v>7</v>
      </c>
      <c r="JW785" s="27" t="s">
        <v>8</v>
      </c>
      <c r="JX785" s="27" t="s">
        <v>7</v>
      </c>
      <c r="JY785" s="27" t="s">
        <v>8</v>
      </c>
      <c r="MJ785" s="27" t="s">
        <v>7</v>
      </c>
      <c r="MK785" s="27" t="s">
        <v>8</v>
      </c>
      <c r="ML785" s="27" t="s">
        <v>7</v>
      </c>
      <c r="MM785" s="27" t="s">
        <v>8</v>
      </c>
      <c r="MT785" s="27" t="s">
        <v>7</v>
      </c>
      <c r="MV785" s="27" t="s">
        <v>7</v>
      </c>
      <c r="MW785" s="27" t="s">
        <v>8</v>
      </c>
      <c r="MX785" s="27" t="s">
        <v>7</v>
      </c>
      <c r="MY785" s="27" t="s">
        <v>8</v>
      </c>
      <c r="PZ785" s="27" t="s">
        <v>7</v>
      </c>
      <c r="QA785" s="27" t="s">
        <v>8</v>
      </c>
      <c r="QB785" s="27" t="s">
        <v>7</v>
      </c>
    </row>
    <row r="786" spans="1:444" x14ac:dyDescent="0.25">
      <c r="A786" s="7">
        <v>1.9434162034082238E-2</v>
      </c>
      <c r="B786"/>
      <c r="C786"/>
      <c r="D786"/>
      <c r="E786"/>
      <c r="F786" s="27" t="s">
        <v>7</v>
      </c>
      <c r="JM786" s="27" t="s">
        <v>8</v>
      </c>
      <c r="JN786" s="27" t="s">
        <v>7</v>
      </c>
      <c r="JO786" s="27" t="s">
        <v>8</v>
      </c>
      <c r="JP786" s="27" t="s">
        <v>7</v>
      </c>
      <c r="JW786" s="27" t="s">
        <v>8</v>
      </c>
      <c r="JX786" s="27" t="s">
        <v>7</v>
      </c>
      <c r="JY786" s="27" t="s">
        <v>8</v>
      </c>
      <c r="MJ786" s="27" t="s">
        <v>7</v>
      </c>
      <c r="MK786" s="27" t="s">
        <v>8</v>
      </c>
      <c r="ML786" s="27" t="s">
        <v>7</v>
      </c>
      <c r="MM786" s="27" t="s">
        <v>8</v>
      </c>
      <c r="MV786" s="27" t="s">
        <v>7</v>
      </c>
      <c r="MW786" s="27" t="s">
        <v>8</v>
      </c>
      <c r="MX786" s="27" t="s">
        <v>7</v>
      </c>
      <c r="MY786" s="27" t="s">
        <v>8</v>
      </c>
      <c r="PZ786" s="27" t="s">
        <v>7</v>
      </c>
      <c r="QA786" s="27" t="s">
        <v>8</v>
      </c>
    </row>
    <row r="787" spans="1:444" x14ac:dyDescent="0.25">
      <c r="A787" s="7">
        <v>1.9053100033413959E-2</v>
      </c>
      <c r="B787"/>
      <c r="C787"/>
      <c r="D787"/>
      <c r="E787"/>
      <c r="F787" s="27" t="s">
        <v>7</v>
      </c>
      <c r="JM787" s="27" t="s">
        <v>8</v>
      </c>
      <c r="JN787" s="27" t="s">
        <v>7</v>
      </c>
      <c r="JO787" s="27" t="s">
        <v>8</v>
      </c>
      <c r="JP787" s="27" t="s">
        <v>7</v>
      </c>
      <c r="JW787" s="27" t="s">
        <v>8</v>
      </c>
      <c r="JX787" s="27" t="s">
        <v>7</v>
      </c>
      <c r="JY787" s="27" t="s">
        <v>8</v>
      </c>
      <c r="MJ787" s="27" t="s">
        <v>7</v>
      </c>
      <c r="MK787" s="27" t="s">
        <v>8</v>
      </c>
      <c r="ML787" s="27" t="s">
        <v>7</v>
      </c>
      <c r="MM787" s="27" t="s">
        <v>8</v>
      </c>
      <c r="MV787" s="27" t="s">
        <v>7</v>
      </c>
      <c r="MX787" s="27" t="s">
        <v>7</v>
      </c>
      <c r="MY787" s="27" t="s">
        <v>8</v>
      </c>
      <c r="PZ787" s="27" t="s">
        <v>7</v>
      </c>
    </row>
    <row r="788" spans="1:444" x14ac:dyDescent="0.25">
      <c r="A788" s="7">
        <v>1.867950983668035E-2</v>
      </c>
      <c r="B788"/>
      <c r="C788"/>
      <c r="D788"/>
      <c r="E788"/>
      <c r="F788" s="27" t="s">
        <v>7</v>
      </c>
      <c r="JM788" s="27" t="s">
        <v>8</v>
      </c>
      <c r="JN788" s="27" t="s">
        <v>7</v>
      </c>
      <c r="JO788" s="27" t="s">
        <v>8</v>
      </c>
      <c r="JP788" s="27" t="s">
        <v>7</v>
      </c>
      <c r="JQ788" s="27" t="s">
        <v>8</v>
      </c>
      <c r="JS788" s="27" t="s">
        <v>8</v>
      </c>
      <c r="JW788" s="27" t="s">
        <v>8</v>
      </c>
      <c r="JX788" s="27" t="s">
        <v>7</v>
      </c>
      <c r="JY788" s="27" t="s">
        <v>8</v>
      </c>
      <c r="MJ788" s="27" t="s">
        <v>7</v>
      </c>
      <c r="MK788" s="27" t="s">
        <v>8</v>
      </c>
      <c r="ML788" s="27" t="s">
        <v>7</v>
      </c>
      <c r="MM788" s="27" t="s">
        <v>8</v>
      </c>
      <c r="MX788" s="27" t="s">
        <v>7</v>
      </c>
      <c r="MY788" s="27" t="s">
        <v>8</v>
      </c>
    </row>
    <row r="789" spans="1:444" x14ac:dyDescent="0.25">
      <c r="A789" s="7">
        <v>1.8313244937921913E-2</v>
      </c>
      <c r="B789"/>
      <c r="C789"/>
      <c r="D789"/>
      <c r="E789"/>
      <c r="F789" s="27" t="s">
        <v>7</v>
      </c>
      <c r="I789" s="27" t="s">
        <v>8</v>
      </c>
      <c r="JM789" s="27" t="s">
        <v>8</v>
      </c>
      <c r="JN789" s="27" t="s">
        <v>7</v>
      </c>
      <c r="JO789" s="27" t="s">
        <v>8</v>
      </c>
      <c r="JP789" s="27" t="s">
        <v>7</v>
      </c>
      <c r="JQ789" s="27" t="s">
        <v>8</v>
      </c>
      <c r="JR789" s="27" t="s">
        <v>7</v>
      </c>
      <c r="JS789" s="27" t="s">
        <v>8</v>
      </c>
      <c r="JT789" s="27" t="s">
        <v>7</v>
      </c>
      <c r="JW789" s="27" t="s">
        <v>8</v>
      </c>
      <c r="JX789" s="27" t="s">
        <v>7</v>
      </c>
      <c r="JY789" s="27" t="s">
        <v>8</v>
      </c>
      <c r="MJ789" s="27" t="s">
        <v>7</v>
      </c>
      <c r="MK789" s="27" t="s">
        <v>8</v>
      </c>
      <c r="ML789" s="27" t="s">
        <v>7</v>
      </c>
      <c r="MM789" s="27" t="s">
        <v>8</v>
      </c>
      <c r="MX789" s="27" t="s">
        <v>7</v>
      </c>
      <c r="MY789" s="27" t="s">
        <v>8</v>
      </c>
    </row>
    <row r="790" spans="1:444" x14ac:dyDescent="0.25">
      <c r="A790" s="7">
        <v>1.7954161703845013E-2</v>
      </c>
      <c r="B790"/>
      <c r="C790"/>
      <c r="D790"/>
      <c r="E790"/>
      <c r="F790" s="27" t="s">
        <v>7</v>
      </c>
      <c r="I790" s="27" t="s">
        <v>8</v>
      </c>
      <c r="J790" s="27" t="s">
        <v>7</v>
      </c>
      <c r="JM790" s="27" t="s">
        <v>8</v>
      </c>
      <c r="JN790" s="27" t="s">
        <v>7</v>
      </c>
      <c r="JO790" s="27" t="s">
        <v>8</v>
      </c>
      <c r="JP790" s="27" t="s">
        <v>7</v>
      </c>
      <c r="JQ790" s="27" t="s">
        <v>8</v>
      </c>
      <c r="JR790" s="27" t="s">
        <v>7</v>
      </c>
      <c r="JS790" s="27" t="s">
        <v>8</v>
      </c>
      <c r="JT790" s="27" t="s">
        <v>7</v>
      </c>
      <c r="JW790" s="27" t="s">
        <v>8</v>
      </c>
      <c r="JX790" s="27" t="s">
        <v>7</v>
      </c>
      <c r="JY790" s="27" t="s">
        <v>8</v>
      </c>
      <c r="MJ790" s="27" t="s">
        <v>7</v>
      </c>
      <c r="MK790" s="27" t="s">
        <v>8</v>
      </c>
      <c r="ML790" s="27" t="s">
        <v>7</v>
      </c>
      <c r="MM790" s="27" t="s">
        <v>8</v>
      </c>
      <c r="MX790" s="27" t="s">
        <v>7</v>
      </c>
      <c r="MY790" s="27" t="s">
        <v>8</v>
      </c>
    </row>
    <row r="791" spans="1:444" x14ac:dyDescent="0.25">
      <c r="A791" s="7">
        <v>1.7602119317495109E-2</v>
      </c>
      <c r="B791"/>
      <c r="C791"/>
      <c r="D791"/>
      <c r="E791"/>
      <c r="F791" s="27" t="s">
        <v>7</v>
      </c>
      <c r="I791" s="27" t="s">
        <v>8</v>
      </c>
      <c r="J791" s="27" t="s">
        <v>7</v>
      </c>
      <c r="JM791" s="27" t="s">
        <v>8</v>
      </c>
      <c r="JN791" s="27" t="s">
        <v>7</v>
      </c>
      <c r="JO791" s="27" t="s">
        <v>8</v>
      </c>
      <c r="JP791" s="27" t="s">
        <v>7</v>
      </c>
      <c r="JQ791" s="27" t="s">
        <v>8</v>
      </c>
      <c r="JR791" s="27" t="s">
        <v>7</v>
      </c>
      <c r="JS791" s="27" t="s">
        <v>8</v>
      </c>
      <c r="JT791" s="27" t="s">
        <v>7</v>
      </c>
      <c r="JU791" s="27" t="s">
        <v>8</v>
      </c>
      <c r="JW791" s="27" t="s">
        <v>8</v>
      </c>
      <c r="JX791" s="27" t="s">
        <v>7</v>
      </c>
      <c r="MJ791" s="27" t="s">
        <v>7</v>
      </c>
      <c r="MK791" s="27" t="s">
        <v>8</v>
      </c>
      <c r="ML791" s="27" t="s">
        <v>7</v>
      </c>
      <c r="MM791" s="27" t="s">
        <v>8</v>
      </c>
      <c r="MX791" s="27" t="s">
        <v>7</v>
      </c>
      <c r="MY791" s="27" t="s">
        <v>8</v>
      </c>
    </row>
    <row r="792" spans="1:444" x14ac:dyDescent="0.25">
      <c r="A792" s="7">
        <v>1.7256979723034419E-2</v>
      </c>
      <c r="B792"/>
      <c r="C792"/>
      <c r="D792"/>
      <c r="E792"/>
      <c r="F792" s="27" t="s">
        <v>7</v>
      </c>
      <c r="I792" s="27" t="s">
        <v>8</v>
      </c>
      <c r="J792" s="27" t="s">
        <v>7</v>
      </c>
      <c r="JM792" s="27" t="s">
        <v>8</v>
      </c>
      <c r="JN792" s="27" t="s">
        <v>7</v>
      </c>
      <c r="JO792" s="27" t="s">
        <v>8</v>
      </c>
      <c r="JP792" s="27" t="s">
        <v>7</v>
      </c>
      <c r="JQ792" s="27" t="s">
        <v>8</v>
      </c>
      <c r="JR792" s="27" t="s">
        <v>7</v>
      </c>
      <c r="JS792" s="27" t="s">
        <v>8</v>
      </c>
      <c r="JT792" s="27" t="s">
        <v>7</v>
      </c>
      <c r="JU792" s="27" t="s">
        <v>8</v>
      </c>
      <c r="JV792" s="27" t="s">
        <v>7</v>
      </c>
      <c r="JW792" s="27" t="s">
        <v>8</v>
      </c>
      <c r="MJ792" s="27" t="s">
        <v>7</v>
      </c>
      <c r="MK792" s="27" t="s">
        <v>8</v>
      </c>
      <c r="ML792" s="27" t="s">
        <v>7</v>
      </c>
      <c r="MM792" s="27" t="s">
        <v>8</v>
      </c>
      <c r="MX792" s="18" t="s">
        <v>7</v>
      </c>
      <c r="MY792" s="27" t="s">
        <v>8</v>
      </c>
    </row>
    <row r="793" spans="1:444" x14ac:dyDescent="0.25">
      <c r="A793" s="7">
        <v>1.6918607571602372E-2</v>
      </c>
      <c r="B793"/>
      <c r="C793"/>
      <c r="D793"/>
      <c r="E793"/>
      <c r="F793" s="27" t="s">
        <v>7</v>
      </c>
      <c r="I793" s="27" t="s">
        <v>8</v>
      </c>
      <c r="J793" s="27" t="s">
        <v>7</v>
      </c>
      <c r="JM793" s="27" t="s">
        <v>8</v>
      </c>
      <c r="JN793" s="27" t="s">
        <v>7</v>
      </c>
      <c r="JP793" s="27" t="s">
        <v>7</v>
      </c>
      <c r="JQ793" s="27" t="s">
        <v>8</v>
      </c>
      <c r="JR793" s="27" t="s">
        <v>7</v>
      </c>
      <c r="JS793" s="27" t="s">
        <v>8</v>
      </c>
      <c r="JT793" s="27" t="s">
        <v>7</v>
      </c>
      <c r="JU793" s="27" t="s">
        <v>8</v>
      </c>
      <c r="JV793" s="27" t="s">
        <v>7</v>
      </c>
      <c r="JW793" s="27" t="s">
        <v>8</v>
      </c>
      <c r="MJ793" s="27" t="s">
        <v>7</v>
      </c>
      <c r="MK793" s="27" t="s">
        <v>8</v>
      </c>
      <c r="ML793" s="27" t="s">
        <v>7</v>
      </c>
      <c r="MX793" s="27" t="s">
        <v>7</v>
      </c>
      <c r="MY793" s="27" t="s">
        <v>8</v>
      </c>
    </row>
    <row r="794" spans="1:444" x14ac:dyDescent="0.25">
      <c r="A794" s="7">
        <v>1.6586870168237622E-2</v>
      </c>
      <c r="B794"/>
      <c r="C794"/>
      <c r="D794"/>
      <c r="E794"/>
      <c r="F794" s="27" t="s">
        <v>7</v>
      </c>
      <c r="I794" s="27" t="s">
        <v>8</v>
      </c>
      <c r="J794" s="27" t="s">
        <v>7</v>
      </c>
      <c r="JM794" s="27" t="s">
        <v>8</v>
      </c>
      <c r="JP794" s="27" t="s">
        <v>7</v>
      </c>
      <c r="JQ794" s="27" t="s">
        <v>8</v>
      </c>
      <c r="JR794" s="27" t="s">
        <v>7</v>
      </c>
      <c r="JS794" s="27" t="s">
        <v>8</v>
      </c>
      <c r="JT794" s="27" t="s">
        <v>7</v>
      </c>
      <c r="JU794" s="27" t="s">
        <v>8</v>
      </c>
      <c r="JV794" s="27" t="s">
        <v>7</v>
      </c>
      <c r="JW794" s="27" t="s">
        <v>8</v>
      </c>
      <c r="MJ794" s="27" t="s">
        <v>7</v>
      </c>
      <c r="MK794" s="27" t="s">
        <v>8</v>
      </c>
      <c r="MX794" s="27" t="s">
        <v>7</v>
      </c>
      <c r="MY794" s="27" t="s">
        <v>8</v>
      </c>
    </row>
    <row r="795" spans="1:444" x14ac:dyDescent="0.25">
      <c r="A795" s="7">
        <v>1.6261637419840807E-2</v>
      </c>
      <c r="B795"/>
      <c r="C795"/>
      <c r="D795"/>
      <c r="E795"/>
      <c r="F795" s="27" t="s">
        <v>7</v>
      </c>
      <c r="I795" s="27" t="s">
        <v>8</v>
      </c>
      <c r="J795" s="27" t="s">
        <v>7</v>
      </c>
      <c r="JM795" s="27" t="s">
        <v>8</v>
      </c>
      <c r="JP795" s="27" t="s">
        <v>7</v>
      </c>
      <c r="JQ795" s="27" t="s">
        <v>8</v>
      </c>
      <c r="JR795" s="27" t="s">
        <v>7</v>
      </c>
      <c r="JS795" s="27" t="s">
        <v>8</v>
      </c>
      <c r="JT795" s="27" t="s">
        <v>7</v>
      </c>
      <c r="JU795" s="27" t="s">
        <v>8</v>
      </c>
      <c r="JV795" s="27" t="s">
        <v>7</v>
      </c>
      <c r="JW795" s="27" t="s">
        <v>8</v>
      </c>
      <c r="MJ795" s="27" t="s">
        <v>7</v>
      </c>
      <c r="MK795" s="27" t="s">
        <v>8</v>
      </c>
      <c r="MX795" s="27" t="s">
        <v>7</v>
      </c>
    </row>
    <row r="796" spans="1:444" x14ac:dyDescent="0.25">
      <c r="A796" s="7">
        <v>1.5942781784157655E-2</v>
      </c>
      <c r="B796"/>
      <c r="C796"/>
      <c r="D796"/>
      <c r="E796"/>
      <c r="F796" s="27" t="s">
        <v>7</v>
      </c>
      <c r="I796" s="27" t="s">
        <v>8</v>
      </c>
      <c r="J796" s="27" t="s">
        <v>7</v>
      </c>
      <c r="K796" s="27" t="s">
        <v>8</v>
      </c>
      <c r="JM796" s="27" t="s">
        <v>8</v>
      </c>
      <c r="JP796" s="27" t="s">
        <v>7</v>
      </c>
      <c r="JQ796" s="27" t="s">
        <v>8</v>
      </c>
      <c r="JR796" s="27" t="s">
        <v>7</v>
      </c>
      <c r="JS796" s="27" t="s">
        <v>8</v>
      </c>
      <c r="JT796" s="27" t="s">
        <v>7</v>
      </c>
      <c r="JU796" s="27" t="s">
        <v>8</v>
      </c>
      <c r="JV796" s="27" t="s">
        <v>7</v>
      </c>
      <c r="MJ796" s="27" t="s">
        <v>7</v>
      </c>
      <c r="MK796" s="27" t="s">
        <v>8</v>
      </c>
    </row>
    <row r="797" spans="1:444" x14ac:dyDescent="0.25">
      <c r="A797" s="7">
        <v>1.5630178219762408E-2</v>
      </c>
      <c r="B797"/>
      <c r="C797"/>
      <c r="D797"/>
      <c r="E797"/>
      <c r="F797" s="27" t="s">
        <v>7</v>
      </c>
      <c r="I797" s="27" t="s">
        <v>8</v>
      </c>
      <c r="J797" s="27" t="s">
        <v>7</v>
      </c>
      <c r="K797" s="27" t="s">
        <v>8</v>
      </c>
      <c r="L797" s="27" t="s">
        <v>7</v>
      </c>
      <c r="JM797" s="27" t="s">
        <v>8</v>
      </c>
      <c r="JP797" s="27" t="s">
        <v>7</v>
      </c>
      <c r="JQ797" s="27" t="s">
        <v>8</v>
      </c>
      <c r="JR797" s="27" t="s">
        <v>7</v>
      </c>
      <c r="JS797" s="27" t="s">
        <v>8</v>
      </c>
      <c r="JT797" s="27" t="s">
        <v>7</v>
      </c>
      <c r="JU797" s="27" t="s">
        <v>8</v>
      </c>
      <c r="MJ797" s="27" t="s">
        <v>7</v>
      </c>
      <c r="MK797" s="27" t="s">
        <v>8</v>
      </c>
    </row>
    <row r="798" spans="1:444" x14ac:dyDescent="0.25">
      <c r="A798" s="7">
        <v>1.5323704137021967E-2</v>
      </c>
      <c r="B798"/>
      <c r="C798"/>
      <c r="D798"/>
      <c r="E798"/>
      <c r="F798" s="27" t="s">
        <v>7</v>
      </c>
      <c r="I798" s="27" t="s">
        <v>8</v>
      </c>
      <c r="J798" s="27" t="s">
        <v>7</v>
      </c>
      <c r="K798" s="27" t="s">
        <v>8</v>
      </c>
      <c r="L798" s="27" t="s">
        <v>7</v>
      </c>
      <c r="AC798" s="27" t="s">
        <v>8</v>
      </c>
      <c r="JM798" s="27" t="s">
        <v>8</v>
      </c>
      <c r="JP798" s="27" t="s">
        <v>7</v>
      </c>
      <c r="JQ798" s="27" t="s">
        <v>8</v>
      </c>
      <c r="JR798" s="27" t="s">
        <v>7</v>
      </c>
      <c r="JT798" s="27" t="s">
        <v>7</v>
      </c>
      <c r="MJ798" s="27" t="s">
        <v>7</v>
      </c>
      <c r="MK798" s="27" t="s">
        <v>8</v>
      </c>
    </row>
    <row r="799" spans="1:444" x14ac:dyDescent="0.25">
      <c r="A799" s="7">
        <v>1.5023239350021535E-2</v>
      </c>
      <c r="B799"/>
      <c r="C799"/>
      <c r="D799"/>
      <c r="E799"/>
      <c r="F799" s="27" t="s">
        <v>7</v>
      </c>
      <c r="I799" s="27" t="s">
        <v>8</v>
      </c>
      <c r="J799" s="27" t="s">
        <v>7</v>
      </c>
      <c r="K799" s="27" t="s">
        <v>8</v>
      </c>
      <c r="L799" s="27" t="s">
        <v>7</v>
      </c>
      <c r="AC799" s="27" t="s">
        <v>8</v>
      </c>
      <c r="AD799" s="27" t="s">
        <v>7</v>
      </c>
      <c r="AS799" s="27" t="s">
        <v>8</v>
      </c>
      <c r="JM799" s="27" t="s">
        <v>8</v>
      </c>
      <c r="JP799" s="27" t="s">
        <v>7</v>
      </c>
      <c r="JQ799" s="27" t="s">
        <v>8</v>
      </c>
      <c r="MJ799" s="27" t="s">
        <v>7</v>
      </c>
      <c r="MK799" s="27" t="s">
        <v>8</v>
      </c>
    </row>
    <row r="800" spans="1:444" x14ac:dyDescent="0.25">
      <c r="A800" s="7">
        <v>1.4728666029432878E-2</v>
      </c>
      <c r="B800"/>
      <c r="C800"/>
      <c r="D800"/>
      <c r="E800"/>
      <c r="F800" s="27" t="s">
        <v>7</v>
      </c>
      <c r="I800" s="27" t="s">
        <v>8</v>
      </c>
      <c r="J800" s="27" t="s">
        <v>7</v>
      </c>
      <c r="K800" s="27" t="s">
        <v>8</v>
      </c>
      <c r="L800" s="27" t="s">
        <v>7</v>
      </c>
      <c r="AC800" s="27" t="s">
        <v>8</v>
      </c>
      <c r="AD800" s="27" t="s">
        <v>7</v>
      </c>
      <c r="AS800" s="27" t="s">
        <v>8</v>
      </c>
      <c r="AT800" s="27" t="s">
        <v>7</v>
      </c>
      <c r="JM800" s="27" t="s">
        <v>8</v>
      </c>
      <c r="JP800" s="27" t="s">
        <v>7</v>
      </c>
      <c r="JQ800" s="27" t="s">
        <v>8</v>
      </c>
      <c r="MJ800" s="27" t="s">
        <v>7</v>
      </c>
      <c r="MK800" s="27" t="s">
        <v>8</v>
      </c>
    </row>
    <row r="801" spans="1:348" x14ac:dyDescent="0.25">
      <c r="A801" s="7">
        <v>1.4439868656306743E-2</v>
      </c>
      <c r="B801"/>
      <c r="C801"/>
      <c r="D801"/>
      <c r="E801"/>
      <c r="F801" s="27" t="s">
        <v>7</v>
      </c>
      <c r="I801" s="27" t="s">
        <v>8</v>
      </c>
      <c r="J801" s="27" t="s">
        <v>7</v>
      </c>
      <c r="L801" s="27" t="s">
        <v>7</v>
      </c>
      <c r="AC801" s="27" t="s">
        <v>8</v>
      </c>
      <c r="AD801" s="27" t="s">
        <v>7</v>
      </c>
      <c r="AI801" s="27" t="s">
        <v>8</v>
      </c>
      <c r="AS801" s="27" t="s">
        <v>8</v>
      </c>
      <c r="AT801" s="27" t="s">
        <v>7</v>
      </c>
      <c r="AY801" s="27" t="s">
        <v>8</v>
      </c>
      <c r="JM801" s="27" t="s">
        <v>8</v>
      </c>
      <c r="JP801" s="27" t="s">
        <v>7</v>
      </c>
      <c r="JQ801" s="27" t="s">
        <v>8</v>
      </c>
      <c r="MJ801" s="27" t="s">
        <v>7</v>
      </c>
    </row>
    <row r="802" spans="1:348" x14ac:dyDescent="0.25">
      <c r="A802" s="7">
        <v>1.4156733976771318E-2</v>
      </c>
      <c r="B802"/>
      <c r="C802"/>
      <c r="D802"/>
      <c r="E802"/>
      <c r="F802" s="27" t="s">
        <v>7</v>
      </c>
      <c r="I802" s="27" t="s">
        <v>8</v>
      </c>
      <c r="L802" s="27" t="s">
        <v>7</v>
      </c>
      <c r="Q802" s="27" t="s">
        <v>8</v>
      </c>
      <c r="AA802" s="27" t="s">
        <v>8</v>
      </c>
      <c r="AC802" s="27" t="s">
        <v>8</v>
      </c>
      <c r="AD802" s="27" t="s">
        <v>7</v>
      </c>
      <c r="AI802" s="27" t="s">
        <v>8</v>
      </c>
      <c r="AJ802" s="27" t="s">
        <v>7</v>
      </c>
      <c r="AS802" s="27" t="s">
        <v>8</v>
      </c>
      <c r="AT802" s="27" t="s">
        <v>7</v>
      </c>
      <c r="AY802" s="27" t="s">
        <v>8</v>
      </c>
      <c r="AZ802" s="27" t="s">
        <v>7</v>
      </c>
      <c r="JM802" s="27" t="s">
        <v>8</v>
      </c>
      <c r="JP802" s="27" t="s">
        <v>7</v>
      </c>
      <c r="JQ802" s="27" t="s">
        <v>8</v>
      </c>
    </row>
    <row r="803" spans="1:348" x14ac:dyDescent="0.25">
      <c r="A803" s="7">
        <v>1.3879150957618939E-2</v>
      </c>
      <c r="B803"/>
      <c r="C803"/>
      <c r="D803"/>
      <c r="E803"/>
      <c r="F803" s="27" t="s">
        <v>7</v>
      </c>
      <c r="I803" s="27" t="s">
        <v>8</v>
      </c>
      <c r="L803" s="27" t="s">
        <v>7</v>
      </c>
      <c r="M803" s="27" t="s">
        <v>8</v>
      </c>
      <c r="Q803" s="27" t="s">
        <v>8</v>
      </c>
      <c r="R803" s="27" t="s">
        <v>7</v>
      </c>
      <c r="AA803" s="27" t="s">
        <v>8</v>
      </c>
      <c r="AB803" s="27" t="s">
        <v>7</v>
      </c>
      <c r="AC803" s="27" t="s">
        <v>8</v>
      </c>
      <c r="AD803" s="27" t="s">
        <v>7</v>
      </c>
      <c r="AI803" s="27" t="s">
        <v>8</v>
      </c>
      <c r="AJ803" s="27" t="s">
        <v>7</v>
      </c>
      <c r="AS803" s="27" t="s">
        <v>8</v>
      </c>
      <c r="AT803" s="27" t="s">
        <v>7</v>
      </c>
      <c r="AU803" s="27" t="s">
        <v>8</v>
      </c>
      <c r="AY803" s="27" t="s">
        <v>8</v>
      </c>
      <c r="AZ803" s="27" t="s">
        <v>7</v>
      </c>
      <c r="JM803" s="27" t="s">
        <v>8</v>
      </c>
      <c r="JP803" s="27" t="s">
        <v>7</v>
      </c>
      <c r="JQ803" s="27" t="s">
        <v>8</v>
      </c>
    </row>
    <row r="804" spans="1:348" x14ac:dyDescent="0.25">
      <c r="A804" s="7">
        <v>1.3607010742763666E-2</v>
      </c>
      <c r="B804"/>
      <c r="C804"/>
      <c r="D804"/>
      <c r="E804"/>
      <c r="F804" s="27" t="s">
        <v>7</v>
      </c>
      <c r="I804" s="27" t="s">
        <v>8</v>
      </c>
      <c r="L804" s="27" t="s">
        <v>7</v>
      </c>
      <c r="M804" s="27" t="s">
        <v>8</v>
      </c>
      <c r="N804" s="27" t="s">
        <v>7</v>
      </c>
      <c r="Q804" s="27" t="s">
        <v>8</v>
      </c>
      <c r="R804" s="27" t="s">
        <v>7</v>
      </c>
      <c r="AA804" s="27" t="s">
        <v>8</v>
      </c>
      <c r="AB804" s="27" t="s">
        <v>7</v>
      </c>
      <c r="AC804" s="27" t="s">
        <v>8</v>
      </c>
      <c r="AD804" s="27" t="s">
        <v>7</v>
      </c>
      <c r="AI804" s="27" t="s">
        <v>8</v>
      </c>
      <c r="AJ804" s="27" t="s">
        <v>7</v>
      </c>
      <c r="AS804" s="27" t="s">
        <v>8</v>
      </c>
      <c r="AT804" s="27" t="s">
        <v>7</v>
      </c>
      <c r="AU804" s="27" t="s">
        <v>8</v>
      </c>
      <c r="AV804" s="27" t="s">
        <v>7</v>
      </c>
      <c r="AY804" s="27" t="s">
        <v>8</v>
      </c>
      <c r="AZ804" s="27" t="s">
        <v>7</v>
      </c>
      <c r="BA804" s="27" t="s">
        <v>8</v>
      </c>
      <c r="JM804" s="27" t="s">
        <v>8</v>
      </c>
      <c r="JP804" s="27" t="s">
        <v>7</v>
      </c>
      <c r="JQ804" s="27" t="s">
        <v>8</v>
      </c>
    </row>
    <row r="805" spans="1:348" x14ac:dyDescent="0.25">
      <c r="A805" s="7">
        <v>1.3340206610552614E-2</v>
      </c>
      <c r="B805"/>
      <c r="C805"/>
      <c r="D805"/>
      <c r="E805"/>
      <c r="F805" s="27" t="s">
        <v>7</v>
      </c>
      <c r="I805" s="27" t="s">
        <v>8</v>
      </c>
      <c r="L805" s="27" t="s">
        <v>7</v>
      </c>
      <c r="M805" s="27" t="s">
        <v>8</v>
      </c>
      <c r="N805" s="27" t="s">
        <v>7</v>
      </c>
      <c r="Q805" s="27" t="s">
        <v>8</v>
      </c>
      <c r="R805" s="27" t="s">
        <v>7</v>
      </c>
      <c r="AA805" s="27" t="s">
        <v>8</v>
      </c>
      <c r="AB805" s="27" t="s">
        <v>7</v>
      </c>
      <c r="AC805" s="27" t="s">
        <v>8</v>
      </c>
      <c r="AD805" s="27" t="s">
        <v>7</v>
      </c>
      <c r="AI805" s="27" t="s">
        <v>8</v>
      </c>
      <c r="AJ805" s="27" t="s">
        <v>7</v>
      </c>
      <c r="AQ805" s="27" t="s">
        <v>8</v>
      </c>
      <c r="AS805" s="27" t="s">
        <v>8</v>
      </c>
      <c r="AT805" s="27" t="s">
        <v>7</v>
      </c>
      <c r="AU805" s="27" t="s">
        <v>8</v>
      </c>
      <c r="AV805" s="27" t="s">
        <v>7</v>
      </c>
      <c r="AY805" s="27" t="s">
        <v>8</v>
      </c>
      <c r="AZ805" s="27" t="s">
        <v>7</v>
      </c>
      <c r="BA805" s="27" t="s">
        <v>8</v>
      </c>
      <c r="BB805" s="27" t="s">
        <v>7</v>
      </c>
      <c r="JK805" s="27" t="s">
        <v>8</v>
      </c>
      <c r="JM805" s="27" t="s">
        <v>8</v>
      </c>
      <c r="JP805" s="27" t="s">
        <v>7</v>
      </c>
      <c r="JQ805" s="27" t="s">
        <v>8</v>
      </c>
    </row>
    <row r="806" spans="1:348" x14ac:dyDescent="0.25">
      <c r="A806" s="7">
        <v>1.3078633931914328E-2</v>
      </c>
      <c r="B806"/>
      <c r="C806"/>
      <c r="D806"/>
      <c r="E806"/>
      <c r="F806" s="27" t="s">
        <v>7</v>
      </c>
      <c r="I806" s="27" t="s">
        <v>8</v>
      </c>
      <c r="L806" s="27" t="s">
        <v>7</v>
      </c>
      <c r="M806" s="27" t="s">
        <v>8</v>
      </c>
      <c r="N806" s="27" t="s">
        <v>7</v>
      </c>
      <c r="O806" s="27" t="s">
        <v>8</v>
      </c>
      <c r="Q806" s="27" t="s">
        <v>8</v>
      </c>
      <c r="R806" s="27" t="s">
        <v>7</v>
      </c>
      <c r="AA806" s="27" t="s">
        <v>8</v>
      </c>
      <c r="AB806" s="27" t="s">
        <v>7</v>
      </c>
      <c r="AC806" s="27" t="s">
        <v>8</v>
      </c>
      <c r="AD806" s="27" t="s">
        <v>7</v>
      </c>
      <c r="AG806" s="27" t="s">
        <v>8</v>
      </c>
      <c r="AI806" s="27" t="s">
        <v>8</v>
      </c>
      <c r="AJ806" s="27" t="s">
        <v>7</v>
      </c>
      <c r="AQ806" s="27" t="s">
        <v>8</v>
      </c>
      <c r="AR806" s="27" t="s">
        <v>7</v>
      </c>
      <c r="AS806" s="27" t="s">
        <v>8</v>
      </c>
      <c r="AT806" s="27" t="s">
        <v>7</v>
      </c>
      <c r="AU806" s="27" t="s">
        <v>8</v>
      </c>
      <c r="AV806" s="27" t="s">
        <v>7</v>
      </c>
      <c r="AY806" s="27" t="s">
        <v>8</v>
      </c>
      <c r="AZ806" s="27" t="s">
        <v>7</v>
      </c>
      <c r="BA806" s="27" t="s">
        <v>8</v>
      </c>
      <c r="BB806" s="27" t="s">
        <v>7</v>
      </c>
      <c r="JK806" s="27" t="s">
        <v>8</v>
      </c>
      <c r="JL806" s="27" t="s">
        <v>7</v>
      </c>
      <c r="JM806" s="27" t="s">
        <v>8</v>
      </c>
      <c r="JP806" s="27" t="s">
        <v>7</v>
      </c>
    </row>
    <row r="807" spans="1:348" x14ac:dyDescent="0.25">
      <c r="A807" s="7">
        <v>1.2822190129327771E-2</v>
      </c>
      <c r="B807"/>
      <c r="C807"/>
      <c r="D807"/>
      <c r="E807"/>
      <c r="F807" s="27" t="s">
        <v>7</v>
      </c>
      <c r="I807" s="27" t="s">
        <v>8</v>
      </c>
      <c r="L807" s="27" t="s">
        <v>7</v>
      </c>
      <c r="M807" s="27" t="s">
        <v>8</v>
      </c>
      <c r="N807" s="27" t="s">
        <v>7</v>
      </c>
      <c r="O807" s="27" t="s">
        <v>8</v>
      </c>
      <c r="P807" s="27" t="s">
        <v>7</v>
      </c>
      <c r="Q807" s="27" t="s">
        <v>8</v>
      </c>
      <c r="R807" s="27" t="s">
        <v>7</v>
      </c>
      <c r="AA807" s="27" t="s">
        <v>8</v>
      </c>
      <c r="AB807" s="27" t="s">
        <v>7</v>
      </c>
      <c r="AC807" s="27" t="s">
        <v>8</v>
      </c>
      <c r="AD807" s="27" t="s">
        <v>7</v>
      </c>
      <c r="AG807" s="27" t="s">
        <v>8</v>
      </c>
      <c r="AH807" s="27" t="s">
        <v>7</v>
      </c>
      <c r="AI807" s="27" t="s">
        <v>8</v>
      </c>
      <c r="AJ807" s="27" t="s">
        <v>7</v>
      </c>
      <c r="AQ807" s="27" t="s">
        <v>8</v>
      </c>
      <c r="AR807" s="27" t="s">
        <v>7</v>
      </c>
      <c r="AS807" s="27" t="s">
        <v>8</v>
      </c>
      <c r="AT807" s="27" t="s">
        <v>7</v>
      </c>
      <c r="AU807" s="27" t="s">
        <v>8</v>
      </c>
      <c r="AV807" s="27" t="s">
        <v>7</v>
      </c>
      <c r="AW807" s="27" t="s">
        <v>8</v>
      </c>
      <c r="AY807" s="27" t="s">
        <v>8</v>
      </c>
      <c r="AZ807" s="27" t="s">
        <v>7</v>
      </c>
      <c r="BB807" s="27" t="s">
        <v>7</v>
      </c>
      <c r="JK807" s="27" t="s">
        <v>8</v>
      </c>
      <c r="JL807" s="27" t="s">
        <v>7</v>
      </c>
      <c r="JM807" s="27" t="s">
        <v>8</v>
      </c>
    </row>
    <row r="808" spans="1:348" x14ac:dyDescent="0.25">
      <c r="A808" s="7">
        <v>1.2570774636595854E-2</v>
      </c>
      <c r="B808"/>
      <c r="C808"/>
      <c r="D808"/>
      <c r="E808"/>
      <c r="F808" s="27" t="s">
        <v>7</v>
      </c>
      <c r="I808" s="27" t="s">
        <v>8</v>
      </c>
      <c r="L808" s="27" t="s">
        <v>7</v>
      </c>
      <c r="M808" s="27" t="s">
        <v>8</v>
      </c>
      <c r="N808" s="27" t="s">
        <v>7</v>
      </c>
      <c r="O808" s="27" t="s">
        <v>8</v>
      </c>
      <c r="P808" s="27" t="s">
        <v>7</v>
      </c>
      <c r="Q808" s="27" t="s">
        <v>8</v>
      </c>
      <c r="R808" s="27" t="s">
        <v>7</v>
      </c>
      <c r="AA808" s="27" t="s">
        <v>8</v>
      </c>
      <c r="AB808" s="27" t="s">
        <v>7</v>
      </c>
      <c r="AD808" s="27" t="s">
        <v>7</v>
      </c>
      <c r="AE808" s="27" t="s">
        <v>8</v>
      </c>
      <c r="AG808" s="27" t="s">
        <v>8</v>
      </c>
      <c r="AH808" s="27" t="s">
        <v>7</v>
      </c>
      <c r="AI808" s="27" t="s">
        <v>8</v>
      </c>
      <c r="AJ808" s="27" t="s">
        <v>7</v>
      </c>
      <c r="AQ808" s="27" t="s">
        <v>8</v>
      </c>
      <c r="AR808" s="27" t="s">
        <v>7</v>
      </c>
      <c r="AS808" s="27" t="s">
        <v>8</v>
      </c>
      <c r="AT808" s="27" t="s">
        <v>7</v>
      </c>
      <c r="AU808" s="27" t="s">
        <v>8</v>
      </c>
      <c r="AV808" s="27" t="s">
        <v>7</v>
      </c>
      <c r="AW808" s="27" t="s">
        <v>8</v>
      </c>
      <c r="AX808" s="27" t="s">
        <v>7</v>
      </c>
      <c r="AY808" s="27" t="s">
        <v>8</v>
      </c>
      <c r="BB808" s="27" t="s">
        <v>7</v>
      </c>
      <c r="JK808" s="27" t="s">
        <v>8</v>
      </c>
      <c r="JL808" s="27" t="s">
        <v>7</v>
      </c>
      <c r="JM808" s="27" t="s">
        <v>8</v>
      </c>
    </row>
    <row r="809" spans="1:348" x14ac:dyDescent="0.25">
      <c r="A809" s="7">
        <v>1.23242888594077E-2</v>
      </c>
      <c r="B809"/>
      <c r="C809"/>
      <c r="D809"/>
      <c r="E809"/>
      <c r="F809" s="27" t="s">
        <v>7</v>
      </c>
      <c r="I809" s="27" t="s">
        <v>8</v>
      </c>
      <c r="L809" s="27" t="s">
        <v>7</v>
      </c>
      <c r="N809" s="27" t="s">
        <v>7</v>
      </c>
      <c r="P809" s="27" t="s">
        <v>7</v>
      </c>
      <c r="R809" s="27" t="s">
        <v>7</v>
      </c>
      <c r="AA809" s="27" t="s">
        <v>8</v>
      </c>
      <c r="AD809" s="27" t="s">
        <v>7</v>
      </c>
      <c r="AE809" s="27" t="s">
        <v>8</v>
      </c>
      <c r="AF809" s="27" t="s">
        <v>7</v>
      </c>
      <c r="AG809" s="27" t="s">
        <v>8</v>
      </c>
      <c r="AH809" s="27" t="s">
        <v>7</v>
      </c>
      <c r="AI809" s="27" t="s">
        <v>8</v>
      </c>
      <c r="AJ809" s="27" t="s">
        <v>7</v>
      </c>
      <c r="AQ809" s="27" t="s">
        <v>8</v>
      </c>
      <c r="AR809" s="27" t="s">
        <v>7</v>
      </c>
      <c r="AS809" s="27" t="s">
        <v>8</v>
      </c>
      <c r="AT809" s="27" t="s">
        <v>7</v>
      </c>
      <c r="AU809" s="27" t="s">
        <v>8</v>
      </c>
      <c r="AV809" s="27" t="s">
        <v>7</v>
      </c>
      <c r="AW809" s="27" t="s">
        <v>8</v>
      </c>
      <c r="AX809" s="27" t="s">
        <v>7</v>
      </c>
      <c r="AY809" s="27" t="s">
        <v>8</v>
      </c>
      <c r="BB809" s="27" t="s">
        <v>7</v>
      </c>
      <c r="JK809" s="27" t="s">
        <v>8</v>
      </c>
      <c r="JL809" s="27" t="s">
        <v>7</v>
      </c>
      <c r="JM809" s="27" t="s">
        <v>8</v>
      </c>
    </row>
    <row r="810" spans="1:348" x14ac:dyDescent="0.25">
      <c r="A810" s="7">
        <v>1.2082636136674216E-2</v>
      </c>
      <c r="B810"/>
      <c r="C810"/>
      <c r="D810"/>
      <c r="E810"/>
      <c r="F810" s="27" t="s">
        <v>7</v>
      </c>
      <c r="I810" s="27" t="s">
        <v>8</v>
      </c>
      <c r="R810" s="27" t="s">
        <v>7</v>
      </c>
      <c r="Y810" s="27" t="s">
        <v>8</v>
      </c>
      <c r="AA810" s="27" t="s">
        <v>8</v>
      </c>
      <c r="AD810" s="27" t="s">
        <v>7</v>
      </c>
      <c r="AE810" s="27" t="s">
        <v>8</v>
      </c>
      <c r="AF810" s="27" t="s">
        <v>7</v>
      </c>
      <c r="AG810" s="27" t="s">
        <v>8</v>
      </c>
      <c r="AH810" s="27" t="s">
        <v>7</v>
      </c>
      <c r="AI810" s="27" t="s">
        <v>8</v>
      </c>
      <c r="AJ810" s="27" t="s">
        <v>7</v>
      </c>
      <c r="AO810" s="27" t="s">
        <v>8</v>
      </c>
      <c r="AQ810" s="27" t="s">
        <v>8</v>
      </c>
      <c r="AR810" s="27" t="s">
        <v>7</v>
      </c>
      <c r="AS810" s="27" t="s">
        <v>8</v>
      </c>
      <c r="AT810" s="27" t="s">
        <v>7</v>
      </c>
      <c r="AU810" s="27" t="s">
        <v>8</v>
      </c>
      <c r="AV810" s="27" t="s">
        <v>7</v>
      </c>
      <c r="AW810" s="27" t="s">
        <v>8</v>
      </c>
      <c r="AX810" s="27" t="s">
        <v>7</v>
      </c>
      <c r="BB810" s="27" t="s">
        <v>7</v>
      </c>
      <c r="JK810" s="27" t="s">
        <v>8</v>
      </c>
      <c r="JL810" s="27" t="s">
        <v>7</v>
      </c>
      <c r="JM810" s="27" t="s">
        <v>8</v>
      </c>
    </row>
    <row r="811" spans="1:348" x14ac:dyDescent="0.25">
      <c r="A811" s="7">
        <v>1.184572170262178E-2</v>
      </c>
      <c r="B811"/>
      <c r="C811"/>
      <c r="D811"/>
      <c r="E811"/>
      <c r="F811" s="27" t="s">
        <v>7</v>
      </c>
      <c r="I811" s="27" t="s">
        <v>8</v>
      </c>
      <c r="R811" s="27" t="s">
        <v>7</v>
      </c>
      <c r="S811" s="27" t="s">
        <v>8</v>
      </c>
      <c r="U811" s="27" t="s">
        <v>8</v>
      </c>
      <c r="Y811" s="27" t="s">
        <v>8</v>
      </c>
      <c r="Z811" s="27" t="s">
        <v>7</v>
      </c>
      <c r="AA811" s="27" t="s">
        <v>8</v>
      </c>
      <c r="AD811" s="27" t="s">
        <v>7</v>
      </c>
      <c r="AE811" s="27" t="s">
        <v>8</v>
      </c>
      <c r="AF811" s="27" t="s">
        <v>7</v>
      </c>
      <c r="AH811" s="27" t="s">
        <v>7</v>
      </c>
      <c r="AI811" s="27" t="s">
        <v>8</v>
      </c>
      <c r="AJ811" s="27" t="s">
        <v>7</v>
      </c>
      <c r="AM811" s="27" t="s">
        <v>8</v>
      </c>
      <c r="AO811" s="27" t="s">
        <v>8</v>
      </c>
      <c r="AP811" s="27" t="s">
        <v>7</v>
      </c>
      <c r="AQ811" s="27" t="s">
        <v>8</v>
      </c>
      <c r="AR811" s="27" t="s">
        <v>7</v>
      </c>
      <c r="AS811" s="27" t="s">
        <v>8</v>
      </c>
      <c r="AT811" s="27" t="s">
        <v>7</v>
      </c>
      <c r="AV811" s="27" t="s">
        <v>7</v>
      </c>
      <c r="BB811" s="27" t="s">
        <v>7</v>
      </c>
      <c r="JK811" s="27" t="s">
        <v>8</v>
      </c>
      <c r="JL811" s="27" t="s">
        <v>7</v>
      </c>
      <c r="JM811" s="27" t="s">
        <v>8</v>
      </c>
    </row>
    <row r="812" spans="1:348" x14ac:dyDescent="0.25">
      <c r="A812" s="7">
        <v>1.1613452649629196E-2</v>
      </c>
      <c r="B812"/>
      <c r="C812"/>
      <c r="D812"/>
      <c r="E812"/>
      <c r="F812" s="27" t="s">
        <v>7</v>
      </c>
      <c r="I812" s="27" t="s">
        <v>8</v>
      </c>
      <c r="R812" s="27" t="s">
        <v>7</v>
      </c>
      <c r="S812" s="27" t="s">
        <v>8</v>
      </c>
      <c r="T812" s="27" t="s">
        <v>7</v>
      </c>
      <c r="U812" s="27" t="s">
        <v>8</v>
      </c>
      <c r="V812" s="27" t="s">
        <v>7</v>
      </c>
      <c r="Y812" s="27" t="s">
        <v>8</v>
      </c>
      <c r="Z812" s="27" t="s">
        <v>7</v>
      </c>
      <c r="AA812" s="27" t="s">
        <v>8</v>
      </c>
      <c r="AD812" s="27" t="s">
        <v>7</v>
      </c>
      <c r="AE812" s="27" t="s">
        <v>8</v>
      </c>
      <c r="AH812" s="27" t="s">
        <v>7</v>
      </c>
      <c r="AI812" s="27" t="s">
        <v>8</v>
      </c>
      <c r="AJ812" s="27" t="s">
        <v>7</v>
      </c>
      <c r="AM812" s="27" t="s">
        <v>8</v>
      </c>
      <c r="AN812" s="27" t="s">
        <v>7</v>
      </c>
      <c r="AO812" s="27" t="s">
        <v>8</v>
      </c>
      <c r="AP812" s="27" t="s">
        <v>7</v>
      </c>
      <c r="AQ812" s="27" t="s">
        <v>8</v>
      </c>
      <c r="AR812" s="27" t="s">
        <v>7</v>
      </c>
      <c r="AS812" s="27" t="s">
        <v>8</v>
      </c>
      <c r="BB812" s="27" t="s">
        <v>7</v>
      </c>
      <c r="BK812" s="27" t="s">
        <v>8</v>
      </c>
      <c r="JK812" s="27" t="s">
        <v>8</v>
      </c>
      <c r="JL812" s="27" t="s">
        <v>7</v>
      </c>
      <c r="JM812" s="27" t="s">
        <v>8</v>
      </c>
    </row>
    <row r="813" spans="1:348" x14ac:dyDescent="0.25">
      <c r="A813" s="7">
        <v>1.138573789179333E-2</v>
      </c>
      <c r="B813"/>
      <c r="C813"/>
      <c r="D813"/>
      <c r="E813"/>
      <c r="F813" s="27" t="s">
        <v>7</v>
      </c>
      <c r="I813" s="27" t="s">
        <v>8</v>
      </c>
      <c r="R813" s="27" t="s">
        <v>7</v>
      </c>
      <c r="S813" s="27" t="s">
        <v>8</v>
      </c>
      <c r="T813" s="27" t="s">
        <v>7</v>
      </c>
      <c r="U813" s="27" t="s">
        <v>8</v>
      </c>
      <c r="V813" s="27" t="s">
        <v>7</v>
      </c>
      <c r="Y813" s="27" t="s">
        <v>8</v>
      </c>
      <c r="Z813" s="27" t="s">
        <v>7</v>
      </c>
      <c r="AA813" s="27" t="s">
        <v>8</v>
      </c>
      <c r="AD813" s="27" t="s">
        <v>7</v>
      </c>
      <c r="AH813" s="27" t="s">
        <v>7</v>
      </c>
      <c r="AI813" s="27" t="s">
        <v>8</v>
      </c>
      <c r="AJ813" s="27" t="s">
        <v>7</v>
      </c>
      <c r="AK813" s="27" t="s">
        <v>8</v>
      </c>
      <c r="AM813" s="27" t="s">
        <v>8</v>
      </c>
      <c r="AN813" s="27" t="s">
        <v>7</v>
      </c>
      <c r="AO813" s="27" t="s">
        <v>8</v>
      </c>
      <c r="AP813" s="27" t="s">
        <v>7</v>
      </c>
      <c r="AQ813" s="27" t="s">
        <v>8</v>
      </c>
      <c r="AR813" s="27" t="s">
        <v>7</v>
      </c>
      <c r="BB813" s="27" t="s">
        <v>7</v>
      </c>
      <c r="BK813" s="27" t="s">
        <v>8</v>
      </c>
      <c r="BL813" s="27" t="s">
        <v>7</v>
      </c>
      <c r="JK813" s="27" t="s">
        <v>8</v>
      </c>
      <c r="JL813" s="27" t="s">
        <v>7</v>
      </c>
      <c r="JM813" s="27" t="s">
        <v>8</v>
      </c>
    </row>
    <row r="814" spans="1:348" x14ac:dyDescent="0.25">
      <c r="A814" s="7">
        <v>1.1162488129209149E-2</v>
      </c>
      <c r="B814"/>
      <c r="C814"/>
      <c r="D814"/>
      <c r="E814"/>
      <c r="F814" s="27" t="s">
        <v>7</v>
      </c>
      <c r="I814" s="27" t="s">
        <v>8</v>
      </c>
      <c r="R814" s="27" t="s">
        <v>7</v>
      </c>
      <c r="S814" s="27" t="s">
        <v>8</v>
      </c>
      <c r="T814" s="27" t="s">
        <v>7</v>
      </c>
      <c r="U814" s="27" t="s">
        <v>8</v>
      </c>
      <c r="V814" s="27" t="s">
        <v>7</v>
      </c>
      <c r="W814" s="27" t="s">
        <v>8</v>
      </c>
      <c r="Y814" s="27" t="s">
        <v>8</v>
      </c>
      <c r="Z814" s="27" t="s">
        <v>7</v>
      </c>
      <c r="AA814" s="27" t="s">
        <v>8</v>
      </c>
      <c r="AH814" s="27" t="s">
        <v>7</v>
      </c>
      <c r="AJ814" s="27" t="s">
        <v>7</v>
      </c>
      <c r="AK814" s="27" t="s">
        <v>8</v>
      </c>
      <c r="AL814" s="27" t="s">
        <v>7</v>
      </c>
      <c r="AM814" s="27" t="s">
        <v>8</v>
      </c>
      <c r="AN814" s="27" t="s">
        <v>7</v>
      </c>
      <c r="AO814" s="27" t="s">
        <v>8</v>
      </c>
      <c r="AP814" s="27" t="s">
        <v>7</v>
      </c>
      <c r="BB814" s="27" t="s">
        <v>7</v>
      </c>
      <c r="BK814" s="27" t="s">
        <v>8</v>
      </c>
      <c r="BL814" s="27" t="s">
        <v>7</v>
      </c>
      <c r="JK814" s="27" t="s">
        <v>8</v>
      </c>
      <c r="JL814" s="27" t="s">
        <v>7</v>
      </c>
      <c r="JM814" s="27" t="s">
        <v>8</v>
      </c>
    </row>
    <row r="815" spans="1:348" x14ac:dyDescent="0.25">
      <c r="A815" s="7">
        <v>1.0943615812950145E-2</v>
      </c>
      <c r="B815"/>
      <c r="C815"/>
      <c r="D815"/>
      <c r="E815"/>
      <c r="F815" s="27" t="s">
        <v>7</v>
      </c>
      <c r="I815" s="27" t="s">
        <v>8</v>
      </c>
      <c r="R815" s="27" t="s">
        <v>7</v>
      </c>
      <c r="S815" s="27" t="s">
        <v>8</v>
      </c>
      <c r="T815" s="27" t="s">
        <v>7</v>
      </c>
      <c r="U815" s="27" t="s">
        <v>8</v>
      </c>
      <c r="V815" s="27" t="s">
        <v>7</v>
      </c>
      <c r="W815" s="27" t="s">
        <v>8</v>
      </c>
      <c r="X815" s="27" t="s">
        <v>7</v>
      </c>
      <c r="Y815" s="27" t="s">
        <v>8</v>
      </c>
      <c r="Z815" s="27" t="s">
        <v>7</v>
      </c>
      <c r="AA815" s="27" t="s">
        <v>8</v>
      </c>
      <c r="AJ815" s="27" t="s">
        <v>7</v>
      </c>
      <c r="AK815" s="27" t="s">
        <v>8</v>
      </c>
      <c r="AL815" s="27" t="s">
        <v>7</v>
      </c>
      <c r="AM815" s="27" t="s">
        <v>8</v>
      </c>
      <c r="AN815" s="27" t="s">
        <v>7</v>
      </c>
      <c r="AO815" s="27" t="s">
        <v>8</v>
      </c>
      <c r="BB815" s="27" t="s">
        <v>7</v>
      </c>
      <c r="BK815" s="27" t="s">
        <v>8</v>
      </c>
      <c r="BL815" s="27" t="s">
        <v>7</v>
      </c>
      <c r="JK815" s="27" t="s">
        <v>8</v>
      </c>
      <c r="JL815" s="27" t="s">
        <v>7</v>
      </c>
      <c r="JM815" s="27" t="s">
        <v>8</v>
      </c>
    </row>
    <row r="816" spans="1:348" x14ac:dyDescent="0.25">
      <c r="A816" s="7">
        <v>1.0729035110735436E-2</v>
      </c>
      <c r="B816"/>
      <c r="C816"/>
      <c r="D816"/>
      <c r="E816"/>
      <c r="F816" s="27" t="s">
        <v>7</v>
      </c>
      <c r="I816" s="27" t="s">
        <v>8</v>
      </c>
      <c r="R816" s="27" t="s">
        <v>7</v>
      </c>
      <c r="S816" s="27" t="s">
        <v>8</v>
      </c>
      <c r="T816" s="27" t="s">
        <v>7</v>
      </c>
      <c r="U816" s="27" t="s">
        <v>8</v>
      </c>
      <c r="V816" s="27" t="s">
        <v>7</v>
      </c>
      <c r="W816" s="27" t="s">
        <v>8</v>
      </c>
      <c r="X816" s="27" t="s">
        <v>7</v>
      </c>
      <c r="Y816" s="27" t="s">
        <v>8</v>
      </c>
      <c r="Z816" s="27" t="s">
        <v>7</v>
      </c>
      <c r="AJ816" s="27" t="s">
        <v>7</v>
      </c>
      <c r="AL816" s="27" t="s">
        <v>7</v>
      </c>
      <c r="AM816" s="27" t="s">
        <v>8</v>
      </c>
      <c r="AN816" s="27" t="s">
        <v>7</v>
      </c>
      <c r="AO816" s="27" t="s">
        <v>8</v>
      </c>
      <c r="BB816" s="27" t="s">
        <v>7</v>
      </c>
      <c r="BK816" s="27" t="s">
        <v>8</v>
      </c>
      <c r="BL816" s="27" t="s">
        <v>7</v>
      </c>
      <c r="JK816" s="27" t="s">
        <v>8</v>
      </c>
      <c r="JL816" s="27" t="s">
        <v>7</v>
      </c>
      <c r="JM816" s="27" t="s">
        <v>8</v>
      </c>
    </row>
    <row r="817" spans="1:273" x14ac:dyDescent="0.25">
      <c r="A817" s="7">
        <v>1.0518661873270036E-2</v>
      </c>
      <c r="B817"/>
      <c r="C817"/>
      <c r="D817"/>
      <c r="E817"/>
      <c r="F817" s="27" t="s">
        <v>7</v>
      </c>
      <c r="I817" s="27" t="s">
        <v>8</v>
      </c>
      <c r="R817" s="27" t="s">
        <v>7</v>
      </c>
      <c r="S817" s="27" t="s">
        <v>8</v>
      </c>
      <c r="T817" s="27" t="s">
        <v>7</v>
      </c>
      <c r="U817" s="27" t="s">
        <v>8</v>
      </c>
      <c r="V817" s="27" t="s">
        <v>7</v>
      </c>
      <c r="W817" s="27" t="s">
        <v>8</v>
      </c>
      <c r="X817" s="27" t="s">
        <v>7</v>
      </c>
      <c r="AL817" s="27" t="s">
        <v>7</v>
      </c>
      <c r="AM817" s="27" t="s">
        <v>8</v>
      </c>
      <c r="AN817" s="27" t="s">
        <v>7</v>
      </c>
      <c r="BB817" s="27" t="s">
        <v>7</v>
      </c>
      <c r="BK817" s="27" t="s">
        <v>8</v>
      </c>
      <c r="BL817" s="27" t="s">
        <v>7</v>
      </c>
      <c r="JK817" s="27" t="s">
        <v>8</v>
      </c>
      <c r="JL817" s="27" t="s">
        <v>7</v>
      </c>
      <c r="JM817" s="27" t="s">
        <v>8</v>
      </c>
    </row>
    <row r="818" spans="1:273" x14ac:dyDescent="0.25">
      <c r="A818" s="7">
        <v>1.0312413601245135E-2</v>
      </c>
      <c r="B818"/>
      <c r="C818"/>
      <c r="D818"/>
      <c r="E818"/>
      <c r="F818" s="27" t="s">
        <v>7</v>
      </c>
      <c r="G818" s="27" t="s">
        <v>8</v>
      </c>
      <c r="I818" s="27" t="s">
        <v>8</v>
      </c>
      <c r="R818" s="27" t="s">
        <v>7</v>
      </c>
      <c r="S818" s="27" t="s">
        <v>8</v>
      </c>
      <c r="T818" s="27" t="s">
        <v>7</v>
      </c>
      <c r="U818" s="27" t="s">
        <v>8</v>
      </c>
      <c r="V818" s="27" t="s">
        <v>7</v>
      </c>
      <c r="AL818" s="27" t="s">
        <v>7</v>
      </c>
      <c r="AM818" s="27" t="s">
        <v>8</v>
      </c>
      <c r="BB818" s="27" t="s">
        <v>7</v>
      </c>
      <c r="BK818" s="27" t="s">
        <v>8</v>
      </c>
      <c r="BL818" s="27" t="s">
        <v>7</v>
      </c>
      <c r="JK818" s="27" t="s">
        <v>8</v>
      </c>
      <c r="JL818" s="27" t="s">
        <v>7</v>
      </c>
      <c r="JM818" s="27" t="s">
        <v>8</v>
      </c>
    </row>
    <row r="819" spans="1:273" x14ac:dyDescent="0.25">
      <c r="A819" s="7">
        <v>1.0110209412985426E-2</v>
      </c>
      <c r="B819"/>
      <c r="C819"/>
      <c r="D819"/>
      <c r="E819"/>
      <c r="F819" s="27" t="s">
        <v>7</v>
      </c>
      <c r="G819" s="27" t="s">
        <v>8</v>
      </c>
      <c r="H819" s="27" t="s">
        <v>7</v>
      </c>
      <c r="I819" s="27" t="s">
        <v>8</v>
      </c>
      <c r="R819" s="27" t="s">
        <v>7</v>
      </c>
      <c r="S819" s="27" t="s">
        <v>8</v>
      </c>
      <c r="T819" s="27" t="s">
        <v>7</v>
      </c>
      <c r="AL819" s="27" t="s">
        <v>7</v>
      </c>
      <c r="BB819" s="27" t="s">
        <v>7</v>
      </c>
      <c r="BI819" s="27" t="s">
        <v>8</v>
      </c>
      <c r="BK819" s="27" t="s">
        <v>8</v>
      </c>
      <c r="BL819" s="27" t="s">
        <v>7</v>
      </c>
      <c r="JK819" s="27" t="s">
        <v>8</v>
      </c>
      <c r="JL819" s="27" t="s">
        <v>7</v>
      </c>
      <c r="JM819" s="27" t="s">
        <v>8</v>
      </c>
    </row>
    <row r="820" spans="1:273" x14ac:dyDescent="0.25">
      <c r="A820" s="7">
        <v>9.9119700127308103E-3</v>
      </c>
      <c r="B820"/>
      <c r="C820"/>
      <c r="D820"/>
      <c r="E820"/>
      <c r="F820" s="27" t="s">
        <v>7</v>
      </c>
      <c r="G820" s="27" t="s">
        <v>8</v>
      </c>
      <c r="H820" s="27" t="s">
        <v>7</v>
      </c>
      <c r="I820" s="27" t="s">
        <v>8</v>
      </c>
      <c r="R820" s="27" t="s">
        <v>7</v>
      </c>
      <c r="BB820" s="27" t="s">
        <v>7</v>
      </c>
      <c r="BI820" s="27" t="s">
        <v>8</v>
      </c>
      <c r="BJ820" s="27" t="s">
        <v>7</v>
      </c>
      <c r="BK820" s="27" t="s">
        <v>8</v>
      </c>
      <c r="BL820" s="27" t="s">
        <v>7</v>
      </c>
      <c r="JK820" s="27" t="s">
        <v>8</v>
      </c>
      <c r="JL820" s="27" t="s">
        <v>7</v>
      </c>
      <c r="JM820" s="27" t="s">
        <v>8</v>
      </c>
    </row>
    <row r="821" spans="1:273" x14ac:dyDescent="0.25">
      <c r="A821" s="7">
        <v>9.717617659540009E-3</v>
      </c>
      <c r="B821"/>
      <c r="C821"/>
      <c r="D821"/>
      <c r="E821"/>
      <c r="F821" s="27" t="s">
        <v>7</v>
      </c>
      <c r="G821" s="27" t="s">
        <v>8</v>
      </c>
      <c r="H821" s="27" t="s">
        <v>7</v>
      </c>
      <c r="I821" s="27" t="s">
        <v>8</v>
      </c>
      <c r="BB821" s="27" t="s">
        <v>7</v>
      </c>
      <c r="BC821" s="27" t="s">
        <v>8</v>
      </c>
      <c r="BI821" s="27" t="s">
        <v>8</v>
      </c>
      <c r="BJ821" s="27" t="s">
        <v>7</v>
      </c>
      <c r="BK821" s="27" t="s">
        <v>8</v>
      </c>
      <c r="BL821" s="27" t="s">
        <v>7</v>
      </c>
      <c r="JK821" s="27" t="s">
        <v>8</v>
      </c>
      <c r="JL821" s="27" t="s">
        <v>7</v>
      </c>
      <c r="JM821" s="27" t="s">
        <v>8</v>
      </c>
    </row>
    <row r="822" spans="1:273" x14ac:dyDescent="0.25">
      <c r="A822" s="7">
        <v>9.5270761368039299E-3</v>
      </c>
      <c r="B822"/>
      <c r="C822"/>
      <c r="D822"/>
      <c r="E822"/>
      <c r="F822" s="27" t="s">
        <v>7</v>
      </c>
      <c r="G822" s="27" t="s">
        <v>8</v>
      </c>
      <c r="H822" s="27" t="s">
        <v>7</v>
      </c>
      <c r="BB822" s="27" t="s">
        <v>7</v>
      </c>
      <c r="BC822" s="27" t="s">
        <v>8</v>
      </c>
      <c r="BD822" s="27" t="s">
        <v>7</v>
      </c>
      <c r="BE822" s="27" t="s">
        <v>8</v>
      </c>
      <c r="BI822" s="27" t="s">
        <v>8</v>
      </c>
      <c r="BJ822" s="27" t="s">
        <v>7</v>
      </c>
      <c r="BK822" s="27" t="s">
        <v>8</v>
      </c>
      <c r="BL822" s="27" t="s">
        <v>7</v>
      </c>
      <c r="JK822" s="27" t="s">
        <v>8</v>
      </c>
      <c r="JL822" s="27" t="s">
        <v>7</v>
      </c>
      <c r="JM822" s="27" t="s">
        <v>8</v>
      </c>
    </row>
    <row r="823" spans="1:273" x14ac:dyDescent="0.25">
      <c r="A823" s="7">
        <v>9.3402707223567936E-3</v>
      </c>
      <c r="B823"/>
      <c r="C823"/>
      <c r="D823"/>
      <c r="E823"/>
      <c r="F823" s="27" t="s">
        <v>7</v>
      </c>
      <c r="G823" s="27" t="s">
        <v>8</v>
      </c>
      <c r="BB823" s="27" t="s">
        <v>7</v>
      </c>
      <c r="BC823" s="27" t="s">
        <v>8</v>
      </c>
      <c r="BD823" s="27" t="s">
        <v>7</v>
      </c>
      <c r="BE823" s="27" t="s">
        <v>8</v>
      </c>
      <c r="BF823" s="27" t="s">
        <v>7</v>
      </c>
      <c r="BI823" s="27" t="s">
        <v>8</v>
      </c>
      <c r="BJ823" s="27" t="s">
        <v>7</v>
      </c>
      <c r="BK823" s="27" t="s">
        <v>8</v>
      </c>
      <c r="BL823" s="27" t="s">
        <v>7</v>
      </c>
      <c r="BM823" s="27" t="s">
        <v>8</v>
      </c>
      <c r="JK823" s="27" t="s">
        <v>8</v>
      </c>
      <c r="JL823" s="27" t="s">
        <v>7</v>
      </c>
      <c r="JM823" s="27" t="s">
        <v>8</v>
      </c>
    </row>
    <row r="824" spans="1:273" x14ac:dyDescent="0.25">
      <c r="A824" s="7">
        <v>9.1571281591733261E-3</v>
      </c>
      <c r="B824"/>
      <c r="C824"/>
      <c r="D824"/>
      <c r="E824"/>
      <c r="F824" s="27" t="s">
        <v>7</v>
      </c>
      <c r="G824" s="27" t="s">
        <v>8</v>
      </c>
      <c r="BB824" s="27" t="s">
        <v>7</v>
      </c>
      <c r="BC824" s="27" t="s">
        <v>8</v>
      </c>
      <c r="BD824" s="27" t="s">
        <v>7</v>
      </c>
      <c r="BE824" s="27" t="s">
        <v>8</v>
      </c>
      <c r="BF824" s="27" t="s">
        <v>7</v>
      </c>
      <c r="BG824" s="27" t="s">
        <v>8</v>
      </c>
      <c r="BI824" s="27" t="s">
        <v>8</v>
      </c>
      <c r="BJ824" s="27" t="s">
        <v>7</v>
      </c>
      <c r="BL824" s="27" t="s">
        <v>7</v>
      </c>
      <c r="BM824" s="27" t="s">
        <v>8</v>
      </c>
      <c r="BN824" s="27" t="s">
        <v>7</v>
      </c>
      <c r="JK824" s="27" t="s">
        <v>8</v>
      </c>
      <c r="JL824" s="27" t="s">
        <v>7</v>
      </c>
      <c r="JM824" s="27" t="s">
        <v>8</v>
      </c>
    </row>
    <row r="825" spans="1:273" x14ac:dyDescent="0.25">
      <c r="A825" s="7">
        <v>8.9775766266405148E-3</v>
      </c>
      <c r="B825"/>
      <c r="C825"/>
      <c r="D825"/>
      <c r="E825"/>
      <c r="F825" s="27" t="s">
        <v>7</v>
      </c>
      <c r="G825" s="27" t="s">
        <v>8</v>
      </c>
      <c r="BB825" s="27" t="s">
        <v>7</v>
      </c>
      <c r="BD825" s="27" t="s">
        <v>7</v>
      </c>
      <c r="BE825" s="27" t="s">
        <v>8</v>
      </c>
      <c r="BF825" s="27" t="s">
        <v>7</v>
      </c>
      <c r="BG825" s="27" t="s">
        <v>8</v>
      </c>
      <c r="BH825" s="27" t="s">
        <v>7</v>
      </c>
      <c r="BI825" s="27" t="s">
        <v>8</v>
      </c>
      <c r="BL825" s="27" t="s">
        <v>7</v>
      </c>
      <c r="BM825" s="27" t="s">
        <v>8</v>
      </c>
      <c r="BN825" s="27" t="s">
        <v>7</v>
      </c>
      <c r="BO825" s="27" t="s">
        <v>8</v>
      </c>
      <c r="HU825" s="27" t="s">
        <v>8</v>
      </c>
      <c r="JK825" s="27" t="s">
        <v>8</v>
      </c>
      <c r="JL825" s="27" t="s">
        <v>7</v>
      </c>
      <c r="JM825" s="27" t="s">
        <v>8</v>
      </c>
    </row>
    <row r="826" spans="1:273" x14ac:dyDescent="0.25">
      <c r="A826" s="7">
        <v>8.8015457123926614E-3</v>
      </c>
      <c r="B826"/>
      <c r="C826"/>
      <c r="D826"/>
      <c r="E826"/>
      <c r="F826" s="27" t="s">
        <v>7</v>
      </c>
      <c r="G826" s="27" t="s">
        <v>8</v>
      </c>
      <c r="BD826" s="27" t="s">
        <v>7</v>
      </c>
      <c r="BE826" s="27" t="s">
        <v>8</v>
      </c>
      <c r="BF826" s="27" t="s">
        <v>7</v>
      </c>
      <c r="BG826" s="27" t="s">
        <v>8</v>
      </c>
      <c r="BH826" s="27" t="s">
        <v>7</v>
      </c>
      <c r="BI826" s="27" t="s">
        <v>8</v>
      </c>
      <c r="BL826" s="27" t="s">
        <v>7</v>
      </c>
      <c r="BM826" s="27" t="s">
        <v>8</v>
      </c>
      <c r="BN826" s="27" t="s">
        <v>7</v>
      </c>
      <c r="BO826" s="27" t="s">
        <v>8</v>
      </c>
      <c r="BP826" s="27" t="s">
        <v>7</v>
      </c>
      <c r="BQ826" s="27" t="s">
        <v>8</v>
      </c>
      <c r="HU826" s="27" t="s">
        <v>8</v>
      </c>
      <c r="HV826" s="27" t="s">
        <v>7</v>
      </c>
      <c r="JK826" s="27" t="s">
        <v>8</v>
      </c>
      <c r="JL826" s="27" t="s">
        <v>7</v>
      </c>
      <c r="JM826" s="27" t="s">
        <v>8</v>
      </c>
    </row>
    <row r="827" spans="1:273" x14ac:dyDescent="0.25">
      <c r="A827" s="7">
        <v>8.6289663846986879E-3</v>
      </c>
      <c r="B827"/>
      <c r="C827"/>
      <c r="D827"/>
      <c r="E827"/>
      <c r="F827" s="27" t="s">
        <v>7</v>
      </c>
      <c r="G827" s="27" t="s">
        <v>8</v>
      </c>
      <c r="BD827" s="27" t="s">
        <v>7</v>
      </c>
      <c r="BE827" s="27" t="s">
        <v>8</v>
      </c>
      <c r="BF827" s="27" t="s">
        <v>7</v>
      </c>
      <c r="BG827" s="27" t="s">
        <v>8</v>
      </c>
      <c r="BH827" s="27" t="s">
        <v>7</v>
      </c>
      <c r="BL827" s="27" t="s">
        <v>7</v>
      </c>
      <c r="BM827" s="27" t="s">
        <v>8</v>
      </c>
      <c r="BN827" s="27" t="s">
        <v>7</v>
      </c>
      <c r="BO827" s="27" t="s">
        <v>8</v>
      </c>
      <c r="BP827" s="27" t="s">
        <v>7</v>
      </c>
      <c r="BQ827" s="27" t="s">
        <v>8</v>
      </c>
      <c r="BR827" s="27" t="s">
        <v>7</v>
      </c>
      <c r="HU827" s="27" t="s">
        <v>8</v>
      </c>
      <c r="HV827" s="27" t="s">
        <v>7</v>
      </c>
      <c r="JK827" s="27" t="s">
        <v>8</v>
      </c>
      <c r="JL827" s="27" t="s">
        <v>7</v>
      </c>
      <c r="JM827" s="27" t="s">
        <v>8</v>
      </c>
    </row>
    <row r="828" spans="1:273" x14ac:dyDescent="0.25">
      <c r="A828" s="7">
        <v>8.4597709653908715E-3</v>
      </c>
      <c r="B828"/>
      <c r="C828"/>
      <c r="D828"/>
      <c r="E828"/>
      <c r="F828" s="27" t="s">
        <v>7</v>
      </c>
      <c r="G828" s="27" t="s">
        <v>8</v>
      </c>
      <c r="BD828" s="27" t="s">
        <v>7</v>
      </c>
      <c r="BE828" s="27" t="s">
        <v>8</v>
      </c>
      <c r="BF828" s="27" t="s">
        <v>7</v>
      </c>
      <c r="BG828" s="27" t="s">
        <v>8</v>
      </c>
      <c r="BL828" s="27" t="s">
        <v>7</v>
      </c>
      <c r="BM828" s="27" t="s">
        <v>8</v>
      </c>
      <c r="BN828" s="27" t="s">
        <v>7</v>
      </c>
      <c r="BO828" s="27" t="s">
        <v>8</v>
      </c>
      <c r="BP828" s="27" t="s">
        <v>7</v>
      </c>
      <c r="BQ828" s="27" t="s">
        <v>8</v>
      </c>
      <c r="BR828" s="27" t="s">
        <v>7</v>
      </c>
      <c r="HU828" s="27" t="s">
        <v>8</v>
      </c>
      <c r="HV828" s="27" t="s">
        <v>7</v>
      </c>
      <c r="JK828" s="27" t="s">
        <v>8</v>
      </c>
      <c r="JL828" s="27" t="s">
        <v>7</v>
      </c>
      <c r="JM828" s="27" t="s">
        <v>8</v>
      </c>
    </row>
    <row r="829" spans="1:273" x14ac:dyDescent="0.25">
      <c r="A829" s="7">
        <v>8.2938931033243839E-3</v>
      </c>
      <c r="B829"/>
      <c r="C829"/>
      <c r="D829"/>
      <c r="E829"/>
      <c r="F829" s="27" t="s">
        <v>7</v>
      </c>
      <c r="G829" s="27" t="s">
        <v>8</v>
      </c>
      <c r="BD829" s="27" t="s">
        <v>7</v>
      </c>
      <c r="BE829" s="27" t="s">
        <v>8</v>
      </c>
      <c r="BF829" s="27" t="s">
        <v>7</v>
      </c>
      <c r="BG829" s="27" t="s">
        <v>8</v>
      </c>
      <c r="BL829" s="27" t="s">
        <v>7</v>
      </c>
      <c r="BN829" s="27" t="s">
        <v>7</v>
      </c>
      <c r="BO829" s="27" t="s">
        <v>8</v>
      </c>
      <c r="BP829" s="27" t="s">
        <v>7</v>
      </c>
      <c r="BR829" s="27" t="s">
        <v>7</v>
      </c>
      <c r="EE829" s="27" t="s">
        <v>8</v>
      </c>
      <c r="HU829" s="27" t="s">
        <v>8</v>
      </c>
      <c r="HV829" s="27" t="s">
        <v>7</v>
      </c>
      <c r="JK829" s="27" t="s">
        <v>8</v>
      </c>
      <c r="JL829" s="27" t="s">
        <v>7</v>
      </c>
      <c r="JM829" s="27" t="s">
        <v>8</v>
      </c>
    </row>
    <row r="830" spans="1:273" x14ac:dyDescent="0.25">
      <c r="A830" s="7">
        <v>8.1312677483572383E-3</v>
      </c>
      <c r="B830"/>
      <c r="C830"/>
      <c r="D830"/>
      <c r="E830"/>
      <c r="F830" s="27" t="s">
        <v>7</v>
      </c>
      <c r="G830" s="27" t="s">
        <v>8</v>
      </c>
      <c r="BD830" s="27" t="s">
        <v>7</v>
      </c>
      <c r="BE830" s="27" t="s">
        <v>8</v>
      </c>
      <c r="BF830" s="27" t="s">
        <v>7</v>
      </c>
      <c r="BG830" s="27" t="s">
        <v>8</v>
      </c>
      <c r="BN830" s="27" t="s">
        <v>7</v>
      </c>
      <c r="BO830" s="27" t="s">
        <v>8</v>
      </c>
      <c r="BR830" s="27" t="s">
        <v>7</v>
      </c>
      <c r="EE830" s="27" t="s">
        <v>8</v>
      </c>
      <c r="EF830" s="27" t="s">
        <v>7</v>
      </c>
      <c r="HI830" s="27" t="s">
        <v>8</v>
      </c>
      <c r="HU830" s="27" t="s">
        <v>8</v>
      </c>
      <c r="HV830" s="27" t="s">
        <v>7</v>
      </c>
      <c r="JK830" s="27" t="s">
        <v>8</v>
      </c>
      <c r="JL830" s="27" t="s">
        <v>7</v>
      </c>
    </row>
    <row r="831" spans="1:273" x14ac:dyDescent="0.25">
      <c r="A831" s="7">
        <v>7.9718311258404305E-3</v>
      </c>
      <c r="B831"/>
      <c r="C831"/>
      <c r="D831"/>
      <c r="E831"/>
      <c r="F831" s="27" t="s">
        <v>7</v>
      </c>
      <c r="BD831" s="27" t="s">
        <v>7</v>
      </c>
      <c r="BE831" s="27" t="s">
        <v>8</v>
      </c>
      <c r="BF831" s="27" t="s">
        <v>7</v>
      </c>
      <c r="BG831" s="27" t="s">
        <v>8</v>
      </c>
      <c r="BN831" s="27" t="s">
        <v>7</v>
      </c>
      <c r="BR831" s="27" t="s">
        <v>7</v>
      </c>
      <c r="EE831" s="27" t="s">
        <v>8</v>
      </c>
      <c r="EF831" s="27" t="s">
        <v>7</v>
      </c>
      <c r="HI831" s="27" t="s">
        <v>8</v>
      </c>
      <c r="HJ831" s="27" t="s">
        <v>7</v>
      </c>
      <c r="HU831" s="27" t="s">
        <v>8</v>
      </c>
      <c r="HV831" s="27" t="s">
        <v>7</v>
      </c>
      <c r="JK831" s="27" t="s">
        <v>8</v>
      </c>
    </row>
    <row r="832" spans="1:273" x14ac:dyDescent="0.25">
      <c r="A832" s="7">
        <v>7.8155207116082648E-3</v>
      </c>
      <c r="B832"/>
      <c r="C832"/>
      <c r="D832"/>
      <c r="E832"/>
      <c r="BD832" s="27" t="s">
        <v>7</v>
      </c>
      <c r="BE832" s="27" t="s">
        <v>8</v>
      </c>
      <c r="BF832" s="27" t="s">
        <v>7</v>
      </c>
      <c r="BR832" s="27" t="s">
        <v>7</v>
      </c>
      <c r="CO832" s="27" t="s">
        <v>8</v>
      </c>
      <c r="EE832" s="27" t="s">
        <v>8</v>
      </c>
      <c r="EF832" s="27" t="s">
        <v>7</v>
      </c>
      <c r="HG832" s="27" t="s">
        <v>8</v>
      </c>
      <c r="HI832" s="27" t="s">
        <v>8</v>
      </c>
      <c r="HJ832" s="27" t="s">
        <v>7</v>
      </c>
      <c r="HS832" s="27" t="s">
        <v>8</v>
      </c>
      <c r="HU832" s="27" t="s">
        <v>8</v>
      </c>
      <c r="HV832" s="27" t="s">
        <v>7</v>
      </c>
      <c r="JK832" s="27" t="s">
        <v>8</v>
      </c>
    </row>
    <row r="833" spans="1:271" x14ac:dyDescent="0.25">
      <c r="A833" s="7">
        <v>7.6622752074590825E-3</v>
      </c>
      <c r="B833"/>
      <c r="C833"/>
      <c r="D833"/>
      <c r="E833"/>
      <c r="BD833" s="27" t="s">
        <v>7</v>
      </c>
      <c r="BE833" s="27" t="s">
        <v>8</v>
      </c>
      <c r="BR833" s="27" t="s">
        <v>7</v>
      </c>
      <c r="CM833" s="27" t="s">
        <v>8</v>
      </c>
      <c r="CO833" s="27" t="s">
        <v>8</v>
      </c>
      <c r="CP833" s="27" t="s">
        <v>7</v>
      </c>
      <c r="EE833" s="27" t="s">
        <v>8</v>
      </c>
      <c r="EF833" s="27" t="s">
        <v>7</v>
      </c>
      <c r="HG833" s="27" t="s">
        <v>8</v>
      </c>
      <c r="HH833" s="27" t="s">
        <v>7</v>
      </c>
      <c r="HI833" s="27" t="s">
        <v>8</v>
      </c>
      <c r="HJ833" s="27" t="s">
        <v>7</v>
      </c>
      <c r="HM833" s="27" t="s">
        <v>8</v>
      </c>
      <c r="HS833" s="27" t="s">
        <v>8</v>
      </c>
      <c r="HT833" s="27" t="s">
        <v>7</v>
      </c>
      <c r="HU833" s="27" t="s">
        <v>8</v>
      </c>
      <c r="HV833" s="27" t="s">
        <v>7</v>
      </c>
      <c r="JK833" s="27" t="s">
        <v>8</v>
      </c>
    </row>
    <row r="834" spans="1:271" x14ac:dyDescent="0.25">
      <c r="A834" s="7">
        <v>7.5120345171167469E-3</v>
      </c>
      <c r="B834"/>
      <c r="C834"/>
      <c r="D834"/>
      <c r="E834"/>
      <c r="BD834" s="27" t="s">
        <v>7</v>
      </c>
      <c r="BE834" s="27" t="s">
        <v>8</v>
      </c>
      <c r="BR834" s="27" t="s">
        <v>7</v>
      </c>
      <c r="BS834" s="27" t="s">
        <v>8</v>
      </c>
      <c r="BW834" s="27" t="s">
        <v>8</v>
      </c>
      <c r="CM834" s="27" t="s">
        <v>8</v>
      </c>
      <c r="CN834" s="27" t="s">
        <v>7</v>
      </c>
      <c r="CO834" s="27" t="s">
        <v>8</v>
      </c>
      <c r="CP834" s="27" t="s">
        <v>7</v>
      </c>
      <c r="EA834" s="27" t="s">
        <v>8</v>
      </c>
      <c r="EC834" s="27" t="s">
        <v>8</v>
      </c>
      <c r="EE834" s="27" t="s">
        <v>8</v>
      </c>
      <c r="EF834" s="27" t="s">
        <v>7</v>
      </c>
      <c r="HG834" s="27" t="s">
        <v>8</v>
      </c>
      <c r="HH834" s="27" t="s">
        <v>7</v>
      </c>
      <c r="HI834" s="27" t="s">
        <v>8</v>
      </c>
      <c r="HJ834" s="27" t="s">
        <v>7</v>
      </c>
      <c r="HK834" s="27" t="s">
        <v>8</v>
      </c>
      <c r="HM834" s="27" t="s">
        <v>8</v>
      </c>
      <c r="HN834" s="27" t="s">
        <v>7</v>
      </c>
      <c r="HS834" s="27" t="s">
        <v>8</v>
      </c>
      <c r="HT834" s="27" t="s">
        <v>7</v>
      </c>
      <c r="HU834" s="27" t="s">
        <v>8</v>
      </c>
      <c r="HV834" s="27" t="s">
        <v>7</v>
      </c>
      <c r="JK834" s="27" t="s">
        <v>8</v>
      </c>
    </row>
    <row r="835" spans="1:271" x14ac:dyDescent="0.25">
      <c r="A835" s="7">
        <v>7.3647397226634772E-3</v>
      </c>
      <c r="B835"/>
      <c r="C835"/>
      <c r="D835"/>
      <c r="E835"/>
      <c r="BD835" s="27" t="s">
        <v>7</v>
      </c>
      <c r="BE835" s="27" t="s">
        <v>8</v>
      </c>
      <c r="BR835" s="27" t="s">
        <v>7</v>
      </c>
      <c r="BS835" s="27" t="s">
        <v>8</v>
      </c>
      <c r="BT835" s="27" t="s">
        <v>7</v>
      </c>
      <c r="BW835" s="27" t="s">
        <v>8</v>
      </c>
      <c r="BX835" s="27" t="s">
        <v>7</v>
      </c>
      <c r="CM835" s="27" t="s">
        <v>8</v>
      </c>
      <c r="CN835" s="27" t="s">
        <v>7</v>
      </c>
      <c r="CO835" s="27" t="s">
        <v>8</v>
      </c>
      <c r="CP835" s="27" t="s">
        <v>7</v>
      </c>
      <c r="EA835" s="27" t="s">
        <v>8</v>
      </c>
      <c r="EB835" s="27" t="s">
        <v>7</v>
      </c>
      <c r="EC835" s="27" t="s">
        <v>8</v>
      </c>
      <c r="ED835" s="27" t="s">
        <v>7</v>
      </c>
      <c r="EE835" s="27" t="s">
        <v>8</v>
      </c>
      <c r="EF835" s="27" t="s">
        <v>7</v>
      </c>
      <c r="HE835" s="27" t="s">
        <v>8</v>
      </c>
      <c r="HG835" s="27" t="s">
        <v>8</v>
      </c>
      <c r="HH835" s="27" t="s">
        <v>7</v>
      </c>
      <c r="HI835" s="27" t="s">
        <v>8</v>
      </c>
      <c r="HJ835" s="27" t="s">
        <v>7</v>
      </c>
      <c r="HK835" s="27" t="s">
        <v>8</v>
      </c>
      <c r="HL835" s="27" t="s">
        <v>7</v>
      </c>
      <c r="HM835" s="27" t="s">
        <v>8</v>
      </c>
      <c r="HN835" s="27" t="s">
        <v>7</v>
      </c>
      <c r="HS835" s="27" t="s">
        <v>8</v>
      </c>
      <c r="HT835" s="27" t="s">
        <v>7</v>
      </c>
      <c r="HU835" s="27" t="s">
        <v>8</v>
      </c>
      <c r="HV835" s="27" t="s">
        <v>7</v>
      </c>
      <c r="JK835" s="27" t="s">
        <v>8</v>
      </c>
    </row>
    <row r="836" spans="1:271" x14ac:dyDescent="0.25">
      <c r="A836" s="7">
        <v>7.2203330614347815E-3</v>
      </c>
      <c r="B836"/>
      <c r="C836"/>
      <c r="D836"/>
      <c r="E836"/>
      <c r="BD836" s="27" t="s">
        <v>7</v>
      </c>
      <c r="BE836" s="27" t="s">
        <v>8</v>
      </c>
      <c r="BR836" s="27" t="s">
        <v>7</v>
      </c>
      <c r="BS836" s="27" t="s">
        <v>8</v>
      </c>
      <c r="BT836" s="27" t="s">
        <v>7</v>
      </c>
      <c r="BU836" s="27" t="s">
        <v>8</v>
      </c>
      <c r="BW836" s="27" t="s">
        <v>8</v>
      </c>
      <c r="BX836" s="27" t="s">
        <v>7</v>
      </c>
      <c r="CM836" s="27" t="s">
        <v>8</v>
      </c>
      <c r="CN836" s="27" t="s">
        <v>7</v>
      </c>
      <c r="CO836" s="27" t="s">
        <v>8</v>
      </c>
      <c r="CP836" s="27" t="s">
        <v>7</v>
      </c>
      <c r="CQ836" s="27" t="s">
        <v>8</v>
      </c>
      <c r="EA836" s="27" t="s">
        <v>8</v>
      </c>
      <c r="EB836" s="27" t="s">
        <v>7</v>
      </c>
      <c r="EC836" s="27" t="s">
        <v>8</v>
      </c>
      <c r="ED836" s="27" t="s">
        <v>7</v>
      </c>
      <c r="EE836" s="27" t="s">
        <v>8</v>
      </c>
      <c r="EF836" s="27" t="s">
        <v>7</v>
      </c>
      <c r="HE836" s="27" t="s">
        <v>8</v>
      </c>
      <c r="HF836" s="27" t="s">
        <v>7</v>
      </c>
      <c r="HG836" s="27" t="s">
        <v>8</v>
      </c>
      <c r="HH836" s="27" t="s">
        <v>7</v>
      </c>
      <c r="HI836" s="27" t="s">
        <v>8</v>
      </c>
      <c r="HJ836" s="27" t="s">
        <v>7</v>
      </c>
      <c r="HK836" s="27" t="s">
        <v>8</v>
      </c>
      <c r="HL836" s="27" t="s">
        <v>7</v>
      </c>
      <c r="HM836" s="27" t="s">
        <v>8</v>
      </c>
      <c r="HN836" s="27" t="s">
        <v>7</v>
      </c>
      <c r="HS836" s="27" t="s">
        <v>8</v>
      </c>
      <c r="HT836" s="27" t="s">
        <v>7</v>
      </c>
      <c r="HU836" s="27" t="s">
        <v>8</v>
      </c>
      <c r="HV836" s="27" t="s">
        <v>7</v>
      </c>
      <c r="JK836" s="27" t="s">
        <v>8</v>
      </c>
    </row>
    <row r="837" spans="1:271" x14ac:dyDescent="0.25">
      <c r="A837" s="7">
        <v>7.0787579033674327E-3</v>
      </c>
      <c r="B837"/>
      <c r="C837"/>
      <c r="D837"/>
      <c r="E837"/>
      <c r="BD837" s="27" t="s">
        <v>7</v>
      </c>
      <c r="BE837" s="27" t="s">
        <v>8</v>
      </c>
      <c r="BR837" s="27" t="s">
        <v>7</v>
      </c>
      <c r="BT837" s="27" t="s">
        <v>7</v>
      </c>
      <c r="BU837" s="27" t="s">
        <v>8</v>
      </c>
      <c r="BV837" s="27" t="s">
        <v>7</v>
      </c>
      <c r="BW837" s="27" t="s">
        <v>8</v>
      </c>
      <c r="BX837" s="27" t="s">
        <v>7</v>
      </c>
      <c r="CM837" s="27" t="s">
        <v>8</v>
      </c>
      <c r="CN837" s="27" t="s">
        <v>7</v>
      </c>
      <c r="CO837" s="27" t="s">
        <v>8</v>
      </c>
      <c r="CP837" s="27" t="s">
        <v>7</v>
      </c>
      <c r="CQ837" s="27" t="s">
        <v>8</v>
      </c>
      <c r="CR837" s="27" t="s">
        <v>7</v>
      </c>
      <c r="CS837" s="27" t="s">
        <v>8</v>
      </c>
      <c r="EA837" s="27" t="s">
        <v>8</v>
      </c>
      <c r="EB837" s="27" t="s">
        <v>7</v>
      </c>
      <c r="EC837" s="27" t="s">
        <v>8</v>
      </c>
      <c r="ED837" s="27" t="s">
        <v>7</v>
      </c>
      <c r="EF837" s="27" t="s">
        <v>7</v>
      </c>
      <c r="GM837" s="27" t="s">
        <v>8</v>
      </c>
      <c r="HE837" s="27" t="s">
        <v>8</v>
      </c>
      <c r="HF837" s="27" t="s">
        <v>7</v>
      </c>
      <c r="HG837" s="27" t="s">
        <v>8</v>
      </c>
      <c r="HH837" s="27" t="s">
        <v>7</v>
      </c>
      <c r="HI837" s="27" t="s">
        <v>8</v>
      </c>
      <c r="HJ837" s="27" t="s">
        <v>7</v>
      </c>
      <c r="HK837" s="27" t="s">
        <v>8</v>
      </c>
      <c r="HL837" s="27" t="s">
        <v>7</v>
      </c>
      <c r="HM837" s="27" t="s">
        <v>8</v>
      </c>
      <c r="HN837" s="27" t="s">
        <v>7</v>
      </c>
      <c r="HS837" s="27" t="s">
        <v>8</v>
      </c>
      <c r="HT837" s="27" t="s">
        <v>7</v>
      </c>
      <c r="HU837" s="27" t="s">
        <v>8</v>
      </c>
      <c r="HV837" s="27" t="s">
        <v>7</v>
      </c>
      <c r="JK837" s="27" t="s">
        <v>8</v>
      </c>
    </row>
    <row r="838" spans="1:271" x14ac:dyDescent="0.25">
      <c r="A838" s="7">
        <v>6.9399587287916013E-3</v>
      </c>
      <c r="B838"/>
      <c r="C838"/>
      <c r="D838"/>
      <c r="E838"/>
      <c r="BD838" s="27" t="s">
        <v>7</v>
      </c>
      <c r="BE838" s="27" t="s">
        <v>8</v>
      </c>
      <c r="BT838" s="27" t="s">
        <v>7</v>
      </c>
      <c r="BU838" s="27" t="s">
        <v>8</v>
      </c>
      <c r="BV838" s="27" t="s">
        <v>7</v>
      </c>
      <c r="BW838" s="27" t="s">
        <v>8</v>
      </c>
      <c r="BX838" s="27" t="s">
        <v>7</v>
      </c>
      <c r="CM838" s="27" t="s">
        <v>8</v>
      </c>
      <c r="CN838" s="27" t="s">
        <v>7</v>
      </c>
      <c r="CO838" s="27" t="s">
        <v>8</v>
      </c>
      <c r="CP838" s="27" t="s">
        <v>7</v>
      </c>
      <c r="CQ838" s="27" t="s">
        <v>8</v>
      </c>
      <c r="CR838" s="27" t="s">
        <v>7</v>
      </c>
      <c r="CS838" s="27" t="s">
        <v>8</v>
      </c>
      <c r="CT838" s="27" t="s">
        <v>7</v>
      </c>
      <c r="EA838" s="27" t="s">
        <v>8</v>
      </c>
      <c r="EB838" s="27" t="s">
        <v>7</v>
      </c>
      <c r="EC838" s="27" t="s">
        <v>8</v>
      </c>
      <c r="EF838" s="27" t="s">
        <v>7</v>
      </c>
      <c r="GM838" s="27" t="s">
        <v>8</v>
      </c>
      <c r="GN838" s="27" t="s">
        <v>7</v>
      </c>
      <c r="GQ838" s="27" t="s">
        <v>8</v>
      </c>
      <c r="HE838" s="27" t="s">
        <v>8</v>
      </c>
      <c r="HF838" s="27" t="s">
        <v>7</v>
      </c>
      <c r="HG838" s="27" t="s">
        <v>8</v>
      </c>
      <c r="HH838" s="27" t="s">
        <v>7</v>
      </c>
      <c r="HI838" s="27" t="s">
        <v>8</v>
      </c>
      <c r="HJ838" s="27" t="s">
        <v>7</v>
      </c>
      <c r="HL838" s="27" t="s">
        <v>7</v>
      </c>
      <c r="HM838" s="27" t="s">
        <v>8</v>
      </c>
      <c r="HN838" s="27" t="s">
        <v>7</v>
      </c>
      <c r="HS838" s="27" t="s">
        <v>8</v>
      </c>
      <c r="HT838" s="27" t="s">
        <v>7</v>
      </c>
      <c r="HV838" s="27" t="s">
        <v>7</v>
      </c>
      <c r="IS838" s="27" t="s">
        <v>8</v>
      </c>
      <c r="JK838" s="27" t="s">
        <v>8</v>
      </c>
    </row>
    <row r="839" spans="1:271" x14ac:dyDescent="0.25">
      <c r="A839" s="7">
        <v>6.8038811066584333E-3</v>
      </c>
      <c r="B839"/>
      <c r="C839"/>
      <c r="D839"/>
      <c r="E839"/>
      <c r="BD839" s="27" t="s">
        <v>7</v>
      </c>
      <c r="BE839" s="27" t="s">
        <v>8</v>
      </c>
      <c r="BT839" s="27" t="s">
        <v>7</v>
      </c>
      <c r="BU839" s="27" t="s">
        <v>8</v>
      </c>
      <c r="BV839" s="27" t="s">
        <v>7</v>
      </c>
      <c r="BW839" s="27" t="s">
        <v>8</v>
      </c>
      <c r="BX839" s="27" t="s">
        <v>7</v>
      </c>
      <c r="CM839" s="27" t="s">
        <v>8</v>
      </c>
      <c r="CN839" s="27" t="s">
        <v>7</v>
      </c>
      <c r="CO839" s="27" t="s">
        <v>8</v>
      </c>
      <c r="CP839" s="27" t="s">
        <v>7</v>
      </c>
      <c r="CQ839" s="27" t="s">
        <v>8</v>
      </c>
      <c r="CR839" s="27" t="s">
        <v>7</v>
      </c>
      <c r="CS839" s="27" t="s">
        <v>8</v>
      </c>
      <c r="CT839" s="27" t="s">
        <v>7</v>
      </c>
      <c r="CW839" s="27" t="s">
        <v>8</v>
      </c>
      <c r="EA839" s="27" t="s">
        <v>8</v>
      </c>
      <c r="EB839" s="27" t="s">
        <v>7</v>
      </c>
      <c r="EF839" s="27" t="s">
        <v>7</v>
      </c>
      <c r="EG839" s="27" t="s">
        <v>8</v>
      </c>
      <c r="GM839" s="27" t="s">
        <v>8</v>
      </c>
      <c r="GN839" s="27" t="s">
        <v>7</v>
      </c>
      <c r="GQ839" s="27" t="s">
        <v>8</v>
      </c>
      <c r="GR839" s="27" t="s">
        <v>7</v>
      </c>
      <c r="HA839" s="27" t="s">
        <v>8</v>
      </c>
      <c r="HE839" s="27" t="s">
        <v>8</v>
      </c>
      <c r="HF839" s="27" t="s">
        <v>7</v>
      </c>
      <c r="HH839" s="27" t="s">
        <v>7</v>
      </c>
      <c r="HI839" s="27" t="s">
        <v>8</v>
      </c>
      <c r="HL839" s="27" t="s">
        <v>7</v>
      </c>
      <c r="HM839" s="27" t="s">
        <v>8</v>
      </c>
      <c r="HN839" s="27" t="s">
        <v>7</v>
      </c>
      <c r="HQ839" s="27" t="s">
        <v>8</v>
      </c>
      <c r="HS839" s="27" t="s">
        <v>8</v>
      </c>
      <c r="HV839" s="27" t="s">
        <v>7</v>
      </c>
      <c r="HW839" s="27" t="s">
        <v>8</v>
      </c>
      <c r="IS839" s="27" t="s">
        <v>8</v>
      </c>
      <c r="IT839" s="27" t="s">
        <v>7</v>
      </c>
      <c r="JC839" s="27" t="s">
        <v>8</v>
      </c>
      <c r="JK839" s="27" t="s">
        <v>8</v>
      </c>
    </row>
    <row r="840" spans="1:271" x14ac:dyDescent="0.25">
      <c r="A840" s="7">
        <v>6.6704716731945425E-3</v>
      </c>
      <c r="B840"/>
      <c r="C840"/>
      <c r="D840"/>
      <c r="E840"/>
      <c r="BD840" s="27" t="s">
        <v>7</v>
      </c>
      <c r="BE840" s="27" t="s">
        <v>8</v>
      </c>
      <c r="BT840" s="27" t="s">
        <v>7</v>
      </c>
      <c r="BV840" s="27" t="s">
        <v>7</v>
      </c>
      <c r="BX840" s="27" t="s">
        <v>7</v>
      </c>
      <c r="CM840" s="27" t="s">
        <v>8</v>
      </c>
      <c r="CN840" s="27" t="s">
        <v>7</v>
      </c>
      <c r="CO840" s="27" t="s">
        <v>8</v>
      </c>
      <c r="CP840" s="27" t="s">
        <v>7</v>
      </c>
      <c r="CQ840" s="27" t="s">
        <v>8</v>
      </c>
      <c r="CR840" s="27" t="s">
        <v>7</v>
      </c>
      <c r="CS840" s="27" t="s">
        <v>8</v>
      </c>
      <c r="CT840" s="27" t="s">
        <v>7</v>
      </c>
      <c r="CU840" s="27" t="s">
        <v>8</v>
      </c>
      <c r="CW840" s="27" t="s">
        <v>8</v>
      </c>
      <c r="CX840" s="27" t="s">
        <v>7</v>
      </c>
      <c r="EA840" s="27" t="s">
        <v>8</v>
      </c>
      <c r="EF840" s="27" t="s">
        <v>7</v>
      </c>
      <c r="EG840" s="27" t="s">
        <v>8</v>
      </c>
      <c r="EH840" s="27" t="s">
        <v>7</v>
      </c>
      <c r="GM840" s="27" t="s">
        <v>8</v>
      </c>
      <c r="GN840" s="27" t="s">
        <v>7</v>
      </c>
      <c r="GQ840" s="27" t="s">
        <v>8</v>
      </c>
      <c r="GR840" s="27" t="s">
        <v>7</v>
      </c>
      <c r="HA840" s="27" t="s">
        <v>8</v>
      </c>
      <c r="HB840" s="27" t="s">
        <v>7</v>
      </c>
      <c r="HE840" s="27" t="s">
        <v>8</v>
      </c>
      <c r="HH840" s="27" t="s">
        <v>7</v>
      </c>
      <c r="HL840" s="27" t="s">
        <v>7</v>
      </c>
      <c r="HM840" s="27" t="s">
        <v>8</v>
      </c>
      <c r="HN840" s="27" t="s">
        <v>7</v>
      </c>
      <c r="HQ840" s="27" t="s">
        <v>8</v>
      </c>
      <c r="HR840" s="27" t="s">
        <v>7</v>
      </c>
      <c r="HS840" s="27" t="s">
        <v>8</v>
      </c>
      <c r="HV840" s="27" t="s">
        <v>7</v>
      </c>
      <c r="HW840" s="27" t="s">
        <v>8</v>
      </c>
      <c r="HX840" s="27" t="s">
        <v>7</v>
      </c>
      <c r="IS840" s="27" t="s">
        <v>8</v>
      </c>
      <c r="IT840" s="27" t="s">
        <v>7</v>
      </c>
      <c r="JA840" s="27" t="s">
        <v>8</v>
      </c>
      <c r="JC840" s="27" t="s">
        <v>8</v>
      </c>
      <c r="JD840" s="27" t="s">
        <v>7</v>
      </c>
      <c r="JK840" s="27" t="s">
        <v>8</v>
      </c>
    </row>
    <row r="841" spans="1:271" x14ac:dyDescent="0.25">
      <c r="A841" s="7">
        <v>6.5396781109750427E-3</v>
      </c>
      <c r="B841"/>
      <c r="C841"/>
      <c r="D841"/>
      <c r="E841"/>
      <c r="BD841" s="27" t="s">
        <v>7</v>
      </c>
      <c r="BE841" s="27" t="s">
        <v>8</v>
      </c>
      <c r="BX841" s="27" t="s">
        <v>7</v>
      </c>
      <c r="CM841" s="27" t="s">
        <v>8</v>
      </c>
      <c r="CN841" s="27" t="s">
        <v>7</v>
      </c>
      <c r="CO841" s="27" t="s">
        <v>8</v>
      </c>
      <c r="CP841" s="27" t="s">
        <v>7</v>
      </c>
      <c r="CQ841" s="27" t="s">
        <v>8</v>
      </c>
      <c r="CR841" s="27" t="s">
        <v>7</v>
      </c>
      <c r="CT841" s="27" t="s">
        <v>7</v>
      </c>
      <c r="CU841" s="27" t="s">
        <v>8</v>
      </c>
      <c r="CV841" s="27" t="s">
        <v>7</v>
      </c>
      <c r="CW841" s="27" t="s">
        <v>8</v>
      </c>
      <c r="CX841" s="27" t="s">
        <v>7</v>
      </c>
      <c r="EA841" s="27" t="s">
        <v>8</v>
      </c>
      <c r="EF841" s="27" t="s">
        <v>7</v>
      </c>
      <c r="EG841" s="27" t="s">
        <v>8</v>
      </c>
      <c r="EH841" s="27" t="s">
        <v>7</v>
      </c>
      <c r="GM841" s="27" t="s">
        <v>8</v>
      </c>
      <c r="GN841" s="27" t="s">
        <v>7</v>
      </c>
      <c r="GQ841" s="27" t="s">
        <v>8</v>
      </c>
      <c r="GR841" s="27" t="s">
        <v>7</v>
      </c>
      <c r="HA841" s="27" t="s">
        <v>8</v>
      </c>
      <c r="HB841" s="27" t="s">
        <v>7</v>
      </c>
      <c r="HE841" s="27" t="s">
        <v>8</v>
      </c>
      <c r="HL841" s="27" t="s">
        <v>7</v>
      </c>
      <c r="HM841" s="27" t="s">
        <v>8</v>
      </c>
      <c r="HN841" s="27" t="s">
        <v>7</v>
      </c>
      <c r="HQ841" s="27" t="s">
        <v>8</v>
      </c>
      <c r="HR841" s="27" t="s">
        <v>7</v>
      </c>
      <c r="HS841" s="27" t="s">
        <v>8</v>
      </c>
      <c r="HV841" s="27" t="s">
        <v>7</v>
      </c>
      <c r="HW841" s="27" t="s">
        <v>8</v>
      </c>
      <c r="HX841" s="27" t="s">
        <v>7</v>
      </c>
      <c r="IS841" s="27" t="s">
        <v>8</v>
      </c>
      <c r="IT841" s="27" t="s">
        <v>7</v>
      </c>
      <c r="IY841" s="27" t="s">
        <v>8</v>
      </c>
      <c r="JA841" s="27" t="s">
        <v>8</v>
      </c>
      <c r="JB841" s="27" t="s">
        <v>7</v>
      </c>
      <c r="JC841" s="27" t="s">
        <v>8</v>
      </c>
      <c r="JD841" s="27" t="s">
        <v>7</v>
      </c>
      <c r="JK841" s="27" t="s">
        <v>8</v>
      </c>
    </row>
    <row r="842" spans="1:271" x14ac:dyDescent="0.25">
      <c r="A842" s="7">
        <v>6.4114491284069045E-3</v>
      </c>
      <c r="B842"/>
      <c r="C842"/>
      <c r="D842"/>
      <c r="E842"/>
      <c r="BD842" s="27" t="s">
        <v>7</v>
      </c>
      <c r="BE842" s="27" t="s">
        <v>8</v>
      </c>
      <c r="BX842" s="27" t="s">
        <v>7</v>
      </c>
      <c r="CM842" s="27" t="s">
        <v>8</v>
      </c>
      <c r="CN842" s="27" t="s">
        <v>7</v>
      </c>
      <c r="CO842" s="27" t="s">
        <v>8</v>
      </c>
      <c r="CP842" s="27" t="s">
        <v>7</v>
      </c>
      <c r="CQ842" s="27" t="s">
        <v>8</v>
      </c>
      <c r="CT842" s="27" t="s">
        <v>7</v>
      </c>
      <c r="CU842" s="27" t="s">
        <v>8</v>
      </c>
      <c r="CV842" s="27" t="s">
        <v>7</v>
      </c>
      <c r="CW842" s="27" t="s">
        <v>8</v>
      </c>
      <c r="CX842" s="27" t="s">
        <v>7</v>
      </c>
      <c r="CY842" s="27" t="s">
        <v>8</v>
      </c>
      <c r="EA842" s="27" t="s">
        <v>8</v>
      </c>
      <c r="EF842" s="27" t="s">
        <v>7</v>
      </c>
      <c r="EG842" s="27" t="s">
        <v>8</v>
      </c>
      <c r="EH842" s="27" t="s">
        <v>7</v>
      </c>
      <c r="EI842" s="27" t="s">
        <v>8</v>
      </c>
      <c r="GM842" s="27" t="s">
        <v>8</v>
      </c>
      <c r="GN842" s="27" t="s">
        <v>7</v>
      </c>
      <c r="GQ842" s="27" t="s">
        <v>8</v>
      </c>
      <c r="GR842" s="27" t="s">
        <v>7</v>
      </c>
      <c r="GW842" s="27" t="s">
        <v>8</v>
      </c>
      <c r="HA842" s="27" t="s">
        <v>8</v>
      </c>
      <c r="HB842" s="27" t="s">
        <v>7</v>
      </c>
      <c r="HC842" s="27" t="s">
        <v>8</v>
      </c>
      <c r="HE842" s="27" t="s">
        <v>8</v>
      </c>
      <c r="HL842" s="27" t="s">
        <v>7</v>
      </c>
      <c r="HM842" s="27" t="s">
        <v>8</v>
      </c>
      <c r="HN842" s="27" t="s">
        <v>7</v>
      </c>
      <c r="HQ842" s="27" t="s">
        <v>8</v>
      </c>
      <c r="HR842" s="27" t="s">
        <v>7</v>
      </c>
      <c r="HS842" s="27" t="s">
        <v>8</v>
      </c>
      <c r="HV842" s="27" t="s">
        <v>7</v>
      </c>
      <c r="HW842" s="27" t="s">
        <v>8</v>
      </c>
      <c r="HX842" s="27" t="s">
        <v>7</v>
      </c>
      <c r="IS842" s="27" t="s">
        <v>8</v>
      </c>
      <c r="IT842" s="27" t="s">
        <v>7</v>
      </c>
      <c r="IU842" s="27" t="s">
        <v>8</v>
      </c>
      <c r="IY842" s="27" t="s">
        <v>8</v>
      </c>
      <c r="IZ842" s="27" t="s">
        <v>7</v>
      </c>
      <c r="JA842" s="27" t="s">
        <v>8</v>
      </c>
      <c r="JB842" s="27" t="s">
        <v>7</v>
      </c>
      <c r="JC842" s="27" t="s">
        <v>8</v>
      </c>
      <c r="JD842" s="27" t="s">
        <v>7</v>
      </c>
      <c r="JK842" s="27" t="s">
        <v>8</v>
      </c>
    </row>
    <row r="843" spans="1:271" x14ac:dyDescent="0.25">
      <c r="A843" s="7">
        <v>6.2857344396146115E-3</v>
      </c>
      <c r="B843"/>
      <c r="C843"/>
      <c r="D843"/>
      <c r="E843"/>
      <c r="BD843" s="27" t="s">
        <v>7</v>
      </c>
      <c r="BX843" s="27" t="s">
        <v>7</v>
      </c>
      <c r="CM843" s="27" t="s">
        <v>8</v>
      </c>
      <c r="CN843" s="27" t="s">
        <v>7</v>
      </c>
      <c r="CO843" s="27" t="s">
        <v>8</v>
      </c>
      <c r="CP843" s="27" t="s">
        <v>7</v>
      </c>
      <c r="CQ843" s="27" t="s">
        <v>8</v>
      </c>
      <c r="CT843" s="27" t="s">
        <v>7</v>
      </c>
      <c r="CU843" s="27" t="s">
        <v>8</v>
      </c>
      <c r="CV843" s="27" t="s">
        <v>7</v>
      </c>
      <c r="CX843" s="27" t="s">
        <v>7</v>
      </c>
      <c r="CY843" s="27" t="s">
        <v>8</v>
      </c>
      <c r="CZ843" s="27" t="s">
        <v>7</v>
      </c>
      <c r="DY843" s="27" t="s">
        <v>8</v>
      </c>
      <c r="EA843" s="27" t="s">
        <v>8</v>
      </c>
      <c r="EF843" s="27" t="s">
        <v>7</v>
      </c>
      <c r="EG843" s="27" t="s">
        <v>8</v>
      </c>
      <c r="EH843" s="27" t="s">
        <v>7</v>
      </c>
      <c r="EI843" s="27" t="s">
        <v>8</v>
      </c>
      <c r="EJ843" s="27" t="s">
        <v>7</v>
      </c>
      <c r="GM843" s="27" t="s">
        <v>8</v>
      </c>
      <c r="GN843" s="27" t="s">
        <v>7</v>
      </c>
      <c r="GQ843" s="27" t="s">
        <v>8</v>
      </c>
      <c r="GR843" s="27" t="s">
        <v>7</v>
      </c>
      <c r="GU843" s="27" t="s">
        <v>8</v>
      </c>
      <c r="GW843" s="27" t="s">
        <v>8</v>
      </c>
      <c r="GX843" s="27" t="s">
        <v>7</v>
      </c>
      <c r="HA843" s="27" t="s">
        <v>8</v>
      </c>
      <c r="HB843" s="27" t="s">
        <v>7</v>
      </c>
      <c r="HC843" s="27" t="s">
        <v>8</v>
      </c>
      <c r="HD843" s="27" t="s">
        <v>7</v>
      </c>
      <c r="HE843" s="27" t="s">
        <v>8</v>
      </c>
      <c r="HL843" s="27" t="s">
        <v>7</v>
      </c>
      <c r="HM843" s="27" t="s">
        <v>8</v>
      </c>
      <c r="HN843" s="27" t="s">
        <v>7</v>
      </c>
      <c r="HQ843" s="27" t="s">
        <v>8</v>
      </c>
      <c r="HR843" s="27" t="s">
        <v>7</v>
      </c>
      <c r="HV843" s="27" t="s">
        <v>7</v>
      </c>
      <c r="HW843" s="27" t="s">
        <v>8</v>
      </c>
      <c r="HX843" s="27" t="s">
        <v>7</v>
      </c>
      <c r="IS843" s="27" t="s">
        <v>8</v>
      </c>
      <c r="IT843" s="27" t="s">
        <v>7</v>
      </c>
      <c r="IU843" s="27" t="s">
        <v>8</v>
      </c>
      <c r="IV843" s="27" t="s">
        <v>7</v>
      </c>
      <c r="IW843" s="27" t="s">
        <v>8</v>
      </c>
      <c r="IY843" s="27" t="s">
        <v>8</v>
      </c>
      <c r="IZ843" s="27" t="s">
        <v>7</v>
      </c>
      <c r="JA843" s="27" t="s">
        <v>8</v>
      </c>
      <c r="JB843" s="27" t="s">
        <v>7</v>
      </c>
      <c r="JD843" s="27" t="s">
        <v>7</v>
      </c>
      <c r="JK843" s="27" t="s">
        <v>8</v>
      </c>
    </row>
    <row r="844" spans="1:271" x14ac:dyDescent="0.25">
      <c r="A844" s="7">
        <v>6.1624847447202076E-3</v>
      </c>
      <c r="B844"/>
      <c r="C844"/>
      <c r="D844"/>
      <c r="E844"/>
      <c r="BX844" s="27" t="s">
        <v>7</v>
      </c>
      <c r="CM844" s="27" t="s">
        <v>8</v>
      </c>
      <c r="CN844" s="27" t="s">
        <v>7</v>
      </c>
      <c r="CO844" s="27" t="s">
        <v>8</v>
      </c>
      <c r="CP844" s="27" t="s">
        <v>7</v>
      </c>
      <c r="CQ844" s="27" t="s">
        <v>8</v>
      </c>
      <c r="CT844" s="27" t="s">
        <v>7</v>
      </c>
      <c r="CU844" s="27" t="s">
        <v>8</v>
      </c>
      <c r="CX844" s="27" t="s">
        <v>7</v>
      </c>
      <c r="CY844" s="27" t="s">
        <v>8</v>
      </c>
      <c r="CZ844" s="27" t="s">
        <v>7</v>
      </c>
      <c r="DE844" s="27" t="s">
        <v>8</v>
      </c>
      <c r="DG844" s="27" t="s">
        <v>8</v>
      </c>
      <c r="DI844" s="27" t="s">
        <v>8</v>
      </c>
      <c r="DW844" s="27" t="s">
        <v>8</v>
      </c>
      <c r="DY844" s="27" t="s">
        <v>8</v>
      </c>
      <c r="DZ844" s="27" t="s">
        <v>7</v>
      </c>
      <c r="EA844" s="27" t="s">
        <v>8</v>
      </c>
      <c r="EF844" s="27" t="s">
        <v>7</v>
      </c>
      <c r="EH844" s="27" t="s">
        <v>7</v>
      </c>
      <c r="EI844" s="27" t="s">
        <v>8</v>
      </c>
      <c r="EJ844" s="27" t="s">
        <v>7</v>
      </c>
      <c r="GI844" s="27" t="s">
        <v>8</v>
      </c>
      <c r="GM844" s="27" t="s">
        <v>8</v>
      </c>
      <c r="GN844" s="27" t="s">
        <v>7</v>
      </c>
      <c r="GQ844" s="27" t="s">
        <v>8</v>
      </c>
      <c r="GR844" s="27" t="s">
        <v>7</v>
      </c>
      <c r="GS844" s="27" t="s">
        <v>8</v>
      </c>
      <c r="GU844" s="27" t="s">
        <v>8</v>
      </c>
      <c r="GV844" s="27" t="s">
        <v>7</v>
      </c>
      <c r="GW844" s="27" t="s">
        <v>8</v>
      </c>
      <c r="GX844" s="27" t="s">
        <v>7</v>
      </c>
      <c r="HA844" s="27" t="s">
        <v>8</v>
      </c>
      <c r="HB844" s="27" t="s">
        <v>7</v>
      </c>
      <c r="HC844" s="27" t="s">
        <v>8</v>
      </c>
      <c r="HD844" s="27" t="s">
        <v>7</v>
      </c>
      <c r="HE844" s="27" t="s">
        <v>8</v>
      </c>
      <c r="HL844" s="27" t="s">
        <v>7</v>
      </c>
      <c r="HN844" s="27" t="s">
        <v>7</v>
      </c>
      <c r="HQ844" s="27" t="s">
        <v>8</v>
      </c>
      <c r="HV844" s="27" t="s">
        <v>7</v>
      </c>
      <c r="HW844" s="27" t="s">
        <v>8</v>
      </c>
      <c r="HX844" s="27" t="s">
        <v>7</v>
      </c>
      <c r="IE844" s="27" t="s">
        <v>8</v>
      </c>
      <c r="IS844" s="27" t="s">
        <v>8</v>
      </c>
      <c r="IT844" s="27" t="s">
        <v>7</v>
      </c>
      <c r="IU844" s="27" t="s">
        <v>8</v>
      </c>
      <c r="IV844" s="27" t="s">
        <v>7</v>
      </c>
      <c r="IW844" s="27" t="s">
        <v>8</v>
      </c>
      <c r="IX844" s="27" t="s">
        <v>7</v>
      </c>
      <c r="IY844" s="27" t="s">
        <v>8</v>
      </c>
      <c r="IZ844" s="27" t="s">
        <v>7</v>
      </c>
      <c r="JA844" s="27" t="s">
        <v>8</v>
      </c>
      <c r="JD844" s="27" t="s">
        <v>7</v>
      </c>
      <c r="JK844" s="27" t="s">
        <v>8</v>
      </c>
    </row>
    <row r="845" spans="1:271" x14ac:dyDescent="0.25">
      <c r="A845" s="7">
        <v>6.0416517105100079E-3</v>
      </c>
      <c r="B845"/>
      <c r="C845"/>
      <c r="D845"/>
      <c r="E845"/>
      <c r="BX845" s="27" t="s">
        <v>7</v>
      </c>
      <c r="CM845" s="27" t="s">
        <v>8</v>
      </c>
      <c r="CN845" s="27" t="s">
        <v>7</v>
      </c>
      <c r="CO845" s="27" t="s">
        <v>8</v>
      </c>
      <c r="CP845" s="27" t="s">
        <v>7</v>
      </c>
      <c r="CT845" s="27" t="s">
        <v>7</v>
      </c>
      <c r="CU845" s="27" t="s">
        <v>8</v>
      </c>
      <c r="CX845" s="27" t="s">
        <v>7</v>
      </c>
      <c r="CY845" s="27" t="s">
        <v>8</v>
      </c>
      <c r="CZ845" s="27" t="s">
        <v>7</v>
      </c>
      <c r="DE845" s="27" t="s">
        <v>8</v>
      </c>
      <c r="DF845" s="27" t="s">
        <v>7</v>
      </c>
      <c r="DG845" s="27" t="s">
        <v>8</v>
      </c>
      <c r="DH845" s="27" t="s">
        <v>7</v>
      </c>
      <c r="DI845" s="27" t="s">
        <v>8</v>
      </c>
      <c r="DJ845" s="27" t="s">
        <v>7</v>
      </c>
      <c r="DU845" s="27" t="s">
        <v>8</v>
      </c>
      <c r="DW845" s="27" t="s">
        <v>8</v>
      </c>
      <c r="DX845" s="27" t="s">
        <v>7</v>
      </c>
      <c r="DY845" s="27" t="s">
        <v>8</v>
      </c>
      <c r="DZ845" s="27" t="s">
        <v>7</v>
      </c>
      <c r="EA845" s="27" t="s">
        <v>8</v>
      </c>
      <c r="EH845" s="27" t="s">
        <v>7</v>
      </c>
      <c r="EJ845" s="27" t="s">
        <v>7</v>
      </c>
      <c r="GI845" s="27" t="s">
        <v>8</v>
      </c>
      <c r="GJ845" s="27" t="s">
        <v>7</v>
      </c>
      <c r="GM845" s="27" t="s">
        <v>8</v>
      </c>
      <c r="GN845" s="27" t="s">
        <v>7</v>
      </c>
      <c r="GQ845" s="27" t="s">
        <v>8</v>
      </c>
      <c r="GR845" s="27" t="s">
        <v>7</v>
      </c>
      <c r="GS845" s="27" t="s">
        <v>8</v>
      </c>
      <c r="GT845" s="27" t="s">
        <v>7</v>
      </c>
      <c r="GU845" s="27" t="s">
        <v>8</v>
      </c>
      <c r="GV845" s="27" t="s">
        <v>7</v>
      </c>
      <c r="GW845" s="27" t="s">
        <v>8</v>
      </c>
      <c r="GX845" s="27" t="s">
        <v>7</v>
      </c>
      <c r="GY845" s="27" t="s">
        <v>8</v>
      </c>
      <c r="HA845" s="27" t="s">
        <v>8</v>
      </c>
      <c r="HB845" s="27" t="s">
        <v>7</v>
      </c>
      <c r="HC845" s="27" t="s">
        <v>8</v>
      </c>
      <c r="HD845" s="27" t="s">
        <v>7</v>
      </c>
      <c r="HN845" s="27" t="s">
        <v>7</v>
      </c>
      <c r="HQ845" s="27" t="s">
        <v>8</v>
      </c>
      <c r="HV845" s="27" t="s">
        <v>7</v>
      </c>
      <c r="HX845" s="27" t="s">
        <v>7</v>
      </c>
      <c r="IA845" s="27" t="s">
        <v>8</v>
      </c>
      <c r="IE845" s="27" t="s">
        <v>8</v>
      </c>
      <c r="IF845" s="27" t="s">
        <v>7</v>
      </c>
      <c r="IS845" s="27" t="s">
        <v>8</v>
      </c>
      <c r="IT845" s="27" t="s">
        <v>7</v>
      </c>
      <c r="IU845" s="27" t="s">
        <v>8</v>
      </c>
      <c r="IV845" s="27" t="s">
        <v>7</v>
      </c>
      <c r="IW845" s="27" t="s">
        <v>8</v>
      </c>
      <c r="IX845" s="27" t="s">
        <v>7</v>
      </c>
      <c r="IY845" s="27" t="s">
        <v>8</v>
      </c>
      <c r="IZ845" s="27" t="s">
        <v>7</v>
      </c>
      <c r="JA845" s="27" t="s">
        <v>8</v>
      </c>
      <c r="JD845" s="27" t="s">
        <v>7</v>
      </c>
      <c r="JE845" s="27" t="s">
        <v>8</v>
      </c>
      <c r="JG845" s="27" t="s">
        <v>8</v>
      </c>
      <c r="JK845" s="27" t="s">
        <v>8</v>
      </c>
    </row>
    <row r="846" spans="1:271" x14ac:dyDescent="0.25">
      <c r="A846" s="7">
        <v>5.9231879514803996E-3</v>
      </c>
      <c r="B846"/>
      <c r="C846"/>
      <c r="D846"/>
      <c r="E846"/>
      <c r="BX846" s="27" t="s">
        <v>7</v>
      </c>
      <c r="CM846" s="27" t="s">
        <v>8</v>
      </c>
      <c r="CN846" s="27" t="s">
        <v>7</v>
      </c>
      <c r="CO846" s="27" t="s">
        <v>8</v>
      </c>
      <c r="CT846" s="27" t="s">
        <v>7</v>
      </c>
      <c r="CU846" s="27" t="s">
        <v>8</v>
      </c>
      <c r="CX846" s="27" t="s">
        <v>7</v>
      </c>
      <c r="CZ846" s="27" t="s">
        <v>7</v>
      </c>
      <c r="DE846" s="27" t="s">
        <v>8</v>
      </c>
      <c r="DF846" s="27" t="s">
        <v>7</v>
      </c>
      <c r="DG846" s="27" t="s">
        <v>8</v>
      </c>
      <c r="DH846" s="27" t="s">
        <v>7</v>
      </c>
      <c r="DI846" s="27" t="s">
        <v>8</v>
      </c>
      <c r="DJ846" s="27" t="s">
        <v>7</v>
      </c>
      <c r="DU846" s="27" t="s">
        <v>8</v>
      </c>
      <c r="DV846" s="27" t="s">
        <v>7</v>
      </c>
      <c r="DW846" s="27" t="s">
        <v>8</v>
      </c>
      <c r="DX846" s="27" t="s">
        <v>7</v>
      </c>
      <c r="DY846" s="27" t="s">
        <v>8</v>
      </c>
      <c r="DZ846" s="27" t="s">
        <v>7</v>
      </c>
      <c r="EJ846" s="27" t="s">
        <v>7</v>
      </c>
      <c r="GG846" s="27" t="s">
        <v>8</v>
      </c>
      <c r="GI846" s="27" t="s">
        <v>8</v>
      </c>
      <c r="GJ846" s="27" t="s">
        <v>7</v>
      </c>
      <c r="GK846" s="27" t="s">
        <v>8</v>
      </c>
      <c r="GM846" s="27" t="s">
        <v>8</v>
      </c>
      <c r="GN846" s="27" t="s">
        <v>7</v>
      </c>
      <c r="GQ846" s="27" t="s">
        <v>8</v>
      </c>
      <c r="GR846" s="27" t="s">
        <v>7</v>
      </c>
      <c r="GS846" s="27" t="s">
        <v>8</v>
      </c>
      <c r="GT846" s="27" t="s">
        <v>7</v>
      </c>
      <c r="GU846" s="27" t="s">
        <v>8</v>
      </c>
      <c r="GV846" s="27" t="s">
        <v>7</v>
      </c>
      <c r="GX846" s="27" t="s">
        <v>7</v>
      </c>
      <c r="GY846" s="27" t="s">
        <v>8</v>
      </c>
      <c r="GZ846" s="27" t="s">
        <v>7</v>
      </c>
      <c r="HA846" s="27" t="s">
        <v>8</v>
      </c>
      <c r="HB846" s="27" t="s">
        <v>7</v>
      </c>
      <c r="HC846" s="27" t="s">
        <v>8</v>
      </c>
      <c r="HN846" s="27" t="s">
        <v>7</v>
      </c>
      <c r="HQ846" s="27" t="s">
        <v>8</v>
      </c>
      <c r="HX846" s="27" t="s">
        <v>7</v>
      </c>
      <c r="IA846" s="27" t="s">
        <v>8</v>
      </c>
      <c r="IB846" s="27" t="s">
        <v>7</v>
      </c>
      <c r="IE846" s="27" t="s">
        <v>8</v>
      </c>
      <c r="IF846" s="27" t="s">
        <v>7</v>
      </c>
      <c r="IS846" s="27" t="s">
        <v>8</v>
      </c>
      <c r="IT846" s="27" t="s">
        <v>7</v>
      </c>
      <c r="IU846" s="27" t="s">
        <v>8</v>
      </c>
      <c r="IV846" s="27" t="s">
        <v>7</v>
      </c>
      <c r="IX846" s="27" t="s">
        <v>7</v>
      </c>
      <c r="IY846" s="27" t="s">
        <v>8</v>
      </c>
      <c r="IZ846" s="27" t="s">
        <v>7</v>
      </c>
      <c r="JA846" s="27" t="s">
        <v>8</v>
      </c>
      <c r="JD846" s="27" t="s">
        <v>7</v>
      </c>
      <c r="JE846" s="27" t="s">
        <v>8</v>
      </c>
      <c r="JF846" s="27" t="s">
        <v>7</v>
      </c>
      <c r="JG846" s="27" t="s">
        <v>8</v>
      </c>
      <c r="JH846" s="27" t="s">
        <v>7</v>
      </c>
      <c r="JI846" s="27" t="s">
        <v>8</v>
      </c>
      <c r="JK846" s="27" t="s">
        <v>8</v>
      </c>
    </row>
    <row r="847" spans="1:271" x14ac:dyDescent="0.25">
      <c r="A847" s="7">
        <v>5.8070470112552936E-3</v>
      </c>
      <c r="B847"/>
      <c r="C847"/>
      <c r="D847"/>
      <c r="E847"/>
      <c r="BX847" s="27" t="s">
        <v>7</v>
      </c>
      <c r="CM847" s="27" t="s">
        <v>8</v>
      </c>
      <c r="CN847" s="27" t="s">
        <v>7</v>
      </c>
      <c r="CO847" s="27" t="s">
        <v>8</v>
      </c>
      <c r="CT847" s="27" t="s">
        <v>7</v>
      </c>
      <c r="CZ847" s="27" t="s">
        <v>7</v>
      </c>
      <c r="DE847" s="27" t="s">
        <v>8</v>
      </c>
      <c r="DF847" s="27" t="s">
        <v>7</v>
      </c>
      <c r="DG847" s="27" t="s">
        <v>8</v>
      </c>
      <c r="DH847" s="27" t="s">
        <v>7</v>
      </c>
      <c r="DJ847" s="27" t="s">
        <v>7</v>
      </c>
      <c r="DO847" s="27" t="s">
        <v>8</v>
      </c>
      <c r="DU847" s="27" t="s">
        <v>8</v>
      </c>
      <c r="DV847" s="27" t="s">
        <v>7</v>
      </c>
      <c r="DW847" s="27" t="s">
        <v>8</v>
      </c>
      <c r="DX847" s="27" t="s">
        <v>7</v>
      </c>
      <c r="DY847" s="27" t="s">
        <v>8</v>
      </c>
      <c r="EJ847" s="27" t="s">
        <v>7</v>
      </c>
      <c r="EO847" s="27" t="s">
        <v>8</v>
      </c>
      <c r="GG847" s="27" t="s">
        <v>8</v>
      </c>
      <c r="GH847" s="27" t="s">
        <v>7</v>
      </c>
      <c r="GI847" s="27" t="s">
        <v>8</v>
      </c>
      <c r="GJ847" s="27" t="s">
        <v>7</v>
      </c>
      <c r="GK847" s="27" t="s">
        <v>8</v>
      </c>
      <c r="GL847" s="27" t="s">
        <v>7</v>
      </c>
      <c r="GM847" s="27" t="s">
        <v>8</v>
      </c>
      <c r="GN847" s="27" t="s">
        <v>7</v>
      </c>
      <c r="GO847" s="27" t="s">
        <v>8</v>
      </c>
      <c r="GQ847" s="27" t="s">
        <v>8</v>
      </c>
      <c r="GR847" s="27" t="s">
        <v>7</v>
      </c>
      <c r="GT847" s="27" t="s">
        <v>7</v>
      </c>
      <c r="GU847" s="27" t="s">
        <v>8</v>
      </c>
      <c r="GX847" s="27" t="s">
        <v>7</v>
      </c>
      <c r="GY847" s="27" t="s">
        <v>8</v>
      </c>
      <c r="GZ847" s="27" t="s">
        <v>7</v>
      </c>
      <c r="HA847" s="27" t="s">
        <v>8</v>
      </c>
      <c r="HB847" s="27" t="s">
        <v>7</v>
      </c>
      <c r="HN847" s="27" t="s">
        <v>7</v>
      </c>
      <c r="HQ847" s="27" t="s">
        <v>8</v>
      </c>
      <c r="HX847" s="27" t="s">
        <v>7</v>
      </c>
      <c r="IA847" s="27" t="s">
        <v>8</v>
      </c>
      <c r="IB847" s="27" t="s">
        <v>7</v>
      </c>
      <c r="IE847" s="27" t="s">
        <v>8</v>
      </c>
      <c r="IF847" s="27" t="s">
        <v>7</v>
      </c>
      <c r="IS847" s="27" t="s">
        <v>8</v>
      </c>
      <c r="IT847" s="27" t="s">
        <v>7</v>
      </c>
      <c r="IU847" s="27" t="s">
        <v>8</v>
      </c>
      <c r="IX847" s="27" t="s">
        <v>7</v>
      </c>
      <c r="IY847" s="27" t="s">
        <v>8</v>
      </c>
      <c r="IZ847" s="27" t="s">
        <v>7</v>
      </c>
      <c r="JA847" s="27" t="s">
        <v>8</v>
      </c>
      <c r="JD847" s="27" t="s">
        <v>7</v>
      </c>
      <c r="JE847" s="27" t="s">
        <v>8</v>
      </c>
      <c r="JF847" s="27" t="s">
        <v>7</v>
      </c>
      <c r="JG847" s="27" t="s">
        <v>8</v>
      </c>
      <c r="JH847" s="27" t="s">
        <v>7</v>
      </c>
      <c r="JI847" s="27" t="s">
        <v>8</v>
      </c>
      <c r="JJ847" s="27" t="s">
        <v>7</v>
      </c>
      <c r="JK847" s="27" t="s">
        <v>8</v>
      </c>
    </row>
    <row r="848" spans="1:271" x14ac:dyDescent="0.25">
      <c r="A848" s="7">
        <v>5.6931833443679353E-3</v>
      </c>
      <c r="B848"/>
      <c r="C848"/>
      <c r="D848"/>
      <c r="E848"/>
      <c r="BX848" s="27" t="s">
        <v>7</v>
      </c>
      <c r="CM848" s="27" t="s">
        <v>8</v>
      </c>
      <c r="CN848" s="27" t="s">
        <v>7</v>
      </c>
      <c r="CO848" s="27" t="s">
        <v>8</v>
      </c>
      <c r="CZ848" s="27" t="s">
        <v>7</v>
      </c>
      <c r="DE848" s="27" t="s">
        <v>8</v>
      </c>
      <c r="DF848" s="27" t="s">
        <v>7</v>
      </c>
      <c r="DG848" s="27" t="s">
        <v>8</v>
      </c>
      <c r="DJ848" s="27" t="s">
        <v>7</v>
      </c>
      <c r="DO848" s="27" t="s">
        <v>8</v>
      </c>
      <c r="DP848" s="27" t="s">
        <v>7</v>
      </c>
      <c r="DU848" s="27" t="s">
        <v>8</v>
      </c>
      <c r="DV848" s="27" t="s">
        <v>7</v>
      </c>
      <c r="DW848" s="27" t="s">
        <v>8</v>
      </c>
      <c r="DX848" s="27" t="s">
        <v>7</v>
      </c>
      <c r="DY848" s="27" t="s">
        <v>8</v>
      </c>
      <c r="EJ848" s="27" t="s">
        <v>7</v>
      </c>
      <c r="EO848" s="27" t="s">
        <v>8</v>
      </c>
      <c r="EP848" s="27" t="s">
        <v>7</v>
      </c>
      <c r="GG848" s="27" t="s">
        <v>8</v>
      </c>
      <c r="GH848" s="27" t="s">
        <v>7</v>
      </c>
      <c r="GI848" s="27" t="s">
        <v>8</v>
      </c>
      <c r="GJ848" s="27" t="s">
        <v>7</v>
      </c>
      <c r="GK848" s="27" t="s">
        <v>8</v>
      </c>
      <c r="GL848" s="27" t="s">
        <v>7</v>
      </c>
      <c r="GM848" s="27" t="s">
        <v>8</v>
      </c>
      <c r="GN848" s="27" t="s">
        <v>7</v>
      </c>
      <c r="GO848" s="27" t="s">
        <v>8</v>
      </c>
      <c r="GP848" s="27" t="s">
        <v>7</v>
      </c>
      <c r="GQ848" s="27" t="s">
        <v>8</v>
      </c>
      <c r="GT848" s="27" t="s">
        <v>7</v>
      </c>
      <c r="GX848" s="27" t="s">
        <v>7</v>
      </c>
      <c r="GY848" s="27" t="s">
        <v>8</v>
      </c>
      <c r="GZ848" s="27" t="s">
        <v>7</v>
      </c>
      <c r="HA848" s="27" t="s">
        <v>8</v>
      </c>
      <c r="HN848" s="27" t="s">
        <v>7</v>
      </c>
      <c r="HQ848" s="27" t="s">
        <v>8</v>
      </c>
      <c r="HX848" s="27" t="s">
        <v>7</v>
      </c>
      <c r="HY848" s="27" t="s">
        <v>8</v>
      </c>
      <c r="IA848" s="27" t="s">
        <v>8</v>
      </c>
      <c r="IB848" s="27" t="s">
        <v>7</v>
      </c>
      <c r="IE848" s="27" t="s">
        <v>8</v>
      </c>
      <c r="IF848" s="27" t="s">
        <v>7</v>
      </c>
      <c r="IG848" s="27" t="s">
        <v>8</v>
      </c>
      <c r="IS848" s="27" t="s">
        <v>8</v>
      </c>
      <c r="IT848" s="27" t="s">
        <v>7</v>
      </c>
      <c r="IU848" s="27" t="s">
        <v>8</v>
      </c>
      <c r="IX848" s="27" t="s">
        <v>7</v>
      </c>
      <c r="IY848" s="27" t="s">
        <v>8</v>
      </c>
      <c r="IZ848" s="27" t="s">
        <v>7</v>
      </c>
      <c r="JD848" s="27" t="s">
        <v>7</v>
      </c>
      <c r="JE848" s="27" t="s">
        <v>8</v>
      </c>
      <c r="JF848" s="27" t="s">
        <v>7</v>
      </c>
      <c r="JG848" s="27" t="s">
        <v>8</v>
      </c>
      <c r="JH848" s="27" t="s">
        <v>7</v>
      </c>
      <c r="JI848" s="27" t="s">
        <v>8</v>
      </c>
      <c r="JJ848" s="27" t="s">
        <v>7</v>
      </c>
      <c r="JK848" s="27" t="s">
        <v>8</v>
      </c>
    </row>
    <row r="849" spans="1:271" x14ac:dyDescent="0.25">
      <c r="A849" s="7">
        <v>5.5815522983999367E-3</v>
      </c>
      <c r="B849"/>
      <c r="C849"/>
      <c r="D849"/>
      <c r="E849"/>
      <c r="BX849" s="27" t="s">
        <v>7</v>
      </c>
      <c r="CE849" s="27" t="s">
        <v>8</v>
      </c>
      <c r="CM849" s="27" t="s">
        <v>8</v>
      </c>
      <c r="CN849" s="27" t="s">
        <v>7</v>
      </c>
      <c r="CO849" s="27" t="s">
        <v>8</v>
      </c>
      <c r="CZ849" s="27" t="s">
        <v>7</v>
      </c>
      <c r="DC849" s="27" t="s">
        <v>8</v>
      </c>
      <c r="DE849" s="27" t="s">
        <v>8</v>
      </c>
      <c r="DF849" s="27" t="s">
        <v>7</v>
      </c>
      <c r="DG849" s="27" t="s">
        <v>8</v>
      </c>
      <c r="DJ849" s="27" t="s">
        <v>7</v>
      </c>
      <c r="DO849" s="27" t="s">
        <v>8</v>
      </c>
      <c r="DP849" s="27" t="s">
        <v>7</v>
      </c>
      <c r="DU849" s="27" t="s">
        <v>8</v>
      </c>
      <c r="DV849" s="27" t="s">
        <v>7</v>
      </c>
      <c r="DW849" s="27" t="s">
        <v>8</v>
      </c>
      <c r="DX849" s="27" t="s">
        <v>7</v>
      </c>
      <c r="DY849" s="27" t="s">
        <v>8</v>
      </c>
      <c r="EJ849" s="27" t="s">
        <v>7</v>
      </c>
      <c r="EO849" s="27" t="s">
        <v>8</v>
      </c>
      <c r="EP849" s="27" t="s">
        <v>7</v>
      </c>
      <c r="GG849" s="27" t="s">
        <v>8</v>
      </c>
      <c r="GH849" s="27" t="s">
        <v>7</v>
      </c>
      <c r="GI849" s="27" t="s">
        <v>8</v>
      </c>
      <c r="GJ849" s="27" t="s">
        <v>7</v>
      </c>
      <c r="GK849" s="27" t="s">
        <v>8</v>
      </c>
      <c r="GL849" s="27" t="s">
        <v>7</v>
      </c>
      <c r="GM849" s="27" t="s">
        <v>8</v>
      </c>
      <c r="GN849" s="27" t="s">
        <v>7</v>
      </c>
      <c r="GO849" s="27" t="s">
        <v>8</v>
      </c>
      <c r="GP849" s="27" t="s">
        <v>7</v>
      </c>
      <c r="GQ849" s="27" t="s">
        <v>8</v>
      </c>
      <c r="GX849" s="27" t="s">
        <v>7</v>
      </c>
      <c r="GY849" s="27" t="s">
        <v>8</v>
      </c>
      <c r="GZ849" s="27" t="s">
        <v>7</v>
      </c>
      <c r="HA849" s="27" t="s">
        <v>8</v>
      </c>
      <c r="HN849" s="27" t="s">
        <v>7</v>
      </c>
      <c r="HO849" s="27" t="s">
        <v>8</v>
      </c>
      <c r="HQ849" s="27" t="s">
        <v>8</v>
      </c>
      <c r="HX849" s="27" t="s">
        <v>7</v>
      </c>
      <c r="HY849" s="27" t="s">
        <v>8</v>
      </c>
      <c r="HZ849" s="27" t="s">
        <v>7</v>
      </c>
      <c r="IA849" s="27" t="s">
        <v>8</v>
      </c>
      <c r="IB849" s="27" t="s">
        <v>7</v>
      </c>
      <c r="IC849" s="27" t="s">
        <v>8</v>
      </c>
      <c r="IE849" s="27" t="s">
        <v>8</v>
      </c>
      <c r="IF849" s="27" t="s">
        <v>7</v>
      </c>
      <c r="IG849" s="27" t="s">
        <v>8</v>
      </c>
      <c r="IH849" s="27" t="s">
        <v>7</v>
      </c>
      <c r="IS849" s="27" t="s">
        <v>8</v>
      </c>
      <c r="IT849" s="27" t="s">
        <v>7</v>
      </c>
      <c r="IU849" s="27" t="s">
        <v>8</v>
      </c>
      <c r="IX849" s="27" t="s">
        <v>7</v>
      </c>
      <c r="IY849" s="27" t="s">
        <v>8</v>
      </c>
      <c r="JD849" s="27" t="s">
        <v>7</v>
      </c>
      <c r="JE849" s="27" t="s">
        <v>8</v>
      </c>
      <c r="JF849" s="27" t="s">
        <v>7</v>
      </c>
      <c r="JH849" s="27" t="s">
        <v>7</v>
      </c>
      <c r="JJ849" s="27" t="s">
        <v>7</v>
      </c>
      <c r="JK849" s="27" t="s">
        <v>8</v>
      </c>
    </row>
    <row r="850" spans="1:271" x14ac:dyDescent="0.25">
      <c r="A850" s="7">
        <v>5.4721100964705257E-3</v>
      </c>
      <c r="B850"/>
      <c r="C850"/>
      <c r="D850"/>
      <c r="E850"/>
      <c r="BX850" s="27" t="s">
        <v>7</v>
      </c>
      <c r="CE850" s="27" t="s">
        <v>8</v>
      </c>
      <c r="CF850" s="27" t="s">
        <v>7</v>
      </c>
      <c r="CM850" s="27" t="s">
        <v>8</v>
      </c>
      <c r="CN850" s="27" t="s">
        <v>7</v>
      </c>
      <c r="CO850" s="27" t="s">
        <v>8</v>
      </c>
      <c r="CZ850" s="27" t="s">
        <v>7</v>
      </c>
      <c r="DC850" s="27" t="s">
        <v>8</v>
      </c>
      <c r="DD850" s="27" t="s">
        <v>7</v>
      </c>
      <c r="DE850" s="27" t="s">
        <v>8</v>
      </c>
      <c r="DF850" s="27" t="s">
        <v>7</v>
      </c>
      <c r="DJ850" s="27" t="s">
        <v>7</v>
      </c>
      <c r="DK850" s="27" t="s">
        <v>8</v>
      </c>
      <c r="DO850" s="27" t="s">
        <v>8</v>
      </c>
      <c r="DP850" s="27" t="s">
        <v>7</v>
      </c>
      <c r="DU850" s="27" t="s">
        <v>8</v>
      </c>
      <c r="DV850" s="27" t="s">
        <v>7</v>
      </c>
      <c r="DX850" s="27" t="s">
        <v>7</v>
      </c>
      <c r="DY850" s="27" t="s">
        <v>8</v>
      </c>
      <c r="EJ850" s="27" t="s">
        <v>7</v>
      </c>
      <c r="EO850" s="27" t="s">
        <v>8</v>
      </c>
      <c r="EP850" s="27" t="s">
        <v>7</v>
      </c>
      <c r="GG850" s="27" t="s">
        <v>8</v>
      </c>
      <c r="GH850" s="27" t="s">
        <v>7</v>
      </c>
      <c r="GI850" s="27" t="s">
        <v>8</v>
      </c>
      <c r="GJ850" s="27" t="s">
        <v>7</v>
      </c>
      <c r="GK850" s="27" t="s">
        <v>8</v>
      </c>
      <c r="GL850" s="27" t="s">
        <v>7</v>
      </c>
      <c r="GN850" s="27" t="s">
        <v>7</v>
      </c>
      <c r="GO850" s="27" t="s">
        <v>8</v>
      </c>
      <c r="GP850" s="27" t="s">
        <v>7</v>
      </c>
      <c r="GX850" s="27" t="s">
        <v>7</v>
      </c>
      <c r="GY850" s="27" t="s">
        <v>8</v>
      </c>
      <c r="GZ850" s="27" t="s">
        <v>7</v>
      </c>
      <c r="HA850" s="27" t="s">
        <v>8</v>
      </c>
      <c r="HN850" s="27" t="s">
        <v>7</v>
      </c>
      <c r="HO850" s="27" t="s">
        <v>8</v>
      </c>
      <c r="HP850" s="27" t="s">
        <v>7</v>
      </c>
      <c r="HQ850" s="27" t="s">
        <v>8</v>
      </c>
      <c r="HX850" s="27" t="s">
        <v>7</v>
      </c>
      <c r="HY850" s="27" t="s">
        <v>8</v>
      </c>
      <c r="HZ850" s="27" t="s">
        <v>7</v>
      </c>
      <c r="IA850" s="27" t="s">
        <v>8</v>
      </c>
      <c r="IB850" s="27" t="s">
        <v>7</v>
      </c>
      <c r="IC850" s="27" t="s">
        <v>8</v>
      </c>
      <c r="ID850" s="27" t="s">
        <v>7</v>
      </c>
      <c r="IE850" s="27" t="s">
        <v>8</v>
      </c>
      <c r="IF850" s="27" t="s">
        <v>7</v>
      </c>
      <c r="IG850" s="27" t="s">
        <v>8</v>
      </c>
      <c r="IH850" s="27" t="s">
        <v>7</v>
      </c>
      <c r="II850" s="27" t="s">
        <v>8</v>
      </c>
      <c r="IS850" s="27" t="s">
        <v>8</v>
      </c>
      <c r="IT850" s="27" t="s">
        <v>7</v>
      </c>
      <c r="IU850" s="27" t="s">
        <v>8</v>
      </c>
      <c r="IX850" s="27" t="s">
        <v>7</v>
      </c>
      <c r="JD850" s="27" t="s">
        <v>7</v>
      </c>
      <c r="JE850" s="27" t="s">
        <v>8</v>
      </c>
      <c r="JJ850" s="27" t="s">
        <v>7</v>
      </c>
      <c r="JK850" s="27" t="s">
        <v>8</v>
      </c>
    </row>
    <row r="851" spans="1:271" x14ac:dyDescent="0.25">
      <c r="A851" s="7">
        <v>5.3648138200691423E-3</v>
      </c>
      <c r="B851"/>
      <c r="C851"/>
      <c r="D851"/>
      <c r="E851"/>
      <c r="BX851" s="27" t="s">
        <v>7</v>
      </c>
      <c r="CE851" s="27" t="s">
        <v>8</v>
      </c>
      <c r="CF851" s="27" t="s">
        <v>7</v>
      </c>
      <c r="CM851" s="27" t="s">
        <v>8</v>
      </c>
      <c r="CN851" s="27" t="s">
        <v>7</v>
      </c>
      <c r="CO851" s="27" t="s">
        <v>8</v>
      </c>
      <c r="CZ851" s="27" t="s">
        <v>7</v>
      </c>
      <c r="DC851" s="27" t="s">
        <v>8</v>
      </c>
      <c r="DD851" s="27" t="s">
        <v>7</v>
      </c>
      <c r="DE851" s="27" t="s">
        <v>8</v>
      </c>
      <c r="DJ851" s="27" t="s">
        <v>7</v>
      </c>
      <c r="DK851" s="27" t="s">
        <v>8</v>
      </c>
      <c r="DL851" s="27" t="s">
        <v>7</v>
      </c>
      <c r="DO851" s="27" t="s">
        <v>8</v>
      </c>
      <c r="DP851" s="27" t="s">
        <v>7</v>
      </c>
      <c r="DU851" s="27" t="s">
        <v>8</v>
      </c>
      <c r="DX851" s="27" t="s">
        <v>7</v>
      </c>
      <c r="DY851" s="27" t="s">
        <v>8</v>
      </c>
      <c r="EJ851" s="27" t="s">
        <v>7</v>
      </c>
      <c r="EK851" s="27" t="s">
        <v>8</v>
      </c>
      <c r="EO851" s="27" t="s">
        <v>8</v>
      </c>
      <c r="EP851" s="27" t="s">
        <v>7</v>
      </c>
      <c r="GE851" s="27" t="s">
        <v>8</v>
      </c>
      <c r="GG851" s="27" t="s">
        <v>8</v>
      </c>
      <c r="GH851" s="27" t="s">
        <v>7</v>
      </c>
      <c r="GI851" s="27" t="s">
        <v>8</v>
      </c>
      <c r="GJ851" s="27" t="s">
        <v>7</v>
      </c>
      <c r="GK851" s="27" t="s">
        <v>8</v>
      </c>
      <c r="GN851" s="27" t="s">
        <v>7</v>
      </c>
      <c r="GX851" s="27" t="s">
        <v>7</v>
      </c>
      <c r="GY851" s="27" t="s">
        <v>8</v>
      </c>
      <c r="GZ851" s="27" t="s">
        <v>7</v>
      </c>
      <c r="HA851" s="27" t="s">
        <v>8</v>
      </c>
      <c r="HN851" s="27" t="s">
        <v>7</v>
      </c>
      <c r="HO851" s="27" t="s">
        <v>8</v>
      </c>
      <c r="HP851" s="27" t="s">
        <v>7</v>
      </c>
      <c r="HQ851" s="27" t="s">
        <v>8</v>
      </c>
      <c r="HX851" s="27" t="s">
        <v>7</v>
      </c>
      <c r="HY851" s="27" t="s">
        <v>8</v>
      </c>
      <c r="HZ851" s="27" t="s">
        <v>7</v>
      </c>
      <c r="IA851" s="27" t="s">
        <v>8</v>
      </c>
      <c r="IB851" s="27" t="s">
        <v>7</v>
      </c>
      <c r="IC851" s="27" t="s">
        <v>8</v>
      </c>
      <c r="ID851" s="27" t="s">
        <v>7</v>
      </c>
      <c r="IE851" s="27" t="s">
        <v>8</v>
      </c>
      <c r="IF851" s="27" t="s">
        <v>7</v>
      </c>
      <c r="IG851" s="27" t="s">
        <v>8</v>
      </c>
      <c r="IH851" s="27" t="s">
        <v>7</v>
      </c>
      <c r="II851" s="27" t="s">
        <v>8</v>
      </c>
      <c r="IJ851" s="27" t="s">
        <v>7</v>
      </c>
      <c r="IQ851" s="27" t="s">
        <v>8</v>
      </c>
      <c r="IS851" s="27" t="s">
        <v>8</v>
      </c>
      <c r="IT851" s="27" t="s">
        <v>7</v>
      </c>
      <c r="IU851" s="27" t="s">
        <v>8</v>
      </c>
      <c r="JD851" s="27" t="s">
        <v>7</v>
      </c>
      <c r="JE851" s="27" t="s">
        <v>8</v>
      </c>
      <c r="JJ851" s="27" t="s">
        <v>7</v>
      </c>
      <c r="JK851" s="27" t="s">
        <v>8</v>
      </c>
    </row>
    <row r="852" spans="1:271" x14ac:dyDescent="0.25">
      <c r="A852" s="7">
        <v>5.2596213922246494E-3</v>
      </c>
      <c r="B852"/>
      <c r="C852"/>
      <c r="D852"/>
      <c r="E852"/>
      <c r="BX852" s="27" t="s">
        <v>7</v>
      </c>
      <c r="CE852" s="27" t="s">
        <v>8</v>
      </c>
      <c r="CF852" s="27" t="s">
        <v>7</v>
      </c>
      <c r="CG852" s="27" t="s">
        <v>8</v>
      </c>
      <c r="CM852" s="27" t="s">
        <v>8</v>
      </c>
      <c r="CN852" s="27" t="s">
        <v>7</v>
      </c>
      <c r="CO852" s="27" t="s">
        <v>8</v>
      </c>
      <c r="CZ852" s="27" t="s">
        <v>7</v>
      </c>
      <c r="DC852" s="27" t="s">
        <v>8</v>
      </c>
      <c r="DD852" s="27" t="s">
        <v>7</v>
      </c>
      <c r="DE852" s="27" t="s">
        <v>8</v>
      </c>
      <c r="DJ852" s="27" t="s">
        <v>7</v>
      </c>
      <c r="DK852" s="27" t="s">
        <v>8</v>
      </c>
      <c r="DL852" s="27" t="s">
        <v>7</v>
      </c>
      <c r="DO852" s="27" t="s">
        <v>8</v>
      </c>
      <c r="DP852" s="27" t="s">
        <v>7</v>
      </c>
      <c r="DQ852" s="27" t="s">
        <v>8</v>
      </c>
      <c r="DU852" s="27" t="s">
        <v>8</v>
      </c>
      <c r="DX852" s="27" t="s">
        <v>7</v>
      </c>
      <c r="DY852" s="27" t="s">
        <v>8</v>
      </c>
      <c r="EJ852" s="27" t="s">
        <v>7</v>
      </c>
      <c r="EK852" s="27" t="s">
        <v>8</v>
      </c>
      <c r="EL852" s="27" t="s">
        <v>7</v>
      </c>
      <c r="EM852" s="27" t="s">
        <v>8</v>
      </c>
      <c r="EO852" s="27" t="s">
        <v>8</v>
      </c>
      <c r="EP852" s="27" t="s">
        <v>7</v>
      </c>
      <c r="GC852" s="27" t="s">
        <v>8</v>
      </c>
      <c r="GE852" s="27" t="s">
        <v>8</v>
      </c>
      <c r="GF852" s="27" t="s">
        <v>7</v>
      </c>
      <c r="GG852" s="27" t="s">
        <v>8</v>
      </c>
      <c r="GH852" s="27" t="s">
        <v>7</v>
      </c>
      <c r="GI852" s="27" t="s">
        <v>8</v>
      </c>
      <c r="GJ852" s="27" t="s">
        <v>7</v>
      </c>
      <c r="GK852" s="27" t="s">
        <v>8</v>
      </c>
      <c r="GX852" s="27" t="s">
        <v>7</v>
      </c>
      <c r="GY852" s="27" t="s">
        <v>8</v>
      </c>
      <c r="GZ852" s="27" t="s">
        <v>7</v>
      </c>
      <c r="HA852" s="27" t="s">
        <v>8</v>
      </c>
      <c r="HN852" s="27" t="s">
        <v>7</v>
      </c>
      <c r="HO852" s="27" t="s">
        <v>8</v>
      </c>
      <c r="HP852" s="27" t="s">
        <v>7</v>
      </c>
      <c r="HQ852" s="27" t="s">
        <v>8</v>
      </c>
      <c r="HX852" s="27" t="s">
        <v>7</v>
      </c>
      <c r="HY852" s="27" t="s">
        <v>8</v>
      </c>
      <c r="HZ852" s="27" t="s">
        <v>7</v>
      </c>
      <c r="IA852" s="27" t="s">
        <v>8</v>
      </c>
      <c r="IB852" s="27" t="s">
        <v>7</v>
      </c>
      <c r="ID852" s="27" t="s">
        <v>7</v>
      </c>
      <c r="IE852" s="27" t="s">
        <v>8</v>
      </c>
      <c r="IF852" s="27" t="s">
        <v>7</v>
      </c>
      <c r="IG852" s="27" t="s">
        <v>8</v>
      </c>
      <c r="IH852" s="27" t="s">
        <v>7</v>
      </c>
      <c r="II852" s="27" t="s">
        <v>8</v>
      </c>
      <c r="IJ852" s="27" t="s">
        <v>7</v>
      </c>
      <c r="IK852" s="27" t="s">
        <v>8</v>
      </c>
      <c r="IM852" s="27" t="s">
        <v>8</v>
      </c>
      <c r="IO852" s="27" t="s">
        <v>8</v>
      </c>
      <c r="IQ852" s="27" t="s">
        <v>8</v>
      </c>
      <c r="IR852" s="27" t="s">
        <v>7</v>
      </c>
      <c r="IS852" s="27" t="s">
        <v>8</v>
      </c>
      <c r="IT852" s="27" t="s">
        <v>7</v>
      </c>
      <c r="IU852" s="27" t="s">
        <v>8</v>
      </c>
      <c r="JD852" s="27" t="s">
        <v>7</v>
      </c>
      <c r="JE852" s="27" t="s">
        <v>8</v>
      </c>
      <c r="JJ852" s="27" t="s">
        <v>7</v>
      </c>
    </row>
    <row r="853" spans="1:271" x14ac:dyDescent="0.25">
      <c r="A853" s="7">
        <v>5.1564915610045588E-3</v>
      </c>
      <c r="B853"/>
      <c r="C853"/>
      <c r="D853"/>
      <c r="E853"/>
      <c r="BX853" s="27" t="s">
        <v>7</v>
      </c>
      <c r="CE853" s="27" t="s">
        <v>8</v>
      </c>
      <c r="CF853" s="27" t="s">
        <v>7</v>
      </c>
      <c r="CG853" s="27" t="s">
        <v>8</v>
      </c>
      <c r="CH853" s="27" t="s">
        <v>7</v>
      </c>
      <c r="CM853" s="27" t="s">
        <v>8</v>
      </c>
      <c r="CN853" s="27" t="s">
        <v>7</v>
      </c>
      <c r="CZ853" s="27" t="s">
        <v>7</v>
      </c>
      <c r="DC853" s="27" t="s">
        <v>8</v>
      </c>
      <c r="DD853" s="27" t="s">
        <v>7</v>
      </c>
      <c r="DE853" s="27" t="s">
        <v>8</v>
      </c>
      <c r="DJ853" s="27" t="s">
        <v>7</v>
      </c>
      <c r="DK853" s="27" t="s">
        <v>8</v>
      </c>
      <c r="DL853" s="27" t="s">
        <v>7</v>
      </c>
      <c r="DM853" s="27" t="s">
        <v>8</v>
      </c>
      <c r="DO853" s="27" t="s">
        <v>8</v>
      </c>
      <c r="DP853" s="27" t="s">
        <v>7</v>
      </c>
      <c r="DQ853" s="27" t="s">
        <v>8</v>
      </c>
      <c r="DR853" s="27" t="s">
        <v>7</v>
      </c>
      <c r="DS853" s="27" t="s">
        <v>8</v>
      </c>
      <c r="DU853" s="27" t="s">
        <v>8</v>
      </c>
      <c r="DX853" s="27" t="s">
        <v>7</v>
      </c>
      <c r="DY853" s="27" t="s">
        <v>8</v>
      </c>
      <c r="EJ853" s="27" t="s">
        <v>7</v>
      </c>
      <c r="EK853" s="27" t="s">
        <v>8</v>
      </c>
      <c r="EL853" s="27" t="s">
        <v>7</v>
      </c>
      <c r="EM853" s="27" t="s">
        <v>8</v>
      </c>
      <c r="EN853" s="27" t="s">
        <v>7</v>
      </c>
      <c r="EO853" s="27" t="s">
        <v>8</v>
      </c>
      <c r="EP853" s="27" t="s">
        <v>7</v>
      </c>
      <c r="GC853" s="27" t="s">
        <v>8</v>
      </c>
      <c r="GD853" s="27" t="s">
        <v>7</v>
      </c>
      <c r="GE853" s="27" t="s">
        <v>8</v>
      </c>
      <c r="GF853" s="27" t="s">
        <v>7</v>
      </c>
      <c r="GG853" s="27" t="s">
        <v>8</v>
      </c>
      <c r="GH853" s="27" t="s">
        <v>7</v>
      </c>
      <c r="GI853" s="27" t="s">
        <v>8</v>
      </c>
      <c r="GJ853" s="27" t="s">
        <v>7</v>
      </c>
      <c r="GX853" s="27" t="s">
        <v>7</v>
      </c>
      <c r="GZ853" s="27" t="s">
        <v>7</v>
      </c>
      <c r="HA853" s="27" t="s">
        <v>8</v>
      </c>
      <c r="HN853" s="27" t="s">
        <v>7</v>
      </c>
      <c r="HO853" s="27" t="s">
        <v>8</v>
      </c>
      <c r="HP853" s="27" t="s">
        <v>7</v>
      </c>
      <c r="HQ853" s="27" t="s">
        <v>8</v>
      </c>
      <c r="HX853" s="27" t="s">
        <v>7</v>
      </c>
      <c r="HZ853" s="27" t="s">
        <v>7</v>
      </c>
      <c r="ID853" s="27" t="s">
        <v>7</v>
      </c>
      <c r="IF853" s="27" t="s">
        <v>7</v>
      </c>
      <c r="IH853" s="27" t="s">
        <v>7</v>
      </c>
      <c r="II853" s="27" t="s">
        <v>8</v>
      </c>
      <c r="IJ853" s="27" t="s">
        <v>7</v>
      </c>
      <c r="IK853" s="27" t="s">
        <v>8</v>
      </c>
      <c r="IL853" s="27" t="s">
        <v>7</v>
      </c>
      <c r="IM853" s="27" t="s">
        <v>8</v>
      </c>
      <c r="IN853" s="27" t="s">
        <v>7</v>
      </c>
      <c r="IO853" s="27" t="s">
        <v>8</v>
      </c>
      <c r="IP853" s="27" t="s">
        <v>7</v>
      </c>
      <c r="IQ853" s="27" t="s">
        <v>8</v>
      </c>
      <c r="IR853" s="27" t="s">
        <v>7</v>
      </c>
      <c r="IS853" s="27" t="s">
        <v>8</v>
      </c>
      <c r="IT853" s="27" t="s">
        <v>7</v>
      </c>
      <c r="IU853" s="27" t="s">
        <v>8</v>
      </c>
      <c r="JD853" s="27" t="s">
        <v>7</v>
      </c>
      <c r="JE853" s="27" t="s">
        <v>8</v>
      </c>
    </row>
    <row r="854" spans="1:271" x14ac:dyDescent="0.25">
      <c r="A854" s="7">
        <v>5.0553838833378023E-3</v>
      </c>
      <c r="B854"/>
      <c r="C854"/>
      <c r="D854"/>
      <c r="E854"/>
      <c r="BX854" s="27" t="s">
        <v>7</v>
      </c>
      <c r="CE854" s="27" t="s">
        <v>8</v>
      </c>
      <c r="CF854" s="27" t="s">
        <v>7</v>
      </c>
      <c r="CG854" s="27" t="s">
        <v>8</v>
      </c>
      <c r="CH854" s="27" t="s">
        <v>7</v>
      </c>
      <c r="CI854" s="27" t="s">
        <v>8</v>
      </c>
      <c r="CM854" s="27" t="s">
        <v>8</v>
      </c>
      <c r="CZ854" s="27" t="s">
        <v>7</v>
      </c>
      <c r="DA854" s="27" t="s">
        <v>8</v>
      </c>
      <c r="DC854" s="27" t="s">
        <v>8</v>
      </c>
      <c r="DD854" s="27" t="s">
        <v>7</v>
      </c>
      <c r="DJ854" s="27" t="s">
        <v>7</v>
      </c>
      <c r="DK854" s="27" t="s">
        <v>8</v>
      </c>
      <c r="DL854" s="27" t="s">
        <v>7</v>
      </c>
      <c r="DM854" s="27" t="s">
        <v>8</v>
      </c>
      <c r="DN854" s="27" t="s">
        <v>7</v>
      </c>
      <c r="DO854" s="27" t="s">
        <v>8</v>
      </c>
      <c r="DP854" s="27" t="s">
        <v>7</v>
      </c>
      <c r="DQ854" s="27" t="s">
        <v>8</v>
      </c>
      <c r="DR854" s="27" t="s">
        <v>7</v>
      </c>
      <c r="DS854" s="27" t="s">
        <v>8</v>
      </c>
      <c r="DT854" s="27" t="s">
        <v>7</v>
      </c>
      <c r="DU854" s="27" t="s">
        <v>8</v>
      </c>
      <c r="DX854" s="27" t="s">
        <v>7</v>
      </c>
      <c r="EJ854" s="27" t="s">
        <v>7</v>
      </c>
      <c r="EK854" s="27" t="s">
        <v>8</v>
      </c>
      <c r="EL854" s="27" t="s">
        <v>7</v>
      </c>
      <c r="EM854" s="27" t="s">
        <v>8</v>
      </c>
      <c r="EN854" s="27" t="s">
        <v>7</v>
      </c>
      <c r="EO854" s="27" t="s">
        <v>8</v>
      </c>
      <c r="EP854" s="27" t="s">
        <v>7</v>
      </c>
      <c r="GC854" s="27" t="s">
        <v>8</v>
      </c>
      <c r="GD854" s="27" t="s">
        <v>7</v>
      </c>
      <c r="GE854" s="27" t="s">
        <v>8</v>
      </c>
      <c r="GF854" s="27" t="s">
        <v>7</v>
      </c>
      <c r="GG854" s="27" t="s">
        <v>8</v>
      </c>
      <c r="GH854" s="27" t="s">
        <v>7</v>
      </c>
      <c r="GZ854" s="27" t="s">
        <v>7</v>
      </c>
      <c r="HA854" s="27" t="s">
        <v>8</v>
      </c>
      <c r="HN854" s="27" t="s">
        <v>7</v>
      </c>
      <c r="HO854" s="27" t="s">
        <v>8</v>
      </c>
      <c r="HP854" s="27" t="s">
        <v>7</v>
      </c>
      <c r="HQ854" s="27" t="s">
        <v>8</v>
      </c>
      <c r="IH854" s="27" t="s">
        <v>7</v>
      </c>
      <c r="II854" s="27" t="s">
        <v>8</v>
      </c>
      <c r="IJ854" s="27" t="s">
        <v>7</v>
      </c>
      <c r="IK854" s="27" t="s">
        <v>8</v>
      </c>
      <c r="IL854" s="27" t="s">
        <v>7</v>
      </c>
      <c r="IM854" s="27" t="s">
        <v>8</v>
      </c>
      <c r="IN854" s="27" t="s">
        <v>7</v>
      </c>
      <c r="IO854" s="27" t="s">
        <v>8</v>
      </c>
      <c r="IP854" s="27" t="s">
        <v>7</v>
      </c>
      <c r="IQ854" s="27" t="s">
        <v>8</v>
      </c>
      <c r="IR854" s="27" t="s">
        <v>7</v>
      </c>
      <c r="IS854" s="27" t="s">
        <v>8</v>
      </c>
      <c r="IT854" s="27" t="s">
        <v>7</v>
      </c>
      <c r="IU854" s="27" t="s">
        <v>8</v>
      </c>
      <c r="JD854" s="27" t="s">
        <v>7</v>
      </c>
      <c r="JE854" s="27" t="s">
        <v>8</v>
      </c>
    </row>
    <row r="855" spans="1:271" x14ac:dyDescent="0.25">
      <c r="A855" s="7">
        <v>4.9562587091547079E-3</v>
      </c>
      <c r="B855"/>
      <c r="C855"/>
      <c r="D855"/>
      <c r="E855"/>
      <c r="BX855" s="27" t="s">
        <v>7</v>
      </c>
      <c r="BY855" s="27" t="s">
        <v>8</v>
      </c>
      <c r="CE855" s="27" t="s">
        <v>8</v>
      </c>
      <c r="CF855" s="27" t="s">
        <v>7</v>
      </c>
      <c r="CG855" s="27" t="s">
        <v>8</v>
      </c>
      <c r="CH855" s="27" t="s">
        <v>7</v>
      </c>
      <c r="CI855" s="27" t="s">
        <v>8</v>
      </c>
      <c r="CJ855" s="27" t="s">
        <v>7</v>
      </c>
      <c r="CM855" s="27" t="s">
        <v>8</v>
      </c>
      <c r="CZ855" s="27" t="s">
        <v>7</v>
      </c>
      <c r="DA855" s="27" t="s">
        <v>8</v>
      </c>
      <c r="DB855" s="27" t="s">
        <v>7</v>
      </c>
      <c r="DC855" s="27" t="s">
        <v>8</v>
      </c>
      <c r="DJ855" s="27" t="s">
        <v>7</v>
      </c>
      <c r="DL855" s="27" t="s">
        <v>7</v>
      </c>
      <c r="DM855" s="27" t="s">
        <v>8</v>
      </c>
      <c r="DN855" s="27" t="s">
        <v>7</v>
      </c>
      <c r="DO855" s="27" t="s">
        <v>8</v>
      </c>
      <c r="DP855" s="27" t="s">
        <v>7</v>
      </c>
      <c r="DR855" s="27" t="s">
        <v>7</v>
      </c>
      <c r="DS855" s="27" t="s">
        <v>8</v>
      </c>
      <c r="DT855" s="27" t="s">
        <v>7</v>
      </c>
      <c r="DU855" s="27" t="s">
        <v>8</v>
      </c>
      <c r="EJ855" s="27" t="s">
        <v>7</v>
      </c>
      <c r="EK855" s="27" t="s">
        <v>8</v>
      </c>
      <c r="EL855" s="27" t="s">
        <v>7</v>
      </c>
      <c r="EN855" s="27" t="s">
        <v>7</v>
      </c>
      <c r="EP855" s="27" t="s">
        <v>7</v>
      </c>
      <c r="GC855" s="27" t="s">
        <v>8</v>
      </c>
      <c r="GD855" s="27" t="s">
        <v>7</v>
      </c>
      <c r="GE855" s="27" t="s">
        <v>8</v>
      </c>
      <c r="GF855" s="27" t="s">
        <v>7</v>
      </c>
      <c r="GZ855" s="27" t="s">
        <v>7</v>
      </c>
      <c r="HA855" s="27" t="s">
        <v>8</v>
      </c>
      <c r="HN855" s="27" t="s">
        <v>7</v>
      </c>
      <c r="HO855" s="27" t="s">
        <v>8</v>
      </c>
      <c r="HP855" s="27" t="s">
        <v>7</v>
      </c>
      <c r="HQ855" s="27" t="s">
        <v>8</v>
      </c>
      <c r="IH855" s="27" t="s">
        <v>7</v>
      </c>
      <c r="IJ855" s="27" t="s">
        <v>7</v>
      </c>
      <c r="IK855" s="27" t="s">
        <v>8</v>
      </c>
      <c r="IL855" s="27" t="s">
        <v>7</v>
      </c>
      <c r="IM855" s="27" t="s">
        <v>8</v>
      </c>
      <c r="IN855" s="27" t="s">
        <v>7</v>
      </c>
      <c r="IO855" s="27" t="s">
        <v>8</v>
      </c>
      <c r="IP855" s="27" t="s">
        <v>7</v>
      </c>
      <c r="IQ855" s="27" t="s">
        <v>8</v>
      </c>
      <c r="IR855" s="27" t="s">
        <v>7</v>
      </c>
      <c r="IT855" s="27" t="s">
        <v>7</v>
      </c>
      <c r="JD855" s="27" t="s">
        <v>7</v>
      </c>
      <c r="JE855" s="27" t="s">
        <v>8</v>
      </c>
    </row>
    <row r="856" spans="1:271" x14ac:dyDescent="0.25">
      <c r="A856" s="7">
        <v>4.8590771658379491E-3</v>
      </c>
      <c r="B856"/>
      <c r="C856"/>
      <c r="D856"/>
      <c r="E856"/>
      <c r="BX856" s="27" t="s">
        <v>7</v>
      </c>
      <c r="BY856" s="27" t="s">
        <v>8</v>
      </c>
      <c r="BZ856" s="27" t="s">
        <v>7</v>
      </c>
      <c r="CA856" s="27" t="s">
        <v>8</v>
      </c>
      <c r="CC856" s="27" t="s">
        <v>8</v>
      </c>
      <c r="CE856" s="27" t="s">
        <v>8</v>
      </c>
      <c r="CF856" s="27" t="s">
        <v>7</v>
      </c>
      <c r="CH856" s="27" t="s">
        <v>7</v>
      </c>
      <c r="CI856" s="27" t="s">
        <v>8</v>
      </c>
      <c r="CJ856" s="27" t="s">
        <v>7</v>
      </c>
      <c r="CM856" s="27" t="s">
        <v>8</v>
      </c>
      <c r="CZ856" s="27" t="s">
        <v>7</v>
      </c>
      <c r="DA856" s="27" t="s">
        <v>8</v>
      </c>
      <c r="DB856" s="27" t="s">
        <v>7</v>
      </c>
      <c r="DC856" s="27" t="s">
        <v>8</v>
      </c>
      <c r="DL856" s="27" t="s">
        <v>7</v>
      </c>
      <c r="DM856" s="27" t="s">
        <v>8</v>
      </c>
      <c r="DN856" s="27" t="s">
        <v>7</v>
      </c>
      <c r="DR856" s="27" t="s">
        <v>7</v>
      </c>
      <c r="DS856" s="27" t="s">
        <v>8</v>
      </c>
      <c r="DT856" s="27" t="s">
        <v>7</v>
      </c>
      <c r="DU856" s="27" t="s">
        <v>8</v>
      </c>
      <c r="EJ856" s="27" t="s">
        <v>7</v>
      </c>
      <c r="EP856" s="27" t="s">
        <v>7</v>
      </c>
      <c r="FY856" s="27" t="s">
        <v>8</v>
      </c>
      <c r="GC856" s="27" t="s">
        <v>8</v>
      </c>
      <c r="GD856" s="27" t="s">
        <v>7</v>
      </c>
      <c r="GE856" s="27" t="s">
        <v>8</v>
      </c>
      <c r="GZ856" s="27" t="s">
        <v>7</v>
      </c>
      <c r="HA856" s="27" t="s">
        <v>8</v>
      </c>
      <c r="HN856" s="27" t="s">
        <v>7</v>
      </c>
      <c r="HO856" s="27" t="s">
        <v>8</v>
      </c>
      <c r="HP856" s="27" t="s">
        <v>7</v>
      </c>
      <c r="HQ856" s="27" t="s">
        <v>8</v>
      </c>
      <c r="IJ856" s="27" t="s">
        <v>7</v>
      </c>
      <c r="IK856" s="27" t="s">
        <v>8</v>
      </c>
      <c r="IL856" s="27" t="s">
        <v>7</v>
      </c>
      <c r="IM856" s="27" t="s">
        <v>8</v>
      </c>
      <c r="IN856" s="27" t="s">
        <v>7</v>
      </c>
      <c r="IO856" s="27" t="s">
        <v>8</v>
      </c>
      <c r="IP856" s="27" t="s">
        <v>7</v>
      </c>
      <c r="IQ856" s="27" t="s">
        <v>8</v>
      </c>
      <c r="JD856" s="27" t="s">
        <v>7</v>
      </c>
      <c r="JE856" s="27" t="s">
        <v>8</v>
      </c>
    </row>
    <row r="857" spans="1:271" x14ac:dyDescent="0.25">
      <c r="A857" s="7">
        <v>4.7638011429783815E-3</v>
      </c>
      <c r="B857"/>
      <c r="C857"/>
      <c r="D857"/>
      <c r="E857"/>
      <c r="BX857" s="27" t="s">
        <v>7</v>
      </c>
      <c r="BY857" s="27" t="s">
        <v>8</v>
      </c>
      <c r="BZ857" s="27" t="s">
        <v>7</v>
      </c>
      <c r="CA857" s="27" t="s">
        <v>8</v>
      </c>
      <c r="CB857" s="27" t="s">
        <v>7</v>
      </c>
      <c r="CC857" s="27" t="s">
        <v>8</v>
      </c>
      <c r="CD857" s="27" t="s">
        <v>7</v>
      </c>
      <c r="CE857" s="27" t="s">
        <v>8</v>
      </c>
      <c r="CH857" s="27" t="s">
        <v>7</v>
      </c>
      <c r="CJ857" s="27" t="s">
        <v>7</v>
      </c>
      <c r="CM857" s="27" t="s">
        <v>8</v>
      </c>
      <c r="CZ857" s="27" t="s">
        <v>7</v>
      </c>
      <c r="DA857" s="27" t="s">
        <v>8</v>
      </c>
      <c r="DB857" s="27" t="s">
        <v>7</v>
      </c>
      <c r="DC857" s="27" t="s">
        <v>8</v>
      </c>
      <c r="DL857" s="27" t="s">
        <v>7</v>
      </c>
      <c r="DM857" s="27" t="s">
        <v>8</v>
      </c>
      <c r="DR857" s="27" t="s">
        <v>7</v>
      </c>
      <c r="DS857" s="27" t="s">
        <v>8</v>
      </c>
      <c r="DT857" s="27" t="s">
        <v>7</v>
      </c>
      <c r="DU857" s="27" t="s">
        <v>8</v>
      </c>
      <c r="EP857" s="27" t="s">
        <v>7</v>
      </c>
      <c r="FY857" s="27" t="s">
        <v>8</v>
      </c>
      <c r="FZ857" s="27" t="s">
        <v>7</v>
      </c>
      <c r="GC857" s="27" t="s">
        <v>8</v>
      </c>
      <c r="GD857" s="27" t="s">
        <v>7</v>
      </c>
      <c r="GE857" s="27" t="s">
        <v>8</v>
      </c>
      <c r="GZ857" s="27" t="s">
        <v>7</v>
      </c>
      <c r="HN857" s="27" t="s">
        <v>7</v>
      </c>
      <c r="HP857" s="27" t="s">
        <v>7</v>
      </c>
      <c r="HQ857" s="27" t="s">
        <v>8</v>
      </c>
      <c r="IJ857" s="27" t="s">
        <v>7</v>
      </c>
      <c r="IK857" s="27" t="s">
        <v>8</v>
      </c>
      <c r="IL857" s="27" t="s">
        <v>7</v>
      </c>
      <c r="IM857" s="27" t="s">
        <v>8</v>
      </c>
      <c r="IN857" s="27" t="s">
        <v>7</v>
      </c>
      <c r="IO857" s="27" t="s">
        <v>8</v>
      </c>
      <c r="IP857" s="27" t="s">
        <v>7</v>
      </c>
      <c r="IQ857" s="27" t="s">
        <v>8</v>
      </c>
      <c r="JD857" s="27" t="s">
        <v>7</v>
      </c>
    </row>
    <row r="858" spans="1:271" x14ac:dyDescent="0.25">
      <c r="A858" s="7">
        <v>4.6703932774297859E-3</v>
      </c>
      <c r="B858"/>
      <c r="C858"/>
      <c r="D858"/>
      <c r="E858"/>
      <c r="BX858" s="27" t="s">
        <v>7</v>
      </c>
      <c r="BY858" s="27" t="s">
        <v>8</v>
      </c>
      <c r="BZ858" s="27" t="s">
        <v>7</v>
      </c>
      <c r="CA858" s="27" t="s">
        <v>8</v>
      </c>
      <c r="CB858" s="27" t="s">
        <v>7</v>
      </c>
      <c r="CC858" s="27" t="s">
        <v>8</v>
      </c>
      <c r="CD858" s="27" t="s">
        <v>7</v>
      </c>
      <c r="CE858" s="27" t="s">
        <v>8</v>
      </c>
      <c r="CJ858" s="27" t="s">
        <v>7</v>
      </c>
      <c r="CM858" s="27" t="s">
        <v>8</v>
      </c>
      <c r="CZ858" s="27" t="s">
        <v>7</v>
      </c>
      <c r="DA858" s="27" t="s">
        <v>8</v>
      </c>
      <c r="DB858" s="27" t="s">
        <v>7</v>
      </c>
      <c r="DC858" s="27" t="s">
        <v>8</v>
      </c>
      <c r="DL858" s="27" t="s">
        <v>7</v>
      </c>
      <c r="DM858" s="27" t="s">
        <v>8</v>
      </c>
      <c r="DR858" s="27" t="s">
        <v>7</v>
      </c>
      <c r="DS858" s="27" t="s">
        <v>8</v>
      </c>
      <c r="DT858" s="27" t="s">
        <v>7</v>
      </c>
      <c r="EP858" s="27" t="s">
        <v>7</v>
      </c>
      <c r="FY858" s="27" t="s">
        <v>8</v>
      </c>
      <c r="FZ858" s="27" t="s">
        <v>7</v>
      </c>
      <c r="GA858" s="27" t="s">
        <v>8</v>
      </c>
      <c r="GC858" s="27" t="s">
        <v>8</v>
      </c>
      <c r="GD858" s="27" t="s">
        <v>7</v>
      </c>
      <c r="GE858" s="27" t="s">
        <v>8</v>
      </c>
      <c r="HP858" s="27" t="s">
        <v>7</v>
      </c>
      <c r="HQ858" s="27" t="s">
        <v>8</v>
      </c>
      <c r="IJ858" s="27" t="s">
        <v>7</v>
      </c>
      <c r="IL858" s="27" t="s">
        <v>7</v>
      </c>
      <c r="IM858" s="27" t="s">
        <v>8</v>
      </c>
      <c r="IN858" s="27" t="s">
        <v>7</v>
      </c>
      <c r="IO858" s="27" t="s">
        <v>8</v>
      </c>
      <c r="IP858" s="27" t="s">
        <v>7</v>
      </c>
      <c r="IQ858" s="27" t="s">
        <v>8</v>
      </c>
    </row>
    <row r="859" spans="1:271" x14ac:dyDescent="0.25">
      <c r="A859" s="7">
        <v>4.5788169386566527E-3</v>
      </c>
      <c r="B859"/>
      <c r="C859"/>
      <c r="D859"/>
      <c r="E859"/>
      <c r="BX859" s="27" t="s">
        <v>7</v>
      </c>
      <c r="BY859" s="27" t="s">
        <v>8</v>
      </c>
      <c r="BZ859" s="27" t="s">
        <v>7</v>
      </c>
      <c r="CB859" s="27" t="s">
        <v>7</v>
      </c>
      <c r="CC859" s="27" t="s">
        <v>8</v>
      </c>
      <c r="CD859" s="27" t="s">
        <v>7</v>
      </c>
      <c r="CJ859" s="27" t="s">
        <v>7</v>
      </c>
      <c r="CK859" s="27" t="s">
        <v>8</v>
      </c>
      <c r="CM859" s="27" t="s">
        <v>8</v>
      </c>
      <c r="CZ859" s="27" t="s">
        <v>7</v>
      </c>
      <c r="DA859" s="27" t="s">
        <v>8</v>
      </c>
      <c r="DB859" s="27" t="s">
        <v>7</v>
      </c>
      <c r="DC859" s="27" t="s">
        <v>8</v>
      </c>
      <c r="DL859" s="27" t="s">
        <v>7</v>
      </c>
      <c r="DR859" s="27" t="s">
        <v>7</v>
      </c>
      <c r="EP859" s="27" t="s">
        <v>7</v>
      </c>
      <c r="EQ859" s="27" t="s">
        <v>8</v>
      </c>
      <c r="FY859" s="27" t="s">
        <v>8</v>
      </c>
      <c r="FZ859" s="27" t="s">
        <v>7</v>
      </c>
      <c r="GA859" s="27" t="s">
        <v>8</v>
      </c>
      <c r="GB859" s="27" t="s">
        <v>7</v>
      </c>
      <c r="GC859" s="27" t="s">
        <v>8</v>
      </c>
      <c r="GD859" s="27" t="s">
        <v>7</v>
      </c>
      <c r="HP859" s="27" t="s">
        <v>7</v>
      </c>
      <c r="HQ859" s="27" t="s">
        <v>8</v>
      </c>
      <c r="IL859" s="27" t="s">
        <v>7</v>
      </c>
      <c r="IM859" s="27" t="s">
        <v>8</v>
      </c>
      <c r="IN859" s="27" t="s">
        <v>7</v>
      </c>
      <c r="IP859" s="27" t="s">
        <v>7</v>
      </c>
      <c r="IQ859" s="27" t="s">
        <v>8</v>
      </c>
    </row>
    <row r="860" spans="1:271" x14ac:dyDescent="0.25">
      <c r="A860" s="7">
        <v>4.4890362143692672E-3</v>
      </c>
      <c r="B860"/>
      <c r="C860"/>
      <c r="D860"/>
      <c r="E860"/>
      <c r="BX860" s="27" t="s">
        <v>7</v>
      </c>
      <c r="BY860" s="27" t="s">
        <v>8</v>
      </c>
      <c r="CB860" s="27" t="s">
        <v>7</v>
      </c>
      <c r="CJ860" s="27" t="s">
        <v>7</v>
      </c>
      <c r="CK860" s="27" t="s">
        <v>8</v>
      </c>
      <c r="CL860" s="27" t="s">
        <v>7</v>
      </c>
      <c r="CM860" s="27" t="s">
        <v>8</v>
      </c>
      <c r="CZ860" s="27" t="s">
        <v>7</v>
      </c>
      <c r="DA860" s="27" t="s">
        <v>8</v>
      </c>
      <c r="DB860" s="27" t="s">
        <v>7</v>
      </c>
      <c r="DC860" s="27" t="s">
        <v>8</v>
      </c>
      <c r="EP860" s="27" t="s">
        <v>7</v>
      </c>
      <c r="EQ860" s="27" t="s">
        <v>8</v>
      </c>
      <c r="ER860" s="27" t="s">
        <v>7</v>
      </c>
      <c r="FY860" s="27" t="s">
        <v>8</v>
      </c>
      <c r="FZ860" s="27" t="s">
        <v>7</v>
      </c>
      <c r="GA860" s="27" t="s">
        <v>8</v>
      </c>
      <c r="GB860" s="27" t="s">
        <v>7</v>
      </c>
      <c r="GC860" s="27" t="s">
        <v>8</v>
      </c>
      <c r="HP860" s="27" t="s">
        <v>7</v>
      </c>
      <c r="IL860" s="27" t="s">
        <v>7</v>
      </c>
      <c r="IM860" s="27" t="s">
        <v>8</v>
      </c>
      <c r="IP860" s="27" t="s">
        <v>7</v>
      </c>
      <c r="IQ860" s="27" t="s">
        <v>8</v>
      </c>
    </row>
    <row r="861" spans="1:271" x14ac:dyDescent="0.25">
      <c r="A861" s="7">
        <v>4.4010158964404578E-3</v>
      </c>
      <c r="B861"/>
      <c r="C861"/>
      <c r="D861"/>
      <c r="E861"/>
      <c r="BX861" s="27" t="s">
        <v>7</v>
      </c>
      <c r="BY861" s="27" t="s">
        <v>8</v>
      </c>
      <c r="CJ861" s="27" t="s">
        <v>7</v>
      </c>
      <c r="CK861" s="27" t="s">
        <v>8</v>
      </c>
      <c r="CL861" s="27" t="s">
        <v>7</v>
      </c>
      <c r="CM861" s="27" t="s">
        <v>8</v>
      </c>
      <c r="CZ861" s="27" t="s">
        <v>7</v>
      </c>
      <c r="DB861" s="27" t="s">
        <v>7</v>
      </c>
      <c r="DC861" s="27" t="s">
        <v>8</v>
      </c>
      <c r="EP861" s="27" t="s">
        <v>7</v>
      </c>
      <c r="EQ861" s="27" t="s">
        <v>8</v>
      </c>
      <c r="ER861" s="27" t="s">
        <v>7</v>
      </c>
      <c r="FY861" s="27" t="s">
        <v>8</v>
      </c>
      <c r="FZ861" s="27" t="s">
        <v>7</v>
      </c>
      <c r="GA861" s="27" t="s">
        <v>8</v>
      </c>
      <c r="GB861" s="27" t="s">
        <v>7</v>
      </c>
      <c r="IL861" s="27" t="s">
        <v>7</v>
      </c>
      <c r="IM861" s="27" t="s">
        <v>8</v>
      </c>
      <c r="IP861" s="27" t="s">
        <v>7</v>
      </c>
    </row>
    <row r="862" spans="1:271" x14ac:dyDescent="0.25">
      <c r="A862" s="7">
        <v>4.314721467098488E-3</v>
      </c>
      <c r="B862"/>
      <c r="C862"/>
      <c r="D862"/>
      <c r="E862"/>
      <c r="BX862" s="27" t="s">
        <v>7</v>
      </c>
      <c r="BY862" s="27" t="s">
        <v>8</v>
      </c>
      <c r="CJ862" s="27" t="s">
        <v>7</v>
      </c>
      <c r="CK862" s="27" t="s">
        <v>8</v>
      </c>
      <c r="CL862" s="27" t="s">
        <v>7</v>
      </c>
      <c r="CM862" s="27" t="s">
        <v>8</v>
      </c>
      <c r="DB862" s="27" t="s">
        <v>7</v>
      </c>
      <c r="DC862" s="27" t="s">
        <v>8</v>
      </c>
      <c r="EP862" s="27" t="s">
        <v>7</v>
      </c>
      <c r="EQ862" s="27" t="s">
        <v>8</v>
      </c>
      <c r="ER862" s="27" t="s">
        <v>7</v>
      </c>
      <c r="FW862" s="27" t="s">
        <v>8</v>
      </c>
      <c r="FY862" s="27" t="s">
        <v>8</v>
      </c>
      <c r="FZ862" s="27" t="s">
        <v>7</v>
      </c>
      <c r="IL862" s="27" t="s">
        <v>7</v>
      </c>
      <c r="IM862" s="27" t="s">
        <v>8</v>
      </c>
    </row>
    <row r="863" spans="1:271" x14ac:dyDescent="0.25">
      <c r="A863" s="7">
        <v>4.2301190853906746E-3</v>
      </c>
      <c r="B863"/>
      <c r="C863"/>
      <c r="D863"/>
      <c r="E863"/>
      <c r="BX863" s="27" t="s">
        <v>7</v>
      </c>
      <c r="BY863" s="27" t="s">
        <v>8</v>
      </c>
      <c r="CJ863" s="27" t="s">
        <v>7</v>
      </c>
      <c r="CL863" s="27" t="s">
        <v>7</v>
      </c>
      <c r="CM863" s="27" t="s">
        <v>8</v>
      </c>
      <c r="DB863" s="27" t="s">
        <v>7</v>
      </c>
      <c r="EP863" s="27" t="s">
        <v>7</v>
      </c>
      <c r="EQ863" s="27" t="s">
        <v>8</v>
      </c>
      <c r="ER863" s="27" t="s">
        <v>7</v>
      </c>
      <c r="FW863" s="27" t="s">
        <v>8</v>
      </c>
      <c r="FX863" s="27" t="s">
        <v>7</v>
      </c>
      <c r="FY863" s="27" t="s">
        <v>8</v>
      </c>
      <c r="IL863" s="27" t="s">
        <v>7</v>
      </c>
      <c r="IM863" s="27" t="s">
        <v>8</v>
      </c>
    </row>
    <row r="864" spans="1:271" x14ac:dyDescent="0.25">
      <c r="A864" s="7">
        <v>4.1471755739124266E-3</v>
      </c>
      <c r="B864"/>
      <c r="C864"/>
      <c r="D864"/>
      <c r="E864"/>
      <c r="BX864" s="27" t="s">
        <v>7</v>
      </c>
      <c r="BY864" s="27" t="s">
        <v>8</v>
      </c>
      <c r="CL864" s="27" t="s">
        <v>7</v>
      </c>
      <c r="CM864" s="27" t="s">
        <v>8</v>
      </c>
      <c r="EP864" s="27" t="s">
        <v>7</v>
      </c>
      <c r="ER864" s="27" t="s">
        <v>7</v>
      </c>
      <c r="FW864" s="27" t="s">
        <v>8</v>
      </c>
      <c r="FX864" s="27" t="s">
        <v>7</v>
      </c>
      <c r="FY864" s="27" t="s">
        <v>8</v>
      </c>
      <c r="IL864" s="27" t="s">
        <v>7</v>
      </c>
    </row>
    <row r="865" spans="1:181" x14ac:dyDescent="0.25">
      <c r="A865" s="7">
        <v>4.0658584057964966E-3</v>
      </c>
      <c r="B865"/>
      <c r="C865"/>
      <c r="D865"/>
      <c r="E865"/>
      <c r="BX865" s="27" t="s">
        <v>7</v>
      </c>
      <c r="CL865" s="27" t="s">
        <v>7</v>
      </c>
      <c r="CM865" s="27" t="s">
        <v>8</v>
      </c>
      <c r="ER865" s="27" t="s">
        <v>7</v>
      </c>
      <c r="FW865" s="27" t="s">
        <v>8</v>
      </c>
      <c r="FX865" s="27" t="s">
        <v>7</v>
      </c>
      <c r="FY865" s="27" t="s">
        <v>8</v>
      </c>
    </row>
    <row r="866" spans="1:181" x14ac:dyDescent="0.25">
      <c r="A866" s="7">
        <v>3.9861356919573491E-3</v>
      </c>
      <c r="B866"/>
      <c r="C866"/>
      <c r="D866"/>
      <c r="E866"/>
      <c r="CL866" s="27" t="s">
        <v>7</v>
      </c>
      <c r="CM866" s="27" t="s">
        <v>8</v>
      </c>
      <c r="ER866" s="27" t="s">
        <v>7</v>
      </c>
      <c r="FO866" s="27" t="s">
        <v>8</v>
      </c>
      <c r="FQ866" s="27" t="s">
        <v>8</v>
      </c>
      <c r="FW866" s="27" t="s">
        <v>8</v>
      </c>
      <c r="FX866" s="27" t="s">
        <v>7</v>
      </c>
      <c r="FY866" s="27" t="s">
        <v>8</v>
      </c>
    </row>
    <row r="867" spans="1:181" x14ac:dyDescent="0.25">
      <c r="A867" s="7">
        <v>3.9079761685856364E-3</v>
      </c>
      <c r="B867"/>
      <c r="C867"/>
      <c r="D867"/>
      <c r="E867"/>
      <c r="CL867" s="27" t="s">
        <v>7</v>
      </c>
      <c r="CM867" s="27" t="s">
        <v>8</v>
      </c>
      <c r="ER867" s="27" t="s">
        <v>7</v>
      </c>
      <c r="FO867" s="27" t="s">
        <v>8</v>
      </c>
      <c r="FP867" s="27" t="s">
        <v>7</v>
      </c>
      <c r="FQ867" s="27" t="s">
        <v>8</v>
      </c>
      <c r="FR867" s="27" t="s">
        <v>7</v>
      </c>
      <c r="FU867" s="27" t="s">
        <v>8</v>
      </c>
      <c r="FW867" s="27" t="s">
        <v>8</v>
      </c>
      <c r="FX867" s="27" t="s">
        <v>7</v>
      </c>
      <c r="FY867" s="27" t="s">
        <v>8</v>
      </c>
    </row>
    <row r="868" spans="1:181" x14ac:dyDescent="0.25">
      <c r="A868" s="7">
        <v>3.8313491848878793E-3</v>
      </c>
      <c r="B868"/>
      <c r="C868"/>
      <c r="D868"/>
      <c r="E868"/>
      <c r="CL868" s="27" t="s">
        <v>7</v>
      </c>
      <c r="ER868" s="27" t="s">
        <v>7</v>
      </c>
      <c r="EW868" s="27" t="s">
        <v>8</v>
      </c>
      <c r="FO868" s="27" t="s">
        <v>8</v>
      </c>
      <c r="FP868" s="27" t="s">
        <v>7</v>
      </c>
      <c r="FQ868" s="27" t="s">
        <v>8</v>
      </c>
      <c r="FR868" s="27" t="s">
        <v>7</v>
      </c>
      <c r="FS868" s="27" t="s">
        <v>8</v>
      </c>
      <c r="FU868" s="27" t="s">
        <v>8</v>
      </c>
      <c r="FV868" s="27" t="s">
        <v>7</v>
      </c>
      <c r="FW868" s="27" t="s">
        <v>8</v>
      </c>
      <c r="FX868" s="27" t="s">
        <v>7</v>
      </c>
      <c r="FY868" s="27" t="s">
        <v>8</v>
      </c>
    </row>
    <row r="869" spans="1:181" x14ac:dyDescent="0.25">
      <c r="A869" s="7">
        <v>3.7562246910665485E-3</v>
      </c>
      <c r="B869"/>
      <c r="C869"/>
      <c r="D869"/>
      <c r="E869"/>
      <c r="ER869" s="27" t="s">
        <v>7</v>
      </c>
      <c r="EW869" s="27" t="s">
        <v>8</v>
      </c>
      <c r="EX869" s="27" t="s">
        <v>7</v>
      </c>
      <c r="FO869" s="27" t="s">
        <v>8</v>
      </c>
      <c r="FP869" s="27" t="s">
        <v>7</v>
      </c>
      <c r="FQ869" s="27" t="s">
        <v>8</v>
      </c>
      <c r="FR869" s="27" t="s">
        <v>7</v>
      </c>
      <c r="FS869" s="27" t="s">
        <v>8</v>
      </c>
      <c r="FT869" s="27" t="s">
        <v>7</v>
      </c>
      <c r="FU869" s="27" t="s">
        <v>8</v>
      </c>
      <c r="FV869" s="27" t="s">
        <v>7</v>
      </c>
      <c r="FW869" s="27" t="s">
        <v>8</v>
      </c>
      <c r="FX869" s="27" t="s">
        <v>7</v>
      </c>
    </row>
    <row r="870" spans="1:181" x14ac:dyDescent="0.25">
      <c r="A870" s="7">
        <v>3.6825732265358315E-3</v>
      </c>
      <c r="B870"/>
      <c r="C870"/>
      <c r="D870"/>
      <c r="E870"/>
      <c r="ER870" s="27" t="s">
        <v>7</v>
      </c>
      <c r="EW870" s="27" t="s">
        <v>8</v>
      </c>
      <c r="EX870" s="27" t="s">
        <v>7</v>
      </c>
      <c r="FM870" s="27" t="s">
        <v>8</v>
      </c>
      <c r="FO870" s="27" t="s">
        <v>8</v>
      </c>
      <c r="FP870" s="27" t="s">
        <v>7</v>
      </c>
      <c r="FQ870" s="27" t="s">
        <v>8</v>
      </c>
      <c r="FR870" s="27" t="s">
        <v>7</v>
      </c>
      <c r="FS870" s="27" t="s">
        <v>8</v>
      </c>
      <c r="FT870" s="27" t="s">
        <v>7</v>
      </c>
      <c r="FU870" s="27" t="s">
        <v>8</v>
      </c>
      <c r="FV870" s="27" t="s">
        <v>7</v>
      </c>
      <c r="FW870" s="27" t="s">
        <v>8</v>
      </c>
    </row>
    <row r="871" spans="1:181" x14ac:dyDescent="0.25">
      <c r="A871" s="7">
        <v>3.6103659083684624E-3</v>
      </c>
      <c r="B871"/>
      <c r="C871"/>
      <c r="D871"/>
      <c r="E871"/>
      <c r="ER871" s="27" t="s">
        <v>7</v>
      </c>
      <c r="EW871" s="27" t="s">
        <v>8</v>
      </c>
      <c r="EX871" s="27" t="s">
        <v>7</v>
      </c>
      <c r="FE871" s="27" t="s">
        <v>8</v>
      </c>
      <c r="FG871" s="27" t="s">
        <v>8</v>
      </c>
      <c r="FM871" s="27" t="s">
        <v>8</v>
      </c>
      <c r="FN871" s="27" t="s">
        <v>7</v>
      </c>
      <c r="FO871" s="27" t="s">
        <v>8</v>
      </c>
      <c r="FP871" s="27" t="s">
        <v>7</v>
      </c>
      <c r="FR871" s="27" t="s">
        <v>7</v>
      </c>
      <c r="FS871" s="27" t="s">
        <v>8</v>
      </c>
      <c r="FT871" s="27" t="s">
        <v>7</v>
      </c>
      <c r="FU871" s="27" t="s">
        <v>8</v>
      </c>
      <c r="FV871" s="27" t="s">
        <v>7</v>
      </c>
      <c r="FW871" s="27" t="s">
        <v>8</v>
      </c>
    </row>
    <row r="872" spans="1:181" x14ac:dyDescent="0.25">
      <c r="A872" s="7">
        <v>3.539574419969081E-3</v>
      </c>
      <c r="B872"/>
      <c r="C872"/>
      <c r="D872"/>
      <c r="E872"/>
      <c r="ER872" s="27" t="s">
        <v>7</v>
      </c>
      <c r="EW872" s="27" t="s">
        <v>8</v>
      </c>
      <c r="EX872" s="27" t="s">
        <v>7</v>
      </c>
      <c r="FE872" s="27" t="s">
        <v>8</v>
      </c>
      <c r="FF872" s="27" t="s">
        <v>7</v>
      </c>
      <c r="FG872" s="27" t="s">
        <v>8</v>
      </c>
      <c r="FH872" s="27" t="s">
        <v>7</v>
      </c>
      <c r="FM872" s="27" t="s">
        <v>8</v>
      </c>
      <c r="FN872" s="27" t="s">
        <v>7</v>
      </c>
      <c r="FO872" s="27" t="s">
        <v>8</v>
      </c>
      <c r="FR872" s="27" t="s">
        <v>7</v>
      </c>
      <c r="FT872" s="27" t="s">
        <v>7</v>
      </c>
      <c r="FV872" s="27" t="s">
        <v>7</v>
      </c>
      <c r="FW872" s="27" t="s">
        <v>8</v>
      </c>
    </row>
    <row r="873" spans="1:181" x14ac:dyDescent="0.25">
      <c r="A873" s="7">
        <v>3.4701709999696872E-3</v>
      </c>
      <c r="B873"/>
      <c r="C873"/>
      <c r="D873"/>
      <c r="E873"/>
      <c r="ER873" s="27" t="s">
        <v>7</v>
      </c>
      <c r="EW873" s="27" t="s">
        <v>8</v>
      </c>
      <c r="EX873" s="27" t="s">
        <v>7</v>
      </c>
      <c r="FE873" s="27" t="s">
        <v>8</v>
      </c>
      <c r="FF873" s="27" t="s">
        <v>7</v>
      </c>
      <c r="FG873" s="27" t="s">
        <v>8</v>
      </c>
      <c r="FH873" s="27" t="s">
        <v>7</v>
      </c>
      <c r="FM873" s="27" t="s">
        <v>8</v>
      </c>
      <c r="FN873" s="27" t="s">
        <v>7</v>
      </c>
      <c r="FO873" s="27" t="s">
        <v>8</v>
      </c>
      <c r="FV873" s="27" t="s">
        <v>7</v>
      </c>
      <c r="FW873" s="27" t="s">
        <v>8</v>
      </c>
    </row>
    <row r="874" spans="1:181" x14ac:dyDescent="0.25">
      <c r="A874" s="7">
        <v>3.4021284313428307E-3</v>
      </c>
      <c r="B874"/>
      <c r="C874"/>
      <c r="D874"/>
      <c r="E874"/>
      <c r="ER874" s="27" t="s">
        <v>7</v>
      </c>
      <c r="EW874" s="27" t="s">
        <v>8</v>
      </c>
      <c r="EX874" s="27" t="s">
        <v>7</v>
      </c>
      <c r="FE874" s="27" t="s">
        <v>8</v>
      </c>
      <c r="FF874" s="27" t="s">
        <v>7</v>
      </c>
      <c r="FH874" s="27" t="s">
        <v>7</v>
      </c>
      <c r="FK874" s="27" t="s">
        <v>8</v>
      </c>
      <c r="FM874" s="27" t="s">
        <v>8</v>
      </c>
      <c r="FN874" s="27" t="s">
        <v>7</v>
      </c>
      <c r="FV874" s="27" t="s">
        <v>7</v>
      </c>
      <c r="FW874" s="27" t="s">
        <v>8</v>
      </c>
    </row>
    <row r="875" spans="1:181" x14ac:dyDescent="0.25">
      <c r="A875" s="7">
        <v>3.3354200307282654E-3</v>
      </c>
      <c r="B875"/>
      <c r="C875"/>
      <c r="D875"/>
      <c r="E875"/>
      <c r="ER875" s="27" t="s">
        <v>7</v>
      </c>
      <c r="EW875" s="27" t="s">
        <v>8</v>
      </c>
      <c r="EX875" s="27" t="s">
        <v>7</v>
      </c>
      <c r="EY875" s="27" t="s">
        <v>8</v>
      </c>
      <c r="FC875" s="27" t="s">
        <v>8</v>
      </c>
      <c r="FE875" s="27" t="s">
        <v>8</v>
      </c>
      <c r="FH875" s="27" t="s">
        <v>7</v>
      </c>
      <c r="FK875" s="27" t="s">
        <v>8</v>
      </c>
      <c r="FL875" s="27" t="s">
        <v>7</v>
      </c>
      <c r="FM875" s="27" t="s">
        <v>8</v>
      </c>
      <c r="FV875" s="27" t="s">
        <v>7</v>
      </c>
      <c r="FW875" s="27" t="s">
        <v>8</v>
      </c>
    </row>
    <row r="876" spans="1:181" x14ac:dyDescent="0.25">
      <c r="A876" s="7">
        <v>3.2700196379688881E-3</v>
      </c>
      <c r="B876"/>
      <c r="C876"/>
      <c r="D876"/>
      <c r="E876"/>
      <c r="ER876" s="27" t="s">
        <v>7</v>
      </c>
      <c r="EW876" s="27" t="s">
        <v>8</v>
      </c>
      <c r="EX876" s="27" t="s">
        <v>7</v>
      </c>
      <c r="EY876" s="27" t="s">
        <v>8</v>
      </c>
      <c r="EZ876" s="27" t="s">
        <v>7</v>
      </c>
      <c r="FC876" s="27" t="s">
        <v>8</v>
      </c>
      <c r="FD876" s="27" t="s">
        <v>7</v>
      </c>
      <c r="FE876" s="27" t="s">
        <v>8</v>
      </c>
      <c r="FH876" s="27" t="s">
        <v>7</v>
      </c>
      <c r="FI876" s="27" t="s">
        <v>8</v>
      </c>
      <c r="FK876" s="27" t="s">
        <v>8</v>
      </c>
      <c r="FL876" s="27" t="s">
        <v>7</v>
      </c>
      <c r="FM876" s="27" t="s">
        <v>8</v>
      </c>
      <c r="FV876" s="27" t="s">
        <v>7</v>
      </c>
      <c r="FW876" s="27" t="s">
        <v>8</v>
      </c>
    </row>
    <row r="877" spans="1:181" x14ac:dyDescent="0.25">
      <c r="A877" s="7">
        <v>3.205901605851851E-3</v>
      </c>
      <c r="B877"/>
      <c r="C877"/>
      <c r="D877"/>
      <c r="E877"/>
      <c r="ER877" s="27" t="s">
        <v>7</v>
      </c>
      <c r="EW877" s="27" t="s">
        <v>8</v>
      </c>
      <c r="EX877" s="27" t="s">
        <v>7</v>
      </c>
      <c r="EY877" s="27" t="s">
        <v>8</v>
      </c>
      <c r="EZ877" s="27" t="s">
        <v>7</v>
      </c>
      <c r="FC877" s="27" t="s">
        <v>8</v>
      </c>
      <c r="FD877" s="27" t="s">
        <v>7</v>
      </c>
      <c r="FE877" s="27" t="s">
        <v>8</v>
      </c>
      <c r="FH877" s="27" t="s">
        <v>7</v>
      </c>
      <c r="FI877" s="27" t="s">
        <v>8</v>
      </c>
      <c r="FJ877" s="27" t="s">
        <v>7</v>
      </c>
      <c r="FK877" s="27" t="s">
        <v>8</v>
      </c>
      <c r="FL877" s="27" t="s">
        <v>7</v>
      </c>
      <c r="FM877" s="27" t="s">
        <v>8</v>
      </c>
      <c r="FV877" s="27" t="s">
        <v>7</v>
      </c>
      <c r="FW877" s="27" t="s">
        <v>8</v>
      </c>
    </row>
    <row r="878" spans="1:181" x14ac:dyDescent="0.25">
      <c r="A878" s="7">
        <v>3.1430407900508344E-3</v>
      </c>
      <c r="B878"/>
      <c r="C878"/>
      <c r="D878"/>
      <c r="E878"/>
      <c r="ER878" s="27" t="s">
        <v>7</v>
      </c>
      <c r="EW878" s="27" t="s">
        <v>8</v>
      </c>
      <c r="EX878" s="27" t="s">
        <v>7</v>
      </c>
      <c r="EY878" s="27" t="s">
        <v>8</v>
      </c>
      <c r="EZ878" s="27" t="s">
        <v>7</v>
      </c>
      <c r="FC878" s="27" t="s">
        <v>8</v>
      </c>
      <c r="FD878" s="27" t="s">
        <v>7</v>
      </c>
      <c r="FE878" s="27" t="s">
        <v>8</v>
      </c>
      <c r="FH878" s="27" t="s">
        <v>7</v>
      </c>
      <c r="FI878" s="27" t="s">
        <v>8</v>
      </c>
      <c r="FJ878" s="27" t="s">
        <v>7</v>
      </c>
      <c r="FK878" s="27" t="s">
        <v>8</v>
      </c>
      <c r="FL878" s="27" t="s">
        <v>7</v>
      </c>
      <c r="FM878" s="27" t="s">
        <v>8</v>
      </c>
      <c r="FV878" s="27" t="s">
        <v>7</v>
      </c>
      <c r="FW878" s="27" t="s">
        <v>8</v>
      </c>
    </row>
    <row r="879" spans="1:181" x14ac:dyDescent="0.25">
      <c r="A879" s="7">
        <v>3.0814125392655241E-3</v>
      </c>
      <c r="B879"/>
      <c r="C879"/>
      <c r="D879"/>
      <c r="E879"/>
      <c r="ER879" s="27" t="s">
        <v>7</v>
      </c>
      <c r="EW879" s="27" t="s">
        <v>8</v>
      </c>
      <c r="EX879" s="27" t="s">
        <v>7</v>
      </c>
      <c r="EY879" s="27" t="s">
        <v>8</v>
      </c>
      <c r="EZ879" s="27" t="s">
        <v>7</v>
      </c>
      <c r="FA879" s="27" t="s">
        <v>8</v>
      </c>
      <c r="FC879" s="27" t="s">
        <v>8</v>
      </c>
      <c r="FD879" s="27" t="s">
        <v>7</v>
      </c>
      <c r="FH879" s="27" t="s">
        <v>7</v>
      </c>
      <c r="FJ879" s="27" t="s">
        <v>7</v>
      </c>
      <c r="FK879" s="27" t="s">
        <v>8</v>
      </c>
      <c r="FL879" s="27" t="s">
        <v>7</v>
      </c>
      <c r="FM879" s="27" t="s">
        <v>8</v>
      </c>
      <c r="FV879" s="27" t="s">
        <v>7</v>
      </c>
      <c r="FW879" s="27" t="s">
        <v>8</v>
      </c>
    </row>
    <row r="880" spans="1:181" x14ac:dyDescent="0.25">
      <c r="A880" s="7">
        <v>3.0209926855544354E-3</v>
      </c>
      <c r="B880"/>
      <c r="C880"/>
      <c r="D880"/>
      <c r="E880"/>
      <c r="ER880" s="27" t="s">
        <v>7</v>
      </c>
      <c r="EW880" s="27" t="s">
        <v>8</v>
      </c>
      <c r="EX880" s="27" t="s">
        <v>7</v>
      </c>
      <c r="EY880" s="27" t="s">
        <v>8</v>
      </c>
      <c r="EZ880" s="27" t="s">
        <v>7</v>
      </c>
      <c r="FA880" s="27" t="s">
        <v>8</v>
      </c>
      <c r="FB880" s="27" t="s">
        <v>7</v>
      </c>
      <c r="FC880" s="27" t="s">
        <v>8</v>
      </c>
      <c r="FJ880" s="27" t="s">
        <v>7</v>
      </c>
      <c r="FK880" s="27" t="s">
        <v>8</v>
      </c>
      <c r="FL880" s="27" t="s">
        <v>7</v>
      </c>
      <c r="FV880" s="27" t="s">
        <v>7</v>
      </c>
      <c r="FW880" s="27" t="s">
        <v>8</v>
      </c>
    </row>
    <row r="881" spans="1:178" x14ac:dyDescent="0.25">
      <c r="A881" s="7">
        <v>2.9617575348572897E-3</v>
      </c>
      <c r="B881"/>
      <c r="C881"/>
      <c r="D881"/>
      <c r="E881"/>
      <c r="ER881" s="27" t="s">
        <v>7</v>
      </c>
      <c r="EW881" s="27" t="s">
        <v>8</v>
      </c>
      <c r="EX881" s="27" t="s">
        <v>7</v>
      </c>
      <c r="EY881" s="27" t="s">
        <v>8</v>
      </c>
      <c r="EZ881" s="27" t="s">
        <v>7</v>
      </c>
      <c r="FA881" s="27" t="s">
        <v>8</v>
      </c>
      <c r="FB881" s="27" t="s">
        <v>7</v>
      </c>
      <c r="FC881" s="27" t="s">
        <v>8</v>
      </c>
      <c r="FJ881" s="27" t="s">
        <v>7</v>
      </c>
      <c r="FV881" s="27" t="s">
        <v>7</v>
      </c>
    </row>
    <row r="882" spans="1:178" x14ac:dyDescent="0.25">
      <c r="A882" s="7">
        <v>2.9036838577032251E-3</v>
      </c>
      <c r="B882"/>
      <c r="C882"/>
      <c r="D882"/>
      <c r="E882"/>
      <c r="ER882" s="27" t="s">
        <v>7</v>
      </c>
      <c r="ES882" s="27" t="s">
        <v>8</v>
      </c>
      <c r="EW882" s="27" t="s">
        <v>8</v>
      </c>
      <c r="EX882" s="27" t="s">
        <v>7</v>
      </c>
      <c r="EZ882" s="27" t="s">
        <v>7</v>
      </c>
      <c r="FA882" s="27" t="s">
        <v>8</v>
      </c>
      <c r="FB882" s="27" t="s">
        <v>7</v>
      </c>
    </row>
    <row r="883" spans="1:178" x14ac:dyDescent="0.25">
      <c r="A883" s="7">
        <v>2.8467488801012012E-3</v>
      </c>
      <c r="B883"/>
      <c r="C883"/>
      <c r="D883"/>
      <c r="E883"/>
      <c r="ER883" s="27" t="s">
        <v>7</v>
      </c>
      <c r="ES883" s="27" t="s">
        <v>8</v>
      </c>
      <c r="ET883" s="27" t="s">
        <v>7</v>
      </c>
      <c r="EW883" s="27" t="s">
        <v>8</v>
      </c>
      <c r="EZ883" s="27" t="s">
        <v>7</v>
      </c>
      <c r="FA883" s="27" t="s">
        <v>8</v>
      </c>
    </row>
    <row r="884" spans="1:178" x14ac:dyDescent="0.25">
      <c r="A884" s="7">
        <v>2.7909302746090209E-3</v>
      </c>
      <c r="B884"/>
      <c r="C884"/>
      <c r="D884"/>
      <c r="E884"/>
      <c r="ER884" s="27" t="s">
        <v>7</v>
      </c>
      <c r="ES884" s="27" t="s">
        <v>8</v>
      </c>
      <c r="ET884" s="27" t="s">
        <v>7</v>
      </c>
      <c r="EW884" s="27" t="s">
        <v>8</v>
      </c>
      <c r="EZ884" s="27" t="s">
        <v>7</v>
      </c>
    </row>
    <row r="885" spans="1:178" x14ac:dyDescent="0.25">
      <c r="A885" s="7">
        <v>2.7362061515774716E-3</v>
      </c>
      <c r="B885"/>
      <c r="C885"/>
      <c r="D885"/>
      <c r="E885"/>
      <c r="ER885" s="27" t="s">
        <v>7</v>
      </c>
      <c r="ES885" s="27" t="s">
        <v>8</v>
      </c>
      <c r="ET885" s="27" t="s">
        <v>7</v>
      </c>
      <c r="EW885" s="27" t="s">
        <v>8</v>
      </c>
    </row>
    <row r="886" spans="1:178" x14ac:dyDescent="0.25">
      <c r="A886" s="7">
        <v>2.6825550505661486E-3</v>
      </c>
      <c r="B886"/>
      <c r="C886"/>
      <c r="D886"/>
      <c r="E886"/>
      <c r="ER886" s="27" t="s">
        <v>7</v>
      </c>
      <c r="ES886" s="27" t="s">
        <v>8</v>
      </c>
      <c r="ET886" s="27" t="s">
        <v>7</v>
      </c>
      <c r="EW886" s="27" t="s">
        <v>8</v>
      </c>
    </row>
    <row r="887" spans="1:178" x14ac:dyDescent="0.25">
      <c r="A887" s="7">
        <v>2.6299559319275965E-3</v>
      </c>
      <c r="B887"/>
      <c r="C887"/>
      <c r="D887"/>
      <c r="E887"/>
      <c r="ER887" s="27" t="s">
        <v>7</v>
      </c>
      <c r="ES887" s="27" t="s">
        <v>8</v>
      </c>
      <c r="ET887" s="27" t="s">
        <v>7</v>
      </c>
      <c r="EW887" s="27" t="s">
        <v>8</v>
      </c>
    </row>
    <row r="888" spans="1:178" x14ac:dyDescent="0.25">
      <c r="A888" s="7">
        <v>2.578388168556467E-3</v>
      </c>
      <c r="B888"/>
      <c r="C888"/>
      <c r="D888"/>
      <c r="E888"/>
      <c r="ER888" s="27" t="s">
        <v>7</v>
      </c>
      <c r="ES888" s="27" t="s">
        <v>8</v>
      </c>
      <c r="ET888" s="27" t="s">
        <v>7</v>
      </c>
      <c r="EU888" s="27" t="s">
        <v>8</v>
      </c>
      <c r="EW888" s="27" t="s">
        <v>8</v>
      </c>
    </row>
    <row r="889" spans="1:178" x14ac:dyDescent="0.25">
      <c r="A889" s="7">
        <v>2.5278315378004577E-3</v>
      </c>
      <c r="B889"/>
      <c r="C889"/>
      <c r="D889"/>
      <c r="E889"/>
      <c r="ER889" s="27" t="s">
        <v>7</v>
      </c>
      <c r="ES889" s="27" t="s">
        <v>8</v>
      </c>
      <c r="ET889" s="27" t="s">
        <v>7</v>
      </c>
      <c r="EU889" s="27" t="s">
        <v>8</v>
      </c>
      <c r="EV889" s="27" t="s">
        <v>7</v>
      </c>
      <c r="EW889" s="27" t="s">
        <v>8</v>
      </c>
    </row>
    <row r="890" spans="1:178" x14ac:dyDescent="0.25">
      <c r="A890" s="7">
        <v>2.4782662135298603E-3</v>
      </c>
      <c r="B890"/>
      <c r="C890"/>
      <c r="D890"/>
      <c r="E890"/>
      <c r="ER890" s="27" t="s">
        <v>7</v>
      </c>
      <c r="ES890" s="27" t="s">
        <v>8</v>
      </c>
      <c r="ET890" s="27" t="s">
        <v>7</v>
      </c>
      <c r="EU890" s="27" t="s">
        <v>8</v>
      </c>
      <c r="EV890" s="27" t="s">
        <v>7</v>
      </c>
      <c r="EW890" s="27" t="s">
        <v>8</v>
      </c>
    </row>
    <row r="891" spans="1:178" x14ac:dyDescent="0.25">
      <c r="A891" s="7">
        <v>2.4296727583626083E-3</v>
      </c>
      <c r="B891"/>
      <c r="C891"/>
      <c r="D891"/>
      <c r="E891"/>
      <c r="ER891" s="27" t="s">
        <v>7</v>
      </c>
      <c r="ES891" s="27" t="s">
        <v>8</v>
      </c>
      <c r="ET891" s="27" t="s">
        <v>7</v>
      </c>
      <c r="EU891" s="27" t="s">
        <v>8</v>
      </c>
      <c r="EV891" s="27" t="s">
        <v>7</v>
      </c>
      <c r="EW891" s="27" t="s">
        <v>8</v>
      </c>
    </row>
    <row r="892" spans="1:178" x14ac:dyDescent="0.25">
      <c r="A892" s="7">
        <v>2.3820321160417726E-3</v>
      </c>
      <c r="B892"/>
      <c r="C892"/>
      <c r="D892"/>
      <c r="E892"/>
      <c r="ER892" s="27" t="s">
        <v>7</v>
      </c>
      <c r="ES892" s="27" t="s">
        <v>8</v>
      </c>
      <c r="ET892" s="27" t="s">
        <v>7</v>
      </c>
      <c r="EU892" s="27" t="s">
        <v>8</v>
      </c>
      <c r="EV892" s="27" t="s">
        <v>7</v>
      </c>
      <c r="EW892" s="27" t="s">
        <v>8</v>
      </c>
    </row>
    <row r="893" spans="1:178" x14ac:dyDescent="0.25">
      <c r="A893" s="7">
        <v>2.3353256039625224E-3</v>
      </c>
      <c r="B893"/>
      <c r="C893"/>
      <c r="D893"/>
      <c r="E893"/>
      <c r="ER893" s="27" t="s">
        <v>7</v>
      </c>
      <c r="ES893" s="27" t="s">
        <v>8</v>
      </c>
      <c r="ET893" s="27" t="s">
        <v>7</v>
      </c>
      <c r="EU893" s="27" t="s">
        <v>8</v>
      </c>
      <c r="EV893" s="27" t="s">
        <v>7</v>
      </c>
    </row>
    <row r="894" spans="1:178" x14ac:dyDescent="0.25">
      <c r="A894" s="7">
        <v>2.2895349058456101E-3</v>
      </c>
      <c r="B894"/>
      <c r="C894"/>
      <c r="D894"/>
      <c r="E894"/>
      <c r="ER894" s="27" t="s">
        <v>7</v>
      </c>
      <c r="ES894" s="27" t="s">
        <v>8</v>
      </c>
      <c r="ET894" s="27" t="s">
        <v>7</v>
      </c>
      <c r="EU894" s="27" t="s">
        <v>8</v>
      </c>
    </row>
    <row r="895" spans="1:178" x14ac:dyDescent="0.25">
      <c r="A895" s="7">
        <v>2.24464206455452E-3</v>
      </c>
      <c r="B895"/>
      <c r="C895"/>
      <c r="D895"/>
      <c r="E895"/>
      <c r="ER895" s="27" t="s">
        <v>7</v>
      </c>
      <c r="ES895" s="27" t="s">
        <v>8</v>
      </c>
      <c r="ET895" s="27" t="s">
        <v>7</v>
      </c>
      <c r="EU895" s="27" t="s">
        <v>8</v>
      </c>
    </row>
    <row r="896" spans="1:178" x14ac:dyDescent="0.25">
      <c r="A896" s="7">
        <v>2.200629475053451E-3</v>
      </c>
      <c r="B896"/>
      <c r="C896"/>
      <c r="D896"/>
      <c r="E896"/>
      <c r="ER896" s="27" t="s">
        <v>7</v>
      </c>
      <c r="ES896" s="27" t="s">
        <v>8</v>
      </c>
      <c r="ET896" s="27" t="s">
        <v>7</v>
      </c>
      <c r="EU896" s="27" t="s">
        <v>8</v>
      </c>
    </row>
    <row r="897" spans="1:150" x14ac:dyDescent="0.25">
      <c r="A897" s="7">
        <v>2.1574798775033832E-3</v>
      </c>
      <c r="B897"/>
      <c r="C897"/>
      <c r="D897"/>
      <c r="E897"/>
      <c r="ER897" s="27" t="s">
        <v>7</v>
      </c>
      <c r="ES897" s="27" t="s">
        <v>8</v>
      </c>
      <c r="ET897" s="27" t="s">
        <v>7</v>
      </c>
    </row>
    <row r="898" spans="1:150" x14ac:dyDescent="0.25">
      <c r="A898" s="7">
        <v>2.115176350493513E-3</v>
      </c>
      <c r="B898"/>
      <c r="C898"/>
      <c r="D898"/>
      <c r="E898"/>
      <c r="ER898" s="27" t="s">
        <v>7</v>
      </c>
      <c r="ES898" s="27" t="s">
        <v>8</v>
      </c>
    </row>
    <row r="899" spans="1:150" x14ac:dyDescent="0.25">
      <c r="A899" s="7">
        <v>2.0737023044054047E-3</v>
      </c>
      <c r="B899"/>
      <c r="C899"/>
      <c r="D899"/>
      <c r="E899"/>
      <c r="ER899" s="27" t="s">
        <v>7</v>
      </c>
      <c r="ES899" s="27" t="s">
        <v>8</v>
      </c>
    </row>
    <row r="900" spans="1:150" x14ac:dyDescent="0.25">
      <c r="A900" s="7">
        <v>2.0330414749072595E-3</v>
      </c>
      <c r="B900"/>
      <c r="C900"/>
      <c r="D900"/>
      <c r="E900"/>
      <c r="ER900" s="27" t="s">
        <v>7</v>
      </c>
      <c r="ES900" s="27" t="s">
        <v>8</v>
      </c>
    </row>
    <row r="901" spans="1:150" x14ac:dyDescent="0.25">
      <c r="A901" s="7">
        <v>1.9931779165757446E-3</v>
      </c>
      <c r="B901"/>
      <c r="C901"/>
      <c r="D901"/>
      <c r="E901"/>
      <c r="ER901" s="27" t="s">
        <v>7</v>
      </c>
      <c r="ES901" s="27" t="s">
        <v>8</v>
      </c>
    </row>
    <row r="902" spans="1:150" x14ac:dyDescent="0.25">
      <c r="A902" s="7">
        <v>1.954095996642887E-3</v>
      </c>
      <c r="B902"/>
      <c r="C902"/>
      <c r="D902"/>
      <c r="E902"/>
      <c r="ER902" s="27" t="s">
        <v>7</v>
      </c>
      <c r="ES902" s="27" t="s">
        <v>8</v>
      </c>
    </row>
    <row r="903" spans="1:150" x14ac:dyDescent="0.25">
      <c r="A903" s="7">
        <v>1.9157803888655755E-3</v>
      </c>
      <c r="B903"/>
      <c r="C903"/>
      <c r="D903"/>
      <c r="E903"/>
      <c r="ER903" s="27" t="s">
        <v>7</v>
      </c>
      <c r="ES903" s="27" t="s">
        <v>8</v>
      </c>
    </row>
    <row r="904" spans="1:150" x14ac:dyDescent="0.25">
      <c r="A904" s="7">
        <v>1.8782160675152703E-3</v>
      </c>
      <c r="B904"/>
      <c r="C904"/>
      <c r="D904"/>
      <c r="E904"/>
      <c r="ER904" s="27" t="s">
        <v>7</v>
      </c>
      <c r="ES904" s="27" t="s">
        <v>8</v>
      </c>
    </row>
    <row r="905" spans="1:150" x14ac:dyDescent="0.25">
      <c r="A905" s="7">
        <v>1.8413883014855592E-3</v>
      </c>
      <c r="B905"/>
      <c r="C905"/>
      <c r="D905"/>
      <c r="E905"/>
      <c r="ER905" s="27" t="s">
        <v>7</v>
      </c>
      <c r="ES905" s="27" t="s">
        <v>8</v>
      </c>
    </row>
    <row r="906" spans="1:150" x14ac:dyDescent="0.25">
      <c r="A906" s="7">
        <v>1.8052826485152542E-3</v>
      </c>
      <c r="B906"/>
      <c r="C906"/>
      <c r="D906"/>
      <c r="E906"/>
      <c r="ER906" s="27" t="s">
        <v>7</v>
      </c>
      <c r="ES906" s="27" t="s">
        <v>8</v>
      </c>
    </row>
    <row r="907" spans="1:150" x14ac:dyDescent="0.25">
      <c r="A907" s="7">
        <v>1.7698849495247592E-3</v>
      </c>
      <c r="B907"/>
      <c r="C907"/>
      <c r="D907"/>
      <c r="E907"/>
      <c r="ER907" s="27" t="s">
        <v>7</v>
      </c>
      <c r="ES907" s="27" t="s">
        <v>8</v>
      </c>
    </row>
    <row r="908" spans="1:150" x14ac:dyDescent="0.25">
      <c r="A908" s="7">
        <v>1.7351813230634893E-3</v>
      </c>
      <c r="B908"/>
      <c r="C908"/>
      <c r="D908"/>
      <c r="E908"/>
      <c r="ER908" s="27" t="s">
        <v>7</v>
      </c>
      <c r="ES908" s="27" t="s">
        <v>8</v>
      </c>
    </row>
    <row r="909" spans="1:150" x14ac:dyDescent="0.25">
      <c r="A909" s="7">
        <v>1.701158159866166E-3</v>
      </c>
      <c r="B909"/>
      <c r="C909"/>
      <c r="D909"/>
      <c r="E909"/>
      <c r="ER909" s="27" t="s">
        <v>7</v>
      </c>
      <c r="ES909" s="27" t="s">
        <v>8</v>
      </c>
    </row>
    <row r="910" spans="1:150" x14ac:dyDescent="0.25">
      <c r="A910" s="7">
        <v>1.6678021175158492E-3</v>
      </c>
      <c r="B910"/>
      <c r="C910"/>
      <c r="D910"/>
      <c r="E910"/>
      <c r="ER910" s="27" t="s">
        <v>7</v>
      </c>
      <c r="ES910" s="27" t="s">
        <v>8</v>
      </c>
    </row>
    <row r="911" spans="1:150" x14ac:dyDescent="0.25">
      <c r="A911" s="7">
        <v>1.6351001152116167E-3</v>
      </c>
      <c r="B911"/>
      <c r="C911"/>
      <c r="D911"/>
      <c r="E911"/>
      <c r="ER911" s="27" t="s">
        <v>7</v>
      </c>
      <c r="ES911" s="27" t="s">
        <v>8</v>
      </c>
    </row>
    <row r="912" spans="1:150" x14ac:dyDescent="0.25">
      <c r="A912" s="7">
        <v>1.60303932863884E-3</v>
      </c>
      <c r="B912"/>
      <c r="C912"/>
      <c r="D912"/>
      <c r="E912"/>
      <c r="ER912" s="27" t="s">
        <v>7</v>
      </c>
      <c r="ES912" s="27" t="s">
        <v>8</v>
      </c>
    </row>
    <row r="913" spans="1:149" x14ac:dyDescent="0.25">
      <c r="A913" s="7">
        <v>1.5716071849400392E-3</v>
      </c>
      <c r="B913"/>
      <c r="C913"/>
      <c r="D913"/>
      <c r="E913"/>
      <c r="ER913" s="27" t="s">
        <v>7</v>
      </c>
      <c r="ES913" s="27" t="s">
        <v>8</v>
      </c>
    </row>
    <row r="914" spans="1:149" x14ac:dyDescent="0.25">
      <c r="A914" s="7">
        <v>1.5407913577843522E-3</v>
      </c>
      <c r="B914"/>
      <c r="C914"/>
      <c r="D914"/>
      <c r="E914"/>
      <c r="ER914" s="27" t="s">
        <v>7</v>
      </c>
      <c r="ES914" s="27" t="s">
        <v>8</v>
      </c>
    </row>
    <row r="915" spans="1:149" x14ac:dyDescent="0.25">
      <c r="A915" s="7">
        <v>1.5105797625336785E-3</v>
      </c>
      <c r="B915"/>
      <c r="C915"/>
      <c r="D915"/>
      <c r="E915"/>
      <c r="ER915" s="27" t="s">
        <v>7</v>
      </c>
      <c r="ES915" s="27" t="s">
        <v>8</v>
      </c>
    </row>
    <row r="916" spans="1:149" x14ac:dyDescent="0.25">
      <c r="A916" s="7">
        <v>1.4809605515036064E-3</v>
      </c>
      <c r="B916"/>
      <c r="C916"/>
      <c r="D916"/>
      <c r="E916"/>
      <c r="ER916" s="27" t="s">
        <v>7</v>
      </c>
      <c r="ES916" s="27" t="s">
        <v>8</v>
      </c>
    </row>
    <row r="917" spans="1:149" x14ac:dyDescent="0.25">
      <c r="A917" s="7">
        <v>1.4519221093172612E-3</v>
      </c>
      <c r="B917"/>
      <c r="C917"/>
      <c r="D917"/>
      <c r="E917"/>
      <c r="ER917" s="27" t="s">
        <v>7</v>
      </c>
      <c r="ES917" s="27" t="s">
        <v>8</v>
      </c>
    </row>
    <row r="918" spans="1:149" x14ac:dyDescent="0.25">
      <c r="A918" s="7">
        <v>1.423453048350256E-3</v>
      </c>
      <c r="B918"/>
      <c r="C918"/>
      <c r="D918"/>
      <c r="E918"/>
      <c r="ER918" s="27" t="s">
        <v>7</v>
      </c>
      <c r="ES918" s="27" t="s">
        <v>8</v>
      </c>
    </row>
    <row r="919" spans="1:149" x14ac:dyDescent="0.25">
      <c r="A919" s="7">
        <v>1.3955422042649568E-3</v>
      </c>
      <c r="B919"/>
      <c r="C919"/>
      <c r="D919"/>
      <c r="E919"/>
      <c r="ER919" s="27" t="s">
        <v>7</v>
      </c>
      <c r="ES919" s="27" t="s">
        <v>8</v>
      </c>
    </row>
    <row r="920" spans="1:149" x14ac:dyDescent="0.25">
      <c r="A920" s="7">
        <v>1.3681786316323105E-3</v>
      </c>
      <c r="B920"/>
      <c r="C920"/>
      <c r="D920"/>
      <c r="E920"/>
      <c r="ER920" s="27" t="s">
        <v>7</v>
      </c>
    </row>
    <row r="921" spans="1:149" x14ac:dyDescent="0.25">
      <c r="A921" s="7">
        <v>1.3413515996395203E-3</v>
      </c>
      <c r="B921"/>
      <c r="C921"/>
      <c r="D921"/>
      <c r="E921"/>
    </row>
    <row r="922" spans="1:149" x14ac:dyDescent="0.25">
      <c r="A922" s="7">
        <v>1.3150505878818826E-3</v>
      </c>
      <c r="B922"/>
      <c r="C922"/>
      <c r="D922"/>
      <c r="E922"/>
    </row>
    <row r="923" spans="1:149" x14ac:dyDescent="0.25">
      <c r="A923" s="7">
        <v>1.2892652822371396E-3</v>
      </c>
      <c r="B923"/>
      <c r="C923"/>
      <c r="D923"/>
      <c r="E923"/>
    </row>
    <row r="924" spans="1:149" x14ac:dyDescent="0.25">
      <c r="A924" s="7">
        <v>1.2639855708207251E-3</v>
      </c>
      <c r="B924"/>
      <c r="C924"/>
      <c r="D924"/>
      <c r="E924"/>
    </row>
    <row r="925" spans="1:149" x14ac:dyDescent="0.25">
      <c r="A925" s="7">
        <v>1.2392015400203187E-3</v>
      </c>
      <c r="B925"/>
      <c r="C925"/>
      <c r="D925"/>
      <c r="E925"/>
    </row>
    <row r="926" spans="1:149" x14ac:dyDescent="0.25">
      <c r="A926" s="7">
        <v>1.2149034706081556E-3</v>
      </c>
      <c r="B926"/>
      <c r="C926"/>
      <c r="D926"/>
      <c r="E926"/>
    </row>
    <row r="927" spans="1:149" x14ac:dyDescent="0.25">
      <c r="A927" s="7">
        <v>1.1910818339295644E-3</v>
      </c>
      <c r="B927"/>
      <c r="C927"/>
      <c r="D927"/>
      <c r="E927"/>
    </row>
    <row r="928" spans="1:149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48" operator="equal">
      <formula>$U$1</formula>
    </cfRule>
    <cfRule type="cellIs" dxfId="89" priority="1449" operator="equal">
      <formula>$S$1</formula>
    </cfRule>
  </conditionalFormatting>
  <conditionalFormatting sqref="D27">
    <cfRule type="cellIs" dxfId="88" priority="1446" operator="equal">
      <formula>$S$1</formula>
    </cfRule>
    <cfRule type="cellIs" dxfId="87" priority="1447" operator="equal">
      <formula>$U$1</formula>
    </cfRule>
  </conditionalFormatting>
  <conditionalFormatting sqref="C164">
    <cfRule type="cellIs" dxfId="86" priority="1444" operator="equal">
      <formula>$U$1</formula>
    </cfRule>
    <cfRule type="cellIs" dxfId="85" priority="1445" operator="equal">
      <formula>$S$1</formula>
    </cfRule>
  </conditionalFormatting>
  <conditionalFormatting sqref="D164">
    <cfRule type="cellIs" dxfId="84" priority="1442" operator="equal">
      <formula>$S$1</formula>
    </cfRule>
    <cfRule type="cellIs" dxfId="83" priority="1443" operator="equal">
      <formula>$U$1</formula>
    </cfRule>
  </conditionalFormatting>
  <conditionalFormatting sqref="C55">
    <cfRule type="cellIs" dxfId="82" priority="1440" operator="equal">
      <formula>$U$1</formula>
    </cfRule>
    <cfRule type="cellIs" dxfId="81" priority="1441" operator="equal">
      <formula>$S$1</formula>
    </cfRule>
  </conditionalFormatting>
  <conditionalFormatting sqref="D55">
    <cfRule type="cellIs" dxfId="80" priority="1438" operator="equal">
      <formula>$S$1</formula>
    </cfRule>
    <cfRule type="cellIs" dxfId="79" priority="1439" operator="equal">
      <formula>$U$1</formula>
    </cfRule>
  </conditionalFormatting>
  <conditionalFormatting sqref="C89">
    <cfRule type="cellIs" dxfId="78" priority="1436" operator="equal">
      <formula>$U$1</formula>
    </cfRule>
    <cfRule type="cellIs" dxfId="77" priority="1437" operator="equal">
      <formula>$S$1</formula>
    </cfRule>
  </conditionalFormatting>
  <conditionalFormatting sqref="D89">
    <cfRule type="cellIs" dxfId="76" priority="1434" operator="equal">
      <formula>$S$1</formula>
    </cfRule>
    <cfRule type="cellIs" dxfId="75" priority="1435" operator="equal">
      <formula>$U$1</formula>
    </cfRule>
  </conditionalFormatting>
  <conditionalFormatting sqref="C136">
    <cfRule type="cellIs" dxfId="74" priority="1432" operator="equal">
      <formula>$U$1</formula>
    </cfRule>
    <cfRule type="cellIs" dxfId="73" priority="1433" operator="equal">
      <formula>$S$1</formula>
    </cfRule>
  </conditionalFormatting>
  <conditionalFormatting sqref="D136">
    <cfRule type="cellIs" dxfId="72" priority="1430" operator="equal">
      <formula>$S$1</formula>
    </cfRule>
    <cfRule type="cellIs" dxfId="71" priority="1431" operator="equal">
      <formula>$U$1</formula>
    </cfRule>
  </conditionalFormatting>
  <conditionalFormatting sqref="C1">
    <cfRule type="cellIs" dxfId="70" priority="142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91" zoomScale="90" zoomScaleNormal="90" workbookViewId="0">
      <pane xSplit="4" topLeftCell="DI1" activePane="topRight" state="frozen"/>
      <selection activeCell="A109" sqref="A109"/>
      <selection pane="topRight" activeCell="FC316" sqref="FC31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$A$315</v>
      </c>
      <c r="D111" s="1" t="str">
        <f>ADDRESS(C121-1,D121,1,1)</f>
        <v>$FC$315</v>
      </c>
      <c r="E111"/>
    </row>
    <row r="112" spans="1:5" x14ac:dyDescent="0.25">
      <c r="A112" s="30">
        <v>515.50191262726139</v>
      </c>
      <c r="C112" s="1" t="str">
        <f>ADDRESS(C121,1,1,1)</f>
        <v>$A$316</v>
      </c>
      <c r="D112" s="1" t="str">
        <f>ADDRESS(C121,D121-1,1,1)</f>
        <v>$FB$316</v>
      </c>
      <c r="E112"/>
    </row>
    <row r="113" spans="1:5" x14ac:dyDescent="0.25">
      <c r="A113" s="30">
        <v>490.95420250215363</v>
      </c>
      <c r="C113" s="1" t="str">
        <f>ADDRESS(C121+1,1,1,1)</f>
        <v>$A$317</v>
      </c>
      <c r="D113" s="1" t="str">
        <f>ADDRESS(C121-1,D121+1,1,1)</f>
        <v>$FD$315</v>
      </c>
    </row>
    <row r="114" spans="1:5" x14ac:dyDescent="0.25">
      <c r="A114" s="30">
        <v>467.57543095443202</v>
      </c>
      <c r="C114" s="1" t="str">
        <f>ADDRESS(C121,D121,1,1)</f>
        <v>$FC$316</v>
      </c>
      <c r="D114" s="1" t="str">
        <f>ADDRESS(C121+1,D121+1,1,1)</f>
        <v>$FD$317</v>
      </c>
    </row>
    <row r="115" spans="1:5" x14ac:dyDescent="0.25">
      <c r="A115" s="30">
        <v>445.30993424231622</v>
      </c>
      <c r="C115" s="1" t="str">
        <f>ADDRESS(C121+1,D121,1,1)</f>
        <v>$FC$317</v>
      </c>
    </row>
    <row r="116" spans="1:5" x14ac:dyDescent="0.25">
      <c r="A116" s="30">
        <v>424.10469927839637</v>
      </c>
      <c r="C116" s="1">
        <f>C117-1</f>
        <v>315</v>
      </c>
    </row>
    <row r="117" spans="1:5" x14ac:dyDescent="0.25">
      <c r="A117" s="30">
        <v>403.9092374079965</v>
      </c>
      <c r="C117" s="1">
        <f>C121</f>
        <v>316</v>
      </c>
      <c r="D117" s="1">
        <f>D121</f>
        <v>159</v>
      </c>
    </row>
    <row r="118" spans="1:5" x14ac:dyDescent="0.25">
      <c r="A118" s="30">
        <v>384.6754641980919</v>
      </c>
      <c r="C118" s="1">
        <f>C117+1</f>
        <v>317</v>
      </c>
      <c r="D118" s="1">
        <f>D117+1</f>
        <v>160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316</v>
      </c>
      <c r="D121" s="19">
        <v>159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R316</v>
      </c>
      <c r="D123" s="1" t="str">
        <f>"C"&amp;D121</f>
        <v>C159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2.4525240264112496E-2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153" x14ac:dyDescent="0.25">
      <c r="A289" s="30">
        <v>9.1563913320997906E-2</v>
      </c>
      <c r="B289"/>
      <c r="C289"/>
      <c r="D289"/>
      <c r="E289"/>
      <c r="F289" s="27" t="s">
        <v>7</v>
      </c>
    </row>
    <row r="290" spans="1:153" x14ac:dyDescent="0.25">
      <c r="A290" s="30">
        <v>8.7203726972378923E-2</v>
      </c>
      <c r="B290"/>
      <c r="C290"/>
      <c r="D290"/>
      <c r="E290"/>
      <c r="F290" s="27" t="s">
        <v>7</v>
      </c>
      <c r="DE290" s="32" t="s">
        <v>8</v>
      </c>
      <c r="DG290" s="32" t="s">
        <v>8</v>
      </c>
    </row>
    <row r="291" spans="1:153" x14ac:dyDescent="0.25">
      <c r="A291" s="30">
        <v>8.3051168545122747E-2</v>
      </c>
      <c r="B291"/>
      <c r="C291"/>
      <c r="D291"/>
      <c r="E291"/>
      <c r="F291" s="27" t="s">
        <v>7</v>
      </c>
      <c r="DE291" s="27" t="s">
        <v>8</v>
      </c>
      <c r="DF291" s="27" t="s">
        <v>7</v>
      </c>
      <c r="DG291" s="27" t="s">
        <v>8</v>
      </c>
      <c r="DH291" s="27" t="s">
        <v>7</v>
      </c>
      <c r="EM291" s="27" t="s">
        <v>8</v>
      </c>
    </row>
    <row r="292" spans="1:153" x14ac:dyDescent="0.25">
      <c r="A292" s="30">
        <v>7.9096350995354961E-2</v>
      </c>
      <c r="B292"/>
      <c r="C292"/>
      <c r="D292"/>
      <c r="E292"/>
      <c r="F292" s="27" t="s">
        <v>7</v>
      </c>
      <c r="DE292" s="27" t="s">
        <v>8</v>
      </c>
      <c r="DF292" s="27" t="s">
        <v>7</v>
      </c>
      <c r="DG292" s="27" t="s">
        <v>8</v>
      </c>
      <c r="DH292" s="27" t="s">
        <v>7</v>
      </c>
      <c r="DI292" s="27" t="s">
        <v>8</v>
      </c>
      <c r="EM292" s="27" t="s">
        <v>8</v>
      </c>
      <c r="EN292" s="27" t="s">
        <v>7</v>
      </c>
      <c r="EO292" s="27" t="s">
        <v>8</v>
      </c>
    </row>
    <row r="293" spans="1:153" x14ac:dyDescent="0.25">
      <c r="A293" s="30">
        <v>7.5329858090814217E-2</v>
      </c>
      <c r="B293"/>
      <c r="C293"/>
      <c r="D293"/>
      <c r="E293"/>
      <c r="F293" s="27" t="s">
        <v>7</v>
      </c>
      <c r="DE293" s="27" t="s">
        <v>8</v>
      </c>
      <c r="DF293" s="27" t="s">
        <v>7</v>
      </c>
      <c r="DG293" s="27" t="s">
        <v>8</v>
      </c>
      <c r="DH293" s="27" t="s">
        <v>7</v>
      </c>
      <c r="DI293" s="27" t="s">
        <v>8</v>
      </c>
      <c r="DJ293" s="27" t="s">
        <v>7</v>
      </c>
      <c r="DO293" s="31" t="s">
        <v>8</v>
      </c>
      <c r="EM293" s="27" t="s">
        <v>8</v>
      </c>
      <c r="EN293" s="27" t="s">
        <v>7</v>
      </c>
      <c r="EO293" s="27" t="s">
        <v>8</v>
      </c>
      <c r="EP293" s="27" t="s">
        <v>7</v>
      </c>
    </row>
    <row r="294" spans="1:153" x14ac:dyDescent="0.25">
      <c r="A294" s="30">
        <v>7.1742721991251604E-2</v>
      </c>
      <c r="B294"/>
      <c r="C294"/>
      <c r="D294"/>
      <c r="E294"/>
      <c r="F294" s="27" t="s">
        <v>7</v>
      </c>
      <c r="DE294" s="27" t="s">
        <v>8</v>
      </c>
      <c r="DF294" s="27" t="s">
        <v>7</v>
      </c>
      <c r="DG294" s="27" t="s">
        <v>8</v>
      </c>
      <c r="DH294" s="27" t="s">
        <v>7</v>
      </c>
      <c r="DI294" s="27" t="s">
        <v>8</v>
      </c>
      <c r="DJ294" s="27" t="s">
        <v>7</v>
      </c>
      <c r="DO294" s="27" t="s">
        <v>8</v>
      </c>
      <c r="DP294" s="31" t="s">
        <v>7</v>
      </c>
      <c r="EM294" s="27" t="s">
        <v>8</v>
      </c>
      <c r="EN294" s="27" t="s">
        <v>7</v>
      </c>
      <c r="EO294" s="27" t="s">
        <v>8</v>
      </c>
      <c r="EP294" s="27" t="s">
        <v>7</v>
      </c>
    </row>
    <row r="295" spans="1:153" x14ac:dyDescent="0.25">
      <c r="A295" s="30">
        <v>6.8326401896430078E-2</v>
      </c>
      <c r="B295"/>
      <c r="C295"/>
      <c r="D295"/>
      <c r="E295"/>
      <c r="F295" s="27" t="s">
        <v>7</v>
      </c>
      <c r="CU295" s="27" t="s">
        <v>8</v>
      </c>
      <c r="DE295" s="27" t="s">
        <v>8</v>
      </c>
      <c r="DF295" s="27" t="s">
        <v>7</v>
      </c>
      <c r="DH295" s="27" t="s">
        <v>7</v>
      </c>
      <c r="DI295" s="27" t="s">
        <v>8</v>
      </c>
      <c r="DJ295" s="27" t="s">
        <v>7</v>
      </c>
      <c r="DM295" s="27" t="s">
        <v>8</v>
      </c>
      <c r="DO295" s="27" t="s">
        <v>8</v>
      </c>
      <c r="DP295" s="27" t="s">
        <v>7</v>
      </c>
      <c r="DQ295" s="31"/>
      <c r="EK295" s="27" t="s">
        <v>8</v>
      </c>
      <c r="EM295" s="27" t="s">
        <v>8</v>
      </c>
      <c r="EN295" s="27" t="s">
        <v>7</v>
      </c>
      <c r="EO295" s="27" t="s">
        <v>8</v>
      </c>
      <c r="EP295" s="27" t="s">
        <v>7</v>
      </c>
    </row>
    <row r="296" spans="1:153" x14ac:dyDescent="0.25">
      <c r="A296" s="30">
        <v>6.5072763710885759E-2</v>
      </c>
      <c r="B296"/>
      <c r="C296"/>
      <c r="D296"/>
      <c r="E296"/>
      <c r="F296" s="27" t="s">
        <v>7</v>
      </c>
      <c r="CU296" s="27" t="s">
        <v>8</v>
      </c>
      <c r="CV296" s="27" t="s">
        <v>7</v>
      </c>
      <c r="DA296" s="27" t="s">
        <v>8</v>
      </c>
      <c r="DE296" s="27" t="s">
        <v>8</v>
      </c>
      <c r="DH296" s="34" t="s">
        <v>7</v>
      </c>
      <c r="DJ296" s="27" t="s">
        <v>7</v>
      </c>
      <c r="DM296" s="27" t="s">
        <v>8</v>
      </c>
      <c r="DN296" s="27" t="s">
        <v>7</v>
      </c>
      <c r="DO296" s="27" t="s">
        <v>8</v>
      </c>
      <c r="DP296" s="27" t="s">
        <v>7</v>
      </c>
      <c r="DR296" s="31"/>
      <c r="EK296" s="27" t="s">
        <v>8</v>
      </c>
      <c r="EL296" s="27" t="s">
        <v>7</v>
      </c>
      <c r="EM296" s="27" t="s">
        <v>8</v>
      </c>
      <c r="EN296" s="27" t="s">
        <v>7</v>
      </c>
      <c r="EP296" s="27" t="s">
        <v>7</v>
      </c>
      <c r="EQ296" s="27" t="s">
        <v>8</v>
      </c>
    </row>
    <row r="297" spans="1:153" x14ac:dyDescent="0.25">
      <c r="A297" s="30">
        <v>6.197406067703403E-2</v>
      </c>
      <c r="B297"/>
      <c r="C297"/>
      <c r="D297"/>
      <c r="E297"/>
      <c r="F297" s="27" t="s">
        <v>7</v>
      </c>
      <c r="CU297" s="27" t="s">
        <v>8</v>
      </c>
      <c r="CV297" s="27" t="s">
        <v>7</v>
      </c>
      <c r="DA297" s="27" t="s">
        <v>8</v>
      </c>
      <c r="DB297" s="27" t="s">
        <v>7</v>
      </c>
      <c r="DC297" s="27" t="s">
        <v>8</v>
      </c>
      <c r="DE297" s="27" t="s">
        <v>8</v>
      </c>
      <c r="DJ297" s="27" t="s">
        <v>7</v>
      </c>
      <c r="DM297" s="27" t="s">
        <v>8</v>
      </c>
      <c r="DN297" s="27" t="s">
        <v>7</v>
      </c>
      <c r="DO297" s="27" t="s">
        <v>8</v>
      </c>
      <c r="DP297" s="27" t="s">
        <v>7</v>
      </c>
      <c r="DS297" s="31"/>
      <c r="EK297" s="27" t="s">
        <v>8</v>
      </c>
      <c r="EL297" s="27" t="s">
        <v>7</v>
      </c>
      <c r="EM297" s="27" t="s">
        <v>8</v>
      </c>
      <c r="EP297" s="27" t="s">
        <v>7</v>
      </c>
      <c r="EQ297" s="27" t="s">
        <v>8</v>
      </c>
      <c r="ER297" s="27" t="s">
        <v>7</v>
      </c>
      <c r="ES297" s="27" t="s">
        <v>8</v>
      </c>
    </row>
    <row r="298" spans="1:153" x14ac:dyDescent="0.25">
      <c r="A298" s="30">
        <v>5.9022914930508576E-2</v>
      </c>
      <c r="B298"/>
      <c r="C298"/>
      <c r="D298"/>
      <c r="E298"/>
      <c r="F298" s="27" t="s">
        <v>7</v>
      </c>
      <c r="CU298" s="27" t="s">
        <v>8</v>
      </c>
      <c r="CV298" s="27" t="s">
        <v>7</v>
      </c>
      <c r="CW298" s="27" t="s">
        <v>8</v>
      </c>
      <c r="DA298" s="27" t="s">
        <v>8</v>
      </c>
      <c r="DB298" s="27" t="s">
        <v>7</v>
      </c>
      <c r="DC298" s="27" t="s">
        <v>8</v>
      </c>
      <c r="DD298" s="27" t="s">
        <v>7</v>
      </c>
      <c r="DE298" s="27" t="s">
        <v>8</v>
      </c>
      <c r="DJ298" s="27" t="s">
        <v>7</v>
      </c>
      <c r="DM298" s="27" t="s">
        <v>8</v>
      </c>
      <c r="DN298" s="27" t="s">
        <v>7</v>
      </c>
      <c r="DO298" s="27" t="s">
        <v>8</v>
      </c>
      <c r="DP298" s="27" t="s">
        <v>7</v>
      </c>
      <c r="DQ298" s="27" t="s">
        <v>8</v>
      </c>
      <c r="DT298" s="31"/>
      <c r="EK298" s="27" t="s">
        <v>8</v>
      </c>
      <c r="EL298" s="27" t="s">
        <v>7</v>
      </c>
      <c r="EM298" s="27" t="s">
        <v>8</v>
      </c>
      <c r="EP298" s="27" t="s">
        <v>7</v>
      </c>
      <c r="EQ298" s="27" t="s">
        <v>8</v>
      </c>
      <c r="ER298" s="27" t="s">
        <v>7</v>
      </c>
      <c r="ES298" s="27" t="s">
        <v>8</v>
      </c>
      <c r="ET298" s="27" t="s">
        <v>7</v>
      </c>
    </row>
    <row r="299" spans="1:153" x14ac:dyDescent="0.25">
      <c r="A299" s="30">
        <v>5.6212299933817669E-2</v>
      </c>
      <c r="B299"/>
      <c r="C299"/>
      <c r="D299"/>
      <c r="E299"/>
      <c r="F299" s="27" t="s">
        <v>7</v>
      </c>
      <c r="CU299" s="27" t="s">
        <v>8</v>
      </c>
      <c r="CV299" s="27" t="s">
        <v>7</v>
      </c>
      <c r="CW299" s="27" t="s">
        <v>8</v>
      </c>
      <c r="CX299" s="27" t="s">
        <v>7</v>
      </c>
      <c r="DA299" s="27" t="s">
        <v>8</v>
      </c>
      <c r="DB299" s="27" t="s">
        <v>7</v>
      </c>
      <c r="DC299" s="27" t="s">
        <v>8</v>
      </c>
      <c r="DD299" s="27" t="s">
        <v>7</v>
      </c>
      <c r="DE299" s="27" t="s">
        <v>8</v>
      </c>
      <c r="DJ299" s="27" t="s">
        <v>7</v>
      </c>
      <c r="DM299" s="27" t="s">
        <v>8</v>
      </c>
      <c r="DN299" s="27" t="s">
        <v>7</v>
      </c>
      <c r="DP299" s="27" t="s">
        <v>7</v>
      </c>
      <c r="DQ299" s="27" t="s">
        <v>8</v>
      </c>
      <c r="DR299" s="27" t="s">
        <v>7</v>
      </c>
      <c r="DU299" s="31"/>
      <c r="EK299" s="27" t="s">
        <v>8</v>
      </c>
      <c r="EL299" s="27" t="s">
        <v>7</v>
      </c>
      <c r="EM299" s="27" t="s">
        <v>8</v>
      </c>
      <c r="EP299" s="27" t="s">
        <v>7</v>
      </c>
      <c r="EQ299" s="27" t="s">
        <v>8</v>
      </c>
      <c r="ER299" s="27" t="s">
        <v>7</v>
      </c>
      <c r="ES299" s="27" t="s">
        <v>8</v>
      </c>
      <c r="ET299" s="27" t="s">
        <v>7</v>
      </c>
      <c r="EU299" s="27" t="s">
        <v>8</v>
      </c>
    </row>
    <row r="300" spans="1:153" x14ac:dyDescent="0.25">
      <c r="A300" s="30">
        <v>5.3535523746492994E-2</v>
      </c>
      <c r="B300"/>
      <c r="C300"/>
      <c r="D300"/>
      <c r="E300"/>
      <c r="F300" s="27" t="s">
        <v>7</v>
      </c>
      <c r="CU300" s="27" t="s">
        <v>8</v>
      </c>
      <c r="CV300" s="27" t="s">
        <v>7</v>
      </c>
      <c r="CW300" s="27" t="s">
        <v>8</v>
      </c>
      <c r="CX300" s="27" t="s">
        <v>7</v>
      </c>
      <c r="DA300" s="33" t="s">
        <v>8</v>
      </c>
      <c r="DB300" s="27" t="s">
        <v>7</v>
      </c>
      <c r="DC300" s="27" t="s">
        <v>8</v>
      </c>
      <c r="DD300" s="27" t="s">
        <v>7</v>
      </c>
      <c r="DE300" s="27" t="s">
        <v>8</v>
      </c>
      <c r="DJ300" s="27" t="s">
        <v>7</v>
      </c>
      <c r="DM300" s="33" t="s">
        <v>8</v>
      </c>
      <c r="DP300" s="34" t="s">
        <v>7</v>
      </c>
      <c r="DQ300" s="27" t="s">
        <v>8</v>
      </c>
      <c r="DR300" s="27" t="s">
        <v>7</v>
      </c>
      <c r="DS300" s="27" t="s">
        <v>8</v>
      </c>
      <c r="DV300" s="31"/>
      <c r="EK300" s="27" t="s">
        <v>8</v>
      </c>
      <c r="EL300" s="27" t="s">
        <v>7</v>
      </c>
      <c r="EM300" s="27" t="s">
        <v>8</v>
      </c>
      <c r="EP300" s="27" t="s">
        <v>7</v>
      </c>
      <c r="EQ300" s="27" t="s">
        <v>8</v>
      </c>
      <c r="ER300" s="27" t="s">
        <v>7</v>
      </c>
      <c r="ET300" s="27" t="s">
        <v>7</v>
      </c>
      <c r="EU300" s="27" t="s">
        <v>8</v>
      </c>
      <c r="EV300" s="27" t="s">
        <v>7</v>
      </c>
    </row>
    <row r="301" spans="1:153" x14ac:dyDescent="0.25">
      <c r="A301" s="30">
        <v>5.0986213091898068E-2</v>
      </c>
      <c r="B301"/>
      <c r="C301"/>
      <c r="D301"/>
      <c r="E301"/>
      <c r="F301" s="27" t="s">
        <v>7</v>
      </c>
      <c r="CU301" s="27" t="s">
        <v>8</v>
      </c>
      <c r="CV301" s="27" t="s">
        <v>7</v>
      </c>
      <c r="CW301" s="27" t="s">
        <v>8</v>
      </c>
      <c r="CX301" s="27" t="s">
        <v>7</v>
      </c>
      <c r="CY301" s="27" t="s">
        <v>8</v>
      </c>
      <c r="DA301" s="27" t="s">
        <v>8</v>
      </c>
      <c r="DB301" s="27" t="s">
        <v>7</v>
      </c>
      <c r="DC301" s="27" t="s">
        <v>8</v>
      </c>
      <c r="DD301" s="27" t="s">
        <v>7</v>
      </c>
      <c r="DE301" s="27" t="s">
        <v>8</v>
      </c>
      <c r="DJ301" s="27" t="s">
        <v>7</v>
      </c>
      <c r="DK301" s="27" t="s">
        <v>8</v>
      </c>
      <c r="DM301" s="27" t="s">
        <v>8</v>
      </c>
      <c r="DP301" s="27" t="s">
        <v>7</v>
      </c>
      <c r="DR301" s="27" t="s">
        <v>7</v>
      </c>
      <c r="DS301" s="27" t="s">
        <v>8</v>
      </c>
      <c r="DT301" s="27" t="s">
        <v>7</v>
      </c>
      <c r="DW301" s="31"/>
      <c r="EK301" s="27" t="s">
        <v>8</v>
      </c>
      <c r="EL301" s="27" t="s">
        <v>7</v>
      </c>
      <c r="EM301" s="27" t="s">
        <v>8</v>
      </c>
      <c r="EP301" s="27" t="s">
        <v>7</v>
      </c>
      <c r="ET301" s="27" t="s">
        <v>7</v>
      </c>
      <c r="EU301" s="27" t="s">
        <v>8</v>
      </c>
      <c r="EV301" s="27" t="s">
        <v>7</v>
      </c>
    </row>
    <row r="302" spans="1:153" x14ac:dyDescent="0.25">
      <c r="A302" s="30">
        <v>4.8558298182760043E-2</v>
      </c>
      <c r="B302"/>
      <c r="C302"/>
      <c r="D302"/>
      <c r="E302"/>
      <c r="F302" s="27" t="s">
        <v>7</v>
      </c>
      <c r="CU302" s="27" t="s">
        <v>8</v>
      </c>
      <c r="CV302" s="27" t="s">
        <v>7</v>
      </c>
      <c r="CW302" s="27" t="s">
        <v>8</v>
      </c>
      <c r="CX302" s="27" t="s">
        <v>7</v>
      </c>
      <c r="CY302" s="27" t="s">
        <v>8</v>
      </c>
      <c r="CZ302" s="27" t="s">
        <v>7</v>
      </c>
      <c r="DA302" s="27" t="s">
        <v>8</v>
      </c>
      <c r="DB302" s="27" t="s">
        <v>7</v>
      </c>
      <c r="DC302" s="27" t="s">
        <v>8</v>
      </c>
      <c r="DD302" s="27" t="s">
        <v>7</v>
      </c>
      <c r="DJ302" s="27" t="s">
        <v>7</v>
      </c>
      <c r="DK302" s="27" t="s">
        <v>8</v>
      </c>
      <c r="DL302" s="27" t="s">
        <v>7</v>
      </c>
      <c r="DM302" s="27" t="s">
        <v>8</v>
      </c>
      <c r="DR302" s="27" t="s">
        <v>7</v>
      </c>
      <c r="DS302" s="27" t="s">
        <v>8</v>
      </c>
      <c r="DT302" s="27" t="s">
        <v>7</v>
      </c>
      <c r="DX302" s="31"/>
      <c r="EK302" s="27" t="s">
        <v>8</v>
      </c>
      <c r="EL302" s="27" t="s">
        <v>7</v>
      </c>
      <c r="EM302" s="27" t="s">
        <v>8</v>
      </c>
      <c r="ET302" s="27" t="s">
        <v>7</v>
      </c>
      <c r="EU302" s="27" t="s">
        <v>8</v>
      </c>
      <c r="EV302" s="27" t="s">
        <v>7</v>
      </c>
    </row>
    <row r="303" spans="1:153" x14ac:dyDescent="0.25">
      <c r="A303" s="30">
        <v>4.6245998269295263E-2</v>
      </c>
      <c r="B303"/>
      <c r="C303"/>
      <c r="D303"/>
      <c r="E303"/>
      <c r="F303" s="27" t="s">
        <v>7</v>
      </c>
      <c r="CU303" s="27" t="s">
        <v>8</v>
      </c>
      <c r="CV303" s="27" t="s">
        <v>7</v>
      </c>
      <c r="CW303" s="27" t="s">
        <v>8</v>
      </c>
      <c r="CX303" s="27" t="s">
        <v>7</v>
      </c>
      <c r="CY303" s="27" t="s">
        <v>8</v>
      </c>
      <c r="CZ303" s="27" t="s">
        <v>7</v>
      </c>
      <c r="DA303" s="27" t="s">
        <v>8</v>
      </c>
      <c r="DB303" s="27" t="s">
        <v>7</v>
      </c>
      <c r="DC303" s="27" t="s">
        <v>8</v>
      </c>
      <c r="DJ303" s="27" t="s">
        <v>7</v>
      </c>
      <c r="DK303" s="27" t="s">
        <v>8</v>
      </c>
      <c r="DL303" s="27" t="s">
        <v>7</v>
      </c>
      <c r="DM303" s="27" t="s">
        <v>8</v>
      </c>
      <c r="DR303" s="27" t="s">
        <v>7</v>
      </c>
      <c r="DT303" s="27" t="s">
        <v>7</v>
      </c>
      <c r="DY303" s="31"/>
      <c r="EI303" s="27" t="s">
        <v>8</v>
      </c>
      <c r="EK303" s="27" t="s">
        <v>8</v>
      </c>
      <c r="EL303" s="27" t="s">
        <v>7</v>
      </c>
      <c r="ET303" s="27" t="s">
        <v>7</v>
      </c>
      <c r="EU303" s="27" t="s">
        <v>8</v>
      </c>
      <c r="EV303" s="27" t="s">
        <v>7</v>
      </c>
    </row>
    <row r="304" spans="1:153" x14ac:dyDescent="0.25">
      <c r="A304" s="30">
        <v>4.4043807875519279E-2</v>
      </c>
      <c r="B304"/>
      <c r="C304"/>
      <c r="D304"/>
      <c r="E304"/>
      <c r="F304" s="27" t="s">
        <v>7</v>
      </c>
      <c r="CS304" s="27" t="s">
        <v>8</v>
      </c>
      <c r="CU304" s="27" t="s">
        <v>8</v>
      </c>
      <c r="CV304" s="27" t="s">
        <v>7</v>
      </c>
      <c r="CW304" s="27" t="s">
        <v>8</v>
      </c>
      <c r="CX304" s="27" t="s">
        <v>7</v>
      </c>
      <c r="CY304" s="27" t="s">
        <v>8</v>
      </c>
      <c r="CZ304" s="27" t="s">
        <v>7</v>
      </c>
      <c r="DA304" s="27" t="s">
        <v>8</v>
      </c>
      <c r="DB304" s="27" t="s">
        <v>7</v>
      </c>
      <c r="DC304" s="27" t="s">
        <v>8</v>
      </c>
      <c r="DJ304" s="27" t="s">
        <v>7</v>
      </c>
      <c r="DK304" s="27" t="s">
        <v>8</v>
      </c>
      <c r="DL304" s="27" t="s">
        <v>7</v>
      </c>
      <c r="DT304" s="27" t="s">
        <v>7</v>
      </c>
      <c r="DZ304" s="31"/>
      <c r="EG304" s="27" t="s">
        <v>8</v>
      </c>
      <c r="EI304" s="27" t="s">
        <v>8</v>
      </c>
      <c r="EJ304" s="27" t="s">
        <v>7</v>
      </c>
      <c r="EK304" s="27" t="s">
        <v>8</v>
      </c>
      <c r="ET304" s="27" t="s">
        <v>7</v>
      </c>
      <c r="EU304" s="27" t="s">
        <v>8</v>
      </c>
      <c r="EV304" s="27" t="s">
        <v>7</v>
      </c>
      <c r="EW304" s="27" t="s">
        <v>8</v>
      </c>
    </row>
    <row r="305" spans="1:159" x14ac:dyDescent="0.25">
      <c r="A305" s="30">
        <v>4.1946483690970725E-2</v>
      </c>
      <c r="B305"/>
      <c r="C305"/>
      <c r="D305"/>
      <c r="E305"/>
      <c r="F305" s="27" t="s">
        <v>7</v>
      </c>
      <c r="CS305" s="27" t="s">
        <v>8</v>
      </c>
      <c r="CT305" s="27" t="s">
        <v>7</v>
      </c>
      <c r="CU305" s="27" t="s">
        <v>8</v>
      </c>
      <c r="CV305" s="27" t="s">
        <v>7</v>
      </c>
      <c r="CW305" s="27" t="s">
        <v>8</v>
      </c>
      <c r="CX305" s="27" t="s">
        <v>7</v>
      </c>
      <c r="CY305" s="27" t="s">
        <v>8</v>
      </c>
      <c r="CZ305" s="27" t="s">
        <v>7</v>
      </c>
      <c r="DA305" s="27" t="s">
        <v>8</v>
      </c>
      <c r="DB305" s="27" t="s">
        <v>7</v>
      </c>
      <c r="DJ305" s="27" t="s">
        <v>7</v>
      </c>
      <c r="DK305" s="27" t="s">
        <v>8</v>
      </c>
      <c r="DT305" s="27" t="s">
        <v>7</v>
      </c>
      <c r="DU305" s="27" t="s">
        <v>8</v>
      </c>
      <c r="EA305" s="31"/>
      <c r="EG305" s="27" t="s">
        <v>8</v>
      </c>
      <c r="EH305" s="27" t="s">
        <v>7</v>
      </c>
      <c r="EI305" s="27" t="s">
        <v>8</v>
      </c>
      <c r="EJ305" s="27" t="s">
        <v>7</v>
      </c>
      <c r="EK305" s="27" t="s">
        <v>8</v>
      </c>
      <c r="ET305" s="27" t="s">
        <v>7</v>
      </c>
      <c r="EV305" s="27" t="s">
        <v>7</v>
      </c>
      <c r="EW305" s="27" t="s">
        <v>8</v>
      </c>
      <c r="EX305" s="27" t="s">
        <v>7</v>
      </c>
    </row>
    <row r="306" spans="1:159" x14ac:dyDescent="0.25">
      <c r="A306" s="30">
        <v>3.9949032086638768E-2</v>
      </c>
      <c r="B306"/>
      <c r="C306"/>
      <c r="D306"/>
      <c r="E306"/>
      <c r="F306" s="27" t="s">
        <v>7</v>
      </c>
      <c r="CS306" s="27" t="s">
        <v>8</v>
      </c>
      <c r="CT306" s="27" t="s">
        <v>7</v>
      </c>
      <c r="CU306" s="27" t="s">
        <v>8</v>
      </c>
      <c r="CV306" s="27" t="s">
        <v>7</v>
      </c>
      <c r="CW306" s="27" t="s">
        <v>8</v>
      </c>
      <c r="CX306" s="27" t="s">
        <v>7</v>
      </c>
      <c r="CY306" s="27" t="s">
        <v>8</v>
      </c>
      <c r="CZ306" s="27" t="s">
        <v>7</v>
      </c>
      <c r="DJ306" s="27" t="s">
        <v>7</v>
      </c>
      <c r="DK306" s="27" t="s">
        <v>8</v>
      </c>
      <c r="DT306" s="27" t="s">
        <v>7</v>
      </c>
      <c r="DU306" s="27" t="s">
        <v>8</v>
      </c>
      <c r="DV306" s="27" t="s">
        <v>7</v>
      </c>
      <c r="EB306" s="31"/>
      <c r="EG306" s="27" t="s">
        <v>8</v>
      </c>
      <c r="EH306" s="27" t="s">
        <v>7</v>
      </c>
      <c r="EI306" s="27" t="s">
        <v>8</v>
      </c>
      <c r="EJ306" s="27" t="s">
        <v>7</v>
      </c>
      <c r="EV306" s="27" t="s">
        <v>7</v>
      </c>
      <c r="EW306" s="27" t="s">
        <v>8</v>
      </c>
      <c r="EX306" s="27" t="s">
        <v>7</v>
      </c>
    </row>
    <row r="307" spans="1:159" x14ac:dyDescent="0.25">
      <c r="A307" s="30">
        <v>3.8046697225370241E-2</v>
      </c>
      <c r="B307"/>
      <c r="C307"/>
      <c r="D307"/>
      <c r="E307"/>
      <c r="F307" s="27" t="s">
        <v>7</v>
      </c>
      <c r="CS307" s="27" t="s">
        <v>8</v>
      </c>
      <c r="CT307" s="27" t="s">
        <v>7</v>
      </c>
      <c r="CV307" s="27" t="s">
        <v>7</v>
      </c>
      <c r="CW307" s="27" t="s">
        <v>8</v>
      </c>
      <c r="CX307" s="27" t="s">
        <v>7</v>
      </c>
      <c r="CY307" s="27" t="s">
        <v>8</v>
      </c>
      <c r="DJ307" s="27" t="s">
        <v>7</v>
      </c>
      <c r="DT307" s="31" t="s">
        <v>7</v>
      </c>
      <c r="DU307" s="27" t="s">
        <v>8</v>
      </c>
      <c r="DV307" s="27" t="s">
        <v>7</v>
      </c>
      <c r="EC307" s="31"/>
      <c r="EG307" s="27" t="s">
        <v>8</v>
      </c>
      <c r="EH307" s="27" t="s">
        <v>7</v>
      </c>
      <c r="EV307" s="27" t="s">
        <v>7</v>
      </c>
      <c r="EW307" s="27" t="s">
        <v>8</v>
      </c>
      <c r="EX307" s="27" t="s">
        <v>7</v>
      </c>
      <c r="FA307" s="27" t="s">
        <v>8</v>
      </c>
    </row>
    <row r="308" spans="1:159" x14ac:dyDescent="0.25">
      <c r="A308" s="30">
        <v>3.6234949738447833E-2</v>
      </c>
      <c r="B308"/>
      <c r="C308"/>
      <c r="D308"/>
      <c r="E308"/>
      <c r="F308" s="27" t="s">
        <v>7</v>
      </c>
      <c r="CQ308" s="27" t="s">
        <v>8</v>
      </c>
      <c r="CS308" s="27" t="s">
        <v>8</v>
      </c>
      <c r="CV308" s="27" t="s">
        <v>7</v>
      </c>
      <c r="CW308" s="27" t="s">
        <v>8</v>
      </c>
      <c r="CX308" s="27" t="s">
        <v>7</v>
      </c>
      <c r="CY308" s="27" t="s">
        <v>8</v>
      </c>
      <c r="DS308" s="31"/>
      <c r="DT308" s="27" t="s">
        <v>7</v>
      </c>
      <c r="DU308" s="27" t="s">
        <v>8</v>
      </c>
      <c r="DV308" s="27" t="s">
        <v>7</v>
      </c>
      <c r="DW308" s="32" t="s">
        <v>8</v>
      </c>
      <c r="DY308" s="32" t="s">
        <v>8</v>
      </c>
      <c r="ED308" s="31"/>
      <c r="EG308" s="27" t="s">
        <v>8</v>
      </c>
      <c r="ET308" s="31"/>
      <c r="EV308" s="27" t="s">
        <v>7</v>
      </c>
      <c r="EX308" s="27" t="s">
        <v>7</v>
      </c>
      <c r="FA308" s="27" t="s">
        <v>8</v>
      </c>
      <c r="FB308" s="27" t="s">
        <v>7</v>
      </c>
    </row>
    <row r="309" spans="1:159" x14ac:dyDescent="0.25">
      <c r="A309" s="30">
        <v>3.4509475941378875E-2</v>
      </c>
      <c r="B309"/>
      <c r="C309"/>
      <c r="D309"/>
      <c r="E309"/>
      <c r="F309" s="27" t="s">
        <v>7</v>
      </c>
      <c r="CQ309" s="27" t="s">
        <v>8</v>
      </c>
      <c r="CR309" s="27" t="s">
        <v>7</v>
      </c>
      <c r="CS309" s="27" t="s">
        <v>8</v>
      </c>
      <c r="CV309" s="27" t="s">
        <v>7</v>
      </c>
      <c r="CX309" s="27" t="s">
        <v>7</v>
      </c>
      <c r="CY309" s="27" t="s">
        <v>8</v>
      </c>
      <c r="DR309" s="31"/>
      <c r="DT309" s="27" t="s">
        <v>7</v>
      </c>
      <c r="DU309" s="27" t="s">
        <v>8</v>
      </c>
      <c r="DV309" s="27" t="s">
        <v>7</v>
      </c>
      <c r="DW309" s="27" t="s">
        <v>8</v>
      </c>
      <c r="DX309" s="27" t="s">
        <v>7</v>
      </c>
      <c r="DY309" s="27" t="s">
        <v>8</v>
      </c>
      <c r="DZ309" s="27" t="s">
        <v>7</v>
      </c>
      <c r="EE309" s="31" t="s">
        <v>8</v>
      </c>
      <c r="EG309" s="27" t="s">
        <v>8</v>
      </c>
      <c r="ES309" s="31"/>
      <c r="EX309" s="27" t="s">
        <v>7</v>
      </c>
      <c r="EY309" s="27" t="s">
        <v>8</v>
      </c>
      <c r="FA309" s="27" t="s">
        <v>8</v>
      </c>
      <c r="FB309" s="27" t="s">
        <v>7</v>
      </c>
    </row>
    <row r="310" spans="1:159" x14ac:dyDescent="0.25">
      <c r="A310" s="30">
        <v>3.286616756321796E-2</v>
      </c>
      <c r="B310"/>
      <c r="C310"/>
      <c r="D310"/>
      <c r="E310"/>
      <c r="F310" s="27" t="s">
        <v>7</v>
      </c>
      <c r="CQ310" s="27" t="s">
        <v>8</v>
      </c>
      <c r="CR310" s="27" t="s">
        <v>7</v>
      </c>
      <c r="CS310" s="27" t="s">
        <v>8</v>
      </c>
      <c r="CX310" s="34" t="s">
        <v>7</v>
      </c>
      <c r="CY310" s="27" t="s">
        <v>8</v>
      </c>
      <c r="DQ310" s="31"/>
      <c r="DT310" s="27" t="s">
        <v>7</v>
      </c>
      <c r="DU310" s="27" t="s">
        <v>8</v>
      </c>
      <c r="DV310" s="27" t="s">
        <v>7</v>
      </c>
      <c r="DW310" s="27" t="s">
        <v>8</v>
      </c>
      <c r="DX310" s="27" t="s">
        <v>7</v>
      </c>
      <c r="DY310" s="27" t="s">
        <v>8</v>
      </c>
      <c r="DZ310" s="27" t="s">
        <v>7</v>
      </c>
      <c r="EE310" s="27" t="s">
        <v>8</v>
      </c>
      <c r="EF310" s="31" t="s">
        <v>7</v>
      </c>
      <c r="EG310" s="27" t="s">
        <v>8</v>
      </c>
      <c r="ER310" s="31"/>
      <c r="EX310" s="27" t="s">
        <v>7</v>
      </c>
      <c r="EY310" s="27" t="s">
        <v>8</v>
      </c>
      <c r="EZ310" s="27" t="s">
        <v>7</v>
      </c>
      <c r="FA310" s="27" t="s">
        <v>8</v>
      </c>
      <c r="FB310" s="27" t="s">
        <v>7</v>
      </c>
    </row>
    <row r="311" spans="1:159" x14ac:dyDescent="0.25">
      <c r="A311" s="30">
        <v>3.1301111964969472E-2</v>
      </c>
      <c r="B311"/>
      <c r="C311"/>
      <c r="D311"/>
      <c r="E311"/>
      <c r="F311" s="27" t="s">
        <v>7</v>
      </c>
      <c r="CQ311" s="27" t="s">
        <v>8</v>
      </c>
      <c r="CR311" s="27" t="s">
        <v>7</v>
      </c>
      <c r="CS311" s="27" t="s">
        <v>8</v>
      </c>
      <c r="CX311" s="27" t="s">
        <v>7</v>
      </c>
      <c r="DP311" s="31"/>
      <c r="DT311" s="27" t="s">
        <v>7</v>
      </c>
      <c r="DU311" s="27" t="s">
        <v>8</v>
      </c>
      <c r="DV311" s="27" t="s">
        <v>7</v>
      </c>
      <c r="DW311" s="27" t="s">
        <v>8</v>
      </c>
      <c r="DX311" s="27" t="s">
        <v>7</v>
      </c>
      <c r="DY311" s="27" t="s">
        <v>8</v>
      </c>
      <c r="DZ311" s="27" t="s">
        <v>7</v>
      </c>
      <c r="EE311" s="27" t="s">
        <v>8</v>
      </c>
      <c r="EF311" s="27" t="s">
        <v>7</v>
      </c>
      <c r="EG311" s="31" t="s">
        <v>8</v>
      </c>
      <c r="EQ311" s="31"/>
      <c r="EX311" s="27" t="s">
        <v>7</v>
      </c>
      <c r="EY311" s="27" t="s">
        <v>8</v>
      </c>
      <c r="EZ311" s="27" t="s">
        <v>7</v>
      </c>
      <c r="FA311" s="27" t="s">
        <v>8</v>
      </c>
      <c r="FB311" s="27" t="s">
        <v>7</v>
      </c>
    </row>
    <row r="312" spans="1:159" x14ac:dyDescent="0.25">
      <c r="A312" s="30">
        <v>2.9810582823780438E-2</v>
      </c>
      <c r="B312"/>
      <c r="C312"/>
      <c r="D312"/>
      <c r="E312"/>
      <c r="F312" s="27" t="s">
        <v>7</v>
      </c>
      <c r="CQ312" s="27" t="s">
        <v>8</v>
      </c>
      <c r="CR312" s="27" t="s">
        <v>7</v>
      </c>
      <c r="CS312" s="27" t="s">
        <v>8</v>
      </c>
      <c r="DO312" s="31"/>
      <c r="DT312" s="27" t="s">
        <v>7</v>
      </c>
      <c r="DU312" s="27" t="s">
        <v>8</v>
      </c>
      <c r="DV312" s="27" t="s">
        <v>7</v>
      </c>
      <c r="DW312" s="27" t="s">
        <v>8</v>
      </c>
      <c r="DX312" s="27" t="s">
        <v>7</v>
      </c>
      <c r="DY312" s="27" t="s">
        <v>8</v>
      </c>
      <c r="DZ312" s="27" t="s">
        <v>7</v>
      </c>
      <c r="EE312" s="27" t="s">
        <v>8</v>
      </c>
      <c r="EF312" s="27" t="s">
        <v>7</v>
      </c>
      <c r="EH312" s="19"/>
      <c r="EP312" s="31"/>
      <c r="EX312" s="27" t="s">
        <v>7</v>
      </c>
      <c r="EY312" s="27" t="s">
        <v>8</v>
      </c>
      <c r="EZ312" s="27" t="s">
        <v>7</v>
      </c>
      <c r="FA312" s="27" t="s">
        <v>8</v>
      </c>
      <c r="FB312" s="27" t="s">
        <v>7</v>
      </c>
    </row>
    <row r="313" spans="1:159" x14ac:dyDescent="0.25">
      <c r="A313" s="30">
        <v>2.8391031260743264E-2</v>
      </c>
      <c r="B313"/>
      <c r="C313"/>
      <c r="D313"/>
      <c r="E313"/>
      <c r="F313" s="27" t="s">
        <v>7</v>
      </c>
      <c r="CQ313" s="27" t="s">
        <v>8</v>
      </c>
      <c r="CR313" s="27" t="s">
        <v>7</v>
      </c>
      <c r="CS313" s="27" t="s">
        <v>8</v>
      </c>
      <c r="DN313" s="31"/>
      <c r="DT313" s="27" t="s">
        <v>7</v>
      </c>
      <c r="DU313" s="27" t="s">
        <v>8</v>
      </c>
      <c r="DV313" s="27" t="s">
        <v>7</v>
      </c>
      <c r="DW313" s="27" t="s">
        <v>8</v>
      </c>
      <c r="DX313" s="27" t="s">
        <v>7</v>
      </c>
      <c r="DZ313" s="27" t="s">
        <v>7</v>
      </c>
      <c r="EE313" s="27" t="s">
        <v>8</v>
      </c>
      <c r="EI313" s="19"/>
      <c r="EO313" s="31"/>
      <c r="EX313" s="27" t="s">
        <v>7</v>
      </c>
      <c r="EY313" s="27" t="s">
        <v>8</v>
      </c>
      <c r="EZ313" s="27" t="s">
        <v>7</v>
      </c>
      <c r="FB313" s="27" t="s">
        <v>7</v>
      </c>
    </row>
    <row r="314" spans="1:159" x14ac:dyDescent="0.25">
      <c r="A314" s="30">
        <v>2.7039077391184052E-2</v>
      </c>
      <c r="B314"/>
      <c r="C314"/>
      <c r="D314"/>
      <c r="E314"/>
      <c r="F314" s="27" t="s">
        <v>7</v>
      </c>
      <c r="CQ314" s="27" t="s">
        <v>8</v>
      </c>
      <c r="CR314" s="27" t="s">
        <v>7</v>
      </c>
      <c r="CS314" s="27" t="s">
        <v>8</v>
      </c>
      <c r="DM314" s="31"/>
      <c r="DT314" s="27" t="s">
        <v>7</v>
      </c>
      <c r="DU314" s="27" t="s">
        <v>8</v>
      </c>
      <c r="DV314" s="27" t="s">
        <v>7</v>
      </c>
      <c r="DW314" s="27" t="s">
        <v>8</v>
      </c>
      <c r="DZ314" s="27" t="s">
        <v>7</v>
      </c>
      <c r="EE314" s="27" t="s">
        <v>8</v>
      </c>
      <c r="EN314" s="31"/>
      <c r="EX314" s="27" t="s">
        <v>7</v>
      </c>
      <c r="EY314" s="27" t="s">
        <v>8</v>
      </c>
      <c r="FB314" s="27" t="s">
        <v>7</v>
      </c>
    </row>
    <row r="315" spans="1:159" x14ac:dyDescent="0.25">
      <c r="A315" s="30">
        <v>2.5751502277318133E-2</v>
      </c>
      <c r="B315"/>
      <c r="C315"/>
      <c r="D315"/>
      <c r="E315"/>
      <c r="F315" s="27" t="s">
        <v>7</v>
      </c>
      <c r="CG315" s="27" t="s">
        <v>8</v>
      </c>
      <c r="CQ315" s="27" t="s">
        <v>8</v>
      </c>
      <c r="CR315" s="27" t="s">
        <v>7</v>
      </c>
      <c r="DL315" s="31"/>
      <c r="DT315" s="27" t="s">
        <v>7</v>
      </c>
      <c r="DU315" s="27" t="s">
        <v>8</v>
      </c>
      <c r="DV315" s="27" t="s">
        <v>7</v>
      </c>
      <c r="DW315" s="27" t="s">
        <v>8</v>
      </c>
      <c r="DZ315" s="27" t="s">
        <v>7</v>
      </c>
      <c r="EE315" s="33" t="s">
        <v>8</v>
      </c>
      <c r="EM315" s="31"/>
      <c r="EX315" s="27" t="s">
        <v>7</v>
      </c>
      <c r="EY315" s="27" t="s">
        <v>8</v>
      </c>
      <c r="FB315" s="27" t="s">
        <v>7</v>
      </c>
    </row>
    <row r="316" spans="1:159" x14ac:dyDescent="0.25">
      <c r="A316" s="30">
        <v>2.4525240264112496E-2</v>
      </c>
      <c r="B316"/>
      <c r="C316"/>
      <c r="D316"/>
      <c r="E316"/>
      <c r="F316" s="27" t="s">
        <v>7</v>
      </c>
      <c r="CG316" s="27" t="s">
        <v>8</v>
      </c>
      <c r="CH316" s="27" t="s">
        <v>7</v>
      </c>
      <c r="CQ316" s="27" t="s">
        <v>8</v>
      </c>
      <c r="DK316" s="31"/>
      <c r="DT316" s="27" t="s">
        <v>7</v>
      </c>
      <c r="DU316" s="27" t="s">
        <v>8</v>
      </c>
      <c r="DV316" s="27" t="s">
        <v>7</v>
      </c>
      <c r="DW316" s="27" t="s">
        <v>8</v>
      </c>
      <c r="DZ316" s="27" t="s">
        <v>7</v>
      </c>
      <c r="EC316" s="27" t="s">
        <v>8</v>
      </c>
      <c r="EE316" s="27" t="s">
        <v>8</v>
      </c>
      <c r="EL316" s="31"/>
      <c r="EX316" s="27" t="s">
        <v>7</v>
      </c>
      <c r="EY316" s="27" t="s">
        <v>8</v>
      </c>
      <c r="FB316" s="27" t="s">
        <v>7</v>
      </c>
      <c r="FC316" s="27" t="s">
        <v>8</v>
      </c>
    </row>
    <row r="317" spans="1:159" x14ac:dyDescent="0.25">
      <c r="A317" s="30">
        <v>2.3357371680107129E-2</v>
      </c>
      <c r="B317"/>
      <c r="C317"/>
      <c r="D317"/>
      <c r="E317"/>
      <c r="F317" s="27" t="s">
        <v>7</v>
      </c>
      <c r="CG317" s="27" t="s">
        <v>8</v>
      </c>
      <c r="CH317" s="27" t="s">
        <v>7</v>
      </c>
      <c r="CQ317" s="27" t="s">
        <v>8</v>
      </c>
      <c r="DJ317" s="31"/>
      <c r="DT317" s="27" t="s">
        <v>7</v>
      </c>
      <c r="DU317" s="27" t="s">
        <v>8</v>
      </c>
      <c r="DV317" s="27" t="s">
        <v>7</v>
      </c>
      <c r="DW317" s="27" t="s">
        <v>8</v>
      </c>
      <c r="DZ317" s="27" t="s">
        <v>7</v>
      </c>
      <c r="EC317" s="27" t="s">
        <v>8</v>
      </c>
      <c r="ED317" s="27" t="s">
        <v>7</v>
      </c>
      <c r="EE317" s="27" t="s">
        <v>8</v>
      </c>
      <c r="EK317" s="31"/>
      <c r="EX317" s="27" t="s">
        <v>7</v>
      </c>
      <c r="FB317" s="27" t="s">
        <v>7</v>
      </c>
      <c r="FC317" s="27" t="s">
        <v>8</v>
      </c>
    </row>
    <row r="318" spans="1:159" x14ac:dyDescent="0.25">
      <c r="A318" s="30">
        <v>2.2245115885816305E-2</v>
      </c>
      <c r="B318"/>
      <c r="C318"/>
      <c r="D318"/>
      <c r="E318"/>
      <c r="F318" s="27" t="s">
        <v>7</v>
      </c>
      <c r="CG318" s="27" t="s">
        <v>8</v>
      </c>
      <c r="CH318" s="27" t="s">
        <v>7</v>
      </c>
      <c r="CI318" s="27" t="s">
        <v>8</v>
      </c>
      <c r="CQ318" s="27" t="s">
        <v>8</v>
      </c>
      <c r="DI318" s="31"/>
      <c r="DT318" s="27" t="s">
        <v>7</v>
      </c>
      <c r="DU318" s="27" t="s">
        <v>8</v>
      </c>
      <c r="DV318" s="27" t="s">
        <v>7</v>
      </c>
      <c r="DW318" s="27" t="s">
        <v>8</v>
      </c>
      <c r="DZ318" s="27" t="s">
        <v>7</v>
      </c>
      <c r="EC318" s="27" t="s">
        <v>8</v>
      </c>
      <c r="ED318" s="27" t="s">
        <v>7</v>
      </c>
      <c r="EE318" s="27" t="s">
        <v>8</v>
      </c>
      <c r="EJ318" s="31"/>
      <c r="FB318" s="27" t="s">
        <v>7</v>
      </c>
      <c r="FC318" s="27" t="s">
        <v>8</v>
      </c>
    </row>
    <row r="319" spans="1:159" x14ac:dyDescent="0.25">
      <c r="A319" s="30">
        <v>2.1185824653158377E-2</v>
      </c>
      <c r="B319"/>
      <c r="C319"/>
      <c r="D319"/>
      <c r="E319"/>
      <c r="F319" s="27" t="s">
        <v>7</v>
      </c>
      <c r="CG319" s="27" t="s">
        <v>8</v>
      </c>
      <c r="CH319" s="27" t="s">
        <v>7</v>
      </c>
      <c r="CI319" s="27" t="s">
        <v>8</v>
      </c>
      <c r="CJ319" s="27" t="s">
        <v>7</v>
      </c>
      <c r="CO319" s="27" t="s">
        <v>8</v>
      </c>
      <c r="CQ319" s="27" t="s">
        <v>8</v>
      </c>
      <c r="DH319" s="31"/>
      <c r="DT319" s="27" t="s">
        <v>7</v>
      </c>
      <c r="DU319" s="27" t="s">
        <v>8</v>
      </c>
      <c r="DV319" s="27" t="s">
        <v>7</v>
      </c>
      <c r="DZ319" s="27" t="s">
        <v>7</v>
      </c>
      <c r="EC319" s="33" t="s">
        <v>8</v>
      </c>
      <c r="ED319" s="27" t="s">
        <v>7</v>
      </c>
      <c r="EE319" s="27" t="s">
        <v>8</v>
      </c>
      <c r="EI319" s="31"/>
      <c r="FB319" s="27" t="s">
        <v>7</v>
      </c>
      <c r="FC319" s="27" t="s">
        <v>8</v>
      </c>
    </row>
    <row r="320" spans="1:159" x14ac:dyDescent="0.25">
      <c r="A320" s="30">
        <v>2.0176975860150829E-2</v>
      </c>
      <c r="B320"/>
      <c r="C320"/>
      <c r="D320"/>
      <c r="E320"/>
      <c r="F320" s="27" t="s">
        <v>7</v>
      </c>
      <c r="CG320" s="27" t="s">
        <v>8</v>
      </c>
      <c r="CH320" s="27" t="s">
        <v>7</v>
      </c>
      <c r="CI320" s="27" t="s">
        <v>8</v>
      </c>
      <c r="CJ320" s="27" t="s">
        <v>7</v>
      </c>
      <c r="CO320" s="27" t="s">
        <v>8</v>
      </c>
      <c r="CP320" s="27" t="s">
        <v>7</v>
      </c>
      <c r="CQ320" s="27" t="s">
        <v>8</v>
      </c>
      <c r="DG320" s="31"/>
      <c r="DT320" s="27" t="s">
        <v>7</v>
      </c>
      <c r="DZ320" s="27" t="s">
        <v>7</v>
      </c>
      <c r="EA320" s="27" t="s">
        <v>8</v>
      </c>
      <c r="EC320" s="27" t="s">
        <v>8</v>
      </c>
      <c r="ED320" s="27" t="s">
        <v>7</v>
      </c>
      <c r="EE320" s="27" t="s">
        <v>8</v>
      </c>
      <c r="EH320" s="31"/>
      <c r="FB320" s="27" t="s">
        <v>7</v>
      </c>
      <c r="FC320" s="27" t="s">
        <v>8</v>
      </c>
    </row>
    <row r="321" spans="1:158" x14ac:dyDescent="0.25">
      <c r="A321" s="30">
        <v>1.9216167485857926E-2</v>
      </c>
      <c r="B321"/>
      <c r="C321"/>
      <c r="D321"/>
      <c r="E321"/>
      <c r="F321" s="27" t="s">
        <v>7</v>
      </c>
      <c r="CG321" s="27" t="s">
        <v>8</v>
      </c>
      <c r="CH321" s="27" t="s">
        <v>7</v>
      </c>
      <c r="CI321" s="27" t="s">
        <v>8</v>
      </c>
      <c r="CJ321" s="27" t="s">
        <v>7</v>
      </c>
      <c r="CO321" s="33" t="s">
        <v>8</v>
      </c>
      <c r="CP321" s="27" t="s">
        <v>7</v>
      </c>
      <c r="CQ321" s="27" t="s">
        <v>8</v>
      </c>
      <c r="DF321" s="31"/>
      <c r="DZ321" s="27" t="s">
        <v>7</v>
      </c>
      <c r="EA321" s="27" t="s">
        <v>8</v>
      </c>
      <c r="EB321" s="27" t="s">
        <v>7</v>
      </c>
      <c r="EC321" s="27" t="s">
        <v>8</v>
      </c>
      <c r="ED321" s="27" t="s">
        <v>7</v>
      </c>
      <c r="EE321" s="27" t="s">
        <v>8</v>
      </c>
      <c r="EG321" s="31"/>
      <c r="FB321" s="27" t="s">
        <v>7</v>
      </c>
    </row>
    <row r="322" spans="1:158" x14ac:dyDescent="0.25">
      <c r="A322" s="30">
        <v>1.8301111891293256E-2</v>
      </c>
      <c r="B322"/>
      <c r="C322"/>
      <c r="D322"/>
      <c r="E322"/>
      <c r="F322" s="27" t="s">
        <v>7</v>
      </c>
      <c r="G322" s="27" t="s">
        <v>8</v>
      </c>
      <c r="CG322" s="27" t="s">
        <v>8</v>
      </c>
      <c r="CH322" s="27" t="s">
        <v>7</v>
      </c>
      <c r="CI322" s="27" t="s">
        <v>8</v>
      </c>
      <c r="CJ322" s="27" t="s">
        <v>7</v>
      </c>
      <c r="CK322" s="32" t="s">
        <v>8</v>
      </c>
      <c r="CM322" s="32" t="s">
        <v>8</v>
      </c>
      <c r="CO322" s="27" t="s">
        <v>8</v>
      </c>
      <c r="CP322" s="27" t="s">
        <v>7</v>
      </c>
      <c r="DE322" s="31"/>
      <c r="DZ322" s="27" t="s">
        <v>7</v>
      </c>
      <c r="EA322" s="27" t="s">
        <v>8</v>
      </c>
      <c r="EB322" s="27" t="s">
        <v>7</v>
      </c>
      <c r="EC322" s="27" t="s">
        <v>8</v>
      </c>
      <c r="ED322" s="27" t="s">
        <v>7</v>
      </c>
      <c r="EE322" s="27" t="s">
        <v>8</v>
      </c>
      <c r="EF322" s="31"/>
    </row>
    <row r="323" spans="1:158" x14ac:dyDescent="0.25">
      <c r="A323" s="30">
        <v>1.7429630372660238E-2</v>
      </c>
      <c r="B323"/>
      <c r="C323"/>
      <c r="D323"/>
      <c r="E323"/>
      <c r="F323" s="27" t="s">
        <v>7</v>
      </c>
      <c r="G323" s="27" t="s">
        <v>8</v>
      </c>
      <c r="H323" s="27" t="s">
        <v>7</v>
      </c>
      <c r="CG323" s="27" t="s">
        <v>8</v>
      </c>
      <c r="CH323" s="27" t="s">
        <v>7</v>
      </c>
      <c r="CJ323" s="27" t="s">
        <v>7</v>
      </c>
      <c r="CK323" s="27" t="s">
        <v>8</v>
      </c>
      <c r="CL323" s="27" t="s">
        <v>7</v>
      </c>
      <c r="CM323" s="27" t="s">
        <v>8</v>
      </c>
      <c r="CN323" s="27" t="s">
        <v>7</v>
      </c>
      <c r="CO323" s="27" t="s">
        <v>8</v>
      </c>
      <c r="DD323" s="31"/>
      <c r="DZ323" s="27" t="s">
        <v>7</v>
      </c>
      <c r="EA323" s="27" t="s">
        <v>8</v>
      </c>
      <c r="EB323" s="27" t="s">
        <v>7</v>
      </c>
      <c r="ED323" s="18" t="s">
        <v>7</v>
      </c>
      <c r="EE323" s="31" t="s">
        <v>8</v>
      </c>
    </row>
    <row r="324" spans="1:158" x14ac:dyDescent="0.25">
      <c r="A324" s="30">
        <v>1.6599647973962125E-2</v>
      </c>
      <c r="B324"/>
      <c r="C324"/>
      <c r="D324"/>
      <c r="E324"/>
      <c r="F324" s="27" t="s">
        <v>7</v>
      </c>
      <c r="G324" s="27" t="s">
        <v>8</v>
      </c>
      <c r="H324" s="27" t="s">
        <v>7</v>
      </c>
      <c r="CG324" s="27" t="s">
        <v>8</v>
      </c>
      <c r="CJ324" s="27" t="s">
        <v>7</v>
      </c>
      <c r="CK324" s="27" t="s">
        <v>8</v>
      </c>
      <c r="CL324" s="27" t="s">
        <v>7</v>
      </c>
      <c r="CM324" s="27" t="s">
        <v>8</v>
      </c>
      <c r="CN324" s="27" t="s">
        <v>7</v>
      </c>
      <c r="CO324" s="27" t="s">
        <v>8</v>
      </c>
      <c r="DC324" s="31"/>
      <c r="DZ324" s="27" t="s">
        <v>7</v>
      </c>
      <c r="EA324" s="27" t="s">
        <v>8</v>
      </c>
      <c r="ED324" s="34" t="s">
        <v>7</v>
      </c>
    </row>
    <row r="325" spans="1:158" x14ac:dyDescent="0.25">
      <c r="A325" s="30">
        <v>1.580918854663059E-2</v>
      </c>
      <c r="B325"/>
      <c r="C325"/>
      <c r="D325"/>
      <c r="E325"/>
      <c r="F325" s="27" t="s">
        <v>7</v>
      </c>
      <c r="G325" s="27" t="s">
        <v>8</v>
      </c>
      <c r="H325" s="27" t="s">
        <v>7</v>
      </c>
      <c r="CG325" s="27" t="s">
        <v>8</v>
      </c>
      <c r="CJ325" s="27" t="s">
        <v>7</v>
      </c>
      <c r="CK325" s="27" t="s">
        <v>8</v>
      </c>
      <c r="CL325" s="32" t="s">
        <v>7</v>
      </c>
      <c r="CN325" s="32" t="s">
        <v>7</v>
      </c>
      <c r="DB325" s="31"/>
      <c r="DZ325" s="27" t="s">
        <v>7</v>
      </c>
      <c r="EA325" s="27" t="s">
        <v>8</v>
      </c>
    </row>
    <row r="326" spans="1:158" x14ac:dyDescent="0.25">
      <c r="A326" s="30">
        <v>1.5056370044410079E-2</v>
      </c>
      <c r="B326"/>
      <c r="C326"/>
      <c r="D326"/>
      <c r="E326"/>
      <c r="F326" s="27" t="s">
        <v>7</v>
      </c>
      <c r="G326" s="27" t="s">
        <v>8</v>
      </c>
      <c r="H326" s="27" t="s">
        <v>7</v>
      </c>
      <c r="K326" s="27" t="s">
        <v>8</v>
      </c>
      <c r="O326" s="27" t="s">
        <v>8</v>
      </c>
      <c r="CG326" s="27" t="s">
        <v>8</v>
      </c>
      <c r="CJ326" s="27" t="s">
        <v>7</v>
      </c>
      <c r="CK326" s="27" t="s">
        <v>8</v>
      </c>
      <c r="DA326" s="31"/>
      <c r="DZ326" s="27" t="s">
        <v>7</v>
      </c>
      <c r="EA326" s="27" t="s">
        <v>8</v>
      </c>
    </row>
    <row r="327" spans="1:158" x14ac:dyDescent="0.25">
      <c r="A327" s="30">
        <v>1.4339400042295308E-2</v>
      </c>
      <c r="B327"/>
      <c r="C327"/>
      <c r="D327"/>
      <c r="E327"/>
      <c r="F327" s="27" t="s">
        <v>7</v>
      </c>
      <c r="G327" s="27" t="s">
        <v>8</v>
      </c>
      <c r="H327" s="27" t="s">
        <v>7</v>
      </c>
      <c r="K327" s="27" t="s">
        <v>8</v>
      </c>
      <c r="L327" s="27" t="s">
        <v>7</v>
      </c>
      <c r="M327" s="27" t="s">
        <v>8</v>
      </c>
      <c r="O327" s="27" t="s">
        <v>8</v>
      </c>
      <c r="P327" s="27" t="s">
        <v>7</v>
      </c>
      <c r="S327" s="27" t="s">
        <v>8</v>
      </c>
      <c r="CG327" s="27" t="s">
        <v>8</v>
      </c>
      <c r="CJ327" s="27" t="s">
        <v>7</v>
      </c>
      <c r="CK327" s="27" t="s">
        <v>8</v>
      </c>
      <c r="CZ327" s="31"/>
      <c r="DZ327" s="27" t="s">
        <v>7</v>
      </c>
    </row>
    <row r="328" spans="1:158" x14ac:dyDescent="0.25">
      <c r="A328" s="30">
        <v>1.365657146885267E-2</v>
      </c>
      <c r="B328"/>
      <c r="C328"/>
      <c r="D328"/>
      <c r="E328"/>
      <c r="F328" s="27" t="s">
        <v>7</v>
      </c>
      <c r="G328" s="27" t="s">
        <v>8</v>
      </c>
      <c r="H328" s="27" t="s">
        <v>7</v>
      </c>
      <c r="K328" s="27" t="s">
        <v>8</v>
      </c>
      <c r="L328" s="27" t="s">
        <v>7</v>
      </c>
      <c r="M328" s="27" t="s">
        <v>8</v>
      </c>
      <c r="N328" s="27" t="s">
        <v>7</v>
      </c>
      <c r="O328" s="27" t="s">
        <v>8</v>
      </c>
      <c r="P328" s="27" t="s">
        <v>7</v>
      </c>
      <c r="Q328" s="27" t="s">
        <v>8</v>
      </c>
      <c r="S328" s="27" t="s">
        <v>8</v>
      </c>
      <c r="T328" s="27" t="s">
        <v>7</v>
      </c>
      <c r="CG328" s="27" t="s">
        <v>8</v>
      </c>
      <c r="CJ328" s="27" t="s">
        <v>7</v>
      </c>
      <c r="CK328" s="27" t="s">
        <v>8</v>
      </c>
      <c r="CY328" s="31"/>
    </row>
    <row r="329" spans="1:158" x14ac:dyDescent="0.25">
      <c r="A329" s="30">
        <v>1.3006258541764442E-2</v>
      </c>
      <c r="B329"/>
      <c r="C329"/>
      <c r="D329"/>
      <c r="E329"/>
      <c r="F329" s="27" t="s">
        <v>7</v>
      </c>
      <c r="G329" s="27" t="s">
        <v>8</v>
      </c>
      <c r="H329" s="27" t="s">
        <v>7</v>
      </c>
      <c r="K329" s="27" t="s">
        <v>8</v>
      </c>
      <c r="L329" s="27" t="s">
        <v>7</v>
      </c>
      <c r="M329" s="27" t="s">
        <v>8</v>
      </c>
      <c r="N329" s="27" t="s">
        <v>7</v>
      </c>
      <c r="O329" s="27" t="s">
        <v>8</v>
      </c>
      <c r="P329" s="27" t="s">
        <v>7</v>
      </c>
      <c r="Q329" s="27" t="s">
        <v>8</v>
      </c>
      <c r="R329" s="27" t="s">
        <v>7</v>
      </c>
      <c r="S329" s="27" t="s">
        <v>8</v>
      </c>
      <c r="T329" s="27" t="s">
        <v>7</v>
      </c>
      <c r="CE329" s="27" t="s">
        <v>8</v>
      </c>
      <c r="CG329" s="27" t="s">
        <v>8</v>
      </c>
      <c r="CJ329" s="27" t="s">
        <v>7</v>
      </c>
      <c r="CX329" s="31"/>
    </row>
    <row r="330" spans="1:158" x14ac:dyDescent="0.25">
      <c r="A330" s="30">
        <v>1.2386912896918512E-2</v>
      </c>
      <c r="B330"/>
      <c r="C330"/>
      <c r="D330"/>
      <c r="E330"/>
      <c r="F330" s="27" t="s">
        <v>7</v>
      </c>
      <c r="G330" s="27" t="s">
        <v>8</v>
      </c>
      <c r="H330" s="27" t="s">
        <v>7</v>
      </c>
      <c r="K330" s="27" t="s">
        <v>8</v>
      </c>
      <c r="L330" s="27" t="s">
        <v>7</v>
      </c>
      <c r="M330" s="27" t="s">
        <v>8</v>
      </c>
      <c r="N330" s="27" t="s">
        <v>7</v>
      </c>
      <c r="O330" s="27" t="s">
        <v>8</v>
      </c>
      <c r="P330" s="27" t="s">
        <v>7</v>
      </c>
      <c r="Q330" s="27" t="s">
        <v>8</v>
      </c>
      <c r="R330" s="27" t="s">
        <v>7</v>
      </c>
      <c r="S330" s="27" t="s">
        <v>8</v>
      </c>
      <c r="T330" s="27" t="s">
        <v>7</v>
      </c>
      <c r="CE330" s="27" t="s">
        <v>8</v>
      </c>
      <c r="CF330" s="27" t="s">
        <v>7</v>
      </c>
      <c r="CG330" s="27" t="s">
        <v>8</v>
      </c>
      <c r="CW330" s="31"/>
    </row>
    <row r="331" spans="1:158" x14ac:dyDescent="0.25">
      <c r="A331" s="30">
        <v>1.179705990182715E-2</v>
      </c>
      <c r="B331"/>
      <c r="C331"/>
      <c r="D331"/>
      <c r="E331"/>
      <c r="F331" s="27" t="s">
        <v>7</v>
      </c>
      <c r="G331" s="27" t="s">
        <v>8</v>
      </c>
      <c r="H331" s="27" t="s">
        <v>7</v>
      </c>
      <c r="I331" s="27" t="s">
        <v>8</v>
      </c>
      <c r="K331" s="27" t="s">
        <v>8</v>
      </c>
      <c r="L331" s="27" t="s">
        <v>7</v>
      </c>
      <c r="M331" s="27" t="s">
        <v>8</v>
      </c>
      <c r="N331" s="27" t="s">
        <v>7</v>
      </c>
      <c r="O331" s="27" t="s">
        <v>8</v>
      </c>
      <c r="P331" s="27" t="s">
        <v>7</v>
      </c>
      <c r="R331" s="27" t="s">
        <v>7</v>
      </c>
      <c r="T331" s="27" t="s">
        <v>7</v>
      </c>
      <c r="W331" s="27" t="s">
        <v>8</v>
      </c>
      <c r="CE331" s="27" t="s">
        <v>8</v>
      </c>
      <c r="CF331" s="27" t="s">
        <v>7</v>
      </c>
      <c r="CG331" s="27" t="s">
        <v>8</v>
      </c>
      <c r="CV331" s="31"/>
    </row>
    <row r="332" spans="1:158" x14ac:dyDescent="0.25">
      <c r="A332" s="30">
        <v>1.1235295144597281E-2</v>
      </c>
      <c r="B332"/>
      <c r="C332"/>
      <c r="D332"/>
      <c r="E332"/>
      <c r="F332" s="27" t="s">
        <v>7</v>
      </c>
      <c r="G332" s="27" t="s">
        <v>8</v>
      </c>
      <c r="H332" s="27" t="s">
        <v>7</v>
      </c>
      <c r="I332" s="27" t="s">
        <v>8</v>
      </c>
      <c r="J332" s="27" t="s">
        <v>7</v>
      </c>
      <c r="K332" s="27" t="s">
        <v>8</v>
      </c>
      <c r="L332" s="27" t="s">
        <v>7</v>
      </c>
      <c r="N332" s="27" t="s">
        <v>7</v>
      </c>
      <c r="O332" s="27" t="s">
        <v>8</v>
      </c>
      <c r="T332" s="27" t="s">
        <v>7</v>
      </c>
      <c r="W332" s="27" t="s">
        <v>8</v>
      </c>
      <c r="X332" s="27" t="s">
        <v>7</v>
      </c>
      <c r="CE332" s="27" t="s">
        <v>8</v>
      </c>
      <c r="CF332" s="27" t="s">
        <v>7</v>
      </c>
      <c r="CG332" s="27" t="s">
        <v>8</v>
      </c>
      <c r="CU332" s="31"/>
    </row>
    <row r="333" spans="1:158" x14ac:dyDescent="0.25">
      <c r="A333" s="30">
        <v>1.0700281090092644E-2</v>
      </c>
      <c r="B333"/>
      <c r="C333"/>
      <c r="D333"/>
      <c r="E333"/>
      <c r="F333" s="27" t="s">
        <v>7</v>
      </c>
      <c r="G333" s="27" t="s">
        <v>8</v>
      </c>
      <c r="H333" s="27" t="s">
        <v>7</v>
      </c>
      <c r="I333" s="27" t="s">
        <v>8</v>
      </c>
      <c r="J333" s="27" t="s">
        <v>7</v>
      </c>
      <c r="K333" s="27" t="s">
        <v>8</v>
      </c>
      <c r="N333" s="27" t="s">
        <v>7</v>
      </c>
      <c r="O333" s="27" t="s">
        <v>8</v>
      </c>
      <c r="T333" s="27" t="s">
        <v>7</v>
      </c>
      <c r="W333" s="27" t="s">
        <v>8</v>
      </c>
      <c r="X333" s="27" t="s">
        <v>7</v>
      </c>
      <c r="CE333" s="27" t="s">
        <v>8</v>
      </c>
      <c r="CF333" s="27" t="s">
        <v>7</v>
      </c>
      <c r="CG333" s="27" t="s">
        <v>8</v>
      </c>
      <c r="CT333" s="31"/>
    </row>
    <row r="334" spans="1:158" x14ac:dyDescent="0.25">
      <c r="A334" s="30">
        <v>1.0190743895326324E-2</v>
      </c>
      <c r="B334"/>
      <c r="C334"/>
      <c r="D334"/>
      <c r="E334"/>
      <c r="F334" s="27" t="s">
        <v>7</v>
      </c>
      <c r="G334" s="27" t="s">
        <v>8</v>
      </c>
      <c r="H334" s="27" t="s">
        <v>7</v>
      </c>
      <c r="J334" s="27" t="s">
        <v>7</v>
      </c>
      <c r="N334" s="27" t="s">
        <v>7</v>
      </c>
      <c r="T334" s="27" t="s">
        <v>7</v>
      </c>
      <c r="W334" s="27" t="s">
        <v>8</v>
      </c>
      <c r="X334" s="27" t="s">
        <v>7</v>
      </c>
      <c r="CE334" s="27" t="s">
        <v>8</v>
      </c>
      <c r="CF334" s="27" t="s">
        <v>7</v>
      </c>
      <c r="CG334" s="27" t="s">
        <v>8</v>
      </c>
      <c r="CS334" s="31"/>
    </row>
    <row r="335" spans="1:158" x14ac:dyDescent="0.25">
      <c r="A335" s="30">
        <v>9.7054703765012563E-3</v>
      </c>
      <c r="B335"/>
      <c r="C335"/>
      <c r="D335"/>
      <c r="E335"/>
      <c r="F335" s="27" t="s">
        <v>7</v>
      </c>
      <c r="G335" s="27" t="s">
        <v>8</v>
      </c>
      <c r="T335" s="27" t="s">
        <v>7</v>
      </c>
      <c r="W335" s="27" t="s">
        <v>8</v>
      </c>
      <c r="X335" s="27" t="s">
        <v>7</v>
      </c>
      <c r="CE335" s="27" t="s">
        <v>8</v>
      </c>
      <c r="CF335" s="27" t="s">
        <v>7</v>
      </c>
      <c r="CG335" s="27" t="s">
        <v>8</v>
      </c>
      <c r="CR335" s="31"/>
    </row>
    <row r="336" spans="1:158" x14ac:dyDescent="0.25">
      <c r="A336" s="30">
        <v>9.2433051204773835E-3</v>
      </c>
      <c r="B336"/>
      <c r="C336"/>
      <c r="D336"/>
      <c r="E336"/>
      <c r="F336" s="27" t="s">
        <v>7</v>
      </c>
      <c r="G336" s="27" t="s">
        <v>8</v>
      </c>
      <c r="T336" s="27" t="s">
        <v>7</v>
      </c>
      <c r="U336" s="27" t="s">
        <v>8</v>
      </c>
      <c r="W336" s="27" t="s">
        <v>8</v>
      </c>
      <c r="X336" s="27" t="s">
        <v>7</v>
      </c>
      <c r="CE336" s="27" t="s">
        <v>8</v>
      </c>
      <c r="CF336" s="27" t="s">
        <v>7</v>
      </c>
      <c r="CG336" s="27" t="s">
        <v>8</v>
      </c>
      <c r="CQ336" s="31"/>
    </row>
    <row r="337" spans="1:94" x14ac:dyDescent="0.25">
      <c r="A337" s="30">
        <v>8.8031477337879808E-3</v>
      </c>
      <c r="B337"/>
      <c r="C337"/>
      <c r="D337"/>
      <c r="E337"/>
      <c r="F337" s="27" t="s">
        <v>7</v>
      </c>
      <c r="G337" s="27" t="s">
        <v>8</v>
      </c>
      <c r="T337" s="27" t="s">
        <v>7</v>
      </c>
      <c r="U337" s="27" t="s">
        <v>8</v>
      </c>
      <c r="V337" s="27" t="s">
        <v>7</v>
      </c>
      <c r="W337" s="27" t="s">
        <v>8</v>
      </c>
      <c r="X337" s="27" t="s">
        <v>7</v>
      </c>
      <c r="BQ337" s="27" t="s">
        <v>8</v>
      </c>
      <c r="CE337" s="27" t="s">
        <v>8</v>
      </c>
      <c r="CF337" s="27" t="s">
        <v>7</v>
      </c>
      <c r="CG337" s="27" t="s">
        <v>8</v>
      </c>
      <c r="CP337" s="31"/>
    </row>
    <row r="338" spans="1:94" x14ac:dyDescent="0.25">
      <c r="A338" s="30">
        <v>8.3839502226552166E-3</v>
      </c>
      <c r="B338"/>
      <c r="C338"/>
      <c r="D338"/>
      <c r="E338"/>
      <c r="F338" s="27" t="s">
        <v>7</v>
      </c>
      <c r="G338" s="27" t="s">
        <v>8</v>
      </c>
      <c r="T338" s="27" t="s">
        <v>7</v>
      </c>
      <c r="U338" s="27" t="s">
        <v>8</v>
      </c>
      <c r="V338" s="27" t="s">
        <v>7</v>
      </c>
      <c r="W338" s="27" t="s">
        <v>8</v>
      </c>
      <c r="X338" s="27" t="s">
        <v>7</v>
      </c>
      <c r="AQ338" s="27" t="s">
        <v>8</v>
      </c>
      <c r="BQ338" s="27" t="s">
        <v>8</v>
      </c>
      <c r="BR338" s="27" t="s">
        <v>7</v>
      </c>
      <c r="CE338" s="27" t="s">
        <v>8</v>
      </c>
      <c r="CF338" s="27" t="s">
        <v>7</v>
      </c>
      <c r="CO338" s="31"/>
    </row>
    <row r="339" spans="1:94" x14ac:dyDescent="0.25">
      <c r="A339" s="30">
        <v>7.9847144977668698E-3</v>
      </c>
      <c r="B339"/>
      <c r="C339"/>
      <c r="D339"/>
      <c r="E339"/>
      <c r="F339" s="27" t="s">
        <v>7</v>
      </c>
      <c r="T339" s="27" t="s">
        <v>7</v>
      </c>
      <c r="U339" s="27" t="s">
        <v>8</v>
      </c>
      <c r="V339" s="27" t="s">
        <v>7</v>
      </c>
      <c r="X339" s="27" t="s">
        <v>7</v>
      </c>
      <c r="AQ339" s="27" t="s">
        <v>8</v>
      </c>
      <c r="AR339" s="27" t="s">
        <v>7</v>
      </c>
      <c r="BM339" s="27" t="s">
        <v>8</v>
      </c>
      <c r="BQ339" s="27" t="s">
        <v>8</v>
      </c>
      <c r="BR339" s="27" t="s">
        <v>7</v>
      </c>
      <c r="CE339" s="27" t="s">
        <v>8</v>
      </c>
      <c r="CN339" s="31"/>
    </row>
    <row r="340" spans="1:94" x14ac:dyDescent="0.25">
      <c r="A340" s="30">
        <v>7.6044899978732058E-3</v>
      </c>
      <c r="B340"/>
      <c r="C340"/>
      <c r="D340"/>
      <c r="E340"/>
      <c r="T340" s="27" t="s">
        <v>7</v>
      </c>
      <c r="U340" s="27" t="s">
        <v>8</v>
      </c>
      <c r="X340" s="27" t="s">
        <v>7</v>
      </c>
      <c r="AA340" s="27" t="s">
        <v>8</v>
      </c>
      <c r="AC340" s="27" t="s">
        <v>8</v>
      </c>
      <c r="AQ340" s="27" t="s">
        <v>8</v>
      </c>
      <c r="AR340" s="27" t="s">
        <v>7</v>
      </c>
      <c r="BM340" s="27" t="s">
        <v>8</v>
      </c>
      <c r="BN340" s="27" t="s">
        <v>7</v>
      </c>
      <c r="BO340" s="27" t="s">
        <v>8</v>
      </c>
      <c r="BQ340" s="27" t="s">
        <v>8</v>
      </c>
      <c r="BR340" s="27" t="s">
        <v>7</v>
      </c>
      <c r="CE340" s="27" t="s">
        <v>8</v>
      </c>
      <c r="CM340" s="31"/>
    </row>
    <row r="341" spans="1:94" x14ac:dyDescent="0.25">
      <c r="A341" s="30">
        <v>7.2423714265459072E-3</v>
      </c>
      <c r="B341"/>
      <c r="C341"/>
      <c r="D341"/>
      <c r="E341"/>
      <c r="T341" s="27" t="s">
        <v>7</v>
      </c>
      <c r="U341" s="27" t="s">
        <v>8</v>
      </c>
      <c r="X341" s="27" t="s">
        <v>7</v>
      </c>
      <c r="AA341" s="27" t="s">
        <v>8</v>
      </c>
      <c r="AB341" s="27" t="s">
        <v>7</v>
      </c>
      <c r="AC341" s="27" t="s">
        <v>8</v>
      </c>
      <c r="AD341" s="27" t="s">
        <v>7</v>
      </c>
      <c r="AE341" s="27" t="s">
        <v>8</v>
      </c>
      <c r="AQ341" s="27" t="s">
        <v>8</v>
      </c>
      <c r="AR341" s="27" t="s">
        <v>7</v>
      </c>
      <c r="BM341" s="27" t="s">
        <v>8</v>
      </c>
      <c r="BN341" s="27" t="s">
        <v>7</v>
      </c>
      <c r="BO341" s="27" t="s">
        <v>8</v>
      </c>
      <c r="BP341" s="27" t="s">
        <v>7</v>
      </c>
      <c r="BQ341" s="27" t="s">
        <v>8</v>
      </c>
      <c r="BR341" s="27" t="s">
        <v>7</v>
      </c>
      <c r="CE341" s="27" t="s">
        <v>8</v>
      </c>
      <c r="CL341" s="31"/>
    </row>
    <row r="342" spans="1:94" x14ac:dyDescent="0.25">
      <c r="A342" s="30">
        <v>6.8974965967103846E-3</v>
      </c>
      <c r="B342"/>
      <c r="C342"/>
      <c r="D342"/>
      <c r="E342"/>
      <c r="T342" s="27" t="s">
        <v>7</v>
      </c>
      <c r="U342" s="27" t="s">
        <v>8</v>
      </c>
      <c r="X342" s="27" t="s">
        <v>7</v>
      </c>
      <c r="AA342" s="27" t="s">
        <v>8</v>
      </c>
      <c r="AB342" s="27" t="s">
        <v>7</v>
      </c>
      <c r="AC342" s="27" t="s">
        <v>8</v>
      </c>
      <c r="AD342" s="27" t="s">
        <v>7</v>
      </c>
      <c r="AE342" s="27" t="s">
        <v>8</v>
      </c>
      <c r="AF342" s="27" t="s">
        <v>7</v>
      </c>
      <c r="AQ342" s="27" t="s">
        <v>8</v>
      </c>
      <c r="AR342" s="27" t="s">
        <v>7</v>
      </c>
      <c r="BG342" s="27" t="s">
        <v>8</v>
      </c>
      <c r="BI342" s="27" t="s">
        <v>8</v>
      </c>
      <c r="BM342" s="27" t="s">
        <v>8</v>
      </c>
      <c r="BN342" s="27" t="s">
        <v>7</v>
      </c>
      <c r="BO342" s="27" t="s">
        <v>8</v>
      </c>
      <c r="BP342" s="27" t="s">
        <v>7</v>
      </c>
      <c r="BQ342" s="27" t="s">
        <v>8</v>
      </c>
      <c r="BR342" s="27" t="s">
        <v>7</v>
      </c>
      <c r="BY342" s="27" t="s">
        <v>8</v>
      </c>
      <c r="CC342" s="27" t="s">
        <v>8</v>
      </c>
      <c r="CE342" s="27" t="s">
        <v>8</v>
      </c>
      <c r="CK342" s="31"/>
    </row>
    <row r="343" spans="1:94" x14ac:dyDescent="0.25">
      <c r="A343" s="30">
        <v>6.5690443778194116E-3</v>
      </c>
      <c r="B343"/>
      <c r="C343"/>
      <c r="D343"/>
      <c r="E343"/>
      <c r="T343" s="27" t="s">
        <v>7</v>
      </c>
      <c r="U343" s="27" t="s">
        <v>8</v>
      </c>
      <c r="X343" s="27" t="s">
        <v>7</v>
      </c>
      <c r="AA343" s="27" t="s">
        <v>8</v>
      </c>
      <c r="AB343" s="27" t="s">
        <v>7</v>
      </c>
      <c r="AC343" s="27" t="s">
        <v>8</v>
      </c>
      <c r="AD343" s="27" t="s">
        <v>7</v>
      </c>
      <c r="AE343" s="27" t="s">
        <v>8</v>
      </c>
      <c r="AF343" s="27" t="s">
        <v>7</v>
      </c>
      <c r="AQ343" s="27" t="s">
        <v>8</v>
      </c>
      <c r="AR343" s="27" t="s">
        <v>7</v>
      </c>
      <c r="BG343" s="27" t="s">
        <v>8</v>
      </c>
      <c r="BH343" s="27" t="s">
        <v>7</v>
      </c>
      <c r="BI343" s="27" t="s">
        <v>8</v>
      </c>
      <c r="BJ343" s="27" t="s">
        <v>7</v>
      </c>
      <c r="BM343" s="27" t="s">
        <v>8</v>
      </c>
      <c r="BN343" s="27" t="s">
        <v>7</v>
      </c>
      <c r="BO343" s="27" t="s">
        <v>8</v>
      </c>
      <c r="BP343" s="27" t="s">
        <v>7</v>
      </c>
      <c r="BQ343" s="27" t="s">
        <v>8</v>
      </c>
      <c r="BR343" s="27" t="s">
        <v>7</v>
      </c>
      <c r="BY343" s="27" t="s">
        <v>8</v>
      </c>
      <c r="BZ343" s="27" t="s">
        <v>7</v>
      </c>
      <c r="CA343" s="27" t="s">
        <v>8</v>
      </c>
      <c r="CC343" s="27" t="s">
        <v>8</v>
      </c>
      <c r="CD343" s="27" t="s">
        <v>7</v>
      </c>
      <c r="CE343" s="27" t="s">
        <v>8</v>
      </c>
      <c r="CJ343" s="31"/>
    </row>
    <row r="344" spans="1:94" x14ac:dyDescent="0.25">
      <c r="A344" s="30">
        <v>6.2562327407803897E-3</v>
      </c>
      <c r="B344"/>
      <c r="C344"/>
      <c r="D344"/>
      <c r="E344"/>
      <c r="T344" s="27" t="s">
        <v>7</v>
      </c>
      <c r="X344" s="27" t="s">
        <v>7</v>
      </c>
      <c r="AA344" s="27" t="s">
        <v>8</v>
      </c>
      <c r="AB344" s="27" t="s">
        <v>7</v>
      </c>
      <c r="AC344" s="27" t="s">
        <v>8</v>
      </c>
      <c r="AD344" s="27" t="s">
        <v>7</v>
      </c>
      <c r="AF344" s="27" t="s">
        <v>7</v>
      </c>
      <c r="AI344" s="27" t="s">
        <v>8</v>
      </c>
      <c r="AK344" s="27" t="s">
        <v>8</v>
      </c>
      <c r="AQ344" s="27" t="s">
        <v>8</v>
      </c>
      <c r="AR344" s="27" t="s">
        <v>7</v>
      </c>
      <c r="BG344" s="27" t="s">
        <v>8</v>
      </c>
      <c r="BH344" s="27" t="s">
        <v>7</v>
      </c>
      <c r="BI344" s="27" t="s">
        <v>8</v>
      </c>
      <c r="BJ344" s="27" t="s">
        <v>7</v>
      </c>
      <c r="BM344" s="27" t="s">
        <v>8</v>
      </c>
      <c r="BN344" s="27" t="s">
        <v>7</v>
      </c>
      <c r="BP344" s="27" t="s">
        <v>7</v>
      </c>
      <c r="BQ344" s="27" t="s">
        <v>8</v>
      </c>
      <c r="BR344" s="27" t="s">
        <v>7</v>
      </c>
      <c r="BY344" s="27" t="s">
        <v>8</v>
      </c>
      <c r="BZ344" s="27" t="s">
        <v>7</v>
      </c>
      <c r="CA344" s="27" t="s">
        <v>8</v>
      </c>
      <c r="CB344" s="27" t="s">
        <v>7</v>
      </c>
      <c r="CC344" s="27" t="s">
        <v>8</v>
      </c>
      <c r="CD344" s="27" t="s">
        <v>7</v>
      </c>
      <c r="CE344" s="27" t="s">
        <v>8</v>
      </c>
      <c r="CI344" s="31"/>
    </row>
    <row r="345" spans="1:94" x14ac:dyDescent="0.25">
      <c r="A345" s="30">
        <v>5.9583168959813212E-3</v>
      </c>
      <c r="B345"/>
      <c r="C345"/>
      <c r="D345"/>
      <c r="E345"/>
      <c r="X345" s="27" t="s">
        <v>7</v>
      </c>
      <c r="AA345" s="27" t="s">
        <v>8</v>
      </c>
      <c r="AB345" s="27" t="s">
        <v>7</v>
      </c>
      <c r="AC345" s="27" t="s">
        <v>8</v>
      </c>
      <c r="AF345" s="27" t="s">
        <v>7</v>
      </c>
      <c r="AI345" s="27" t="s">
        <v>8</v>
      </c>
      <c r="AJ345" s="27" t="s">
        <v>7</v>
      </c>
      <c r="AK345" s="27" t="s">
        <v>8</v>
      </c>
      <c r="AL345" s="27" t="s">
        <v>7</v>
      </c>
      <c r="AO345" s="27" t="s">
        <v>8</v>
      </c>
      <c r="AQ345" s="27" t="s">
        <v>8</v>
      </c>
      <c r="AR345" s="27" t="s">
        <v>7</v>
      </c>
      <c r="BE345" s="27" t="s">
        <v>8</v>
      </c>
      <c r="BG345" s="27" t="s">
        <v>8</v>
      </c>
      <c r="BH345" s="27" t="s">
        <v>7</v>
      </c>
      <c r="BI345" s="27" t="s">
        <v>8</v>
      </c>
      <c r="BJ345" s="27" t="s">
        <v>7</v>
      </c>
      <c r="BK345" s="27" t="s">
        <v>8</v>
      </c>
      <c r="BM345" s="27" t="s">
        <v>8</v>
      </c>
      <c r="BP345" s="27" t="s">
        <v>7</v>
      </c>
      <c r="BQ345" s="27" t="s">
        <v>8</v>
      </c>
      <c r="BR345" s="27" t="s">
        <v>7</v>
      </c>
      <c r="BS345" s="27" t="s">
        <v>8</v>
      </c>
      <c r="BU345" s="27" t="s">
        <v>8</v>
      </c>
      <c r="BY345" s="27" t="s">
        <v>8</v>
      </c>
      <c r="BZ345" s="27" t="s">
        <v>7</v>
      </c>
      <c r="CA345" s="27" t="s">
        <v>8</v>
      </c>
      <c r="CB345" s="27" t="s">
        <v>7</v>
      </c>
      <c r="CC345" s="27" t="s">
        <v>8</v>
      </c>
      <c r="CD345" s="27" t="s">
        <v>7</v>
      </c>
      <c r="CE345" s="27" t="s">
        <v>8</v>
      </c>
      <c r="CH345" s="31"/>
    </row>
    <row r="346" spans="1:94" x14ac:dyDescent="0.25">
      <c r="A346" s="30">
        <v>5.6745875199822084E-3</v>
      </c>
      <c r="B346"/>
      <c r="C346"/>
      <c r="D346"/>
      <c r="E346"/>
      <c r="X346" s="27" t="s">
        <v>7</v>
      </c>
      <c r="AA346" s="27" t="s">
        <v>8</v>
      </c>
      <c r="AB346" s="27" t="s">
        <v>7</v>
      </c>
      <c r="AC346" s="27" t="s">
        <v>8</v>
      </c>
      <c r="AF346" s="27" t="s">
        <v>7</v>
      </c>
      <c r="AI346" s="27" t="s">
        <v>8</v>
      </c>
      <c r="AJ346" s="27" t="s">
        <v>7</v>
      </c>
      <c r="AK346" s="27" t="s">
        <v>8</v>
      </c>
      <c r="AL346" s="27" t="s">
        <v>7</v>
      </c>
      <c r="AM346" s="27" t="s">
        <v>8</v>
      </c>
      <c r="AO346" s="27" t="s">
        <v>8</v>
      </c>
      <c r="AP346" s="27" t="s">
        <v>7</v>
      </c>
      <c r="AQ346" s="27" t="s">
        <v>8</v>
      </c>
      <c r="AR346" s="27" t="s">
        <v>7</v>
      </c>
      <c r="AS346" s="27" t="s">
        <v>8</v>
      </c>
      <c r="BE346" s="27" t="s">
        <v>8</v>
      </c>
      <c r="BF346" s="27" t="s">
        <v>7</v>
      </c>
      <c r="BG346" s="27" t="s">
        <v>8</v>
      </c>
      <c r="BH346" s="27" t="s">
        <v>7</v>
      </c>
      <c r="BI346" s="27" t="s">
        <v>8</v>
      </c>
      <c r="BJ346" s="27" t="s">
        <v>7</v>
      </c>
      <c r="BK346" s="27" t="s">
        <v>8</v>
      </c>
      <c r="BL346" s="27" t="s">
        <v>7</v>
      </c>
      <c r="BM346" s="27" t="s">
        <v>8</v>
      </c>
      <c r="BP346" s="27" t="s">
        <v>7</v>
      </c>
      <c r="BQ346" s="27" t="s">
        <v>8</v>
      </c>
      <c r="BR346" s="27" t="s">
        <v>7</v>
      </c>
      <c r="BS346" s="27" t="s">
        <v>8</v>
      </c>
      <c r="BT346" s="27" t="s">
        <v>7</v>
      </c>
      <c r="BU346" s="27" t="s">
        <v>8</v>
      </c>
      <c r="BV346" s="27" t="s">
        <v>7</v>
      </c>
      <c r="BY346" s="27" t="s">
        <v>8</v>
      </c>
      <c r="BZ346" s="27" t="s">
        <v>7</v>
      </c>
      <c r="CA346" s="27" t="s">
        <v>8</v>
      </c>
      <c r="CB346" s="27" t="s">
        <v>7</v>
      </c>
      <c r="CD346" s="27" t="s">
        <v>7</v>
      </c>
      <c r="CE346" s="27" t="s">
        <v>8</v>
      </c>
      <c r="CG346" s="31"/>
    </row>
    <row r="347" spans="1:94" x14ac:dyDescent="0.25">
      <c r="A347" s="30">
        <v>5.4043690666497205E-3</v>
      </c>
      <c r="B347"/>
      <c r="C347"/>
      <c r="D347"/>
      <c r="E347"/>
      <c r="X347" s="27" t="s">
        <v>7</v>
      </c>
      <c r="Y347" s="27" t="s">
        <v>8</v>
      </c>
      <c r="AA347" s="27" t="s">
        <v>8</v>
      </c>
      <c r="AB347" s="27" t="s">
        <v>7</v>
      </c>
      <c r="AF347" s="27" t="s">
        <v>7</v>
      </c>
      <c r="AI347" s="27" t="s">
        <v>8</v>
      </c>
      <c r="AJ347" s="27" t="s">
        <v>7</v>
      </c>
      <c r="AL347" s="27" t="s">
        <v>7</v>
      </c>
      <c r="AM347" s="27" t="s">
        <v>8</v>
      </c>
      <c r="AN347" s="27" t="s">
        <v>7</v>
      </c>
      <c r="AO347" s="27" t="s">
        <v>8</v>
      </c>
      <c r="AP347" s="27" t="s">
        <v>7</v>
      </c>
      <c r="AQ347" s="27" t="s">
        <v>8</v>
      </c>
      <c r="AR347" s="27" t="s">
        <v>7</v>
      </c>
      <c r="AS347" s="27" t="s">
        <v>8</v>
      </c>
      <c r="AT347" s="27" t="s">
        <v>7</v>
      </c>
      <c r="BE347" s="27" t="s">
        <v>8</v>
      </c>
      <c r="BF347" s="27" t="s">
        <v>7</v>
      </c>
      <c r="BG347" s="27" t="s">
        <v>8</v>
      </c>
      <c r="BH347" s="27" t="s">
        <v>7</v>
      </c>
      <c r="BJ347" s="27" t="s">
        <v>7</v>
      </c>
      <c r="BK347" s="27" t="s">
        <v>8</v>
      </c>
      <c r="BL347" s="27" t="s">
        <v>7</v>
      </c>
      <c r="BM347" s="27" t="s">
        <v>8</v>
      </c>
      <c r="BP347" s="27" t="s">
        <v>7</v>
      </c>
      <c r="BQ347" s="27" t="s">
        <v>8</v>
      </c>
      <c r="BR347" s="27" t="s">
        <v>7</v>
      </c>
      <c r="BS347" s="27" t="s">
        <v>8</v>
      </c>
      <c r="BT347" s="27" t="s">
        <v>7</v>
      </c>
      <c r="BU347" s="27" t="s">
        <v>8</v>
      </c>
      <c r="BV347" s="31" t="s">
        <v>7</v>
      </c>
      <c r="BY347" s="27" t="s">
        <v>8</v>
      </c>
      <c r="BZ347" s="27" t="s">
        <v>7</v>
      </c>
      <c r="CA347" s="27" t="s">
        <v>8</v>
      </c>
      <c r="CD347" s="27" t="s">
        <v>7</v>
      </c>
      <c r="CE347" s="27" t="s">
        <v>8</v>
      </c>
      <c r="CF347" s="31"/>
    </row>
    <row r="348" spans="1:94" x14ac:dyDescent="0.25">
      <c r="A348" s="30">
        <v>5.1470181587140174E-3</v>
      </c>
      <c r="B348"/>
      <c r="C348"/>
      <c r="D348"/>
      <c r="E348"/>
      <c r="X348" s="27" t="s">
        <v>7</v>
      </c>
      <c r="Y348" s="27" t="s">
        <v>8</v>
      </c>
      <c r="Z348" s="27" t="s">
        <v>7</v>
      </c>
      <c r="AA348" s="27" t="s">
        <v>8</v>
      </c>
      <c r="AF348" s="27" t="s">
        <v>7</v>
      </c>
      <c r="AG348" s="27" t="s">
        <v>8</v>
      </c>
      <c r="AI348" s="27" t="s">
        <v>8</v>
      </c>
      <c r="AL348" s="27" t="s">
        <v>7</v>
      </c>
      <c r="AM348" s="27" t="s">
        <v>8</v>
      </c>
      <c r="AN348" s="27" t="s">
        <v>7</v>
      </c>
      <c r="AO348" s="27" t="s">
        <v>8</v>
      </c>
      <c r="AP348" s="27" t="s">
        <v>7</v>
      </c>
      <c r="AR348" s="27" t="s">
        <v>7</v>
      </c>
      <c r="AS348" s="27" t="s">
        <v>8</v>
      </c>
      <c r="AT348" s="27" t="s">
        <v>7</v>
      </c>
      <c r="BE348" s="27" t="s">
        <v>8</v>
      </c>
      <c r="BF348" s="27" t="s">
        <v>7</v>
      </c>
      <c r="BJ348" s="27" t="s">
        <v>7</v>
      </c>
      <c r="BL348" s="27" t="s">
        <v>7</v>
      </c>
      <c r="BM348" s="27" t="s">
        <v>8</v>
      </c>
      <c r="BP348" s="27" t="s">
        <v>7</v>
      </c>
      <c r="BQ348" s="27" t="s">
        <v>8</v>
      </c>
      <c r="BR348" s="27" t="s">
        <v>7</v>
      </c>
      <c r="BT348" s="27" t="s">
        <v>7</v>
      </c>
      <c r="BU348" s="31"/>
      <c r="BV348" s="27" t="s">
        <v>7</v>
      </c>
      <c r="BW348" s="27" t="s">
        <v>8</v>
      </c>
      <c r="BY348" s="27" t="s">
        <v>8</v>
      </c>
      <c r="BZ348" s="27" t="s">
        <v>7</v>
      </c>
      <c r="CA348" s="27" t="s">
        <v>8</v>
      </c>
      <c r="CD348" s="27" t="s">
        <v>7</v>
      </c>
      <c r="CE348" s="31" t="s">
        <v>8</v>
      </c>
    </row>
    <row r="349" spans="1:94" x14ac:dyDescent="0.25">
      <c r="A349" s="30">
        <v>4.9019220559181099E-3</v>
      </c>
      <c r="B349"/>
      <c r="C349"/>
      <c r="D349"/>
      <c r="E349"/>
      <c r="X349" s="27" t="s">
        <v>7</v>
      </c>
      <c r="Y349" s="27" t="s">
        <v>8</v>
      </c>
      <c r="Z349" s="27" t="s">
        <v>7</v>
      </c>
      <c r="AA349" s="27" t="s">
        <v>8</v>
      </c>
      <c r="AF349" s="27" t="s">
        <v>7</v>
      </c>
      <c r="AG349" s="27" t="s">
        <v>8</v>
      </c>
      <c r="AH349" s="27" t="s">
        <v>7</v>
      </c>
      <c r="AI349" s="27" t="s">
        <v>8</v>
      </c>
      <c r="AL349" s="27" t="s">
        <v>7</v>
      </c>
      <c r="AM349" s="27" t="s">
        <v>8</v>
      </c>
      <c r="AN349" s="27" t="s">
        <v>7</v>
      </c>
      <c r="AO349" s="27" t="s">
        <v>8</v>
      </c>
      <c r="AR349" s="27" t="s">
        <v>7</v>
      </c>
      <c r="AT349" s="27" t="s">
        <v>7</v>
      </c>
      <c r="BE349" s="27" t="s">
        <v>8</v>
      </c>
      <c r="BL349" s="27" t="s">
        <v>7</v>
      </c>
      <c r="BP349" s="27" t="s">
        <v>7</v>
      </c>
      <c r="BQ349" s="27" t="s">
        <v>8</v>
      </c>
      <c r="BT349" s="31"/>
      <c r="BV349" s="27" t="s">
        <v>7</v>
      </c>
      <c r="BW349" s="27" t="s">
        <v>8</v>
      </c>
      <c r="BX349" s="27" t="s">
        <v>7</v>
      </c>
      <c r="BY349" s="27" t="s">
        <v>8</v>
      </c>
      <c r="BZ349" s="27" t="s">
        <v>7</v>
      </c>
      <c r="CD349" s="31" t="s">
        <v>7</v>
      </c>
    </row>
    <row r="350" spans="1:94" x14ac:dyDescent="0.25">
      <c r="A350" s="30">
        <v>4.6684971961124836E-3</v>
      </c>
      <c r="B350"/>
      <c r="C350"/>
      <c r="D350"/>
      <c r="E350"/>
      <c r="X350" s="27" t="s">
        <v>7</v>
      </c>
      <c r="Y350" s="27" t="s">
        <v>8</v>
      </c>
      <c r="Z350" s="27" t="s">
        <v>7</v>
      </c>
      <c r="AA350" s="27" t="s">
        <v>8</v>
      </c>
      <c r="AF350" s="27" t="s">
        <v>7</v>
      </c>
      <c r="AG350" s="27" t="s">
        <v>8</v>
      </c>
      <c r="AH350" s="27" t="s">
        <v>7</v>
      </c>
      <c r="AI350" s="27" t="s">
        <v>8</v>
      </c>
      <c r="AL350" s="27" t="s">
        <v>7</v>
      </c>
      <c r="AN350" s="27" t="s">
        <v>7</v>
      </c>
      <c r="AT350" s="27" t="s">
        <v>7</v>
      </c>
      <c r="BE350" s="27" t="s">
        <v>8</v>
      </c>
      <c r="BP350" s="27" t="s">
        <v>7</v>
      </c>
      <c r="BS350" s="31"/>
      <c r="BV350" s="27" t="s">
        <v>7</v>
      </c>
      <c r="BW350" s="27" t="s">
        <v>8</v>
      </c>
      <c r="BX350" s="27" t="s">
        <v>7</v>
      </c>
      <c r="BY350" s="27" t="s">
        <v>8</v>
      </c>
    </row>
    <row r="351" spans="1:94" x14ac:dyDescent="0.25">
      <c r="A351" s="30">
        <v>4.4461878058214112E-3</v>
      </c>
      <c r="B351"/>
      <c r="C351"/>
      <c r="D351"/>
      <c r="E351"/>
      <c r="X351" s="27" t="s">
        <v>7</v>
      </c>
      <c r="Y351" s="27" t="s">
        <v>8</v>
      </c>
      <c r="Z351" s="27" t="s">
        <v>7</v>
      </c>
      <c r="AA351" s="27" t="s">
        <v>8</v>
      </c>
      <c r="AF351" s="27" t="s">
        <v>7</v>
      </c>
      <c r="AH351" s="27" t="s">
        <v>7</v>
      </c>
      <c r="AI351" s="27" t="s">
        <v>8</v>
      </c>
      <c r="AT351" s="27" t="s">
        <v>7</v>
      </c>
      <c r="BE351" s="27" t="s">
        <v>8</v>
      </c>
      <c r="BR351" s="31"/>
      <c r="BV351" s="27" t="s">
        <v>7</v>
      </c>
      <c r="BW351" s="27" t="s">
        <v>8</v>
      </c>
      <c r="BX351" s="27" t="s">
        <v>7</v>
      </c>
    </row>
    <row r="352" spans="1:94" x14ac:dyDescent="0.25">
      <c r="A352" s="30">
        <v>4.2344645769727711E-3</v>
      </c>
      <c r="B352"/>
      <c r="C352"/>
      <c r="D352"/>
      <c r="E352"/>
      <c r="X352" s="27" t="s">
        <v>7</v>
      </c>
      <c r="Z352" s="27" t="s">
        <v>7</v>
      </c>
      <c r="AA352" s="27" t="s">
        <v>8</v>
      </c>
      <c r="AH352" s="27" t="s">
        <v>7</v>
      </c>
      <c r="AT352" s="27" t="s">
        <v>7</v>
      </c>
      <c r="BE352" s="27" t="s">
        <v>8</v>
      </c>
      <c r="BQ352" s="31"/>
      <c r="BV352" s="27" t="s">
        <v>7</v>
      </c>
    </row>
    <row r="353" spans="1:68" x14ac:dyDescent="0.25">
      <c r="A353" s="30">
        <v>4.0328234066407329E-3</v>
      </c>
      <c r="B353"/>
      <c r="C353"/>
      <c r="D353"/>
      <c r="E353"/>
      <c r="Z353" s="27" t="s">
        <v>7</v>
      </c>
      <c r="AA353" s="27" t="s">
        <v>8</v>
      </c>
      <c r="AT353" s="27" t="s">
        <v>7</v>
      </c>
      <c r="BE353" s="27" t="s">
        <v>8</v>
      </c>
      <c r="BP353" s="31"/>
    </row>
    <row r="354" spans="1:68" x14ac:dyDescent="0.25">
      <c r="A354" s="30">
        <v>3.8407841968006963E-3</v>
      </c>
      <c r="B354"/>
      <c r="C354"/>
      <c r="D354"/>
      <c r="E354"/>
      <c r="Z354" s="27" t="s">
        <v>7</v>
      </c>
      <c r="AT354" s="27" t="s">
        <v>7</v>
      </c>
      <c r="BA354" s="27" t="s">
        <v>8</v>
      </c>
      <c r="BC354" s="27" t="s">
        <v>8</v>
      </c>
      <c r="BE354" s="27" t="s">
        <v>8</v>
      </c>
      <c r="BO354" s="31"/>
    </row>
    <row r="355" spans="1:68" x14ac:dyDescent="0.25">
      <c r="A355" s="30">
        <v>3.6578897112387568E-3</v>
      </c>
      <c r="B355"/>
      <c r="C355"/>
      <c r="D355"/>
      <c r="E355"/>
      <c r="AT355" s="27" t="s">
        <v>7</v>
      </c>
      <c r="AW355" s="27" t="s">
        <v>8</v>
      </c>
      <c r="BA355" s="27" t="s">
        <v>8</v>
      </c>
      <c r="BB355" s="27" t="s">
        <v>7</v>
      </c>
      <c r="BC355" s="27" t="s">
        <v>8</v>
      </c>
      <c r="BD355" s="27" t="s">
        <v>7</v>
      </c>
      <c r="BE355" s="27" t="s">
        <v>8</v>
      </c>
      <c r="BN355" s="31"/>
    </row>
    <row r="356" spans="1:68" x14ac:dyDescent="0.25">
      <c r="A356" s="30">
        <v>3.4837044868940526E-3</v>
      </c>
      <c r="B356"/>
      <c r="C356"/>
      <c r="D356"/>
      <c r="E356"/>
      <c r="AT356" s="27" t="s">
        <v>7</v>
      </c>
      <c r="AW356" s="27" t="s">
        <v>8</v>
      </c>
      <c r="AX356" s="27" t="s">
        <v>7</v>
      </c>
      <c r="AY356" s="27" t="s">
        <v>8</v>
      </c>
      <c r="BA356" s="27" t="s">
        <v>8</v>
      </c>
      <c r="BB356" s="27" t="s">
        <v>7</v>
      </c>
      <c r="BC356" s="27" t="s">
        <v>8</v>
      </c>
      <c r="BD356" s="27" t="s">
        <v>7</v>
      </c>
      <c r="BE356" s="27" t="s">
        <v>8</v>
      </c>
      <c r="BM356" s="31"/>
    </row>
    <row r="357" spans="1:68" x14ac:dyDescent="0.25">
      <c r="A357" s="30">
        <v>3.3178137970419535E-3</v>
      </c>
      <c r="B357"/>
      <c r="C357"/>
      <c r="D357"/>
      <c r="E357"/>
      <c r="AT357" s="27" t="s">
        <v>7</v>
      </c>
      <c r="AW357" s="27" t="s">
        <v>8</v>
      </c>
      <c r="AX357" s="27" t="s">
        <v>7</v>
      </c>
      <c r="AY357" s="27" t="s">
        <v>8</v>
      </c>
      <c r="AZ357" s="27" t="s">
        <v>7</v>
      </c>
      <c r="BA357" s="27" t="s">
        <v>8</v>
      </c>
      <c r="BB357" s="27" t="s">
        <v>7</v>
      </c>
      <c r="BD357" s="27" t="s">
        <v>7</v>
      </c>
      <c r="BE357" s="27" t="s">
        <v>8</v>
      </c>
      <c r="BL357" s="31"/>
    </row>
    <row r="358" spans="1:68" x14ac:dyDescent="0.25">
      <c r="A358" s="30">
        <v>3.1598226638494781E-3</v>
      </c>
      <c r="B358"/>
      <c r="C358"/>
      <c r="D358"/>
      <c r="E358"/>
      <c r="AT358" s="27" t="s">
        <v>7</v>
      </c>
      <c r="AW358" s="27" t="s">
        <v>8</v>
      </c>
      <c r="AX358" s="27" t="s">
        <v>7</v>
      </c>
      <c r="AY358" s="27" t="s">
        <v>8</v>
      </c>
      <c r="AZ358" s="27" t="s">
        <v>7</v>
      </c>
      <c r="BA358" s="27" t="s">
        <v>8</v>
      </c>
      <c r="BD358" s="27" t="s">
        <v>7</v>
      </c>
      <c r="BE358" s="27" t="s">
        <v>8</v>
      </c>
      <c r="BK358" s="31"/>
    </row>
    <row r="359" spans="1:68" x14ac:dyDescent="0.25">
      <c r="A359" s="30">
        <v>3.0093549179518826E-3</v>
      </c>
      <c r="B359"/>
      <c r="C359"/>
      <c r="D359"/>
      <c r="E359"/>
      <c r="AT359" s="27" t="s">
        <v>7</v>
      </c>
      <c r="AW359" s="27" t="s">
        <v>8</v>
      </c>
      <c r="AX359" s="27" t="s">
        <v>7</v>
      </c>
      <c r="AY359" s="27" t="s">
        <v>8</v>
      </c>
      <c r="AZ359" s="27" t="s">
        <v>7</v>
      </c>
      <c r="BD359" s="27" t="s">
        <v>7</v>
      </c>
      <c r="BJ359" s="31"/>
    </row>
    <row r="360" spans="1:68" x14ac:dyDescent="0.25">
      <c r="A360" s="30">
        <v>2.8660523028113155E-3</v>
      </c>
      <c r="B360"/>
      <c r="C360"/>
      <c r="D360"/>
      <c r="E360"/>
      <c r="AT360" s="27" t="s">
        <v>7</v>
      </c>
      <c r="AU360" s="27" t="s">
        <v>8</v>
      </c>
      <c r="AW360" s="27" t="s">
        <v>8</v>
      </c>
      <c r="AX360" s="27" t="s">
        <v>7</v>
      </c>
      <c r="BI360" s="31"/>
    </row>
    <row r="361" spans="1:68" x14ac:dyDescent="0.25">
      <c r="A361" s="30">
        <v>2.7295736217250611E-3</v>
      </c>
      <c r="B361"/>
      <c r="C361"/>
      <c r="D361"/>
      <c r="E361"/>
      <c r="AT361" s="27" t="s">
        <v>7</v>
      </c>
      <c r="AU361" s="27" t="s">
        <v>8</v>
      </c>
      <c r="AV361" s="27" t="s">
        <v>7</v>
      </c>
      <c r="AW361" s="27" t="s">
        <v>8</v>
      </c>
      <c r="BH361" s="31"/>
    </row>
    <row r="362" spans="1:68" x14ac:dyDescent="0.25">
      <c r="A362" s="30">
        <v>2.5995939254524381E-3</v>
      </c>
      <c r="B362"/>
      <c r="C362"/>
      <c r="D362"/>
      <c r="E362"/>
      <c r="AT362" s="27" t="s">
        <v>7</v>
      </c>
      <c r="AU362" s="27" t="s">
        <v>8</v>
      </c>
      <c r="AV362" s="27" t="s">
        <v>7</v>
      </c>
      <c r="AW362" s="27" t="s">
        <v>8</v>
      </c>
      <c r="BG362" s="31"/>
    </row>
    <row r="363" spans="1:68" x14ac:dyDescent="0.25">
      <c r="A363" s="30">
        <v>2.4758037385261304E-3</v>
      </c>
      <c r="B363"/>
      <c r="C363"/>
      <c r="D363"/>
      <c r="E363"/>
      <c r="AT363" s="27" t="s">
        <v>7</v>
      </c>
      <c r="AU363" s="27" t="s">
        <v>8</v>
      </c>
      <c r="AV363" s="27" t="s">
        <v>7</v>
      </c>
      <c r="AW363" s="27" t="s">
        <v>8</v>
      </c>
      <c r="BF363" s="31"/>
    </row>
    <row r="364" spans="1:68" x14ac:dyDescent="0.25">
      <c r="A364" s="30">
        <v>2.3579083224058374E-3</v>
      </c>
      <c r="B364"/>
      <c r="C364"/>
      <c r="D364"/>
      <c r="E364"/>
      <c r="AT364" s="27" t="s">
        <v>7</v>
      </c>
      <c r="AU364" s="27" t="s">
        <v>8</v>
      </c>
      <c r="AV364" s="27" t="s">
        <v>7</v>
      </c>
      <c r="AW364" s="27" t="s">
        <v>8</v>
      </c>
      <c r="BE364" s="31"/>
    </row>
    <row r="365" spans="1:68" x14ac:dyDescent="0.25">
      <c r="A365" s="30">
        <v>2.245626973719844E-3</v>
      </c>
      <c r="B365"/>
      <c r="C365"/>
      <c r="D365"/>
      <c r="E365"/>
      <c r="AT365" s="27" t="s">
        <v>7</v>
      </c>
      <c r="AU365" s="27" t="s">
        <v>8</v>
      </c>
      <c r="AV365" s="27" t="s">
        <v>7</v>
      </c>
      <c r="AW365" s="27" t="s">
        <v>8</v>
      </c>
      <c r="BD365" s="31"/>
    </row>
    <row r="366" spans="1:68" x14ac:dyDescent="0.25">
      <c r="A366" s="30">
        <v>2.1386923559236601E-3</v>
      </c>
      <c r="B366"/>
      <c r="C366"/>
      <c r="D366"/>
      <c r="E366"/>
      <c r="AT366" s="27" t="s">
        <v>7</v>
      </c>
      <c r="AU366" s="27" t="s">
        <v>8</v>
      </c>
      <c r="AV366" s="27" t="s">
        <v>7</v>
      </c>
      <c r="BC366" s="31"/>
    </row>
    <row r="367" spans="1:68" x14ac:dyDescent="0.25">
      <c r="A367" s="30">
        <v>2.0368498627844375E-3</v>
      </c>
      <c r="B367"/>
      <c r="C367"/>
      <c r="D367"/>
      <c r="E367"/>
      <c r="AT367" s="27" t="s">
        <v>7</v>
      </c>
      <c r="AU367" s="27" t="s">
        <v>8</v>
      </c>
      <c r="BB367" s="31"/>
    </row>
    <row r="368" spans="1:68" x14ac:dyDescent="0.25">
      <c r="A368" s="30">
        <v>1.9398570121756541E-3</v>
      </c>
      <c r="B368"/>
      <c r="C368"/>
      <c r="D368"/>
      <c r="E368"/>
      <c r="AT368" s="27" t="s">
        <v>7</v>
      </c>
      <c r="AU368" s="27" t="s">
        <v>8</v>
      </c>
      <c r="BA368" s="31"/>
    </row>
    <row r="369" spans="1:52" x14ac:dyDescent="0.25">
      <c r="A369" s="30">
        <v>1.8474828687387174E-3</v>
      </c>
      <c r="B369"/>
      <c r="C369"/>
      <c r="D369"/>
      <c r="E369"/>
      <c r="AT369" s="27" t="s">
        <v>7</v>
      </c>
      <c r="AU369" s="27" t="s">
        <v>8</v>
      </c>
      <c r="AZ369" s="31"/>
    </row>
    <row r="370" spans="1:52" x14ac:dyDescent="0.25">
      <c r="A370" s="30">
        <v>1.759507494036873E-3</v>
      </c>
      <c r="B370"/>
      <c r="C370"/>
      <c r="D370"/>
      <c r="E370"/>
      <c r="AT370" s="27" t="s">
        <v>7</v>
      </c>
      <c r="AU370" s="27" t="s">
        <v>8</v>
      </c>
      <c r="AY370" s="31"/>
    </row>
    <row r="371" spans="1:52" x14ac:dyDescent="0.25">
      <c r="A371" s="30">
        <v>1.6757214228922594E-3</v>
      </c>
      <c r="B371"/>
      <c r="C371"/>
      <c r="D371"/>
      <c r="E371"/>
      <c r="AT371" s="27" t="s">
        <v>7</v>
      </c>
      <c r="AU371" s="27" t="s">
        <v>8</v>
      </c>
      <c r="AX371" s="31"/>
    </row>
    <row r="372" spans="1:52" x14ac:dyDescent="0.25">
      <c r="A372" s="30">
        <v>1.595925164659294E-3</v>
      </c>
      <c r="B372"/>
      <c r="C372"/>
      <c r="D372"/>
      <c r="E372"/>
      <c r="AT372" s="27" t="s">
        <v>7</v>
      </c>
      <c r="AU372" s="27" t="s">
        <v>8</v>
      </c>
      <c r="AW372" s="31"/>
    </row>
    <row r="373" spans="1:52" x14ac:dyDescent="0.25">
      <c r="A373" s="30">
        <v>1.5199287282469461E-3</v>
      </c>
      <c r="B373"/>
      <c r="C373"/>
      <c r="D373"/>
      <c r="E373"/>
      <c r="AT373" s="27" t="s">
        <v>7</v>
      </c>
      <c r="AU373" s="27" t="s">
        <v>8</v>
      </c>
      <c r="AV373" s="31"/>
    </row>
    <row r="374" spans="1:52" x14ac:dyDescent="0.25">
      <c r="A374" s="30">
        <v>1.4475511697589958E-3</v>
      </c>
      <c r="B374"/>
      <c r="C374"/>
      <c r="D374"/>
      <c r="E374"/>
      <c r="AT374" s="27" t="s">
        <v>7</v>
      </c>
      <c r="AU374" s="31" t="s">
        <v>8</v>
      </c>
    </row>
    <row r="375" spans="1:52" x14ac:dyDescent="0.25">
      <c r="A375" s="30">
        <v>1.3786201616752334E-3</v>
      </c>
      <c r="B375"/>
      <c r="C375"/>
      <c r="D375"/>
      <c r="E375"/>
      <c r="AT375" s="31" t="s">
        <v>7</v>
      </c>
    </row>
    <row r="376" spans="1:52" x14ac:dyDescent="0.25">
      <c r="A376" s="30">
        <v>1.3129715825478407E-3</v>
      </c>
      <c r="B376"/>
      <c r="C376"/>
      <c r="D376"/>
      <c r="E376"/>
    </row>
    <row r="377" spans="1:52" x14ac:dyDescent="0.25">
      <c r="A377" s="30">
        <v>1.2504491262360382E-3</v>
      </c>
      <c r="B377"/>
      <c r="C377"/>
      <c r="D377"/>
      <c r="E377"/>
    </row>
    <row r="378" spans="1:52" x14ac:dyDescent="0.25">
      <c r="A378" s="30">
        <v>1.1909039297486072E-3</v>
      </c>
      <c r="B378"/>
      <c r="C378"/>
      <c r="D378"/>
      <c r="E378"/>
    </row>
    <row r="379" spans="1:52" x14ac:dyDescent="0.25">
      <c r="A379" s="30">
        <v>1.1341942188081969E-3</v>
      </c>
      <c r="B379"/>
      <c r="C379"/>
      <c r="D379"/>
      <c r="E379"/>
    </row>
    <row r="380" spans="1:52" x14ac:dyDescent="0.25">
      <c r="A380" s="30">
        <v>1.0801849702935203E-3</v>
      </c>
      <c r="B380"/>
      <c r="C380"/>
      <c r="D380"/>
      <c r="E380"/>
    </row>
    <row r="381" spans="1:52" x14ac:dyDescent="0.25">
      <c r="A381" s="30">
        <v>1.0287475907557332E-3</v>
      </c>
      <c r="B381"/>
      <c r="C381"/>
      <c r="D381"/>
      <c r="E381"/>
    </row>
    <row r="382" spans="1:52" x14ac:dyDescent="0.25">
      <c r="A382" s="30">
        <v>9.7731021121794646E-4</v>
      </c>
    </row>
    <row r="383" spans="1:52" x14ac:dyDescent="0.25">
      <c r="A383" s="30">
        <v>9.2844470065704904E-4</v>
      </c>
    </row>
    <row r="384" spans="1:52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63" operator="equal">
      <formula>$U$1</formula>
    </cfRule>
    <cfRule type="cellIs" dxfId="67" priority="1464" operator="equal">
      <formula>$S$1</formula>
    </cfRule>
  </conditionalFormatting>
  <conditionalFormatting sqref="D136">
    <cfRule type="cellIs" dxfId="66" priority="1461" operator="equal">
      <formula>$S$1</formula>
    </cfRule>
    <cfRule type="cellIs" dxfId="65" priority="1462" operator="equal">
      <formula>$U$1</formula>
    </cfRule>
  </conditionalFormatting>
  <conditionalFormatting sqref="C162">
    <cfRule type="cellIs" dxfId="64" priority="1459" operator="equal">
      <formula>$U$1</formula>
    </cfRule>
    <cfRule type="cellIs" dxfId="63" priority="1460" operator="equal">
      <formula>$S$1</formula>
    </cfRule>
  </conditionalFormatting>
  <conditionalFormatting sqref="D162">
    <cfRule type="cellIs" dxfId="62" priority="1457" operator="equal">
      <formula>$S$1</formula>
    </cfRule>
    <cfRule type="cellIs" dxfId="61" priority="1458" operator="equal">
      <formula>$U$1</formula>
    </cfRule>
  </conditionalFormatting>
  <conditionalFormatting sqref="C187">
    <cfRule type="cellIs" dxfId="60" priority="1455" operator="equal">
      <formula>$U$1</formula>
    </cfRule>
    <cfRule type="cellIs" dxfId="59" priority="1456" operator="equal">
      <formula>$S$1</formula>
    </cfRule>
  </conditionalFormatting>
  <conditionalFormatting sqref="D187">
    <cfRule type="cellIs" dxfId="58" priority="1453" operator="equal">
      <formula>$S$1</formula>
    </cfRule>
    <cfRule type="cellIs" dxfId="57" priority="1454" operator="equal">
      <formula>$U$1</formula>
    </cfRule>
  </conditionalFormatting>
  <conditionalFormatting sqref="C212">
    <cfRule type="cellIs" dxfId="56" priority="1451" operator="equal">
      <formula>$U$1</formula>
    </cfRule>
    <cfRule type="cellIs" dxfId="55" priority="1452" operator="equal">
      <formula>$S$1</formula>
    </cfRule>
  </conditionalFormatting>
  <conditionalFormatting sqref="D212">
    <cfRule type="cellIs" dxfId="54" priority="1449" operator="equal">
      <formula>$S$1</formula>
    </cfRule>
    <cfRule type="cellIs" dxfId="53" priority="1450" operator="equal">
      <formula>$U$1</formula>
    </cfRule>
  </conditionalFormatting>
  <conditionalFormatting sqref="C237">
    <cfRule type="cellIs" dxfId="52" priority="1447" operator="equal">
      <formula>$U$1</formula>
    </cfRule>
    <cfRule type="cellIs" dxfId="51" priority="1448" operator="equal">
      <formula>$S$1</formula>
    </cfRule>
  </conditionalFormatting>
  <conditionalFormatting sqref="D237">
    <cfRule type="cellIs" dxfId="50" priority="1445" operator="equal">
      <formula>$S$1</formula>
    </cfRule>
    <cfRule type="cellIs" dxfId="49" priority="1446" operator="equal">
      <formula>$U$1</formula>
    </cfRule>
  </conditionalFormatting>
  <conditionalFormatting sqref="C106">
    <cfRule type="cellIs" dxfId="48" priority="1443" operator="equal">
      <formula>$U$1</formula>
    </cfRule>
    <cfRule type="cellIs" dxfId="47" priority="1444" operator="equal">
      <formula>$S$1</formula>
    </cfRule>
  </conditionalFormatting>
  <conditionalFormatting sqref="D106">
    <cfRule type="cellIs" dxfId="46" priority="1441" operator="equal">
      <formula>$S$1</formula>
    </cfRule>
    <cfRule type="cellIs" dxfId="45" priority="1442" operator="equal">
      <formula>$U$1</formula>
    </cfRule>
  </conditionalFormatting>
  <conditionalFormatting sqref="C81">
    <cfRule type="cellIs" dxfId="44" priority="1439" operator="equal">
      <formula>$U$1</formula>
    </cfRule>
    <cfRule type="cellIs" dxfId="43" priority="1440" operator="equal">
      <formula>$S$1</formula>
    </cfRule>
  </conditionalFormatting>
  <conditionalFormatting sqref="D81">
    <cfRule type="cellIs" dxfId="42" priority="1437" operator="equal">
      <formula>$S$1</formula>
    </cfRule>
    <cfRule type="cellIs" dxfId="41" priority="1438" operator="equal">
      <formula>$U$1</formula>
    </cfRule>
  </conditionalFormatting>
  <conditionalFormatting sqref="C56">
    <cfRule type="cellIs" dxfId="40" priority="1435" operator="equal">
      <formula>$U$1</formula>
    </cfRule>
    <cfRule type="cellIs" dxfId="39" priority="1436" operator="equal">
      <formula>$S$1</formula>
    </cfRule>
  </conditionalFormatting>
  <conditionalFormatting sqref="D56">
    <cfRule type="cellIs" dxfId="38" priority="1433" operator="equal">
      <formula>$S$1</formula>
    </cfRule>
    <cfRule type="cellIs" dxfId="37" priority="1434" operator="equal">
      <formula>$U$1</formula>
    </cfRule>
  </conditionalFormatting>
  <conditionalFormatting sqref="C31">
    <cfRule type="cellIs" dxfId="36" priority="1431" operator="equal">
      <formula>$U$1</formula>
    </cfRule>
    <cfRule type="cellIs" dxfId="35" priority="1432" operator="equal">
      <formula>$S$1</formula>
    </cfRule>
  </conditionalFormatting>
  <conditionalFormatting sqref="D31">
    <cfRule type="cellIs" dxfId="34" priority="1429" operator="equal">
      <formula>$S$1</formula>
    </cfRule>
    <cfRule type="cellIs" dxfId="33" priority="143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49" zoomScale="90" zoomScaleNormal="90" workbookViewId="0">
      <pane xSplit="4" topLeftCell="G1" activePane="topRight" state="frozen"/>
      <selection activeCell="A109" sqref="A109"/>
      <selection pane="topRight" activeCell="BJ162" sqref="BJ16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$A$161</v>
      </c>
      <c r="D111" s="1" t="str">
        <f>ADDRESS(C121-1,D121,1,1)</f>
        <v>$BJ$161</v>
      </c>
      <c r="E111"/>
    </row>
    <row r="112" spans="1:5" x14ac:dyDescent="0.25">
      <c r="A112" s="30">
        <v>2.3579476910000019</v>
      </c>
      <c r="C112" s="1" t="str">
        <f>ADDRESS(C121,1,1,1)</f>
        <v>$A$162</v>
      </c>
      <c r="D112" s="1" t="str">
        <f>ADDRESS(C121,D121-1,1,1)</f>
        <v>$BI$162</v>
      </c>
      <c r="E112"/>
    </row>
    <row r="113" spans="1:6" x14ac:dyDescent="0.25">
      <c r="A113" s="30">
        <v>2.1435888100000016</v>
      </c>
      <c r="C113" s="1" t="str">
        <f>ADDRESS(C121+1,1,1,1)</f>
        <v>$A$163</v>
      </c>
      <c r="D113" s="1" t="str">
        <f>ADDRESS(C121-1,D121+1,1,1)</f>
        <v>$BK$161</v>
      </c>
    </row>
    <row r="114" spans="1:6" x14ac:dyDescent="0.25">
      <c r="A114" s="30">
        <v>1.9487171000000014</v>
      </c>
      <c r="C114" s="1" t="str">
        <f>ADDRESS(C121,D121,1,1)</f>
        <v>$BJ$162</v>
      </c>
      <c r="D114" s="1" t="str">
        <f>ADDRESS(C121+1,D121+1,1,1)</f>
        <v>$BK$163</v>
      </c>
    </row>
    <row r="115" spans="1:6" x14ac:dyDescent="0.25">
      <c r="A115" s="30">
        <v>1.7715610000000011</v>
      </c>
      <c r="C115" s="1" t="str">
        <f>ADDRESS(C121+1,D121,1,1)</f>
        <v>$BJ$163</v>
      </c>
    </row>
    <row r="116" spans="1:6" x14ac:dyDescent="0.25">
      <c r="A116" s="30">
        <v>1.6105100000000008</v>
      </c>
      <c r="C116" s="1">
        <f>C117-1</f>
        <v>161</v>
      </c>
    </row>
    <row r="117" spans="1:6" x14ac:dyDescent="0.25">
      <c r="A117" s="30">
        <v>1.4641000000000006</v>
      </c>
      <c r="C117" s="1">
        <f>C121</f>
        <v>162</v>
      </c>
      <c r="D117" s="1">
        <f>D121</f>
        <v>62</v>
      </c>
    </row>
    <row r="118" spans="1:6" x14ac:dyDescent="0.25">
      <c r="A118" s="30">
        <v>1.3310000000000004</v>
      </c>
      <c r="C118" s="1">
        <f>C117+1</f>
        <v>163</v>
      </c>
      <c r="D118" s="1">
        <f>D117+1</f>
        <v>63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162</v>
      </c>
      <c r="D121" s="19">
        <v>62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R162</v>
      </c>
      <c r="D123" s="1" t="str">
        <f>"C"&amp;D121</f>
        <v>C62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2.0086298320163499E-2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62" x14ac:dyDescent="0.25">
      <c r="A145" s="30">
        <v>0.10152559799477026</v>
      </c>
      <c r="B145"/>
      <c r="C145"/>
      <c r="D145"/>
      <c r="E145"/>
      <c r="F145" s="27" t="s">
        <v>7</v>
      </c>
    </row>
    <row r="146" spans="1:62" x14ac:dyDescent="0.25">
      <c r="A146" s="30">
        <v>9.2295998177063854E-2</v>
      </c>
      <c r="B146"/>
      <c r="C146"/>
      <c r="D146"/>
      <c r="E146"/>
      <c r="F146" s="27" t="s">
        <v>7</v>
      </c>
    </row>
    <row r="147" spans="1:62" x14ac:dyDescent="0.25">
      <c r="A147" s="30">
        <v>8.3905452888239848E-2</v>
      </c>
      <c r="B147"/>
      <c r="C147"/>
      <c r="D147"/>
      <c r="E147"/>
      <c r="F147" s="27" t="s">
        <v>7</v>
      </c>
      <c r="AS147" s="27" t="s">
        <v>8</v>
      </c>
      <c r="BE147" s="27" t="s">
        <v>8</v>
      </c>
    </row>
    <row r="148" spans="1:62" x14ac:dyDescent="0.25">
      <c r="A148" s="30">
        <v>7.6277684443854396E-2</v>
      </c>
      <c r="B148"/>
      <c r="C148"/>
      <c r="D148"/>
      <c r="E148"/>
      <c r="F148" s="27" t="s">
        <v>7</v>
      </c>
      <c r="AS148" s="27" t="s">
        <v>8</v>
      </c>
      <c r="AT148" s="27" t="s">
        <v>7</v>
      </c>
      <c r="AU148" s="31" t="s">
        <v>8</v>
      </c>
      <c r="BE148" s="27" t="s">
        <v>8</v>
      </c>
      <c r="BF148" s="27" t="s">
        <v>7</v>
      </c>
    </row>
    <row r="149" spans="1:62" x14ac:dyDescent="0.25">
      <c r="A149" s="30">
        <v>6.9343349494413078E-2</v>
      </c>
      <c r="B149"/>
      <c r="C149"/>
      <c r="D149"/>
      <c r="E149"/>
      <c r="F149" s="27" t="s">
        <v>7</v>
      </c>
      <c r="AM149" s="27" t="s">
        <v>8</v>
      </c>
      <c r="AS149" s="27" t="s">
        <v>8</v>
      </c>
      <c r="AT149" s="27" t="s">
        <v>7</v>
      </c>
      <c r="AU149" s="27" t="s">
        <v>8</v>
      </c>
      <c r="AV149" s="31" t="s">
        <v>7</v>
      </c>
      <c r="BC149" s="27" t="s">
        <v>8</v>
      </c>
      <c r="BE149" s="27" t="s">
        <v>8</v>
      </c>
      <c r="BF149" s="27" t="s">
        <v>7</v>
      </c>
    </row>
    <row r="150" spans="1:62" x14ac:dyDescent="0.25">
      <c r="A150" s="30">
        <v>6.3039408631284613E-2</v>
      </c>
      <c r="B150"/>
      <c r="C150"/>
      <c r="D150"/>
      <c r="E150"/>
      <c r="F150" s="27" t="s">
        <v>7</v>
      </c>
      <c r="AM150" s="27" t="s">
        <v>8</v>
      </c>
      <c r="AN150" s="27" t="s">
        <v>7</v>
      </c>
      <c r="AQ150" s="33" t="s">
        <v>8</v>
      </c>
      <c r="AS150" s="27" t="s">
        <v>8</v>
      </c>
      <c r="AT150" s="27" t="s">
        <v>7</v>
      </c>
      <c r="AU150" s="27" t="s">
        <v>8</v>
      </c>
      <c r="AV150" s="27" t="s">
        <v>7</v>
      </c>
      <c r="AW150" s="31"/>
      <c r="BC150" s="27" t="s">
        <v>8</v>
      </c>
      <c r="BD150" s="27" t="s">
        <v>7</v>
      </c>
      <c r="BE150" s="27" t="s">
        <v>8</v>
      </c>
      <c r="BF150" s="27" t="s">
        <v>7</v>
      </c>
    </row>
    <row r="151" spans="1:62" x14ac:dyDescent="0.25">
      <c r="A151" s="30">
        <v>5.7308553301167818E-2</v>
      </c>
      <c r="B151"/>
      <c r="C151"/>
      <c r="D151"/>
      <c r="E151"/>
      <c r="F151" s="27" t="s">
        <v>7</v>
      </c>
      <c r="AM151" s="27" t="s">
        <v>8</v>
      </c>
      <c r="AN151" s="27" t="s">
        <v>7</v>
      </c>
      <c r="AO151" s="27" t="s">
        <v>8</v>
      </c>
      <c r="AQ151" s="27" t="s">
        <v>8</v>
      </c>
      <c r="AR151" s="27" t="s">
        <v>7</v>
      </c>
      <c r="AS151" s="27" t="s">
        <v>8</v>
      </c>
      <c r="AT151" s="27" t="s">
        <v>7</v>
      </c>
      <c r="AU151" s="27" t="s">
        <v>8</v>
      </c>
      <c r="AV151" s="27" t="s">
        <v>7</v>
      </c>
      <c r="AX151" s="31"/>
      <c r="BC151" s="27" t="s">
        <v>8</v>
      </c>
      <c r="BD151" s="27" t="s">
        <v>7</v>
      </c>
      <c r="BE151" s="27" t="s">
        <v>8</v>
      </c>
      <c r="BF151" s="27" t="s">
        <v>7</v>
      </c>
      <c r="BG151" s="27" t="s">
        <v>8</v>
      </c>
    </row>
    <row r="152" spans="1:62" x14ac:dyDescent="0.25">
      <c r="A152" s="30">
        <v>5.2098684819243464E-2</v>
      </c>
      <c r="B152"/>
      <c r="C152"/>
      <c r="D152"/>
      <c r="E152"/>
      <c r="F152" s="27" t="s">
        <v>7</v>
      </c>
      <c r="AM152" s="27" t="s">
        <v>8</v>
      </c>
      <c r="AN152" s="27" t="s">
        <v>7</v>
      </c>
      <c r="AO152" s="27" t="s">
        <v>8</v>
      </c>
      <c r="AP152" s="27" t="s">
        <v>7</v>
      </c>
      <c r="AQ152" s="27" t="s">
        <v>8</v>
      </c>
      <c r="AR152" s="27" t="s">
        <v>7</v>
      </c>
      <c r="AS152" s="27" t="s">
        <v>8</v>
      </c>
      <c r="AT152" s="27" t="s">
        <v>7</v>
      </c>
      <c r="AU152" s="27" t="s">
        <v>8</v>
      </c>
      <c r="AV152" s="27" t="s">
        <v>7</v>
      </c>
      <c r="AY152" s="31"/>
      <c r="BC152" s="27" t="s">
        <v>8</v>
      </c>
      <c r="BD152" s="27" t="s">
        <v>7</v>
      </c>
      <c r="BE152" s="27" t="s">
        <v>8</v>
      </c>
      <c r="BF152" s="27" t="s">
        <v>7</v>
      </c>
      <c r="BG152" s="27" t="s">
        <v>8</v>
      </c>
      <c r="BH152" s="27" t="s">
        <v>7</v>
      </c>
    </row>
    <row r="153" spans="1:62" x14ac:dyDescent="0.25">
      <c r="A153" s="30">
        <v>4.7362440744766775E-2</v>
      </c>
      <c r="B153"/>
      <c r="C153"/>
      <c r="D153"/>
      <c r="E153"/>
      <c r="F153" s="27" t="s">
        <v>7</v>
      </c>
      <c r="AM153" s="27" t="s">
        <v>8</v>
      </c>
      <c r="AN153" s="27" t="s">
        <v>7</v>
      </c>
      <c r="AO153" s="27" t="s">
        <v>8</v>
      </c>
      <c r="AP153" s="27" t="s">
        <v>7</v>
      </c>
      <c r="AQ153" s="27" t="s">
        <v>8</v>
      </c>
      <c r="AR153" s="27" t="s">
        <v>7</v>
      </c>
      <c r="AS153" s="27" t="s">
        <v>8</v>
      </c>
      <c r="AT153" s="27" t="s">
        <v>7</v>
      </c>
      <c r="AU153" s="27" t="s">
        <v>8</v>
      </c>
      <c r="AV153" s="27" t="s">
        <v>7</v>
      </c>
      <c r="AZ153" s="31"/>
      <c r="BC153" s="27" t="s">
        <v>8</v>
      </c>
      <c r="BD153" s="27" t="s">
        <v>7</v>
      </c>
      <c r="BF153" s="27" t="s">
        <v>7</v>
      </c>
      <c r="BG153" s="27" t="s">
        <v>8</v>
      </c>
      <c r="BH153" s="27" t="s">
        <v>7</v>
      </c>
    </row>
    <row r="154" spans="1:62" x14ac:dyDescent="0.25">
      <c r="A154" s="30">
        <v>4.3056764313424332E-2</v>
      </c>
      <c r="B154"/>
      <c r="C154"/>
      <c r="D154"/>
      <c r="E154"/>
      <c r="F154" s="27" t="s">
        <v>7</v>
      </c>
      <c r="AM154" s="27" t="s">
        <v>8</v>
      </c>
      <c r="AN154" s="27" t="s">
        <v>7</v>
      </c>
      <c r="AO154" s="27" t="s">
        <v>8</v>
      </c>
      <c r="AP154" s="27" t="s">
        <v>7</v>
      </c>
      <c r="AQ154" s="27" t="s">
        <v>8</v>
      </c>
      <c r="AR154" s="27" t="s">
        <v>7</v>
      </c>
      <c r="AT154" s="27" t="s">
        <v>7</v>
      </c>
      <c r="AU154" s="27" t="s">
        <v>8</v>
      </c>
      <c r="AV154" s="27" t="s">
        <v>7</v>
      </c>
      <c r="AW154" s="27" t="s">
        <v>8</v>
      </c>
      <c r="BA154" s="31"/>
      <c r="BC154" s="27" t="s">
        <v>8</v>
      </c>
      <c r="BF154" s="27" t="s">
        <v>7</v>
      </c>
      <c r="BH154" s="27" t="s">
        <v>7</v>
      </c>
    </row>
    <row r="155" spans="1:62" x14ac:dyDescent="0.25">
      <c r="A155" s="30">
        <v>3.9142513012203929E-2</v>
      </c>
      <c r="B155"/>
      <c r="C155"/>
      <c r="D155"/>
      <c r="E155"/>
      <c r="F155" s="27" t="s">
        <v>7</v>
      </c>
      <c r="AM155" s="27" t="s">
        <v>8</v>
      </c>
      <c r="AN155" s="27" t="s">
        <v>7</v>
      </c>
      <c r="AO155" s="27" t="s">
        <v>8</v>
      </c>
      <c r="AP155" s="27" t="s">
        <v>7</v>
      </c>
      <c r="AQ155" s="27" t="s">
        <v>8</v>
      </c>
      <c r="AT155" s="34" t="s">
        <v>7</v>
      </c>
      <c r="AV155" s="27" t="s">
        <v>7</v>
      </c>
      <c r="AW155" s="27" t="s">
        <v>8</v>
      </c>
      <c r="AX155" s="27" t="s">
        <v>7</v>
      </c>
      <c r="BB155" s="31"/>
      <c r="BC155" s="27" t="s">
        <v>8</v>
      </c>
      <c r="BH155" s="27" t="s">
        <v>7</v>
      </c>
    </row>
    <row r="156" spans="1:62" x14ac:dyDescent="0.25">
      <c r="A156" s="30">
        <v>3.55841027383672E-2</v>
      </c>
      <c r="B156"/>
      <c r="C156"/>
      <c r="D156"/>
      <c r="E156"/>
      <c r="F156" s="27" t="s">
        <v>7</v>
      </c>
      <c r="AK156" s="27" t="s">
        <v>8</v>
      </c>
      <c r="AM156" s="27" t="s">
        <v>8</v>
      </c>
      <c r="AN156" s="27" t="s">
        <v>7</v>
      </c>
      <c r="AP156" s="27" t="s">
        <v>7</v>
      </c>
      <c r="AQ156" s="27" t="s">
        <v>8</v>
      </c>
      <c r="AV156" s="27" t="s">
        <v>7</v>
      </c>
      <c r="AW156" s="27" t="s">
        <v>8</v>
      </c>
      <c r="AX156" s="27" t="s">
        <v>7</v>
      </c>
      <c r="AY156" s="27" t="s">
        <v>8</v>
      </c>
      <c r="BC156" s="31" t="s">
        <v>8</v>
      </c>
      <c r="BH156" s="27" t="s">
        <v>7</v>
      </c>
      <c r="BI156" s="27" t="s">
        <v>8</v>
      </c>
    </row>
    <row r="157" spans="1:62" x14ac:dyDescent="0.25">
      <c r="A157" s="30">
        <v>3.2349184307606541E-2</v>
      </c>
      <c r="B157"/>
      <c r="C157"/>
      <c r="D157"/>
      <c r="E157"/>
      <c r="F157" s="27" t="s">
        <v>7</v>
      </c>
      <c r="AK157" s="27" t="s">
        <v>8</v>
      </c>
      <c r="AL157" s="27" t="s">
        <v>7</v>
      </c>
      <c r="AM157" s="27" t="s">
        <v>8</v>
      </c>
      <c r="AP157" s="34" t="s">
        <v>7</v>
      </c>
      <c r="AV157" s="27" t="s">
        <v>7</v>
      </c>
      <c r="AW157" s="27" t="s">
        <v>8</v>
      </c>
      <c r="AX157" s="27" t="s">
        <v>7</v>
      </c>
      <c r="AY157" s="27" t="s">
        <v>8</v>
      </c>
      <c r="AZ157" s="27" t="s">
        <v>7</v>
      </c>
      <c r="BC157" s="27" t="s">
        <v>8</v>
      </c>
      <c r="BD157" s="19"/>
      <c r="BH157" s="27" t="s">
        <v>7</v>
      </c>
      <c r="BI157" s="27" t="s">
        <v>8</v>
      </c>
      <c r="BJ157" s="27" t="s">
        <v>7</v>
      </c>
    </row>
    <row r="158" spans="1:62" x14ac:dyDescent="0.25">
      <c r="A158" s="30">
        <v>2.9408349370551395E-2</v>
      </c>
      <c r="B158"/>
      <c r="C158"/>
      <c r="D158"/>
      <c r="E158"/>
      <c r="F158" s="27" t="s">
        <v>7</v>
      </c>
      <c r="AK158" s="27" t="s">
        <v>8</v>
      </c>
      <c r="AL158" s="27" t="s">
        <v>7</v>
      </c>
      <c r="AM158" s="27" t="s">
        <v>8</v>
      </c>
      <c r="AV158" s="27" t="s">
        <v>7</v>
      </c>
      <c r="AW158" s="27" t="s">
        <v>8</v>
      </c>
      <c r="AX158" s="27" t="s">
        <v>7</v>
      </c>
      <c r="AY158" s="27" t="s">
        <v>8</v>
      </c>
      <c r="AZ158" s="27" t="s">
        <v>7</v>
      </c>
      <c r="BC158" s="27" t="s">
        <v>8</v>
      </c>
      <c r="BE158" s="19"/>
      <c r="BH158" s="27" t="s">
        <v>7</v>
      </c>
      <c r="BI158" s="27" t="s">
        <v>8</v>
      </c>
      <c r="BJ158" s="27" t="s">
        <v>7</v>
      </c>
    </row>
    <row r="159" spans="1:62" x14ac:dyDescent="0.25">
      <c r="A159" s="30">
        <v>2.6734863064137627E-2</v>
      </c>
      <c r="B159"/>
      <c r="C159"/>
      <c r="D159"/>
      <c r="E159"/>
      <c r="F159" s="27" t="s">
        <v>7</v>
      </c>
      <c r="AI159" s="27" t="s">
        <v>8</v>
      </c>
      <c r="AK159" s="27" t="s">
        <v>8</v>
      </c>
      <c r="AL159" s="27" t="s">
        <v>7</v>
      </c>
      <c r="AV159" s="27" t="s">
        <v>7</v>
      </c>
      <c r="AW159" s="27" t="s">
        <v>8</v>
      </c>
      <c r="AX159" s="27" t="s">
        <v>7</v>
      </c>
      <c r="AY159" s="27" t="s">
        <v>8</v>
      </c>
      <c r="AZ159" s="27" t="s">
        <v>7</v>
      </c>
      <c r="BC159" s="27" t="s">
        <v>8</v>
      </c>
      <c r="BF159" s="19"/>
      <c r="BH159" s="27" t="s">
        <v>7</v>
      </c>
      <c r="BI159" s="27" t="s">
        <v>8</v>
      </c>
      <c r="BJ159" s="27" t="s">
        <v>7</v>
      </c>
    </row>
    <row r="160" spans="1:62" x14ac:dyDescent="0.25">
      <c r="A160" s="30">
        <v>2.4304420967397839E-2</v>
      </c>
      <c r="B160"/>
      <c r="C160"/>
      <c r="D160"/>
      <c r="E160"/>
      <c r="F160" s="27" t="s">
        <v>7</v>
      </c>
      <c r="AI160" s="27" t="s">
        <v>8</v>
      </c>
      <c r="AJ160" s="27" t="s">
        <v>7</v>
      </c>
      <c r="AK160" s="27" t="s">
        <v>8</v>
      </c>
      <c r="AV160" s="27" t="s">
        <v>7</v>
      </c>
      <c r="AW160" s="27" t="s">
        <v>8</v>
      </c>
      <c r="AX160" s="27" t="s">
        <v>7</v>
      </c>
      <c r="AY160" s="27" t="s">
        <v>8</v>
      </c>
      <c r="AZ160" s="27" t="s">
        <v>7</v>
      </c>
      <c r="BA160" s="27" t="s">
        <v>8</v>
      </c>
      <c r="BC160" s="27" t="s">
        <v>8</v>
      </c>
      <c r="BF160" s="31"/>
      <c r="BH160" s="27" t="s">
        <v>7</v>
      </c>
      <c r="BJ160" s="27" t="s">
        <v>7</v>
      </c>
    </row>
    <row r="161" spans="1:62" x14ac:dyDescent="0.25">
      <c r="A161" s="30">
        <v>2.2094928152179852E-2</v>
      </c>
      <c r="B161"/>
      <c r="C161"/>
      <c r="D161"/>
      <c r="E161"/>
      <c r="F161" s="27" t="s">
        <v>7</v>
      </c>
      <c r="AI161" s="27" t="s">
        <v>8</v>
      </c>
      <c r="AJ161" s="27" t="s">
        <v>7</v>
      </c>
      <c r="AK161" s="27" t="s">
        <v>8</v>
      </c>
      <c r="AV161" s="27" t="s">
        <v>7</v>
      </c>
      <c r="AW161" s="31" t="s">
        <v>8</v>
      </c>
      <c r="AX161" s="27" t="s">
        <v>7</v>
      </c>
      <c r="AZ161" s="27" t="s">
        <v>7</v>
      </c>
      <c r="BA161" s="27" t="s">
        <v>8</v>
      </c>
      <c r="BB161" s="27" t="s">
        <v>7</v>
      </c>
      <c r="BC161" s="27" t="s">
        <v>8</v>
      </c>
      <c r="BE161" s="31"/>
      <c r="BJ161" s="27" t="s">
        <v>7</v>
      </c>
    </row>
    <row r="162" spans="1:62" x14ac:dyDescent="0.25">
      <c r="A162" s="30">
        <v>2.0086298320163499E-2</v>
      </c>
      <c r="B162"/>
      <c r="C162"/>
      <c r="D162"/>
      <c r="E162"/>
      <c r="F162" s="27" t="s">
        <v>7</v>
      </c>
      <c r="AI162" s="27" t="s">
        <v>8</v>
      </c>
      <c r="AJ162" s="27" t="s">
        <v>7</v>
      </c>
      <c r="AK162" s="27" t="s">
        <v>8</v>
      </c>
      <c r="AV162" s="31" t="s">
        <v>7</v>
      </c>
      <c r="AZ162" s="27" t="s">
        <v>7</v>
      </c>
      <c r="BA162" s="27" t="s">
        <v>8</v>
      </c>
      <c r="BB162" s="27" t="s">
        <v>7</v>
      </c>
      <c r="BC162" s="27" t="s">
        <v>8</v>
      </c>
      <c r="BD162" s="31"/>
      <c r="BJ162" s="27" t="s">
        <v>7</v>
      </c>
    </row>
    <row r="163" spans="1:62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  <c r="AI163" s="27" t="s">
        <v>8</v>
      </c>
      <c r="AJ163" s="27" t="s">
        <v>7</v>
      </c>
      <c r="AK163" s="27" t="s">
        <v>8</v>
      </c>
      <c r="AU163" s="31"/>
      <c r="AZ163" s="27" t="s">
        <v>7</v>
      </c>
      <c r="BA163" s="27" t="s">
        <v>8</v>
      </c>
      <c r="BB163" s="18" t="s">
        <v>7</v>
      </c>
      <c r="BC163" s="31" t="s">
        <v>8</v>
      </c>
    </row>
    <row r="164" spans="1:62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H164" s="27" t="s">
        <v>7</v>
      </c>
      <c r="AI164" s="27" t="s">
        <v>8</v>
      </c>
      <c r="AJ164" s="27" t="s">
        <v>7</v>
      </c>
      <c r="AK164" s="27" t="s">
        <v>8</v>
      </c>
      <c r="AT164" s="31"/>
      <c r="AZ164" s="27" t="s">
        <v>7</v>
      </c>
      <c r="BA164" s="27" t="s">
        <v>8</v>
      </c>
      <c r="BB164" s="31" t="s">
        <v>7</v>
      </c>
    </row>
    <row r="165" spans="1:62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H165" s="27" t="s">
        <v>7</v>
      </c>
      <c r="I165" s="27" t="s">
        <v>8</v>
      </c>
      <c r="K165" s="27" t="s">
        <v>8</v>
      </c>
      <c r="AI165" s="27" t="s">
        <v>8</v>
      </c>
      <c r="AJ165" s="27" t="s">
        <v>7</v>
      </c>
      <c r="AK165" s="27" t="s">
        <v>8</v>
      </c>
      <c r="AS165" s="31"/>
      <c r="AZ165" s="27" t="s">
        <v>7</v>
      </c>
    </row>
    <row r="166" spans="1:62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I166" s="27" t="s">
        <v>8</v>
      </c>
      <c r="J166" s="27" t="s">
        <v>7</v>
      </c>
      <c r="K166" s="27" t="s">
        <v>8</v>
      </c>
      <c r="L166" s="27" t="s">
        <v>7</v>
      </c>
      <c r="AI166" s="27" t="s">
        <v>8</v>
      </c>
      <c r="AJ166" s="27" t="s">
        <v>7</v>
      </c>
      <c r="AR166" s="31"/>
    </row>
    <row r="167" spans="1:62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  <c r="AG167" s="27" t="s">
        <v>8</v>
      </c>
      <c r="AI167" s="27" t="s">
        <v>8</v>
      </c>
      <c r="AQ167" s="31"/>
    </row>
    <row r="168" spans="1:62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I168" s="27" t="s">
        <v>8</v>
      </c>
      <c r="J168" s="27" t="s">
        <v>7</v>
      </c>
      <c r="K168" s="27" t="s">
        <v>8</v>
      </c>
      <c r="L168" s="27" t="s">
        <v>7</v>
      </c>
      <c r="M168" s="27" t="s">
        <v>8</v>
      </c>
      <c r="AG168" s="27" t="s">
        <v>8</v>
      </c>
      <c r="AH168" s="27" t="s">
        <v>7</v>
      </c>
      <c r="AI168" s="27" t="s">
        <v>8</v>
      </c>
      <c r="AP168" s="31"/>
    </row>
    <row r="169" spans="1:62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J169" s="27" t="s">
        <v>7</v>
      </c>
      <c r="L169" s="27" t="s">
        <v>7</v>
      </c>
      <c r="M169" s="27" t="s">
        <v>8</v>
      </c>
      <c r="N169" s="27" t="s">
        <v>7</v>
      </c>
      <c r="AG169" s="27" t="s">
        <v>8</v>
      </c>
      <c r="AH169" s="27" t="s">
        <v>7</v>
      </c>
      <c r="AI169" s="27" t="s">
        <v>8</v>
      </c>
      <c r="AO169" s="31"/>
    </row>
    <row r="170" spans="1:62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  <c r="L170" s="27" t="s">
        <v>7</v>
      </c>
      <c r="M170" s="27" t="s">
        <v>8</v>
      </c>
      <c r="N170" s="27" t="s">
        <v>7</v>
      </c>
      <c r="AG170" s="27" t="s">
        <v>8</v>
      </c>
      <c r="AH170" s="27" t="s">
        <v>7</v>
      </c>
      <c r="AI170" s="27" t="s">
        <v>8</v>
      </c>
      <c r="AN170" s="31"/>
    </row>
    <row r="171" spans="1:62" x14ac:dyDescent="0.25">
      <c r="A171" s="30">
        <v>8.5185512795005747E-3</v>
      </c>
      <c r="F171" s="27" t="s">
        <v>7</v>
      </c>
      <c r="L171" s="27" t="s">
        <v>7</v>
      </c>
      <c r="M171" s="27" t="s">
        <v>8</v>
      </c>
      <c r="N171" s="27" t="s">
        <v>7</v>
      </c>
      <c r="AC171" s="27" t="s">
        <v>8</v>
      </c>
      <c r="AG171" s="27" t="s">
        <v>8</v>
      </c>
      <c r="AH171" s="27" t="s">
        <v>7</v>
      </c>
      <c r="AM171" s="31"/>
    </row>
    <row r="172" spans="1:62" x14ac:dyDescent="0.25">
      <c r="A172" s="30">
        <v>7.744137526818704E-3</v>
      </c>
      <c r="L172" s="27" t="s">
        <v>7</v>
      </c>
      <c r="M172" s="27" t="s">
        <v>8</v>
      </c>
      <c r="N172" s="27" t="s">
        <v>7</v>
      </c>
      <c r="Q172" s="32" t="s">
        <v>8</v>
      </c>
      <c r="S172" s="32" t="s">
        <v>8</v>
      </c>
      <c r="AA172" s="33" t="s">
        <v>8</v>
      </c>
      <c r="AC172" s="27" t="s">
        <v>8</v>
      </c>
      <c r="AD172" s="27" t="s">
        <v>7</v>
      </c>
      <c r="AG172" s="27" t="s">
        <v>8</v>
      </c>
      <c r="AL172" s="31"/>
    </row>
    <row r="173" spans="1:62" x14ac:dyDescent="0.25">
      <c r="A173" s="30">
        <v>7.0401250243806394E-3</v>
      </c>
      <c r="L173" s="27" t="s">
        <v>7</v>
      </c>
      <c r="M173" s="27" t="s">
        <v>8</v>
      </c>
      <c r="N173" s="27" t="s">
        <v>7</v>
      </c>
      <c r="O173" s="27" t="s">
        <v>8</v>
      </c>
      <c r="Q173" s="27" t="s">
        <v>8</v>
      </c>
      <c r="R173" s="27" t="s">
        <v>7</v>
      </c>
      <c r="S173" s="27" t="s">
        <v>8</v>
      </c>
      <c r="T173" s="27" t="s">
        <v>7</v>
      </c>
      <c r="W173" s="32" t="s">
        <v>8</v>
      </c>
      <c r="Y173" s="32" t="s">
        <v>8</v>
      </c>
      <c r="AA173" s="27" t="s">
        <v>8</v>
      </c>
      <c r="AB173" s="27" t="s">
        <v>7</v>
      </c>
      <c r="AC173" s="27" t="s">
        <v>8</v>
      </c>
      <c r="AD173" s="27" t="s">
        <v>7</v>
      </c>
      <c r="AG173" s="33" t="s">
        <v>8</v>
      </c>
      <c r="AK173" s="31"/>
    </row>
    <row r="174" spans="1:62" x14ac:dyDescent="0.25">
      <c r="A174" s="30">
        <v>6.4001136585278536E-3</v>
      </c>
      <c r="L174" s="27" t="s">
        <v>7</v>
      </c>
      <c r="N174" s="27" t="s">
        <v>7</v>
      </c>
      <c r="O174" s="27" t="s">
        <v>8</v>
      </c>
      <c r="P174" s="27" t="s">
        <v>7</v>
      </c>
      <c r="Q174" s="27" t="s">
        <v>8</v>
      </c>
      <c r="R174" s="27" t="s">
        <v>7</v>
      </c>
      <c r="S174" s="27" t="s">
        <v>8</v>
      </c>
      <c r="T174" s="27" t="s">
        <v>7</v>
      </c>
      <c r="W174" s="27" t="s">
        <v>8</v>
      </c>
      <c r="X174" s="27" t="s">
        <v>7</v>
      </c>
      <c r="Y174" s="27" t="s">
        <v>8</v>
      </c>
      <c r="Z174" s="27" t="s">
        <v>7</v>
      </c>
      <c r="AA174" s="27" t="s">
        <v>8</v>
      </c>
      <c r="AB174" s="27" t="s">
        <v>7</v>
      </c>
      <c r="AC174" s="27" t="s">
        <v>8</v>
      </c>
      <c r="AD174" s="27" t="s">
        <v>7</v>
      </c>
      <c r="AE174" s="27" t="s">
        <v>8</v>
      </c>
      <c r="AG174" s="27" t="s">
        <v>8</v>
      </c>
      <c r="AJ174" s="31"/>
    </row>
    <row r="175" spans="1:62" x14ac:dyDescent="0.25">
      <c r="A175" s="30">
        <v>5.8182851441162305E-3</v>
      </c>
      <c r="N175" s="27" t="s">
        <v>7</v>
      </c>
      <c r="O175" s="27" t="s">
        <v>8</v>
      </c>
      <c r="P175" s="27" t="s">
        <v>7</v>
      </c>
      <c r="Q175" s="27" t="s">
        <v>8</v>
      </c>
      <c r="R175" s="27" t="s">
        <v>7</v>
      </c>
      <c r="S175" s="27" t="s">
        <v>8</v>
      </c>
      <c r="T175" s="27" t="s">
        <v>7</v>
      </c>
      <c r="W175" s="27" t="s">
        <v>8</v>
      </c>
      <c r="X175" s="27" t="s">
        <v>7</v>
      </c>
      <c r="Y175" s="27" t="s">
        <v>8</v>
      </c>
      <c r="Z175" s="27" t="s">
        <v>7</v>
      </c>
      <c r="AA175" s="27" t="s">
        <v>8</v>
      </c>
      <c r="AB175" s="27" t="s">
        <v>7</v>
      </c>
      <c r="AC175" s="27" t="s">
        <v>8</v>
      </c>
      <c r="AD175" s="27" t="s">
        <v>7</v>
      </c>
      <c r="AE175" s="27" t="s">
        <v>8</v>
      </c>
      <c r="AF175" s="27" t="s">
        <v>7</v>
      </c>
      <c r="AG175" s="27" t="s">
        <v>8</v>
      </c>
      <c r="AI175" s="31"/>
    </row>
    <row r="176" spans="1:62" x14ac:dyDescent="0.25">
      <c r="A176" s="30">
        <v>5.2893501310147546E-3</v>
      </c>
      <c r="N176" s="27" t="s">
        <v>7</v>
      </c>
      <c r="O176" s="27" t="s">
        <v>8</v>
      </c>
      <c r="P176" s="27" t="s">
        <v>7</v>
      </c>
      <c r="R176" s="27" t="s">
        <v>7</v>
      </c>
      <c r="S176" s="27" t="s">
        <v>8</v>
      </c>
      <c r="T176" s="27" t="s">
        <v>7</v>
      </c>
      <c r="W176" s="27" t="s">
        <v>8</v>
      </c>
      <c r="X176" s="27" t="s">
        <v>7</v>
      </c>
      <c r="Z176" s="27" t="s">
        <v>7</v>
      </c>
      <c r="AA176" s="27" t="s">
        <v>8</v>
      </c>
      <c r="AB176" s="27" t="s">
        <v>7</v>
      </c>
      <c r="AC176" s="27" t="s">
        <v>8</v>
      </c>
      <c r="AD176" s="27" t="s">
        <v>7</v>
      </c>
      <c r="AE176" s="27" t="s">
        <v>8</v>
      </c>
      <c r="AF176" s="27" t="s">
        <v>7</v>
      </c>
      <c r="AG176" s="27" t="s">
        <v>8</v>
      </c>
      <c r="AH176" s="31"/>
    </row>
    <row r="177" spans="1:33" x14ac:dyDescent="0.25">
      <c r="A177" s="30">
        <v>4.8085001191043222E-3</v>
      </c>
      <c r="N177" s="27" t="s">
        <v>7</v>
      </c>
      <c r="O177" s="27" t="s">
        <v>8</v>
      </c>
      <c r="R177" s="27" t="s">
        <v>7</v>
      </c>
      <c r="S177" s="27" t="s">
        <v>8</v>
      </c>
      <c r="T177" s="27" t="s">
        <v>7</v>
      </c>
      <c r="W177" s="27" t="s">
        <v>8</v>
      </c>
      <c r="Z177" s="34" t="s">
        <v>7</v>
      </c>
      <c r="AB177" s="27" t="s">
        <v>7</v>
      </c>
      <c r="AD177" s="27" t="s">
        <v>7</v>
      </c>
      <c r="AE177" s="27" t="s">
        <v>8</v>
      </c>
      <c r="AF177" s="27" t="s">
        <v>7</v>
      </c>
      <c r="AG177" s="31"/>
    </row>
    <row r="178" spans="1:33" x14ac:dyDescent="0.25">
      <c r="A178" s="30">
        <v>4.3713637446402926E-3</v>
      </c>
      <c r="N178" s="27" t="s">
        <v>7</v>
      </c>
      <c r="O178" s="27" t="s">
        <v>8</v>
      </c>
      <c r="R178" s="27" t="s">
        <v>7</v>
      </c>
      <c r="T178" s="27" t="s">
        <v>7</v>
      </c>
      <c r="W178" s="33" t="s">
        <v>8</v>
      </c>
      <c r="AD178" s="34" t="s">
        <v>7</v>
      </c>
      <c r="AE178" s="27" t="s">
        <v>8</v>
      </c>
      <c r="AF178" s="31"/>
    </row>
    <row r="179" spans="1:33" x14ac:dyDescent="0.25">
      <c r="A179" s="30">
        <v>3.9739670405820838E-3</v>
      </c>
      <c r="N179" s="27" t="s">
        <v>7</v>
      </c>
      <c r="T179" s="27" t="s">
        <v>7</v>
      </c>
      <c r="U179" s="27" t="s">
        <v>8</v>
      </c>
      <c r="W179" s="27" t="s">
        <v>8</v>
      </c>
      <c r="AD179" s="27" t="s">
        <v>7</v>
      </c>
      <c r="AE179" s="31"/>
    </row>
    <row r="180" spans="1:33" x14ac:dyDescent="0.25">
      <c r="A180" s="30">
        <v>3.6126973096200759E-3</v>
      </c>
      <c r="T180" s="27" t="s">
        <v>7</v>
      </c>
      <c r="U180" s="27" t="s">
        <v>8</v>
      </c>
      <c r="V180" s="27" t="s">
        <v>7</v>
      </c>
      <c r="W180" s="27" t="s">
        <v>8</v>
      </c>
      <c r="AD180" s="31"/>
    </row>
    <row r="181" spans="1:33" x14ac:dyDescent="0.25">
      <c r="A181" s="30">
        <v>3.2842702814727962E-3</v>
      </c>
      <c r="T181" s="27" t="s">
        <v>7</v>
      </c>
      <c r="U181" s="27" t="s">
        <v>8</v>
      </c>
      <c r="V181" s="27" t="s">
        <v>7</v>
      </c>
      <c r="W181" s="27" t="s">
        <v>8</v>
      </c>
      <c r="AC181" s="31"/>
    </row>
    <row r="182" spans="1:33" x14ac:dyDescent="0.25">
      <c r="A182" s="30">
        <v>2.9857002558843601E-3</v>
      </c>
      <c r="T182" s="27" t="s">
        <v>7</v>
      </c>
      <c r="U182" s="27" t="s">
        <v>8</v>
      </c>
      <c r="V182" s="27" t="s">
        <v>7</v>
      </c>
      <c r="AB182" s="31"/>
    </row>
    <row r="183" spans="1:33" x14ac:dyDescent="0.25">
      <c r="A183" s="30">
        <v>2.7142729598948726E-3</v>
      </c>
      <c r="T183" s="27" t="s">
        <v>7</v>
      </c>
      <c r="U183" s="27" t="s">
        <v>8</v>
      </c>
      <c r="AA183" s="31"/>
    </row>
    <row r="184" spans="1:33" x14ac:dyDescent="0.25">
      <c r="A184" s="30">
        <v>2.4675208726317021E-3</v>
      </c>
      <c r="T184" s="27" t="s">
        <v>7</v>
      </c>
      <c r="U184" s="27" t="s">
        <v>8</v>
      </c>
      <c r="Z184" s="31"/>
    </row>
    <row r="185" spans="1:33" x14ac:dyDescent="0.25">
      <c r="A185" s="30">
        <v>2.2432007933015472E-3</v>
      </c>
      <c r="T185" s="27" t="s">
        <v>7</v>
      </c>
      <c r="U185" s="27" t="s">
        <v>8</v>
      </c>
      <c r="Y185" s="31"/>
    </row>
    <row r="186" spans="1:33" x14ac:dyDescent="0.25">
      <c r="A186" s="30">
        <v>2.0392734484559519E-3</v>
      </c>
      <c r="T186" s="27" t="s">
        <v>7</v>
      </c>
      <c r="U186" s="27" t="s">
        <v>8</v>
      </c>
      <c r="X186" s="31"/>
    </row>
    <row r="187" spans="1:33" x14ac:dyDescent="0.25">
      <c r="A187" s="30">
        <v>1.8538849531417744E-3</v>
      </c>
      <c r="T187" s="27" t="s">
        <v>7</v>
      </c>
      <c r="U187" s="27" t="s">
        <v>8</v>
      </c>
      <c r="W187" s="31"/>
    </row>
    <row r="188" spans="1:33" x14ac:dyDescent="0.25">
      <c r="A188" s="30">
        <v>1.6853499574016129E-3</v>
      </c>
      <c r="T188" s="27" t="s">
        <v>7</v>
      </c>
      <c r="U188" s="27" t="s">
        <v>8</v>
      </c>
      <c r="V188" s="31"/>
    </row>
    <row r="189" spans="1:33" x14ac:dyDescent="0.25">
      <c r="A189" s="30">
        <v>1.5321363249105571E-3</v>
      </c>
      <c r="T189" s="27" t="s">
        <v>7</v>
      </c>
      <c r="U189" s="31" t="s">
        <v>8</v>
      </c>
    </row>
    <row r="190" spans="1:33" x14ac:dyDescent="0.25">
      <c r="A190" s="30">
        <v>1.3928512044641427E-3</v>
      </c>
      <c r="T190" s="31" t="s">
        <v>7</v>
      </c>
    </row>
    <row r="191" spans="1:33" x14ac:dyDescent="0.25">
      <c r="A191" s="30">
        <v>1.2662283676946752E-3</v>
      </c>
    </row>
    <row r="192" spans="1:33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47" operator="equal">
      <formula>$U$1</formula>
    </cfRule>
    <cfRule type="cellIs" dxfId="30" priority="1448" operator="equal">
      <formula>$S$1</formula>
    </cfRule>
  </conditionalFormatting>
  <conditionalFormatting sqref="D136">
    <cfRule type="cellIs" dxfId="29" priority="1445" operator="equal">
      <formula>$S$1</formula>
    </cfRule>
    <cfRule type="cellIs" dxfId="28" priority="1446" operator="equal">
      <formula>$U$1</formula>
    </cfRule>
  </conditionalFormatting>
  <conditionalFormatting sqref="C102">
    <cfRule type="cellIs" dxfId="27" priority="1443" operator="equal">
      <formula>$U$1</formula>
    </cfRule>
    <cfRule type="cellIs" dxfId="26" priority="1444" operator="equal">
      <formula>$S$1</formula>
    </cfRule>
  </conditionalFormatting>
  <conditionalFormatting sqref="D102">
    <cfRule type="cellIs" dxfId="25" priority="1441" operator="equal">
      <formula>$S$1</formula>
    </cfRule>
    <cfRule type="cellIs" dxfId="24" priority="1442" operator="equal">
      <formula>$U$1</formula>
    </cfRule>
  </conditionalFormatting>
  <conditionalFormatting sqref="C77">
    <cfRule type="cellIs" dxfId="23" priority="1439" operator="equal">
      <formula>$U$1</formula>
    </cfRule>
    <cfRule type="cellIs" dxfId="22" priority="1440" operator="equal">
      <formula>$S$1</formula>
    </cfRule>
  </conditionalFormatting>
  <conditionalFormatting sqref="D77">
    <cfRule type="cellIs" dxfId="21" priority="1437" operator="equal">
      <formula>$S$1</formula>
    </cfRule>
    <cfRule type="cellIs" dxfId="20" priority="1438" operator="equal">
      <formula>$U$1</formula>
    </cfRule>
  </conditionalFormatting>
  <conditionalFormatting sqref="C52">
    <cfRule type="cellIs" dxfId="19" priority="1435" operator="equal">
      <formula>$U$1</formula>
    </cfRule>
    <cfRule type="cellIs" dxfId="18" priority="1436" operator="equal">
      <formula>$S$1</formula>
    </cfRule>
  </conditionalFormatting>
  <conditionalFormatting sqref="D52">
    <cfRule type="cellIs" dxfId="17" priority="1433" operator="equal">
      <formula>$S$1</formula>
    </cfRule>
    <cfRule type="cellIs" dxfId="16" priority="1434" operator="equal">
      <formula>$U$1</formula>
    </cfRule>
  </conditionalFormatting>
  <conditionalFormatting sqref="C26">
    <cfRule type="cellIs" dxfId="15" priority="1431" operator="equal">
      <formula>$U$1</formula>
    </cfRule>
    <cfRule type="cellIs" dxfId="14" priority="1432" operator="equal">
      <formula>$S$1</formula>
    </cfRule>
  </conditionalFormatting>
  <conditionalFormatting sqref="D26">
    <cfRule type="cellIs" dxfId="13" priority="1429" operator="equal">
      <formula>$S$1</formula>
    </cfRule>
    <cfRule type="cellIs" dxfId="12" priority="143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1.6599647973962125E-2</v>
      </c>
      <c r="F3" s="30">
        <v>1.7429630372660238E-2</v>
      </c>
      <c r="G3" s="30">
        <v>3.4509475941378875E-2</v>
      </c>
      <c r="H3" s="25">
        <f>IF(G3="","",(3*(G3-F3))+E3)</f>
        <v>6.7839184680118042E-2</v>
      </c>
      <c r="I3" s="7"/>
      <c r="J3" s="7">
        <f>(E3+G3)/2</f>
        <v>2.5554561957670502E-2</v>
      </c>
      <c r="K3" s="7">
        <f>H3/2</f>
        <v>3.3919592340059021E-2</v>
      </c>
      <c r="M3" s="26">
        <f>IF(OR(J3="",H3=""),"",H3/J3)</f>
        <v>2.6546800055696247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2022-01-28T01:17:45Z</dcterms:modified>
</cp:coreProperties>
</file>