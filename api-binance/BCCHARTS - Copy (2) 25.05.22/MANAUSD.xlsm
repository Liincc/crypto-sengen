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1B138FC-B540-4E3D-9BD9-56286431550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D118" i="4"/>
  <c r="C2" i="1" l="1"/>
  <c r="D2" i="1"/>
  <c r="C122" i="4"/>
  <c r="C133" i="4" s="1"/>
  <c r="C136" i="4" s="1"/>
  <c r="C122" i="5"/>
  <c r="C133" i="5" s="1"/>
  <c r="D136" i="5" s="1"/>
  <c r="C118" i="5"/>
  <c r="R765" i="1"/>
  <c r="S765" i="1" s="1"/>
  <c r="T765" i="1" s="1"/>
  <c r="C116" i="4"/>
  <c r="C122" i="3"/>
  <c r="C133" i="3" s="1"/>
  <c r="D136" i="3" s="1"/>
  <c r="C116" i="3"/>
  <c r="R764" i="1" l="1"/>
  <c r="D136" i="4"/>
  <c r="C138" i="4" s="1"/>
  <c r="C136" i="5"/>
  <c r="C138" i="5" s="1"/>
  <c r="R763" i="1"/>
  <c r="S764" i="1"/>
  <c r="T764" i="1" s="1"/>
  <c r="C136" i="3"/>
  <c r="C138" i="3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S726" i="1" l="1"/>
  <c r="T726" i="1" s="1"/>
  <c r="R725" i="1"/>
  <c r="R724" i="1" l="1"/>
  <c r="S725" i="1"/>
  <c r="T725" i="1" s="1"/>
  <c r="R723" i="1" l="1"/>
  <c r="S724" i="1"/>
  <c r="T724" i="1" s="1"/>
  <c r="S723" i="1" l="1"/>
  <c r="T723" i="1" s="1"/>
  <c r="R722" i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S691" i="1" l="1"/>
  <c r="T691" i="1" s="1"/>
  <c r="R690" i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S677" i="1" l="1"/>
  <c r="T677" i="1" s="1"/>
  <c r="R676" i="1"/>
  <c r="S676" i="1" l="1"/>
  <c r="T676" i="1" s="1"/>
  <c r="R675" i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S655" i="1" l="1"/>
  <c r="T655" i="1" s="1"/>
  <c r="R654" i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S642" i="1" l="1"/>
  <c r="T642" i="1" s="1"/>
  <c r="R641" i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S633" i="1" l="1"/>
  <c r="T633" i="1" s="1"/>
  <c r="R632" i="1"/>
  <c r="R631" i="1" l="1"/>
  <c r="S632" i="1"/>
  <c r="T632" i="1" s="1"/>
  <c r="S631" i="1" l="1"/>
  <c r="T631" i="1" s="1"/>
  <c r="R630" i="1"/>
  <c r="S630" i="1" l="1"/>
  <c r="T630" i="1" s="1"/>
  <c r="R629" i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S625" i="1" l="1"/>
  <c r="T625" i="1" s="1"/>
  <c r="R624" i="1"/>
  <c r="R623" i="1" l="1"/>
  <c r="S624" i="1"/>
  <c r="T624" i="1" s="1"/>
  <c r="R622" i="1" l="1"/>
  <c r="S623" i="1"/>
  <c r="T623" i="1" s="1"/>
  <c r="S622" i="1" l="1"/>
  <c r="T622" i="1" s="1"/>
  <c r="R621" i="1"/>
  <c r="R620" i="1" l="1"/>
  <c r="S621" i="1"/>
  <c r="T621" i="1" s="1"/>
  <c r="S620" i="1" l="1"/>
  <c r="T620" i="1" s="1"/>
  <c r="R619" i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R592" i="1" l="1"/>
  <c r="S593" i="1"/>
  <c r="T593" i="1" s="1"/>
  <c r="R591" i="1" l="1"/>
  <c r="S592" i="1"/>
  <c r="T592" i="1" s="1"/>
  <c r="S591" i="1" l="1"/>
  <c r="T591" i="1" s="1"/>
  <c r="R590" i="1"/>
  <c r="R589" i="1" l="1"/>
  <c r="S590" i="1"/>
  <c r="T590" i="1" s="1"/>
  <c r="S589" i="1" l="1"/>
  <c r="T589" i="1" s="1"/>
  <c r="R588" i="1"/>
  <c r="S588" i="1" l="1"/>
  <c r="T588" i="1" s="1"/>
  <c r="R587" i="1"/>
  <c r="R586" i="1" l="1"/>
  <c r="S587" i="1"/>
  <c r="T587" i="1" s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R581" i="1" l="1"/>
  <c r="S582" i="1"/>
  <c r="T582" i="1" s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R572" i="1" l="1"/>
  <c r="S573" i="1"/>
  <c r="T573" i="1" s="1"/>
  <c r="S572" i="1" l="1"/>
  <c r="T572" i="1" s="1"/>
  <c r="R571" i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S553" i="1" l="1"/>
  <c r="T553" i="1" s="1"/>
  <c r="R552" i="1"/>
  <c r="R551" i="1" l="1"/>
  <c r="S552" i="1"/>
  <c r="T552" i="1" s="1"/>
  <c r="S551" i="1" l="1"/>
  <c r="T551" i="1" s="1"/>
  <c r="R550" i="1"/>
  <c r="S550" i="1" l="1"/>
  <c r="T550" i="1" s="1"/>
  <c r="R549" i="1"/>
  <c r="R548" i="1" l="1"/>
  <c r="S549" i="1"/>
  <c r="T549" i="1" s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S512" i="1" l="1"/>
  <c r="T512" i="1" s="1"/>
  <c r="R511" i="1"/>
  <c r="R510" i="1" l="1"/>
  <c r="S511" i="1"/>
  <c r="T511" i="1" s="1"/>
  <c r="R509" i="1" l="1"/>
  <c r="S510" i="1"/>
  <c r="T510" i="1" s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R494" i="1" l="1"/>
  <c r="S495" i="1"/>
  <c r="T495" i="1" s="1"/>
  <c r="S494" i="1" l="1"/>
  <c r="T494" i="1" s="1"/>
  <c r="R493" i="1"/>
  <c r="S493" i="1" l="1"/>
  <c r="T493" i="1" s="1"/>
  <c r="R492" i="1"/>
  <c r="S492" i="1" l="1"/>
  <c r="T492" i="1" s="1"/>
  <c r="R491" i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R378" i="1" l="1"/>
  <c r="S379" i="1"/>
  <c r="T379" i="1" s="1"/>
  <c r="S378" i="1" l="1"/>
  <c r="T378" i="1" s="1"/>
  <c r="R377" i="1"/>
  <c r="R376" i="1" l="1"/>
  <c r="S377" i="1"/>
  <c r="T377" i="1" s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S368" i="1" l="1"/>
  <c r="T368" i="1" s="1"/>
  <c r="R367" i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R336" i="1" l="1"/>
  <c r="S337" i="1"/>
  <c r="T337" i="1" s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S305" i="1" l="1"/>
  <c r="T305" i="1" s="1"/>
  <c r="R304" i="1"/>
  <c r="S304" i="1" l="1"/>
  <c r="T304" i="1" s="1"/>
  <c r="R303" i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R283" i="1" l="1"/>
  <c r="S284" i="1"/>
  <c r="T284" i="1" s="1"/>
  <c r="S283" i="1" l="1"/>
  <c r="T283" i="1" s="1"/>
  <c r="R282" i="1"/>
  <c r="S282" i="1" l="1"/>
  <c r="T282" i="1" s="1"/>
  <c r="R281" i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S245" i="1" l="1"/>
  <c r="T245" i="1" s="1"/>
  <c r="R244" i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S229" i="1" l="1"/>
  <c r="T229" i="1" s="1"/>
  <c r="R228" i="1"/>
  <c r="S228" i="1" l="1"/>
  <c r="T228" i="1" s="1"/>
  <c r="R227" i="1"/>
  <c r="R226" i="1" l="1"/>
  <c r="S227" i="1"/>
  <c r="T227" i="1" s="1"/>
  <c r="S226" i="1" l="1"/>
  <c r="T226" i="1" s="1"/>
  <c r="R225" i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S221" i="1" l="1"/>
  <c r="T221" i="1" s="1"/>
  <c r="R220" i="1"/>
  <c r="S220" i="1" l="1"/>
  <c r="T220" i="1" s="1"/>
  <c r="R219" i="1"/>
  <c r="R218" i="1" l="1"/>
  <c r="S219" i="1"/>
  <c r="T219" i="1" s="1"/>
  <c r="S218" i="1" l="1"/>
  <c r="T218" i="1" s="1"/>
  <c r="R217" i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R146" i="1" l="1"/>
  <c r="S147" i="1"/>
  <c r="T147" i="1" s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S138" i="1" l="1"/>
  <c r="T138" i="1" s="1"/>
  <c r="R137" i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S130" i="1" l="1"/>
  <c r="T130" i="1" s="1"/>
  <c r="R129" i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S117" i="1" l="1"/>
  <c r="T117" i="1" s="1"/>
  <c r="R116" i="1"/>
  <c r="S116" i="1" l="1"/>
  <c r="T116" i="1" s="1"/>
  <c r="R115" i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S102" i="1" l="1"/>
  <c r="T102" i="1" s="1"/>
  <c r="R101" i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<sst xmlns="http://schemas.openxmlformats.org/spreadsheetml/2006/main" count="6257" uniqueCount="34">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</sst>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2.1055999999999999</c:v>
                </c:pt>
                <c:pt idx="1">
                  <c:v>2.1615000000000002</c:v>
                </c:pt>
                <c:pt idx="2">
                  <c:v>2.0998999999999999</c:v>
                </c:pt>
                <c:pt idx="3">
                  <c:v>2.0815000000000001</c:v>
                </c:pt>
                <c:pt idx="4">
                  <c:v>2.1177999999999999</c:v>
                </c:pt>
                <c:pt idx="5">
                  <c:v>2.0371000000000001</c:v>
                </c:pt>
                <c:pt idx="6">
                  <c:v>2.2191999999999998</c:v>
                </c:pt>
                <c:pt idx="7">
                  <c:v>2.6316000000000002</c:v>
                </c:pt>
                <c:pt idx="8">
                  <c:v>2.7322000000000002</c:v>
                </c:pt>
                <c:pt idx="9">
                  <c:v>2.8557999999999999</c:v>
                </c:pt>
                <c:pt idx="10">
                  <c:v>2.9026000000000001</c:v>
                </c:pt>
                <c:pt idx="11">
                  <c:v>3.1164999999999998</c:v>
                </c:pt>
                <c:pt idx="12">
                  <c:v>2.9878</c:v>
                </c:pt>
                <c:pt idx="13">
                  <c:v>2.9584000000000001</c:v>
                </c:pt>
                <c:pt idx="14">
                  <c:v>2.8984999999999999</c:v>
                </c:pt>
                <c:pt idx="15">
                  <c:v>3.0844999999999998</c:v>
                </c:pt>
                <c:pt idx="16">
                  <c:v>2.927</c:v>
                </c:pt>
                <c:pt idx="17">
                  <c:v>2.8126000000000002</c:v>
                </c:pt>
                <c:pt idx="18">
                  <c:v>2.9403999999999999</c:v>
                </c:pt>
                <c:pt idx="19">
                  <c:v>2.9350000000000001</c:v>
                </c:pt>
                <c:pt idx="20">
                  <c:v>3.0575000000000001</c:v>
                </c:pt>
                <c:pt idx="21">
                  <c:v>3.3912</c:v>
                </c:pt>
                <c:pt idx="22">
                  <c:v>2.9184999999999999</c:v>
                </c:pt>
                <c:pt idx="23">
                  <c:v>3.1755</c:v>
                </c:pt>
                <c:pt idx="24">
                  <c:v>3.2509000000000001</c:v>
                </c:pt>
                <c:pt idx="25">
                  <c:v>3.3380999999999998</c:v>
                </c:pt>
                <c:pt idx="26">
                  <c:v>3.3477000000000001</c:v>
                </c:pt>
                <c:pt idx="27">
                  <c:v>3.2690000000000001</c:v>
                </c:pt>
                <c:pt idx="28">
                  <c:v>3.2888999999999999</c:v>
                </c:pt>
                <c:pt idx="29">
                  <c:v>3.2565</c:v>
                </c:pt>
                <c:pt idx="30">
                  <c:v>3.3416000000000001</c:v>
                </c:pt>
                <c:pt idx="31">
                  <c:v>3.7446000000000002</c:v>
                </c:pt>
                <c:pt idx="32">
                  <c:v>3.8593000000000002</c:v>
                </c:pt>
                <c:pt idx="33">
                  <c:v>3.7483</c:v>
                </c:pt>
                <c:pt idx="34">
                  <c:v>3.5028999999999999</c:v>
                </c:pt>
                <c:pt idx="35">
                  <c:v>3.6848999999999998</c:v>
                </c:pt>
                <c:pt idx="36">
                  <c:v>3.2892000000000001</c:v>
                </c:pt>
                <c:pt idx="37">
                  <c:v>3.2818000000000001</c:v>
                </c:pt>
                <c:pt idx="38">
                  <c:v>3.1959</c:v>
                </c:pt>
                <c:pt idx="39">
                  <c:v>3.2551999999999999</c:v>
                </c:pt>
                <c:pt idx="40">
                  <c:v>3.4293</c:v>
                </c:pt>
                <c:pt idx="41">
                  <c:v>3.0680999999999998</c:v>
                </c:pt>
                <c:pt idx="42">
                  <c:v>3.1473</c:v>
                </c:pt>
                <c:pt idx="43">
                  <c:v>3.3380000000000001</c:v>
                </c:pt>
                <c:pt idx="44">
                  <c:v>3.1659999999999999</c:v>
                </c:pt>
                <c:pt idx="45">
                  <c:v>3.1695000000000002</c:v>
                </c:pt>
                <c:pt idx="46">
                  <c:v>3.6242999999999999</c:v>
                </c:pt>
                <c:pt idx="47">
                  <c:v>3.2568000000000001</c:v>
                </c:pt>
                <c:pt idx="48">
                  <c:v>3.2334000000000001</c:v>
                </c:pt>
                <c:pt idx="49">
                  <c:v>3.4531000000000001</c:v>
                </c:pt>
                <c:pt idx="50">
                  <c:v>3.7686000000000002</c:v>
                </c:pt>
                <c:pt idx="51">
                  <c:v>3.8132000000000001</c:v>
                </c:pt>
                <c:pt idx="52">
                  <c:v>3.7677</c:v>
                </c:pt>
                <c:pt idx="53">
                  <c:v>3.6861999999999999</c:v>
                </c:pt>
                <c:pt idx="54">
                  <c:v>4.1199000000000003</c:v>
                </c:pt>
                <c:pt idx="55">
                  <c:v>3.9030999999999998</c:v>
                </c:pt>
                <c:pt idx="56">
                  <c:v>4.4093</c:v>
                </c:pt>
                <c:pt idx="57">
                  <c:v>4.5503999999999998</c:v>
                </c:pt>
                <c:pt idx="58">
                  <c:v>4.6494999999999997</c:v>
                </c:pt>
                <c:pt idx="59">
                  <c:v>4.88</c:v>
                </c:pt>
                <c:pt idx="60">
                  <c:v>5.1429</c:v>
                </c:pt>
                <c:pt idx="61">
                  <c:v>4.6942000000000004</c:v>
                </c:pt>
                <c:pt idx="62">
                  <c:v>4.6631999999999998</c:v>
                </c:pt>
                <c:pt idx="63">
                  <c:v>5.1913999999999998</c:v>
                </c:pt>
                <c:pt idx="64">
                  <c:v>4.4457000000000004</c:v>
                </c:pt>
                <c:pt idx="65">
                  <c:v>4.0202999999999998</c:v>
                </c:pt>
                <c:pt idx="66">
                  <c:v>4.0911</c:v>
                </c:pt>
                <c:pt idx="67">
                  <c:v>3.6471</c:v>
                </c:pt>
                <c:pt idx="68">
                  <c:v>4.0148000000000001</c:v>
                </c:pt>
                <c:pt idx="69">
                  <c:v>4.2946</c:v>
                </c:pt>
                <c:pt idx="70">
                  <c:v>3.7536999999999998</c:v>
                </c:pt>
                <c:pt idx="71">
                  <c:v>3.3487</c:v>
                </c:pt>
                <c:pt idx="72">
                  <c:v>3.2427000000000001</c:v>
                </c:pt>
                <c:pt idx="73">
                  <c:v>3.2924000000000002</c:v>
                </c:pt>
                <c:pt idx="74">
                  <c:v>3.2126999999999999</c:v>
                </c:pt>
                <c:pt idx="75">
                  <c:v>3.2461000000000002</c:v>
                </c:pt>
                <c:pt idx="76">
                  <c:v>3.3083</c:v>
                </c:pt>
                <c:pt idx="77">
                  <c:v>2.6713</c:v>
                </c:pt>
                <c:pt idx="78">
                  <c:v>2.4851999999999999</c:v>
                </c:pt>
                <c:pt idx="79">
                  <c:v>2.5484</c:v>
                </c:pt>
                <c:pt idx="80">
                  <c:v>2.6920999999999999</c:v>
                </c:pt>
                <c:pt idx="81">
                  <c:v>2.8243999999999998</c:v>
                </c:pt>
                <c:pt idx="82">
                  <c:v>2.81</c:v>
                </c:pt>
                <c:pt idx="83">
                  <c:v>2.5886</c:v>
                </c:pt>
                <c:pt idx="84">
                  <c:v>2.5045000000000002</c:v>
                </c:pt>
                <c:pt idx="85">
                  <c:v>2.8586999999999998</c:v>
                </c:pt>
                <c:pt idx="86">
                  <c:v>3.0920000000000001</c:v>
                </c:pt>
                <c:pt idx="87">
                  <c:v>3.0339</c:v>
                </c:pt>
                <c:pt idx="88">
                  <c:v>2.8849999999999998</c:v>
                </c:pt>
                <c:pt idx="89">
                  <c:v>3.5880000000000001</c:v>
                </c:pt>
                <c:pt idx="90">
                  <c:v>1.3953</c:v>
                </c:pt>
                <c:pt idx="91">
                  <c:v>0.92459999999999998</c:v>
                </c:pt>
                <c:pt idx="92">
                  <c:v>0.7571</c:v>
                </c:pt>
                <c:pt idx="93">
                  <c:v>0.81479999999999997</c:v>
                </c:pt>
                <c:pt idx="94">
                  <c:v>0.80910000000000004</c:v>
                </c:pt>
                <c:pt idx="95">
                  <c:v>0.77780000000000005</c:v>
                </c:pt>
                <c:pt idx="96">
                  <c:v>0.79330000000000001</c:v>
                </c:pt>
                <c:pt idx="97">
                  <c:v>0.79039999999999999</c:v>
                </c:pt>
                <c:pt idx="98">
                  <c:v>0.78769999999999996</c:v>
                </c:pt>
                <c:pt idx="99">
                  <c:v>0.81420000000000003</c:v>
                </c:pt>
                <c:pt idx="100">
                  <c:v>0.77310000000000001</c:v>
                </c:pt>
                <c:pt idx="101">
                  <c:v>0.74950000000000006</c:v>
                </c:pt>
                <c:pt idx="102">
                  <c:v>0.76449999999999996</c:v>
                </c:pt>
                <c:pt idx="103">
                  <c:v>0.80979999999999996</c:v>
                </c:pt>
                <c:pt idx="104">
                  <c:v>0.75729999999999997</c:v>
                </c:pt>
                <c:pt idx="105">
                  <c:v>0.7742</c:v>
                </c:pt>
                <c:pt idx="106">
                  <c:v>0.76859999999999995</c:v>
                </c:pt>
                <c:pt idx="107">
                  <c:v>0.75439999999999996</c:v>
                </c:pt>
                <c:pt idx="108">
                  <c:v>0.76170000000000004</c:v>
                </c:pt>
                <c:pt idx="109">
                  <c:v>0.76800000000000002</c:v>
                </c:pt>
                <c:pt idx="110">
                  <c:v>0.84119999999999995</c:v>
                </c:pt>
                <c:pt idx="111">
                  <c:v>0.80959999999999999</c:v>
                </c:pt>
                <c:pt idx="112">
                  <c:v>0.77190000000000003</c:v>
                </c:pt>
                <c:pt idx="113">
                  <c:v>0.77559999999999996</c:v>
                </c:pt>
                <c:pt idx="114">
                  <c:v>0.77949999999999997</c:v>
                </c:pt>
                <c:pt idx="115">
                  <c:v>0.76380000000000003</c:v>
                </c:pt>
                <c:pt idx="116">
                  <c:v>0.76359999999999995</c:v>
                </c:pt>
                <c:pt idx="117">
                  <c:v>0.75049999999999994</c:v>
                </c:pt>
                <c:pt idx="118">
                  <c:v>0.75309999999999999</c:v>
                </c:pt>
                <c:pt idx="119">
                  <c:v>0.68899999999999995</c:v>
                </c:pt>
                <c:pt idx="120">
                  <c:v>0.6452</c:v>
                </c:pt>
                <c:pt idx="121">
                  <c:v>0.61950000000000005</c:v>
                </c:pt>
                <c:pt idx="122">
                  <c:v>0.66049999999999998</c:v>
                </c:pt>
                <c:pt idx="123">
                  <c:v>0.71109999999999995</c:v>
                </c:pt>
                <c:pt idx="124">
                  <c:v>0.69179999999999997</c:v>
                </c:pt>
                <c:pt idx="125">
                  <c:v>0.70150000000000001</c:v>
                </c:pt>
                <c:pt idx="126">
                  <c:v>0.7641</c:v>
                </c:pt>
                <c:pt idx="127">
                  <c:v>0.73350000000000004</c:v>
                </c:pt>
                <c:pt idx="128">
                  <c:v>0.61439999999999995</c:v>
                </c:pt>
                <c:pt idx="129">
                  <c:v>0.73140000000000005</c:v>
                </c:pt>
                <c:pt idx="130">
                  <c:v>0.7994</c:v>
                </c:pt>
                <c:pt idx="131">
                  <c:v>0.82199999999999995</c:v>
                </c:pt>
                <c:pt idx="132">
                  <c:v>0.81640000000000001</c:v>
                </c:pt>
                <c:pt idx="133">
                  <c:v>0.84189999999999998</c:v>
                </c:pt>
                <c:pt idx="134">
                  <c:v>0.86119999999999997</c:v>
                </c:pt>
                <c:pt idx="135">
                  <c:v>0.84499999999999997</c:v>
                </c:pt>
                <c:pt idx="136">
                  <c:v>0.81979999999999997</c:v>
                </c:pt>
                <c:pt idx="137">
                  <c:v>0.84609999999999996</c:v>
                </c:pt>
                <c:pt idx="138">
                  <c:v>0.83230000000000004</c:v>
                </c:pt>
                <c:pt idx="139">
                  <c:v>0.81759999999999999</c:v>
                </c:pt>
                <c:pt idx="140">
                  <c:v>0.87180000000000002</c:v>
                </c:pt>
                <c:pt idx="141">
                  <c:v>0.85329999999999995</c:v>
                </c:pt>
                <c:pt idx="142">
                  <c:v>0.83520000000000005</c:v>
                </c:pt>
                <c:pt idx="143">
                  <c:v>1.0434000000000001</c:v>
                </c:pt>
                <c:pt idx="144">
                  <c:v>1.0784</c:v>
                </c:pt>
                <c:pt idx="145">
                  <c:v>1.0548999999999999</c:v>
                </c:pt>
                <c:pt idx="146">
                  <c:v>0.99539999999999995</c:v>
                </c:pt>
                <c:pt idx="147">
                  <c:v>0.96550000000000002</c:v>
                </c:pt>
                <c:pt idx="148">
                  <c:v>0.98160000000000003</c:v>
                </c:pt>
                <c:pt idx="149">
                  <c:v>0.94159999999999999</c:v>
                </c:pt>
                <c:pt idx="150">
                  <c:v>0.94610000000000005</c:v>
                </c:pt>
                <c:pt idx="151">
                  <c:v>1.0236000000000001</c:v>
                </c:pt>
                <c:pt idx="152">
                  <c:v>0.92269999999999996</c:v>
                </c:pt>
                <c:pt idx="153">
                  <c:v>0.92959999999999998</c:v>
                </c:pt>
                <c:pt idx="154">
                  <c:v>0.88990000000000002</c:v>
                </c:pt>
                <c:pt idx="155">
                  <c:v>0.95489999999999997</c:v>
                </c:pt>
                <c:pt idx="156">
                  <c:v>0.85170000000000001</c:v>
                </c:pt>
                <c:pt idx="157">
                  <c:v>0.92479999999999996</c:v>
                </c:pt>
                <c:pt idx="158">
                  <c:v>0.9002</c:v>
                </c:pt>
                <c:pt idx="159">
                  <c:v>0.87539999999999996</c:v>
                </c:pt>
                <c:pt idx="160">
                  <c:v>0.84350000000000003</c:v>
                </c:pt>
                <c:pt idx="161">
                  <c:v>0.81979999999999997</c:v>
                </c:pt>
                <c:pt idx="162">
                  <c:v>0.77539999999999998</c:v>
                </c:pt>
                <c:pt idx="163">
                  <c:v>0.7984</c:v>
                </c:pt>
                <c:pt idx="164">
                  <c:v>0.84619999999999995</c:v>
                </c:pt>
                <c:pt idx="165">
                  <c:v>0.86909999999999998</c:v>
                </c:pt>
                <c:pt idx="166">
                  <c:v>0.83809999999999996</c:v>
                </c:pt>
                <c:pt idx="167">
                  <c:v>0.84279999999999999</c:v>
                </c:pt>
                <c:pt idx="168">
                  <c:v>0.80159999999999998</c:v>
                </c:pt>
                <c:pt idx="169">
                  <c:v>0.82150000000000001</c:v>
                </c:pt>
                <c:pt idx="170">
                  <c:v>0.82669999999999999</c:v>
                </c:pt>
                <c:pt idx="171">
                  <c:v>0.753</c:v>
                </c:pt>
                <c:pt idx="172">
                  <c:v>0.7198</c:v>
                </c:pt>
                <c:pt idx="173">
                  <c:v>0.77149999999999996</c:v>
                </c:pt>
                <c:pt idx="174">
                  <c:v>0.75090000000000001</c:v>
                </c:pt>
                <c:pt idx="175">
                  <c:v>0.73599999999999999</c:v>
                </c:pt>
                <c:pt idx="176">
                  <c:v>0.72770000000000001</c:v>
                </c:pt>
                <c:pt idx="177">
                  <c:v>0.69430000000000003</c:v>
                </c:pt>
                <c:pt idx="178">
                  <c:v>0.69079999999999997</c:v>
                </c:pt>
                <c:pt idx="179">
                  <c:v>0.68469999999999998</c:v>
                </c:pt>
                <c:pt idx="180">
                  <c:v>0.71740000000000004</c:v>
                </c:pt>
                <c:pt idx="181">
                  <c:v>0.71950000000000003</c:v>
                </c:pt>
                <c:pt idx="182">
                  <c:v>0.7077</c:v>
                </c:pt>
                <c:pt idx="183">
                  <c:v>0.69099999999999995</c:v>
                </c:pt>
                <c:pt idx="184">
                  <c:v>0.69799999999999995</c:v>
                </c:pt>
                <c:pt idx="185">
                  <c:v>0.68869999999999998</c:v>
                </c:pt>
                <c:pt idx="186">
                  <c:v>0.7097</c:v>
                </c:pt>
                <c:pt idx="187">
                  <c:v>0.71540000000000004</c:v>
                </c:pt>
                <c:pt idx="188">
                  <c:v>0.67649999999999999</c:v>
                </c:pt>
                <c:pt idx="189">
                  <c:v>0.59050000000000002</c:v>
                </c:pt>
                <c:pt idx="190">
                  <c:v>0.57999999999999996</c:v>
                </c:pt>
                <c:pt idx="191">
                  <c:v>0.51680000000000004</c:v>
                </c:pt>
                <c:pt idx="192">
                  <c:v>0.56040000000000001</c:v>
                </c:pt>
                <c:pt idx="193">
                  <c:v>0.61150000000000004</c:v>
                </c:pt>
                <c:pt idx="194">
                  <c:v>0.60429999999999995</c:v>
                </c:pt>
                <c:pt idx="195">
                  <c:v>0.60580000000000001</c:v>
                </c:pt>
                <c:pt idx="196">
                  <c:v>0.66300000000000003</c:v>
                </c:pt>
                <c:pt idx="197">
                  <c:v>0.71360000000000001</c:v>
                </c:pt>
                <c:pt idx="198">
                  <c:v>0.64990000000000003</c:v>
                </c:pt>
                <c:pt idx="199">
                  <c:v>0.67669999999999997</c:v>
                </c:pt>
                <c:pt idx="200">
                  <c:v>0.74390000000000001</c:v>
                </c:pt>
                <c:pt idx="201">
                  <c:v>0.74929999999999997</c:v>
                </c:pt>
                <c:pt idx="202">
                  <c:v>0.69440000000000002</c:v>
                </c:pt>
                <c:pt idx="203">
                  <c:v>0.64059999999999995</c:v>
                </c:pt>
                <c:pt idx="204">
                  <c:v>0.72230000000000005</c:v>
                </c:pt>
                <c:pt idx="205">
                  <c:v>0.61350000000000005</c:v>
                </c:pt>
                <c:pt idx="206">
                  <c:v>0.5464</c:v>
                </c:pt>
                <c:pt idx="207">
                  <c:v>0.58069999999999999</c:v>
                </c:pt>
                <c:pt idx="208">
                  <c:v>0.56159999999999999</c:v>
                </c:pt>
                <c:pt idx="209">
                  <c:v>0.53910000000000002</c:v>
                </c:pt>
                <c:pt idx="210">
                  <c:v>0.5504</c:v>
                </c:pt>
                <c:pt idx="211">
                  <c:v>0.57999999999999996</c:v>
                </c:pt>
                <c:pt idx="212">
                  <c:v>0.55069999999999997</c:v>
                </c:pt>
                <c:pt idx="213">
                  <c:v>0.50770000000000004</c:v>
                </c:pt>
                <c:pt idx="214">
                  <c:v>0.49380000000000002</c:v>
                </c:pt>
                <c:pt idx="215">
                  <c:v>0.4698</c:v>
                </c:pt>
                <c:pt idx="216">
                  <c:v>0.47199999999999998</c:v>
                </c:pt>
                <c:pt idx="217">
                  <c:v>0.52610000000000001</c:v>
                </c:pt>
                <c:pt idx="218">
                  <c:v>0.50339999999999996</c:v>
                </c:pt>
                <c:pt idx="219">
                  <c:v>0.43719999999999998</c:v>
                </c:pt>
                <c:pt idx="220">
                  <c:v>0.46339999999999998</c:v>
                </c:pt>
                <c:pt idx="221">
                  <c:v>0.623</c:v>
                </c:pt>
                <c:pt idx="222">
                  <c:v>0.63009999999999999</c:v>
                </c:pt>
                <c:pt idx="223">
                  <c:v>0.64759999999999995</c:v>
                </c:pt>
                <c:pt idx="224">
                  <c:v>0.69089999999999996</c:v>
                </c:pt>
                <c:pt idx="225">
                  <c:v>0.70820000000000005</c:v>
                </c:pt>
                <c:pt idx="226">
                  <c:v>0.71040000000000003</c:v>
                </c:pt>
                <c:pt idx="227">
                  <c:v>0.71199999999999997</c:v>
                </c:pt>
                <c:pt idx="228">
                  <c:v>0.69340000000000002</c:v>
                </c:pt>
                <c:pt idx="229">
                  <c:v>0.65700000000000003</c:v>
                </c:pt>
                <c:pt idx="230">
                  <c:v>0.69430000000000003</c:v>
                </c:pt>
                <c:pt idx="231">
                  <c:v>0.69810000000000005</c:v>
                </c:pt>
                <c:pt idx="232">
                  <c:v>0.73750000000000004</c:v>
                </c:pt>
                <c:pt idx="233">
                  <c:v>0.71150000000000002</c:v>
                </c:pt>
                <c:pt idx="234">
                  <c:v>0.74070000000000003</c:v>
                </c:pt>
                <c:pt idx="235">
                  <c:v>0.8216</c:v>
                </c:pt>
                <c:pt idx="236">
                  <c:v>0.81569999999999998</c:v>
                </c:pt>
                <c:pt idx="237">
                  <c:v>0.8145</c:v>
                </c:pt>
                <c:pt idx="238">
                  <c:v>0.88900000000000001</c:v>
                </c:pt>
                <c:pt idx="239">
                  <c:v>0.85719999999999996</c:v>
                </c:pt>
                <c:pt idx="240">
                  <c:v>0.82940000000000003</c:v>
                </c:pt>
                <c:pt idx="241">
                  <c:v>0.84870000000000001</c:v>
                </c:pt>
                <c:pt idx="242">
                  <c:v>0.78129999999999999</c:v>
                </c:pt>
                <c:pt idx="243">
                  <c:v>0.74619999999999997</c:v>
                </c:pt>
                <c:pt idx="244">
                  <c:v>0.81299999999999994</c:v>
                </c:pt>
                <c:pt idx="245">
                  <c:v>0.8992</c:v>
                </c:pt>
                <c:pt idx="246">
                  <c:v>1.006</c:v>
                </c:pt>
                <c:pt idx="247">
                  <c:v>0.78600000000000003</c:v>
                </c:pt>
                <c:pt idx="248">
                  <c:v>0.77990000000000004</c:v>
                </c:pt>
                <c:pt idx="249">
                  <c:v>0.62019999999999997</c:v>
                </c:pt>
                <c:pt idx="250">
                  <c:v>0.75700000000000001</c:v>
                </c:pt>
                <c:pt idx="251">
                  <c:v>0.81640000000000001</c:v>
                </c:pt>
                <c:pt idx="252">
                  <c:v>0.95620000000000005</c:v>
                </c:pt>
                <c:pt idx="253">
                  <c:v>0.77180000000000004</c:v>
                </c:pt>
                <c:pt idx="254">
                  <c:v>1.1248</c:v>
                </c:pt>
                <c:pt idx="255">
                  <c:v>1.0597000000000001</c:v>
                </c:pt>
                <c:pt idx="256">
                  <c:v>1.1797</c:v>
                </c:pt>
                <c:pt idx="257">
                  <c:v>1.2023999999999999</c:v>
                </c:pt>
                <c:pt idx="258">
                  <c:v>1.2918000000000001</c:v>
                </c:pt>
                <c:pt idx="259">
                  <c:v>1.2534000000000001</c:v>
                </c:pt>
                <c:pt idx="260">
                  <c:v>1.2256</c:v>
                </c:pt>
                <c:pt idx="261">
                  <c:v>1.4291</c:v>
                </c:pt>
                <c:pt idx="262">
                  <c:v>1.3284</c:v>
                </c:pt>
                <c:pt idx="263">
                  <c:v>1.4923</c:v>
                </c:pt>
                <c:pt idx="264">
                  <c:v>1.4418</c:v>
                </c:pt>
                <c:pt idx="265">
                  <c:v>1.4644999999999999</c:v>
                </c:pt>
                <c:pt idx="266">
                  <c:v>1.5705</c:v>
                </c:pt>
                <c:pt idx="267">
                  <c:v>1.4175</c:v>
                </c:pt>
                <c:pt idx="268">
                  <c:v>1.2661</c:v>
                </c:pt>
                <c:pt idx="269">
                  <c:v>1.4038999999999999</c:v>
                </c:pt>
                <c:pt idx="270">
                  <c:v>1.4081999999999999</c:v>
                </c:pt>
                <c:pt idx="271">
                  <c:v>1.4623999999999999</c:v>
                </c:pt>
                <c:pt idx="272">
                  <c:v>1.4882</c:v>
                </c:pt>
                <c:pt idx="273">
                  <c:v>1.4578</c:v>
                </c:pt>
                <c:pt idx="274">
                  <c:v>1.5485</c:v>
                </c:pt>
                <c:pt idx="275">
                  <c:v>1.3106</c:v>
                </c:pt>
                <c:pt idx="276">
                  <c:v>1.2283999999999999</c:v>
                </c:pt>
                <c:pt idx="277">
                  <c:v>1.0952</c:v>
                </c:pt>
                <c:pt idx="278">
                  <c:v>1.10232</c:v>
                </c:pt>
                <c:pt idx="279">
                  <c:v>1.23726</c:v>
                </c:pt>
                <c:pt idx="280">
                  <c:v>1.24346</c:v>
                </c:pt>
                <c:pt idx="281">
                  <c:v>1.3307199999999999</c:v>
                </c:pt>
                <c:pt idx="282">
                  <c:v>1.4017500000000001</c:v>
                </c:pt>
                <c:pt idx="283">
                  <c:v>1.3119400000000001</c:v>
                </c:pt>
                <c:pt idx="284">
                  <c:v>1.35348</c:v>
                </c:pt>
                <c:pt idx="285">
                  <c:v>1.5202500000000001</c:v>
                </c:pt>
                <c:pt idx="286">
                  <c:v>1.30619</c:v>
                </c:pt>
                <c:pt idx="287">
                  <c:v>1.2410600000000001</c:v>
                </c:pt>
                <c:pt idx="288">
                  <c:v>1.0933600000000001</c:v>
                </c:pt>
                <c:pt idx="289">
                  <c:v>1.1180000000000001</c:v>
                </c:pt>
                <c:pt idx="290">
                  <c:v>1.1300300000000001</c:v>
                </c:pt>
                <c:pt idx="291">
                  <c:v>1.07064</c:v>
                </c:pt>
                <c:pt idx="292">
                  <c:v>1.01274</c:v>
                </c:pt>
                <c:pt idx="293">
                  <c:v>1.03356</c:v>
                </c:pt>
                <c:pt idx="294">
                  <c:v>0.98887999999999998</c:v>
                </c:pt>
                <c:pt idx="295">
                  <c:v>0.92976999999999999</c:v>
                </c:pt>
                <c:pt idx="296">
                  <c:v>0.95762000000000003</c:v>
                </c:pt>
                <c:pt idx="297">
                  <c:v>1.0085500000000001</c:v>
                </c:pt>
                <c:pt idx="298">
                  <c:v>1.0030399999999999</c:v>
                </c:pt>
                <c:pt idx="299">
                  <c:v>0.94328000000000001</c:v>
                </c:pt>
                <c:pt idx="300">
                  <c:v>1.03623</c:v>
                </c:pt>
                <c:pt idx="301">
                  <c:v>1.01434</c:v>
                </c:pt>
                <c:pt idx="302">
                  <c:v>1.0208600000000001</c:v>
                </c:pt>
                <c:pt idx="303">
                  <c:v>1.0891299999999999</c:v>
                </c:pt>
                <c:pt idx="304">
                  <c:v>1.0918600000000001</c:v>
                </c:pt>
                <c:pt idx="305">
                  <c:v>1.14178</c:v>
                </c:pt>
                <c:pt idx="306">
                  <c:v>0.92435</c:v>
                </c:pt>
                <c:pt idx="307">
                  <c:v>0.89597000000000004</c:v>
                </c:pt>
                <c:pt idx="308">
                  <c:v>0.81650999999999996</c:v>
                </c:pt>
                <c:pt idx="309">
                  <c:v>0.85096000000000005</c:v>
                </c:pt>
                <c:pt idx="310">
                  <c:v>0.84760000000000002</c:v>
                </c:pt>
                <c:pt idx="311">
                  <c:v>0.91510999999999998</c:v>
                </c:pt>
                <c:pt idx="312">
                  <c:v>0.98207</c:v>
                </c:pt>
                <c:pt idx="313">
                  <c:v>0.89490000000000003</c:v>
                </c:pt>
                <c:pt idx="314">
                  <c:v>0.96220000000000006</c:v>
                </c:pt>
                <c:pt idx="315">
                  <c:v>0.97987000000000002</c:v>
                </c:pt>
                <c:pt idx="316">
                  <c:v>1.05941</c:v>
                </c:pt>
                <c:pt idx="317">
                  <c:v>0.90915000000000001</c:v>
                </c:pt>
                <c:pt idx="318">
                  <c:v>1.05</c:v>
                </c:pt>
                <c:pt idx="319">
                  <c:v>1.014</c:v>
                </c:pt>
                <c:pt idx="320">
                  <c:v>0.97441999999999995</c:v>
                </c:pt>
                <c:pt idx="321">
                  <c:v>0.65939000000000003</c:v>
                </c:pt>
                <c:pt idx="322">
                  <c:v>0.52102999999999999</c:v>
                </c:pt>
                <c:pt idx="323">
                  <c:v>0.48082999999999998</c:v>
                </c:pt>
                <c:pt idx="324">
                  <c:v>0.54823</c:v>
                </c:pt>
                <c:pt idx="325">
                  <c:v>0.48592999999999997</c:v>
                </c:pt>
                <c:pt idx="326">
                  <c:v>0.4012</c:v>
                </c:pt>
                <c:pt idx="327">
                  <c:v>0.36004999999999998</c:v>
                </c:pt>
                <c:pt idx="328">
                  <c:v>0.37486999999999998</c:v>
                </c:pt>
                <c:pt idx="329">
                  <c:v>0.41899999999999998</c:v>
                </c:pt>
                <c:pt idx="330">
                  <c:v>0.34849000000000002</c:v>
                </c:pt>
                <c:pt idx="331">
                  <c:v>0.28098000000000001</c:v>
                </c:pt>
                <c:pt idx="332">
                  <c:v>0.25964999999999999</c:v>
                </c:pt>
                <c:pt idx="333">
                  <c:v>0.23691000000000001</c:v>
                </c:pt>
                <c:pt idx="334">
                  <c:v>0.25281999999999999</c:v>
                </c:pt>
                <c:pt idx="335">
                  <c:v>0.25002999999999997</c:v>
                </c:pt>
                <c:pt idx="336">
                  <c:v>0.25613000000000002</c:v>
                </c:pt>
                <c:pt idx="337">
                  <c:v>0.24722</c:v>
                </c:pt>
                <c:pt idx="338">
                  <c:v>0.23308000000000001</c:v>
                </c:pt>
                <c:pt idx="339">
                  <c:v>0.27212999999999998</c:v>
                </c:pt>
                <c:pt idx="340">
                  <c:v>0.31345000000000001</c:v>
                </c:pt>
                <c:pt idx="341">
                  <c:v>0.30191000000000001</c:v>
                </c:pt>
                <c:pt idx="342">
                  <c:v>0.32832</c:v>
                </c:pt>
                <c:pt idx="343">
                  <c:v>0.31297000000000003</c:v>
                </c:pt>
                <c:pt idx="344">
                  <c:v>0.29982999999999999</c:v>
                </c:pt>
                <c:pt idx="345">
                  <c:v>0.29071000000000002</c:v>
                </c:pt>
                <c:pt idx="346">
                  <c:v>0.29720000000000002</c:v>
                </c:pt>
                <c:pt idx="347">
                  <c:v>0.31202999999999997</c:v>
                </c:pt>
                <c:pt idx="348">
                  <c:v>0.34594000000000003</c:v>
                </c:pt>
                <c:pt idx="349">
                  <c:v>0.30196000000000001</c:v>
                </c:pt>
                <c:pt idx="350">
                  <c:v>0.28170000000000001</c:v>
                </c:pt>
                <c:pt idx="351">
                  <c:v>0.25139</c:v>
                </c:pt>
                <c:pt idx="352">
                  <c:v>0.24349000000000001</c:v>
                </c:pt>
                <c:pt idx="353">
                  <c:v>0.23680000000000001</c:v>
                </c:pt>
                <c:pt idx="354">
                  <c:v>0.23721</c:v>
                </c:pt>
                <c:pt idx="355">
                  <c:v>0.23499</c:v>
                </c:pt>
                <c:pt idx="356">
                  <c:v>0.21793000000000001</c:v>
                </c:pt>
                <c:pt idx="357">
                  <c:v>0.17212</c:v>
                </c:pt>
                <c:pt idx="358">
                  <c:v>0.17645</c:v>
                </c:pt>
                <c:pt idx="359">
                  <c:v>0.16757</c:v>
                </c:pt>
                <c:pt idx="360">
                  <c:v>0.15637000000000001</c:v>
                </c:pt>
                <c:pt idx="361">
                  <c:v>0.15468000000000001</c:v>
                </c:pt>
                <c:pt idx="362">
                  <c:v>0.15673000000000001</c:v>
                </c:pt>
                <c:pt idx="363">
                  <c:v>0.15393000000000001</c:v>
                </c:pt>
                <c:pt idx="364">
                  <c:v>0.158</c:v>
                </c:pt>
                <c:pt idx="365">
                  <c:v>0.14696000000000001</c:v>
                </c:pt>
                <c:pt idx="366">
                  <c:v>0.16644</c:v>
                </c:pt>
                <c:pt idx="367">
                  <c:v>0.16306000000000001</c:v>
                </c:pt>
                <c:pt idx="368">
                  <c:v>0.17174</c:v>
                </c:pt>
                <c:pt idx="369">
                  <c:v>0.19317999999999999</c:v>
                </c:pt>
                <c:pt idx="370">
                  <c:v>0.15856000000000001</c:v>
                </c:pt>
                <c:pt idx="371">
                  <c:v>0.11806999999999999</c:v>
                </c:pt>
                <c:pt idx="372">
                  <c:v>0.13650999999999999</c:v>
                </c:pt>
                <c:pt idx="373">
                  <c:v>0.12221</c:v>
                </c:pt>
                <c:pt idx="374">
                  <c:v>0.11692</c:v>
                </c:pt>
                <c:pt idx="375">
                  <c:v>0.11075</c:v>
                </c:pt>
                <c:pt idx="376">
                  <c:v>0.10904</c:v>
                </c:pt>
                <c:pt idx="377">
                  <c:v>0.10662000000000001</c:v>
                </c:pt>
                <c:pt idx="378">
                  <c:v>0.11051999999999999</c:v>
                </c:pt>
                <c:pt idx="379">
                  <c:v>0.11466999999999999</c:v>
                </c:pt>
                <c:pt idx="380">
                  <c:v>0.11047999999999999</c:v>
                </c:pt>
                <c:pt idx="381">
                  <c:v>9.4189999999999996E-2</c:v>
                </c:pt>
                <c:pt idx="382">
                  <c:v>0.10655000000000001</c:v>
                </c:pt>
                <c:pt idx="383">
                  <c:v>0.11523</c:v>
                </c:pt>
                <c:pt idx="384">
                  <c:v>0.12623000000000001</c:v>
                </c:pt>
                <c:pt idx="385">
                  <c:v>0.12914</c:v>
                </c:pt>
                <c:pt idx="386">
                  <c:v>9.2249999999999999E-2</c:v>
                </c:pt>
                <c:pt idx="387">
                  <c:v>8.2299999999999998E-2</c:v>
                </c:pt>
                <c:pt idx="388">
                  <c:v>7.8920000000000004E-2</c:v>
                </c:pt>
                <c:pt idx="389">
                  <c:v>8.1129999999999994E-2</c:v>
                </c:pt>
                <c:pt idx="390">
                  <c:v>7.9149999999999998E-2</c:v>
                </c:pt>
                <c:pt idx="391">
                  <c:v>8.3540000000000003E-2</c:v>
                </c:pt>
                <c:pt idx="392">
                  <c:v>7.7759999999999996E-2</c:v>
                </c:pt>
                <c:pt idx="393">
                  <c:v>7.8119999999999995E-2</c:v>
                </c:pt>
                <c:pt idx="394">
                  <c:v>7.9710000000000003E-2</c:v>
                </c:pt>
                <c:pt idx="395">
                  <c:v>8.0979999999999996E-2</c:v>
                </c:pt>
                <c:pt idx="396">
                  <c:v>8.0769999999999995E-2</c:v>
                </c:pt>
                <c:pt idx="397">
                  <c:v>7.9159999999999994E-2</c:v>
                </c:pt>
                <c:pt idx="398">
                  <c:v>7.9890000000000003E-2</c:v>
                </c:pt>
                <c:pt idx="399">
                  <c:v>8.0600000000000005E-2</c:v>
                </c:pt>
                <c:pt idx="400">
                  <c:v>7.4340000000000003E-2</c:v>
                </c:pt>
                <c:pt idx="401">
                  <c:v>8.412E-2</c:v>
                </c:pt>
                <c:pt idx="402">
                  <c:v>8.3970000000000003E-2</c:v>
                </c:pt>
                <c:pt idx="403">
                  <c:v>8.8940000000000005E-2</c:v>
                </c:pt>
                <c:pt idx="404">
                  <c:v>9.2369999999999994E-2</c:v>
                </c:pt>
                <c:pt idx="405">
                  <c:v>8.9069999999999996E-2</c:v>
                </c:pt>
                <c:pt idx="406">
                  <c:v>8.6959999999999996E-2</c:v>
                </c:pt>
                <c:pt idx="407">
                  <c:v>8.795E-2</c:v>
                </c:pt>
                <c:pt idx="408">
                  <c:v>8.6449999999999999E-2</c:v>
                </c:pt>
                <c:pt idx="409">
                  <c:v>8.6790000000000006E-2</c:v>
                </c:pt>
                <c:pt idx="410">
                  <c:v>8.6279999999999996E-2</c:v>
                </c:pt>
                <c:pt idx="411">
                  <c:v>8.2119999999999999E-2</c:v>
                </c:pt>
                <c:pt idx="412">
                  <c:v>7.8600000000000003E-2</c:v>
                </c:pt>
                <c:pt idx="413">
                  <c:v>8.1509999999999999E-2</c:v>
                </c:pt>
                <c:pt idx="414">
                  <c:v>8.4330000000000002E-2</c:v>
                </c:pt>
                <c:pt idx="415">
                  <c:v>8.4510000000000002E-2</c:v>
                </c:pt>
                <c:pt idx="416">
                  <c:v>8.8940000000000005E-2</c:v>
                </c:pt>
                <c:pt idx="417">
                  <c:v>9.0219999999999995E-2</c:v>
                </c:pt>
                <c:pt idx="418">
                  <c:v>9.2030000000000001E-2</c:v>
                </c:pt>
                <c:pt idx="419">
                  <c:v>8.6029999999999995E-2</c:v>
                </c:pt>
                <c:pt idx="420">
                  <c:v>9.1920000000000002E-2</c:v>
                </c:pt>
                <c:pt idx="421">
                  <c:v>9.2649999999999996E-2</c:v>
                </c:pt>
                <c:pt idx="422">
                  <c:v>8.6019999999999999E-2</c:v>
                </c:pt>
                <c:pt idx="423">
                  <c:v>8.8389999999999996E-2</c:v>
                </c:pt>
                <c:pt idx="424">
                  <c:v>8.2919999999999994E-2</c:v>
                </c:pt>
                <c:pt idx="425">
                  <c:v>8.3379999999999996E-2</c:v>
                </c:pt>
                <c:pt idx="426">
                  <c:v>8.054E-2</c:v>
                </c:pt>
                <c:pt idx="427">
                  <c:v>8.0130000000000007E-2</c:v>
                </c:pt>
                <c:pt idx="428">
                  <c:v>9.1679999999999998E-2</c:v>
                </c:pt>
                <c:pt idx="429">
                  <c:v>9.2100000000000001E-2</c:v>
                </c:pt>
                <c:pt idx="430">
                  <c:v>9.0179999999999996E-2</c:v>
                </c:pt>
                <c:pt idx="431">
                  <c:v>8.5639999999999994E-2</c:v>
                </c:pt>
                <c:pt idx="432">
                  <c:v>8.77E-2</c:v>
                </c:pt>
                <c:pt idx="433">
                  <c:v>8.1460000000000005E-2</c:v>
                </c:pt>
                <c:pt idx="434">
                  <c:v>7.8049999999999994E-2</c:v>
                </c:pt>
                <c:pt idx="435">
                  <c:v>7.7439999999999995E-2</c:v>
                </c:pt>
                <c:pt idx="436">
                  <c:v>8.0610000000000001E-2</c:v>
                </c:pt>
                <c:pt idx="437">
                  <c:v>7.9420000000000004E-2</c:v>
                </c:pt>
                <c:pt idx="438">
                  <c:v>7.8750000000000001E-2</c:v>
                </c:pt>
                <c:pt idx="439">
                  <c:v>7.9719999999999999E-2</c:v>
                </c:pt>
                <c:pt idx="440">
                  <c:v>8.3040000000000003E-2</c:v>
                </c:pt>
                <c:pt idx="441">
                  <c:v>8.3570000000000005E-2</c:v>
                </c:pt>
                <c:pt idx="442">
                  <c:v>8.3690000000000001E-2</c:v>
                </c:pt>
                <c:pt idx="443">
                  <c:v>8.7870000000000004E-2</c:v>
                </c:pt>
                <c:pt idx="444">
                  <c:v>9.7320000000000004E-2</c:v>
                </c:pt>
                <c:pt idx="445">
                  <c:v>8.6569999999999994E-2</c:v>
                </c:pt>
                <c:pt idx="446">
                  <c:v>7.4429999999999996E-2</c:v>
                </c:pt>
                <c:pt idx="447">
                  <c:v>8.3650000000000002E-2</c:v>
                </c:pt>
                <c:pt idx="448">
                  <c:v>7.3899999999999993E-2</c:v>
                </c:pt>
                <c:pt idx="449">
                  <c:v>6.3619999999999996E-2</c:v>
                </c:pt>
                <c:pt idx="450">
                  <c:v>6.2820000000000001E-2</c:v>
                </c:pt>
                <c:pt idx="451">
                  <c:v>6.3039999999999999E-2</c:v>
                </c:pt>
                <c:pt idx="452">
                  <c:v>6.4699999999999994E-2</c:v>
                </c:pt>
                <c:pt idx="453">
                  <c:v>6.5299999999999997E-2</c:v>
                </c:pt>
                <c:pt idx="454">
                  <c:v>6.3500000000000001E-2</c:v>
                </c:pt>
                <c:pt idx="455">
                  <c:v>6.4769999999999994E-2</c:v>
                </c:pt>
                <c:pt idx="456">
                  <c:v>6.6059999999999994E-2</c:v>
                </c:pt>
                <c:pt idx="457">
                  <c:v>7.1599999999999997E-2</c:v>
                </c:pt>
                <c:pt idx="458">
                  <c:v>7.2410000000000002E-2</c:v>
                </c:pt>
                <c:pt idx="459">
                  <c:v>7.3349999999999999E-2</c:v>
                </c:pt>
                <c:pt idx="460">
                  <c:v>7.4789999999999995E-2</c:v>
                </c:pt>
                <c:pt idx="461">
                  <c:v>7.3400000000000007E-2</c:v>
                </c:pt>
                <c:pt idx="462">
                  <c:v>7.4829999999999994E-2</c:v>
                </c:pt>
                <c:pt idx="463">
                  <c:v>7.4109999999999995E-2</c:v>
                </c:pt>
                <c:pt idx="464">
                  <c:v>7.1230000000000002E-2</c:v>
                </c:pt>
                <c:pt idx="465">
                  <c:v>7.4109999999999995E-2</c:v>
                </c:pt>
                <c:pt idx="466">
                  <c:v>7.6119999999999993E-2</c:v>
                </c:pt>
                <c:pt idx="467">
                  <c:v>7.3789999999999994E-2</c:v>
                </c:pt>
                <c:pt idx="468">
                  <c:v>7.1650000000000005E-2</c:v>
                </c:pt>
                <c:pt idx="469">
                  <c:v>7.4630000000000002E-2</c:v>
                </c:pt>
                <c:pt idx="470">
                  <c:v>7.5819999999999999E-2</c:v>
                </c:pt>
                <c:pt idx="471">
                  <c:v>7.7240000000000003E-2</c:v>
                </c:pt>
                <c:pt idx="472">
                  <c:v>7.8869999999999996E-2</c:v>
                </c:pt>
                <c:pt idx="473">
                  <c:v>7.8619999999999995E-2</c:v>
                </c:pt>
                <c:pt idx="474">
                  <c:v>7.9990000000000006E-2</c:v>
                </c:pt>
                <c:pt idx="475">
                  <c:v>7.9759999999999998E-2</c:v>
                </c:pt>
                <c:pt idx="476">
                  <c:v>7.4230000000000004E-2</c:v>
                </c:pt>
                <c:pt idx="477">
                  <c:v>7.1069999999999994E-2</c:v>
                </c:pt>
                <c:pt idx="478">
                  <c:v>7.0190000000000002E-2</c:v>
                </c:pt>
                <c:pt idx="479">
                  <c:v>7.6319999999999999E-2</c:v>
                </c:pt>
                <c:pt idx="480">
                  <c:v>7.5340000000000004E-2</c:v>
                </c:pt>
                <c:pt idx="481">
                  <c:v>7.5200000000000003E-2</c:v>
                </c:pt>
                <c:pt idx="482">
                  <c:v>7.4069999999999997E-2</c:v>
                </c:pt>
                <c:pt idx="483">
                  <c:v>7.7549999999999994E-2</c:v>
                </c:pt>
                <c:pt idx="484">
                  <c:v>8.4339999999999998E-2</c:v>
                </c:pt>
                <c:pt idx="485">
                  <c:v>8.8779999999999998E-2</c:v>
                </c:pt>
                <c:pt idx="486">
                  <c:v>7.9659999999999995E-2</c:v>
                </c:pt>
                <c:pt idx="487">
                  <c:v>7.8890000000000002E-2</c:v>
                </c:pt>
                <c:pt idx="488">
                  <c:v>7.9759999999999998E-2</c:v>
                </c:pt>
                <c:pt idx="489">
                  <c:v>7.6480000000000006E-2</c:v>
                </c:pt>
                <c:pt idx="490">
                  <c:v>7.5560000000000002E-2</c:v>
                </c:pt>
                <c:pt idx="491">
                  <c:v>6.8820000000000006E-2</c:v>
                </c:pt>
                <c:pt idx="492">
                  <c:v>7.2720000000000007E-2</c:v>
                </c:pt>
                <c:pt idx="493">
                  <c:v>6.9959999999999994E-2</c:v>
                </c:pt>
                <c:pt idx="494">
                  <c:v>7.8839999999999993E-2</c:v>
                </c:pt>
                <c:pt idx="495">
                  <c:v>8.0939999999999998E-2</c:v>
                </c:pt>
                <c:pt idx="496">
                  <c:v>7.8850000000000003E-2</c:v>
                </c:pt>
                <c:pt idx="497">
                  <c:v>7.9869999999999997E-2</c:v>
                </c:pt>
                <c:pt idx="498">
                  <c:v>7.8509999999999996E-2</c:v>
                </c:pt>
                <c:pt idx="499">
                  <c:v>7.9250000000000001E-2</c:v>
                </c:pt>
                <c:pt idx="500">
                  <c:v>8.2350000000000007E-2</c:v>
                </c:pt>
                <c:pt idx="501">
                  <c:v>8.1739999999999993E-2</c:v>
                </c:pt>
                <c:pt idx="502">
                  <c:v>8.4809999999999997E-2</c:v>
                </c:pt>
                <c:pt idx="503">
                  <c:v>8.5400000000000004E-2</c:v>
                </c:pt>
                <c:pt idx="504">
                  <c:v>8.2189999999999999E-2</c:v>
                </c:pt>
                <c:pt idx="505">
                  <c:v>7.7539999999999998E-2</c:v>
                </c:pt>
                <c:pt idx="506">
                  <c:v>7.3630000000000001E-2</c:v>
                </c:pt>
                <c:pt idx="507">
                  <c:v>7.6990000000000003E-2</c:v>
                </c:pt>
                <c:pt idx="508">
                  <c:v>7.8369999999999995E-2</c:v>
                </c:pt>
                <c:pt idx="509">
                  <c:v>7.8539999999999999E-2</c:v>
                </c:pt>
                <c:pt idx="510">
                  <c:v>8.763E-2</c:v>
                </c:pt>
                <c:pt idx="511">
                  <c:v>8.2379999999999995E-2</c:v>
                </c:pt>
                <c:pt idx="512">
                  <c:v>0.10036</c:v>
                </c:pt>
                <c:pt idx="513">
                  <c:v>0.10051</c:v>
                </c:pt>
                <c:pt idx="514">
                  <c:v>9.8460000000000006E-2</c:v>
                </c:pt>
                <c:pt idx="515">
                  <c:v>0.10348</c:v>
                </c:pt>
                <c:pt idx="516">
                  <c:v>0.10940999999999999</c:v>
                </c:pt>
                <c:pt idx="517">
                  <c:v>0.10632</c:v>
                </c:pt>
                <c:pt idx="518">
                  <c:v>9.4729999999999995E-2</c:v>
                </c:pt>
                <c:pt idx="519">
                  <c:v>8.6999999999999994E-2</c:v>
                </c:pt>
                <c:pt idx="520">
                  <c:v>8.5730000000000001E-2</c:v>
                </c:pt>
                <c:pt idx="521">
                  <c:v>9.1990000000000002E-2</c:v>
                </c:pt>
                <c:pt idx="522">
                  <c:v>9.1929999999999998E-2</c:v>
                </c:pt>
                <c:pt idx="523">
                  <c:v>9.69E-2</c:v>
                </c:pt>
                <c:pt idx="524">
                  <c:v>9.3780000000000002E-2</c:v>
                </c:pt>
                <c:pt idx="525">
                  <c:v>9.1310000000000002E-2</c:v>
                </c:pt>
                <c:pt idx="526">
                  <c:v>8.2750000000000004E-2</c:v>
                </c:pt>
                <c:pt idx="527">
                  <c:v>9.0219999999999995E-2</c:v>
                </c:pt>
                <c:pt idx="528">
                  <c:v>9.5799999999999996E-2</c:v>
                </c:pt>
                <c:pt idx="529">
                  <c:v>9.8599999999999993E-2</c:v>
                </c:pt>
                <c:pt idx="530">
                  <c:v>9.8879999999999996E-2</c:v>
                </c:pt>
                <c:pt idx="531">
                  <c:v>9.529E-2</c:v>
                </c:pt>
                <c:pt idx="532">
                  <c:v>9.2249999999999999E-2</c:v>
                </c:pt>
                <c:pt idx="533">
                  <c:v>9.8390000000000005E-2</c:v>
                </c:pt>
                <c:pt idx="534">
                  <c:v>9.0569999999999998E-2</c:v>
                </c:pt>
                <c:pt idx="535">
                  <c:v>0.10138999999999999</c:v>
                </c:pt>
                <c:pt idx="536">
                  <c:v>9.9720000000000003E-2</c:v>
                </c:pt>
                <c:pt idx="537">
                  <c:v>0.10281</c:v>
                </c:pt>
                <c:pt idx="538">
                  <c:v>7.4840000000000004E-2</c:v>
                </c:pt>
                <c:pt idx="539">
                  <c:v>5.8220000000000001E-2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5-4076-B41E-4F68C6749D7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22.043878104046879</c:v>
                </c:pt>
                <c:pt idx="1">
                  <c:v>22.111496642532682</c:v>
                </c:pt>
                <c:pt idx="2">
                  <c:v>22.325304533641969</c:v>
                </c:pt>
                <c:pt idx="3">
                  <c:v>22.288370290370999</c:v>
                </c:pt>
                <c:pt idx="4">
                  <c:v>21.937876692796515</c:v>
                </c:pt>
                <c:pt idx="5">
                  <c:v>21.711905633334151</c:v>
                </c:pt>
                <c:pt idx="6">
                  <c:v>21.550556523093636</c:v>
                </c:pt>
                <c:pt idx="7">
                  <c:v>21.966623437749512</c:v>
                </c:pt>
                <c:pt idx="8">
                  <c:v>22.196642917966042</c:v>
                </c:pt>
                <c:pt idx="9">
                  <c:v>22.332693280690499</c:v>
                </c:pt>
                <c:pt idx="10">
                  <c:v>22.317888479312085</c:v>
                </c:pt>
                <c:pt idx="11">
                  <c:v>22.553556441977928</c:v>
                </c:pt>
                <c:pt idx="12">
                  <c:v>22.408665681438588</c:v>
                </c:pt>
                <c:pt idx="13">
                  <c:v>22.41048609186841</c:v>
                </c:pt>
                <c:pt idx="14">
                  <c:v>22.308259614354949</c:v>
                </c:pt>
                <c:pt idx="15">
                  <c:v>22.553030851048867</c:v>
                </c:pt>
                <c:pt idx="16">
                  <c:v>22.311717564917515</c:v>
                </c:pt>
                <c:pt idx="17">
                  <c:v>22.068682889090741</c:v>
                </c:pt>
                <c:pt idx="18">
                  <c:v>22.040894165716139</c:v>
                </c:pt>
                <c:pt idx="19">
                  <c:v>22.055340988809661</c:v>
                </c:pt>
                <c:pt idx="20">
                  <c:v>22.177282187196653</c:v>
                </c:pt>
                <c:pt idx="21">
                  <c:v>22.863192091999085</c:v>
                </c:pt>
                <c:pt idx="22">
                  <c:v>21.848827479298119</c:v>
                </c:pt>
                <c:pt idx="23">
                  <c:v>21.92411190789106</c:v>
                </c:pt>
                <c:pt idx="24">
                  <c:v>22.027078302052974</c:v>
                </c:pt>
                <c:pt idx="25">
                  <c:v>22.11406594896696</c:v>
                </c:pt>
                <c:pt idx="26">
                  <c:v>22.081894614638863</c:v>
                </c:pt>
                <c:pt idx="27">
                  <c:v>21.964980642474998</c:v>
                </c:pt>
                <c:pt idx="28">
                  <c:v>22.066585474804839</c:v>
                </c:pt>
                <c:pt idx="29">
                  <c:v>22.002173626485344</c:v>
                </c:pt>
                <c:pt idx="30">
                  <c:v>22.234859263308426</c:v>
                </c:pt>
                <c:pt idx="31">
                  <c:v>22.69289043568558</c:v>
                </c:pt>
                <c:pt idx="32">
                  <c:v>23.046164650886226</c:v>
                </c:pt>
                <c:pt idx="33">
                  <c:v>22.816682709601448</c:v>
                </c:pt>
                <c:pt idx="34">
                  <c:v>22.577697668365435</c:v>
                </c:pt>
                <c:pt idx="35">
                  <c:v>23.111247633464721</c:v>
                </c:pt>
                <c:pt idx="36">
                  <c:v>22.580769056880346</c:v>
                </c:pt>
                <c:pt idx="37">
                  <c:v>22.650402349483556</c:v>
                </c:pt>
                <c:pt idx="38">
                  <c:v>22.375255308829708</c:v>
                </c:pt>
                <c:pt idx="39">
                  <c:v>22.291326626475634</c:v>
                </c:pt>
                <c:pt idx="40">
                  <c:v>22.913365068740593</c:v>
                </c:pt>
                <c:pt idx="41">
                  <c:v>22.440591671381029</c:v>
                </c:pt>
                <c:pt idx="42">
                  <c:v>22.508581979466136</c:v>
                </c:pt>
                <c:pt idx="43">
                  <c:v>22.832220311362121</c:v>
                </c:pt>
                <c:pt idx="44">
                  <c:v>22.421442208499649</c:v>
                </c:pt>
                <c:pt idx="45">
                  <c:v>22.29339824033142</c:v>
                </c:pt>
                <c:pt idx="46">
                  <c:v>22.680873978770137</c:v>
                </c:pt>
                <c:pt idx="47">
                  <c:v>22.410477678617738</c:v>
                </c:pt>
                <c:pt idx="48">
                  <c:v>22.386117440575781</c:v>
                </c:pt>
                <c:pt idx="49">
                  <c:v>22.873444973788686</c:v>
                </c:pt>
                <c:pt idx="50">
                  <c:v>23.477674537320063</c:v>
                </c:pt>
                <c:pt idx="51">
                  <c:v>23.16207030781764</c:v>
                </c:pt>
                <c:pt idx="52">
                  <c:v>23.503349177314483</c:v>
                </c:pt>
                <c:pt idx="53">
                  <c:v>22.892656012422322</c:v>
                </c:pt>
                <c:pt idx="54">
                  <c:v>23.329292307509036</c:v>
                </c:pt>
                <c:pt idx="55">
                  <c:v>21.294585974690662</c:v>
                </c:pt>
                <c:pt idx="56">
                  <c:v>21.647790178114132</c:v>
                </c:pt>
                <c:pt idx="57">
                  <c:v>21.533554295864494</c:v>
                </c:pt>
                <c:pt idx="58">
                  <c:v>21.873732061378814</c:v>
                </c:pt>
                <c:pt idx="59">
                  <c:v>22.251151800368909</c:v>
                </c:pt>
                <c:pt idx="60">
                  <c:v>22.973914103833334</c:v>
                </c:pt>
                <c:pt idx="61">
                  <c:v>21.595244654711873</c:v>
                </c:pt>
                <c:pt idx="62">
                  <c:v>21.367727828643176</c:v>
                </c:pt>
                <c:pt idx="63">
                  <c:v>22.291709569397689</c:v>
                </c:pt>
                <c:pt idx="64">
                  <c:v>22.860080589504538</c:v>
                </c:pt>
                <c:pt idx="65">
                  <c:v>22.062010715390581</c:v>
                </c:pt>
                <c:pt idx="66">
                  <c:v>23.197010367110526</c:v>
                </c:pt>
                <c:pt idx="67">
                  <c:v>21.29026514397734</c:v>
                </c:pt>
                <c:pt idx="68">
                  <c:v>22.317187539278766</c:v>
                </c:pt>
                <c:pt idx="69">
                  <c:v>22.787302013536376</c:v>
                </c:pt>
                <c:pt idx="70">
                  <c:v>19.809687229130869</c:v>
                </c:pt>
                <c:pt idx="71">
                  <c:v>17.971015075130872</c:v>
                </c:pt>
                <c:pt idx="72">
                  <c:v>17.691994970737724</c:v>
                </c:pt>
                <c:pt idx="73">
                  <c:v>16.44570150915575</c:v>
                </c:pt>
                <c:pt idx="74">
                  <c:v>16.713987840282428</c:v>
                </c:pt>
                <c:pt idx="75">
                  <c:v>16.837056436890432</c:v>
                </c:pt>
                <c:pt idx="76">
                  <c:v>19.489847509397297</c:v>
                </c:pt>
                <c:pt idx="77">
                  <c:v>16.410623662635135</c:v>
                </c:pt>
                <c:pt idx="78">
                  <c:v>16.216142861117255</c:v>
                </c:pt>
                <c:pt idx="79">
                  <c:v>16.484243360301654</c:v>
                </c:pt>
                <c:pt idx="80">
                  <c:v>16.896501438856099</c:v>
                </c:pt>
                <c:pt idx="81">
                  <c:v>17.426111454147058</c:v>
                </c:pt>
                <c:pt idx="82">
                  <c:v>17.661469381312415</c:v>
                </c:pt>
                <c:pt idx="83">
                  <c:v>17.899891803235729</c:v>
                </c:pt>
                <c:pt idx="84">
                  <c:v>17.389523409756173</c:v>
                </c:pt>
                <c:pt idx="85">
                  <c:v>18.636404305684028</c:v>
                </c:pt>
                <c:pt idx="86">
                  <c:v>19.48186330767129</c:v>
                </c:pt>
                <c:pt idx="87">
                  <c:v>20.876374825967584</c:v>
                </c:pt>
                <c:pt idx="88">
                  <c:v>21.403138300983638</c:v>
                </c:pt>
                <c:pt idx="89">
                  <c:v>28.83471364555681</c:v>
                </c:pt>
                <c:pt idx="90">
                  <c:v>23.752612387378125</c:v>
                </c:pt>
                <c:pt idx="91">
                  <c:v>18.58145489307584</c:v>
                </c:pt>
                <c:pt idx="92">
                  <c:v>18.104599813634213</c:v>
                </c:pt>
                <c:pt idx="93">
                  <c:v>18.230816544492527</c:v>
                </c:pt>
                <c:pt idx="94">
                  <c:v>18.351988703731106</c:v>
                </c:pt>
                <c:pt idx="95">
                  <c:v>18.241179481557193</c:v>
                </c:pt>
                <c:pt idx="96">
                  <c:v>18.237254160777972</c:v>
                </c:pt>
                <c:pt idx="97">
                  <c:v>18.203072696564774</c:v>
                </c:pt>
                <c:pt idx="98">
                  <c:v>18.232722285514903</c:v>
                </c:pt>
                <c:pt idx="99">
                  <c:v>18.376293854876611</c:v>
                </c:pt>
                <c:pt idx="100">
                  <c:v>18.317114250195207</c:v>
                </c:pt>
                <c:pt idx="101">
                  <c:v>18.200830527948508</c:v>
                </c:pt>
                <c:pt idx="102">
                  <c:v>18.23329992935696</c:v>
                </c:pt>
                <c:pt idx="103">
                  <c:v>18.298840847325707</c:v>
                </c:pt>
                <c:pt idx="104">
                  <c:v>18.304167178476394</c:v>
                </c:pt>
                <c:pt idx="105">
                  <c:v>18.294354482350485</c:v>
                </c:pt>
                <c:pt idx="106">
                  <c:v>18.294035703703621</c:v>
                </c:pt>
                <c:pt idx="107">
                  <c:v>18.20329441428105</c:v>
                </c:pt>
                <c:pt idx="108">
                  <c:v>18.137048852184275</c:v>
                </c:pt>
                <c:pt idx="109">
                  <c:v>18.176169560607214</c:v>
                </c:pt>
                <c:pt idx="110">
                  <c:v>18.286212810607211</c:v>
                </c:pt>
                <c:pt idx="111">
                  <c:v>18.111587220607213</c:v>
                </c:pt>
                <c:pt idx="112">
                  <c:v>17.973460943548393</c:v>
                </c:pt>
                <c:pt idx="113">
                  <c:v>17.915356483437893</c:v>
                </c:pt>
                <c:pt idx="114">
                  <c:v>17.827472067261024</c:v>
                </c:pt>
                <c:pt idx="115">
                  <c:v>17.643189877310409</c:v>
                </c:pt>
                <c:pt idx="116">
                  <c:v>17.76492168639793</c:v>
                </c:pt>
                <c:pt idx="117">
                  <c:v>17.709868246164014</c:v>
                </c:pt>
                <c:pt idx="118">
                  <c:v>17.778412990618559</c:v>
                </c:pt>
                <c:pt idx="119">
                  <c:v>17.61079401793199</c:v>
                </c:pt>
                <c:pt idx="120">
                  <c:v>17.518523142480664</c:v>
                </c:pt>
                <c:pt idx="121">
                  <c:v>17.484508009112243</c:v>
                </c:pt>
                <c:pt idx="122">
                  <c:v>17.712551632893632</c:v>
                </c:pt>
                <c:pt idx="123">
                  <c:v>17.920259082893629</c:v>
                </c:pt>
                <c:pt idx="124">
                  <c:v>17.896325320338743</c:v>
                </c:pt>
                <c:pt idx="125">
                  <c:v>17.882727341467458</c:v>
                </c:pt>
                <c:pt idx="126">
                  <c:v>17.884735947753171</c:v>
                </c:pt>
                <c:pt idx="127">
                  <c:v>17.799368406954795</c:v>
                </c:pt>
                <c:pt idx="128">
                  <c:v>17.662186091425042</c:v>
                </c:pt>
                <c:pt idx="129">
                  <c:v>17.820193518118671</c:v>
                </c:pt>
                <c:pt idx="130">
                  <c:v>17.890851449603609</c:v>
                </c:pt>
                <c:pt idx="131">
                  <c:v>17.907275081079437</c:v>
                </c:pt>
                <c:pt idx="132">
                  <c:v>17.907639168829434</c:v>
                </c:pt>
                <c:pt idx="133">
                  <c:v>17.958906936204183</c:v>
                </c:pt>
                <c:pt idx="134">
                  <c:v>18.035384636890107</c:v>
                </c:pt>
                <c:pt idx="135">
                  <c:v>17.939995734204391</c:v>
                </c:pt>
                <c:pt idx="136">
                  <c:v>17.862156754887124</c:v>
                </c:pt>
                <c:pt idx="137">
                  <c:v>17.777396089632887</c:v>
                </c:pt>
                <c:pt idx="138">
                  <c:v>17.720913169269249</c:v>
                </c:pt>
                <c:pt idx="139">
                  <c:v>17.721410914524348</c:v>
                </c:pt>
                <c:pt idx="140">
                  <c:v>17.821786807982722</c:v>
                </c:pt>
                <c:pt idx="141">
                  <c:v>17.753771822311993</c:v>
                </c:pt>
                <c:pt idx="142">
                  <c:v>17.528150411323661</c:v>
                </c:pt>
                <c:pt idx="143">
                  <c:v>17.782087371442451</c:v>
                </c:pt>
                <c:pt idx="144">
                  <c:v>17.766864716130797</c:v>
                </c:pt>
                <c:pt idx="145">
                  <c:v>17.532276495642993</c:v>
                </c:pt>
                <c:pt idx="146">
                  <c:v>17.262334293473547</c:v>
                </c:pt>
                <c:pt idx="147">
                  <c:v>17.383088758813052</c:v>
                </c:pt>
                <c:pt idx="148">
                  <c:v>17.442941446920468</c:v>
                </c:pt>
                <c:pt idx="149">
                  <c:v>17.143206520903025</c:v>
                </c:pt>
                <c:pt idx="150">
                  <c:v>17.291406601011136</c:v>
                </c:pt>
                <c:pt idx="151">
                  <c:v>18.033968005697133</c:v>
                </c:pt>
                <c:pt idx="152">
                  <c:v>17.515600167120294</c:v>
                </c:pt>
                <c:pt idx="153">
                  <c:v>17.599500755962737</c:v>
                </c:pt>
                <c:pt idx="154">
                  <c:v>17.247427956701522</c:v>
                </c:pt>
                <c:pt idx="155">
                  <c:v>17.649566327864395</c:v>
                </c:pt>
                <c:pt idx="156">
                  <c:v>17.025914793380487</c:v>
                </c:pt>
                <c:pt idx="157">
                  <c:v>17.389662427914818</c:v>
                </c:pt>
                <c:pt idx="158">
                  <c:v>17.037969983629619</c:v>
                </c:pt>
                <c:pt idx="159">
                  <c:v>16.995325407659166</c:v>
                </c:pt>
                <c:pt idx="160">
                  <c:v>17.180224543671294</c:v>
                </c:pt>
                <c:pt idx="161">
                  <c:v>17.008506404431053</c:v>
                </c:pt>
                <c:pt idx="162">
                  <c:v>16.756276730753839</c:v>
                </c:pt>
                <c:pt idx="163">
                  <c:v>16.799381913567743</c:v>
                </c:pt>
                <c:pt idx="164">
                  <c:v>17.180409199925414</c:v>
                </c:pt>
                <c:pt idx="165">
                  <c:v>17.586923399451873</c:v>
                </c:pt>
                <c:pt idx="166">
                  <c:v>17.376145628321819</c:v>
                </c:pt>
                <c:pt idx="167">
                  <c:v>17.27708967459829</c:v>
                </c:pt>
                <c:pt idx="168">
                  <c:v>17.080243012493057</c:v>
                </c:pt>
                <c:pt idx="169">
                  <c:v>17.113240965049631</c:v>
                </c:pt>
                <c:pt idx="170">
                  <c:v>17.316874267272251</c:v>
                </c:pt>
                <c:pt idx="171">
                  <c:v>16.921486035733061</c:v>
                </c:pt>
                <c:pt idx="172">
                  <c:v>16.759091182698501</c:v>
                </c:pt>
                <c:pt idx="173">
                  <c:v>16.923267545779392</c:v>
                </c:pt>
                <c:pt idx="174">
                  <c:v>16.673463750962458</c:v>
                </c:pt>
                <c:pt idx="175">
                  <c:v>16.514108334490462</c:v>
                </c:pt>
                <c:pt idx="176">
                  <c:v>16.296134717343651</c:v>
                </c:pt>
                <c:pt idx="177">
                  <c:v>16.104077622759984</c:v>
                </c:pt>
                <c:pt idx="178">
                  <c:v>15.992421432340912</c:v>
                </c:pt>
                <c:pt idx="179">
                  <c:v>16.022995619790159</c:v>
                </c:pt>
                <c:pt idx="180">
                  <c:v>16.230295185654384</c:v>
                </c:pt>
                <c:pt idx="181">
                  <c:v>16.188230970178122</c:v>
                </c:pt>
                <c:pt idx="182">
                  <c:v>15.959318231514366</c:v>
                </c:pt>
                <c:pt idx="183">
                  <c:v>15.770565448529291</c:v>
                </c:pt>
                <c:pt idx="184">
                  <c:v>15.778655185206215</c:v>
                </c:pt>
                <c:pt idx="185">
                  <c:v>15.669161631408047</c:v>
                </c:pt>
                <c:pt idx="186">
                  <c:v>16.054413300231197</c:v>
                </c:pt>
                <c:pt idx="187">
                  <c:v>16.000362546174394</c:v>
                </c:pt>
                <c:pt idx="188">
                  <c:v>15.889234851289444</c:v>
                </c:pt>
                <c:pt idx="189">
                  <c:v>15.241615947518993</c:v>
                </c:pt>
                <c:pt idx="190">
                  <c:v>15.18156982157373</c:v>
                </c:pt>
                <c:pt idx="191">
                  <c:v>14.956432727596056</c:v>
                </c:pt>
                <c:pt idx="192">
                  <c:v>15.026107836176445</c:v>
                </c:pt>
                <c:pt idx="193">
                  <c:v>15.162003950603292</c:v>
                </c:pt>
                <c:pt idx="194">
                  <c:v>15.290297819299914</c:v>
                </c:pt>
                <c:pt idx="195">
                  <c:v>15.252863806662042</c:v>
                </c:pt>
                <c:pt idx="196">
                  <c:v>15.600638694406141</c:v>
                </c:pt>
                <c:pt idx="197">
                  <c:v>16.136306618683978</c:v>
                </c:pt>
                <c:pt idx="198">
                  <c:v>15.713236677598157</c:v>
                </c:pt>
                <c:pt idx="199">
                  <c:v>15.990217439427189</c:v>
                </c:pt>
                <c:pt idx="200">
                  <c:v>16.213429546818496</c:v>
                </c:pt>
                <c:pt idx="201">
                  <c:v>16.315366292710483</c:v>
                </c:pt>
                <c:pt idx="202">
                  <c:v>16.005469462432107</c:v>
                </c:pt>
                <c:pt idx="203">
                  <c:v>15.582361978205105</c:v>
                </c:pt>
                <c:pt idx="204">
                  <c:v>16.618362416781263</c:v>
                </c:pt>
                <c:pt idx="205">
                  <c:v>16.378200862819192</c:v>
                </c:pt>
                <c:pt idx="206">
                  <c:v>16.230591731035709</c:v>
                </c:pt>
                <c:pt idx="207">
                  <c:v>16.286721077410952</c:v>
                </c:pt>
                <c:pt idx="208">
                  <c:v>16.233689572964444</c:v>
                </c:pt>
                <c:pt idx="209">
                  <c:v>16.2016658524302</c:v>
                </c:pt>
                <c:pt idx="210">
                  <c:v>16.188738402882294</c:v>
                </c:pt>
                <c:pt idx="211">
                  <c:v>16.225724920410638</c:v>
                </c:pt>
                <c:pt idx="212">
                  <c:v>16.070032809437542</c:v>
                </c:pt>
                <c:pt idx="213">
                  <c:v>16.00510206692022</c:v>
                </c:pt>
                <c:pt idx="214">
                  <c:v>15.964689909625674</c:v>
                </c:pt>
                <c:pt idx="215">
                  <c:v>15.893153701923302</c:v>
                </c:pt>
                <c:pt idx="216">
                  <c:v>15.874534391060173</c:v>
                </c:pt>
                <c:pt idx="217">
                  <c:v>15.983774858850271</c:v>
                </c:pt>
                <c:pt idx="218">
                  <c:v>15.918920407529551</c:v>
                </c:pt>
                <c:pt idx="219">
                  <c:v>15.742015797947126</c:v>
                </c:pt>
                <c:pt idx="220">
                  <c:v>15.75533350903282</c:v>
                </c:pt>
                <c:pt idx="221">
                  <c:v>15.974756437554557</c:v>
                </c:pt>
                <c:pt idx="222">
                  <c:v>15.931351828735478</c:v>
                </c:pt>
                <c:pt idx="223">
                  <c:v>15.967197758530492</c:v>
                </c:pt>
                <c:pt idx="224">
                  <c:v>15.980192489887635</c:v>
                </c:pt>
                <c:pt idx="225">
                  <c:v>16.007058027765844</c:v>
                </c:pt>
                <c:pt idx="226">
                  <c:v>16.114091309071696</c:v>
                </c:pt>
                <c:pt idx="227">
                  <c:v>16.135549696600922</c:v>
                </c:pt>
                <c:pt idx="228">
                  <c:v>16.05513616478083</c:v>
                </c:pt>
                <c:pt idx="229">
                  <c:v>15.980311322312785</c:v>
                </c:pt>
                <c:pt idx="230">
                  <c:v>15.999721744698375</c:v>
                </c:pt>
                <c:pt idx="231">
                  <c:v>16.238549520924504</c:v>
                </c:pt>
                <c:pt idx="232">
                  <c:v>16.274147040334721</c:v>
                </c:pt>
                <c:pt idx="233">
                  <c:v>16.14778983373947</c:v>
                </c:pt>
                <c:pt idx="234">
                  <c:v>16.090418034334263</c:v>
                </c:pt>
                <c:pt idx="235">
                  <c:v>16.18071731846862</c:v>
                </c:pt>
                <c:pt idx="236">
                  <c:v>16.156048717447408</c:v>
                </c:pt>
                <c:pt idx="237">
                  <c:v>16.256370628018502</c:v>
                </c:pt>
                <c:pt idx="238">
                  <c:v>16.33281194964901</c:v>
                </c:pt>
                <c:pt idx="239">
                  <c:v>16.254947458106678</c:v>
                </c:pt>
                <c:pt idx="240">
                  <c:v>16.190792734170209</c:v>
                </c:pt>
                <c:pt idx="241">
                  <c:v>16.207530662653067</c:v>
                </c:pt>
                <c:pt idx="242">
                  <c:v>16.057711339872693</c:v>
                </c:pt>
                <c:pt idx="243">
                  <c:v>16.014016766085707</c:v>
                </c:pt>
                <c:pt idx="244">
                  <c:v>16.082181840417242</c:v>
                </c:pt>
                <c:pt idx="245">
                  <c:v>16.251740715928353</c:v>
                </c:pt>
                <c:pt idx="246">
                  <c:v>16.447510714943739</c:v>
                </c:pt>
                <c:pt idx="247">
                  <c:v>15.846401187823794</c:v>
                </c:pt>
                <c:pt idx="248">
                  <c:v>15.834628027986779</c:v>
                </c:pt>
                <c:pt idx="249">
                  <c:v>15.279270287483708</c:v>
                </c:pt>
                <c:pt idx="250">
                  <c:v>15.369956861643049</c:v>
                </c:pt>
                <c:pt idx="251">
                  <c:v>15.386543130280199</c:v>
                </c:pt>
                <c:pt idx="252">
                  <c:v>15.493020761076641</c:v>
                </c:pt>
                <c:pt idx="253">
                  <c:v>15.083072141035778</c:v>
                </c:pt>
                <c:pt idx="254">
                  <c:v>15.245625451528351</c:v>
                </c:pt>
                <c:pt idx="255">
                  <c:v>15.368402370974376</c:v>
                </c:pt>
                <c:pt idx="256">
                  <c:v>15.529580324694715</c:v>
                </c:pt>
                <c:pt idx="257">
                  <c:v>15.560586256724491</c:v>
                </c:pt>
                <c:pt idx="258">
                  <c:v>15.70757305295183</c:v>
                </c:pt>
                <c:pt idx="259">
                  <c:v>15.672735262053038</c:v>
                </c:pt>
                <c:pt idx="260">
                  <c:v>15.613738511579207</c:v>
                </c:pt>
                <c:pt idx="261">
                  <c:v>15.773561641509543</c:v>
                </c:pt>
                <c:pt idx="262">
                  <c:v>15.565450088799345</c:v>
                </c:pt>
                <c:pt idx="263">
                  <c:v>15.668246525677093</c:v>
                </c:pt>
                <c:pt idx="264">
                  <c:v>15.499411528373336</c:v>
                </c:pt>
                <c:pt idx="265">
                  <c:v>15.580647352179978</c:v>
                </c:pt>
                <c:pt idx="266">
                  <c:v>15.788996824561076</c:v>
                </c:pt>
                <c:pt idx="267">
                  <c:v>15.393558601481478</c:v>
                </c:pt>
                <c:pt idx="268">
                  <c:v>15.147958291556861</c:v>
                </c:pt>
                <c:pt idx="269">
                  <c:v>15.374056345046542</c:v>
                </c:pt>
                <c:pt idx="270">
                  <c:v>15.542153060767584</c:v>
                </c:pt>
                <c:pt idx="271">
                  <c:v>15.591498607886939</c:v>
                </c:pt>
                <c:pt idx="272">
                  <c:v>15.56645987638786</c:v>
                </c:pt>
                <c:pt idx="273">
                  <c:v>15.396270231569678</c:v>
                </c:pt>
                <c:pt idx="274">
                  <c:v>15.406520285333828</c:v>
                </c:pt>
                <c:pt idx="275">
                  <c:v>14.608956742800473</c:v>
                </c:pt>
                <c:pt idx="276">
                  <c:v>14.416179742550009</c:v>
                </c:pt>
                <c:pt idx="277">
                  <c:v>14.159186946063318</c:v>
                </c:pt>
                <c:pt idx="278">
                  <c:v>14.184114971234715</c:v>
                </c:pt>
                <c:pt idx="279">
                  <c:v>14.414938805176249</c:v>
                </c:pt>
                <c:pt idx="280">
                  <c:v>13.763805209664842</c:v>
                </c:pt>
                <c:pt idx="281">
                  <c:v>14.02263041530539</c:v>
                </c:pt>
                <c:pt idx="282">
                  <c:v>14.393347244328613</c:v>
                </c:pt>
                <c:pt idx="283">
                  <c:v>13.762651225154368</c:v>
                </c:pt>
                <c:pt idx="284">
                  <c:v>13.666845770339956</c:v>
                </c:pt>
                <c:pt idx="285">
                  <c:v>13.431568126641398</c:v>
                </c:pt>
                <c:pt idx="286">
                  <c:v>12.938937341806049</c:v>
                </c:pt>
                <c:pt idx="287">
                  <c:v>12.291766555331581</c:v>
                </c:pt>
                <c:pt idx="288">
                  <c:v>11.792511165550366</c:v>
                </c:pt>
                <c:pt idx="289">
                  <c:v>11.637829883031005</c:v>
                </c:pt>
                <c:pt idx="290">
                  <c:v>11.456990876790146</c:v>
                </c:pt>
                <c:pt idx="291">
                  <c:v>11.33948165179231</c:v>
                </c:pt>
                <c:pt idx="292">
                  <c:v>11.397170511512465</c:v>
                </c:pt>
                <c:pt idx="293">
                  <c:v>11.338773235833605</c:v>
                </c:pt>
                <c:pt idx="294">
                  <c:v>11.56984016843086</c:v>
                </c:pt>
                <c:pt idx="295">
                  <c:v>11.391827932537954</c:v>
                </c:pt>
                <c:pt idx="296">
                  <c:v>11.187959542124796</c:v>
                </c:pt>
                <c:pt idx="297">
                  <c:v>11.223593574061363</c:v>
                </c:pt>
                <c:pt idx="298">
                  <c:v>10.844491250793981</c:v>
                </c:pt>
                <c:pt idx="299">
                  <c:v>10.591632268043542</c:v>
                </c:pt>
                <c:pt idx="300">
                  <c:v>10.955644761273703</c:v>
                </c:pt>
                <c:pt idx="301">
                  <c:v>10.921540903166598</c:v>
                </c:pt>
                <c:pt idx="302">
                  <c:v>11.088297751472313</c:v>
                </c:pt>
                <c:pt idx="303">
                  <c:v>11.178461533964814</c:v>
                </c:pt>
                <c:pt idx="304">
                  <c:v>11.115646206402126</c:v>
                </c:pt>
                <c:pt idx="305">
                  <c:v>11.460144598140275</c:v>
                </c:pt>
                <c:pt idx="306">
                  <c:v>10.084861974538487</c:v>
                </c:pt>
                <c:pt idx="307">
                  <c:v>10.032921671408596</c:v>
                </c:pt>
                <c:pt idx="308">
                  <c:v>9.79115725644996</c:v>
                </c:pt>
                <c:pt idx="309">
                  <c:v>10.068442130217978</c:v>
                </c:pt>
                <c:pt idx="310">
                  <c:v>10.613994835193978</c:v>
                </c:pt>
                <c:pt idx="311">
                  <c:v>10.789840132868848</c:v>
                </c:pt>
                <c:pt idx="312">
                  <c:v>10.99813073003717</c:v>
                </c:pt>
                <c:pt idx="313">
                  <c:v>10.708181755903498</c:v>
                </c:pt>
                <c:pt idx="314">
                  <c:v>11.202275730530671</c:v>
                </c:pt>
                <c:pt idx="315">
                  <c:v>11.492499201732487</c:v>
                </c:pt>
                <c:pt idx="316">
                  <c:v>12.357153756638636</c:v>
                </c:pt>
                <c:pt idx="317">
                  <c:v>10.291435718988859</c:v>
                </c:pt>
                <c:pt idx="318">
                  <c:v>10.88031209232965</c:v>
                </c:pt>
                <c:pt idx="319">
                  <c:v>10.660631621788173</c:v>
                </c:pt>
                <c:pt idx="320">
                  <c:v>11.507196088126234</c:v>
                </c:pt>
                <c:pt idx="321">
                  <c:v>9.558973831381147</c:v>
                </c:pt>
                <c:pt idx="322">
                  <c:v>8.1097523798558608</c:v>
                </c:pt>
                <c:pt idx="323">
                  <c:v>7.9796419423303524</c:v>
                </c:pt>
                <c:pt idx="324">
                  <c:v>8.9061722474209866</c:v>
                </c:pt>
                <c:pt idx="325">
                  <c:v>8.5633690260874076</c:v>
                </c:pt>
                <c:pt idx="326">
                  <c:v>7.3486938647850577</c:v>
                </c:pt>
                <c:pt idx="327">
                  <c:v>7.0187271016558004</c:v>
                </c:pt>
                <c:pt idx="328">
                  <c:v>7.0813770498214064</c:v>
                </c:pt>
                <c:pt idx="329">
                  <c:v>7.6974356031083184</c:v>
                </c:pt>
                <c:pt idx="330">
                  <c:v>6.2478749621193614</c:v>
                </c:pt>
                <c:pt idx="331">
                  <c:v>5.2466809663651706</c:v>
                </c:pt>
                <c:pt idx="332">
                  <c:v>4.9993286618399067</c:v>
                </c:pt>
                <c:pt idx="333">
                  <c:v>4.7747636393773343</c:v>
                </c:pt>
                <c:pt idx="334">
                  <c:v>4.7909225464243148</c:v>
                </c:pt>
                <c:pt idx="335">
                  <c:v>4.8231279113249776</c:v>
                </c:pt>
                <c:pt idx="336">
                  <c:v>4.7363492519382193</c:v>
                </c:pt>
                <c:pt idx="337">
                  <c:v>4.8535943683785208</c:v>
                </c:pt>
                <c:pt idx="338">
                  <c:v>4.773567063225733</c:v>
                </c:pt>
                <c:pt idx="339">
                  <c:v>4.7241784087070817</c:v>
                </c:pt>
                <c:pt idx="340">
                  <c:v>4.9148777697532839</c:v>
                </c:pt>
                <c:pt idx="341">
                  <c:v>4.8252036292552143</c:v>
                </c:pt>
                <c:pt idx="342">
                  <c:v>5.0011507174169667</c:v>
                </c:pt>
                <c:pt idx="343">
                  <c:v>4.9687462567390002</c:v>
                </c:pt>
                <c:pt idx="344">
                  <c:v>4.6878164423779696</c:v>
                </c:pt>
                <c:pt idx="345">
                  <c:v>4.4400254450710648</c:v>
                </c:pt>
                <c:pt idx="346">
                  <c:v>4.4448851686185176</c:v>
                </c:pt>
                <c:pt idx="347">
                  <c:v>4.383626018887024</c:v>
                </c:pt>
                <c:pt idx="348">
                  <c:v>4.759043090469306</c:v>
                </c:pt>
                <c:pt idx="349">
                  <c:v>4.4077482390315268</c:v>
                </c:pt>
                <c:pt idx="350">
                  <c:v>4.125422764927527</c:v>
                </c:pt>
                <c:pt idx="351">
                  <c:v>3.8656134896584851</c:v>
                </c:pt>
                <c:pt idx="352">
                  <c:v>3.6092984817171669</c:v>
                </c:pt>
                <c:pt idx="353">
                  <c:v>3.2764060643597777</c:v>
                </c:pt>
                <c:pt idx="354">
                  <c:v>3.4059368238725507</c:v>
                </c:pt>
                <c:pt idx="355">
                  <c:v>4.1433052800440295</c:v>
                </c:pt>
                <c:pt idx="356">
                  <c:v>3.9218732624882251</c:v>
                </c:pt>
                <c:pt idx="357">
                  <c:v>3.6920985019082426</c:v>
                </c:pt>
                <c:pt idx="358">
                  <c:v>3.65974028718112</c:v>
                </c:pt>
                <c:pt idx="359">
                  <c:v>3.5439835698465676</c:v>
                </c:pt>
                <c:pt idx="360">
                  <c:v>3.2828408495246912</c:v>
                </c:pt>
                <c:pt idx="361">
                  <c:v>3.0565755115281994</c:v>
                </c:pt>
                <c:pt idx="362">
                  <c:v>2.9627712672299369</c:v>
                </c:pt>
                <c:pt idx="363">
                  <c:v>2.9032393547259994</c:v>
                </c:pt>
                <c:pt idx="364">
                  <c:v>3.0545629339546223</c:v>
                </c:pt>
                <c:pt idx="365">
                  <c:v>2.8311973461659181</c:v>
                </c:pt>
                <c:pt idx="366">
                  <c:v>3.009324784960111</c:v>
                </c:pt>
                <c:pt idx="367">
                  <c:v>2.7470692059454636</c:v>
                </c:pt>
                <c:pt idx="368">
                  <c:v>3.1185606426281551</c:v>
                </c:pt>
                <c:pt idx="369">
                  <c:v>3.5355620568167496</c:v>
                </c:pt>
                <c:pt idx="370">
                  <c:v>2.2871530873583912</c:v>
                </c:pt>
                <c:pt idx="371">
                  <c:v>0.56471588938652839</c:v>
                </c:pt>
                <c:pt idx="372">
                  <c:v>1.0976328118917493</c:v>
                </c:pt>
                <c:pt idx="373">
                  <c:v>0.78680140724098302</c:v>
                </c:pt>
                <c:pt idx="374">
                  <c:v>0.93313968816823956</c:v>
                </c:pt>
                <c:pt idx="375">
                  <c:v>0.66269281974078165</c:v>
                </c:pt>
                <c:pt idx="376">
                  <c:v>0.70962093036404994</c:v>
                </c:pt>
                <c:pt idx="377">
                  <c:v>0.71648967549630393</c:v>
                </c:pt>
                <c:pt idx="378">
                  <c:v>0.69958195840674198</c:v>
                </c:pt>
                <c:pt idx="379">
                  <c:v>0.81467480019137339</c:v>
                </c:pt>
                <c:pt idx="380">
                  <c:v>0.47823998913988608</c:v>
                </c:pt>
                <c:pt idx="381">
                  <c:v>8.4489034458247986E-2</c:v>
                </c:pt>
                <c:pt idx="382">
                  <c:v>5.5020371221513563E-2</c:v>
                </c:pt>
                <c:pt idx="383">
                  <c:v>0.21223217640166969</c:v>
                </c:pt>
                <c:pt idx="384">
                  <c:v>0.45835681828906444</c:v>
                </c:pt>
                <c:pt idx="385">
                  <c:v>1.2824414324170759</c:v>
                </c:pt>
                <c:pt idx="386">
                  <c:v>-0.41591949529849298</c:v>
                </c:pt>
                <c:pt idx="387">
                  <c:v>-0.78221796655430653</c:v>
                </c:pt>
                <c:pt idx="388">
                  <c:v>-0.99046096571050313</c:v>
                </c:pt>
                <c:pt idx="389">
                  <c:v>-0.86041965650438446</c:v>
                </c:pt>
                <c:pt idx="390">
                  <c:v>-0.98642713506399138</c:v>
                </c:pt>
                <c:pt idx="391">
                  <c:v>-0.92964608126754544</c:v>
                </c:pt>
                <c:pt idx="392">
                  <c:v>-1.1126671562734802</c:v>
                </c:pt>
                <c:pt idx="393">
                  <c:v>-1.1384542208539679</c:v>
                </c:pt>
                <c:pt idx="394">
                  <c:v>-1.1011453974003591</c:v>
                </c:pt>
                <c:pt idx="395">
                  <c:v>-1.0942623606214121</c:v>
                </c:pt>
                <c:pt idx="396">
                  <c:v>-0.95899307885622986</c:v>
                </c:pt>
                <c:pt idx="397">
                  <c:v>-0.94315068345622954</c:v>
                </c:pt>
                <c:pt idx="398">
                  <c:v>-0.89002018155152474</c:v>
                </c:pt>
                <c:pt idx="399">
                  <c:v>-0.92172791902908291</c:v>
                </c:pt>
                <c:pt idx="400">
                  <c:v>-1.0909990118557495</c:v>
                </c:pt>
                <c:pt idx="401">
                  <c:v>-0.92293263723155516</c:v>
                </c:pt>
                <c:pt idx="402">
                  <c:v>-0.97008938612861395</c:v>
                </c:pt>
                <c:pt idx="403">
                  <c:v>-0.86853457309547111</c:v>
                </c:pt>
                <c:pt idx="404">
                  <c:v>-0.71893595794008558</c:v>
                </c:pt>
                <c:pt idx="405">
                  <c:v>-0.75452060783537289</c:v>
                </c:pt>
                <c:pt idx="406">
                  <c:v>-0.78429582714732604</c:v>
                </c:pt>
                <c:pt idx="407">
                  <c:v>-0.7369743545741172</c:v>
                </c:pt>
                <c:pt idx="408">
                  <c:v>-0.84978257233394272</c:v>
                </c:pt>
                <c:pt idx="409">
                  <c:v>-0.68609886438968071</c:v>
                </c:pt>
                <c:pt idx="410">
                  <c:v>-0.75948032396110976</c:v>
                </c:pt>
                <c:pt idx="411">
                  <c:v>-0.71530151122829122</c:v>
                </c:pt>
                <c:pt idx="412">
                  <c:v>-0.74045443286169677</c:v>
                </c:pt>
                <c:pt idx="413">
                  <c:v>-0.72596304524631228</c:v>
                </c:pt>
                <c:pt idx="414">
                  <c:v>-0.68633770642941072</c:v>
                </c:pt>
                <c:pt idx="415">
                  <c:v>-0.8003833281056405</c:v>
                </c:pt>
                <c:pt idx="416">
                  <c:v>-0.69528683711997374</c:v>
                </c:pt>
                <c:pt idx="417">
                  <c:v>-0.68447537420952653</c:v>
                </c:pt>
                <c:pt idx="418">
                  <c:v>-0.66856965342977914</c:v>
                </c:pt>
                <c:pt idx="419">
                  <c:v>-0.64735130239511229</c:v>
                </c:pt>
                <c:pt idx="420">
                  <c:v>-0.50832329563935186</c:v>
                </c:pt>
                <c:pt idx="421">
                  <c:v>-0.37427887308417385</c:v>
                </c:pt>
                <c:pt idx="422">
                  <c:v>-0.48124998725053197</c:v>
                </c:pt>
                <c:pt idx="423">
                  <c:v>-0.33283640945053194</c:v>
                </c:pt>
                <c:pt idx="424">
                  <c:v>-0.45658282972188868</c:v>
                </c:pt>
                <c:pt idx="425">
                  <c:v>-0.46367459192307181</c:v>
                </c:pt>
                <c:pt idx="426">
                  <c:v>-0.50278884215877762</c:v>
                </c:pt>
                <c:pt idx="427">
                  <c:v>-0.59238096603399759</c:v>
                </c:pt>
                <c:pt idx="428">
                  <c:v>-0.42519238511088425</c:v>
                </c:pt>
                <c:pt idx="429">
                  <c:v>-0.33761055421024611</c:v>
                </c:pt>
                <c:pt idx="430">
                  <c:v>-0.43111966761245285</c:v>
                </c:pt>
                <c:pt idx="431">
                  <c:v>-0.49548830751916462</c:v>
                </c:pt>
                <c:pt idx="432">
                  <c:v>-0.52884945402192673</c:v>
                </c:pt>
                <c:pt idx="433">
                  <c:v>-0.63889898763836517</c:v>
                </c:pt>
                <c:pt idx="434">
                  <c:v>-0.69455885717444787</c:v>
                </c:pt>
                <c:pt idx="435">
                  <c:v>-0.75956576497757977</c:v>
                </c:pt>
                <c:pt idx="436">
                  <c:v>-0.71441252569186497</c:v>
                </c:pt>
                <c:pt idx="437">
                  <c:v>-0.73655179103051061</c:v>
                </c:pt>
                <c:pt idx="438">
                  <c:v>-0.69872797612855009</c:v>
                </c:pt>
                <c:pt idx="439">
                  <c:v>-0.64886307227269435</c:v>
                </c:pt>
                <c:pt idx="440">
                  <c:v>-0.60010025178517035</c:v>
                </c:pt>
                <c:pt idx="441">
                  <c:v>-0.53142988037053651</c:v>
                </c:pt>
                <c:pt idx="442">
                  <c:v>-0.69115726084408224</c:v>
                </c:pt>
                <c:pt idx="443">
                  <c:v>-0.39606644613285213</c:v>
                </c:pt>
                <c:pt idx="444">
                  <c:v>0.59584430184939585</c:v>
                </c:pt>
                <c:pt idx="445">
                  <c:v>7.9871576769376201E-2</c:v>
                </c:pt>
                <c:pt idx="446">
                  <c:v>-9.7708942365419757E-2</c:v>
                </c:pt>
                <c:pt idx="447">
                  <c:v>3.3954169483133817E-2</c:v>
                </c:pt>
                <c:pt idx="448">
                  <c:v>-0.11854621171296756</c:v>
                </c:pt>
                <c:pt idx="449">
                  <c:v>-0.2524356462911137</c:v>
                </c:pt>
                <c:pt idx="450">
                  <c:v>-0.26874573819373548</c:v>
                </c:pt>
                <c:pt idx="451">
                  <c:v>-0.28402404252383251</c:v>
                </c:pt>
                <c:pt idx="452">
                  <c:v>-0.24663235428783239</c:v>
                </c:pt>
                <c:pt idx="453">
                  <c:v>-0.24657536806742414</c:v>
                </c:pt>
                <c:pt idx="454">
                  <c:v>-0.25788283738670115</c:v>
                </c:pt>
                <c:pt idx="455">
                  <c:v>-0.26594340186825466</c:v>
                </c:pt>
                <c:pt idx="456">
                  <c:v>-0.25482175448328875</c:v>
                </c:pt>
                <c:pt idx="457">
                  <c:v>-0.23112061316253396</c:v>
                </c:pt>
                <c:pt idx="458">
                  <c:v>-0.22459145041253392</c:v>
                </c:pt>
                <c:pt idx="459">
                  <c:v>-0.22144181862699777</c:v>
                </c:pt>
                <c:pt idx="460">
                  <c:v>-0.21486674382699772</c:v>
                </c:pt>
                <c:pt idx="461">
                  <c:v>-0.2037327917809619</c:v>
                </c:pt>
                <c:pt idx="462">
                  <c:v>-0.19786166266899283</c:v>
                </c:pt>
                <c:pt idx="463">
                  <c:v>-0.19442447974294783</c:v>
                </c:pt>
                <c:pt idx="464">
                  <c:v>-0.20985754584871694</c:v>
                </c:pt>
                <c:pt idx="465">
                  <c:v>-0.17868698458118468</c:v>
                </c:pt>
                <c:pt idx="466">
                  <c:v>-0.16268631048040952</c:v>
                </c:pt>
                <c:pt idx="467">
                  <c:v>-0.1625331531908342</c:v>
                </c:pt>
                <c:pt idx="468">
                  <c:v>-0.16344740491305637</c:v>
                </c:pt>
                <c:pt idx="469">
                  <c:v>-0.1467003346531956</c:v>
                </c:pt>
                <c:pt idx="470">
                  <c:v>-0.13732791777010589</c:v>
                </c:pt>
                <c:pt idx="471">
                  <c:v>-0.13143602945431637</c:v>
                </c:pt>
                <c:pt idx="472">
                  <c:v>-0.12477497953036211</c:v>
                </c:pt>
                <c:pt idx="473">
                  <c:v>-0.12455978660179061</c:v>
                </c:pt>
                <c:pt idx="474">
                  <c:v>-0.12638904000719589</c:v>
                </c:pt>
                <c:pt idx="475">
                  <c:v>-9.6769868416286847E-2</c:v>
                </c:pt>
                <c:pt idx="476">
                  <c:v>-0.1578459534052977</c:v>
                </c:pt>
                <c:pt idx="477">
                  <c:v>-0.1816244851510605</c:v>
                </c:pt>
                <c:pt idx="478">
                  <c:v>-0.2108777031510605</c:v>
                </c:pt>
                <c:pt idx="479">
                  <c:v>-0.12875993914576267</c:v>
                </c:pt>
                <c:pt idx="480">
                  <c:v>-0.13088912025854454</c:v>
                </c:pt>
                <c:pt idx="481">
                  <c:v>-0.14283090365549136</c:v>
                </c:pt>
                <c:pt idx="482">
                  <c:v>-0.14930005553049142</c:v>
                </c:pt>
                <c:pt idx="483">
                  <c:v>-0.13521388324114331</c:v>
                </c:pt>
                <c:pt idx="484">
                  <c:v>-8.2891783600424651E-2</c:v>
                </c:pt>
                <c:pt idx="485">
                  <c:v>-6.0284580441394883E-2</c:v>
                </c:pt>
                <c:pt idx="486">
                  <c:v>-0.22208560586463127</c:v>
                </c:pt>
                <c:pt idx="487">
                  <c:v>-0.18911141478716639</c:v>
                </c:pt>
                <c:pt idx="488">
                  <c:v>-0.18791237235045749</c:v>
                </c:pt>
                <c:pt idx="489">
                  <c:v>-0.19478172589646986</c:v>
                </c:pt>
                <c:pt idx="490">
                  <c:v>-0.23821095079442908</c:v>
                </c:pt>
                <c:pt idx="491">
                  <c:v>-0.31689679650143565</c:v>
                </c:pt>
                <c:pt idx="492">
                  <c:v>-0.16437063526414764</c:v>
                </c:pt>
                <c:pt idx="493">
                  <c:v>-0.21370018473511557</c:v>
                </c:pt>
                <c:pt idx="494">
                  <c:v>-0.17477519784899448</c:v>
                </c:pt>
                <c:pt idx="495">
                  <c:v>-0.17201426248630008</c:v>
                </c:pt>
                <c:pt idx="496">
                  <c:v>-0.19547044192141461</c:v>
                </c:pt>
                <c:pt idx="497">
                  <c:v>-0.17218679947394389</c:v>
                </c:pt>
                <c:pt idx="498">
                  <c:v>-0.1799115807642665</c:v>
                </c:pt>
                <c:pt idx="499">
                  <c:v>-0.18254501924767871</c:v>
                </c:pt>
                <c:pt idx="500">
                  <c:v>-0.15063785788784612</c:v>
                </c:pt>
                <c:pt idx="501">
                  <c:v>-0.16281337914345154</c:v>
                </c:pt>
                <c:pt idx="502">
                  <c:v>-0.15060256243035955</c:v>
                </c:pt>
                <c:pt idx="503">
                  <c:v>-0.1887568623017879</c:v>
                </c:pt>
                <c:pt idx="504">
                  <c:v>-0.23680837030634047</c:v>
                </c:pt>
                <c:pt idx="505">
                  <c:v>-0.32706561666348327</c:v>
                </c:pt>
                <c:pt idx="506">
                  <c:v>-0.36230840762348321</c:v>
                </c:pt>
                <c:pt idx="507">
                  <c:v>-0.35617523863647027</c:v>
                </c:pt>
                <c:pt idx="508">
                  <c:v>-0.37062636332397036</c:v>
                </c:pt>
                <c:pt idx="509">
                  <c:v>-0.42550545207426599</c:v>
                </c:pt>
                <c:pt idx="510">
                  <c:v>-0.41360345290291328</c:v>
                </c:pt>
                <c:pt idx="511">
                  <c:v>-0.44862680908567548</c:v>
                </c:pt>
                <c:pt idx="512">
                  <c:v>-0.38144874286694003</c:v>
                </c:pt>
                <c:pt idx="513">
                  <c:v>-0.417305116956873</c:v>
                </c:pt>
                <c:pt idx="514">
                  <c:v>-0.44949080997215324</c:v>
                </c:pt>
                <c:pt idx="515">
                  <c:v>-0.37744311817343817</c:v>
                </c:pt>
                <c:pt idx="516">
                  <c:v>-0.31312753840563329</c:v>
                </c:pt>
                <c:pt idx="517">
                  <c:v>-0.23350157167433386</c:v>
                </c:pt>
                <c:pt idx="518">
                  <c:v>-0.40753787896080351</c:v>
                </c:pt>
                <c:pt idx="519">
                  <c:v>-0.6014143599608035</c:v>
                </c:pt>
                <c:pt idx="520">
                  <c:v>-0.64343085496080332</c:v>
                </c:pt>
                <c:pt idx="521">
                  <c:v>-0.62364016210019724</c:v>
                </c:pt>
                <c:pt idx="522">
                  <c:v>-0.56698814966686417</c:v>
                </c:pt>
                <c:pt idx="523">
                  <c:v>-0.53413488262140973</c:v>
                </c:pt>
                <c:pt idx="524">
                  <c:v>-0.38927409484180675</c:v>
                </c:pt>
                <c:pt idx="525">
                  <c:v>-0.51731415740714015</c:v>
                </c:pt>
                <c:pt idx="526">
                  <c:v>-0.58098514857159644</c:v>
                </c:pt>
                <c:pt idx="527">
                  <c:v>-0.52698636335845261</c:v>
                </c:pt>
                <c:pt idx="528">
                  <c:v>-0.49970178514855146</c:v>
                </c:pt>
                <c:pt idx="529">
                  <c:v>-0.43042017979299596</c:v>
                </c:pt>
                <c:pt idx="530">
                  <c:v>-0.49875402955732706</c:v>
                </c:pt>
                <c:pt idx="531">
                  <c:v>-0.54072751507431338</c:v>
                </c:pt>
                <c:pt idx="532">
                  <c:v>-0.46960206901038665</c:v>
                </c:pt>
                <c:pt idx="533">
                  <c:v>-0.25638471517301648</c:v>
                </c:pt>
                <c:pt idx="534">
                  <c:v>-0.44515502831249504</c:v>
                </c:pt>
                <c:pt idx="535">
                  <c:v>-0.31248350504472133</c:v>
                </c:pt>
                <c:pt idx="536">
                  <c:v>-0.25013568826816751</c:v>
                </c:pt>
                <c:pt idx="537">
                  <c:v>1.086003244076154</c:v>
                </c:pt>
                <c:pt idx="538">
                  <c:v>0.32881193957833493</c:v>
                </c:pt>
                <c:pt idx="539">
                  <c:v>-0.12233045867003162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05-4076-B41E-4F68C6749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204288"/>
        <c:axId val="601209696"/>
      </c:lineChart>
      <c:dateAx>
        <c:axId val="601204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09696"/>
        <c:crosses val="autoZero"/>
        <c:auto val="1"/>
        <c:lblOffset val="100"/>
        <c:baseTimeUnit val="days"/>
      </c:dateAx>
      <c:valAx>
        <c:axId val="60120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0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7134D4-422B-4355-B4CA-871DF0BE7D43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7FE392-D70D-4D33-85A0-1F4B1BC0E7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5.9</v>
      </c>
      <c r="D2" s="4">
        <f>MIN(D3:D1912)</f>
        <v>0.03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2.1615000000000002</v>
      </c>
      <c r="C5">
        <v>2.23</v>
      </c>
      <c r="D5">
        <v>2.1032000000000002</v>
      </c>
      <c r="E5">
        <v>2.1055999999999999</v>
      </c>
      <c r="F5">
        <v>7027894</v>
      </c>
      <c r="G5">
        <v>2.1055999999999999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-0.96214511041009876</v>
      </c>
      <c r="Q5">
        <f t="shared" ref="Q5" si="1">F5*P5</f>
        <v>-6761853.8485804703</v>
      </c>
      <c r="R5">
        <f t="shared" ref="R5" si="2">R6+Q5</f>
        <v>2204387810.4046879</v>
      </c>
      <c r="S5">
        <f t="shared" ref="S5" si="3">R5/100000</f>
        <v>22043.878104046878</v>
      </c>
      <c r="T5">
        <f t="shared" ref="T5" si="4">S5/1000</f>
        <v>22.043878104046879</v>
      </c>
    </row>
    <row r="6" spans="1:20" x14ac:dyDescent="0.25">
      <c r="A6" s="5">
        <v>44587</v>
      </c>
      <c r="B6">
        <v>2.1019999999999999</v>
      </c>
      <c r="C6">
        <v>2.3668</v>
      </c>
      <c r="D6">
        <v>2.0621</v>
      </c>
      <c r="E6">
        <v>2.1615000000000002</v>
      </c>
      <c r="F6">
        <v>61517719</v>
      </c>
      <c r="G6">
        <v>2.1615000000000002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-0.3475549721037075</v>
      </c>
      <c r="Q6">
        <f t="shared" ref="Q6" si="6">F6*P6</f>
        <v>-21380789.110928718</v>
      </c>
      <c r="R6">
        <f t="shared" ref="R6" si="7">R7+Q6</f>
        <v>2211149664.2532682</v>
      </c>
      <c r="S6">
        <f t="shared" ref="S6" si="8">R6/100000</f>
        <v>22111.496642532682</v>
      </c>
      <c r="T6">
        <f t="shared" ref="T6" si="9">S6/1000</f>
        <v>22.111496642532682</v>
      </c>
    </row>
    <row r="7" spans="1:20" x14ac:dyDescent="0.25">
      <c r="A7" s="5">
        <v>44586</v>
      </c>
      <c r="B7">
        <v>2.0811999999999999</v>
      </c>
      <c r="C7">
        <v>2.1745000000000001</v>
      </c>
      <c r="D7">
        <v>2.0087999999999999</v>
      </c>
      <c r="E7">
        <v>2.0998999999999999</v>
      </c>
      <c r="F7">
        <v>37090934</v>
      </c>
      <c r="G7">
        <v>2.0998999999999999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9.9577549788773201E-2</v>
      </c>
      <c r="Q7">
        <f t="shared" ref="Q7" si="11">F7*P7</f>
        <v>3693424.3270971007</v>
      </c>
      <c r="R7">
        <f t="shared" ref="R7" si="12">R8+Q7</f>
        <v>2232530453.3641968</v>
      </c>
      <c r="S7">
        <f t="shared" ref="S7" si="13">R7/100000</f>
        <v>22325.304533641967</v>
      </c>
      <c r="T7">
        <f t="shared" ref="T7" si="14">S7/1000</f>
        <v>22.325304533641969</v>
      </c>
    </row>
    <row r="8" spans="1:20" x14ac:dyDescent="0.25">
      <c r="A8" s="5">
        <v>44585</v>
      </c>
      <c r="B8">
        <v>2.1173999999999999</v>
      </c>
      <c r="C8">
        <v>2.1423000000000001</v>
      </c>
      <c r="D8">
        <v>1.81</v>
      </c>
      <c r="E8">
        <v>2.0815000000000001</v>
      </c>
      <c r="F8">
        <v>55277182</v>
      </c>
      <c r="G8">
        <v>2.0815000000000001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0.63406560337044859</v>
      </c>
      <c r="Q8">
        <f t="shared" ref="Q8" si="16">F8*P8</f>
        <v>35049359.7574481</v>
      </c>
      <c r="R8">
        <f t="shared" ref="R8" si="17">R9+Q8</f>
        <v>2228837029.0370998</v>
      </c>
      <c r="S8">
        <f t="shared" ref="S8" si="18">R8/100000</f>
        <v>22288.370290371</v>
      </c>
      <c r="T8">
        <f t="shared" ref="T8" si="19">S8/1000</f>
        <v>22.288370290370999</v>
      </c>
    </row>
    <row r="9" spans="1:20" x14ac:dyDescent="0.25">
      <c r="A9" s="5">
        <v>44584</v>
      </c>
      <c r="B9">
        <v>2.0371999999999999</v>
      </c>
      <c r="C9">
        <v>2.1598000000000002</v>
      </c>
      <c r="D9">
        <v>1.9923999999999999</v>
      </c>
      <c r="E9">
        <v>2.1177999999999999</v>
      </c>
      <c r="F9">
        <v>45356781</v>
      </c>
      <c r="G9">
        <v>2.1177999999999999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0.49820788530465704</v>
      </c>
      <c r="Q9">
        <f t="shared" ref="Q9" si="21">F9*P9</f>
        <v>22597105.946236446</v>
      </c>
      <c r="R9">
        <f t="shared" ref="R9" si="22">R10+Q9</f>
        <v>2193787669.2796516</v>
      </c>
      <c r="S9">
        <f t="shared" ref="S9" si="23">R9/100000</f>
        <v>21937.876692796515</v>
      </c>
      <c r="T9">
        <f t="shared" ref="T9" si="24">S9/1000</f>
        <v>21.937876692796515</v>
      </c>
    </row>
    <row r="10" spans="1:20" x14ac:dyDescent="0.25">
      <c r="A10" s="5">
        <v>44583</v>
      </c>
      <c r="B10">
        <v>2.2193000000000001</v>
      </c>
      <c r="C10">
        <v>2.2663000000000002</v>
      </c>
      <c r="D10">
        <v>1.7050000000000001</v>
      </c>
      <c r="E10">
        <v>2.0371000000000001</v>
      </c>
      <c r="F10">
        <v>88012882</v>
      </c>
      <c r="G10">
        <v>2.0371000000000001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0.1833244254409406</v>
      </c>
      <c r="Q10">
        <f t="shared" ref="Q10" si="26">F10*P10</f>
        <v>16134911.024051303</v>
      </c>
      <c r="R10">
        <f t="shared" ref="R10" si="27">R11+Q10</f>
        <v>2171190563.333415</v>
      </c>
      <c r="S10">
        <f t="shared" ref="S10" si="28">R10/100000</f>
        <v>21711.90563333415</v>
      </c>
      <c r="T10">
        <f t="shared" ref="T10" si="29">S10/1000</f>
        <v>21.711905633334151</v>
      </c>
    </row>
    <row r="11" spans="1:20" x14ac:dyDescent="0.25">
      <c r="A11" s="5">
        <v>44582</v>
      </c>
      <c r="B11">
        <v>2.6313</v>
      </c>
      <c r="C11">
        <v>2.7023000000000001</v>
      </c>
      <c r="D11">
        <v>2.14</v>
      </c>
      <c r="E11">
        <v>2.2191999999999998</v>
      </c>
      <c r="F11">
        <v>57923849</v>
      </c>
      <c r="G11">
        <v>2.2191999999999998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-0.71829983994309188</v>
      </c>
      <c r="Q11">
        <f t="shared" ref="Q11" si="31">F11*P11</f>
        <v>-41606691.465587825</v>
      </c>
      <c r="R11">
        <f t="shared" ref="R11" si="32">R12+Q11</f>
        <v>2155055652.3093638</v>
      </c>
      <c r="S11">
        <f t="shared" ref="S11" si="33">R11/100000</f>
        <v>21550.556523093637</v>
      </c>
      <c r="T11">
        <f t="shared" ref="T11" si="34">S11/1000</f>
        <v>21.550556523093636</v>
      </c>
    </row>
    <row r="12" spans="1:20" x14ac:dyDescent="0.25">
      <c r="A12" s="5">
        <v>44581</v>
      </c>
      <c r="B12">
        <v>2.7305999999999999</v>
      </c>
      <c r="C12">
        <v>2.8915999999999999</v>
      </c>
      <c r="D12">
        <v>2.6145</v>
      </c>
      <c r="E12">
        <v>2.6316000000000002</v>
      </c>
      <c r="F12">
        <v>26240592</v>
      </c>
      <c r="G12">
        <v>2.6316000000000002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-0.87657885239985478</v>
      </c>
      <c r="Q12">
        <f t="shared" ref="Q12" si="36">F12*P12</f>
        <v>-23001948.02165281</v>
      </c>
      <c r="R12">
        <f t="shared" ref="R12" si="37">R13+Q12</f>
        <v>2196662343.7749515</v>
      </c>
      <c r="S12">
        <f t="shared" ref="S12" si="38">R12/100000</f>
        <v>21966.623437749513</v>
      </c>
      <c r="T12">
        <f t="shared" ref="T12" si="39">S12/1000</f>
        <v>21.966623437749512</v>
      </c>
    </row>
    <row r="13" spans="1:20" x14ac:dyDescent="0.25">
      <c r="A13" s="5">
        <v>44580</v>
      </c>
      <c r="B13">
        <v>2.8569</v>
      </c>
      <c r="C13">
        <v>2.8969</v>
      </c>
      <c r="D13">
        <v>2.7031000000000001</v>
      </c>
      <c r="E13">
        <v>2.7322000000000002</v>
      </c>
      <c r="F13">
        <v>19444366</v>
      </c>
      <c r="G13">
        <v>2.7322000000000002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-0.69969040247677883</v>
      </c>
      <c r="Q13">
        <f t="shared" ref="Q13" si="41">F13*P13</f>
        <v>-13605036.272445794</v>
      </c>
      <c r="R13">
        <f t="shared" ref="R13" si="42">R14+Q13</f>
        <v>2219664291.7966042</v>
      </c>
      <c r="S13">
        <f t="shared" ref="S13" si="43">R13/100000</f>
        <v>22196.642917966041</v>
      </c>
      <c r="T13">
        <f t="shared" ref="T13" si="44">S13/1000</f>
        <v>22.196642917966042</v>
      </c>
    </row>
    <row r="14" spans="1:20" x14ac:dyDescent="0.25">
      <c r="A14" s="5">
        <v>44579</v>
      </c>
      <c r="B14">
        <v>2.9015</v>
      </c>
      <c r="C14">
        <v>2.9278</v>
      </c>
      <c r="D14">
        <v>2.774</v>
      </c>
      <c r="E14">
        <v>2.8557999999999999</v>
      </c>
      <c r="F14">
        <v>23234474</v>
      </c>
      <c r="G14">
        <v>2.8557999999999999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6.3719115734719195E-2</v>
      </c>
      <c r="Q14">
        <f t="shared" ref="Q14" si="46">F14*P14</f>
        <v>1480480.1378413241</v>
      </c>
      <c r="R14">
        <f t="shared" ref="R14" si="47">R15+Q14</f>
        <v>2233269328.0690498</v>
      </c>
      <c r="S14">
        <f t="shared" ref="S14" si="48">R14/100000</f>
        <v>22332.693280690499</v>
      </c>
      <c r="T14">
        <f t="shared" ref="T14" si="49">S14/1000</f>
        <v>22.332693280690499</v>
      </c>
    </row>
    <row r="15" spans="1:20" x14ac:dyDescent="0.25">
      <c r="A15" s="5">
        <v>44578</v>
      </c>
      <c r="B15">
        <v>3.1177000000000001</v>
      </c>
      <c r="C15">
        <v>3.1858</v>
      </c>
      <c r="D15">
        <v>2.8616999999999999</v>
      </c>
      <c r="E15">
        <v>2.9026000000000001</v>
      </c>
      <c r="F15">
        <v>31522900</v>
      </c>
      <c r="G15">
        <v>2.9026000000000001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-0.74760876272755228</v>
      </c>
      <c r="Q15">
        <f t="shared" ref="Q15" si="51">F15*P15</f>
        <v>-23566796.266584359</v>
      </c>
      <c r="R15">
        <f t="shared" ref="R15" si="52">R16+Q15</f>
        <v>2231788847.9312086</v>
      </c>
      <c r="S15">
        <f t="shared" ref="S15" si="53">R15/100000</f>
        <v>22317.888479312085</v>
      </c>
      <c r="T15">
        <f t="shared" ref="T15" si="54">S15/1000</f>
        <v>22.317888479312085</v>
      </c>
    </row>
    <row r="16" spans="1:20" x14ac:dyDescent="0.25">
      <c r="A16" s="5">
        <v>44577</v>
      </c>
      <c r="B16">
        <v>2.9878</v>
      </c>
      <c r="C16">
        <v>3.1951999999999998</v>
      </c>
      <c r="D16">
        <v>2.9245000000000001</v>
      </c>
      <c r="E16">
        <v>3.1164999999999998</v>
      </c>
      <c r="F16">
        <v>34617766</v>
      </c>
      <c r="G16">
        <v>3.1164999999999998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0.41854451422238587</v>
      </c>
      <c r="Q16">
        <f t="shared" ref="Q16" si="56">F16*P16</f>
        <v>14489076.053934226</v>
      </c>
      <c r="R16">
        <f t="shared" ref="R16" si="57">R17+Q16</f>
        <v>2255355644.197793</v>
      </c>
      <c r="S16">
        <f t="shared" ref="S16" si="58">R16/100000</f>
        <v>22553.556441977929</v>
      </c>
      <c r="T16">
        <f t="shared" ref="T16" si="59">S16/1000</f>
        <v>22.553556441977928</v>
      </c>
    </row>
    <row r="17" spans="1:20" x14ac:dyDescent="0.25">
      <c r="A17" s="5">
        <v>44576</v>
      </c>
      <c r="B17">
        <v>2.9582000000000002</v>
      </c>
      <c r="C17">
        <v>3.0629</v>
      </c>
      <c r="D17">
        <v>2.9140000000000001</v>
      </c>
      <c r="E17">
        <v>2.9878</v>
      </c>
      <c r="F17">
        <v>20850701</v>
      </c>
      <c r="G17">
        <v>2.9878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-8.7306917394229713E-3</v>
      </c>
      <c r="Q17">
        <f t="shared" ref="Q17" si="61">F17*P17</f>
        <v>-182041.04298187827</v>
      </c>
      <c r="R17">
        <f t="shared" ref="R17" si="62">R18+Q17</f>
        <v>2240866568.1438589</v>
      </c>
      <c r="S17">
        <f t="shared" ref="S17" si="63">R17/100000</f>
        <v>22408.66568143859</v>
      </c>
      <c r="T17">
        <f t="shared" ref="T17" si="64">S17/1000</f>
        <v>22.408665681438588</v>
      </c>
    </row>
    <row r="18" spans="1:20" x14ac:dyDescent="0.25">
      <c r="A18" s="5">
        <v>44575</v>
      </c>
      <c r="B18">
        <v>2.8984000000000001</v>
      </c>
      <c r="C18">
        <v>3.0169999999999999</v>
      </c>
      <c r="D18">
        <v>2.8127</v>
      </c>
      <c r="E18">
        <v>2.9584000000000001</v>
      </c>
      <c r="F18">
        <v>23978036</v>
      </c>
      <c r="G18">
        <v>2.9584000000000001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0.42633382280959586</v>
      </c>
      <c r="Q18">
        <f t="shared" ref="Q18" si="66">F18*P18</f>
        <v>10222647.751346111</v>
      </c>
      <c r="R18">
        <f t="shared" ref="R18" si="67">R19+Q18</f>
        <v>2241048609.186841</v>
      </c>
      <c r="S18">
        <f t="shared" ref="S18" si="68">R18/100000</f>
        <v>22410.48609186841</v>
      </c>
      <c r="T18">
        <f t="shared" ref="T18" si="69">S18/1000</f>
        <v>22.41048609186841</v>
      </c>
    </row>
    <row r="19" spans="1:20" x14ac:dyDescent="0.25">
      <c r="A19" s="5">
        <v>44574</v>
      </c>
      <c r="B19">
        <v>3.0855000000000001</v>
      </c>
      <c r="C19">
        <v>3.0998999999999999</v>
      </c>
      <c r="D19">
        <v>2.8797000000000001</v>
      </c>
      <c r="E19">
        <v>2.8984999999999999</v>
      </c>
      <c r="F19">
        <v>29517320</v>
      </c>
      <c r="G19">
        <v>2.8984999999999999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-0.82924613987284534</v>
      </c>
      <c r="Q19">
        <f t="shared" ref="Q19" si="71">F19*P19</f>
        <v>-24477123.669391535</v>
      </c>
      <c r="R19">
        <f t="shared" ref="R19" si="72">R20+Q19</f>
        <v>2230825961.4354949</v>
      </c>
      <c r="S19">
        <f t="shared" ref="S19" si="73">R19/100000</f>
        <v>22308.259614354949</v>
      </c>
      <c r="T19">
        <f t="shared" ref="T19" si="74">S19/1000</f>
        <v>22.308259614354949</v>
      </c>
    </row>
    <row r="20" spans="1:20" x14ac:dyDescent="0.25">
      <c r="A20" s="5">
        <v>44573</v>
      </c>
      <c r="B20">
        <v>2.927</v>
      </c>
      <c r="C20">
        <v>3.1057999999999999</v>
      </c>
      <c r="D20">
        <v>2.9108999999999998</v>
      </c>
      <c r="E20">
        <v>3.0844999999999998</v>
      </c>
      <c r="F20">
        <v>30881129</v>
      </c>
      <c r="G20">
        <v>3.0844999999999998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0.78142637249871638</v>
      </c>
      <c r="Q20">
        <f t="shared" ref="Q20" si="76">F20*P20</f>
        <v>24131328.613134913</v>
      </c>
      <c r="R20">
        <f t="shared" ref="R20" si="77">R21+Q20</f>
        <v>2255303085.1048865</v>
      </c>
      <c r="S20">
        <f t="shared" ref="S20" si="78">R20/100000</f>
        <v>22553.030851048865</v>
      </c>
      <c r="T20">
        <f t="shared" ref="T20" si="79">S20/1000</f>
        <v>22.553030851048867</v>
      </c>
    </row>
    <row r="21" spans="1:20" x14ac:dyDescent="0.25">
      <c r="A21" s="5">
        <v>44572</v>
      </c>
      <c r="B21">
        <v>2.8119999999999998</v>
      </c>
      <c r="C21">
        <v>2.9453999999999998</v>
      </c>
      <c r="D21">
        <v>2.7549000000000001</v>
      </c>
      <c r="E21">
        <v>2.927</v>
      </c>
      <c r="F21">
        <v>30122385</v>
      </c>
      <c r="G21">
        <v>2.927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0.80682414698162963</v>
      </c>
      <c r="Q21">
        <f t="shared" ref="Q21" si="81">F21*P21</f>
        <v>24303467.582677234</v>
      </c>
      <c r="R21">
        <f t="shared" ref="R21" si="82">R22+Q21</f>
        <v>2231171756.4917517</v>
      </c>
      <c r="S21">
        <f t="shared" ref="S21" si="83">R21/100000</f>
        <v>22311.717564917515</v>
      </c>
      <c r="T21">
        <f t="shared" ref="T21" si="84">S21/1000</f>
        <v>22.311717564917515</v>
      </c>
    </row>
    <row r="22" spans="1:20" x14ac:dyDescent="0.25">
      <c r="A22" s="5">
        <v>44571</v>
      </c>
      <c r="B22">
        <v>2.9403999999999999</v>
      </c>
      <c r="C22">
        <v>2.9742999999999999</v>
      </c>
      <c r="D22">
        <v>2.6269999999999998</v>
      </c>
      <c r="E22">
        <v>2.8126000000000002</v>
      </c>
      <c r="F22">
        <v>40380852</v>
      </c>
      <c r="G22">
        <v>2.8126000000000002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6.8816585084942955E-2</v>
      </c>
      <c r="Q22">
        <f t="shared" ref="Q22" si="86">F22*P22</f>
        <v>2778872.337460489</v>
      </c>
      <c r="R22">
        <f t="shared" ref="R22" si="87">R23+Q22</f>
        <v>2206868288.9090743</v>
      </c>
      <c r="S22">
        <f t="shared" ref="S22" si="88">R22/100000</f>
        <v>22068.682889090742</v>
      </c>
      <c r="T22">
        <f t="shared" ref="T22" si="89">S22/1000</f>
        <v>22.068682889090741</v>
      </c>
    </row>
    <row r="23" spans="1:20" x14ac:dyDescent="0.25">
      <c r="A23" s="5">
        <v>44570</v>
      </c>
      <c r="B23">
        <v>2.9350000000000001</v>
      </c>
      <c r="C23">
        <v>3.0499000000000001</v>
      </c>
      <c r="D23">
        <v>2.8414000000000001</v>
      </c>
      <c r="E23">
        <v>2.9403999999999999</v>
      </c>
      <c r="F23">
        <v>28687263</v>
      </c>
      <c r="G23">
        <v>2.9403999999999999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-5.0359712230217756E-2</v>
      </c>
      <c r="Q23">
        <f t="shared" ref="Q23" si="91">F23*P23</f>
        <v>-1444682.3093525732</v>
      </c>
      <c r="R23">
        <f t="shared" ref="R23" si="92">R24+Q23</f>
        <v>2204089416.5716138</v>
      </c>
      <c r="S23">
        <f t="shared" ref="S23" si="93">R23/100000</f>
        <v>22040.894165716138</v>
      </c>
      <c r="T23">
        <f t="shared" ref="T23" si="94">S23/1000</f>
        <v>22.040894165716139</v>
      </c>
    </row>
    <row r="24" spans="1:20" x14ac:dyDescent="0.25">
      <c r="A24" s="5">
        <v>44569</v>
      </c>
      <c r="B24">
        <v>3.0588000000000002</v>
      </c>
      <c r="C24">
        <v>3.1366999999999998</v>
      </c>
      <c r="D24">
        <v>2.8353999999999999</v>
      </c>
      <c r="E24">
        <v>2.9350000000000001</v>
      </c>
      <c r="F24">
        <v>35985194</v>
      </c>
      <c r="G24">
        <v>2.9350000000000001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-0.33886491868569424</v>
      </c>
      <c r="Q24">
        <f t="shared" ref="Q24" si="96">F24*P24</f>
        <v>-12194119.838698933</v>
      </c>
      <c r="R24">
        <f t="shared" ref="R24" si="97">R25+Q24</f>
        <v>2205534098.8809662</v>
      </c>
      <c r="S24">
        <f t="shared" ref="S24" si="98">R24/100000</f>
        <v>22055.340988809661</v>
      </c>
      <c r="T24">
        <f t="shared" ref="T24" si="99">S24/1000</f>
        <v>22.055340988809661</v>
      </c>
    </row>
    <row r="25" spans="1:20" x14ac:dyDescent="0.25">
      <c r="A25" s="5">
        <v>44568</v>
      </c>
      <c r="B25">
        <v>3.3912</v>
      </c>
      <c r="C25">
        <v>3.44</v>
      </c>
      <c r="D25">
        <v>3.0123000000000002</v>
      </c>
      <c r="E25">
        <v>3.0575000000000001</v>
      </c>
      <c r="F25">
        <v>86974108</v>
      </c>
      <c r="G25">
        <v>3.0575000000000001</v>
      </c>
      <c r="L25" t="s">
        <v>7</v>
      </c>
      <c r="M25" t="s">
        <v>8</v>
      </c>
      <c r="N25" t="s">
        <v>7</v>
      </c>
      <c r="P25">
        <f t="shared" ref="P25" si="100">IF(C25=D25,0,((E25-D25)-(C25-E25))/(C25-D25))</f>
        <v>-0.78863689501987411</v>
      </c>
      <c r="Q25">
        <f t="shared" ref="Q25" si="101">F25*P25</f>
        <v>-68590990.480243191</v>
      </c>
      <c r="R25">
        <f t="shared" ref="R25" si="102">R26+Q25</f>
        <v>2217728218.7196651</v>
      </c>
      <c r="S25">
        <f t="shared" ref="S25" si="103">R25/100000</f>
        <v>22177.282187196652</v>
      </c>
      <c r="T25">
        <f t="shared" ref="T25" si="104">S25/1000</f>
        <v>22.177282187196653</v>
      </c>
    </row>
    <row r="26" spans="1:20" x14ac:dyDescent="0.25">
      <c r="A26" s="5">
        <v>44567</v>
      </c>
      <c r="B26">
        <v>2.9152999999999998</v>
      </c>
      <c r="C26">
        <v>3.44</v>
      </c>
      <c r="D26">
        <v>2.7869000000000002</v>
      </c>
      <c r="E26">
        <v>3.3912</v>
      </c>
      <c r="F26">
        <v>119258601</v>
      </c>
      <c r="G26">
        <v>3.3912</v>
      </c>
      <c r="L26" t="s">
        <v>8</v>
      </c>
      <c r="M26" t="s">
        <v>8</v>
      </c>
      <c r="N26" t="s">
        <v>7</v>
      </c>
      <c r="P26">
        <f t="shared" ref="P26" si="105">IF(C26=D26,0,((E26-D26)-(C26-E26))/(C26-D26))</f>
        <v>0.85055887306691169</v>
      </c>
      <c r="Q26">
        <f t="shared" ref="Q26" si="106">F26*P26</f>
        <v>101436461.27009647</v>
      </c>
      <c r="R26">
        <f t="shared" ref="R26" si="107">R27+Q26</f>
        <v>2286319209.1999083</v>
      </c>
      <c r="S26">
        <f t="shared" ref="S26" si="108">R26/100000</f>
        <v>22863.192091999084</v>
      </c>
      <c r="T26">
        <f t="shared" ref="T26" si="109">S26/1000</f>
        <v>22.863192091999085</v>
      </c>
    </row>
    <row r="27" spans="1:20" x14ac:dyDescent="0.25">
      <c r="A27" s="5">
        <v>44566</v>
      </c>
      <c r="B27">
        <v>3.1755</v>
      </c>
      <c r="C27">
        <v>3.2677</v>
      </c>
      <c r="D27">
        <v>2.67</v>
      </c>
      <c r="E27">
        <v>2.9184999999999999</v>
      </c>
      <c r="F27">
        <v>44684710</v>
      </c>
      <c r="G27">
        <v>2.9184999999999999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-0.16847917015225064</v>
      </c>
      <c r="Q27">
        <f t="shared" ref="Q27" si="111">F27*P27</f>
        <v>-7528442.8592939759</v>
      </c>
      <c r="R27">
        <f t="shared" ref="R27" si="112">R28+Q27</f>
        <v>2184882747.929812</v>
      </c>
      <c r="S27">
        <f t="shared" ref="S27" si="113">R27/100000</f>
        <v>21848.827479298121</v>
      </c>
      <c r="T27">
        <f t="shared" ref="T27" si="114">S27/1000</f>
        <v>21.848827479298119</v>
      </c>
    </row>
    <row r="28" spans="1:20" x14ac:dyDescent="0.25">
      <c r="A28" s="5">
        <v>44565</v>
      </c>
      <c r="B28">
        <v>3.2498</v>
      </c>
      <c r="C28">
        <v>3.3048000000000002</v>
      </c>
      <c r="D28">
        <v>3.1294</v>
      </c>
      <c r="E28">
        <v>3.1755</v>
      </c>
      <c r="F28">
        <v>21707098</v>
      </c>
      <c r="G28">
        <v>3.1755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-0.47434435575826717</v>
      </c>
      <c r="Q28">
        <f t="shared" ref="Q28" si="116">F28*P28</f>
        <v>-10296639.41619157</v>
      </c>
      <c r="R28">
        <f t="shared" ref="R28" si="117">R29+Q28</f>
        <v>2192411190.7891059</v>
      </c>
      <c r="S28">
        <f t="shared" ref="S28" si="118">R28/100000</f>
        <v>21924.11190789106</v>
      </c>
      <c r="T28">
        <f t="shared" ref="T28" si="119">S28/1000</f>
        <v>21.92411190789106</v>
      </c>
    </row>
    <row r="29" spans="1:20" x14ac:dyDescent="0.25">
      <c r="A29" s="5">
        <v>44564</v>
      </c>
      <c r="B29">
        <v>3.3371</v>
      </c>
      <c r="C29">
        <v>3.3633000000000002</v>
      </c>
      <c r="D29">
        <v>3.2109999999999999</v>
      </c>
      <c r="E29">
        <v>3.2509000000000001</v>
      </c>
      <c r="F29">
        <v>18273405</v>
      </c>
      <c r="G29">
        <v>3.2509000000000001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-0.47603414313853992</v>
      </c>
      <c r="Q29">
        <f t="shared" ref="Q29" si="121">F29*P29</f>
        <v>-8698764.6913985107</v>
      </c>
      <c r="R29">
        <f t="shared" ref="R29" si="122">R30+Q29</f>
        <v>2202707830.2052975</v>
      </c>
      <c r="S29">
        <f t="shared" ref="S29" si="123">R29/100000</f>
        <v>22027.078302052974</v>
      </c>
      <c r="T29">
        <f t="shared" ref="T29" si="124">S29/1000</f>
        <v>22.027078302052974</v>
      </c>
    </row>
    <row r="30" spans="1:20" x14ac:dyDescent="0.25">
      <c r="A30" s="5">
        <v>44563</v>
      </c>
      <c r="B30">
        <v>3.3464</v>
      </c>
      <c r="C30">
        <v>3.3835000000000002</v>
      </c>
      <c r="D30">
        <v>3.2688999999999999</v>
      </c>
      <c r="E30">
        <v>3.3380999999999998</v>
      </c>
      <c r="F30">
        <v>15490903</v>
      </c>
      <c r="G30">
        <v>3.3380999999999998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0.20767888307154928</v>
      </c>
      <c r="Q30">
        <f t="shared" ref="Q30" si="126">F30*P30</f>
        <v>3217133.4328097119</v>
      </c>
      <c r="R30">
        <f t="shared" ref="R30" si="127">R31+Q30</f>
        <v>2211406594.8966961</v>
      </c>
      <c r="S30">
        <f t="shared" ref="S30" si="128">R30/100000</f>
        <v>22114.06594896696</v>
      </c>
      <c r="T30">
        <f t="shared" ref="T30" si="129">S30/1000</f>
        <v>22.11406594896696</v>
      </c>
    </row>
    <row r="31" spans="1:20" x14ac:dyDescent="0.25">
      <c r="A31" s="5">
        <v>44562</v>
      </c>
      <c r="B31">
        <v>3.2688000000000001</v>
      </c>
      <c r="C31">
        <v>3.3572000000000002</v>
      </c>
      <c r="D31">
        <v>3.262</v>
      </c>
      <c r="E31">
        <v>3.3477000000000001</v>
      </c>
      <c r="F31">
        <v>14606575</v>
      </c>
      <c r="G31">
        <v>3.3477000000000001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0.80042016806722593</v>
      </c>
      <c r="Q31">
        <f t="shared" ref="Q31" si="131">F31*P31</f>
        <v>11691397.21638654</v>
      </c>
      <c r="R31">
        <f t="shared" ref="R31" si="132">R32+Q31</f>
        <v>2208189461.4638863</v>
      </c>
      <c r="S31">
        <f t="shared" ref="S31" si="133">R31/100000</f>
        <v>22081.894614638863</v>
      </c>
      <c r="T31">
        <f t="shared" ref="T31" si="134">S31/1000</f>
        <v>22.081894614638863</v>
      </c>
    </row>
    <row r="32" spans="1:20" x14ac:dyDescent="0.25">
      <c r="A32" s="5">
        <v>44561</v>
      </c>
      <c r="B32">
        <v>3.2898000000000001</v>
      </c>
      <c r="C32">
        <v>3.4192999999999998</v>
      </c>
      <c r="D32">
        <v>3.1901000000000002</v>
      </c>
      <c r="E32">
        <v>3.2690000000000001</v>
      </c>
      <c r="F32">
        <v>32616005</v>
      </c>
      <c r="G32">
        <v>3.2690000000000001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-0.31151832460732898</v>
      </c>
      <c r="Q32">
        <f t="shared" ref="Q32" si="136">F32*P32</f>
        <v>-10160483.232984265</v>
      </c>
      <c r="R32">
        <f t="shared" ref="R32" si="137">R33+Q32</f>
        <v>2196498064.2474999</v>
      </c>
      <c r="S32">
        <f t="shared" ref="S32" si="138">R32/100000</f>
        <v>21964.980642474999</v>
      </c>
      <c r="T32">
        <f t="shared" ref="T32" si="139">S32/1000</f>
        <v>21.964980642474998</v>
      </c>
    </row>
    <row r="33" spans="1:20" x14ac:dyDescent="0.25">
      <c r="A33" s="5">
        <v>44560</v>
      </c>
      <c r="B33">
        <v>3.2578</v>
      </c>
      <c r="C33">
        <v>3.3675999999999999</v>
      </c>
      <c r="D33">
        <v>3.1629</v>
      </c>
      <c r="E33">
        <v>3.2888999999999999</v>
      </c>
      <c r="F33">
        <v>27875487</v>
      </c>
      <c r="G33">
        <v>3.2888999999999999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0.23106985832926197</v>
      </c>
      <c r="Q33">
        <f t="shared" ref="Q33" si="141">F33*P33</f>
        <v>6441184.8319491837</v>
      </c>
      <c r="R33">
        <f t="shared" ref="R33" si="142">R34+Q33</f>
        <v>2206658547.480484</v>
      </c>
      <c r="S33">
        <f t="shared" ref="S33" si="143">R33/100000</f>
        <v>22066.58547480484</v>
      </c>
      <c r="T33">
        <f t="shared" ref="T33" si="144">S33/1000</f>
        <v>22.066585474804839</v>
      </c>
    </row>
    <row r="34" spans="1:20" x14ac:dyDescent="0.25">
      <c r="A34" s="5">
        <v>44559</v>
      </c>
      <c r="B34">
        <v>3.3416000000000001</v>
      </c>
      <c r="C34">
        <v>3.4651999999999998</v>
      </c>
      <c r="D34">
        <v>3.2052</v>
      </c>
      <c r="E34">
        <v>3.2565</v>
      </c>
      <c r="F34">
        <v>38436001</v>
      </c>
      <c r="G34">
        <v>3.2565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-0.60538461538461585</v>
      </c>
      <c r="Q34">
        <f t="shared" ref="Q34" si="146">F34*P34</f>
        <v>-23268563.682307709</v>
      </c>
      <c r="R34">
        <f t="shared" ref="R34" si="147">R35+Q34</f>
        <v>2200217362.6485348</v>
      </c>
      <c r="S34">
        <f t="shared" ref="S34" si="148">R34/100000</f>
        <v>22002.173626485346</v>
      </c>
      <c r="T34">
        <f t="shared" ref="T34" si="149">S34/1000</f>
        <v>22.002173626485344</v>
      </c>
    </row>
    <row r="35" spans="1:20" x14ac:dyDescent="0.25">
      <c r="A35" s="5">
        <v>44558</v>
      </c>
      <c r="B35">
        <v>3.7444999999999999</v>
      </c>
      <c r="C35">
        <v>3.7446999999999999</v>
      </c>
      <c r="D35">
        <v>3.2928999999999999</v>
      </c>
      <c r="E35">
        <v>3.3416000000000001</v>
      </c>
      <c r="F35">
        <v>58391220</v>
      </c>
      <c r="G35">
        <v>3.3416000000000001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-0.78441788401947676</v>
      </c>
      <c r="Q35">
        <f t="shared" ref="Q35" si="151">F35*P35</f>
        <v>-45803117.237715751</v>
      </c>
      <c r="R35">
        <f t="shared" ref="R35" si="152">R36+Q35</f>
        <v>2223485926.3308425</v>
      </c>
      <c r="S35">
        <f t="shared" ref="S35" si="153">R35/100000</f>
        <v>22234.859263308426</v>
      </c>
      <c r="T35">
        <f t="shared" ref="T35" si="154">S35/1000</f>
        <v>22.234859263308426</v>
      </c>
    </row>
    <row r="36" spans="1:20" x14ac:dyDescent="0.25">
      <c r="A36" s="5">
        <v>44557</v>
      </c>
      <c r="B36">
        <v>3.8597999999999999</v>
      </c>
      <c r="C36">
        <v>3.9693999999999998</v>
      </c>
      <c r="D36">
        <v>3.7202000000000002</v>
      </c>
      <c r="E36">
        <v>3.7446000000000002</v>
      </c>
      <c r="F36">
        <v>43930107</v>
      </c>
      <c r="G36">
        <v>3.7446000000000002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-0.80417335473515239</v>
      </c>
      <c r="Q36">
        <f t="shared" ref="Q36" si="156">F36*P36</f>
        <v>-35327421.520064197</v>
      </c>
      <c r="R36">
        <f t="shared" ref="R36" si="157">R37+Q36</f>
        <v>2269289043.5685582</v>
      </c>
      <c r="S36">
        <f t="shared" ref="S36" si="158">R36/100000</f>
        <v>22692.890435685582</v>
      </c>
      <c r="T36">
        <f t="shared" ref="T36" si="159">S36/1000</f>
        <v>22.69289043568558</v>
      </c>
    </row>
    <row r="37" spans="1:20" x14ac:dyDescent="0.25">
      <c r="A37" s="5">
        <v>44556</v>
      </c>
      <c r="B37">
        <v>3.7484999999999999</v>
      </c>
      <c r="C37">
        <v>3.9399000000000002</v>
      </c>
      <c r="D37">
        <v>3.62</v>
      </c>
      <c r="E37">
        <v>3.8593000000000002</v>
      </c>
      <c r="F37">
        <v>46257891</v>
      </c>
      <c r="G37">
        <v>3.8593000000000002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0.4960925289152861</v>
      </c>
      <c r="Q37">
        <f t="shared" ref="Q37" si="161">F37*P37</f>
        <v>22948194.128477652</v>
      </c>
      <c r="R37">
        <f t="shared" ref="R37" si="162">R38+Q37</f>
        <v>2304616465.0886226</v>
      </c>
      <c r="S37">
        <f t="shared" ref="S37" si="163">R37/100000</f>
        <v>23046.164650886225</v>
      </c>
      <c r="T37">
        <f t="shared" ref="T37" si="164">S37/1000</f>
        <v>23.046164650886226</v>
      </c>
    </row>
    <row r="38" spans="1:20" x14ac:dyDescent="0.25">
      <c r="A38" s="5">
        <v>44555</v>
      </c>
      <c r="B38">
        <v>3.5032999999999999</v>
      </c>
      <c r="C38">
        <v>3.8479999999999999</v>
      </c>
      <c r="D38">
        <v>3.4725999999999999</v>
      </c>
      <c r="E38">
        <v>3.7483</v>
      </c>
      <c r="F38">
        <v>50974423</v>
      </c>
      <c r="G38">
        <v>3.7483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0.4688332445391587</v>
      </c>
      <c r="Q38">
        <f t="shared" ref="Q38" si="166">F38*P38</f>
        <v>23898504.123601515</v>
      </c>
      <c r="R38">
        <f t="shared" ref="R38" si="167">R39+Q38</f>
        <v>2281668270.960145</v>
      </c>
      <c r="S38">
        <f t="shared" ref="S38" si="168">R38/100000</f>
        <v>22816.682709601449</v>
      </c>
      <c r="T38">
        <f t="shared" ref="T38" si="169">S38/1000</f>
        <v>22.816682709601448</v>
      </c>
    </row>
    <row r="39" spans="1:20" x14ac:dyDescent="0.25">
      <c r="A39" s="5">
        <v>44554</v>
      </c>
      <c r="B39">
        <v>3.6850000000000001</v>
      </c>
      <c r="C39">
        <v>3.8599000000000001</v>
      </c>
      <c r="D39">
        <v>3.452</v>
      </c>
      <c r="E39">
        <v>3.5028999999999999</v>
      </c>
      <c r="F39">
        <v>71099324</v>
      </c>
      <c r="G39">
        <v>3.5028999999999999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-0.75042902672223621</v>
      </c>
      <c r="Q39">
        <f t="shared" ref="Q39" si="171">F39*P39</f>
        <v>-53354996.509928934</v>
      </c>
      <c r="R39">
        <f t="shared" ref="R39" si="172">R40+Q39</f>
        <v>2257769766.8365436</v>
      </c>
      <c r="S39">
        <f t="shared" ref="S39" si="173">R39/100000</f>
        <v>22577.697668365436</v>
      </c>
      <c r="T39">
        <f t="shared" ref="T39" si="174">S39/1000</f>
        <v>22.577697668365435</v>
      </c>
    </row>
    <row r="40" spans="1:20" x14ac:dyDescent="0.25">
      <c r="A40" s="5">
        <v>44553</v>
      </c>
      <c r="B40">
        <v>3.2894999999999999</v>
      </c>
      <c r="C40">
        <v>3.7450000000000001</v>
      </c>
      <c r="D40">
        <v>3.2021999999999999</v>
      </c>
      <c r="E40">
        <v>3.6848999999999998</v>
      </c>
      <c r="F40">
        <v>68136245</v>
      </c>
      <c r="G40">
        <v>3.6848999999999998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0.77855563743551859</v>
      </c>
      <c r="Q40">
        <f t="shared" ref="Q40" si="176">F40*P40</f>
        <v>53047857.658437669</v>
      </c>
      <c r="R40">
        <f t="shared" ref="R40" si="177">R41+Q40</f>
        <v>2311124763.3464723</v>
      </c>
      <c r="S40">
        <f t="shared" ref="S40" si="178">R40/100000</f>
        <v>23111.247633464722</v>
      </c>
      <c r="T40">
        <f t="shared" ref="T40" si="179">S40/1000</f>
        <v>23.111247633464721</v>
      </c>
    </row>
    <row r="41" spans="1:20" x14ac:dyDescent="0.25">
      <c r="A41" s="5">
        <v>44552</v>
      </c>
      <c r="B41">
        <v>3.2818999999999998</v>
      </c>
      <c r="C41">
        <v>3.3898999999999999</v>
      </c>
      <c r="D41">
        <v>3.2155</v>
      </c>
      <c r="E41">
        <v>3.2892000000000001</v>
      </c>
      <c r="F41">
        <v>44977949</v>
      </c>
      <c r="G41">
        <v>3.2892000000000001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-0.15481651376146621</v>
      </c>
      <c r="Q41">
        <f t="shared" ref="Q41" si="181">F41*P41</f>
        <v>-6963329.2603210257</v>
      </c>
      <c r="R41">
        <f t="shared" ref="R41" si="182">R42+Q41</f>
        <v>2258076905.6880345</v>
      </c>
      <c r="S41">
        <f t="shared" ref="S41" si="183">R41/100000</f>
        <v>22580.769056880345</v>
      </c>
      <c r="T41">
        <f t="shared" ref="T41" si="184">S41/1000</f>
        <v>22.580769056880346</v>
      </c>
    </row>
    <row r="42" spans="1:20" x14ac:dyDescent="0.25">
      <c r="A42" s="5">
        <v>44551</v>
      </c>
      <c r="B42">
        <v>3.1941000000000002</v>
      </c>
      <c r="C42">
        <v>3.3279999999999998</v>
      </c>
      <c r="D42">
        <v>3.12</v>
      </c>
      <c r="E42">
        <v>3.2818000000000001</v>
      </c>
      <c r="F42">
        <v>49507426</v>
      </c>
      <c r="G42">
        <v>3.2818000000000001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0.55576923076923213</v>
      </c>
      <c r="Q42">
        <f t="shared" ref="Q42" si="186">F42*P42</f>
        <v>27514704.065384682</v>
      </c>
      <c r="R42">
        <f t="shared" ref="R42" si="187">R43+Q42</f>
        <v>2265040234.9483557</v>
      </c>
      <c r="S42">
        <f t="shared" ref="S42" si="188">R42/100000</f>
        <v>22650.402349483556</v>
      </c>
      <c r="T42">
        <f t="shared" ref="T42" si="189">S42/1000</f>
        <v>22.650402349483556</v>
      </c>
    </row>
    <row r="43" spans="1:20" x14ac:dyDescent="0.25">
      <c r="A43" s="5">
        <v>44550</v>
      </c>
      <c r="B43">
        <v>3.2561</v>
      </c>
      <c r="C43">
        <v>3.3296999999999999</v>
      </c>
      <c r="D43">
        <v>3.0179</v>
      </c>
      <c r="E43">
        <v>3.1959</v>
      </c>
      <c r="F43">
        <v>59205799</v>
      </c>
      <c r="G43">
        <v>3.1959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0.14175753688261719</v>
      </c>
      <c r="Q43">
        <f t="shared" ref="Q43" si="191">F43*P43</f>
        <v>8392868.2354073208</v>
      </c>
      <c r="R43">
        <f t="shared" ref="R43" si="192">R44+Q43</f>
        <v>2237525530.8829708</v>
      </c>
      <c r="S43">
        <f t="shared" ref="S43" si="193">R43/100000</f>
        <v>22375.255308829706</v>
      </c>
      <c r="T43">
        <f t="shared" ref="T43" si="194">S43/1000</f>
        <v>22.375255308829708</v>
      </c>
    </row>
    <row r="44" spans="1:20" x14ac:dyDescent="0.25">
      <c r="A44" s="5">
        <v>44549</v>
      </c>
      <c r="B44">
        <v>3.4304000000000001</v>
      </c>
      <c r="C44">
        <v>3.6179999999999999</v>
      </c>
      <c r="D44">
        <v>3.2435999999999998</v>
      </c>
      <c r="E44">
        <v>3.2551999999999999</v>
      </c>
      <c r="F44">
        <v>66312982</v>
      </c>
      <c r="G44">
        <v>3.2551999999999999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-0.9380341880341877</v>
      </c>
      <c r="Q44">
        <f t="shared" ref="Q44" si="196">F44*P44</f>
        <v>-62203844.226495706</v>
      </c>
      <c r="R44">
        <f t="shared" ref="R44" si="197">R45+Q44</f>
        <v>2229132662.6475635</v>
      </c>
      <c r="S44">
        <f t="shared" ref="S44" si="198">R44/100000</f>
        <v>22291.326626475635</v>
      </c>
      <c r="T44">
        <f t="shared" ref="T44" si="199">S44/1000</f>
        <v>22.291326626475634</v>
      </c>
    </row>
    <row r="45" spans="1:20" x14ac:dyDescent="0.25">
      <c r="A45" s="5">
        <v>44548</v>
      </c>
      <c r="B45">
        <v>3.0678999999999998</v>
      </c>
      <c r="C45">
        <v>3.4996999999999998</v>
      </c>
      <c r="D45">
        <v>3.0244</v>
      </c>
      <c r="E45">
        <v>3.4293</v>
      </c>
      <c r="F45">
        <v>67177637</v>
      </c>
      <c r="G45">
        <v>3.4293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0.70376604249947472</v>
      </c>
      <c r="Q45">
        <f t="shared" ref="Q45" si="201">F45*P45</f>
        <v>47277339.735956289</v>
      </c>
      <c r="R45">
        <f t="shared" ref="R45" si="202">R46+Q45</f>
        <v>2291336506.8740592</v>
      </c>
      <c r="S45">
        <f t="shared" ref="S45" si="203">R45/100000</f>
        <v>22913.365068740593</v>
      </c>
      <c r="T45">
        <f t="shared" ref="T45" si="204">S45/1000</f>
        <v>22.913365068740593</v>
      </c>
    </row>
    <row r="46" spans="1:20" x14ac:dyDescent="0.25">
      <c r="A46" s="5">
        <v>44547</v>
      </c>
      <c r="B46">
        <v>3.1486000000000001</v>
      </c>
      <c r="C46">
        <v>3.2244999999999999</v>
      </c>
      <c r="D46">
        <v>2.9613</v>
      </c>
      <c r="E46">
        <v>3.0680999999999998</v>
      </c>
      <c r="F46">
        <v>36078728</v>
      </c>
      <c r="G46">
        <v>3.0680999999999998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-0.18844984802431738</v>
      </c>
      <c r="Q46">
        <f t="shared" ref="Q46" si="206">F46*P46</f>
        <v>-6799030.8085106844</v>
      </c>
      <c r="R46">
        <f t="shared" ref="R46" si="207">R47+Q46</f>
        <v>2244059167.138103</v>
      </c>
      <c r="S46">
        <f t="shared" ref="S46" si="208">R46/100000</f>
        <v>22440.591671381029</v>
      </c>
      <c r="T46">
        <f t="shared" ref="T46" si="209">S46/1000</f>
        <v>22.440591671381029</v>
      </c>
    </row>
    <row r="47" spans="1:20" x14ac:dyDescent="0.25">
      <c r="A47" s="5">
        <v>44546</v>
      </c>
      <c r="B47">
        <v>3.3391000000000002</v>
      </c>
      <c r="C47">
        <v>3.4268999999999998</v>
      </c>
      <c r="D47">
        <v>3.1231</v>
      </c>
      <c r="E47">
        <v>3.1473</v>
      </c>
      <c r="F47">
        <v>38496995</v>
      </c>
      <c r="G47">
        <v>3.1473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-0.84068466096115857</v>
      </c>
      <c r="Q47">
        <f t="shared" ref="Q47" si="211">F47*P47</f>
        <v>-32363833.189598415</v>
      </c>
      <c r="R47">
        <f t="shared" ref="R47" si="212">R48+Q47</f>
        <v>2250858197.9466138</v>
      </c>
      <c r="S47">
        <f t="shared" ref="S47" si="213">R47/100000</f>
        <v>22508.581979466137</v>
      </c>
      <c r="T47">
        <f t="shared" ref="T47" si="214">S47/1000</f>
        <v>22.508581979466136</v>
      </c>
    </row>
    <row r="48" spans="1:20" x14ac:dyDescent="0.25">
      <c r="A48" s="5">
        <v>44545</v>
      </c>
      <c r="B48">
        <v>3.1661000000000001</v>
      </c>
      <c r="C48">
        <v>3.4121000000000001</v>
      </c>
      <c r="D48">
        <v>2.93</v>
      </c>
      <c r="E48">
        <v>3.3380000000000001</v>
      </c>
      <c r="F48">
        <v>59310010</v>
      </c>
      <c r="G48">
        <v>3.3380000000000001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0.69259489732420632</v>
      </c>
      <c r="Q48">
        <f t="shared" ref="Q48" si="216">F48*P48</f>
        <v>41077810.286247648</v>
      </c>
      <c r="R48">
        <f t="shared" ref="R48" si="217">R49+Q48</f>
        <v>2283222031.1362123</v>
      </c>
      <c r="S48">
        <f t="shared" ref="S48" si="218">R48/100000</f>
        <v>22832.220311362122</v>
      </c>
      <c r="T48">
        <f t="shared" ref="T48" si="219">S48/1000</f>
        <v>22.832220311362121</v>
      </c>
    </row>
    <row r="49" spans="1:20" x14ac:dyDescent="0.25">
      <c r="A49" s="5">
        <v>44544</v>
      </c>
      <c r="B49">
        <v>3.1684000000000001</v>
      </c>
      <c r="C49">
        <v>3.2616999999999998</v>
      </c>
      <c r="D49">
        <v>2.9942000000000002</v>
      </c>
      <c r="E49">
        <v>3.1659999999999999</v>
      </c>
      <c r="F49">
        <v>45008885</v>
      </c>
      <c r="G49">
        <v>3.1659999999999999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0.28448598130841102</v>
      </c>
      <c r="Q49">
        <f t="shared" ref="Q49" si="221">F49*P49</f>
        <v>12804396.816822421</v>
      </c>
      <c r="R49">
        <f t="shared" ref="R49" si="222">R50+Q49</f>
        <v>2242144220.8499646</v>
      </c>
      <c r="S49">
        <f t="shared" ref="S49" si="223">R49/100000</f>
        <v>22421.442208499648</v>
      </c>
      <c r="T49">
        <f t="shared" ref="T49" si="224">S49/1000</f>
        <v>22.421442208499649</v>
      </c>
    </row>
    <row r="50" spans="1:20" x14ac:dyDescent="0.25">
      <c r="A50" s="5">
        <v>44543</v>
      </c>
      <c r="B50">
        <v>3.6244999999999998</v>
      </c>
      <c r="C50">
        <v>3.6937000000000002</v>
      </c>
      <c r="D50">
        <v>3.1038000000000001</v>
      </c>
      <c r="E50">
        <v>3.1695000000000002</v>
      </c>
      <c r="F50">
        <v>49852113</v>
      </c>
      <c r="G50">
        <v>3.1695000000000002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-0.77725038142057945</v>
      </c>
      <c r="Q50">
        <f t="shared" ref="Q50" si="226">F50*P50</f>
        <v>-38747573.843871824</v>
      </c>
      <c r="R50">
        <f t="shared" ref="R50" si="227">R51+Q50</f>
        <v>2229339824.0331421</v>
      </c>
      <c r="S50">
        <f t="shared" ref="S50" si="228">R50/100000</f>
        <v>22293.398240331422</v>
      </c>
      <c r="T50">
        <f t="shared" ref="T50" si="229">S50/1000</f>
        <v>22.29339824033142</v>
      </c>
    </row>
    <row r="51" spans="1:20" x14ac:dyDescent="0.25">
      <c r="A51" s="5">
        <v>44542</v>
      </c>
      <c r="B51">
        <v>3.4811000000000001</v>
      </c>
      <c r="C51">
        <v>3.6762000000000001</v>
      </c>
      <c r="D51">
        <v>3.4531000000000001</v>
      </c>
      <c r="E51">
        <v>3.6242999999999999</v>
      </c>
      <c r="F51">
        <v>50566148</v>
      </c>
      <c r="G51">
        <v>3.6242999999999999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0.53473778574629971</v>
      </c>
      <c r="Q51">
        <f t="shared" ref="Q51" si="231">F51*P51</f>
        <v>27039630.015239682</v>
      </c>
      <c r="R51">
        <f t="shared" ref="R51" si="232">R52+Q51</f>
        <v>2268087397.8770137</v>
      </c>
      <c r="S51">
        <f t="shared" ref="S51" si="233">R51/100000</f>
        <v>22680.873978770138</v>
      </c>
      <c r="T51">
        <f t="shared" ref="T51" si="234">S51/1000</f>
        <v>22.680873978770137</v>
      </c>
    </row>
    <row r="52" spans="1:20" x14ac:dyDescent="0.25">
      <c r="A52" s="5">
        <v>44541</v>
      </c>
      <c r="B52">
        <v>3.2324999999999999</v>
      </c>
      <c r="C52">
        <v>3.2764000000000002</v>
      </c>
      <c r="D52">
        <v>3.1619999999999999</v>
      </c>
      <c r="E52">
        <v>3.2568000000000001</v>
      </c>
      <c r="F52">
        <v>3705866</v>
      </c>
      <c r="G52">
        <v>3.2568000000000001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0.65734265734265707</v>
      </c>
      <c r="Q52">
        <f t="shared" ref="Q52" si="236">F52*P52</f>
        <v>2436023.8041958031</v>
      </c>
      <c r="R52">
        <f t="shared" ref="R52" si="237">R53+Q52</f>
        <v>2241047767.861774</v>
      </c>
      <c r="S52">
        <f t="shared" ref="S52" si="238">R52/100000</f>
        <v>22410.477678617739</v>
      </c>
      <c r="T52">
        <f t="shared" ref="T52" si="239">S52/1000</f>
        <v>22.410477678617738</v>
      </c>
    </row>
    <row r="53" spans="1:20" x14ac:dyDescent="0.25">
      <c r="A53" s="5">
        <v>44540</v>
      </c>
      <c r="B53">
        <v>3.4529999999999998</v>
      </c>
      <c r="C53">
        <v>3.5985999999999998</v>
      </c>
      <c r="D53">
        <v>3.2111000000000001</v>
      </c>
      <c r="E53">
        <v>3.2334000000000001</v>
      </c>
      <c r="F53">
        <v>55071280</v>
      </c>
      <c r="G53">
        <v>3.2334000000000001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-0.88490322580645164</v>
      </c>
      <c r="Q53">
        <f t="shared" ref="Q53" si="241">F53*P53</f>
        <v>-48732753.321290322</v>
      </c>
      <c r="R53">
        <f t="shared" ref="R53" si="242">R54+Q53</f>
        <v>2238611744.0575781</v>
      </c>
      <c r="S53">
        <f t="shared" ref="S53" si="243">R53/100000</f>
        <v>22386.117440575781</v>
      </c>
      <c r="T53">
        <f t="shared" ref="T53" si="244">S53/1000</f>
        <v>22.386117440575781</v>
      </c>
    </row>
    <row r="54" spans="1:20" x14ac:dyDescent="0.25">
      <c r="A54" s="5">
        <v>44539</v>
      </c>
      <c r="B54">
        <v>3.7694999999999999</v>
      </c>
      <c r="C54">
        <v>3.8948</v>
      </c>
      <c r="D54">
        <v>3.4150999999999998</v>
      </c>
      <c r="E54">
        <v>3.4531000000000001</v>
      </c>
      <c r="F54">
        <v>71798098</v>
      </c>
      <c r="G54">
        <v>3.4531000000000001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-0.84156764644569426</v>
      </c>
      <c r="Q54">
        <f t="shared" ref="Q54" si="246">F54*P54</f>
        <v>-60422956.353137307</v>
      </c>
      <c r="R54">
        <f t="shared" ref="R54" si="247">R55+Q54</f>
        <v>2287344497.3788686</v>
      </c>
      <c r="S54">
        <f t="shared" ref="S54" si="248">R54/100000</f>
        <v>22873.444973788686</v>
      </c>
      <c r="T54">
        <f t="shared" ref="T54" si="249">S54/1000</f>
        <v>22.873444973788686</v>
      </c>
    </row>
    <row r="55" spans="1:20" x14ac:dyDescent="0.25">
      <c r="A55" s="5">
        <v>44538</v>
      </c>
      <c r="B55">
        <v>3.8132000000000001</v>
      </c>
      <c r="C55">
        <v>3.8393999999999999</v>
      </c>
      <c r="D55">
        <v>3.55</v>
      </c>
      <c r="E55">
        <v>3.7686000000000002</v>
      </c>
      <c r="F55">
        <v>61796931</v>
      </c>
      <c r="G55">
        <v>3.7686000000000002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0.51071181755356099</v>
      </c>
      <c r="Q55">
        <f t="shared" ref="Q55" si="251">F55*P55</f>
        <v>31560422.950241998</v>
      </c>
      <c r="R55">
        <f t="shared" ref="R55" si="252">R56+Q55</f>
        <v>2347767453.7320061</v>
      </c>
      <c r="S55">
        <f t="shared" ref="S55" si="253">R55/100000</f>
        <v>23477.674537320061</v>
      </c>
      <c r="T55">
        <f t="shared" ref="T55" si="254">S55/1000</f>
        <v>23.477674537320063</v>
      </c>
    </row>
    <row r="56" spans="1:20" x14ac:dyDescent="0.25">
      <c r="A56" s="5">
        <v>44537</v>
      </c>
      <c r="B56">
        <v>3.7677</v>
      </c>
      <c r="C56">
        <v>4.1586999999999996</v>
      </c>
      <c r="D56">
        <v>3.6678000000000002</v>
      </c>
      <c r="E56">
        <v>3.8132000000000001</v>
      </c>
      <c r="F56">
        <v>83725036</v>
      </c>
      <c r="G56">
        <v>3.8132000000000001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-0.40761865960480692</v>
      </c>
      <c r="Q56">
        <f t="shared" ref="Q56" si="256">F56*P56</f>
        <v>-34127886.949684203</v>
      </c>
      <c r="R56">
        <f t="shared" ref="R56" si="257">R57+Q56</f>
        <v>2316207030.781764</v>
      </c>
      <c r="S56">
        <f t="shared" ref="S56" si="258">R56/100000</f>
        <v>23162.070307817641</v>
      </c>
      <c r="T56">
        <f t="shared" ref="T56" si="259">S56/1000</f>
        <v>23.16207030781764</v>
      </c>
    </row>
    <row r="57" spans="1:20" x14ac:dyDescent="0.25">
      <c r="A57" s="5">
        <v>44536</v>
      </c>
      <c r="B57">
        <v>3.6863000000000001</v>
      </c>
      <c r="C57">
        <v>3.9222999999999999</v>
      </c>
      <c r="D57">
        <v>3.2222</v>
      </c>
      <c r="E57">
        <v>3.7677</v>
      </c>
      <c r="F57">
        <v>109374849</v>
      </c>
      <c r="G57">
        <v>3.7677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0.55834880731324132</v>
      </c>
      <c r="Q57">
        <f t="shared" ref="Q57" si="261">F57*P57</f>
        <v>61069316.489215866</v>
      </c>
      <c r="R57">
        <f t="shared" ref="R57" si="262">R58+Q57</f>
        <v>2350334917.7314482</v>
      </c>
      <c r="S57">
        <f t="shared" ref="S57" si="263">R57/100000</f>
        <v>23503.349177314481</v>
      </c>
      <c r="T57">
        <f t="shared" ref="T57" si="264">S57/1000</f>
        <v>23.503349177314483</v>
      </c>
    </row>
    <row r="58" spans="1:20" x14ac:dyDescent="0.25">
      <c r="A58" s="5">
        <v>44535</v>
      </c>
      <c r="B58">
        <v>4.1208</v>
      </c>
      <c r="C58">
        <v>4.1658999999999997</v>
      </c>
      <c r="D58">
        <v>3.5028000000000001</v>
      </c>
      <c r="E58">
        <v>3.6861999999999999</v>
      </c>
      <c r="F58">
        <v>97716344</v>
      </c>
      <c r="G58">
        <v>3.6861999999999999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-0.44684059719499353</v>
      </c>
      <c r="Q58">
        <f t="shared" ref="Q58" si="266">F58*P58</f>
        <v>-43663629.508671425</v>
      </c>
      <c r="R58">
        <f t="shared" ref="R58" si="267">R59+Q58</f>
        <v>2289265601.2422323</v>
      </c>
      <c r="S58">
        <f t="shared" ref="S58" si="268">R58/100000</f>
        <v>22892.656012422322</v>
      </c>
      <c r="T58">
        <f t="shared" ref="T58" si="269">S58/1000</f>
        <v>22.892656012422322</v>
      </c>
    </row>
    <row r="59" spans="1:20" x14ac:dyDescent="0.25">
      <c r="A59" s="5">
        <v>44534</v>
      </c>
      <c r="B59">
        <v>3.9020000000000001</v>
      </c>
      <c r="C59">
        <v>4.2282999999999999</v>
      </c>
      <c r="D59">
        <v>2.5</v>
      </c>
      <c r="E59">
        <v>4.1199000000000003</v>
      </c>
      <c r="F59">
        <v>232655174</v>
      </c>
      <c r="G59">
        <v>4.1199000000000003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0.87455881502054089</v>
      </c>
      <c r="Q59">
        <f t="shared" ref="Q59" si="271">F59*P59</f>
        <v>203470633.28183776</v>
      </c>
      <c r="R59">
        <f t="shared" ref="R59" si="272">R60+Q59</f>
        <v>2332929230.7509036</v>
      </c>
      <c r="S59">
        <f t="shared" ref="S59" si="273">R59/100000</f>
        <v>23329.292307509037</v>
      </c>
      <c r="T59">
        <f t="shared" ref="T59" si="274">S59/1000</f>
        <v>23.329292307509036</v>
      </c>
    </row>
    <row r="60" spans="1:20" x14ac:dyDescent="0.25">
      <c r="A60" s="5">
        <v>44533</v>
      </c>
      <c r="B60">
        <v>4.4092000000000002</v>
      </c>
      <c r="C60">
        <v>4.4396000000000004</v>
      </c>
      <c r="D60">
        <v>3.7</v>
      </c>
      <c r="E60">
        <v>3.9030999999999998</v>
      </c>
      <c r="F60">
        <v>78353278</v>
      </c>
      <c r="G60">
        <v>3.9030999999999998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-0.45078420767982819</v>
      </c>
      <c r="Q60">
        <f t="shared" ref="Q60" si="276">F60*P60</f>
        <v>-35320420.342347316</v>
      </c>
      <c r="R60">
        <f t="shared" ref="R60" si="277">R61+Q60</f>
        <v>2129458597.4690659</v>
      </c>
      <c r="S60">
        <f t="shared" ref="S60" si="278">R60/100000</f>
        <v>21294.585974690661</v>
      </c>
      <c r="T60">
        <f t="shared" ref="T60" si="279">S60/1000</f>
        <v>21.294585974690662</v>
      </c>
    </row>
    <row r="61" spans="1:20" x14ac:dyDescent="0.25">
      <c r="A61" s="5">
        <v>44532</v>
      </c>
      <c r="B61">
        <v>4.5483000000000002</v>
      </c>
      <c r="C61">
        <v>4.5507999999999997</v>
      </c>
      <c r="D61">
        <v>4.2062999999999997</v>
      </c>
      <c r="E61">
        <v>4.4093</v>
      </c>
      <c r="F61">
        <v>63990669</v>
      </c>
      <c r="G61">
        <v>4.4093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0.17851959361393482</v>
      </c>
      <c r="Q61">
        <f t="shared" ref="Q61" si="281">F61*P61</f>
        <v>11423588.224963818</v>
      </c>
      <c r="R61">
        <f t="shared" ref="R61" si="282">R62+Q61</f>
        <v>2164779017.8114133</v>
      </c>
      <c r="S61">
        <f t="shared" ref="S61" si="283">R61/100000</f>
        <v>21647.790178114134</v>
      </c>
      <c r="T61">
        <f t="shared" ref="T61" si="284">S61/1000</f>
        <v>21.647790178114132</v>
      </c>
    </row>
    <row r="62" spans="1:20" x14ac:dyDescent="0.25">
      <c r="A62" s="5">
        <v>44531</v>
      </c>
      <c r="B62">
        <v>4.6494</v>
      </c>
      <c r="C62">
        <v>4.8182</v>
      </c>
      <c r="D62">
        <v>4.4409999999999998</v>
      </c>
      <c r="E62">
        <v>4.5503999999999998</v>
      </c>
      <c r="F62">
        <v>81006978</v>
      </c>
      <c r="G62">
        <v>4.5503999999999998</v>
      </c>
      <c r="L62" t="s">
        <v>7</v>
      </c>
      <c r="M62" t="s">
        <v>8</v>
      </c>
      <c r="N62" t="s">
        <v>8</v>
      </c>
      <c r="P62">
        <f t="shared" ref="P62" si="285">IF(C62=D62,0,((E62-D62)-(C62-E62))/(C62-D62))</f>
        <v>-0.41993637327677685</v>
      </c>
      <c r="Q62">
        <f t="shared" ref="Q62" si="286">F62*P62</f>
        <v>-34017776.551431648</v>
      </c>
      <c r="R62">
        <f t="shared" ref="R62" si="287">R63+Q62</f>
        <v>2153355429.5864496</v>
      </c>
      <c r="S62">
        <f t="shared" ref="S62" si="288">R62/100000</f>
        <v>21533.554295864495</v>
      </c>
      <c r="T62">
        <f t="shared" ref="T62" si="289">S62/1000</f>
        <v>21.533554295864494</v>
      </c>
    </row>
    <row r="63" spans="1:20" x14ac:dyDescent="0.25">
      <c r="A63" s="5">
        <v>44530</v>
      </c>
      <c r="B63">
        <v>4.8811999999999998</v>
      </c>
      <c r="C63">
        <v>4.9356999999999998</v>
      </c>
      <c r="D63">
        <v>4.5316999999999998</v>
      </c>
      <c r="E63">
        <v>4.6494999999999997</v>
      </c>
      <c r="F63">
        <v>90544878</v>
      </c>
      <c r="G63">
        <v>4.6494999999999997</v>
      </c>
      <c r="L63" t="s">
        <v>7</v>
      </c>
      <c r="M63" t="s">
        <v>8</v>
      </c>
      <c r="N63" t="s">
        <v>8</v>
      </c>
      <c r="P63">
        <f t="shared" ref="P63" si="290">IF(C63=D63,0,((E63-D63)-(C63-E63))/(C63-D63))</f>
        <v>-0.4168316831683172</v>
      </c>
      <c r="Q63">
        <f t="shared" ref="Q63" si="291">F63*P63</f>
        <v>-37741973.899009936</v>
      </c>
      <c r="R63">
        <f t="shared" ref="R63" si="292">R64+Q63</f>
        <v>2187373206.1378813</v>
      </c>
      <c r="S63">
        <f t="shared" ref="S63" si="293">R63/100000</f>
        <v>21873.732061378814</v>
      </c>
      <c r="T63">
        <f t="shared" ref="T63" si="294">S63/1000</f>
        <v>21.873732061378814</v>
      </c>
    </row>
    <row r="64" spans="1:20" x14ac:dyDescent="0.25">
      <c r="A64" s="5">
        <v>44529</v>
      </c>
      <c r="B64">
        <v>5.1459000000000001</v>
      </c>
      <c r="C64">
        <v>5.23</v>
      </c>
      <c r="D64">
        <v>4.8028000000000004</v>
      </c>
      <c r="E64">
        <v>4.88</v>
      </c>
      <c r="F64">
        <v>113183305</v>
      </c>
      <c r="G64">
        <v>4.88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-0.63857677902621968</v>
      </c>
      <c r="Q64">
        <f t="shared" ref="Q64" si="296">F64*P64</f>
        <v>-72276230.346442223</v>
      </c>
      <c r="R64">
        <f t="shared" ref="R64" si="297">R65+Q64</f>
        <v>2225115180.036891</v>
      </c>
      <c r="S64">
        <f t="shared" ref="S64" si="298">R64/100000</f>
        <v>22251.151800368909</v>
      </c>
      <c r="T64">
        <f t="shared" ref="T64" si="299">S64/1000</f>
        <v>22.251151800368909</v>
      </c>
    </row>
    <row r="65" spans="1:20" x14ac:dyDescent="0.25">
      <c r="A65" s="5">
        <v>44528</v>
      </c>
      <c r="B65">
        <v>4.6942000000000004</v>
      </c>
      <c r="C65">
        <v>5.15</v>
      </c>
      <c r="D65">
        <v>4.2781000000000002</v>
      </c>
      <c r="E65">
        <v>5.1429</v>
      </c>
      <c r="F65">
        <v>140149457</v>
      </c>
      <c r="G65">
        <v>5.1429</v>
      </c>
      <c r="L65" t="s">
        <v>8</v>
      </c>
      <c r="M65" t="s">
        <v>7</v>
      </c>
      <c r="N65" t="s">
        <v>8</v>
      </c>
      <c r="P65">
        <f t="shared" ref="P65" si="300">IF(C65=D65,0,((E65-D65)-(C65-E65))/(C65-D65))</f>
        <v>0.98371372863860462</v>
      </c>
      <c r="Q65">
        <f t="shared" ref="Q65" si="301">F65*P65</f>
        <v>137866944.91214579</v>
      </c>
      <c r="R65">
        <f t="shared" ref="R65" si="302">R66+Q65</f>
        <v>2297391410.3833332</v>
      </c>
      <c r="S65">
        <f t="shared" ref="S65" si="303">R65/100000</f>
        <v>22973.914103833333</v>
      </c>
      <c r="T65">
        <f t="shared" ref="T65" si="304">S65/1000</f>
        <v>22.973914103833334</v>
      </c>
    </row>
    <row r="66" spans="1:20" x14ac:dyDescent="0.25">
      <c r="A66" s="5">
        <v>44527</v>
      </c>
      <c r="B66">
        <v>4.6641000000000004</v>
      </c>
      <c r="C66">
        <v>4.9263000000000003</v>
      </c>
      <c r="D66">
        <v>4.3498999999999999</v>
      </c>
      <c r="E66">
        <v>4.6942000000000004</v>
      </c>
      <c r="F66">
        <v>116881193</v>
      </c>
      <c r="G66">
        <v>4.6942000000000004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0.19465648854961906</v>
      </c>
      <c r="Q66">
        <f t="shared" ref="Q66" si="306">F66*P66</f>
        <v>22751682.606870316</v>
      </c>
      <c r="R66">
        <f t="shared" ref="R66" si="307">R67+Q66</f>
        <v>2159524465.4711876</v>
      </c>
      <c r="S66">
        <f t="shared" ref="S66" si="308">R66/100000</f>
        <v>21595.244654711874</v>
      </c>
      <c r="T66">
        <f t="shared" ref="T66" si="309">S66/1000</f>
        <v>21.595244654711873</v>
      </c>
    </row>
    <row r="67" spans="1:20" x14ac:dyDescent="0.25">
      <c r="A67" s="5">
        <v>44526</v>
      </c>
      <c r="B67">
        <v>5.1917</v>
      </c>
      <c r="C67">
        <v>5.4554999999999998</v>
      </c>
      <c r="D67">
        <v>4.3422000000000001</v>
      </c>
      <c r="E67">
        <v>4.6631999999999998</v>
      </c>
      <c r="F67">
        <v>218262014</v>
      </c>
      <c r="G67">
        <v>4.6631999999999998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-0.42333602802479153</v>
      </c>
      <c r="Q67">
        <f t="shared" ref="Q67" si="311">F67*P67</f>
        <v>-92398174.075451449</v>
      </c>
      <c r="R67">
        <f t="shared" ref="R67" si="312">R68+Q67</f>
        <v>2136772782.8643174</v>
      </c>
      <c r="S67">
        <f t="shared" ref="S67" si="313">R67/100000</f>
        <v>21367.727828643176</v>
      </c>
      <c r="T67">
        <f t="shared" ref="T67" si="314">S67/1000</f>
        <v>21.367727828643176</v>
      </c>
    </row>
    <row r="68" spans="1:20" x14ac:dyDescent="0.25">
      <c r="A68" s="5">
        <v>44525</v>
      </c>
      <c r="B68">
        <v>5.1632999999999996</v>
      </c>
      <c r="C68">
        <v>5.9</v>
      </c>
      <c r="D68">
        <v>4.6646000000000001</v>
      </c>
      <c r="E68">
        <v>5.1913999999999998</v>
      </c>
      <c r="F68">
        <v>386229680</v>
      </c>
      <c r="G68">
        <v>5.1913999999999998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-0.14715881495871849</v>
      </c>
      <c r="Q68">
        <f t="shared" ref="Q68" si="316">F68*P68</f>
        <v>-56837102.010685056</v>
      </c>
      <c r="R68">
        <f t="shared" ref="R68" si="317">R69+Q68</f>
        <v>2229170956.9397688</v>
      </c>
      <c r="S68">
        <f t="shared" ref="S68" si="318">R68/100000</f>
        <v>22291.709569397688</v>
      </c>
      <c r="T68">
        <f t="shared" ref="T68" si="319">S68/1000</f>
        <v>22.291709569397689</v>
      </c>
    </row>
    <row r="69" spans="1:20" x14ac:dyDescent="0.25">
      <c r="A69" s="5">
        <v>44524</v>
      </c>
      <c r="B69">
        <v>4.0217000000000001</v>
      </c>
      <c r="C69">
        <v>4.55</v>
      </c>
      <c r="D69">
        <v>3.9287000000000001</v>
      </c>
      <c r="E69">
        <v>4.4457000000000004</v>
      </c>
      <c r="F69">
        <v>120145581</v>
      </c>
      <c r="G69">
        <v>4.4457000000000004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0.66425237405440385</v>
      </c>
      <c r="Q69">
        <f t="shared" ref="Q69" si="321">F69*P69</f>
        <v>79806987.411395669</v>
      </c>
      <c r="R69">
        <f t="shared" ref="R69" si="322">R70+Q69</f>
        <v>2286008058.9504538</v>
      </c>
      <c r="S69">
        <f t="shared" ref="S69" si="323">R69/100000</f>
        <v>22860.080589504538</v>
      </c>
      <c r="T69">
        <f t="shared" ref="T69" si="324">S69/1000</f>
        <v>22.860080589504538</v>
      </c>
    </row>
    <row r="70" spans="1:20" x14ac:dyDescent="0.25">
      <c r="A70" s="5">
        <v>44523</v>
      </c>
      <c r="B70">
        <v>4.0911</v>
      </c>
      <c r="C70">
        <v>4.3099999999999996</v>
      </c>
      <c r="D70">
        <v>3.9157999999999999</v>
      </c>
      <c r="E70">
        <v>4.0202999999999998</v>
      </c>
      <c r="F70">
        <v>241585779</v>
      </c>
      <c r="G70">
        <v>4.0202999999999998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-0.46981227803145659</v>
      </c>
      <c r="Q70">
        <f t="shared" ref="Q70" si="326">F70*P70</f>
        <v>-113499965.17199403</v>
      </c>
      <c r="R70">
        <f t="shared" ref="R70" si="327">R71+Q70</f>
        <v>2206201071.5390582</v>
      </c>
      <c r="S70">
        <f t="shared" ref="S70" si="328">R70/100000</f>
        <v>22062.010715390581</v>
      </c>
      <c r="T70">
        <f t="shared" ref="T70" si="329">S70/1000</f>
        <v>22.062010715390581</v>
      </c>
    </row>
    <row r="71" spans="1:20" x14ac:dyDescent="0.25">
      <c r="A71" s="5">
        <v>44522</v>
      </c>
      <c r="B71">
        <v>3.6471</v>
      </c>
      <c r="C71">
        <v>4.1100000000000003</v>
      </c>
      <c r="D71">
        <v>3.5221</v>
      </c>
      <c r="E71">
        <v>4.0911</v>
      </c>
      <c r="F71">
        <v>203776680</v>
      </c>
      <c r="G71">
        <v>4.0911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0.93570335091001755</v>
      </c>
      <c r="Q71">
        <f t="shared" ref="Q71" si="331">F71*P71</f>
        <v>190674522.31331834</v>
      </c>
      <c r="R71">
        <f t="shared" ref="R71" si="332">R72+Q71</f>
        <v>2319701036.7110524</v>
      </c>
      <c r="S71">
        <f t="shared" ref="S71" si="333">R71/100000</f>
        <v>23197.010367110524</v>
      </c>
      <c r="T71">
        <f t="shared" ref="T71" si="334">S71/1000</f>
        <v>23.197010367110526</v>
      </c>
    </row>
    <row r="72" spans="1:20" x14ac:dyDescent="0.25">
      <c r="A72" s="5">
        <v>44521</v>
      </c>
      <c r="B72">
        <v>4.0148000000000001</v>
      </c>
      <c r="C72">
        <v>4.1093999999999999</v>
      </c>
      <c r="D72">
        <v>3.6101000000000001</v>
      </c>
      <c r="E72">
        <v>3.6471</v>
      </c>
      <c r="F72">
        <v>120560158</v>
      </c>
      <c r="G72">
        <v>3.6471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-0.85179250951331886</v>
      </c>
      <c r="Q72">
        <f t="shared" ref="Q72" si="336">F72*P72</f>
        <v>-102692239.53014222</v>
      </c>
      <c r="R72">
        <f t="shared" ref="R72" si="337">R73+Q72</f>
        <v>2129026514.3977342</v>
      </c>
      <c r="S72">
        <f t="shared" ref="S72" si="338">R72/100000</f>
        <v>21290.26514397734</v>
      </c>
      <c r="T72">
        <f t="shared" ref="T72" si="339">S72/1000</f>
        <v>21.29026514397734</v>
      </c>
    </row>
    <row r="73" spans="1:20" x14ac:dyDescent="0.25">
      <c r="A73" s="5">
        <v>44520</v>
      </c>
      <c r="B73">
        <v>4.2944000000000004</v>
      </c>
      <c r="C73">
        <v>4.3631000000000002</v>
      </c>
      <c r="D73">
        <v>3.8344</v>
      </c>
      <c r="E73">
        <v>4.0148000000000001</v>
      </c>
      <c r="F73">
        <v>148034260</v>
      </c>
      <c r="G73">
        <v>4.0148000000000001</v>
      </c>
      <c r="L73" t="s">
        <v>7</v>
      </c>
      <c r="M73" t="s">
        <v>8</v>
      </c>
      <c r="N73" t="s">
        <v>8</v>
      </c>
      <c r="P73">
        <f t="shared" ref="P73" si="340">IF(C73=D73,0,((E73-D73)-(C73-E73))/(C73-D73))</f>
        <v>-0.31757140155097385</v>
      </c>
      <c r="Q73">
        <f t="shared" ref="Q73" si="341">F73*P73</f>
        <v>-47011447.425761268</v>
      </c>
      <c r="R73">
        <f t="shared" ref="R73" si="342">R74+Q73</f>
        <v>2231718753.9278765</v>
      </c>
      <c r="S73">
        <f t="shared" ref="S73" si="343">R73/100000</f>
        <v>22317.187539278766</v>
      </c>
      <c r="T73">
        <f t="shared" ref="T73" si="344">S73/1000</f>
        <v>22.317187539278766</v>
      </c>
    </row>
    <row r="74" spans="1:20" x14ac:dyDescent="0.25">
      <c r="A74" s="5">
        <v>44519</v>
      </c>
      <c r="B74">
        <v>3.7536999999999998</v>
      </c>
      <c r="C74">
        <v>4.3411</v>
      </c>
      <c r="D74">
        <v>3.7532000000000001</v>
      </c>
      <c r="E74">
        <v>4.2946</v>
      </c>
      <c r="F74">
        <v>353715848</v>
      </c>
      <c r="G74">
        <v>4.2946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0.84180983160401435</v>
      </c>
      <c r="Q74">
        <f t="shared" ref="Q74" si="346">F74*P74</f>
        <v>297761478.44055116</v>
      </c>
      <c r="R74">
        <f t="shared" ref="R74" si="347">R75+Q74</f>
        <v>2278730201.3536377</v>
      </c>
      <c r="S74">
        <f t="shared" ref="S74" si="348">R74/100000</f>
        <v>22787.302013536377</v>
      </c>
      <c r="T74">
        <f t="shared" ref="T74" si="349">S74/1000</f>
        <v>22.787302013536376</v>
      </c>
    </row>
    <row r="75" spans="1:20" x14ac:dyDescent="0.25">
      <c r="A75" s="5">
        <v>44518</v>
      </c>
      <c r="B75">
        <v>3.35</v>
      </c>
      <c r="C75">
        <v>3.9763000000000002</v>
      </c>
      <c r="D75">
        <v>3.2202999999999999</v>
      </c>
      <c r="E75">
        <v>3.7536999999999998</v>
      </c>
      <c r="F75">
        <v>447244578</v>
      </c>
      <c r="G75">
        <v>3.7536999999999998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0.41111111111111037</v>
      </c>
      <c r="Q75">
        <f t="shared" ref="Q75" si="351">F75*P75</f>
        <v>183867215.39999968</v>
      </c>
      <c r="R75">
        <f t="shared" ref="R75" si="352">R76+Q75</f>
        <v>1980968722.9130867</v>
      </c>
      <c r="S75">
        <f t="shared" ref="S75" si="353">R75/100000</f>
        <v>19809.687229130868</v>
      </c>
      <c r="T75">
        <f t="shared" ref="T75" si="354">S75/1000</f>
        <v>19.809687229130869</v>
      </c>
    </row>
    <row r="76" spans="1:20" x14ac:dyDescent="0.25">
      <c r="A76" s="5">
        <v>44517</v>
      </c>
      <c r="B76">
        <v>3.2425999999999999</v>
      </c>
      <c r="C76">
        <v>3.5188000000000001</v>
      </c>
      <c r="D76">
        <v>3.1158999999999999</v>
      </c>
      <c r="E76">
        <v>3.3487</v>
      </c>
      <c r="F76">
        <v>179293780</v>
      </c>
      <c r="G76">
        <v>3.3487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0.15562174236783305</v>
      </c>
      <c r="Q76">
        <f t="shared" ref="Q76" si="356">F76*P76</f>
        <v>27902010.439314939</v>
      </c>
      <c r="R76">
        <f t="shared" ref="R76" si="357">R77+Q76</f>
        <v>1797101507.513087</v>
      </c>
      <c r="S76">
        <f t="shared" ref="S76" si="358">R76/100000</f>
        <v>17971.015075130872</v>
      </c>
      <c r="T76">
        <f t="shared" ref="T76" si="359">S76/1000</f>
        <v>17.971015075130872</v>
      </c>
    </row>
    <row r="77" spans="1:20" x14ac:dyDescent="0.25">
      <c r="A77" s="5">
        <v>44516</v>
      </c>
      <c r="B77">
        <v>3.2934000000000001</v>
      </c>
      <c r="C77">
        <v>3.4331</v>
      </c>
      <c r="D77">
        <v>2.7364999999999999</v>
      </c>
      <c r="E77">
        <v>3.2427000000000001</v>
      </c>
      <c r="F77">
        <v>274910711</v>
      </c>
      <c r="G77">
        <v>3.2427000000000001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0.45334481768590335</v>
      </c>
      <c r="Q77">
        <f t="shared" ref="Q77" si="361">F77*P77</f>
        <v>124629346.15819706</v>
      </c>
      <c r="R77">
        <f t="shared" ref="R77" si="362">R78+Q77</f>
        <v>1769199497.0737722</v>
      </c>
      <c r="S77">
        <f t="shared" ref="S77" si="363">R77/100000</f>
        <v>17691.994970737724</v>
      </c>
      <c r="T77">
        <f t="shared" ref="T77" si="364">S77/1000</f>
        <v>17.691994970737724</v>
      </c>
    </row>
    <row r="78" spans="1:20" x14ac:dyDescent="0.25">
      <c r="A78" s="5">
        <v>44515</v>
      </c>
      <c r="B78">
        <v>3.2126999999999999</v>
      </c>
      <c r="C78">
        <v>3.5</v>
      </c>
      <c r="D78">
        <v>3.1503000000000001</v>
      </c>
      <c r="E78">
        <v>3.2924000000000002</v>
      </c>
      <c r="F78">
        <v>143236229</v>
      </c>
      <c r="G78">
        <v>3.2924000000000002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-0.18730340291678493</v>
      </c>
      <c r="Q78">
        <f t="shared" ref="Q78" si="366">F78*P78</f>
        <v>-26828633.112667874</v>
      </c>
      <c r="R78">
        <f t="shared" ref="R78" si="367">R79+Q78</f>
        <v>1644570150.915575</v>
      </c>
      <c r="S78">
        <f t="shared" ref="S78" si="368">R78/100000</f>
        <v>16445.701509155751</v>
      </c>
      <c r="T78">
        <f t="shared" ref="T78" si="369">S78/1000</f>
        <v>16.44570150915575</v>
      </c>
    </row>
    <row r="79" spans="1:20" x14ac:dyDescent="0.25">
      <c r="A79" s="5">
        <v>44514</v>
      </c>
      <c r="B79">
        <v>3.2456999999999998</v>
      </c>
      <c r="C79">
        <v>3.35</v>
      </c>
      <c r="D79">
        <v>3.1</v>
      </c>
      <c r="E79">
        <v>3.2126999999999999</v>
      </c>
      <c r="F79">
        <v>125069712</v>
      </c>
      <c r="G79">
        <v>3.2126999999999999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-9.8400000000001597E-2</v>
      </c>
      <c r="Q79">
        <f t="shared" ref="Q79" si="371">F79*P79</f>
        <v>-12306859.6608002</v>
      </c>
      <c r="R79">
        <f t="shared" ref="R79" si="372">R80+Q79</f>
        <v>1671398784.0282428</v>
      </c>
      <c r="S79">
        <f t="shared" ref="S79" si="373">R79/100000</f>
        <v>16713.987840282429</v>
      </c>
      <c r="T79">
        <f t="shared" ref="T79" si="374">S79/1000</f>
        <v>16.713987840282428</v>
      </c>
    </row>
    <row r="80" spans="1:20" x14ac:dyDescent="0.25">
      <c r="A80" s="5">
        <v>44513</v>
      </c>
      <c r="B80">
        <v>3.3085</v>
      </c>
      <c r="C80">
        <v>3.8050000000000002</v>
      </c>
      <c r="D80">
        <v>3.15</v>
      </c>
      <c r="E80">
        <v>3.2461000000000002</v>
      </c>
      <c r="F80">
        <v>375449039</v>
      </c>
      <c r="G80">
        <v>3.2461000000000002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-0.70656488549618246</v>
      </c>
      <c r="Q80">
        <f t="shared" ref="Q80" si="376">F80*P80</f>
        <v>-265279107.25068673</v>
      </c>
      <c r="R80">
        <f t="shared" ref="R80" si="377">R81+Q80</f>
        <v>1683705643.689043</v>
      </c>
      <c r="S80">
        <f t="shared" ref="S80" si="378">R80/100000</f>
        <v>16837.056436890431</v>
      </c>
      <c r="T80">
        <f t="shared" ref="T80" si="379">S80/1000</f>
        <v>16.837056436890432</v>
      </c>
    </row>
    <row r="81" spans="1:20" x14ac:dyDescent="0.25">
      <c r="A81" s="5">
        <v>44512</v>
      </c>
      <c r="B81">
        <v>2.6726999999999999</v>
      </c>
      <c r="C81">
        <v>3.4699</v>
      </c>
      <c r="D81">
        <v>2.6252</v>
      </c>
      <c r="E81">
        <v>3.3083</v>
      </c>
      <c r="F81">
        <v>498757504</v>
      </c>
      <c r="G81">
        <v>3.3083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0.617378951106902</v>
      </c>
      <c r="Q81">
        <f t="shared" ref="Q81" si="381">F81*P81</f>
        <v>307922384.67621648</v>
      </c>
      <c r="R81">
        <f t="shared" ref="R81" si="382">R82+Q81</f>
        <v>1948984750.9397297</v>
      </c>
      <c r="S81">
        <f t="shared" ref="S81" si="383">R81/100000</f>
        <v>19489.847509397296</v>
      </c>
      <c r="T81">
        <f t="shared" ref="T81" si="384">S81/1000</f>
        <v>19.489847509397297</v>
      </c>
    </row>
    <row r="82" spans="1:20" x14ac:dyDescent="0.25">
      <c r="A82" s="5">
        <v>44511</v>
      </c>
      <c r="B82">
        <v>2.4885999999999999</v>
      </c>
      <c r="C82">
        <v>2.85</v>
      </c>
      <c r="D82">
        <v>2.4277000000000002</v>
      </c>
      <c r="E82">
        <v>2.6713</v>
      </c>
      <c r="F82">
        <v>126547369</v>
      </c>
      <c r="G82">
        <v>2.6713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0.15368221643381424</v>
      </c>
      <c r="Q82">
        <f t="shared" ref="Q82" si="386">F82*P82</f>
        <v>19448080.151787754</v>
      </c>
      <c r="R82">
        <f t="shared" ref="R82" si="387">R83+Q82</f>
        <v>1641062366.2635133</v>
      </c>
      <c r="S82">
        <f t="shared" ref="S82" si="388">R82/100000</f>
        <v>16410.623662635135</v>
      </c>
      <c r="T82">
        <f t="shared" ref="T82" si="389">S82/1000</f>
        <v>16.410623662635135</v>
      </c>
    </row>
    <row r="83" spans="1:20" x14ac:dyDescent="0.25">
      <c r="A83" s="5">
        <v>44510</v>
      </c>
      <c r="B83">
        <v>2.5488</v>
      </c>
      <c r="C83">
        <v>2.8767999999999998</v>
      </c>
      <c r="D83">
        <v>2.2000000000000002</v>
      </c>
      <c r="E83">
        <v>2.4851999999999999</v>
      </c>
      <c r="F83">
        <v>170536107</v>
      </c>
      <c r="G83">
        <v>2.4851999999999999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-0.15721040189125343</v>
      </c>
      <c r="Q83">
        <f t="shared" ref="Q83" si="391">F83*P83</f>
        <v>-26810049.918439798</v>
      </c>
      <c r="R83">
        <f t="shared" ref="R83" si="392">R84+Q83</f>
        <v>1621614286.1117256</v>
      </c>
      <c r="S83">
        <f t="shared" ref="S83" si="393">R83/100000</f>
        <v>16216.142861117256</v>
      </c>
      <c r="T83">
        <f t="shared" ref="T83" si="394">S83/1000</f>
        <v>16.216142861117255</v>
      </c>
    </row>
    <row r="84" spans="1:20" x14ac:dyDescent="0.25">
      <c r="A84" s="5">
        <v>44509</v>
      </c>
      <c r="B84">
        <v>2.6924000000000001</v>
      </c>
      <c r="C84">
        <v>2.7103000000000002</v>
      </c>
      <c r="D84">
        <v>2.5</v>
      </c>
      <c r="E84">
        <v>2.5484</v>
      </c>
      <c r="F84">
        <v>76385792</v>
      </c>
      <c r="G84">
        <v>2.5484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-0.53970518307180249</v>
      </c>
      <c r="Q84">
        <f t="shared" ref="Q84" si="396">F84*P84</f>
        <v>-41225807.855444625</v>
      </c>
      <c r="R84">
        <f t="shared" ref="R84" si="397">R85+Q84</f>
        <v>1648424336.0301654</v>
      </c>
      <c r="S84">
        <f t="shared" ref="S84" si="398">R84/100000</f>
        <v>16484.243360301654</v>
      </c>
      <c r="T84">
        <f t="shared" ref="T84" si="399">S84/1000</f>
        <v>16.484243360301654</v>
      </c>
    </row>
    <row r="85" spans="1:20" x14ac:dyDescent="0.25">
      <c r="A85" s="5">
        <v>44508</v>
      </c>
      <c r="B85">
        <v>2.8256000000000001</v>
      </c>
      <c r="C85">
        <v>2.88</v>
      </c>
      <c r="D85">
        <v>2.6566000000000001</v>
      </c>
      <c r="E85">
        <v>2.6920999999999999</v>
      </c>
      <c r="F85">
        <v>77634434</v>
      </c>
      <c r="G85">
        <v>2.6920999999999999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-0.68218442256043066</v>
      </c>
      <c r="Q85">
        <f t="shared" ref="Q85" si="401">F85*P85</f>
        <v>-52961001.529095866</v>
      </c>
      <c r="R85">
        <f t="shared" ref="R85" si="402">R86+Q85</f>
        <v>1689650143.8856101</v>
      </c>
      <c r="S85">
        <f t="shared" ref="S85" si="403">R85/100000</f>
        <v>16896.501438856099</v>
      </c>
      <c r="T85">
        <f t="shared" ref="T85" si="404">S85/1000</f>
        <v>16.896501438856099</v>
      </c>
    </row>
    <row r="86" spans="1:20" x14ac:dyDescent="0.25">
      <c r="A86" s="5">
        <v>44507</v>
      </c>
      <c r="B86">
        <v>2.81</v>
      </c>
      <c r="C86">
        <v>2.9847000000000001</v>
      </c>
      <c r="D86">
        <v>2.718</v>
      </c>
      <c r="E86">
        <v>2.8243999999999998</v>
      </c>
      <c r="F86">
        <v>116456325</v>
      </c>
      <c r="G86">
        <v>2.8243999999999998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-0.20209973753281016</v>
      </c>
      <c r="Q86">
        <f t="shared" ref="Q86" si="406">F86*P86</f>
        <v>-23535792.716535639</v>
      </c>
      <c r="R86">
        <f t="shared" ref="R86" si="407">R87+Q86</f>
        <v>1742611145.414706</v>
      </c>
      <c r="S86">
        <f t="shared" ref="S86" si="408">R86/100000</f>
        <v>17426.11145414706</v>
      </c>
      <c r="T86">
        <f t="shared" ref="T86" si="409">S86/1000</f>
        <v>17.426111454147058</v>
      </c>
    </row>
    <row r="87" spans="1:20" x14ac:dyDescent="0.25">
      <c r="A87" s="5">
        <v>44506</v>
      </c>
      <c r="B87">
        <v>2.5886</v>
      </c>
      <c r="C87">
        <v>3.0712999999999999</v>
      </c>
      <c r="D87">
        <v>2.5861999999999998</v>
      </c>
      <c r="E87">
        <v>2.81</v>
      </c>
      <c r="F87">
        <v>308423245</v>
      </c>
      <c r="G87">
        <v>2.81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-7.7303648732219413E-2</v>
      </c>
      <c r="Q87">
        <f t="shared" ref="Q87" si="411">F87*P87</f>
        <v>-23842242.192331247</v>
      </c>
      <c r="R87">
        <f t="shared" ref="R87" si="412">R88+Q87</f>
        <v>1766146938.1312416</v>
      </c>
      <c r="S87">
        <f t="shared" ref="S87" si="413">R87/100000</f>
        <v>17661.469381312414</v>
      </c>
      <c r="T87">
        <f t="shared" ref="T87" si="414">S87/1000</f>
        <v>17.661469381312415</v>
      </c>
    </row>
    <row r="88" spans="1:20" x14ac:dyDescent="0.25">
      <c r="A88" s="5">
        <v>44505</v>
      </c>
      <c r="B88">
        <v>2.5030000000000001</v>
      </c>
      <c r="C88">
        <v>2.7393000000000001</v>
      </c>
      <c r="D88">
        <v>2.3357999999999999</v>
      </c>
      <c r="E88">
        <v>2.5886</v>
      </c>
      <c r="F88">
        <v>201697989</v>
      </c>
      <c r="G88">
        <v>2.5886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0.25303593556381671</v>
      </c>
      <c r="Q88">
        <f t="shared" ref="Q88" si="416">F88*P88</f>
        <v>51036839.347955413</v>
      </c>
      <c r="R88">
        <f t="shared" ref="R88" si="417">R89+Q88</f>
        <v>1789989180.3235729</v>
      </c>
      <c r="S88">
        <f t="shared" ref="S88" si="418">R88/100000</f>
        <v>17899.891803235729</v>
      </c>
      <c r="T88">
        <f t="shared" ref="T88" si="419">S88/1000</f>
        <v>17.899891803235729</v>
      </c>
    </row>
    <row r="89" spans="1:20" x14ac:dyDescent="0.25">
      <c r="A89" s="5">
        <v>44504</v>
      </c>
      <c r="B89">
        <v>2.8592</v>
      </c>
      <c r="C89">
        <v>2.9388999999999998</v>
      </c>
      <c r="D89">
        <v>2.4011</v>
      </c>
      <c r="E89">
        <v>2.5045000000000002</v>
      </c>
      <c r="F89">
        <v>202589893</v>
      </c>
      <c r="G89">
        <v>2.5045000000000002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-0.61547043510598665</v>
      </c>
      <c r="Q89">
        <f t="shared" ref="Q89" si="421">F89*P89</f>
        <v>-124688089.59278528</v>
      </c>
      <c r="R89">
        <f t="shared" ref="R89" si="422">R90+Q89</f>
        <v>1738952340.9756174</v>
      </c>
      <c r="S89">
        <f t="shared" ref="S89" si="423">R89/100000</f>
        <v>17389.523409756173</v>
      </c>
      <c r="T89">
        <f t="shared" ref="T89" si="424">S89/1000</f>
        <v>17.389523409756173</v>
      </c>
    </row>
    <row r="90" spans="1:20" x14ac:dyDescent="0.25">
      <c r="A90" s="5">
        <v>44503</v>
      </c>
      <c r="B90">
        <v>3.0908000000000002</v>
      </c>
      <c r="C90">
        <v>3.181</v>
      </c>
      <c r="D90">
        <v>2.71</v>
      </c>
      <c r="E90">
        <v>2.8586999999999998</v>
      </c>
      <c r="F90">
        <v>229384326</v>
      </c>
      <c r="G90">
        <v>2.8586999999999998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-0.36857749469214518</v>
      </c>
      <c r="Q90">
        <f t="shared" ref="Q90" si="426">F90*P90</f>
        <v>-84545900.198726296</v>
      </c>
      <c r="R90">
        <f t="shared" ref="R90" si="427">R91+Q90</f>
        <v>1863640430.5684028</v>
      </c>
      <c r="S90">
        <f t="shared" ref="S90" si="428">R90/100000</f>
        <v>18636.404305684027</v>
      </c>
      <c r="T90">
        <f t="shared" ref="T90" si="429">S90/1000</f>
        <v>18.636404305684028</v>
      </c>
    </row>
    <row r="91" spans="1:20" x14ac:dyDescent="0.25">
      <c r="A91" s="5">
        <v>44502</v>
      </c>
      <c r="B91">
        <v>3.0329999999999999</v>
      </c>
      <c r="C91">
        <v>3.46</v>
      </c>
      <c r="D91">
        <v>2.92</v>
      </c>
      <c r="E91">
        <v>3.0920000000000001</v>
      </c>
      <c r="F91">
        <v>384202153</v>
      </c>
      <c r="G91">
        <v>3.0920000000000001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-0.36296296296296243</v>
      </c>
      <c r="Q91">
        <f t="shared" ref="Q91" si="431">F91*P91</f>
        <v>-139451151.82962942</v>
      </c>
      <c r="R91">
        <f t="shared" ref="R91" si="432">R92+Q91</f>
        <v>1948186330.7671289</v>
      </c>
      <c r="S91">
        <f t="shared" ref="S91" si="433">R91/100000</f>
        <v>19481.86330767129</v>
      </c>
      <c r="T91">
        <f t="shared" ref="T91" si="434">S91/1000</f>
        <v>19.48186330767129</v>
      </c>
    </row>
    <row r="92" spans="1:20" x14ac:dyDescent="0.25">
      <c r="A92" s="5">
        <v>44501</v>
      </c>
      <c r="B92">
        <v>2.8854000000000002</v>
      </c>
      <c r="C92">
        <v>3.54</v>
      </c>
      <c r="D92">
        <v>2.6057999999999999</v>
      </c>
      <c r="E92">
        <v>3.0339</v>
      </c>
      <c r="F92">
        <v>630900562</v>
      </c>
      <c r="G92">
        <v>3.0339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-8.3493898522800078E-2</v>
      </c>
      <c r="Q92">
        <f t="shared" ref="Q92" si="436">F92*P92</f>
        <v>-52676347.501605541</v>
      </c>
      <c r="R92">
        <f t="shared" ref="R92" si="437">R93+Q92</f>
        <v>2087637482.5967584</v>
      </c>
      <c r="S92">
        <f t="shared" ref="S92" si="438">R92/100000</f>
        <v>20876.374825967585</v>
      </c>
      <c r="T92">
        <f t="shared" ref="T92" si="439">S92/1000</f>
        <v>20.876374825967584</v>
      </c>
    </row>
    <row r="93" spans="1:20" x14ac:dyDescent="0.25">
      <c r="A93" s="5">
        <v>44500</v>
      </c>
      <c r="B93">
        <v>3.5903999999999998</v>
      </c>
      <c r="C93">
        <v>4.2</v>
      </c>
      <c r="D93">
        <v>2.56</v>
      </c>
      <c r="E93">
        <v>2.8849999999999998</v>
      </c>
      <c r="F93">
        <v>1231089249</v>
      </c>
      <c r="G93">
        <v>2.8849999999999998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-0.60365853658536617</v>
      </c>
      <c r="Q93">
        <f t="shared" ref="Q93" si="441">F93*P93</f>
        <v>-743157534.45731747</v>
      </c>
      <c r="R93">
        <f t="shared" ref="R93" si="442">R94+Q93</f>
        <v>2140313830.0983639</v>
      </c>
      <c r="S93">
        <f t="shared" ref="S93" si="443">R93/100000</f>
        <v>21403.138300983639</v>
      </c>
      <c r="T93">
        <f t="shared" ref="T93" si="444">S93/1000</f>
        <v>21.403138300983638</v>
      </c>
    </row>
    <row r="94" spans="1:20" x14ac:dyDescent="0.25">
      <c r="A94" s="5">
        <v>44499</v>
      </c>
      <c r="B94">
        <v>1.3957999999999999</v>
      </c>
      <c r="C94">
        <v>4.9455</v>
      </c>
      <c r="D94">
        <v>1.2855000000000001</v>
      </c>
      <c r="E94">
        <v>3.5880000000000001</v>
      </c>
      <c r="F94">
        <v>1968305884.1199999</v>
      </c>
      <c r="G94">
        <v>3.5880000000000001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0.25819672131147547</v>
      </c>
      <c r="Q94">
        <f t="shared" ref="Q94" si="446">F94*P94</f>
        <v>508210125.81786895</v>
      </c>
      <c r="R94">
        <f t="shared" ref="R94" si="447">R95+Q94</f>
        <v>2883471364.5556812</v>
      </c>
      <c r="S94">
        <f t="shared" ref="S94" si="448">R94/100000</f>
        <v>28834.713645556811</v>
      </c>
      <c r="T94">
        <f t="shared" ref="T94" si="449">S94/1000</f>
        <v>28.83471364555681</v>
      </c>
    </row>
    <row r="95" spans="1:20" x14ac:dyDescent="0.25">
      <c r="A95" s="5">
        <v>44498</v>
      </c>
      <c r="B95">
        <v>0.92359999999999998</v>
      </c>
      <c r="C95">
        <v>1.49</v>
      </c>
      <c r="D95">
        <v>0.92200000000000004</v>
      </c>
      <c r="E95">
        <v>1.3953</v>
      </c>
      <c r="F95">
        <v>775810210.45000005</v>
      </c>
      <c r="G95">
        <v>1.3953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0.66654929577464783</v>
      </c>
      <c r="Q95">
        <f t="shared" ref="Q95" si="451">F95*P95</f>
        <v>517115749.43022889</v>
      </c>
      <c r="R95">
        <f t="shared" ref="R95" si="452">R96+Q95</f>
        <v>2375261238.7378125</v>
      </c>
      <c r="S95">
        <f t="shared" ref="S95" si="453">R95/100000</f>
        <v>23752.612387378125</v>
      </c>
      <c r="T95">
        <f t="shared" ref="T95" si="454">S95/1000</f>
        <v>23.752612387378125</v>
      </c>
    </row>
    <row r="96" spans="1:20" x14ac:dyDescent="0.25">
      <c r="A96" s="5">
        <v>44497</v>
      </c>
      <c r="B96">
        <v>0.7571</v>
      </c>
      <c r="C96">
        <v>1</v>
      </c>
      <c r="D96">
        <v>0.74390000000000001</v>
      </c>
      <c r="E96">
        <v>0.92459999999999998</v>
      </c>
      <c r="F96">
        <v>115975865</v>
      </c>
      <c r="G96">
        <v>0.92459999999999998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0.41116751269035512</v>
      </c>
      <c r="Q96">
        <f t="shared" ref="Q96" si="456">F96*P96</f>
        <v>47685507.944162413</v>
      </c>
      <c r="R96">
        <f t="shared" ref="R96" si="457">R97+Q96</f>
        <v>1858145489.3075838</v>
      </c>
      <c r="S96">
        <f t="shared" ref="S96" si="458">R96/100000</f>
        <v>18581.454893075839</v>
      </c>
      <c r="T96">
        <f t="shared" ref="T96" si="459">S96/1000</f>
        <v>18.58145489307584</v>
      </c>
    </row>
    <row r="97" spans="1:20" x14ac:dyDescent="0.25">
      <c r="A97" s="5">
        <v>44496</v>
      </c>
      <c r="B97">
        <v>0.8145</v>
      </c>
      <c r="C97">
        <v>0.85699999999999998</v>
      </c>
      <c r="D97">
        <v>0.71020000000000005</v>
      </c>
      <c r="E97">
        <v>0.7571</v>
      </c>
      <c r="F97">
        <v>34959653</v>
      </c>
      <c r="G97">
        <v>0.7571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-0.36103542234332475</v>
      </c>
      <c r="Q97">
        <f t="shared" ref="Q97" si="461">F97*P97</f>
        <v>-12621673.08583108</v>
      </c>
      <c r="R97">
        <f t="shared" ref="R97" si="462">R98+Q97</f>
        <v>1810459981.3634214</v>
      </c>
      <c r="S97">
        <f t="shared" ref="S97" si="463">R97/100000</f>
        <v>18104.599813634213</v>
      </c>
      <c r="T97">
        <f t="shared" ref="T97" si="464">S97/1000</f>
        <v>18.104599813634213</v>
      </c>
    </row>
    <row r="98" spans="1:20" x14ac:dyDescent="0.25">
      <c r="A98" s="5">
        <v>44495</v>
      </c>
      <c r="B98">
        <v>0.80910000000000004</v>
      </c>
      <c r="C98">
        <v>0.85680000000000001</v>
      </c>
      <c r="D98">
        <v>0.79769999999999996</v>
      </c>
      <c r="E98">
        <v>0.81479999999999997</v>
      </c>
      <c r="F98">
        <v>28760139</v>
      </c>
      <c r="G98">
        <v>0.81479999999999997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-0.42131979695431498</v>
      </c>
      <c r="Q98">
        <f t="shared" ref="Q98" si="466">F98*P98</f>
        <v>-12117215.923857875</v>
      </c>
      <c r="R98">
        <f t="shared" ref="R98" si="467">R99+Q98</f>
        <v>1823081654.4492526</v>
      </c>
      <c r="S98">
        <f t="shared" ref="S98" si="468">R98/100000</f>
        <v>18230.816544492525</v>
      </c>
      <c r="T98">
        <f t="shared" ref="T98" si="469">S98/1000</f>
        <v>18.230816544492527</v>
      </c>
    </row>
    <row r="99" spans="1:20" x14ac:dyDescent="0.25">
      <c r="A99" s="5">
        <v>44494</v>
      </c>
      <c r="B99">
        <v>0.77769999999999995</v>
      </c>
      <c r="C99">
        <v>0.8105</v>
      </c>
      <c r="D99">
        <v>0.77139999999999997</v>
      </c>
      <c r="E99">
        <v>0.80910000000000004</v>
      </c>
      <c r="F99">
        <v>11935649</v>
      </c>
      <c r="G99">
        <v>0.80910000000000004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0.92838874680307126</v>
      </c>
      <c r="Q99">
        <f t="shared" ref="Q99" si="471">F99*P99</f>
        <v>11080922.217391331</v>
      </c>
      <c r="R99">
        <f t="shared" ref="R99" si="472">R100+Q99</f>
        <v>1835198870.3731105</v>
      </c>
      <c r="S99">
        <f t="shared" ref="S99" si="473">R99/100000</f>
        <v>18351.988703731105</v>
      </c>
      <c r="T99">
        <f t="shared" ref="T99" si="474">S99/1000</f>
        <v>18.351988703731106</v>
      </c>
    </row>
    <row r="100" spans="1:20" x14ac:dyDescent="0.25">
      <c r="A100" s="5">
        <v>44493</v>
      </c>
      <c r="B100">
        <v>0.79330000000000001</v>
      </c>
      <c r="C100">
        <v>0.8</v>
      </c>
      <c r="D100">
        <v>0.75380000000000003</v>
      </c>
      <c r="E100">
        <v>0.77780000000000005</v>
      </c>
      <c r="F100">
        <v>10074990</v>
      </c>
      <c r="G100">
        <v>0.77780000000000005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3.896103896103946E-2</v>
      </c>
      <c r="Q100">
        <f t="shared" ref="Q100" si="476">F100*P100</f>
        <v>392532.07792208297</v>
      </c>
      <c r="R100">
        <f t="shared" ref="R100" si="477">R101+Q100</f>
        <v>1824117948.1557193</v>
      </c>
      <c r="S100">
        <f t="shared" ref="S100" si="478">R100/100000</f>
        <v>18241.179481557192</v>
      </c>
      <c r="T100">
        <f t="shared" ref="T100" si="479">S100/1000</f>
        <v>18.241179481557193</v>
      </c>
    </row>
    <row r="101" spans="1:20" x14ac:dyDescent="0.25">
      <c r="A101" s="5">
        <v>44492</v>
      </c>
      <c r="B101">
        <v>0.79020000000000001</v>
      </c>
      <c r="C101">
        <v>0.79890000000000005</v>
      </c>
      <c r="D101">
        <v>0.7792</v>
      </c>
      <c r="E101">
        <v>0.79330000000000001</v>
      </c>
      <c r="F101">
        <v>7922057</v>
      </c>
      <c r="G101">
        <v>0.79330000000000001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0.43147208121827058</v>
      </c>
      <c r="Q101">
        <f t="shared" ref="Q101" si="481">F101*P101</f>
        <v>3418146.4213197688</v>
      </c>
      <c r="R101">
        <f t="shared" ref="R101" si="482">R102+Q101</f>
        <v>1823725416.0777972</v>
      </c>
      <c r="S101">
        <f t="shared" ref="S101" si="483">R101/100000</f>
        <v>18237.254160777971</v>
      </c>
      <c r="T101">
        <f t="shared" ref="T101" si="484">S101/1000</f>
        <v>18.237254160777972</v>
      </c>
    </row>
    <row r="102" spans="1:20" x14ac:dyDescent="0.25">
      <c r="A102" s="5">
        <v>44491</v>
      </c>
      <c r="B102">
        <v>0.78769999999999996</v>
      </c>
      <c r="C102">
        <v>0.81359999999999999</v>
      </c>
      <c r="D102">
        <v>0.77549999999999997</v>
      </c>
      <c r="E102">
        <v>0.79039999999999999</v>
      </c>
      <c r="F102">
        <v>13610233</v>
      </c>
      <c r="G102">
        <v>0.79039999999999999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-0.21784776902887057</v>
      </c>
      <c r="Q102">
        <f t="shared" ref="Q102" si="486">F102*P102</f>
        <v>-2964958.8950131121</v>
      </c>
      <c r="R102">
        <f t="shared" ref="R102" si="487">R103+Q102</f>
        <v>1820307269.6564775</v>
      </c>
      <c r="S102">
        <f t="shared" ref="S102" si="488">R102/100000</f>
        <v>18203.072696564774</v>
      </c>
      <c r="T102">
        <f t="shared" ref="T102" si="489">S102/1000</f>
        <v>18.203072696564774</v>
      </c>
    </row>
    <row r="103" spans="1:20" x14ac:dyDescent="0.25">
      <c r="A103" s="5">
        <v>44490</v>
      </c>
      <c r="B103">
        <v>0.8145</v>
      </c>
      <c r="C103">
        <v>0.83169999999999999</v>
      </c>
      <c r="D103">
        <v>0.78</v>
      </c>
      <c r="E103">
        <v>0.78769999999999996</v>
      </c>
      <c r="F103">
        <v>20448072</v>
      </c>
      <c r="G103">
        <v>0.78769999999999996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-0.70212765957447065</v>
      </c>
      <c r="Q103">
        <f t="shared" ref="Q103" si="491">F103*P103</f>
        <v>-14357156.936170265</v>
      </c>
      <c r="R103">
        <f t="shared" ref="R103" si="492">R104+Q103</f>
        <v>1823272228.5514905</v>
      </c>
      <c r="S103">
        <f t="shared" ref="S103" si="493">R103/100000</f>
        <v>18232.722285514905</v>
      </c>
      <c r="T103">
        <f t="shared" ref="T103" si="494">S103/1000</f>
        <v>18.232722285514903</v>
      </c>
    </row>
    <row r="104" spans="1:20" x14ac:dyDescent="0.25">
      <c r="A104" s="5">
        <v>44489</v>
      </c>
      <c r="B104">
        <v>0.7722</v>
      </c>
      <c r="C104">
        <v>0.84489999999999998</v>
      </c>
      <c r="D104">
        <v>0.76800000000000002</v>
      </c>
      <c r="E104">
        <v>0.81420000000000003</v>
      </c>
      <c r="F104">
        <v>29360720</v>
      </c>
      <c r="G104">
        <v>0.81420000000000003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0.20156046814044312</v>
      </c>
      <c r="Q104">
        <f t="shared" ref="Q104" si="496">F104*P104</f>
        <v>5917960.4681404708</v>
      </c>
      <c r="R104">
        <f t="shared" ref="R104" si="497">R105+Q104</f>
        <v>1837629385.4876609</v>
      </c>
      <c r="S104">
        <f t="shared" ref="S104" si="498">R104/100000</f>
        <v>18376.293854876611</v>
      </c>
      <c r="T104">
        <f t="shared" ref="T104" si="499">S104/1000</f>
        <v>18.376293854876611</v>
      </c>
    </row>
    <row r="105" spans="1:20" x14ac:dyDescent="0.25">
      <c r="A105" s="5">
        <v>44488</v>
      </c>
      <c r="B105">
        <v>0.74890000000000001</v>
      </c>
      <c r="C105">
        <v>0.77749999999999997</v>
      </c>
      <c r="D105">
        <v>0.73209999999999997</v>
      </c>
      <c r="E105">
        <v>0.77310000000000001</v>
      </c>
      <c r="F105">
        <v>14424265</v>
      </c>
      <c r="G105">
        <v>0.77310000000000001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0.80616740088105898</v>
      </c>
      <c r="Q105">
        <f t="shared" ref="Q105" si="501">F105*P105</f>
        <v>11628372.224669628</v>
      </c>
      <c r="R105">
        <f t="shared" ref="R105" si="502">R106+Q105</f>
        <v>1831711425.0195205</v>
      </c>
      <c r="S105">
        <f t="shared" ref="S105" si="503">R105/100000</f>
        <v>18317.114250195205</v>
      </c>
      <c r="T105">
        <f t="shared" ref="T105" si="504">S105/1000</f>
        <v>18.317114250195207</v>
      </c>
    </row>
    <row r="106" spans="1:20" x14ac:dyDescent="0.25">
      <c r="A106" s="5">
        <v>44487</v>
      </c>
      <c r="B106">
        <v>0.76490000000000002</v>
      </c>
      <c r="C106">
        <v>0.77149999999999996</v>
      </c>
      <c r="D106">
        <v>0.73599999999999999</v>
      </c>
      <c r="E106">
        <v>0.74950000000000006</v>
      </c>
      <c r="F106">
        <v>13560750</v>
      </c>
      <c r="G106">
        <v>0.74950000000000006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-0.23943661971830554</v>
      </c>
      <c r="Q106">
        <f t="shared" ref="Q106" si="506">F106*P106</f>
        <v>-3246940.1408450119</v>
      </c>
      <c r="R106">
        <f t="shared" ref="R106" si="507">R107+Q106</f>
        <v>1820083052.7948508</v>
      </c>
      <c r="S106">
        <f t="shared" ref="S106" si="508">R106/100000</f>
        <v>18200.830527948507</v>
      </c>
      <c r="T106">
        <f t="shared" ref="T106" si="509">S106/1000</f>
        <v>18.200830527948508</v>
      </c>
    </row>
    <row r="107" spans="1:20" x14ac:dyDescent="0.25">
      <c r="A107" s="5">
        <v>44486</v>
      </c>
      <c r="B107">
        <v>0.81010000000000004</v>
      </c>
      <c r="C107">
        <v>0.81340000000000001</v>
      </c>
      <c r="D107">
        <v>0.73660000000000003</v>
      </c>
      <c r="E107">
        <v>0.76449999999999996</v>
      </c>
      <c r="F107">
        <v>23969250</v>
      </c>
      <c r="G107">
        <v>0.76449999999999996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-0.27343750000000178</v>
      </c>
      <c r="Q107">
        <f t="shared" ref="Q107" si="511">F107*P107</f>
        <v>-6554091.7968750428</v>
      </c>
      <c r="R107">
        <f t="shared" ref="R107" si="512">R108+Q107</f>
        <v>1823329992.9356959</v>
      </c>
      <c r="S107">
        <f t="shared" ref="S107" si="513">R107/100000</f>
        <v>18233.299929356959</v>
      </c>
      <c r="T107">
        <f t="shared" ref="T107" si="514">S107/1000</f>
        <v>18.23329992935696</v>
      </c>
    </row>
    <row r="108" spans="1:20" x14ac:dyDescent="0.25">
      <c r="A108" s="5">
        <v>44485</v>
      </c>
      <c r="B108">
        <v>0.75729999999999997</v>
      </c>
      <c r="C108">
        <v>0.86519999999999997</v>
      </c>
      <c r="D108">
        <v>0.75570000000000004</v>
      </c>
      <c r="E108">
        <v>0.80979999999999996</v>
      </c>
      <c r="F108">
        <v>44864097</v>
      </c>
      <c r="G108">
        <v>0.80979999999999996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-1.1872146118722188E-2</v>
      </c>
      <c r="Q108">
        <f t="shared" ref="Q108" si="516">F108*P108</f>
        <v>-532633.11506852577</v>
      </c>
      <c r="R108">
        <f t="shared" ref="R108" si="517">R109+Q108</f>
        <v>1829884084.7325709</v>
      </c>
      <c r="S108">
        <f t="shared" ref="S108" si="518">R108/100000</f>
        <v>18298.840847325708</v>
      </c>
      <c r="T108">
        <f t="shared" ref="T108" si="519">S108/1000</f>
        <v>18.298840847325707</v>
      </c>
    </row>
    <row r="109" spans="1:20" x14ac:dyDescent="0.25">
      <c r="A109" s="5">
        <v>44484</v>
      </c>
      <c r="B109">
        <v>0.77400000000000002</v>
      </c>
      <c r="C109">
        <v>0.77669999999999995</v>
      </c>
      <c r="D109">
        <v>0.73540000000000005</v>
      </c>
      <c r="E109">
        <v>0.75729999999999997</v>
      </c>
      <c r="F109">
        <v>16210574</v>
      </c>
      <c r="G109">
        <v>0.75729999999999997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6.0532687651330588E-2</v>
      </c>
      <c r="Q109">
        <f t="shared" ref="Q109" si="521">F109*P109</f>
        <v>981269.61259078071</v>
      </c>
      <c r="R109">
        <f t="shared" ref="R109" si="522">R110+Q109</f>
        <v>1830416717.8476393</v>
      </c>
      <c r="S109">
        <f t="shared" ref="S109" si="523">R109/100000</f>
        <v>18304.167178476393</v>
      </c>
      <c r="T109">
        <f t="shared" ref="T109" si="524">S109/1000</f>
        <v>18.304167178476394</v>
      </c>
    </row>
    <row r="110" spans="1:20" x14ac:dyDescent="0.25">
      <c r="A110" s="5">
        <v>44483</v>
      </c>
      <c r="B110">
        <v>0.7681</v>
      </c>
      <c r="C110">
        <v>0.7893</v>
      </c>
      <c r="D110">
        <v>0.75900000000000001</v>
      </c>
      <c r="E110">
        <v>0.7742</v>
      </c>
      <c r="F110">
        <v>9658993</v>
      </c>
      <c r="G110">
        <v>0.7742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3.3003300330029374E-3</v>
      </c>
      <c r="Q110">
        <f t="shared" ref="Q110" si="526">F110*P110</f>
        <v>31877.864686465142</v>
      </c>
      <c r="R110">
        <f t="shared" ref="R110" si="527">R111+Q110</f>
        <v>1829435448.2350485</v>
      </c>
      <c r="S110">
        <f t="shared" ref="S110" si="528">R110/100000</f>
        <v>18294.354482350485</v>
      </c>
      <c r="T110">
        <f t="shared" ref="T110" si="529">S110/1000</f>
        <v>18.294354482350485</v>
      </c>
    </row>
    <row r="111" spans="1:20" x14ac:dyDescent="0.25">
      <c r="A111" s="5">
        <v>44482</v>
      </c>
      <c r="B111">
        <v>0.75409999999999999</v>
      </c>
      <c r="C111">
        <v>0.76929999999999998</v>
      </c>
      <c r="D111">
        <v>0.73119999999999996</v>
      </c>
      <c r="E111">
        <v>0.76859999999999995</v>
      </c>
      <c r="F111">
        <v>9420281</v>
      </c>
      <c r="G111">
        <v>0.76859999999999995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0.96325459317585127</v>
      </c>
      <c r="Q111">
        <f t="shared" ref="Q111" si="531">F111*P111</f>
        <v>9074128.9422572013</v>
      </c>
      <c r="R111">
        <f t="shared" ref="R111" si="532">R112+Q111</f>
        <v>1829403570.370362</v>
      </c>
      <c r="S111">
        <f t="shared" ref="S111" si="533">R111/100000</f>
        <v>18294.035703703619</v>
      </c>
      <c r="T111">
        <f t="shared" ref="T111" si="534">S111/1000</f>
        <v>18.294035703703621</v>
      </c>
    </row>
    <row r="112" spans="1:20" x14ac:dyDescent="0.25">
      <c r="A112" s="5">
        <v>44481</v>
      </c>
      <c r="B112">
        <v>0.76070000000000004</v>
      </c>
      <c r="C112">
        <v>0.7611</v>
      </c>
      <c r="D112">
        <v>0.71150000000000002</v>
      </c>
      <c r="E112">
        <v>0.75439999999999996</v>
      </c>
      <c r="F112">
        <v>9076740</v>
      </c>
      <c r="G112">
        <v>0.75439999999999996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0.7298387096774176</v>
      </c>
      <c r="Q112">
        <f t="shared" ref="Q112" si="536">F112*P112</f>
        <v>6624556.2096774038</v>
      </c>
      <c r="R112">
        <f t="shared" ref="R112" si="537">R113+Q112</f>
        <v>1820329441.4281049</v>
      </c>
      <c r="S112">
        <f t="shared" ref="S112" si="538">R112/100000</f>
        <v>18203.294414281048</v>
      </c>
      <c r="T112">
        <f t="shared" ref="T112" si="539">S112/1000</f>
        <v>18.20329441428105</v>
      </c>
    </row>
    <row r="113" spans="1:20" x14ac:dyDescent="0.25">
      <c r="A113" s="5">
        <v>44480</v>
      </c>
      <c r="B113">
        <v>0.76849999999999996</v>
      </c>
      <c r="C113">
        <v>0.79930000000000001</v>
      </c>
      <c r="D113">
        <v>0.74350000000000005</v>
      </c>
      <c r="E113">
        <v>0.76170000000000004</v>
      </c>
      <c r="F113">
        <v>11252245</v>
      </c>
      <c r="G113">
        <v>0.76170000000000004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-0.34767025089605713</v>
      </c>
      <c r="Q113">
        <f t="shared" ref="Q113" si="541">F113*P113</f>
        <v>-3912070.8422939042</v>
      </c>
      <c r="R113">
        <f t="shared" ref="R113" si="542">R114+Q113</f>
        <v>1813704885.2184274</v>
      </c>
      <c r="S113">
        <f t="shared" ref="S113" si="543">R113/100000</f>
        <v>18137.048852184274</v>
      </c>
      <c r="T113">
        <f t="shared" ref="T113" si="544">S113/1000</f>
        <v>18.137048852184275</v>
      </c>
    </row>
    <row r="114" spans="1:20" x14ac:dyDescent="0.25">
      <c r="A114" s="5">
        <v>44479</v>
      </c>
      <c r="B114">
        <v>0.8407</v>
      </c>
      <c r="C114">
        <v>0.84209999999999996</v>
      </c>
      <c r="D114">
        <v>0.7661</v>
      </c>
      <c r="E114">
        <v>0.76800000000000002</v>
      </c>
      <c r="F114">
        <v>11583500</v>
      </c>
      <c r="G114">
        <v>0.76800000000000002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-0.94999999999999962</v>
      </c>
      <c r="Q114">
        <f t="shared" ref="Q114" si="546">F114*P114</f>
        <v>-11004324.999999996</v>
      </c>
      <c r="R114">
        <f t="shared" ref="R114" si="547">R115+Q114</f>
        <v>1817616956.0607214</v>
      </c>
      <c r="S114">
        <f t="shared" ref="S114" si="548">R114/100000</f>
        <v>18176.169560607213</v>
      </c>
      <c r="T114">
        <f t="shared" ref="T114" si="549">S114/1000</f>
        <v>18.176169560607214</v>
      </c>
    </row>
    <row r="115" spans="1:20" x14ac:dyDescent="0.25">
      <c r="A115" s="5">
        <v>44478</v>
      </c>
      <c r="B115">
        <v>0.80969999999999998</v>
      </c>
      <c r="C115">
        <v>0.84119999999999995</v>
      </c>
      <c r="D115">
        <v>0.79600000000000004</v>
      </c>
      <c r="E115">
        <v>0.84119999999999995</v>
      </c>
      <c r="F115">
        <v>17462559</v>
      </c>
      <c r="G115">
        <v>0.84119999999999995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1</v>
      </c>
      <c r="Q115">
        <f t="shared" ref="Q115" si="551">F115*P115</f>
        <v>17462559</v>
      </c>
      <c r="R115">
        <f t="shared" ref="R115" si="552">R116+Q115</f>
        <v>1828621281.0607214</v>
      </c>
      <c r="S115">
        <f t="shared" ref="S115" si="553">R115/100000</f>
        <v>18286.212810607212</v>
      </c>
      <c r="T115">
        <f t="shared" ref="T115" si="554">S115/1000</f>
        <v>18.286212810607211</v>
      </c>
    </row>
    <row r="116" spans="1:20" x14ac:dyDescent="0.25">
      <c r="A116" s="5">
        <v>44477</v>
      </c>
      <c r="B116">
        <v>0.77190000000000003</v>
      </c>
      <c r="C116">
        <v>0.81499999999999995</v>
      </c>
      <c r="D116">
        <v>0.76910000000000001</v>
      </c>
      <c r="E116">
        <v>0.80959999999999999</v>
      </c>
      <c r="F116">
        <v>18062667</v>
      </c>
      <c r="G116">
        <v>0.80959999999999999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0.76470588235294257</v>
      </c>
      <c r="Q116">
        <f t="shared" ref="Q116" si="556">F116*P116</f>
        <v>13812627.705882378</v>
      </c>
      <c r="R116">
        <f t="shared" ref="R116" si="557">R117+Q116</f>
        <v>1811158722.0607214</v>
      </c>
      <c r="S116">
        <f t="shared" ref="S116" si="558">R116/100000</f>
        <v>18111.587220607213</v>
      </c>
      <c r="T116">
        <f t="shared" ref="T116" si="559">S116/1000</f>
        <v>18.111587220607213</v>
      </c>
    </row>
    <row r="117" spans="1:20" x14ac:dyDescent="0.25">
      <c r="A117" s="5">
        <v>44476</v>
      </c>
      <c r="B117">
        <v>0.77500000000000002</v>
      </c>
      <c r="C117">
        <v>0.78120000000000001</v>
      </c>
      <c r="D117">
        <v>0.745</v>
      </c>
      <c r="E117">
        <v>0.77190000000000003</v>
      </c>
      <c r="F117">
        <v>11951031</v>
      </c>
      <c r="G117">
        <v>0.77190000000000003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0.48618784530386894</v>
      </c>
      <c r="Q117">
        <f t="shared" ref="Q117" si="561">F117*P117</f>
        <v>5810446.0110497419</v>
      </c>
      <c r="R117">
        <f t="shared" ref="R117" si="562">R118+Q117</f>
        <v>1797346094.3548391</v>
      </c>
      <c r="S117">
        <f t="shared" ref="S117" si="563">R117/100000</f>
        <v>17973.460943548391</v>
      </c>
      <c r="T117">
        <f t="shared" ref="T117" si="564">S117/1000</f>
        <v>17.973460943548393</v>
      </c>
    </row>
    <row r="118" spans="1:20" x14ac:dyDescent="0.25">
      <c r="A118" s="5">
        <v>44475</v>
      </c>
      <c r="B118">
        <v>0.78029999999999999</v>
      </c>
      <c r="C118">
        <v>0.79500000000000004</v>
      </c>
      <c r="D118">
        <v>0.72150000000000003</v>
      </c>
      <c r="E118">
        <v>0.77559999999999996</v>
      </c>
      <c r="F118">
        <v>18615287</v>
      </c>
      <c r="G118">
        <v>0.77559999999999996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0.47210884353741278</v>
      </c>
      <c r="Q118">
        <f t="shared" ref="Q118" si="566">F118*P118</f>
        <v>8788441.6176870335</v>
      </c>
      <c r="R118">
        <f t="shared" ref="R118" si="567">R119+Q118</f>
        <v>1791535648.3437893</v>
      </c>
      <c r="S118">
        <f t="shared" ref="S118" si="568">R118/100000</f>
        <v>17915.356483437892</v>
      </c>
      <c r="T118">
        <f t="shared" ref="T118" si="569">S118/1000</f>
        <v>17.915356483437893</v>
      </c>
    </row>
    <row r="119" spans="1:20" x14ac:dyDescent="0.25">
      <c r="A119" s="5">
        <v>44474</v>
      </c>
      <c r="B119">
        <v>0.76700000000000002</v>
      </c>
      <c r="C119">
        <v>0.78420000000000001</v>
      </c>
      <c r="D119">
        <v>0.74370000000000003</v>
      </c>
      <c r="E119">
        <v>0.77949999999999997</v>
      </c>
      <c r="F119">
        <v>23998163</v>
      </c>
      <c r="G119">
        <v>0.77949999999999997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0.76790123456789927</v>
      </c>
      <c r="Q119">
        <f t="shared" ref="Q119" si="571">F119*P119</f>
        <v>18428218.995061681</v>
      </c>
      <c r="R119">
        <f t="shared" ref="R119" si="572">R120+Q119</f>
        <v>1782747206.7261024</v>
      </c>
      <c r="S119">
        <f t="shared" ref="S119" si="573">R119/100000</f>
        <v>17827.472067261024</v>
      </c>
      <c r="T119">
        <f t="shared" ref="T119" si="574">S119/1000</f>
        <v>17.827472067261024</v>
      </c>
    </row>
    <row r="120" spans="1:20" x14ac:dyDescent="0.25">
      <c r="A120" s="5">
        <v>44473</v>
      </c>
      <c r="B120">
        <v>0.7681</v>
      </c>
      <c r="C120">
        <v>0.82989999999999997</v>
      </c>
      <c r="D120">
        <v>0.72250000000000003</v>
      </c>
      <c r="E120">
        <v>0.76380000000000003</v>
      </c>
      <c r="F120">
        <v>52717727</v>
      </c>
      <c r="G120">
        <v>0.76380000000000003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-0.2309124767225321</v>
      </c>
      <c r="Q120">
        <f t="shared" ref="Q120" si="576">F120*P120</f>
        <v>-12173180.908752302</v>
      </c>
      <c r="R120">
        <f t="shared" ref="R120" si="577">R121+Q120</f>
        <v>1764318987.7310407</v>
      </c>
      <c r="S120">
        <f t="shared" ref="S120" si="578">R120/100000</f>
        <v>17643.189877310408</v>
      </c>
      <c r="T120">
        <f t="shared" ref="T120" si="579">S120/1000</f>
        <v>17.643189877310409</v>
      </c>
    </row>
    <row r="121" spans="1:20" x14ac:dyDescent="0.25">
      <c r="A121" s="5">
        <v>44472</v>
      </c>
      <c r="B121">
        <v>0.75049999999999994</v>
      </c>
      <c r="C121">
        <v>0.77149999999999996</v>
      </c>
      <c r="D121">
        <v>0.73729999999999996</v>
      </c>
      <c r="E121">
        <v>0.76359999999999995</v>
      </c>
      <c r="F121">
        <v>10232759</v>
      </c>
      <c r="G121">
        <v>0.76359999999999995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0.53801169590643183</v>
      </c>
      <c r="Q121">
        <f t="shared" ref="Q121" si="581">F121*P121</f>
        <v>5505344.0233918037</v>
      </c>
      <c r="R121">
        <f t="shared" ref="R121" si="582">R122+Q121</f>
        <v>1776492168.6397929</v>
      </c>
      <c r="S121">
        <f t="shared" ref="S121" si="583">R121/100000</f>
        <v>17764.921686397931</v>
      </c>
      <c r="T121">
        <f t="shared" ref="T121" si="584">S121/1000</f>
        <v>17.76492168639793</v>
      </c>
    </row>
    <row r="122" spans="1:20" x14ac:dyDescent="0.25">
      <c r="A122" s="5">
        <v>44471</v>
      </c>
      <c r="B122">
        <v>0.75390000000000001</v>
      </c>
      <c r="C122">
        <v>0.78190000000000004</v>
      </c>
      <c r="D122">
        <v>0.7379</v>
      </c>
      <c r="E122">
        <v>0.75049999999999994</v>
      </c>
      <c r="F122">
        <v>16042387</v>
      </c>
      <c r="G122">
        <v>0.75049999999999994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-0.4272727272727303</v>
      </c>
      <c r="Q122">
        <f t="shared" ref="Q122" si="586">F122*P122</f>
        <v>-6854474.4454545937</v>
      </c>
      <c r="R122">
        <f t="shared" ref="R122" si="587">R123+Q122</f>
        <v>1770986824.6164012</v>
      </c>
      <c r="S122">
        <f t="shared" ref="S122" si="588">R122/100000</f>
        <v>17709.868246164013</v>
      </c>
      <c r="T122">
        <f t="shared" ref="T122" si="589">S122/1000</f>
        <v>17.709868246164014</v>
      </c>
    </row>
    <row r="123" spans="1:20" x14ac:dyDescent="0.25">
      <c r="A123" s="5">
        <v>44470</v>
      </c>
      <c r="B123">
        <v>0.6895</v>
      </c>
      <c r="C123">
        <v>0.7591</v>
      </c>
      <c r="D123">
        <v>0.67869999999999997</v>
      </c>
      <c r="E123">
        <v>0.75309999999999999</v>
      </c>
      <c r="F123">
        <v>19702581</v>
      </c>
      <c r="G123">
        <v>0.75309999999999999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0.85074626865671632</v>
      </c>
      <c r="Q123">
        <f t="shared" ref="Q123" si="591">F123*P123</f>
        <v>16761897.268656714</v>
      </c>
      <c r="R123">
        <f t="shared" ref="R123" si="592">R124+Q123</f>
        <v>1777841299.0618558</v>
      </c>
      <c r="S123">
        <f t="shared" ref="S123" si="593">R123/100000</f>
        <v>17778.412990618559</v>
      </c>
      <c r="T123">
        <f t="shared" ref="T123" si="594">S123/1000</f>
        <v>17.778412990618559</v>
      </c>
    </row>
    <row r="124" spans="1:20" x14ac:dyDescent="0.25">
      <c r="A124" s="5">
        <v>44469</v>
      </c>
      <c r="B124">
        <v>0.6452</v>
      </c>
      <c r="C124">
        <v>0.69810000000000005</v>
      </c>
      <c r="D124">
        <v>0.64159999999999995</v>
      </c>
      <c r="E124">
        <v>0.68899999999999995</v>
      </c>
      <c r="F124">
        <v>13611761</v>
      </c>
      <c r="G124">
        <v>0.68899999999999995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0.67787610619468708</v>
      </c>
      <c r="Q124">
        <f t="shared" ref="Q124" si="596">F124*P124</f>
        <v>9227087.5451327004</v>
      </c>
      <c r="R124">
        <f t="shared" ref="R124" si="597">R125+Q124</f>
        <v>1761079401.7931991</v>
      </c>
      <c r="S124">
        <f t="shared" ref="S124" si="598">R124/100000</f>
        <v>17610.794017931992</v>
      </c>
      <c r="T124">
        <f t="shared" ref="T124" si="599">S124/1000</f>
        <v>17.61079401793199</v>
      </c>
    </row>
    <row r="125" spans="1:20" x14ac:dyDescent="0.25">
      <c r="A125" s="5">
        <v>44468</v>
      </c>
      <c r="B125">
        <v>0.61939999999999995</v>
      </c>
      <c r="C125">
        <v>0.66320000000000001</v>
      </c>
      <c r="D125">
        <v>0.61570000000000003</v>
      </c>
      <c r="E125">
        <v>0.6452</v>
      </c>
      <c r="F125">
        <v>14049729</v>
      </c>
      <c r="G125">
        <v>0.6452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0.24210526315789385</v>
      </c>
      <c r="Q125">
        <f t="shared" ref="Q125" si="601">F125*P125</f>
        <v>3401513.3368420927</v>
      </c>
      <c r="R125">
        <f t="shared" ref="R125" si="602">R126+Q125</f>
        <v>1751852314.2480664</v>
      </c>
      <c r="S125">
        <f t="shared" ref="S125" si="603">R125/100000</f>
        <v>17518.523142480663</v>
      </c>
      <c r="T125">
        <f t="shared" ref="T125" si="604">S125/1000</f>
        <v>17.518523142480664</v>
      </c>
    </row>
    <row r="126" spans="1:20" x14ac:dyDescent="0.25">
      <c r="A126" s="5">
        <v>44467</v>
      </c>
      <c r="B126">
        <v>0.66049999999999998</v>
      </c>
      <c r="C126">
        <v>0.68369999999999997</v>
      </c>
      <c r="D126">
        <v>0.61599999999999999</v>
      </c>
      <c r="E126">
        <v>0.61950000000000005</v>
      </c>
      <c r="F126">
        <v>25434190</v>
      </c>
      <c r="G126">
        <v>0.61950000000000005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-0.89660265878877221</v>
      </c>
      <c r="Q126">
        <f t="shared" ref="Q126" si="606">F126*P126</f>
        <v>-22804362.378138803</v>
      </c>
      <c r="R126">
        <f t="shared" ref="R126" si="607">R127+Q126</f>
        <v>1748450800.9112244</v>
      </c>
      <c r="S126">
        <f t="shared" ref="S126" si="608">R126/100000</f>
        <v>17484.508009112244</v>
      </c>
      <c r="T126">
        <f t="shared" ref="T126" si="609">S126/1000</f>
        <v>17.484508009112243</v>
      </c>
    </row>
    <row r="127" spans="1:20" x14ac:dyDescent="0.25">
      <c r="A127" s="5">
        <v>44466</v>
      </c>
      <c r="B127">
        <v>0.71030000000000004</v>
      </c>
      <c r="C127">
        <v>0.72019999999999995</v>
      </c>
      <c r="D127">
        <v>0.66049999999999998</v>
      </c>
      <c r="E127">
        <v>0.66049999999999998</v>
      </c>
      <c r="F127">
        <v>20770745</v>
      </c>
      <c r="G127">
        <v>0.66049999999999998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-1</v>
      </c>
      <c r="Q127">
        <f t="shared" ref="Q127" si="611">F127*P127</f>
        <v>-20770745</v>
      </c>
      <c r="R127">
        <f t="shared" ref="R127" si="612">R128+Q127</f>
        <v>1771255163.2893631</v>
      </c>
      <c r="S127">
        <f t="shared" ref="S127" si="613">R127/100000</f>
        <v>17712.551632893632</v>
      </c>
      <c r="T127">
        <f t="shared" ref="T127" si="614">S127/1000</f>
        <v>17.712551632893632</v>
      </c>
    </row>
    <row r="128" spans="1:20" x14ac:dyDescent="0.25">
      <c r="A128" s="5">
        <v>44465</v>
      </c>
      <c r="B128">
        <v>0.69169999999999998</v>
      </c>
      <c r="C128">
        <v>0.75800000000000001</v>
      </c>
      <c r="D128">
        <v>0.65780000000000005</v>
      </c>
      <c r="E128">
        <v>0.71109999999999995</v>
      </c>
      <c r="F128">
        <v>37471297</v>
      </c>
      <c r="G128">
        <v>0.71109999999999995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6.3872255489020494E-2</v>
      </c>
      <c r="Q128">
        <f t="shared" ref="Q128" si="616">F128*P128</f>
        <v>2393376.2554889671</v>
      </c>
      <c r="R128">
        <f t="shared" ref="R128" si="617">R129+Q128</f>
        <v>1792025908.2893631</v>
      </c>
      <c r="S128">
        <f t="shared" ref="S128" si="618">R128/100000</f>
        <v>17920.25908289363</v>
      </c>
      <c r="T128">
        <f t="shared" ref="T128" si="619">S128/1000</f>
        <v>17.920259082893629</v>
      </c>
    </row>
    <row r="129" spans="1:20" x14ac:dyDescent="0.25">
      <c r="A129" s="5">
        <v>44464</v>
      </c>
      <c r="B129">
        <v>0.70120000000000005</v>
      </c>
      <c r="C129">
        <v>0.71340000000000003</v>
      </c>
      <c r="D129">
        <v>0.66290000000000004</v>
      </c>
      <c r="E129">
        <v>0.69179999999999997</v>
      </c>
      <c r="F129">
        <v>9406821</v>
      </c>
      <c r="G129">
        <v>0.69179999999999997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0.14455445544554185</v>
      </c>
      <c r="Q129">
        <f t="shared" ref="Q129" si="621">F129*P129</f>
        <v>1359797.8871286875</v>
      </c>
      <c r="R129">
        <f t="shared" ref="R129" si="622">R130+Q129</f>
        <v>1789632532.0338743</v>
      </c>
      <c r="S129">
        <f t="shared" ref="S129" si="623">R129/100000</f>
        <v>17896.325320338743</v>
      </c>
      <c r="T129">
        <f t="shared" ref="T129" si="624">S129/1000</f>
        <v>17.896325320338743</v>
      </c>
    </row>
    <row r="130" spans="1:20" x14ac:dyDescent="0.25">
      <c r="A130" s="5">
        <v>44463</v>
      </c>
      <c r="B130">
        <v>0.76400000000000001</v>
      </c>
      <c r="C130">
        <v>0.76680000000000004</v>
      </c>
      <c r="D130">
        <v>0.63729999999999998</v>
      </c>
      <c r="E130">
        <v>0.70150000000000001</v>
      </c>
      <c r="F130">
        <v>23646774</v>
      </c>
      <c r="G130">
        <v>0.70150000000000001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-8.4942084942084117E-3</v>
      </c>
      <c r="Q130">
        <f t="shared" ref="Q130" si="626">F130*P130</f>
        <v>-200860.62857142661</v>
      </c>
      <c r="R130">
        <f t="shared" ref="R130" si="627">R131+Q130</f>
        <v>1788272734.1467457</v>
      </c>
      <c r="S130">
        <f t="shared" ref="S130" si="628">R130/100000</f>
        <v>17882.727341467456</v>
      </c>
      <c r="T130">
        <f t="shared" ref="T130" si="629">S130/1000</f>
        <v>17.882727341467458</v>
      </c>
    </row>
    <row r="131" spans="1:20" x14ac:dyDescent="0.25">
      <c r="A131" s="5">
        <v>44462</v>
      </c>
      <c r="B131">
        <v>0.73280000000000001</v>
      </c>
      <c r="C131">
        <v>0.77680000000000005</v>
      </c>
      <c r="D131">
        <v>0.70289999999999997</v>
      </c>
      <c r="E131">
        <v>0.7641</v>
      </c>
      <c r="F131">
        <v>13007549</v>
      </c>
      <c r="G131">
        <v>0.7641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0.65629228687415342</v>
      </c>
      <c r="Q131">
        <f t="shared" ref="Q131" si="631">F131*P131</f>
        <v>8536754.0798376072</v>
      </c>
      <c r="R131">
        <f t="shared" ref="R131" si="632">R132+Q131</f>
        <v>1788473594.7753172</v>
      </c>
      <c r="S131">
        <f t="shared" ref="S131" si="633">R131/100000</f>
        <v>17884.735947753172</v>
      </c>
      <c r="T131">
        <f t="shared" ref="T131" si="634">S131/1000</f>
        <v>17.884735947753171</v>
      </c>
    </row>
    <row r="132" spans="1:20" x14ac:dyDescent="0.25">
      <c r="A132" s="5">
        <v>44461</v>
      </c>
      <c r="B132">
        <v>0.61329999999999996</v>
      </c>
      <c r="C132">
        <v>0.73860000000000003</v>
      </c>
      <c r="D132">
        <v>0.6008</v>
      </c>
      <c r="E132">
        <v>0.73350000000000004</v>
      </c>
      <c r="F132">
        <v>14814830</v>
      </c>
      <c r="G132">
        <v>0.73350000000000004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0.92597968069666192</v>
      </c>
      <c r="Q132">
        <f t="shared" ref="Q132" si="636">F132*P132</f>
        <v>13718231.552975329</v>
      </c>
      <c r="R132">
        <f t="shared" ref="R132" si="637">R133+Q132</f>
        <v>1779936840.6954796</v>
      </c>
      <c r="S132">
        <f t="shared" ref="S132" si="638">R132/100000</f>
        <v>17799.368406954796</v>
      </c>
      <c r="T132">
        <f t="shared" ref="T132" si="639">S132/1000</f>
        <v>17.799368406954795</v>
      </c>
    </row>
    <row r="133" spans="1:20" x14ac:dyDescent="0.25">
      <c r="A133" s="5">
        <v>44460</v>
      </c>
      <c r="B133">
        <v>0.67920000000000003</v>
      </c>
      <c r="C133">
        <v>0.69510000000000005</v>
      </c>
      <c r="D133">
        <v>0.59619999999999995</v>
      </c>
      <c r="E133">
        <v>0.61439999999999995</v>
      </c>
      <c r="F133">
        <v>25003095.199999999</v>
      </c>
      <c r="G133">
        <v>0.61439999999999995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-0.63195146612740194</v>
      </c>
      <c r="Q133">
        <f t="shared" ref="Q133" si="641">F133*P133</f>
        <v>-15800742.669363005</v>
      </c>
      <c r="R133">
        <f t="shared" ref="R133" si="642">R134+Q133</f>
        <v>1766218609.1425042</v>
      </c>
      <c r="S133">
        <f t="shared" ref="S133" si="643">R133/100000</f>
        <v>17662.186091425043</v>
      </c>
      <c r="T133">
        <f t="shared" ref="T133" si="644">S133/1000</f>
        <v>17.662186091425042</v>
      </c>
    </row>
    <row r="134" spans="1:20" x14ac:dyDescent="0.25">
      <c r="A134" s="5">
        <v>44459</v>
      </c>
      <c r="B134">
        <v>0.79949999999999999</v>
      </c>
      <c r="C134">
        <v>0.80079999999999996</v>
      </c>
      <c r="D134">
        <v>0.7238</v>
      </c>
      <c r="E134">
        <v>0.73140000000000005</v>
      </c>
      <c r="F134">
        <v>8803658.1300000008</v>
      </c>
      <c r="G134">
        <v>0.73140000000000005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-0.8025974025974012</v>
      </c>
      <c r="Q134">
        <f t="shared" ref="Q134" si="646">F134*P134</f>
        <v>-7065793.1484934948</v>
      </c>
      <c r="R134">
        <f t="shared" ref="R134" si="647">R135+Q134</f>
        <v>1782019351.8118672</v>
      </c>
      <c r="S134">
        <f t="shared" ref="S134" si="648">R134/100000</f>
        <v>17820.193518118671</v>
      </c>
      <c r="T134">
        <f t="shared" ref="T134" si="649">S134/1000</f>
        <v>17.820193518118671</v>
      </c>
    </row>
    <row r="135" spans="1:20" x14ac:dyDescent="0.25">
      <c r="A135" s="5">
        <v>44458</v>
      </c>
      <c r="B135">
        <v>0.8226</v>
      </c>
      <c r="C135">
        <v>0.82440000000000002</v>
      </c>
      <c r="D135">
        <v>0.78510000000000002</v>
      </c>
      <c r="E135">
        <v>0.7994</v>
      </c>
      <c r="F135">
        <v>6032231</v>
      </c>
      <c r="G135">
        <v>0.7994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-0.2722646310432581</v>
      </c>
      <c r="Q135">
        <f t="shared" ref="Q135" si="651">F135*P135</f>
        <v>-1642363.1475827037</v>
      </c>
      <c r="R135">
        <f t="shared" ref="R135" si="652">R136+Q135</f>
        <v>1789085144.9603608</v>
      </c>
      <c r="S135">
        <f t="shared" ref="S135" si="653">R135/100000</f>
        <v>17890.851449603608</v>
      </c>
      <c r="T135">
        <f t="shared" ref="T135" si="654">S135/1000</f>
        <v>17.890851449603609</v>
      </c>
    </row>
    <row r="136" spans="1:20" x14ac:dyDescent="0.25">
      <c r="A136" s="5">
        <v>44457</v>
      </c>
      <c r="B136">
        <v>0.81699999999999995</v>
      </c>
      <c r="C136">
        <v>0.83809999999999996</v>
      </c>
      <c r="D136">
        <v>0.80610000000000004</v>
      </c>
      <c r="E136">
        <v>0.82199999999999995</v>
      </c>
      <c r="F136">
        <v>5825404</v>
      </c>
      <c r="G136">
        <v>0.82199999999999995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-6.2500000000027976E-3</v>
      </c>
      <c r="Q136">
        <f t="shared" ref="Q136" si="656">F136*P136</f>
        <v>-36408.7750000163</v>
      </c>
      <c r="R136">
        <f t="shared" ref="R136" si="657">R137+Q136</f>
        <v>1790727508.1079435</v>
      </c>
      <c r="S136">
        <f t="shared" ref="S136" si="658">R136/100000</f>
        <v>17907.275081079435</v>
      </c>
      <c r="T136">
        <f t="shared" ref="T136" si="659">S136/1000</f>
        <v>17.907275081079437</v>
      </c>
    </row>
    <row r="137" spans="1:20" x14ac:dyDescent="0.25">
      <c r="A137" s="5">
        <v>44456</v>
      </c>
      <c r="B137">
        <v>0.84179999999999999</v>
      </c>
      <c r="C137">
        <v>0.8528</v>
      </c>
      <c r="D137">
        <v>0.80289999999999995</v>
      </c>
      <c r="E137">
        <v>0.81640000000000001</v>
      </c>
      <c r="F137">
        <v>11171448</v>
      </c>
      <c r="G137">
        <v>0.81640000000000001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-0.45891783567134059</v>
      </c>
      <c r="Q137">
        <f t="shared" ref="Q137" si="661">F137*P137</f>
        <v>-5126776.7374749267</v>
      </c>
      <c r="R137">
        <f t="shared" ref="R137" si="662">R138+Q137</f>
        <v>1790763916.8829436</v>
      </c>
      <c r="S137">
        <f t="shared" ref="S137" si="663">R137/100000</f>
        <v>17907.639168829435</v>
      </c>
      <c r="T137">
        <f t="shared" ref="T137" si="664">S137/1000</f>
        <v>17.907639168829434</v>
      </c>
    </row>
    <row r="138" spans="1:20" x14ac:dyDescent="0.25">
      <c r="A138" s="5">
        <v>44455</v>
      </c>
      <c r="B138">
        <v>0.86129999999999995</v>
      </c>
      <c r="C138">
        <v>0.88270000000000004</v>
      </c>
      <c r="D138">
        <v>0.82730000000000004</v>
      </c>
      <c r="E138">
        <v>0.84189999999999998</v>
      </c>
      <c r="F138">
        <v>16171239</v>
      </c>
      <c r="G138">
        <v>0.84189999999999998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-0.47292418772563377</v>
      </c>
      <c r="Q138">
        <f t="shared" ref="Q138" si="666">F138*P138</f>
        <v>-7647770.0685920902</v>
      </c>
      <c r="R138">
        <f t="shared" ref="R138" si="667">R139+Q138</f>
        <v>1795890693.6204185</v>
      </c>
      <c r="S138">
        <f t="shared" ref="S138" si="668">R138/100000</f>
        <v>17958.906936204185</v>
      </c>
      <c r="T138">
        <f t="shared" ref="T138" si="669">S138/1000</f>
        <v>17.958906936204183</v>
      </c>
    </row>
    <row r="139" spans="1:20" x14ac:dyDescent="0.25">
      <c r="A139" s="5">
        <v>44454</v>
      </c>
      <c r="B139">
        <v>0.84470000000000001</v>
      </c>
      <c r="C139">
        <v>0.86299999999999999</v>
      </c>
      <c r="D139">
        <v>0.82799999999999996</v>
      </c>
      <c r="E139">
        <v>0.86119999999999997</v>
      </c>
      <c r="F139">
        <v>10632521</v>
      </c>
      <c r="G139">
        <v>0.86119999999999997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0.89714285714285591</v>
      </c>
      <c r="Q139">
        <f t="shared" ref="Q139" si="671">F139*P139</f>
        <v>9538890.2685714159</v>
      </c>
      <c r="R139">
        <f t="shared" ref="R139" si="672">R140+Q139</f>
        <v>1803538463.6890106</v>
      </c>
      <c r="S139">
        <f t="shared" ref="S139" si="673">R139/100000</f>
        <v>18035.384636890107</v>
      </c>
      <c r="T139">
        <f t="shared" ref="T139" si="674">S139/1000</f>
        <v>18.035384636890107</v>
      </c>
    </row>
    <row r="140" spans="1:20" x14ac:dyDescent="0.25">
      <c r="A140" s="5">
        <v>44453</v>
      </c>
      <c r="B140">
        <v>0.81950000000000001</v>
      </c>
      <c r="C140">
        <v>0.85899999999999999</v>
      </c>
      <c r="D140">
        <v>0.80920000000000003</v>
      </c>
      <c r="E140">
        <v>0.84499999999999997</v>
      </c>
      <c r="F140">
        <v>17781565</v>
      </c>
      <c r="G140">
        <v>0.84499999999999997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0.43775100401606326</v>
      </c>
      <c r="Q140">
        <f t="shared" ref="Q140" si="676">F140*P140</f>
        <v>7783897.9317268897</v>
      </c>
      <c r="R140">
        <f t="shared" ref="R140" si="677">R141+Q140</f>
        <v>1793999573.4204392</v>
      </c>
      <c r="S140">
        <f t="shared" ref="S140" si="678">R140/100000</f>
        <v>17939.995734204393</v>
      </c>
      <c r="T140">
        <f t="shared" ref="T140" si="679">S140/1000</f>
        <v>17.939995734204391</v>
      </c>
    </row>
    <row r="141" spans="1:20" x14ac:dyDescent="0.25">
      <c r="A141" s="5">
        <v>44452</v>
      </c>
      <c r="B141">
        <v>0.84560000000000002</v>
      </c>
      <c r="C141">
        <v>0.85499999999999998</v>
      </c>
      <c r="D141">
        <v>0.76060000000000005</v>
      </c>
      <c r="E141">
        <v>0.81979999999999997</v>
      </c>
      <c r="F141">
        <v>33339195</v>
      </c>
      <c r="G141">
        <v>0.81979999999999997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0.25423728813559249</v>
      </c>
      <c r="Q141">
        <f t="shared" ref="Q141" si="681">F141*P141</f>
        <v>8476066.5254237037</v>
      </c>
      <c r="R141">
        <f t="shared" ref="R141" si="682">R142+Q141</f>
        <v>1786215675.4887123</v>
      </c>
      <c r="S141">
        <f t="shared" ref="S141" si="683">R141/100000</f>
        <v>17862.156754887124</v>
      </c>
      <c r="T141">
        <f t="shared" ref="T141" si="684">S141/1000</f>
        <v>17.862156754887124</v>
      </c>
    </row>
    <row r="142" spans="1:20" x14ac:dyDescent="0.25">
      <c r="A142" s="5">
        <v>44451</v>
      </c>
      <c r="B142">
        <v>0.83250000000000002</v>
      </c>
      <c r="C142">
        <v>0.85650000000000004</v>
      </c>
      <c r="D142">
        <v>0.8125</v>
      </c>
      <c r="E142">
        <v>0.84609999999999996</v>
      </c>
      <c r="F142">
        <v>10712278</v>
      </c>
      <c r="G142">
        <v>0.84609999999999996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0.52727272727272423</v>
      </c>
      <c r="Q142">
        <f t="shared" ref="Q142" si="686">F142*P142</f>
        <v>5648292.0363636035</v>
      </c>
      <c r="R142">
        <f t="shared" ref="R142" si="687">R143+Q142</f>
        <v>1777739608.9632885</v>
      </c>
      <c r="S142">
        <f t="shared" ref="S142" si="688">R142/100000</f>
        <v>17777.396089632886</v>
      </c>
      <c r="T142">
        <f t="shared" ref="T142" si="689">S142/1000</f>
        <v>17.777396089632887</v>
      </c>
    </row>
    <row r="143" spans="1:20" x14ac:dyDescent="0.25">
      <c r="A143" s="5">
        <v>44450</v>
      </c>
      <c r="B143">
        <v>0.81830000000000003</v>
      </c>
      <c r="C143">
        <v>0.85199999999999998</v>
      </c>
      <c r="D143">
        <v>0.81279999999999997</v>
      </c>
      <c r="E143">
        <v>0.83230000000000004</v>
      </c>
      <c r="F143">
        <v>9755807</v>
      </c>
      <c r="G143">
        <v>0.83230000000000004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-5.1020408163231345E-3</v>
      </c>
      <c r="Q143">
        <f t="shared" ref="Q143" si="691">F143*P143</f>
        <v>-49774.525510170948</v>
      </c>
      <c r="R143">
        <f t="shared" ref="R143" si="692">R144+Q143</f>
        <v>1772091316.9269249</v>
      </c>
      <c r="S143">
        <f t="shared" ref="S143" si="693">R143/100000</f>
        <v>17720.91316926925</v>
      </c>
      <c r="T143">
        <f t="shared" ref="T143" si="694">S143/1000</f>
        <v>17.720913169269249</v>
      </c>
    </row>
    <row r="144" spans="1:20" x14ac:dyDescent="0.25">
      <c r="A144" s="5">
        <v>44449</v>
      </c>
      <c r="B144">
        <v>0.872</v>
      </c>
      <c r="C144">
        <v>0.9</v>
      </c>
      <c r="D144">
        <v>0.79069999999999996</v>
      </c>
      <c r="E144">
        <v>0.81759999999999999</v>
      </c>
      <c r="F144">
        <v>19767721</v>
      </c>
      <c r="G144">
        <v>0.81759999999999999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-0.50777676120768489</v>
      </c>
      <c r="Q144">
        <f t="shared" ref="Q144" si="696">F144*P144</f>
        <v>-10037589.345837139</v>
      </c>
      <c r="R144">
        <f t="shared" ref="R144" si="697">R145+Q144</f>
        <v>1772141091.452435</v>
      </c>
      <c r="S144">
        <f t="shared" ref="S144" si="698">R144/100000</f>
        <v>17721.410914524349</v>
      </c>
      <c r="T144">
        <f t="shared" ref="T144" si="699">S144/1000</f>
        <v>17.721410914524348</v>
      </c>
    </row>
    <row r="145" spans="1:20" x14ac:dyDescent="0.25">
      <c r="A145" s="5">
        <v>44448</v>
      </c>
      <c r="B145">
        <v>0.85419999999999996</v>
      </c>
      <c r="C145">
        <v>0.89410000000000001</v>
      </c>
      <c r="D145">
        <v>0.82850000000000001</v>
      </c>
      <c r="E145">
        <v>0.87180000000000002</v>
      </c>
      <c r="F145">
        <v>21246586</v>
      </c>
      <c r="G145">
        <v>0.87180000000000002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0.32012195121951253</v>
      </c>
      <c r="Q145">
        <f t="shared" ref="Q145" si="701">F145*P145</f>
        <v>6801498.5670731775</v>
      </c>
      <c r="R145">
        <f t="shared" ref="R145" si="702">R146+Q145</f>
        <v>1782178680.7982721</v>
      </c>
      <c r="S145">
        <f t="shared" ref="S145" si="703">R145/100000</f>
        <v>17821.78680798272</v>
      </c>
      <c r="T145">
        <f t="shared" ref="T145" si="704">S145/1000</f>
        <v>17.821786807982722</v>
      </c>
    </row>
    <row r="146" spans="1:20" x14ac:dyDescent="0.25">
      <c r="A146" s="5">
        <v>44447</v>
      </c>
      <c r="B146">
        <v>0.83450000000000002</v>
      </c>
      <c r="C146">
        <v>0.8841</v>
      </c>
      <c r="D146">
        <v>0.75560000000000005</v>
      </c>
      <c r="E146">
        <v>0.85329999999999995</v>
      </c>
      <c r="F146">
        <v>43336848</v>
      </c>
      <c r="G146">
        <v>0.85329999999999995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0.52062256809338425</v>
      </c>
      <c r="Q146">
        <f t="shared" ref="Q146" si="706">F146*P146</f>
        <v>22562141.098832645</v>
      </c>
      <c r="R146">
        <f t="shared" ref="R146" si="707">R147+Q146</f>
        <v>1775377182.231199</v>
      </c>
      <c r="S146">
        <f t="shared" ref="S146" si="708">R146/100000</f>
        <v>17753.771822311992</v>
      </c>
      <c r="T146">
        <f t="shared" ref="T146" si="709">S146/1000</f>
        <v>17.753771822311993</v>
      </c>
    </row>
    <row r="147" spans="1:20" x14ac:dyDescent="0.25">
      <c r="A147" s="5">
        <v>44446</v>
      </c>
      <c r="B147">
        <v>1.0435000000000001</v>
      </c>
      <c r="C147">
        <v>1.0439000000000001</v>
      </c>
      <c r="D147">
        <v>0.73360000000000003</v>
      </c>
      <c r="E147">
        <v>0.83520000000000005</v>
      </c>
      <c r="F147">
        <v>73572958.659999996</v>
      </c>
      <c r="G147">
        <v>0.83520000000000005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-0.34514985497905243</v>
      </c>
      <c r="Q147">
        <f t="shared" ref="Q147" si="711">F147*P147</f>
        <v>-25393696.011878818</v>
      </c>
      <c r="R147">
        <f t="shared" ref="R147" si="712">R148+Q147</f>
        <v>1752815041.1323664</v>
      </c>
      <c r="S147">
        <f t="shared" ref="S147" si="713">R147/100000</f>
        <v>17528.150411323662</v>
      </c>
      <c r="T147">
        <f t="shared" ref="T147" si="714">S147/1000</f>
        <v>17.528150411323661</v>
      </c>
    </row>
    <row r="148" spans="1:20" x14ac:dyDescent="0.25">
      <c r="A148" s="5">
        <v>44445</v>
      </c>
      <c r="B148">
        <v>1.0784</v>
      </c>
      <c r="C148">
        <v>1.0784</v>
      </c>
      <c r="D148">
        <v>1.0045999999999999</v>
      </c>
      <c r="E148">
        <v>1.0434000000000001</v>
      </c>
      <c r="F148">
        <v>29563999</v>
      </c>
      <c r="G148">
        <v>1.0434000000000001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5.1490514905152343E-2</v>
      </c>
      <c r="Q148">
        <f t="shared" ref="Q148" si="716">F148*P148</f>
        <v>1522265.5311654089</v>
      </c>
      <c r="R148">
        <f t="shared" ref="R148" si="717">R149+Q148</f>
        <v>1778208737.1442451</v>
      </c>
      <c r="S148">
        <f t="shared" ref="S148" si="718">R148/100000</f>
        <v>17782.087371442452</v>
      </c>
      <c r="T148">
        <f t="shared" ref="T148" si="719">S148/1000</f>
        <v>17.782087371442451</v>
      </c>
    </row>
    <row r="149" spans="1:20" x14ac:dyDescent="0.25">
      <c r="A149" s="5">
        <v>44444</v>
      </c>
      <c r="B149">
        <v>1.0549999999999999</v>
      </c>
      <c r="C149">
        <v>1.0809</v>
      </c>
      <c r="D149">
        <v>1.0194000000000001</v>
      </c>
      <c r="E149">
        <v>1.0784</v>
      </c>
      <c r="F149">
        <v>25534824</v>
      </c>
      <c r="G149">
        <v>1.0784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0.91869918699187147</v>
      </c>
      <c r="Q149">
        <f t="shared" ref="Q149" si="721">F149*P149</f>
        <v>23458822.048780527</v>
      </c>
      <c r="R149">
        <f t="shared" ref="R149" si="722">R150+Q149</f>
        <v>1776686471.6130798</v>
      </c>
      <c r="S149">
        <f t="shared" ref="S149" si="723">R149/100000</f>
        <v>17766.864716130796</v>
      </c>
      <c r="T149">
        <f t="shared" ref="T149" si="724">S149/1000</f>
        <v>17.766864716130797</v>
      </c>
    </row>
    <row r="150" spans="1:20" x14ac:dyDescent="0.25">
      <c r="A150" s="5">
        <v>44443</v>
      </c>
      <c r="B150">
        <v>0.99539999999999995</v>
      </c>
      <c r="C150">
        <v>1.0688</v>
      </c>
      <c r="D150">
        <v>0.9909</v>
      </c>
      <c r="E150">
        <v>1.0548999999999999</v>
      </c>
      <c r="F150">
        <v>41973049</v>
      </c>
      <c r="G150">
        <v>1.0548999999999999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0.64313222079589139</v>
      </c>
      <c r="Q150">
        <f t="shared" ref="Q150" si="726">F150*P150</f>
        <v>26994220.216944769</v>
      </c>
      <c r="R150">
        <f t="shared" ref="R150" si="727">R151+Q150</f>
        <v>1753227649.5642993</v>
      </c>
      <c r="S150">
        <f t="shared" ref="S150" si="728">R150/100000</f>
        <v>17532.276495642993</v>
      </c>
      <c r="T150">
        <f t="shared" ref="T150" si="729">S150/1000</f>
        <v>17.532276495642993</v>
      </c>
    </row>
    <row r="151" spans="1:20" x14ac:dyDescent="0.25">
      <c r="A151" s="5">
        <v>44442</v>
      </c>
      <c r="B151">
        <v>0.96550000000000002</v>
      </c>
      <c r="C151">
        <v>1.0729</v>
      </c>
      <c r="D151">
        <v>0.94330000000000003</v>
      </c>
      <c r="E151">
        <v>0.99539999999999995</v>
      </c>
      <c r="F151">
        <v>61613302</v>
      </c>
      <c r="G151">
        <v>0.99539999999999995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-0.19598765432098844</v>
      </c>
      <c r="Q151">
        <f t="shared" ref="Q151" si="731">F151*P151</f>
        <v>-12075446.533950666</v>
      </c>
      <c r="R151">
        <f t="shared" ref="R151" si="732">R152+Q151</f>
        <v>1726233429.3473547</v>
      </c>
      <c r="S151">
        <f t="shared" ref="S151" si="733">R151/100000</f>
        <v>17262.334293473548</v>
      </c>
      <c r="T151">
        <f t="shared" ref="T151" si="734">S151/1000</f>
        <v>17.262334293473547</v>
      </c>
    </row>
    <row r="152" spans="1:20" x14ac:dyDescent="0.25">
      <c r="A152" s="5">
        <v>44441</v>
      </c>
      <c r="B152">
        <v>0.98119999999999996</v>
      </c>
      <c r="C152">
        <v>0.99029999999999996</v>
      </c>
      <c r="D152">
        <v>0.95120000000000005</v>
      </c>
      <c r="E152">
        <v>0.96550000000000002</v>
      </c>
      <c r="F152">
        <v>22288001</v>
      </c>
      <c r="G152">
        <v>0.96550000000000002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-0.26854219948849045</v>
      </c>
      <c r="Q152">
        <f t="shared" ref="Q152" si="736">F152*P152</f>
        <v>-5985268.8107416751</v>
      </c>
      <c r="R152">
        <f t="shared" ref="R152" si="737">R153+Q152</f>
        <v>1738308875.8813052</v>
      </c>
      <c r="S152">
        <f t="shared" ref="S152" si="738">R152/100000</f>
        <v>17383.088758813054</v>
      </c>
      <c r="T152">
        <f t="shared" ref="T152" si="739">S152/1000</f>
        <v>17.383088758813052</v>
      </c>
    </row>
    <row r="153" spans="1:20" x14ac:dyDescent="0.25">
      <c r="A153" s="5">
        <v>44440</v>
      </c>
      <c r="B153">
        <v>0.94199999999999995</v>
      </c>
      <c r="C153">
        <v>0.98450000000000004</v>
      </c>
      <c r="D153">
        <v>0.91569999999999996</v>
      </c>
      <c r="E153">
        <v>0.98160000000000003</v>
      </c>
      <c r="F153">
        <v>32732957</v>
      </c>
      <c r="G153">
        <v>0.98160000000000003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0.91569767441860439</v>
      </c>
      <c r="Q153">
        <f t="shared" ref="Q153" si="741">F153*P153</f>
        <v>29973492.601744179</v>
      </c>
      <c r="R153">
        <f t="shared" ref="R153" si="742">R154+Q153</f>
        <v>1744294144.6920469</v>
      </c>
      <c r="S153">
        <f t="shared" ref="S153" si="743">R153/100000</f>
        <v>17442.941446920468</v>
      </c>
      <c r="T153">
        <f t="shared" ref="T153" si="744">S153/1000</f>
        <v>17.442941446920468</v>
      </c>
    </row>
    <row r="154" spans="1:20" x14ac:dyDescent="0.25">
      <c r="A154" s="5">
        <v>44439</v>
      </c>
      <c r="B154">
        <v>0.94610000000000005</v>
      </c>
      <c r="C154">
        <v>0.99419999999999997</v>
      </c>
      <c r="D154">
        <v>0.92020000000000002</v>
      </c>
      <c r="E154">
        <v>0.94159999999999999</v>
      </c>
      <c r="F154">
        <v>35150019</v>
      </c>
      <c r="G154">
        <v>0.94159999999999999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-0.42162162162162198</v>
      </c>
      <c r="Q154">
        <f t="shared" ref="Q154" si="746">F154*P154</f>
        <v>-14820008.010810824</v>
      </c>
      <c r="R154">
        <f t="shared" ref="R154" si="747">R155+Q154</f>
        <v>1714320652.0903027</v>
      </c>
      <c r="S154">
        <f t="shared" ref="S154" si="748">R154/100000</f>
        <v>17143.206520903026</v>
      </c>
      <c r="T154">
        <f t="shared" ref="T154" si="749">S154/1000</f>
        <v>17.143206520903025</v>
      </c>
    </row>
    <row r="155" spans="1:20" x14ac:dyDescent="0.25">
      <c r="A155" s="5">
        <v>44438</v>
      </c>
      <c r="B155">
        <v>1.0237000000000001</v>
      </c>
      <c r="C155">
        <v>1.1067</v>
      </c>
      <c r="D155">
        <v>0.93530000000000002</v>
      </c>
      <c r="E155">
        <v>0.94610000000000005</v>
      </c>
      <c r="F155">
        <v>84963300.909999996</v>
      </c>
      <c r="G155">
        <v>0.94610000000000005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-0.87397899649941624</v>
      </c>
      <c r="Q155">
        <f t="shared" ref="Q155" si="751">F155*P155</f>
        <v>-74256140.468599737</v>
      </c>
      <c r="R155">
        <f t="shared" ref="R155" si="752">R156+Q155</f>
        <v>1729140660.1011136</v>
      </c>
      <c r="S155">
        <f t="shared" ref="S155" si="753">R155/100000</f>
        <v>17291.406601011135</v>
      </c>
      <c r="T155">
        <f t="shared" ref="T155" si="754">S155/1000</f>
        <v>17.291406601011136</v>
      </c>
    </row>
    <row r="156" spans="1:20" x14ac:dyDescent="0.25">
      <c r="A156" s="5">
        <v>44437</v>
      </c>
      <c r="B156">
        <v>0.92320000000000002</v>
      </c>
      <c r="C156">
        <v>1.05</v>
      </c>
      <c r="D156">
        <v>0.879</v>
      </c>
      <c r="E156">
        <v>1.0236000000000001</v>
      </c>
      <c r="F156">
        <v>74992301.519999996</v>
      </c>
      <c r="G156">
        <v>1.0236000000000001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0.69122807017543897</v>
      </c>
      <c r="Q156">
        <f t="shared" ref="Q156" si="756">F156*P156</f>
        <v>51836783.857684232</v>
      </c>
      <c r="R156">
        <f t="shared" ref="R156" si="757">R157+Q156</f>
        <v>1803396800.5697134</v>
      </c>
      <c r="S156">
        <f t="shared" ref="S156" si="758">R156/100000</f>
        <v>18033.968005697134</v>
      </c>
      <c r="T156">
        <f t="shared" ref="T156" si="759">S156/1000</f>
        <v>18.033968005697133</v>
      </c>
    </row>
    <row r="157" spans="1:20" x14ac:dyDescent="0.25">
      <c r="A157" s="5">
        <v>44436</v>
      </c>
      <c r="B157">
        <v>0.93020000000000003</v>
      </c>
      <c r="C157">
        <v>0.94359999999999999</v>
      </c>
      <c r="D157">
        <v>0.91249999999999998</v>
      </c>
      <c r="E157">
        <v>0.92269999999999996</v>
      </c>
      <c r="F157">
        <v>24386059</v>
      </c>
      <c r="G157">
        <v>0.92269999999999996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-0.34405144694533879</v>
      </c>
      <c r="Q157">
        <f t="shared" ref="Q157" si="761">F157*P157</f>
        <v>-8390058.884244401</v>
      </c>
      <c r="R157">
        <f t="shared" ref="R157" si="762">R158+Q157</f>
        <v>1751560016.7120292</v>
      </c>
      <c r="S157">
        <f t="shared" ref="S157" si="763">R157/100000</f>
        <v>17515.600167120294</v>
      </c>
      <c r="T157">
        <f t="shared" ref="T157" si="764">S157/1000</f>
        <v>17.515600167120294</v>
      </c>
    </row>
    <row r="158" spans="1:20" x14ac:dyDescent="0.25">
      <c r="A158" s="5">
        <v>44435</v>
      </c>
      <c r="B158">
        <v>0.88970000000000005</v>
      </c>
      <c r="C158">
        <v>0.93569999999999998</v>
      </c>
      <c r="D158">
        <v>0.85009999999999997</v>
      </c>
      <c r="E158">
        <v>0.92959999999999998</v>
      </c>
      <c r="F158">
        <v>41059171.140000001</v>
      </c>
      <c r="G158">
        <v>0.92959999999999998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0.85747663551401887</v>
      </c>
      <c r="Q158">
        <f t="shared" ref="Q158" si="766">F158*P158</f>
        <v>35207279.926121503</v>
      </c>
      <c r="R158">
        <f t="shared" ref="R158" si="767">R159+Q158</f>
        <v>1759950075.5962737</v>
      </c>
      <c r="S158">
        <f t="shared" ref="S158" si="768">R158/100000</f>
        <v>17599.500755962737</v>
      </c>
      <c r="T158">
        <f t="shared" ref="T158" si="769">S158/1000</f>
        <v>17.599500755962737</v>
      </c>
    </row>
    <row r="159" spans="1:20" x14ac:dyDescent="0.25">
      <c r="A159" s="5">
        <v>44434</v>
      </c>
      <c r="B159">
        <v>0.95489999999999997</v>
      </c>
      <c r="C159">
        <v>0.99439999999999995</v>
      </c>
      <c r="D159">
        <v>0.85650000000000004</v>
      </c>
      <c r="E159">
        <v>0.88990000000000002</v>
      </c>
      <c r="F159">
        <v>77995613.760000005</v>
      </c>
      <c r="G159">
        <v>0.88990000000000002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-0.51559100797679469</v>
      </c>
      <c r="Q159">
        <f t="shared" ref="Q159" si="771">F159*P159</f>
        <v>-40213837.116287157</v>
      </c>
      <c r="R159">
        <f t="shared" ref="R159" si="772">R160+Q159</f>
        <v>1724742795.6701522</v>
      </c>
      <c r="S159">
        <f t="shared" ref="S159" si="773">R159/100000</f>
        <v>17247.427956701522</v>
      </c>
      <c r="T159">
        <f t="shared" ref="T159" si="774">S159/1000</f>
        <v>17.247427956701522</v>
      </c>
    </row>
    <row r="160" spans="1:20" x14ac:dyDescent="0.25">
      <c r="A160" s="5">
        <v>44433</v>
      </c>
      <c r="B160">
        <v>0.85129999999999995</v>
      </c>
      <c r="C160">
        <v>0.95799999999999996</v>
      </c>
      <c r="D160">
        <v>0.83</v>
      </c>
      <c r="E160">
        <v>0.95489999999999997</v>
      </c>
      <c r="F160">
        <v>65539734.329999998</v>
      </c>
      <c r="G160">
        <v>0.95489999999999997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0.95156250000000009</v>
      </c>
      <c r="Q160">
        <f t="shared" ref="Q160" si="776">F160*P160</f>
        <v>62365153.448390625</v>
      </c>
      <c r="R160">
        <f t="shared" ref="R160" si="777">R161+Q160</f>
        <v>1764956632.7864394</v>
      </c>
      <c r="S160">
        <f t="shared" ref="S160" si="778">R160/100000</f>
        <v>17649.566327864395</v>
      </c>
      <c r="T160">
        <f t="shared" ref="T160" si="779">S160/1000</f>
        <v>17.649566327864395</v>
      </c>
    </row>
    <row r="161" spans="1:20" x14ac:dyDescent="0.25">
      <c r="A161" s="5">
        <v>44432</v>
      </c>
      <c r="B161">
        <v>0.92349999999999999</v>
      </c>
      <c r="C161">
        <v>0.96899999999999997</v>
      </c>
      <c r="D161">
        <v>0.82189999999999996</v>
      </c>
      <c r="E161">
        <v>0.85170000000000001</v>
      </c>
      <c r="F161">
        <v>61151173.759999998</v>
      </c>
      <c r="G161">
        <v>0.85170000000000001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-0.59483344663494153</v>
      </c>
      <c r="Q161">
        <f t="shared" ref="Q161" si="781">F161*P161</f>
        <v>-36374763.453432992</v>
      </c>
      <c r="R161">
        <f t="shared" ref="R161" si="782">R162+Q161</f>
        <v>1702591479.3380487</v>
      </c>
      <c r="S161">
        <f t="shared" ref="S161" si="783">R161/100000</f>
        <v>17025.914793380485</v>
      </c>
      <c r="T161">
        <f t="shared" ref="T161" si="784">S161/1000</f>
        <v>17.025914793380487</v>
      </c>
    </row>
    <row r="162" spans="1:20" x14ac:dyDescent="0.25">
      <c r="A162" s="5">
        <v>44431</v>
      </c>
      <c r="B162">
        <v>0.88339999999999996</v>
      </c>
      <c r="C162">
        <v>0.92710000000000004</v>
      </c>
      <c r="D162">
        <v>0.87170000000000003</v>
      </c>
      <c r="E162">
        <v>0.92479999999999996</v>
      </c>
      <c r="F162">
        <v>38353861.049999997</v>
      </c>
      <c r="G162">
        <v>0.92479999999999996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0.91696750902526791</v>
      </c>
      <c r="Q162">
        <f t="shared" ref="Q162" si="786">F162*P162</f>
        <v>35169244.428519741</v>
      </c>
      <c r="R162">
        <f t="shared" ref="R162" si="787">R163+Q162</f>
        <v>1738966242.7914817</v>
      </c>
      <c r="S162">
        <f t="shared" ref="S162" si="788">R162/100000</f>
        <v>17389.662427914816</v>
      </c>
      <c r="T162">
        <f t="shared" ref="T162" si="789">S162/1000</f>
        <v>17.389662427914818</v>
      </c>
    </row>
    <row r="163" spans="1:20" x14ac:dyDescent="0.25">
      <c r="A163" s="5">
        <v>44430</v>
      </c>
      <c r="B163">
        <v>0.87519999999999998</v>
      </c>
      <c r="C163">
        <v>0.91</v>
      </c>
      <c r="D163">
        <v>0.87480000000000002</v>
      </c>
      <c r="E163">
        <v>0.9002</v>
      </c>
      <c r="F163">
        <v>9622365.8599999994</v>
      </c>
      <c r="G163">
        <v>0.9002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0.44318181818181657</v>
      </c>
      <c r="Q163">
        <f t="shared" ref="Q163" si="791">F163*P163</f>
        <v>4264457.5970454384</v>
      </c>
      <c r="R163">
        <f t="shared" ref="R163" si="792">R164+Q163</f>
        <v>1703796998.362962</v>
      </c>
      <c r="S163">
        <f t="shared" ref="S163" si="793">R163/100000</f>
        <v>17037.96998362962</v>
      </c>
      <c r="T163">
        <f t="shared" ref="T163" si="794">S163/1000</f>
        <v>17.037969983629619</v>
      </c>
    </row>
    <row r="164" spans="1:20" x14ac:dyDescent="0.25">
      <c r="A164" s="5">
        <v>44429</v>
      </c>
      <c r="B164">
        <v>0.84379999999999999</v>
      </c>
      <c r="C164">
        <v>0.94899999999999995</v>
      </c>
      <c r="D164">
        <v>0.83189999999999997</v>
      </c>
      <c r="E164">
        <v>0.87539999999999996</v>
      </c>
      <c r="F164">
        <v>71932521.019999996</v>
      </c>
      <c r="G164">
        <v>0.87539999999999996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-0.25704526046114451</v>
      </c>
      <c r="Q164">
        <f t="shared" ref="Q164" si="796">F164*P164</f>
        <v>-18489913.601212651</v>
      </c>
      <c r="R164">
        <f t="shared" ref="R164" si="797">R165+Q164</f>
        <v>1699532540.7659166</v>
      </c>
      <c r="S164">
        <f t="shared" ref="S164" si="798">R164/100000</f>
        <v>16995.325407659166</v>
      </c>
      <c r="T164">
        <f t="shared" ref="T164" si="799">S164/1000</f>
        <v>16.995325407659166</v>
      </c>
    </row>
    <row r="165" spans="1:20" x14ac:dyDescent="0.25">
      <c r="A165" s="5">
        <v>44428</v>
      </c>
      <c r="B165">
        <v>0.8196</v>
      </c>
      <c r="C165">
        <v>0.85170000000000001</v>
      </c>
      <c r="D165">
        <v>0.80149999999999999</v>
      </c>
      <c r="E165">
        <v>0.84350000000000003</v>
      </c>
      <c r="F165">
        <v>25503699.969999999</v>
      </c>
      <c r="G165">
        <v>0.84350000000000003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0.67330677290836727</v>
      </c>
      <c r="Q165">
        <f t="shared" ref="Q165" si="801">F165*P165</f>
        <v>17171813.924023923</v>
      </c>
      <c r="R165">
        <f t="shared" ref="R165" si="802">R166+Q165</f>
        <v>1718022454.3671293</v>
      </c>
      <c r="S165">
        <f t="shared" ref="S165" si="803">R165/100000</f>
        <v>17180.224543671295</v>
      </c>
      <c r="T165">
        <f t="shared" ref="T165" si="804">S165/1000</f>
        <v>17.180224543671294</v>
      </c>
    </row>
    <row r="166" spans="1:20" x14ac:dyDescent="0.25">
      <c r="A166" s="5">
        <v>44427</v>
      </c>
      <c r="B166">
        <v>0.77539999999999998</v>
      </c>
      <c r="C166">
        <v>0.81989999999999996</v>
      </c>
      <c r="D166">
        <v>0.75670000000000004</v>
      </c>
      <c r="E166">
        <v>0.81979999999999997</v>
      </c>
      <c r="F166">
        <v>25303040.280000001</v>
      </c>
      <c r="G166">
        <v>0.81979999999999997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0.996835443037975</v>
      </c>
      <c r="Q166">
        <f t="shared" ref="Q166" si="806">F166*P166</f>
        <v>25222967.367721528</v>
      </c>
      <c r="R166">
        <f t="shared" ref="R166" si="807">R167+Q166</f>
        <v>1700850640.4431055</v>
      </c>
      <c r="S166">
        <f t="shared" ref="S166" si="808">R166/100000</f>
        <v>17008.506404431053</v>
      </c>
      <c r="T166">
        <f t="shared" ref="T166" si="809">S166/1000</f>
        <v>17.008506404431053</v>
      </c>
    </row>
    <row r="167" spans="1:20" x14ac:dyDescent="0.25">
      <c r="A167" s="5">
        <v>44426</v>
      </c>
      <c r="B167">
        <v>0.79879999999999995</v>
      </c>
      <c r="C167">
        <v>0.81430000000000002</v>
      </c>
      <c r="D167">
        <v>0.74670000000000003</v>
      </c>
      <c r="E167">
        <v>0.77539999999999998</v>
      </c>
      <c r="F167">
        <v>28567748.609999999</v>
      </c>
      <c r="G167">
        <v>0.77539999999999998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-0.15088757396449851</v>
      </c>
      <c r="Q167">
        <f t="shared" ref="Q167" si="811">F167*P167</f>
        <v>-4310518.2813905738</v>
      </c>
      <c r="R167">
        <f t="shared" ref="R167" si="812">R168+Q167</f>
        <v>1675627673.0753839</v>
      </c>
      <c r="S167">
        <f t="shared" ref="S167" si="813">R167/100000</f>
        <v>16756.276730753838</v>
      </c>
      <c r="T167">
        <f t="shared" ref="T167" si="814">S167/1000</f>
        <v>16.756276730753839</v>
      </c>
    </row>
    <row r="168" spans="1:20" x14ac:dyDescent="0.25">
      <c r="A168" s="5">
        <v>44425</v>
      </c>
      <c r="B168">
        <v>0.84670000000000001</v>
      </c>
      <c r="C168">
        <v>0.87649999999999995</v>
      </c>
      <c r="D168">
        <v>0.79430000000000001</v>
      </c>
      <c r="E168">
        <v>0.7984</v>
      </c>
      <c r="F168">
        <v>42324922.890000001</v>
      </c>
      <c r="G168">
        <v>0.7984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-0.90024330900243321</v>
      </c>
      <c r="Q168">
        <f t="shared" ref="Q168" si="816">F168*P168</f>
        <v>-38102728.635766432</v>
      </c>
      <c r="R168">
        <f t="shared" ref="R168" si="817">R169+Q168</f>
        <v>1679938191.3567746</v>
      </c>
      <c r="S168">
        <f t="shared" ref="S168" si="818">R168/100000</f>
        <v>16799.381913567744</v>
      </c>
      <c r="T168">
        <f t="shared" ref="T168" si="819">S168/1000</f>
        <v>16.799381913567743</v>
      </c>
    </row>
    <row r="169" spans="1:20" x14ac:dyDescent="0.25">
      <c r="A169" s="5">
        <v>44424</v>
      </c>
      <c r="B169">
        <v>0.86909999999999998</v>
      </c>
      <c r="C169">
        <v>0.91600000000000004</v>
      </c>
      <c r="D169">
        <v>0.84230000000000005</v>
      </c>
      <c r="E169">
        <v>0.84619999999999995</v>
      </c>
      <c r="F169">
        <v>45462968.899999999</v>
      </c>
      <c r="G169">
        <v>0.84619999999999995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-0.89416553595658332</v>
      </c>
      <c r="Q169">
        <f t="shared" ref="Q169" si="821">F169*P169</f>
        <v>-40651419.95264598</v>
      </c>
      <c r="R169">
        <f t="shared" ref="R169" si="822">R170+Q169</f>
        <v>1718040919.9925411</v>
      </c>
      <c r="S169">
        <f t="shared" ref="S169" si="823">R169/100000</f>
        <v>17180.409199925412</v>
      </c>
      <c r="T169">
        <f t="shared" ref="T169" si="824">S169/1000</f>
        <v>17.180409199925414</v>
      </c>
    </row>
    <row r="170" spans="1:20" x14ac:dyDescent="0.25">
      <c r="A170" s="5">
        <v>44423</v>
      </c>
      <c r="B170">
        <v>0.83809999999999996</v>
      </c>
      <c r="C170">
        <v>0.86960000000000004</v>
      </c>
      <c r="D170">
        <v>0.7944</v>
      </c>
      <c r="E170">
        <v>0.86909999999999998</v>
      </c>
      <c r="F170">
        <v>21361844.190000001</v>
      </c>
      <c r="G170">
        <v>0.86909999999999998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0.98670212765957299</v>
      </c>
      <c r="Q170">
        <f t="shared" ref="Q170" si="826">F170*P170</f>
        <v>21077777.113005288</v>
      </c>
      <c r="R170">
        <f t="shared" ref="R170" si="827">R171+Q170</f>
        <v>1758692339.9451871</v>
      </c>
      <c r="S170">
        <f t="shared" ref="S170" si="828">R170/100000</f>
        <v>17586.923399451873</v>
      </c>
      <c r="T170">
        <f t="shared" ref="T170" si="829">S170/1000</f>
        <v>17.586923399451873</v>
      </c>
    </row>
    <row r="171" spans="1:20" x14ac:dyDescent="0.25">
      <c r="A171" s="5">
        <v>44422</v>
      </c>
      <c r="B171">
        <v>0.84279999999999999</v>
      </c>
      <c r="C171">
        <v>0.85440000000000005</v>
      </c>
      <c r="D171">
        <v>0.8</v>
      </c>
      <c r="E171">
        <v>0.83809999999999996</v>
      </c>
      <c r="F171">
        <v>24718549.920000002</v>
      </c>
      <c r="G171">
        <v>0.83809999999999996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0.40073529411764369</v>
      </c>
      <c r="Q171">
        <f t="shared" ref="Q171" si="831">F171*P171</f>
        <v>9905595.372352859</v>
      </c>
      <c r="R171">
        <f t="shared" ref="R171" si="832">R172+Q171</f>
        <v>1737614562.8321817</v>
      </c>
      <c r="S171">
        <f t="shared" ref="S171" si="833">R171/100000</f>
        <v>17376.145628321818</v>
      </c>
      <c r="T171">
        <f t="shared" ref="T171" si="834">S171/1000</f>
        <v>17.376145628321819</v>
      </c>
    </row>
    <row r="172" spans="1:20" x14ac:dyDescent="0.25">
      <c r="A172" s="5">
        <v>44421</v>
      </c>
      <c r="B172">
        <v>0.8004</v>
      </c>
      <c r="C172">
        <v>0.84599999999999997</v>
      </c>
      <c r="D172">
        <v>0.78480000000000005</v>
      </c>
      <c r="E172">
        <v>0.84279999999999999</v>
      </c>
      <c r="F172">
        <v>21983605.329999998</v>
      </c>
      <c r="G172">
        <v>0.84279999999999999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0.89542483660130767</v>
      </c>
      <c r="Q172">
        <f t="shared" ref="Q172" si="836">F172*P172</f>
        <v>19684666.210522886</v>
      </c>
      <c r="R172">
        <f t="shared" ref="R172" si="837">R173+Q172</f>
        <v>1727708967.4598289</v>
      </c>
      <c r="S172">
        <f t="shared" ref="S172" si="838">R172/100000</f>
        <v>17277.08967459829</v>
      </c>
      <c r="T172">
        <f t="shared" ref="T172" si="839">S172/1000</f>
        <v>17.27708967459829</v>
      </c>
    </row>
    <row r="173" spans="1:20" x14ac:dyDescent="0.25">
      <c r="A173" s="5">
        <v>44420</v>
      </c>
      <c r="B173">
        <v>0.82140000000000002</v>
      </c>
      <c r="C173">
        <v>0.85060000000000002</v>
      </c>
      <c r="D173">
        <v>0.76080000000000003</v>
      </c>
      <c r="E173">
        <v>0.80159999999999998</v>
      </c>
      <c r="F173">
        <v>36136782.189999998</v>
      </c>
      <c r="G173">
        <v>0.80159999999999998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-9.1314031180401975E-2</v>
      </c>
      <c r="Q173">
        <f t="shared" ref="Q173" si="841">F173*P173</f>
        <v>-3299795.2556570545</v>
      </c>
      <c r="R173">
        <f t="shared" ref="R173" si="842">R174+Q173</f>
        <v>1708024301.249306</v>
      </c>
      <c r="S173">
        <f t="shared" ref="S173" si="843">R173/100000</f>
        <v>17080.243012493058</v>
      </c>
      <c r="T173">
        <f t="shared" ref="T173" si="844">S173/1000</f>
        <v>17.080243012493057</v>
      </c>
    </row>
    <row r="174" spans="1:20" x14ac:dyDescent="0.25">
      <c r="A174" s="5">
        <v>44419</v>
      </c>
      <c r="B174">
        <v>0.82609999999999995</v>
      </c>
      <c r="C174">
        <v>0.86470000000000002</v>
      </c>
      <c r="D174">
        <v>0.80369999999999997</v>
      </c>
      <c r="E174">
        <v>0.82150000000000001</v>
      </c>
      <c r="F174">
        <v>48904060.770000003</v>
      </c>
      <c r="G174">
        <v>0.82150000000000001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-0.41639344262295008</v>
      </c>
      <c r="Q174">
        <f t="shared" ref="Q174" si="846">F174*P174</f>
        <v>-20363330.22226226</v>
      </c>
      <c r="R174">
        <f t="shared" ref="R174" si="847">R175+Q174</f>
        <v>1711324096.5049629</v>
      </c>
      <c r="S174">
        <f t="shared" ref="S174" si="848">R174/100000</f>
        <v>17113.24096504963</v>
      </c>
      <c r="T174">
        <f t="shared" ref="T174" si="849">S174/1000</f>
        <v>17.113240965049631</v>
      </c>
    </row>
    <row r="175" spans="1:20" x14ac:dyDescent="0.25">
      <c r="A175" s="5">
        <v>44418</v>
      </c>
      <c r="B175">
        <v>0.75270000000000004</v>
      </c>
      <c r="C175">
        <v>0.85219999999999996</v>
      </c>
      <c r="D175">
        <v>0.73380000000000001</v>
      </c>
      <c r="E175">
        <v>0.82669999999999999</v>
      </c>
      <c r="F175">
        <v>69456923.760000005</v>
      </c>
      <c r="G175">
        <v>0.82669999999999999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0.56925675675675713</v>
      </c>
      <c r="Q175">
        <f t="shared" ref="Q175" si="851">F175*P175</f>
        <v>39538823.153918952</v>
      </c>
      <c r="R175">
        <f t="shared" ref="R175" si="852">R176+Q175</f>
        <v>1731687426.7272251</v>
      </c>
      <c r="S175">
        <f t="shared" ref="S175" si="853">R175/100000</f>
        <v>17316.874267272251</v>
      </c>
      <c r="T175">
        <f t="shared" ref="T175" si="854">S175/1000</f>
        <v>17.316874267272251</v>
      </c>
    </row>
    <row r="176" spans="1:20" x14ac:dyDescent="0.25">
      <c r="A176" s="5">
        <v>44417</v>
      </c>
      <c r="B176">
        <v>0.7198</v>
      </c>
      <c r="C176">
        <v>0.76719999999999999</v>
      </c>
      <c r="D176">
        <v>0.69369999999999998</v>
      </c>
      <c r="E176">
        <v>0.753</v>
      </c>
      <c r="F176">
        <v>26465680.039999999</v>
      </c>
      <c r="G176">
        <v>0.753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0.61360544217687107</v>
      </c>
      <c r="Q176">
        <f t="shared" ref="Q176" si="856">F176*P176</f>
        <v>16239485.303455791</v>
      </c>
      <c r="R176">
        <f t="shared" ref="R176" si="857">R177+Q176</f>
        <v>1692148603.5733061</v>
      </c>
      <c r="S176">
        <f t="shared" ref="S176" si="858">R176/100000</f>
        <v>16921.486035733062</v>
      </c>
      <c r="T176">
        <f t="shared" ref="T176" si="859">S176/1000</f>
        <v>16.921486035733061</v>
      </c>
    </row>
    <row r="177" spans="1:20" x14ac:dyDescent="0.25">
      <c r="A177" s="5">
        <v>44416</v>
      </c>
      <c r="B177">
        <v>0.77180000000000004</v>
      </c>
      <c r="C177">
        <v>0.77500000000000002</v>
      </c>
      <c r="D177">
        <v>0.70750000000000002</v>
      </c>
      <c r="E177">
        <v>0.7198</v>
      </c>
      <c r="F177">
        <v>25831945.239999998</v>
      </c>
      <c r="G177">
        <v>0.7198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-0.63555555555555621</v>
      </c>
      <c r="Q177">
        <f t="shared" ref="Q177" si="861">F177*P177</f>
        <v>-16417636.308088904</v>
      </c>
      <c r="R177">
        <f t="shared" ref="R177" si="862">R178+Q177</f>
        <v>1675909118.2698503</v>
      </c>
      <c r="S177">
        <f t="shared" ref="S177" si="863">R177/100000</f>
        <v>16759.091182698503</v>
      </c>
      <c r="T177">
        <f t="shared" ref="T177" si="864">S177/1000</f>
        <v>16.759091182698501</v>
      </c>
    </row>
    <row r="178" spans="1:20" x14ac:dyDescent="0.25">
      <c r="A178" s="5">
        <v>44415</v>
      </c>
      <c r="B178">
        <v>0.75129999999999997</v>
      </c>
      <c r="C178">
        <v>0.77959999999999996</v>
      </c>
      <c r="D178">
        <v>0.7359</v>
      </c>
      <c r="E178">
        <v>0.77149999999999996</v>
      </c>
      <c r="F178">
        <v>39696093.939999998</v>
      </c>
      <c r="G178">
        <v>0.77149999999999996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0.62929061784897011</v>
      </c>
      <c r="Q178">
        <f t="shared" ref="Q178" si="866">F178*P178</f>
        <v>24980379.481693357</v>
      </c>
      <c r="R178">
        <f t="shared" ref="R178" si="867">R179+Q178</f>
        <v>1692326754.5779393</v>
      </c>
      <c r="S178">
        <f t="shared" ref="S178" si="868">R178/100000</f>
        <v>16923.267545779392</v>
      </c>
      <c r="T178">
        <f t="shared" ref="T178" si="869">S178/1000</f>
        <v>16.923267545779392</v>
      </c>
    </row>
    <row r="179" spans="1:20" x14ac:dyDescent="0.25">
      <c r="A179" s="5">
        <v>44414</v>
      </c>
      <c r="B179">
        <v>0.73650000000000004</v>
      </c>
      <c r="C179">
        <v>0.76080000000000003</v>
      </c>
      <c r="D179">
        <v>0.71579999999999999</v>
      </c>
      <c r="E179">
        <v>0.75090000000000001</v>
      </c>
      <c r="F179">
        <v>28456324.370000001</v>
      </c>
      <c r="G179">
        <v>0.75090000000000001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0.5599999999999995</v>
      </c>
      <c r="Q179">
        <f t="shared" ref="Q179" si="871">F179*P179</f>
        <v>15935541.647199987</v>
      </c>
      <c r="R179">
        <f t="shared" ref="R179" si="872">R180+Q179</f>
        <v>1667346375.096246</v>
      </c>
      <c r="S179">
        <f t="shared" ref="S179" si="873">R179/100000</f>
        <v>16673.463750962459</v>
      </c>
      <c r="T179">
        <f t="shared" ref="T179" si="874">S179/1000</f>
        <v>16.673463750962458</v>
      </c>
    </row>
    <row r="180" spans="1:20" x14ac:dyDescent="0.25">
      <c r="A180" s="5">
        <v>44413</v>
      </c>
      <c r="B180">
        <v>0.72789999999999999</v>
      </c>
      <c r="C180">
        <v>0.74119999999999997</v>
      </c>
      <c r="D180">
        <v>0.6895</v>
      </c>
      <c r="E180">
        <v>0.73599999999999999</v>
      </c>
      <c r="F180">
        <v>27286285.73</v>
      </c>
      <c r="G180">
        <v>0.73599999999999999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0.79883945841392701</v>
      </c>
      <c r="Q180">
        <f t="shared" ref="Q180" si="876">F180*P180</f>
        <v>21797361.714680865</v>
      </c>
      <c r="R180">
        <f t="shared" ref="R180" si="877">R181+Q180</f>
        <v>1651410833.4490461</v>
      </c>
      <c r="S180">
        <f t="shared" ref="S180" si="878">R180/100000</f>
        <v>16514.108334490462</v>
      </c>
      <c r="T180">
        <f t="shared" ref="T180" si="879">S180/1000</f>
        <v>16.514108334490462</v>
      </c>
    </row>
    <row r="181" spans="1:20" x14ac:dyDescent="0.25">
      <c r="A181" s="5">
        <v>44412</v>
      </c>
      <c r="B181">
        <v>0.69450000000000001</v>
      </c>
      <c r="C181">
        <v>0.72989999999999999</v>
      </c>
      <c r="D181">
        <v>0.67969999999999997</v>
      </c>
      <c r="E181">
        <v>0.72770000000000001</v>
      </c>
      <c r="F181">
        <v>21050799.449999999</v>
      </c>
      <c r="G181">
        <v>0.72770000000000001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0.91235059760956261</v>
      </c>
      <c r="Q181">
        <f t="shared" ref="Q181" si="881">F181*P181</f>
        <v>19205709.458366551</v>
      </c>
      <c r="R181">
        <f t="shared" ref="R181" si="882">R182+Q181</f>
        <v>1629613471.7343652</v>
      </c>
      <c r="S181">
        <f t="shared" ref="S181" si="883">R181/100000</f>
        <v>16296.134717343652</v>
      </c>
      <c r="T181">
        <f t="shared" ref="T181" si="884">S181/1000</f>
        <v>16.296134717343651</v>
      </c>
    </row>
    <row r="182" spans="1:20" x14ac:dyDescent="0.25">
      <c r="A182" s="5">
        <v>44411</v>
      </c>
      <c r="B182">
        <v>0.69059999999999999</v>
      </c>
      <c r="C182">
        <v>0.7006</v>
      </c>
      <c r="D182">
        <v>0.66180000000000005</v>
      </c>
      <c r="E182">
        <v>0.69430000000000003</v>
      </c>
      <c r="F182">
        <v>16535344.23</v>
      </c>
      <c r="G182">
        <v>0.69430000000000003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0.67525773195876382</v>
      </c>
      <c r="Q182">
        <f t="shared" ref="Q182" si="886">F182*P182</f>
        <v>11165619.041907232</v>
      </c>
      <c r="R182">
        <f t="shared" ref="R182" si="887">R183+Q182</f>
        <v>1610407762.2759986</v>
      </c>
      <c r="S182">
        <f t="shared" ref="S182" si="888">R182/100000</f>
        <v>16104.077622759985</v>
      </c>
      <c r="T182">
        <f t="shared" ref="T182" si="889">S182/1000</f>
        <v>16.104077622759984</v>
      </c>
    </row>
    <row r="183" spans="1:20" x14ac:dyDescent="0.25">
      <c r="A183" s="5">
        <v>44410</v>
      </c>
      <c r="B183">
        <v>0.68469999999999998</v>
      </c>
      <c r="C183">
        <v>0.71389999999999998</v>
      </c>
      <c r="D183">
        <v>0.67410000000000003</v>
      </c>
      <c r="E183">
        <v>0.69079999999999997</v>
      </c>
      <c r="F183">
        <v>19013322.82</v>
      </c>
      <c r="G183">
        <v>0.69079999999999997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-0.16080402010050454</v>
      </c>
      <c r="Q183">
        <f t="shared" ref="Q183" si="891">F183*P183</f>
        <v>-3057418.7449246617</v>
      </c>
      <c r="R183">
        <f t="shared" ref="R183" si="892">R184+Q183</f>
        <v>1599242143.2340913</v>
      </c>
      <c r="S183">
        <f t="shared" ref="S183" si="893">R183/100000</f>
        <v>15992.421432340912</v>
      </c>
      <c r="T183">
        <f t="shared" ref="T183" si="894">S183/1000</f>
        <v>15.992421432340912</v>
      </c>
    </row>
    <row r="184" spans="1:20" x14ac:dyDescent="0.25">
      <c r="A184" s="5">
        <v>44409</v>
      </c>
      <c r="B184">
        <v>0.71819999999999995</v>
      </c>
      <c r="C184">
        <v>0.74729999999999996</v>
      </c>
      <c r="D184">
        <v>0.67349999999999999</v>
      </c>
      <c r="E184">
        <v>0.68469999999999998</v>
      </c>
      <c r="F184">
        <v>29764023.27</v>
      </c>
      <c r="G184">
        <v>0.68469999999999998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-0.69647696476964793</v>
      </c>
      <c r="Q184">
        <f t="shared" ref="Q184" si="896">F184*P184</f>
        <v>-20729956.586422771</v>
      </c>
      <c r="R184">
        <f t="shared" ref="R184" si="897">R185+Q184</f>
        <v>1602299561.9790158</v>
      </c>
      <c r="S184">
        <f t="shared" ref="S184" si="898">R184/100000</f>
        <v>16022.995619790157</v>
      </c>
      <c r="T184">
        <f t="shared" ref="T184" si="899">S184/1000</f>
        <v>16.022995619790159</v>
      </c>
    </row>
    <row r="185" spans="1:20" x14ac:dyDescent="0.25">
      <c r="A185" s="5">
        <v>44408</v>
      </c>
      <c r="B185">
        <v>0.71960000000000002</v>
      </c>
      <c r="C185">
        <v>0.73099999999999998</v>
      </c>
      <c r="D185">
        <v>0.69730000000000003</v>
      </c>
      <c r="E185">
        <v>0.71740000000000004</v>
      </c>
      <c r="F185">
        <v>21808677.870000001</v>
      </c>
      <c r="G185">
        <v>0.71740000000000004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0.19287833827893383</v>
      </c>
      <c r="Q185">
        <f t="shared" ref="Q185" si="901">F185*P185</f>
        <v>4206421.5476261582</v>
      </c>
      <c r="R185">
        <f t="shared" ref="R185" si="902">R186+Q185</f>
        <v>1623029518.5654385</v>
      </c>
      <c r="S185">
        <f t="shared" ref="S185" si="903">R185/100000</f>
        <v>16230.295185654386</v>
      </c>
      <c r="T185">
        <f t="shared" ref="T185" si="904">S185/1000</f>
        <v>16.230295185654384</v>
      </c>
    </row>
    <row r="186" spans="1:20" x14ac:dyDescent="0.25">
      <c r="A186" s="5">
        <v>44407</v>
      </c>
      <c r="B186">
        <v>0.70750000000000002</v>
      </c>
      <c r="C186">
        <v>0.72189999999999999</v>
      </c>
      <c r="D186">
        <v>0.67610000000000003</v>
      </c>
      <c r="E186">
        <v>0.71950000000000003</v>
      </c>
      <c r="F186">
        <v>25571227.879999999</v>
      </c>
      <c r="G186">
        <v>0.71950000000000003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0.89519650655022009</v>
      </c>
      <c r="Q186">
        <f t="shared" ref="Q186" si="906">F186*P186</f>
        <v>22891273.866375592</v>
      </c>
      <c r="R186">
        <f t="shared" ref="R186" si="907">R187+Q186</f>
        <v>1618823097.0178123</v>
      </c>
      <c r="S186">
        <f t="shared" ref="S186" si="908">R186/100000</f>
        <v>16188.230970178123</v>
      </c>
      <c r="T186">
        <f t="shared" ref="T186" si="909">S186/1000</f>
        <v>16.188230970178122</v>
      </c>
    </row>
    <row r="187" spans="1:20" x14ac:dyDescent="0.25">
      <c r="A187" s="5">
        <v>44406</v>
      </c>
      <c r="B187">
        <v>0.69120000000000004</v>
      </c>
      <c r="C187">
        <v>0.71889999999999998</v>
      </c>
      <c r="D187">
        <v>0.67200000000000004</v>
      </c>
      <c r="E187">
        <v>0.7077</v>
      </c>
      <c r="F187">
        <v>36132675.600000001</v>
      </c>
      <c r="G187">
        <v>0.7077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0.52238805970149249</v>
      </c>
      <c r="Q187">
        <f t="shared" ref="Q187" si="911">F187*P187</f>
        <v>18875278.298507463</v>
      </c>
      <c r="R187">
        <f t="shared" ref="R187" si="912">R188+Q187</f>
        <v>1595931823.1514366</v>
      </c>
      <c r="S187">
        <f t="shared" ref="S187" si="913">R187/100000</f>
        <v>15959.318231514366</v>
      </c>
      <c r="T187">
        <f t="shared" ref="T187" si="914">S187/1000</f>
        <v>15.959318231514366</v>
      </c>
    </row>
    <row r="188" spans="1:20" x14ac:dyDescent="0.25">
      <c r="A188" s="5">
        <v>44405</v>
      </c>
      <c r="B188">
        <v>0.69799999999999995</v>
      </c>
      <c r="C188">
        <v>0.71889999999999998</v>
      </c>
      <c r="D188">
        <v>0.6643</v>
      </c>
      <c r="E188">
        <v>0.69099999999999995</v>
      </c>
      <c r="F188">
        <v>36808301.880000003</v>
      </c>
      <c r="G188">
        <v>0.69099999999999995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-2.1978021978023631E-2</v>
      </c>
      <c r="Q188">
        <f t="shared" ref="Q188" si="916">F188*P188</f>
        <v>-808973.66769236862</v>
      </c>
      <c r="R188">
        <f t="shared" ref="R188" si="917">R189+Q188</f>
        <v>1577056544.8529291</v>
      </c>
      <c r="S188">
        <f t="shared" ref="S188" si="918">R188/100000</f>
        <v>15770.565448529291</v>
      </c>
      <c r="T188">
        <f t="shared" ref="T188" si="919">S188/1000</f>
        <v>15.770565448529291</v>
      </c>
    </row>
    <row r="189" spans="1:20" x14ac:dyDescent="0.25">
      <c r="A189" s="5">
        <v>44404</v>
      </c>
      <c r="B189">
        <v>0.68830000000000002</v>
      </c>
      <c r="C189">
        <v>0.73619999999999997</v>
      </c>
      <c r="D189">
        <v>0.63800000000000001</v>
      </c>
      <c r="E189">
        <v>0.69799999999999995</v>
      </c>
      <c r="F189">
        <v>49322325.609999999</v>
      </c>
      <c r="G189">
        <v>0.69799999999999995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0.22199592668024379</v>
      </c>
      <c r="Q189">
        <f t="shared" ref="Q189" si="921">F189*P189</f>
        <v>10949355.37981667</v>
      </c>
      <c r="R189">
        <f t="shared" ref="R189" si="922">R190+Q189</f>
        <v>1577865518.5206215</v>
      </c>
      <c r="S189">
        <f t="shared" ref="S189" si="923">R189/100000</f>
        <v>15778.655185206215</v>
      </c>
      <c r="T189">
        <f t="shared" ref="T189" si="924">S189/1000</f>
        <v>15.778655185206215</v>
      </c>
    </row>
    <row r="190" spans="1:20" x14ac:dyDescent="0.25">
      <c r="A190" s="5">
        <v>44403</v>
      </c>
      <c r="B190">
        <v>0.70960000000000001</v>
      </c>
      <c r="C190">
        <v>0.76060000000000005</v>
      </c>
      <c r="D190">
        <v>0.67290000000000005</v>
      </c>
      <c r="E190">
        <v>0.68869999999999998</v>
      </c>
      <c r="F190">
        <v>60225617.390000001</v>
      </c>
      <c r="G190">
        <v>0.68869999999999998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-0.63968072976054902</v>
      </c>
      <c r="Q190">
        <f t="shared" ref="Q190" si="926">F190*P190</f>
        <v>-38525166.882314809</v>
      </c>
      <c r="R190">
        <f t="shared" ref="R190" si="927">R191+Q190</f>
        <v>1566916163.1408048</v>
      </c>
      <c r="S190">
        <f t="shared" ref="S190" si="928">R190/100000</f>
        <v>15669.161631408047</v>
      </c>
      <c r="T190">
        <f t="shared" ref="T190" si="929">S190/1000</f>
        <v>15.669161631408047</v>
      </c>
    </row>
    <row r="191" spans="1:20" x14ac:dyDescent="0.25">
      <c r="A191" s="5">
        <v>44402</v>
      </c>
      <c r="B191">
        <v>0.71530000000000005</v>
      </c>
      <c r="C191">
        <v>0.7399</v>
      </c>
      <c r="D191">
        <v>0.67230000000000001</v>
      </c>
      <c r="E191">
        <v>0.7097</v>
      </c>
      <c r="F191">
        <v>50747652.420000002</v>
      </c>
      <c r="G191">
        <v>0.7097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0.10650887573964475</v>
      </c>
      <c r="Q191">
        <f t="shared" ref="Q191" si="931">F191*P191</f>
        <v>5405075.4056804627</v>
      </c>
      <c r="R191">
        <f t="shared" ref="R191" si="932">R192+Q191</f>
        <v>1605441330.0231197</v>
      </c>
      <c r="S191">
        <f t="shared" ref="S191" si="933">R191/100000</f>
        <v>16054.413300231197</v>
      </c>
      <c r="T191">
        <f t="shared" ref="T191:T197" si="934">S191/1000</f>
        <v>16.054413300231197</v>
      </c>
    </row>
    <row r="192" spans="1:20" x14ac:dyDescent="0.25">
      <c r="A192" s="5">
        <v>44401</v>
      </c>
      <c r="B192">
        <v>0.6764</v>
      </c>
      <c r="C192">
        <v>0.75700000000000001</v>
      </c>
      <c r="D192">
        <v>0.66</v>
      </c>
      <c r="E192">
        <v>0.71540000000000004</v>
      </c>
      <c r="F192">
        <v>78111495.680000007</v>
      </c>
      <c r="G192">
        <v>0.71540000000000004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0.14226804123711378</v>
      </c>
      <c r="Q192">
        <f t="shared" ref="Q192" si="936">F192*P192</f>
        <v>11112769.488494877</v>
      </c>
      <c r="R192">
        <f t="shared" ref="R192" si="937">R193+Q192</f>
        <v>1600036254.6174393</v>
      </c>
      <c r="S192">
        <f t="shared" ref="S192" si="938">R192/100000</f>
        <v>16000.362546174392</v>
      </c>
      <c r="T192">
        <f t="shared" si="934"/>
        <v>16.000362546174394</v>
      </c>
    </row>
    <row r="193" spans="1:20" x14ac:dyDescent="0.25">
      <c r="A193" s="5">
        <v>44400</v>
      </c>
      <c r="B193">
        <v>0.59</v>
      </c>
      <c r="C193">
        <v>0.68659999999999999</v>
      </c>
      <c r="D193">
        <v>0.5827</v>
      </c>
      <c r="E193">
        <v>0.67649999999999999</v>
      </c>
      <c r="F193">
        <v>80391402.75</v>
      </c>
      <c r="G193">
        <v>0.67649999999999999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0.80558229066410014</v>
      </c>
      <c r="Q193">
        <f t="shared" ref="Q193" si="940">F193*P193</f>
        <v>64761890.377045237</v>
      </c>
      <c r="R193">
        <f t="shared" ref="R193" si="941">R194+Q193</f>
        <v>1588923485.1289444</v>
      </c>
      <c r="S193">
        <f t="shared" ref="S193" si="942">R193/100000</f>
        <v>15889.234851289444</v>
      </c>
      <c r="T193">
        <f t="shared" si="934"/>
        <v>15.889234851289444</v>
      </c>
    </row>
    <row r="194" spans="1:20" x14ac:dyDescent="0.25">
      <c r="A194" s="5">
        <v>44399</v>
      </c>
      <c r="B194">
        <v>0.57999999999999996</v>
      </c>
      <c r="C194">
        <v>0.60629999999999995</v>
      </c>
      <c r="D194">
        <v>0.56830000000000003</v>
      </c>
      <c r="E194">
        <v>0.59050000000000002</v>
      </c>
      <c r="F194">
        <v>35652387.280000001</v>
      </c>
      <c r="G194">
        <v>0.59050000000000002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0.16842105263158119</v>
      </c>
      <c r="Q194">
        <f t="shared" ref="Q194" si="944">F194*P194</f>
        <v>6004612.5945263961</v>
      </c>
      <c r="R194">
        <f t="shared" ref="R194" si="945">R195+Q194</f>
        <v>1524161594.7518992</v>
      </c>
      <c r="S194">
        <f t="shared" ref="S194" si="946">R194/100000</f>
        <v>15241.615947518992</v>
      </c>
      <c r="T194">
        <f t="shared" si="934"/>
        <v>15.241615947518993</v>
      </c>
    </row>
    <row r="195" spans="1:20" x14ac:dyDescent="0.25">
      <c r="A195" s="5">
        <v>44398</v>
      </c>
      <c r="B195">
        <v>0.51670000000000005</v>
      </c>
      <c r="C195">
        <v>0.58860000000000001</v>
      </c>
      <c r="D195">
        <v>0.50170000000000003</v>
      </c>
      <c r="E195">
        <v>0.57999999999999996</v>
      </c>
      <c r="F195">
        <v>28069459.780000001</v>
      </c>
      <c r="G195">
        <v>0.57999999999999996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0.80207134637514255</v>
      </c>
      <c r="Q195">
        <f t="shared" ref="Q195" si="948">F195*P195</f>
        <v>22513709.397767514</v>
      </c>
      <c r="R195">
        <f t="shared" ref="R195" si="949">R196+Q195</f>
        <v>1518156982.157373</v>
      </c>
      <c r="S195">
        <f t="shared" ref="S195" si="950">R195/100000</f>
        <v>15181.56982157373</v>
      </c>
      <c r="T195">
        <f t="shared" si="934"/>
        <v>15.18156982157373</v>
      </c>
    </row>
    <row r="196" spans="1:20" x14ac:dyDescent="0.25">
      <c r="A196" s="5">
        <v>44397</v>
      </c>
      <c r="B196">
        <v>0.56069999999999998</v>
      </c>
      <c r="C196">
        <v>0.56310000000000004</v>
      </c>
      <c r="D196">
        <v>0.49170000000000003</v>
      </c>
      <c r="E196">
        <v>0.51680000000000004</v>
      </c>
      <c r="F196">
        <v>23466050.719999999</v>
      </c>
      <c r="G196">
        <v>0.51680000000000004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-0.29691876750700269</v>
      </c>
      <c r="Q196">
        <f t="shared" ref="Q196" si="952">F196*P196</f>
        <v>-6967510.8580392124</v>
      </c>
      <c r="R196">
        <f t="shared" ref="R196" si="953">R197+Q196</f>
        <v>1495643272.7596054</v>
      </c>
      <c r="S196">
        <f t="shared" ref="S196" si="954">R196/100000</f>
        <v>14956.432727596055</v>
      </c>
      <c r="T196">
        <f t="shared" si="934"/>
        <v>14.956432727596056</v>
      </c>
    </row>
    <row r="197" spans="1:20" x14ac:dyDescent="0.25">
      <c r="A197" s="5">
        <v>44396</v>
      </c>
      <c r="B197">
        <v>0.61140000000000005</v>
      </c>
      <c r="C197">
        <v>0.61580000000000001</v>
      </c>
      <c r="D197">
        <v>0.55620000000000003</v>
      </c>
      <c r="E197">
        <v>0.56040000000000001</v>
      </c>
      <c r="F197">
        <v>15819157.07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-0.85906040268456429</v>
      </c>
      <c r="Q197">
        <f t="shared" ref="Q197" si="956">F197*P197</f>
        <v>-13589611.442684572</v>
      </c>
      <c r="R197">
        <f t="shared" ref="R197" si="957">R198+Q197</f>
        <v>1502610783.6176445</v>
      </c>
      <c r="S197">
        <f t="shared" ref="S197" si="958">R197/100000</f>
        <v>15026.107836176445</v>
      </c>
      <c r="T197">
        <f t="shared" si="934"/>
        <v>15.026107836176445</v>
      </c>
    </row>
    <row r="198" spans="1:20" x14ac:dyDescent="0.25">
      <c r="A198" s="5">
        <v>44395</v>
      </c>
      <c r="B198">
        <v>0.60409999999999997</v>
      </c>
      <c r="C198">
        <v>0.65129999999999999</v>
      </c>
      <c r="D198">
        <v>0.59799999999999998</v>
      </c>
      <c r="E198">
        <v>0.61150000000000004</v>
      </c>
      <c r="F198">
        <v>26000240.309999999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-0.49343339587241786</v>
      </c>
      <c r="Q198">
        <f t="shared" ref="Q198:Q261" si="960">F198*P198</f>
        <v>-12829386.869662225</v>
      </c>
      <c r="R198">
        <f t="shared" ref="R198:R261" si="961">R199+Q198</f>
        <v>1516200395.0603292</v>
      </c>
      <c r="S198">
        <f t="shared" ref="S198:S261" si="962">R198/100000</f>
        <v>15162.003950603292</v>
      </c>
      <c r="T198">
        <f t="shared" ref="T198:T261" si="963">S198/1000</f>
        <v>15.162003950603292</v>
      </c>
    </row>
    <row r="199" spans="1:20" x14ac:dyDescent="0.25">
      <c r="A199" s="5">
        <v>44394</v>
      </c>
      <c r="B199">
        <v>0.60570000000000002</v>
      </c>
      <c r="C199">
        <v>0.61709999999999998</v>
      </c>
      <c r="D199">
        <v>0.58699999999999997</v>
      </c>
      <c r="E199">
        <v>0.60429999999999995</v>
      </c>
      <c r="F199">
        <v>25039195.120000001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0.14950166112956631</v>
      </c>
      <c r="Q199">
        <f t="shared" si="960"/>
        <v>3743401.2637873306</v>
      </c>
      <c r="R199">
        <f t="shared" si="961"/>
        <v>1529029781.9299915</v>
      </c>
      <c r="S199">
        <f t="shared" si="962"/>
        <v>15290.297819299914</v>
      </c>
      <c r="T199">
        <f t="shared" si="963"/>
        <v>15.290297819299914</v>
      </c>
    </row>
    <row r="200" spans="1:20" x14ac:dyDescent="0.25">
      <c r="A200" s="5">
        <v>44393</v>
      </c>
      <c r="B200">
        <v>0.66220000000000001</v>
      </c>
      <c r="C200">
        <v>0.68430000000000002</v>
      </c>
      <c r="D200">
        <v>0.6038</v>
      </c>
      <c r="E200">
        <v>0.60580000000000001</v>
      </c>
      <c r="F200">
        <v>36595919.560000002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-0.9503105590062112</v>
      </c>
      <c r="Q200">
        <f t="shared" si="960"/>
        <v>-34777488.774409942</v>
      </c>
      <c r="R200">
        <f t="shared" si="961"/>
        <v>1525286380.6662042</v>
      </c>
      <c r="S200">
        <f t="shared" si="962"/>
        <v>15252.863806662042</v>
      </c>
      <c r="T200">
        <f t="shared" si="963"/>
        <v>15.252863806662042</v>
      </c>
    </row>
    <row r="201" spans="1:20" x14ac:dyDescent="0.25">
      <c r="A201" s="5">
        <v>44392</v>
      </c>
      <c r="B201">
        <v>0.7137</v>
      </c>
      <c r="C201">
        <v>0.75749999999999995</v>
      </c>
      <c r="D201">
        <v>0.6411</v>
      </c>
      <c r="E201">
        <v>0.66300000000000003</v>
      </c>
      <c r="F201">
        <v>85883948.189999998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-0.62371134020618491</v>
      </c>
      <c r="Q201">
        <f t="shared" si="960"/>
        <v>-53566792.427783445</v>
      </c>
      <c r="R201">
        <f t="shared" si="961"/>
        <v>1560063869.4406142</v>
      </c>
      <c r="S201">
        <f t="shared" si="962"/>
        <v>15600.638694406141</v>
      </c>
      <c r="T201">
        <f t="shared" si="963"/>
        <v>15.600638694406141</v>
      </c>
    </row>
    <row r="202" spans="1:20" x14ac:dyDescent="0.25">
      <c r="A202" s="5">
        <v>44391</v>
      </c>
      <c r="B202">
        <v>0.65080000000000005</v>
      </c>
      <c r="C202">
        <v>0.747</v>
      </c>
      <c r="D202">
        <v>0.58620000000000005</v>
      </c>
      <c r="E202">
        <v>0.71360000000000001</v>
      </c>
      <c r="F202">
        <v>72371964.390000001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0.58457711442786076</v>
      </c>
      <c r="Q202">
        <f t="shared" si="960"/>
        <v>42306994.108582094</v>
      </c>
      <c r="R202">
        <f t="shared" si="961"/>
        <v>1613630661.8683977</v>
      </c>
      <c r="S202">
        <f t="shared" si="962"/>
        <v>16136.306618683977</v>
      </c>
      <c r="T202">
        <f t="shared" si="963"/>
        <v>16.136306618683978</v>
      </c>
    </row>
    <row r="203" spans="1:20" x14ac:dyDescent="0.25">
      <c r="A203" s="5">
        <v>44390</v>
      </c>
      <c r="B203">
        <v>0.67679999999999996</v>
      </c>
      <c r="C203">
        <v>0.71</v>
      </c>
      <c r="D203">
        <v>0.63560000000000005</v>
      </c>
      <c r="E203">
        <v>0.64990000000000003</v>
      </c>
      <c r="F203">
        <v>44994254.759999998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-0.61559139784946248</v>
      </c>
      <c r="Q203">
        <f t="shared" si="960"/>
        <v>-27698076.18290323</v>
      </c>
      <c r="R203">
        <f t="shared" si="961"/>
        <v>1571323667.7598157</v>
      </c>
      <c r="S203">
        <f t="shared" si="962"/>
        <v>15713.236677598157</v>
      </c>
      <c r="T203">
        <f t="shared" si="963"/>
        <v>15.713236677598157</v>
      </c>
    </row>
    <row r="204" spans="1:20" x14ac:dyDescent="0.25">
      <c r="A204" s="5">
        <v>44389</v>
      </c>
      <c r="B204">
        <v>0.74450000000000005</v>
      </c>
      <c r="C204">
        <v>0.74470000000000003</v>
      </c>
      <c r="D204">
        <v>0.66190000000000004</v>
      </c>
      <c r="E204">
        <v>0.67669999999999997</v>
      </c>
      <c r="F204">
        <v>34740531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-0.64251207729468773</v>
      </c>
      <c r="Q204">
        <f t="shared" si="960"/>
        <v>-22321210.739130497</v>
      </c>
      <c r="R204">
        <f t="shared" si="961"/>
        <v>1599021743.942719</v>
      </c>
      <c r="S204">
        <f t="shared" si="962"/>
        <v>15990.21743942719</v>
      </c>
      <c r="T204">
        <f t="shared" si="963"/>
        <v>15.990217439427189</v>
      </c>
    </row>
    <row r="205" spans="1:20" x14ac:dyDescent="0.25">
      <c r="A205" s="5">
        <v>44388</v>
      </c>
      <c r="B205">
        <v>0.74990000000000001</v>
      </c>
      <c r="C205">
        <v>0.78480000000000005</v>
      </c>
      <c r="D205">
        <v>0.71740000000000004</v>
      </c>
      <c r="E205">
        <v>0.74390000000000001</v>
      </c>
      <c r="F205">
        <v>47712060.229999997</v>
      </c>
      <c r="G205">
        <v>0</v>
      </c>
      <c r="L205" t="s">
        <v>7</v>
      </c>
      <c r="M205" t="s">
        <v>8</v>
      </c>
      <c r="N205" t="s">
        <v>7</v>
      </c>
      <c r="P205">
        <f t="shared" si="959"/>
        <v>-0.21364985163204861</v>
      </c>
      <c r="Q205">
        <f t="shared" si="960"/>
        <v>-10193674.589198867</v>
      </c>
      <c r="R205">
        <f t="shared" si="961"/>
        <v>1621342954.6818495</v>
      </c>
      <c r="S205">
        <f t="shared" si="962"/>
        <v>16213.429546818496</v>
      </c>
      <c r="T205">
        <f t="shared" si="963"/>
        <v>16.213429546818496</v>
      </c>
    </row>
    <row r="206" spans="1:20" x14ac:dyDescent="0.25">
      <c r="A206" s="5">
        <v>44387</v>
      </c>
      <c r="B206">
        <v>0.69420000000000004</v>
      </c>
      <c r="C206">
        <v>0.78569999999999995</v>
      </c>
      <c r="D206">
        <v>0.68210000000000004</v>
      </c>
      <c r="E206">
        <v>0.74929999999999997</v>
      </c>
      <c r="F206">
        <v>104238024.73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0.29729729729729693</v>
      </c>
      <c r="Q206">
        <f t="shared" si="960"/>
        <v>30989683.027837802</v>
      </c>
      <c r="R206">
        <f t="shared" si="961"/>
        <v>1631536629.2710483</v>
      </c>
      <c r="S206">
        <f t="shared" si="962"/>
        <v>16315.366292710483</v>
      </c>
      <c r="T206">
        <f t="shared" si="963"/>
        <v>16.315366292710483</v>
      </c>
    </row>
    <row r="207" spans="1:20" x14ac:dyDescent="0.25">
      <c r="A207" s="5">
        <v>44386</v>
      </c>
      <c r="B207">
        <v>0.6401</v>
      </c>
      <c r="C207">
        <v>0.72189999999999999</v>
      </c>
      <c r="D207">
        <v>0.59819999999999995</v>
      </c>
      <c r="E207">
        <v>0.69440000000000002</v>
      </c>
      <c r="F207">
        <v>76183982.239999995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0.55537590945836768</v>
      </c>
      <c r="Q207">
        <f t="shared" si="960"/>
        <v>42310748.422700129</v>
      </c>
      <c r="R207">
        <f t="shared" si="961"/>
        <v>1600546946.2432106</v>
      </c>
      <c r="S207">
        <f t="shared" si="962"/>
        <v>16005.469462432106</v>
      </c>
      <c r="T207">
        <f t="shared" si="963"/>
        <v>16.005469462432107</v>
      </c>
    </row>
    <row r="208" spans="1:20" x14ac:dyDescent="0.25">
      <c r="A208" s="5">
        <v>44385</v>
      </c>
      <c r="B208">
        <v>0.72230000000000005</v>
      </c>
      <c r="C208">
        <v>0.84760000000000002</v>
      </c>
      <c r="D208">
        <v>0.62109999999999999</v>
      </c>
      <c r="E208">
        <v>0.64059999999999995</v>
      </c>
      <c r="F208">
        <v>125148852.98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-0.82781456953642418</v>
      </c>
      <c r="Q208">
        <f t="shared" si="960"/>
        <v>-103600043.85761595</v>
      </c>
      <c r="R208">
        <f t="shared" si="961"/>
        <v>1558236197.8205104</v>
      </c>
      <c r="S208">
        <f t="shared" si="962"/>
        <v>15582.361978205105</v>
      </c>
      <c r="T208">
        <f t="shared" si="963"/>
        <v>15.582361978205105</v>
      </c>
    </row>
    <row r="209" spans="1:20" x14ac:dyDescent="0.25">
      <c r="A209" s="5">
        <v>44384</v>
      </c>
      <c r="B209">
        <v>0.61319999999999997</v>
      </c>
      <c r="C209">
        <v>0.78879999999999995</v>
      </c>
      <c r="D209">
        <v>0.60740000000000005</v>
      </c>
      <c r="E209">
        <v>0.72230000000000005</v>
      </c>
      <c r="F209">
        <v>90010962.579999998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0.26681367144432272</v>
      </c>
      <c r="Q209">
        <f t="shared" si="960"/>
        <v>24016155.396207348</v>
      </c>
      <c r="R209">
        <f t="shared" si="961"/>
        <v>1661836241.6781263</v>
      </c>
      <c r="S209">
        <f t="shared" si="962"/>
        <v>16618.362416781263</v>
      </c>
      <c r="T209">
        <f t="shared" si="963"/>
        <v>16.618362416781263</v>
      </c>
    </row>
    <row r="210" spans="1:20" x14ac:dyDescent="0.25">
      <c r="A210" s="5">
        <v>44383</v>
      </c>
      <c r="B210">
        <v>0.54669999999999996</v>
      </c>
      <c r="C210">
        <v>0.63500000000000001</v>
      </c>
      <c r="D210">
        <v>0.5454</v>
      </c>
      <c r="E210">
        <v>0.61350000000000005</v>
      </c>
      <c r="F210">
        <v>28381498.300000001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0.52008928571428659</v>
      </c>
      <c r="Q210">
        <f t="shared" si="960"/>
        <v>14760913.17834824</v>
      </c>
      <c r="R210">
        <f t="shared" si="961"/>
        <v>1637820086.281919</v>
      </c>
      <c r="S210">
        <f t="shared" si="962"/>
        <v>16378.200862819191</v>
      </c>
      <c r="T210">
        <f t="shared" si="963"/>
        <v>16.378200862819192</v>
      </c>
    </row>
    <row r="211" spans="1:20" x14ac:dyDescent="0.25">
      <c r="A211" s="5">
        <v>44382</v>
      </c>
      <c r="B211">
        <v>0.58069999999999999</v>
      </c>
      <c r="C211">
        <v>0.58089999999999997</v>
      </c>
      <c r="D211">
        <v>0.53</v>
      </c>
      <c r="E211">
        <v>0.5464</v>
      </c>
      <c r="F211">
        <v>15784440.5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-0.35559921414538359</v>
      </c>
      <c r="Q211">
        <f t="shared" si="960"/>
        <v>-5612934.6375245657</v>
      </c>
      <c r="R211">
        <f t="shared" si="961"/>
        <v>1623059173.1035707</v>
      </c>
      <c r="S211">
        <f t="shared" si="962"/>
        <v>16230.591731035707</v>
      </c>
      <c r="T211">
        <f t="shared" si="963"/>
        <v>16.230591731035709</v>
      </c>
    </row>
    <row r="212" spans="1:20" x14ac:dyDescent="0.25">
      <c r="A212" s="5">
        <v>44381</v>
      </c>
      <c r="B212">
        <v>0.56210000000000004</v>
      </c>
      <c r="C212">
        <v>0.59919999999999995</v>
      </c>
      <c r="D212">
        <v>0.54049999999999998</v>
      </c>
      <c r="E212">
        <v>0.58069999999999999</v>
      </c>
      <c r="F212">
        <v>14345388.529999999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0.36967632027257347</v>
      </c>
      <c r="Q212">
        <f t="shared" si="960"/>
        <v>5303150.4446507813</v>
      </c>
      <c r="R212">
        <f t="shared" si="961"/>
        <v>1628672107.7410953</v>
      </c>
      <c r="S212">
        <f t="shared" si="962"/>
        <v>16286.721077410954</v>
      </c>
      <c r="T212">
        <f t="shared" si="963"/>
        <v>16.286721077410952</v>
      </c>
    </row>
    <row r="213" spans="1:20" x14ac:dyDescent="0.25">
      <c r="A213" s="5">
        <v>44380</v>
      </c>
      <c r="B213">
        <v>0.53910000000000002</v>
      </c>
      <c r="C213">
        <v>0.57299999999999995</v>
      </c>
      <c r="D213">
        <v>0.5292</v>
      </c>
      <c r="E213">
        <v>0.56159999999999999</v>
      </c>
      <c r="F213">
        <v>6679233.1399999997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0.47945205479452152</v>
      </c>
      <c r="Q213">
        <f t="shared" si="960"/>
        <v>3202372.0534246638</v>
      </c>
      <c r="R213">
        <f t="shared" si="961"/>
        <v>1623368957.2964444</v>
      </c>
      <c r="S213">
        <f t="shared" si="962"/>
        <v>16233.689572964444</v>
      </c>
      <c r="T213">
        <f t="shared" si="963"/>
        <v>16.233689572964444</v>
      </c>
    </row>
    <row r="214" spans="1:20" x14ac:dyDescent="0.25">
      <c r="A214" s="5">
        <v>44379</v>
      </c>
      <c r="B214">
        <v>0.55110000000000003</v>
      </c>
      <c r="C214">
        <v>0.56000000000000005</v>
      </c>
      <c r="D214">
        <v>0.50990000000000002</v>
      </c>
      <c r="E214">
        <v>0.53910000000000002</v>
      </c>
      <c r="F214">
        <v>7803195.4500000002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0.16566866267465008</v>
      </c>
      <c r="Q214">
        <f t="shared" si="960"/>
        <v>1292744.9547904143</v>
      </c>
      <c r="R214">
        <f t="shared" si="961"/>
        <v>1620166585.2430198</v>
      </c>
      <c r="S214">
        <f t="shared" si="962"/>
        <v>16201.665852430198</v>
      </c>
      <c r="T214">
        <f t="shared" si="963"/>
        <v>16.2016658524302</v>
      </c>
    </row>
    <row r="215" spans="1:20" x14ac:dyDescent="0.25">
      <c r="A215" s="5">
        <v>44378</v>
      </c>
      <c r="B215">
        <v>0.58020000000000005</v>
      </c>
      <c r="C215">
        <v>0.59699999999999998</v>
      </c>
      <c r="D215">
        <v>0.5222</v>
      </c>
      <c r="E215">
        <v>0.5504</v>
      </c>
      <c r="F215">
        <v>15035823.43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-0.24598930481283393</v>
      </c>
      <c r="Q215">
        <f t="shared" si="960"/>
        <v>-3698651.75283422</v>
      </c>
      <c r="R215">
        <f t="shared" si="961"/>
        <v>1618873840.2882295</v>
      </c>
      <c r="S215">
        <f t="shared" si="962"/>
        <v>16188.738402882294</v>
      </c>
      <c r="T215">
        <f t="shared" si="963"/>
        <v>16.188738402882294</v>
      </c>
    </row>
    <row r="216" spans="1:20" x14ac:dyDescent="0.25">
      <c r="A216" s="5">
        <v>44377</v>
      </c>
      <c r="B216">
        <v>0.5504</v>
      </c>
      <c r="C216">
        <v>0.58120000000000005</v>
      </c>
      <c r="D216">
        <v>0.51429999999999998</v>
      </c>
      <c r="E216">
        <v>0.57999999999999996</v>
      </c>
      <c r="F216">
        <v>16148530.58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0.96412556053811393</v>
      </c>
      <c r="Q216">
        <f t="shared" si="960"/>
        <v>15569211.097309373</v>
      </c>
      <c r="R216">
        <f t="shared" si="961"/>
        <v>1622572492.0410638</v>
      </c>
      <c r="S216">
        <f t="shared" si="962"/>
        <v>16225.724920410637</v>
      </c>
      <c r="T216">
        <f t="shared" si="963"/>
        <v>16.225724920410638</v>
      </c>
    </row>
    <row r="217" spans="1:20" x14ac:dyDescent="0.25">
      <c r="A217" s="5">
        <v>44376</v>
      </c>
      <c r="B217">
        <v>0.50770000000000004</v>
      </c>
      <c r="C217">
        <v>0.56330000000000002</v>
      </c>
      <c r="D217">
        <v>0.505</v>
      </c>
      <c r="E217">
        <v>0.55069999999999997</v>
      </c>
      <c r="F217">
        <v>11436441.960000001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0.56775300171526411</v>
      </c>
      <c r="Q217">
        <f t="shared" si="960"/>
        <v>6493074.2517323988</v>
      </c>
      <c r="R217">
        <f t="shared" si="961"/>
        <v>1607003280.9437544</v>
      </c>
      <c r="S217">
        <f t="shared" si="962"/>
        <v>16070.032809437544</v>
      </c>
      <c r="T217">
        <f t="shared" si="963"/>
        <v>16.070032809437542</v>
      </c>
    </row>
    <row r="218" spans="1:20" x14ac:dyDescent="0.25">
      <c r="A218" s="5">
        <v>44375</v>
      </c>
      <c r="B218">
        <v>0.49409999999999998</v>
      </c>
      <c r="C218">
        <v>0.51700000000000002</v>
      </c>
      <c r="D218">
        <v>0.48399999999999999</v>
      </c>
      <c r="E218">
        <v>0.50770000000000004</v>
      </c>
      <c r="F218">
        <v>9261119.3800000008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0.4363636363636384</v>
      </c>
      <c r="Q218">
        <f t="shared" si="960"/>
        <v>4041215.7294545649</v>
      </c>
      <c r="R218">
        <f t="shared" si="961"/>
        <v>1600510206.6920221</v>
      </c>
      <c r="S218">
        <f t="shared" si="962"/>
        <v>16005.102066920221</v>
      </c>
      <c r="T218">
        <f t="shared" si="963"/>
        <v>16.00510206692022</v>
      </c>
    </row>
    <row r="219" spans="1:20" x14ac:dyDescent="0.25">
      <c r="A219" s="5">
        <v>44374</v>
      </c>
      <c r="B219">
        <v>0.47010000000000002</v>
      </c>
      <c r="C219">
        <v>0.49540000000000001</v>
      </c>
      <c r="D219">
        <v>0.45329999999999998</v>
      </c>
      <c r="E219">
        <v>0.49380000000000002</v>
      </c>
      <c r="F219">
        <v>7742093.4299999997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0.92399049881235207</v>
      </c>
      <c r="Q219">
        <f t="shared" si="960"/>
        <v>7153620.7702375334</v>
      </c>
      <c r="R219">
        <f t="shared" si="961"/>
        <v>1596468990.9625676</v>
      </c>
      <c r="S219">
        <f t="shared" si="962"/>
        <v>15964.689909625675</v>
      </c>
      <c r="T219">
        <f t="shared" si="963"/>
        <v>15.964689909625674</v>
      </c>
    </row>
    <row r="220" spans="1:20" x14ac:dyDescent="0.25">
      <c r="A220" s="5">
        <v>44373</v>
      </c>
      <c r="B220">
        <v>0.4728</v>
      </c>
      <c r="C220">
        <v>0.49149999999999999</v>
      </c>
      <c r="D220">
        <v>0.43780000000000002</v>
      </c>
      <c r="E220">
        <v>0.4698</v>
      </c>
      <c r="F220">
        <v>9707349.4499999993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0.1918063314711356</v>
      </c>
      <c r="Q220">
        <f t="shared" si="960"/>
        <v>1861931.0863128458</v>
      </c>
      <c r="R220">
        <f t="shared" si="961"/>
        <v>1589315370.1923301</v>
      </c>
      <c r="S220">
        <f t="shared" si="962"/>
        <v>15893.153701923302</v>
      </c>
      <c r="T220">
        <f t="shared" si="963"/>
        <v>15.893153701923302</v>
      </c>
    </row>
    <row r="221" spans="1:20" x14ac:dyDescent="0.25">
      <c r="A221" s="5">
        <v>44372</v>
      </c>
      <c r="B221">
        <v>0.52629999999999999</v>
      </c>
      <c r="C221">
        <v>0.54600000000000004</v>
      </c>
      <c r="D221">
        <v>0.4652</v>
      </c>
      <c r="E221">
        <v>0.47199999999999998</v>
      </c>
      <c r="F221">
        <v>13134865.77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-0.83168316831683242</v>
      </c>
      <c r="Q221">
        <f t="shared" si="960"/>
        <v>-10924046.77900991</v>
      </c>
      <c r="R221">
        <f t="shared" si="961"/>
        <v>1587453439.1060174</v>
      </c>
      <c r="S221">
        <f t="shared" si="962"/>
        <v>15874.534391060173</v>
      </c>
      <c r="T221">
        <f t="shared" si="963"/>
        <v>15.874534391060173</v>
      </c>
    </row>
    <row r="222" spans="1:20" x14ac:dyDescent="0.25">
      <c r="A222" s="5">
        <v>44371</v>
      </c>
      <c r="B222">
        <v>0.50329999999999997</v>
      </c>
      <c r="C222">
        <v>0.5514</v>
      </c>
      <c r="D222">
        <v>0.46789999999999998</v>
      </c>
      <c r="E222">
        <v>0.52610000000000001</v>
      </c>
      <c r="F222">
        <v>16460020.32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0.39401197604790461</v>
      </c>
      <c r="Q222">
        <f t="shared" si="960"/>
        <v>6485445.1320718629</v>
      </c>
      <c r="R222">
        <f t="shared" si="961"/>
        <v>1598377485.8850272</v>
      </c>
      <c r="S222">
        <f t="shared" si="962"/>
        <v>15983.774858850271</v>
      </c>
      <c r="T222">
        <f t="shared" si="963"/>
        <v>15.983774858850271</v>
      </c>
    </row>
    <row r="223" spans="1:20" x14ac:dyDescent="0.25">
      <c r="A223" s="5">
        <v>44370</v>
      </c>
      <c r="B223">
        <v>0.43759999999999999</v>
      </c>
      <c r="C223">
        <v>0.51139999999999997</v>
      </c>
      <c r="D223">
        <v>0.41410000000000002</v>
      </c>
      <c r="E223">
        <v>0.50339999999999996</v>
      </c>
      <c r="F223">
        <v>21171978.489999998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0.83556012332990726</v>
      </c>
      <c r="Q223">
        <f t="shared" si="960"/>
        <v>17690460.958242543</v>
      </c>
      <c r="R223">
        <f t="shared" si="961"/>
        <v>1591892040.7529552</v>
      </c>
      <c r="S223">
        <f t="shared" si="962"/>
        <v>15918.920407529551</v>
      </c>
      <c r="T223">
        <f t="shared" si="963"/>
        <v>15.918920407529551</v>
      </c>
    </row>
    <row r="224" spans="1:20" x14ac:dyDescent="0.25">
      <c r="A224" s="5">
        <v>44369</v>
      </c>
      <c r="B224">
        <v>0.46400000000000002</v>
      </c>
      <c r="C224">
        <v>0.50780000000000003</v>
      </c>
      <c r="D224">
        <v>0.3715</v>
      </c>
      <c r="E224">
        <v>0.43719999999999998</v>
      </c>
      <c r="F224">
        <v>37044980.020000003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-3.5950110051357814E-2</v>
      </c>
      <c r="Q224">
        <f t="shared" si="960"/>
        <v>-1331771.1085693515</v>
      </c>
      <c r="R224">
        <f t="shared" si="961"/>
        <v>1574201579.7947125</v>
      </c>
      <c r="S224">
        <f t="shared" si="962"/>
        <v>15742.015797947126</v>
      </c>
      <c r="T224">
        <f t="shared" si="963"/>
        <v>15.742015797947126</v>
      </c>
    </row>
    <row r="225" spans="1:20" x14ac:dyDescent="0.25">
      <c r="A225" s="5">
        <v>44368</v>
      </c>
      <c r="B225">
        <v>0.62280000000000002</v>
      </c>
      <c r="C225">
        <v>0.62719999999999998</v>
      </c>
      <c r="D225">
        <v>0.46160000000000001</v>
      </c>
      <c r="E225">
        <v>0.46339999999999998</v>
      </c>
      <c r="F225">
        <v>22429899.359999999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-0.97826086956521774</v>
      </c>
      <c r="Q225">
        <f t="shared" si="960"/>
        <v>-21942292.852173921</v>
      </c>
      <c r="R225">
        <f t="shared" si="961"/>
        <v>1575533350.9032819</v>
      </c>
      <c r="S225">
        <f t="shared" si="962"/>
        <v>15755.33350903282</v>
      </c>
      <c r="T225">
        <f t="shared" si="963"/>
        <v>15.75533350903282</v>
      </c>
    </row>
    <row r="226" spans="1:20" x14ac:dyDescent="0.25">
      <c r="A226" s="5">
        <v>44367</v>
      </c>
      <c r="B226">
        <v>0.63029999999999997</v>
      </c>
      <c r="C226">
        <v>0.63619999999999999</v>
      </c>
      <c r="D226">
        <v>0.57750000000000001</v>
      </c>
      <c r="E226">
        <v>0.623</v>
      </c>
      <c r="F226">
        <v>7888082.1600000001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0.55025553662691673</v>
      </c>
      <c r="Q226">
        <f t="shared" si="960"/>
        <v>4340460.8819080088</v>
      </c>
      <c r="R226">
        <f t="shared" si="961"/>
        <v>1597475643.7554557</v>
      </c>
      <c r="S226">
        <f t="shared" si="962"/>
        <v>15974.756437554557</v>
      </c>
      <c r="T226">
        <f t="shared" si="963"/>
        <v>15.974756437554557</v>
      </c>
    </row>
    <row r="227" spans="1:20" x14ac:dyDescent="0.25">
      <c r="A227" s="5">
        <v>44366</v>
      </c>
      <c r="B227">
        <v>0.64729999999999999</v>
      </c>
      <c r="C227">
        <v>0.65990000000000004</v>
      </c>
      <c r="D227">
        <v>0.62380000000000002</v>
      </c>
      <c r="E227">
        <v>0.63009999999999999</v>
      </c>
      <c r="F227">
        <v>5506544.96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-0.65096952908587435</v>
      </c>
      <c r="Q227">
        <f t="shared" si="960"/>
        <v>-3584592.979501395</v>
      </c>
      <c r="R227">
        <f t="shared" si="961"/>
        <v>1593135182.8735478</v>
      </c>
      <c r="S227">
        <f t="shared" si="962"/>
        <v>15931.351828735478</v>
      </c>
      <c r="T227">
        <f t="shared" si="963"/>
        <v>15.931351828735478</v>
      </c>
    </row>
    <row r="228" spans="1:20" x14ac:dyDescent="0.25">
      <c r="A228" s="5">
        <v>44365</v>
      </c>
      <c r="B228">
        <v>0.69089999999999996</v>
      </c>
      <c r="C228">
        <v>0.69089999999999996</v>
      </c>
      <c r="D228">
        <v>0.61529999999999996</v>
      </c>
      <c r="E228">
        <v>0.64759999999999995</v>
      </c>
      <c r="F228">
        <v>8930924.4600000009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-0.14550264550264563</v>
      </c>
      <c r="Q228">
        <f t="shared" si="960"/>
        <v>-1299473.1357142869</v>
      </c>
      <c r="R228">
        <f t="shared" si="961"/>
        <v>1596719775.8530493</v>
      </c>
      <c r="S228">
        <f t="shared" si="962"/>
        <v>15967.197758530492</v>
      </c>
      <c r="T228">
        <f t="shared" si="963"/>
        <v>15.967197758530492</v>
      </c>
    </row>
    <row r="229" spans="1:20" x14ac:dyDescent="0.25">
      <c r="A229" s="5">
        <v>44364</v>
      </c>
      <c r="B229">
        <v>0.7077</v>
      </c>
      <c r="C229">
        <v>0.73170000000000002</v>
      </c>
      <c r="D229">
        <v>0.66700000000000004</v>
      </c>
      <c r="E229">
        <v>0.69089999999999996</v>
      </c>
      <c r="F229">
        <v>10285208.880000001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-0.26120556414219692</v>
      </c>
      <c r="Q229">
        <f t="shared" si="960"/>
        <v>-2686553.7878207336</v>
      </c>
      <c r="R229">
        <f t="shared" si="961"/>
        <v>1598019248.9887636</v>
      </c>
      <c r="S229">
        <f t="shared" si="962"/>
        <v>15980.192489887635</v>
      </c>
      <c r="T229">
        <f t="shared" si="963"/>
        <v>15.980192489887635</v>
      </c>
    </row>
    <row r="230" spans="1:20" x14ac:dyDescent="0.25">
      <c r="A230" s="5">
        <v>44363</v>
      </c>
      <c r="B230">
        <v>0.7107</v>
      </c>
      <c r="C230">
        <v>0.76119999999999999</v>
      </c>
      <c r="D230">
        <v>0.68600000000000005</v>
      </c>
      <c r="E230">
        <v>0.70820000000000005</v>
      </c>
      <c r="F230">
        <v>26132801.149999999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-0.40957446808510595</v>
      </c>
      <c r="Q230">
        <f t="shared" si="960"/>
        <v>-10703328.130585095</v>
      </c>
      <c r="R230">
        <f t="shared" si="961"/>
        <v>1600705802.7765844</v>
      </c>
      <c r="S230">
        <f t="shared" si="962"/>
        <v>16007.058027765845</v>
      </c>
      <c r="T230">
        <f t="shared" si="963"/>
        <v>16.007058027765844</v>
      </c>
    </row>
    <row r="231" spans="1:20" x14ac:dyDescent="0.25">
      <c r="A231" s="5">
        <v>44362</v>
      </c>
      <c r="B231">
        <v>0.71130000000000004</v>
      </c>
      <c r="C231">
        <v>0.73909999999999998</v>
      </c>
      <c r="D231">
        <v>0.69120000000000004</v>
      </c>
      <c r="E231">
        <v>0.71040000000000003</v>
      </c>
      <c r="F231">
        <v>10819544.869999999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-0.19832985386221219</v>
      </c>
      <c r="Q231">
        <f t="shared" si="960"/>
        <v>-2145838.7529227473</v>
      </c>
      <c r="R231">
        <f t="shared" si="961"/>
        <v>1611409130.9071696</v>
      </c>
      <c r="S231">
        <f t="shared" si="962"/>
        <v>16114.091309071695</v>
      </c>
      <c r="T231">
        <f t="shared" si="963"/>
        <v>16.114091309071696</v>
      </c>
    </row>
    <row r="232" spans="1:20" x14ac:dyDescent="0.25">
      <c r="A232" s="5">
        <v>44361</v>
      </c>
      <c r="B232">
        <v>0.69299999999999995</v>
      </c>
      <c r="C232">
        <v>0.71609999999999996</v>
      </c>
      <c r="D232">
        <v>0.67430000000000001</v>
      </c>
      <c r="E232">
        <v>0.71199999999999997</v>
      </c>
      <c r="F232">
        <v>10003826.279999999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0.80382775119617234</v>
      </c>
      <c r="Q232">
        <f t="shared" si="960"/>
        <v>8041353.1820095694</v>
      </c>
      <c r="R232">
        <f t="shared" si="961"/>
        <v>1613554969.6600924</v>
      </c>
      <c r="S232">
        <f t="shared" si="962"/>
        <v>16135.549696600923</v>
      </c>
      <c r="T232">
        <f t="shared" si="963"/>
        <v>16.135549696600922</v>
      </c>
    </row>
    <row r="233" spans="1:20" x14ac:dyDescent="0.25">
      <c r="A233" s="5">
        <v>44360</v>
      </c>
      <c r="B233">
        <v>0.65790000000000004</v>
      </c>
      <c r="C233">
        <v>0.69830000000000003</v>
      </c>
      <c r="D233">
        <v>0.6401</v>
      </c>
      <c r="E233">
        <v>0.69340000000000002</v>
      </c>
      <c r="F233">
        <v>8997532.7100000009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0.83161512027491369</v>
      </c>
      <c r="Q233">
        <f t="shared" si="960"/>
        <v>7482484.246804121</v>
      </c>
      <c r="R233">
        <f t="shared" si="961"/>
        <v>1605513616.4780829</v>
      </c>
      <c r="S233">
        <f t="shared" si="962"/>
        <v>16055.13616478083</v>
      </c>
      <c r="T233">
        <f t="shared" si="963"/>
        <v>16.05513616478083</v>
      </c>
    </row>
    <row r="234" spans="1:20" x14ac:dyDescent="0.25">
      <c r="A234" s="5">
        <v>44359</v>
      </c>
      <c r="B234">
        <v>0.69430000000000003</v>
      </c>
      <c r="C234">
        <v>0.69599999999999995</v>
      </c>
      <c r="D234">
        <v>0.62660000000000005</v>
      </c>
      <c r="E234">
        <v>0.65700000000000003</v>
      </c>
      <c r="F234">
        <v>15663759.460000001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-0.12391930835734802</v>
      </c>
      <c r="Q234">
        <f t="shared" si="960"/>
        <v>-1941042.2385590672</v>
      </c>
      <c r="R234">
        <f t="shared" si="961"/>
        <v>1598031132.2312787</v>
      </c>
      <c r="S234">
        <f t="shared" si="962"/>
        <v>15980.311322312786</v>
      </c>
      <c r="T234">
        <f t="shared" si="963"/>
        <v>15.980311322312785</v>
      </c>
    </row>
    <row r="235" spans="1:20" x14ac:dyDescent="0.25">
      <c r="A235" s="5">
        <v>44358</v>
      </c>
      <c r="B235">
        <v>0.6976</v>
      </c>
      <c r="C235">
        <v>0.79239999999999999</v>
      </c>
      <c r="D235">
        <v>0.67490000000000006</v>
      </c>
      <c r="E235">
        <v>0.69430000000000003</v>
      </c>
      <c r="F235">
        <v>35657260.109999999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-0.66978723404255347</v>
      </c>
      <c r="Q235">
        <f t="shared" si="960"/>
        <v>-23882777.622612774</v>
      </c>
      <c r="R235">
        <f t="shared" si="961"/>
        <v>1599972174.4698377</v>
      </c>
      <c r="S235">
        <f t="shared" si="962"/>
        <v>15999.721744698376</v>
      </c>
      <c r="T235">
        <f t="shared" si="963"/>
        <v>15.999721744698375</v>
      </c>
    </row>
    <row r="236" spans="1:20" x14ac:dyDescent="0.25">
      <c r="A236" s="5">
        <v>44357</v>
      </c>
      <c r="B236">
        <v>0.73770000000000002</v>
      </c>
      <c r="C236">
        <v>0.74170000000000003</v>
      </c>
      <c r="D236">
        <v>0.67710000000000004</v>
      </c>
      <c r="E236">
        <v>0.69810000000000005</v>
      </c>
      <c r="F236">
        <v>10175220.15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-0.34984520123838941</v>
      </c>
      <c r="Q236">
        <f t="shared" si="960"/>
        <v>-3559751.941021665</v>
      </c>
      <c r="R236">
        <f t="shared" si="961"/>
        <v>1623854952.0924504</v>
      </c>
      <c r="S236">
        <f t="shared" si="962"/>
        <v>16238.549520924504</v>
      </c>
      <c r="T236">
        <f t="shared" si="963"/>
        <v>16.238549520924504</v>
      </c>
    </row>
    <row r="237" spans="1:20" x14ac:dyDescent="0.25">
      <c r="A237" s="5">
        <v>44356</v>
      </c>
      <c r="B237">
        <v>0.71099999999999997</v>
      </c>
      <c r="C237">
        <v>0.74180000000000001</v>
      </c>
      <c r="D237">
        <v>0.66390000000000005</v>
      </c>
      <c r="E237">
        <v>0.73750000000000004</v>
      </c>
      <c r="F237">
        <v>14203789.890000001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0.88960205391527669</v>
      </c>
      <c r="Q237">
        <f t="shared" si="960"/>
        <v>12635720.659525042</v>
      </c>
      <c r="R237">
        <f t="shared" si="961"/>
        <v>1627414704.0334721</v>
      </c>
      <c r="S237">
        <f t="shared" si="962"/>
        <v>16274.147040334721</v>
      </c>
      <c r="T237">
        <f t="shared" si="963"/>
        <v>16.274147040334721</v>
      </c>
    </row>
    <row r="238" spans="1:20" x14ac:dyDescent="0.25">
      <c r="A238" s="5">
        <v>44355</v>
      </c>
      <c r="B238">
        <v>0.74009999999999998</v>
      </c>
      <c r="C238">
        <v>0.75670000000000004</v>
      </c>
      <c r="D238">
        <v>0.628</v>
      </c>
      <c r="E238">
        <v>0.71150000000000002</v>
      </c>
      <c r="F238">
        <v>19278722.149999999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0.29759129759129749</v>
      </c>
      <c r="Q238">
        <f t="shared" si="960"/>
        <v>5737179.9405205883</v>
      </c>
      <c r="R238">
        <f t="shared" si="961"/>
        <v>1614778983.3739469</v>
      </c>
      <c r="S238">
        <f t="shared" si="962"/>
        <v>16147.789833739469</v>
      </c>
      <c r="T238">
        <f t="shared" si="963"/>
        <v>16.14778983373947</v>
      </c>
    </row>
    <row r="239" spans="1:20" x14ac:dyDescent="0.25">
      <c r="A239" s="5">
        <v>44354</v>
      </c>
      <c r="B239">
        <v>0.8216</v>
      </c>
      <c r="C239">
        <v>0.83330000000000004</v>
      </c>
      <c r="D239">
        <v>0.72909999999999997</v>
      </c>
      <c r="E239">
        <v>0.74070000000000003</v>
      </c>
      <c r="F239">
        <v>11616278.279999999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-0.7773512476007669</v>
      </c>
      <c r="Q239">
        <f t="shared" si="960"/>
        <v>-9029928.4134356901</v>
      </c>
      <c r="R239">
        <f t="shared" si="961"/>
        <v>1609041803.4334264</v>
      </c>
      <c r="S239">
        <f t="shared" si="962"/>
        <v>16090.418034334263</v>
      </c>
      <c r="T239">
        <f t="shared" si="963"/>
        <v>16.090418034334263</v>
      </c>
    </row>
    <row r="240" spans="1:20" x14ac:dyDescent="0.25">
      <c r="A240" s="5">
        <v>44353</v>
      </c>
      <c r="B240">
        <v>0.81489999999999996</v>
      </c>
      <c r="C240">
        <v>0.8306</v>
      </c>
      <c r="D240">
        <v>0.80089999999999995</v>
      </c>
      <c r="E240">
        <v>0.8216</v>
      </c>
      <c r="F240">
        <v>6262029.4900000002</v>
      </c>
      <c r="G240">
        <v>0</v>
      </c>
      <c r="L240" t="s">
        <v>7</v>
      </c>
      <c r="M240" t="s">
        <v>8</v>
      </c>
      <c r="N240" t="s">
        <v>7</v>
      </c>
      <c r="P240">
        <f t="shared" si="959"/>
        <v>0.39393939393939464</v>
      </c>
      <c r="Q240">
        <f t="shared" si="960"/>
        <v>2466860.1021212167</v>
      </c>
      <c r="R240">
        <f t="shared" si="961"/>
        <v>1618071731.8468621</v>
      </c>
      <c r="S240">
        <f t="shared" si="962"/>
        <v>16180.717318468622</v>
      </c>
      <c r="T240">
        <f t="shared" si="963"/>
        <v>16.18071731846862</v>
      </c>
    </row>
    <row r="241" spans="1:20" x14ac:dyDescent="0.25">
      <c r="A241" s="5">
        <v>44352</v>
      </c>
      <c r="B241">
        <v>0.81569999999999998</v>
      </c>
      <c r="C241">
        <v>0.89</v>
      </c>
      <c r="D241">
        <v>0.78759999999999997</v>
      </c>
      <c r="E241">
        <v>0.81569999999999998</v>
      </c>
      <c r="F241">
        <v>22235852.039999999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-0.451171875</v>
      </c>
      <c r="Q241">
        <f t="shared" si="960"/>
        <v>-10032191.057109375</v>
      </c>
      <c r="R241">
        <f t="shared" si="961"/>
        <v>1615604871.744741</v>
      </c>
      <c r="S241">
        <f t="shared" si="962"/>
        <v>16156.048717447409</v>
      </c>
      <c r="T241">
        <f t="shared" si="963"/>
        <v>16.156048717447408</v>
      </c>
    </row>
    <row r="242" spans="1:20" x14ac:dyDescent="0.25">
      <c r="A242" s="5">
        <v>44351</v>
      </c>
      <c r="B242">
        <v>0.88859999999999995</v>
      </c>
      <c r="C242">
        <v>0.89990000000000003</v>
      </c>
      <c r="D242">
        <v>0.77139999999999997</v>
      </c>
      <c r="E242">
        <v>0.8145</v>
      </c>
      <c r="F242">
        <v>23221536.239999998</v>
      </c>
      <c r="G242">
        <v>0</v>
      </c>
      <c r="L242" t="s">
        <v>7</v>
      </c>
      <c r="M242" t="s">
        <v>8</v>
      </c>
      <c r="N242" t="s">
        <v>7</v>
      </c>
      <c r="P242">
        <f t="shared" si="959"/>
        <v>-0.32918287937743179</v>
      </c>
      <c r="Q242">
        <f t="shared" si="960"/>
        <v>-7644132.1630505808</v>
      </c>
      <c r="R242">
        <f t="shared" si="961"/>
        <v>1625637062.8018503</v>
      </c>
      <c r="S242">
        <f t="shared" si="962"/>
        <v>16256.370628018503</v>
      </c>
      <c r="T242">
        <f t="shared" si="963"/>
        <v>16.256370628018502</v>
      </c>
    </row>
    <row r="243" spans="1:20" x14ac:dyDescent="0.25">
      <c r="A243" s="5">
        <v>44350</v>
      </c>
      <c r="B243">
        <v>0.85719999999999996</v>
      </c>
      <c r="C243">
        <v>0.90390000000000004</v>
      </c>
      <c r="D243">
        <v>0.8387</v>
      </c>
      <c r="E243">
        <v>0.88900000000000001</v>
      </c>
      <c r="F243">
        <v>14341143.640000001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0.54294478527607315</v>
      </c>
      <c r="Q243">
        <f t="shared" si="960"/>
        <v>7786449.1542331222</v>
      </c>
      <c r="R243">
        <f t="shared" si="961"/>
        <v>1633281194.964901</v>
      </c>
      <c r="S243">
        <f t="shared" si="962"/>
        <v>16332.811949649009</v>
      </c>
      <c r="T243">
        <f t="shared" si="963"/>
        <v>16.33281194964901</v>
      </c>
    </row>
    <row r="244" spans="1:20" x14ac:dyDescent="0.25">
      <c r="A244" s="5">
        <v>44349</v>
      </c>
      <c r="B244">
        <v>0.83020000000000005</v>
      </c>
      <c r="C244">
        <v>0.87580000000000002</v>
      </c>
      <c r="D244">
        <v>0.80779999999999996</v>
      </c>
      <c r="E244">
        <v>0.85719999999999996</v>
      </c>
      <c r="F244">
        <v>14164029.960000001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0.4529411764705869</v>
      </c>
      <c r="Q244">
        <f t="shared" si="960"/>
        <v>6415472.3936470402</v>
      </c>
      <c r="R244">
        <f t="shared" si="961"/>
        <v>1625494745.8106678</v>
      </c>
      <c r="S244">
        <f t="shared" si="962"/>
        <v>16254.947458106677</v>
      </c>
      <c r="T244">
        <f t="shared" si="963"/>
        <v>16.254947458106678</v>
      </c>
    </row>
    <row r="245" spans="1:20" x14ac:dyDescent="0.25">
      <c r="A245" s="5">
        <v>44348</v>
      </c>
      <c r="B245">
        <v>0.84860000000000002</v>
      </c>
      <c r="C245">
        <v>0.86890000000000001</v>
      </c>
      <c r="D245">
        <v>0.79890000000000005</v>
      </c>
      <c r="E245">
        <v>0.82940000000000003</v>
      </c>
      <c r="F245">
        <v>13018388.82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-0.12857142857142878</v>
      </c>
      <c r="Q245">
        <f t="shared" si="960"/>
        <v>-1673792.848285717</v>
      </c>
      <c r="R245">
        <f t="shared" si="961"/>
        <v>1619079273.4170208</v>
      </c>
      <c r="S245">
        <f t="shared" si="962"/>
        <v>16190.792734170209</v>
      </c>
      <c r="T245">
        <f t="shared" si="963"/>
        <v>16.190792734170209</v>
      </c>
    </row>
    <row r="246" spans="1:20" x14ac:dyDescent="0.25">
      <c r="A246" s="5">
        <v>44347</v>
      </c>
      <c r="B246">
        <v>0.78210000000000002</v>
      </c>
      <c r="C246">
        <v>0.85660000000000003</v>
      </c>
      <c r="D246">
        <v>0.73839999999999995</v>
      </c>
      <c r="E246">
        <v>0.84870000000000001</v>
      </c>
      <c r="F246">
        <v>17293597.609999999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0.8663282571912011</v>
      </c>
      <c r="Q246">
        <f t="shared" si="960"/>
        <v>14981932.27803722</v>
      </c>
      <c r="R246">
        <f t="shared" si="961"/>
        <v>1620753066.2653065</v>
      </c>
      <c r="S246">
        <f t="shared" si="962"/>
        <v>16207.530662653066</v>
      </c>
      <c r="T246">
        <f t="shared" si="963"/>
        <v>16.207530662653067</v>
      </c>
    </row>
    <row r="247" spans="1:20" x14ac:dyDescent="0.25">
      <c r="A247" s="5">
        <v>44346</v>
      </c>
      <c r="B247">
        <v>0.74670000000000003</v>
      </c>
      <c r="C247">
        <v>0.84</v>
      </c>
      <c r="D247">
        <v>0.69169999999999998</v>
      </c>
      <c r="E247">
        <v>0.78129999999999999</v>
      </c>
      <c r="F247">
        <v>20970567.289999999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0.20836142953472719</v>
      </c>
      <c r="Q247">
        <f t="shared" si="960"/>
        <v>4369457.3786985902</v>
      </c>
      <c r="R247">
        <f t="shared" si="961"/>
        <v>1605771133.9872692</v>
      </c>
      <c r="S247">
        <f t="shared" si="962"/>
        <v>16057.711339872692</v>
      </c>
      <c r="T247">
        <f t="shared" si="963"/>
        <v>16.057711339872693</v>
      </c>
    </row>
    <row r="248" spans="1:20" x14ac:dyDescent="0.25">
      <c r="A248" s="5">
        <v>44345</v>
      </c>
      <c r="B248">
        <v>0.81299999999999994</v>
      </c>
      <c r="C248">
        <v>0.84389999999999998</v>
      </c>
      <c r="D248">
        <v>0.69550000000000001</v>
      </c>
      <c r="E248">
        <v>0.74619999999999997</v>
      </c>
      <c r="F248">
        <v>21522759.640000001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-0.31671159029649631</v>
      </c>
      <c r="Q248">
        <f t="shared" si="960"/>
        <v>-6816507.433153647</v>
      </c>
      <c r="R248">
        <f t="shared" si="961"/>
        <v>1601401676.6085706</v>
      </c>
      <c r="S248">
        <f t="shared" si="962"/>
        <v>16014.016766085706</v>
      </c>
      <c r="T248">
        <f t="shared" si="963"/>
        <v>16.014016766085707</v>
      </c>
    </row>
    <row r="249" spans="1:20" x14ac:dyDescent="0.25">
      <c r="A249" s="5">
        <v>44344</v>
      </c>
      <c r="B249">
        <v>0.89849999999999997</v>
      </c>
      <c r="C249">
        <v>0.94379999999999997</v>
      </c>
      <c r="D249">
        <v>0.77100000000000002</v>
      </c>
      <c r="E249">
        <v>0.81299999999999994</v>
      </c>
      <c r="F249">
        <v>32995240.640000001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-0.51388888888888962</v>
      </c>
      <c r="Q249">
        <f t="shared" si="960"/>
        <v>-16955887.551111136</v>
      </c>
      <c r="R249">
        <f t="shared" si="961"/>
        <v>1608218184.0417242</v>
      </c>
      <c r="S249">
        <f t="shared" si="962"/>
        <v>16082.181840417243</v>
      </c>
      <c r="T249">
        <f t="shared" si="963"/>
        <v>16.082181840417242</v>
      </c>
    </row>
    <row r="250" spans="1:20" x14ac:dyDescent="0.25">
      <c r="A250" s="5">
        <v>44343</v>
      </c>
      <c r="B250">
        <v>1.006</v>
      </c>
      <c r="C250">
        <v>1.0188999999999999</v>
      </c>
      <c r="D250">
        <v>0.85509999999999997</v>
      </c>
      <c r="E250">
        <v>0.8992</v>
      </c>
      <c r="F250">
        <v>42416833.119999997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-0.46153846153846101</v>
      </c>
      <c r="Q250">
        <f t="shared" si="960"/>
        <v>-19576999.901538439</v>
      </c>
      <c r="R250">
        <f t="shared" si="961"/>
        <v>1625174071.5928354</v>
      </c>
      <c r="S250">
        <f t="shared" si="962"/>
        <v>16251.740715928354</v>
      </c>
      <c r="T250">
        <f t="shared" si="963"/>
        <v>16.251740715928353</v>
      </c>
    </row>
    <row r="251" spans="1:20" x14ac:dyDescent="0.25">
      <c r="A251" s="5">
        <v>44342</v>
      </c>
      <c r="B251">
        <v>0.78590000000000004</v>
      </c>
      <c r="C251">
        <v>1.0097</v>
      </c>
      <c r="D251">
        <v>0.76200000000000001</v>
      </c>
      <c r="E251">
        <v>1.006</v>
      </c>
      <c r="F251">
        <v>61962059.869999997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0.97012515139281363</v>
      </c>
      <c r="Q251">
        <f t="shared" si="960"/>
        <v>60110952.711994328</v>
      </c>
      <c r="R251">
        <f t="shared" si="961"/>
        <v>1644751071.4943738</v>
      </c>
      <c r="S251">
        <f t="shared" si="962"/>
        <v>16447.510714943739</v>
      </c>
      <c r="T251">
        <f t="shared" si="963"/>
        <v>16.447510714943739</v>
      </c>
    </row>
    <row r="252" spans="1:20" x14ac:dyDescent="0.25">
      <c r="A252" s="5">
        <v>44341</v>
      </c>
      <c r="B252">
        <v>0.77990000000000004</v>
      </c>
      <c r="C252">
        <v>0.8508</v>
      </c>
      <c r="D252">
        <v>0.71679999999999999</v>
      </c>
      <c r="E252">
        <v>0.78600000000000003</v>
      </c>
      <c r="F252">
        <v>35854623.140000001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3.2835820895522914E-2</v>
      </c>
      <c r="Q252">
        <f t="shared" si="960"/>
        <v>1177315.9837015115</v>
      </c>
      <c r="R252">
        <f t="shared" si="961"/>
        <v>1584640118.7823794</v>
      </c>
      <c r="S252">
        <f t="shared" si="962"/>
        <v>15846.401187823794</v>
      </c>
      <c r="T252">
        <f t="shared" si="963"/>
        <v>15.846401187823794</v>
      </c>
    </row>
    <row r="253" spans="1:20" x14ac:dyDescent="0.25">
      <c r="A253" s="5">
        <v>44340</v>
      </c>
      <c r="B253">
        <v>0.62119999999999997</v>
      </c>
      <c r="C253">
        <v>0.78349999999999997</v>
      </c>
      <c r="D253">
        <v>0.58799999999999997</v>
      </c>
      <c r="E253">
        <v>0.77990000000000004</v>
      </c>
      <c r="F253">
        <v>57659287.450000003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0.9631713554987219</v>
      </c>
      <c r="Q253">
        <f t="shared" si="960"/>
        <v>55535774.050306946</v>
      </c>
      <c r="R253">
        <f t="shared" si="961"/>
        <v>1583462802.7986779</v>
      </c>
      <c r="S253">
        <f t="shared" si="962"/>
        <v>15834.628027986779</v>
      </c>
      <c r="T253">
        <f t="shared" si="963"/>
        <v>15.834628027986779</v>
      </c>
    </row>
    <row r="254" spans="1:20" x14ac:dyDescent="0.25">
      <c r="A254" s="5">
        <v>44339</v>
      </c>
      <c r="B254">
        <v>0.7581</v>
      </c>
      <c r="C254">
        <v>0.80310000000000004</v>
      </c>
      <c r="D254">
        <v>0.48930000000000001</v>
      </c>
      <c r="E254">
        <v>0.62019999999999997</v>
      </c>
      <c r="F254">
        <v>54725859.560000002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-0.1657106437221163</v>
      </c>
      <c r="Q254">
        <f t="shared" si="960"/>
        <v>-9068657.4159337319</v>
      </c>
      <c r="R254">
        <f t="shared" si="961"/>
        <v>1527927028.7483709</v>
      </c>
      <c r="S254">
        <f t="shared" si="962"/>
        <v>15279.270287483709</v>
      </c>
      <c r="T254">
        <f t="shared" si="963"/>
        <v>15.279270287483708</v>
      </c>
    </row>
    <row r="255" spans="1:20" x14ac:dyDescent="0.25">
      <c r="A255" s="5">
        <v>44338</v>
      </c>
      <c r="B255">
        <v>0.81689999999999996</v>
      </c>
      <c r="C255">
        <v>0.82450000000000001</v>
      </c>
      <c r="D255">
        <v>0.69530000000000003</v>
      </c>
      <c r="E255">
        <v>0.75700000000000001</v>
      </c>
      <c r="F255">
        <v>36947343.240000002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-4.4891640866873285E-2</v>
      </c>
      <c r="Q255">
        <f t="shared" si="960"/>
        <v>-1658626.8637151786</v>
      </c>
      <c r="R255">
        <f t="shared" si="961"/>
        <v>1536995686.1643047</v>
      </c>
      <c r="S255">
        <f t="shared" si="962"/>
        <v>15369.956861643048</v>
      </c>
      <c r="T255">
        <f t="shared" si="963"/>
        <v>15.369956861643049</v>
      </c>
    </row>
    <row r="256" spans="1:20" x14ac:dyDescent="0.25">
      <c r="A256" s="5">
        <v>44337</v>
      </c>
      <c r="B256">
        <v>0.95550000000000002</v>
      </c>
      <c r="C256">
        <v>1.0036</v>
      </c>
      <c r="D256">
        <v>0.7</v>
      </c>
      <c r="E256">
        <v>0.81640000000000001</v>
      </c>
      <c r="F256">
        <v>45659051.850000001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-0.23320158102766783</v>
      </c>
      <c r="Q256">
        <f t="shared" si="960"/>
        <v>-10647763.079644263</v>
      </c>
      <c r="R256">
        <f t="shared" si="961"/>
        <v>1538654313.0280199</v>
      </c>
      <c r="S256">
        <f t="shared" si="962"/>
        <v>15386.543130280199</v>
      </c>
      <c r="T256">
        <f t="shared" si="963"/>
        <v>15.386543130280199</v>
      </c>
    </row>
    <row r="257" spans="1:20" x14ac:dyDescent="0.25">
      <c r="A257" s="5">
        <v>44336</v>
      </c>
      <c r="B257">
        <v>0.77110000000000001</v>
      </c>
      <c r="C257">
        <v>1.0098</v>
      </c>
      <c r="D257">
        <v>0.68089999999999995</v>
      </c>
      <c r="E257">
        <v>0.95620000000000005</v>
      </c>
      <c r="F257">
        <v>60817366.32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0.67406506536941335</v>
      </c>
      <c r="Q257">
        <f t="shared" si="960"/>
        <v>40994862.00408636</v>
      </c>
      <c r="R257">
        <f t="shared" si="961"/>
        <v>1549302076.1076641</v>
      </c>
      <c r="S257">
        <f t="shared" si="962"/>
        <v>15493.020761076641</v>
      </c>
      <c r="T257">
        <f t="shared" si="963"/>
        <v>15.493020761076641</v>
      </c>
    </row>
    <row r="258" spans="1:20" x14ac:dyDescent="0.25">
      <c r="A258" s="5">
        <v>44335</v>
      </c>
      <c r="B258">
        <v>1.1246</v>
      </c>
      <c r="C258">
        <v>1.1620999999999999</v>
      </c>
      <c r="D258">
        <v>0.49959999999999999</v>
      </c>
      <c r="E258">
        <v>0.77180000000000004</v>
      </c>
      <c r="F258">
        <v>91186763.930000007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-0.17826415094339598</v>
      </c>
      <c r="Q258">
        <f t="shared" si="960"/>
        <v>-16255331.049257338</v>
      </c>
      <c r="R258">
        <f t="shared" si="961"/>
        <v>1508307214.1035779</v>
      </c>
      <c r="S258">
        <f t="shared" si="962"/>
        <v>15083.072141035778</v>
      </c>
      <c r="T258">
        <f t="shared" si="963"/>
        <v>15.083072141035778</v>
      </c>
    </row>
    <row r="259" spans="1:20" x14ac:dyDescent="0.25">
      <c r="A259" s="5">
        <v>44334</v>
      </c>
      <c r="B259">
        <v>1.0599000000000001</v>
      </c>
      <c r="C259">
        <v>1.2625999999999999</v>
      </c>
      <c r="D259">
        <v>1.0488</v>
      </c>
      <c r="E259">
        <v>1.1248</v>
      </c>
      <c r="F259">
        <v>42475251.420000002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-0.28905519176800681</v>
      </c>
      <c r="Q259">
        <f t="shared" si="960"/>
        <v>-12277691.944602404</v>
      </c>
      <c r="R259">
        <f t="shared" si="961"/>
        <v>1524562545.1528351</v>
      </c>
      <c r="S259">
        <f t="shared" si="962"/>
        <v>15245.625451528351</v>
      </c>
      <c r="T259">
        <f t="shared" si="963"/>
        <v>15.245625451528351</v>
      </c>
    </row>
    <row r="260" spans="1:20" x14ac:dyDescent="0.25">
      <c r="A260" s="5">
        <v>44333</v>
      </c>
      <c r="B260">
        <v>1.1797</v>
      </c>
      <c r="C260">
        <v>1.1802999999999999</v>
      </c>
      <c r="D260">
        <v>1.0092000000000001</v>
      </c>
      <c r="E260">
        <v>1.0597000000000001</v>
      </c>
      <c r="F260">
        <v>39340296.549999997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-0.40970192869666805</v>
      </c>
      <c r="Q260">
        <f t="shared" si="960"/>
        <v>-16117795.372033875</v>
      </c>
      <c r="R260">
        <f t="shared" si="961"/>
        <v>1536840237.0974376</v>
      </c>
      <c r="S260">
        <f t="shared" si="962"/>
        <v>15368.402370974376</v>
      </c>
      <c r="T260">
        <f t="shared" si="963"/>
        <v>15.368402370974376</v>
      </c>
    </row>
    <row r="261" spans="1:20" x14ac:dyDescent="0.25">
      <c r="A261" s="5">
        <v>44332</v>
      </c>
      <c r="B261">
        <v>1.2021999999999999</v>
      </c>
      <c r="C261">
        <v>1.2887</v>
      </c>
      <c r="D261">
        <v>1.0955999999999999</v>
      </c>
      <c r="E261">
        <v>1.1797</v>
      </c>
      <c r="F261">
        <v>24045162.550000001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-0.12894873122734291</v>
      </c>
      <c r="Q261">
        <f t="shared" si="960"/>
        <v>-3100593.2029777211</v>
      </c>
      <c r="R261">
        <f t="shared" si="961"/>
        <v>1552958032.4694715</v>
      </c>
      <c r="S261">
        <f t="shared" si="962"/>
        <v>15529.580324694714</v>
      </c>
      <c r="T261">
        <f t="shared" si="963"/>
        <v>15.529580324694715</v>
      </c>
    </row>
    <row r="262" spans="1:20" x14ac:dyDescent="0.25">
      <c r="A262" s="5">
        <v>44331</v>
      </c>
      <c r="B262">
        <v>1.2925</v>
      </c>
      <c r="C262">
        <v>1.3084</v>
      </c>
      <c r="D262">
        <v>1.1972</v>
      </c>
      <c r="E262">
        <v>1.2023999999999999</v>
      </c>
      <c r="F262">
        <v>16215210.060000001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-0.90647482014388714</v>
      </c>
      <c r="Q262">
        <f t="shared" ref="Q262:Q325" si="965">F262*P262</f>
        <v>-14698679.62273385</v>
      </c>
      <c r="R262">
        <f t="shared" ref="R262:R325" si="966">R263+Q262</f>
        <v>1556058625.6724491</v>
      </c>
      <c r="S262">
        <f t="shared" ref="S262:S325" si="967">R262/100000</f>
        <v>15560.586256724491</v>
      </c>
      <c r="T262">
        <f t="shared" ref="T262:T325" si="968">S262/1000</f>
        <v>15.560586256724491</v>
      </c>
    </row>
    <row r="263" spans="1:20" x14ac:dyDescent="0.25">
      <c r="A263" s="5">
        <v>44330</v>
      </c>
      <c r="B263">
        <v>1.2536</v>
      </c>
      <c r="C263">
        <v>1.3291999999999999</v>
      </c>
      <c r="D263">
        <v>1.23</v>
      </c>
      <c r="E263">
        <v>1.2918000000000001</v>
      </c>
      <c r="F263">
        <v>14163560.890000001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0.24596774193548598</v>
      </c>
      <c r="Q263">
        <f t="shared" si="965"/>
        <v>3483779.0898790625</v>
      </c>
      <c r="R263">
        <f t="shared" si="966"/>
        <v>1570757305.2951829</v>
      </c>
      <c r="S263">
        <f t="shared" si="967"/>
        <v>15707.57305295183</v>
      </c>
      <c r="T263">
        <f t="shared" si="968"/>
        <v>15.70757305295183</v>
      </c>
    </row>
    <row r="264" spans="1:20" x14ac:dyDescent="0.25">
      <c r="A264" s="5">
        <v>44329</v>
      </c>
      <c r="B264">
        <v>1.2256</v>
      </c>
      <c r="C264">
        <v>1.3163</v>
      </c>
      <c r="D264">
        <v>1.1580999999999999</v>
      </c>
      <c r="E264">
        <v>1.2534000000000001</v>
      </c>
      <c r="F264">
        <v>28806438.039999999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0.20480404551201126</v>
      </c>
      <c r="Q264">
        <f t="shared" si="965"/>
        <v>5899675.0473830923</v>
      </c>
      <c r="R264">
        <f t="shared" si="966"/>
        <v>1567273526.2053039</v>
      </c>
      <c r="S264">
        <f t="shared" si="967"/>
        <v>15672.735262053038</v>
      </c>
      <c r="T264">
        <f t="shared" si="968"/>
        <v>15.672735262053038</v>
      </c>
    </row>
    <row r="265" spans="1:20" x14ac:dyDescent="0.25">
      <c r="A265" s="5">
        <v>44328</v>
      </c>
      <c r="B265">
        <v>1.4302999999999999</v>
      </c>
      <c r="C265">
        <v>1.45</v>
      </c>
      <c r="D265">
        <v>1.2067000000000001</v>
      </c>
      <c r="E265">
        <v>1.2256</v>
      </c>
      <c r="F265">
        <v>18922125.309999999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-0.84463625154130761</v>
      </c>
      <c r="Q265">
        <f t="shared" si="965"/>
        <v>-15982312.993033303</v>
      </c>
      <c r="R265">
        <f t="shared" si="966"/>
        <v>1561373851.1579208</v>
      </c>
      <c r="S265">
        <f t="shared" si="967"/>
        <v>15613.738511579208</v>
      </c>
      <c r="T265">
        <f t="shared" si="968"/>
        <v>15.613738511579207</v>
      </c>
    </row>
    <row r="266" spans="1:20" x14ac:dyDescent="0.25">
      <c r="A266" s="5">
        <v>44327</v>
      </c>
      <c r="B266">
        <v>1.3261000000000001</v>
      </c>
      <c r="C266">
        <v>1.4314</v>
      </c>
      <c r="D266">
        <v>1.3</v>
      </c>
      <c r="E266">
        <v>1.4291</v>
      </c>
      <c r="F266">
        <v>21566134.09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0.9649923896499244</v>
      </c>
      <c r="Q266">
        <f t="shared" si="965"/>
        <v>20811155.271019798</v>
      </c>
      <c r="R266">
        <f t="shared" si="966"/>
        <v>1577356164.1509542</v>
      </c>
      <c r="S266">
        <f t="shared" si="967"/>
        <v>15773.561641509543</v>
      </c>
      <c r="T266">
        <f t="shared" si="968"/>
        <v>15.773561641509543</v>
      </c>
    </row>
    <row r="267" spans="1:20" x14ac:dyDescent="0.25">
      <c r="A267" s="5">
        <v>44326</v>
      </c>
      <c r="B267">
        <v>1.4913000000000001</v>
      </c>
      <c r="C267">
        <v>1.5149999999999999</v>
      </c>
      <c r="D267">
        <v>1.2193000000000001</v>
      </c>
      <c r="E267">
        <v>1.3284</v>
      </c>
      <c r="F267">
        <v>39221814.689999998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-0.2620899560365233</v>
      </c>
      <c r="Q267">
        <f t="shared" si="965"/>
        <v>-10279643.687774763</v>
      </c>
      <c r="R267">
        <f t="shared" si="966"/>
        <v>1556545008.8799345</v>
      </c>
      <c r="S267">
        <f t="shared" si="967"/>
        <v>15565.450088799345</v>
      </c>
      <c r="T267">
        <f t="shared" si="968"/>
        <v>15.565450088799345</v>
      </c>
    </row>
    <row r="268" spans="1:20" x14ac:dyDescent="0.25">
      <c r="A268" s="5">
        <v>44325</v>
      </c>
      <c r="B268">
        <v>1.444</v>
      </c>
      <c r="C268">
        <v>1.5243</v>
      </c>
      <c r="D268">
        <v>1.3539000000000001</v>
      </c>
      <c r="E268">
        <v>1.4923</v>
      </c>
      <c r="F268">
        <v>27038988.289999999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0.62441314553990557</v>
      </c>
      <c r="Q268">
        <f t="shared" si="965"/>
        <v>16883499.730375573</v>
      </c>
      <c r="R268">
        <f t="shared" si="966"/>
        <v>1566824652.5677092</v>
      </c>
      <c r="S268">
        <f t="shared" si="967"/>
        <v>15668.246525677092</v>
      </c>
      <c r="T268">
        <f t="shared" si="968"/>
        <v>15.668246525677093</v>
      </c>
    </row>
    <row r="269" spans="1:20" x14ac:dyDescent="0.25">
      <c r="A269" s="5">
        <v>44324</v>
      </c>
      <c r="B269">
        <v>1.4654</v>
      </c>
      <c r="C269">
        <v>1.5141</v>
      </c>
      <c r="D269">
        <v>1.4117</v>
      </c>
      <c r="E269">
        <v>1.4418</v>
      </c>
      <c r="F269">
        <v>19712199.899999999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-0.41210937499999994</v>
      </c>
      <c r="Q269">
        <f t="shared" si="965"/>
        <v>-8123582.3806640608</v>
      </c>
      <c r="R269">
        <f t="shared" si="966"/>
        <v>1549941152.8373337</v>
      </c>
      <c r="S269">
        <f t="shared" si="967"/>
        <v>15499.411528373337</v>
      </c>
      <c r="T269">
        <f t="shared" si="968"/>
        <v>15.499411528373336</v>
      </c>
    </row>
    <row r="270" spans="1:20" x14ac:dyDescent="0.25">
      <c r="A270" s="5">
        <v>44323</v>
      </c>
      <c r="B270">
        <v>1.571</v>
      </c>
      <c r="C270">
        <v>1.6023000000000001</v>
      </c>
      <c r="D270">
        <v>1.4129</v>
      </c>
      <c r="E270">
        <v>1.4644999999999999</v>
      </c>
      <c r="F270">
        <v>45778874.789999999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-0.45512143611404576</v>
      </c>
      <c r="Q270">
        <f t="shared" si="965"/>
        <v>-20834947.238109883</v>
      </c>
      <c r="R270">
        <f t="shared" si="966"/>
        <v>1558064735.2179978</v>
      </c>
      <c r="S270">
        <f t="shared" si="967"/>
        <v>15580.647352179978</v>
      </c>
      <c r="T270">
        <f t="shared" si="968"/>
        <v>15.580647352179978</v>
      </c>
    </row>
    <row r="271" spans="1:20" x14ac:dyDescent="0.25">
      <c r="A271" s="5">
        <v>44322</v>
      </c>
      <c r="B271">
        <v>1.4185000000000001</v>
      </c>
      <c r="C271">
        <v>1.573</v>
      </c>
      <c r="D271">
        <v>1.3446</v>
      </c>
      <c r="E271">
        <v>1.5705</v>
      </c>
      <c r="F271">
        <v>40428867.57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0.97810858143607748</v>
      </c>
      <c r="Q271">
        <f t="shared" si="965"/>
        <v>39543822.307959735</v>
      </c>
      <c r="R271">
        <f t="shared" si="966"/>
        <v>1578899682.4561076</v>
      </c>
      <c r="S271">
        <f t="shared" si="967"/>
        <v>15788.996824561076</v>
      </c>
      <c r="T271">
        <f t="shared" si="968"/>
        <v>15.788996824561076</v>
      </c>
    </row>
    <row r="272" spans="1:20" x14ac:dyDescent="0.25">
      <c r="A272" s="5">
        <v>44321</v>
      </c>
      <c r="B272">
        <v>1.2661</v>
      </c>
      <c r="C272">
        <v>1.4254</v>
      </c>
      <c r="D272">
        <v>1.2556</v>
      </c>
      <c r="E272">
        <v>1.4175</v>
      </c>
      <c r="F272">
        <v>27079826.379999999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0.90694935217903394</v>
      </c>
      <c r="Q272">
        <f t="shared" si="965"/>
        <v>24560030.992461711</v>
      </c>
      <c r="R272">
        <f t="shared" si="966"/>
        <v>1539355860.1481478</v>
      </c>
      <c r="S272">
        <f t="shared" si="967"/>
        <v>15393.558601481478</v>
      </c>
      <c r="T272">
        <f t="shared" si="968"/>
        <v>15.393558601481478</v>
      </c>
    </row>
    <row r="273" spans="1:20" x14ac:dyDescent="0.25">
      <c r="A273" s="5">
        <v>44320</v>
      </c>
      <c r="B273">
        <v>1.4041999999999999</v>
      </c>
      <c r="C273">
        <v>1.4061999999999999</v>
      </c>
      <c r="D273">
        <v>1.2376</v>
      </c>
      <c r="E273">
        <v>1.2661</v>
      </c>
      <c r="F273">
        <v>34157824.210000001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-0.66192170818505347</v>
      </c>
      <c r="Q273">
        <f t="shared" si="965"/>
        <v>-22609805.348967977</v>
      </c>
      <c r="R273">
        <f t="shared" si="966"/>
        <v>1514795829.1556861</v>
      </c>
      <c r="S273">
        <f t="shared" si="967"/>
        <v>15147.958291556861</v>
      </c>
      <c r="T273">
        <f t="shared" si="968"/>
        <v>15.147958291556861</v>
      </c>
    </row>
    <row r="274" spans="1:20" x14ac:dyDescent="0.25">
      <c r="A274" s="5">
        <v>44319</v>
      </c>
      <c r="B274">
        <v>1.4098999999999999</v>
      </c>
      <c r="C274">
        <v>1.4774</v>
      </c>
      <c r="D274">
        <v>1.389</v>
      </c>
      <c r="E274">
        <v>1.4038999999999999</v>
      </c>
      <c r="F274">
        <v>25357934.59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-0.66289592760181204</v>
      </c>
      <c r="Q274">
        <f t="shared" si="965"/>
        <v>-16809671.572104126</v>
      </c>
      <c r="R274">
        <f t="shared" si="966"/>
        <v>1537405634.5046542</v>
      </c>
      <c r="S274">
        <f t="shared" si="967"/>
        <v>15374.056345046542</v>
      </c>
      <c r="T274">
        <f t="shared" si="968"/>
        <v>15.374056345046542</v>
      </c>
    </row>
    <row r="275" spans="1:20" x14ac:dyDescent="0.25">
      <c r="A275" s="5">
        <v>44318</v>
      </c>
      <c r="B275">
        <v>1.4621999999999999</v>
      </c>
      <c r="C275">
        <v>1.4662999999999999</v>
      </c>
      <c r="D275">
        <v>1.3794999999999999</v>
      </c>
      <c r="E275">
        <v>1.4081999999999999</v>
      </c>
      <c r="F275">
        <v>14568685.34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-0.33870967741935593</v>
      </c>
      <c r="Q275">
        <f t="shared" si="965"/>
        <v>-4934554.7119354997</v>
      </c>
      <c r="R275">
        <f t="shared" si="966"/>
        <v>1554215306.0767584</v>
      </c>
      <c r="S275">
        <f t="shared" si="967"/>
        <v>15542.153060767583</v>
      </c>
      <c r="T275">
        <f t="shared" si="968"/>
        <v>15.542153060767584</v>
      </c>
    </row>
    <row r="276" spans="1:20" x14ac:dyDescent="0.25">
      <c r="A276" s="5">
        <v>44317</v>
      </c>
      <c r="B276">
        <v>1.4882</v>
      </c>
      <c r="C276">
        <v>1.5</v>
      </c>
      <c r="D276">
        <v>1.4131</v>
      </c>
      <c r="E276">
        <v>1.4623999999999999</v>
      </c>
      <c r="F276">
        <v>18597143.309999999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0.13463751438434782</v>
      </c>
      <c r="Q276">
        <f t="shared" si="965"/>
        <v>2503873.1499079028</v>
      </c>
      <c r="R276">
        <f t="shared" si="966"/>
        <v>1559149860.7886939</v>
      </c>
      <c r="S276">
        <f t="shared" si="967"/>
        <v>15591.498607886939</v>
      </c>
      <c r="T276">
        <f t="shared" si="968"/>
        <v>15.591498607886939</v>
      </c>
    </row>
    <row r="277" spans="1:20" x14ac:dyDescent="0.25">
      <c r="A277" s="5">
        <v>44316</v>
      </c>
      <c r="B277">
        <v>1.4576</v>
      </c>
      <c r="C277">
        <v>1.5029999999999999</v>
      </c>
      <c r="D277">
        <v>1.3974</v>
      </c>
      <c r="E277">
        <v>1.4882</v>
      </c>
      <c r="F277">
        <v>23647403.280000001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0.71969696969697095</v>
      </c>
      <c r="Q277">
        <f t="shared" si="965"/>
        <v>17018964.48181821</v>
      </c>
      <c r="R277">
        <f t="shared" si="966"/>
        <v>1556645987.6387861</v>
      </c>
      <c r="S277">
        <f t="shared" si="967"/>
        <v>15566.45987638786</v>
      </c>
      <c r="T277">
        <f t="shared" si="968"/>
        <v>15.56645987638786</v>
      </c>
    </row>
    <row r="278" spans="1:20" x14ac:dyDescent="0.25">
      <c r="A278" s="5">
        <v>44315</v>
      </c>
      <c r="B278">
        <v>1.5485</v>
      </c>
      <c r="C278">
        <v>1.5549999999999999</v>
      </c>
      <c r="D278">
        <v>1.3642000000000001</v>
      </c>
      <c r="E278">
        <v>1.4578</v>
      </c>
      <c r="F278">
        <v>54325284.950000003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-1.886792452830215E-2</v>
      </c>
      <c r="Q278">
        <f t="shared" si="965"/>
        <v>-1025005.3764151087</v>
      </c>
      <c r="R278">
        <f t="shared" si="966"/>
        <v>1539627023.1569679</v>
      </c>
      <c r="S278">
        <f t="shared" si="967"/>
        <v>15396.270231569679</v>
      </c>
      <c r="T278">
        <f t="shared" si="968"/>
        <v>15.396270231569678</v>
      </c>
    </row>
    <row r="279" spans="1:20" x14ac:dyDescent="0.25">
      <c r="A279" s="5">
        <v>44314</v>
      </c>
      <c r="B279">
        <v>1.3117000000000001</v>
      </c>
      <c r="C279">
        <v>1.5579000000000001</v>
      </c>
      <c r="D279">
        <v>1.2761</v>
      </c>
      <c r="E279">
        <v>1.5485</v>
      </c>
      <c r="F279">
        <v>85457568.930000007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0.9332860184528029</v>
      </c>
      <c r="Q279">
        <f t="shared" si="965"/>
        <v>79756354.25333567</v>
      </c>
      <c r="R279">
        <f t="shared" si="966"/>
        <v>1540652028.5333829</v>
      </c>
      <c r="S279">
        <f t="shared" si="967"/>
        <v>15406.520285333829</v>
      </c>
      <c r="T279">
        <f t="shared" si="968"/>
        <v>15.406520285333828</v>
      </c>
    </row>
    <row r="280" spans="1:20" x14ac:dyDescent="0.25">
      <c r="A280" s="5">
        <v>44313</v>
      </c>
      <c r="B280">
        <v>1.2276</v>
      </c>
      <c r="C280">
        <v>1.33</v>
      </c>
      <c r="D280">
        <v>1.2113</v>
      </c>
      <c r="E280">
        <v>1.3106</v>
      </c>
      <c r="F280">
        <v>28639086.27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0.67312552653748814</v>
      </c>
      <c r="Q280">
        <f t="shared" si="965"/>
        <v>19277700.025046296</v>
      </c>
      <c r="R280">
        <f t="shared" si="966"/>
        <v>1460895674.2800472</v>
      </c>
      <c r="S280">
        <f t="shared" si="967"/>
        <v>14608.956742800472</v>
      </c>
      <c r="T280">
        <f t="shared" si="968"/>
        <v>14.608956742800473</v>
      </c>
    </row>
    <row r="281" spans="1:20" x14ac:dyDescent="0.25">
      <c r="A281" s="5">
        <v>44312</v>
      </c>
      <c r="B281">
        <v>1.0953999999999999</v>
      </c>
      <c r="C281">
        <v>1.2478</v>
      </c>
      <c r="D281">
        <v>1.0825</v>
      </c>
      <c r="E281">
        <v>1.2283999999999999</v>
      </c>
      <c r="F281">
        <v>33581746.450000003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0.76527525710828692</v>
      </c>
      <c r="Q281">
        <f t="shared" si="965"/>
        <v>25699279.648669053</v>
      </c>
      <c r="R281">
        <f t="shared" si="966"/>
        <v>1441617974.2550008</v>
      </c>
      <c r="S281">
        <f t="shared" si="967"/>
        <v>14416.179742550008</v>
      </c>
      <c r="T281">
        <f t="shared" si="968"/>
        <v>14.416179742550009</v>
      </c>
    </row>
    <row r="282" spans="1:20" x14ac:dyDescent="0.25">
      <c r="A282" s="5">
        <v>44311</v>
      </c>
      <c r="B282">
        <v>1.1031200000000001</v>
      </c>
      <c r="C282">
        <v>1.1859</v>
      </c>
      <c r="D282">
        <v>1.02641</v>
      </c>
      <c r="E282">
        <v>1.0952</v>
      </c>
      <c r="F282">
        <v>18145918.460000001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-0.13737538403661739</v>
      </c>
      <c r="Q282">
        <f t="shared" si="965"/>
        <v>-2492802.5171396448</v>
      </c>
      <c r="R282">
        <f t="shared" si="966"/>
        <v>1415918694.6063318</v>
      </c>
      <c r="S282">
        <f t="shared" si="967"/>
        <v>14159.186946063319</v>
      </c>
      <c r="T282">
        <f t="shared" si="968"/>
        <v>14.159186946063318</v>
      </c>
    </row>
    <row r="283" spans="1:20" x14ac:dyDescent="0.25">
      <c r="A283" s="5">
        <v>44310</v>
      </c>
      <c r="B283">
        <v>1.23712</v>
      </c>
      <c r="C283">
        <v>1.2379899999999999</v>
      </c>
      <c r="D283">
        <v>1.095</v>
      </c>
      <c r="E283">
        <v>1.10232</v>
      </c>
      <c r="F283">
        <v>25715231.800000001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-0.89761521784740195</v>
      </c>
      <c r="Q283">
        <f t="shared" si="965"/>
        <v>-23082383.394153439</v>
      </c>
      <c r="R283">
        <f t="shared" si="966"/>
        <v>1418411497.1234715</v>
      </c>
      <c r="S283">
        <f t="shared" si="967"/>
        <v>14184.114971234714</v>
      </c>
      <c r="T283">
        <f t="shared" si="968"/>
        <v>14.184114971234715</v>
      </c>
    </row>
    <row r="284" spans="1:20" x14ac:dyDescent="0.25">
      <c r="A284" s="5">
        <v>44309</v>
      </c>
      <c r="B284">
        <v>1.2452399999999999</v>
      </c>
      <c r="C284">
        <v>1.2684299999999999</v>
      </c>
      <c r="D284">
        <v>0.90198999999999996</v>
      </c>
      <c r="E284">
        <v>1.23726</v>
      </c>
      <c r="F284">
        <v>78461491.200000003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0.82987665102063135</v>
      </c>
      <c r="Q284">
        <f t="shared" si="965"/>
        <v>65113359.551140741</v>
      </c>
      <c r="R284">
        <f t="shared" si="966"/>
        <v>1441493880.5176249</v>
      </c>
      <c r="S284">
        <f t="shared" si="967"/>
        <v>14414.938805176249</v>
      </c>
      <c r="T284">
        <f t="shared" si="968"/>
        <v>14.414938805176249</v>
      </c>
    </row>
    <row r="285" spans="1:20" x14ac:dyDescent="0.25">
      <c r="A285" s="5">
        <v>44308</v>
      </c>
      <c r="B285">
        <v>1.3328500000000001</v>
      </c>
      <c r="C285">
        <v>1.4093899999999999</v>
      </c>
      <c r="D285">
        <v>1.1755599999999999</v>
      </c>
      <c r="E285">
        <v>1.24346</v>
      </c>
      <c r="F285">
        <v>61737323.100000001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-0.41923619723730848</v>
      </c>
      <c r="Q285">
        <f t="shared" si="965"/>
        <v>-25882520.56405504</v>
      </c>
      <c r="R285">
        <f t="shared" si="966"/>
        <v>1376380520.9664841</v>
      </c>
      <c r="S285">
        <f t="shared" si="967"/>
        <v>13763.805209664841</v>
      </c>
      <c r="T285">
        <f t="shared" si="968"/>
        <v>13.763805209664842</v>
      </c>
    </row>
    <row r="286" spans="1:20" x14ac:dyDescent="0.25">
      <c r="A286" s="5">
        <v>44307</v>
      </c>
      <c r="B286">
        <v>1.40174</v>
      </c>
      <c r="C286">
        <v>1.4622299999999999</v>
      </c>
      <c r="D286">
        <v>1.29945</v>
      </c>
      <c r="E286">
        <v>1.3307199999999999</v>
      </c>
      <c r="F286">
        <v>60200803.5</v>
      </c>
      <c r="G286">
        <v>0</v>
      </c>
      <c r="L286" t="s">
        <v>7</v>
      </c>
      <c r="M286" t="s">
        <v>8</v>
      </c>
      <c r="N286" t="s">
        <v>8</v>
      </c>
      <c r="P286">
        <f t="shared" si="964"/>
        <v>-0.61580046688782497</v>
      </c>
      <c r="Q286">
        <f t="shared" si="965"/>
        <v>-37071682.90232221</v>
      </c>
      <c r="R286">
        <f t="shared" si="966"/>
        <v>1402263041.530539</v>
      </c>
      <c r="S286">
        <f t="shared" si="967"/>
        <v>14022.63041530539</v>
      </c>
      <c r="T286">
        <f t="shared" si="968"/>
        <v>14.02263041530539</v>
      </c>
    </row>
    <row r="287" spans="1:20" x14ac:dyDescent="0.25">
      <c r="A287" s="5">
        <v>44306</v>
      </c>
      <c r="B287">
        <v>1.3130900000000001</v>
      </c>
      <c r="C287">
        <v>1.4798500000000001</v>
      </c>
      <c r="D287">
        <v>1.1444000000000001</v>
      </c>
      <c r="E287">
        <v>1.4017500000000001</v>
      </c>
      <c r="F287">
        <v>118028998.40000001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0.53435683410344281</v>
      </c>
      <c r="Q287">
        <f t="shared" si="965"/>
        <v>63069601.917424321</v>
      </c>
      <c r="R287">
        <f t="shared" si="966"/>
        <v>1439334724.4328613</v>
      </c>
      <c r="S287">
        <f t="shared" si="967"/>
        <v>14393.347244328614</v>
      </c>
      <c r="T287">
        <f t="shared" si="968"/>
        <v>14.393347244328613</v>
      </c>
    </row>
    <row r="288" spans="1:20" x14ac:dyDescent="0.25">
      <c r="A288" s="5">
        <v>44305</v>
      </c>
      <c r="B288">
        <v>1.3509899999999999</v>
      </c>
      <c r="C288">
        <v>1.43</v>
      </c>
      <c r="D288">
        <v>1.1585399999999999</v>
      </c>
      <c r="E288">
        <v>1.3119400000000001</v>
      </c>
      <c r="F288">
        <v>73591818.799999997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0.1301849259559433</v>
      </c>
      <c r="Q288">
        <f t="shared" si="965"/>
        <v>9580545.4814411961</v>
      </c>
      <c r="R288">
        <f t="shared" si="966"/>
        <v>1376265122.5154369</v>
      </c>
      <c r="S288">
        <f t="shared" si="967"/>
        <v>13762.651225154368</v>
      </c>
      <c r="T288">
        <f t="shared" si="968"/>
        <v>13.762651225154368</v>
      </c>
    </row>
    <row r="289" spans="1:20" x14ac:dyDescent="0.25">
      <c r="A289" s="5">
        <v>44304</v>
      </c>
      <c r="B289">
        <v>1.52024</v>
      </c>
      <c r="C289">
        <v>1.53576</v>
      </c>
      <c r="D289">
        <v>1.0691999999999999</v>
      </c>
      <c r="E289">
        <v>1.35348</v>
      </c>
      <c r="F289">
        <v>107618762.2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0.21862139917695489</v>
      </c>
      <c r="Q289">
        <f t="shared" si="965"/>
        <v>23527764.369855985</v>
      </c>
      <c r="R289">
        <f t="shared" si="966"/>
        <v>1366684577.0339956</v>
      </c>
      <c r="S289">
        <f t="shared" si="967"/>
        <v>13666.845770339956</v>
      </c>
      <c r="T289">
        <f t="shared" si="968"/>
        <v>13.666845770339956</v>
      </c>
    </row>
    <row r="290" spans="1:20" x14ac:dyDescent="0.25">
      <c r="A290" s="5">
        <v>44303</v>
      </c>
      <c r="B290">
        <v>1.3077399999999999</v>
      </c>
      <c r="C290">
        <v>1.67</v>
      </c>
      <c r="D290">
        <v>1.2398800000000001</v>
      </c>
      <c r="E290">
        <v>1.5202500000000001</v>
      </c>
      <c r="F290">
        <v>162218919.90000001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0.30368269320189767</v>
      </c>
      <c r="Q290">
        <f t="shared" si="965"/>
        <v>49263078.483534917</v>
      </c>
      <c r="R290">
        <f t="shared" si="966"/>
        <v>1343156812.6641397</v>
      </c>
      <c r="S290">
        <f t="shared" si="967"/>
        <v>13431.568126641398</v>
      </c>
      <c r="T290">
        <f t="shared" si="968"/>
        <v>13.431568126641398</v>
      </c>
    </row>
    <row r="291" spans="1:20" x14ac:dyDescent="0.25">
      <c r="A291" s="5">
        <v>44302</v>
      </c>
      <c r="B291">
        <v>1.24003</v>
      </c>
      <c r="C291">
        <v>1.345</v>
      </c>
      <c r="D291">
        <v>1.1100000000000001</v>
      </c>
      <c r="E291">
        <v>1.30619</v>
      </c>
      <c r="F291">
        <v>96635617.5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0.66970212765957415</v>
      </c>
      <c r="Q291">
        <f t="shared" si="965"/>
        <v>64717078.647446781</v>
      </c>
      <c r="R291">
        <f t="shared" si="966"/>
        <v>1293893734.1806049</v>
      </c>
      <c r="S291">
        <f t="shared" si="967"/>
        <v>12938.93734180605</v>
      </c>
      <c r="T291">
        <f t="shared" si="968"/>
        <v>12.938937341806049</v>
      </c>
    </row>
    <row r="292" spans="1:20" x14ac:dyDescent="0.25">
      <c r="A292" s="5">
        <v>44301</v>
      </c>
      <c r="B292">
        <v>1.0912299999999999</v>
      </c>
      <c r="C292">
        <v>1.28</v>
      </c>
      <c r="D292">
        <v>1.0704800000000001</v>
      </c>
      <c r="E292">
        <v>1.2410600000000001</v>
      </c>
      <c r="F292">
        <v>79462161.400000006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0.62829324169530365</v>
      </c>
      <c r="Q292">
        <f t="shared" si="965"/>
        <v>49925538.97812143</v>
      </c>
      <c r="R292">
        <f t="shared" si="966"/>
        <v>1229176655.5331581</v>
      </c>
      <c r="S292">
        <f t="shared" si="967"/>
        <v>12291.76655533158</v>
      </c>
      <c r="T292">
        <f t="shared" si="968"/>
        <v>12.291766555331581</v>
      </c>
    </row>
    <row r="293" spans="1:20" x14ac:dyDescent="0.25">
      <c r="A293" s="5">
        <v>44300</v>
      </c>
      <c r="B293">
        <v>1.1181300000000001</v>
      </c>
      <c r="C293">
        <v>1.1255500000000001</v>
      </c>
      <c r="D293">
        <v>1.0020899999999999</v>
      </c>
      <c r="E293">
        <v>1.0933600000000001</v>
      </c>
      <c r="F293">
        <v>32323884.800000001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0.47853555807549153</v>
      </c>
      <c r="Q293">
        <f t="shared" si="965"/>
        <v>15468128.251935897</v>
      </c>
      <c r="R293">
        <f t="shared" si="966"/>
        <v>1179251116.5550365</v>
      </c>
      <c r="S293">
        <f t="shared" si="967"/>
        <v>11792.511165550366</v>
      </c>
      <c r="T293">
        <f t="shared" si="968"/>
        <v>11.792511165550366</v>
      </c>
    </row>
    <row r="294" spans="1:20" x14ac:dyDescent="0.25">
      <c r="A294" s="5">
        <v>44299</v>
      </c>
      <c r="B294">
        <v>1.1300399999999999</v>
      </c>
      <c r="C294">
        <v>1.1445000000000001</v>
      </c>
      <c r="D294">
        <v>1.0378000000000001</v>
      </c>
      <c r="E294">
        <v>1.1180000000000001</v>
      </c>
      <c r="F294">
        <v>35932070.700000003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0.50328022492971014</v>
      </c>
      <c r="Q294">
        <f t="shared" si="965"/>
        <v>18083900.62408625</v>
      </c>
      <c r="R294">
        <f t="shared" si="966"/>
        <v>1163782988.3031006</v>
      </c>
      <c r="S294">
        <f t="shared" si="967"/>
        <v>11637.829883031005</v>
      </c>
      <c r="T294">
        <f t="shared" si="968"/>
        <v>11.637829883031005</v>
      </c>
    </row>
    <row r="295" spans="1:20" x14ac:dyDescent="0.25">
      <c r="A295" s="5">
        <v>44298</v>
      </c>
      <c r="B295">
        <v>1.0727199999999999</v>
      </c>
      <c r="C295">
        <v>1.2074</v>
      </c>
      <c r="D295">
        <v>1.02725</v>
      </c>
      <c r="E295">
        <v>1.1300300000000001</v>
      </c>
      <c r="F295">
        <v>83310849.599999994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0.14104912572856038</v>
      </c>
      <c r="Q295">
        <f t="shared" si="965"/>
        <v>11750922.499783583</v>
      </c>
      <c r="R295">
        <f t="shared" si="966"/>
        <v>1145699087.6790144</v>
      </c>
      <c r="S295">
        <f t="shared" si="967"/>
        <v>11456.990876790145</v>
      </c>
      <c r="T295">
        <f t="shared" si="968"/>
        <v>11.456990876790146</v>
      </c>
    </row>
    <row r="296" spans="1:20" x14ac:dyDescent="0.25">
      <c r="A296" s="5">
        <v>44297</v>
      </c>
      <c r="B296">
        <v>1.01285</v>
      </c>
      <c r="C296">
        <v>1.153</v>
      </c>
      <c r="D296">
        <v>1.0011300000000001</v>
      </c>
      <c r="E296">
        <v>1.07064</v>
      </c>
      <c r="F296">
        <v>68180600.200000003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-8.4611839072891507E-2</v>
      </c>
      <c r="Q296">
        <f t="shared" si="965"/>
        <v>-5768885.972015555</v>
      </c>
      <c r="R296">
        <f t="shared" si="966"/>
        <v>1133948165.1792309</v>
      </c>
      <c r="S296">
        <f t="shared" si="967"/>
        <v>11339.48165179231</v>
      </c>
      <c r="T296">
        <f t="shared" si="968"/>
        <v>11.33948165179231</v>
      </c>
    </row>
    <row r="297" spans="1:20" x14ac:dyDescent="0.25">
      <c r="A297" s="5">
        <v>44296</v>
      </c>
      <c r="B297">
        <v>1.03355</v>
      </c>
      <c r="C297">
        <v>1.0410600000000001</v>
      </c>
      <c r="D297">
        <v>0.97</v>
      </c>
      <c r="E297">
        <v>1.01274</v>
      </c>
      <c r="F297">
        <v>28777464.699999999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0.20292710385589435</v>
      </c>
      <c r="Q297">
        <f t="shared" si="965"/>
        <v>5839727.5678862333</v>
      </c>
      <c r="R297">
        <f t="shared" si="966"/>
        <v>1139717051.1512465</v>
      </c>
      <c r="S297">
        <f t="shared" si="967"/>
        <v>11397.170511512466</v>
      </c>
      <c r="T297">
        <f t="shared" si="968"/>
        <v>11.397170511512465</v>
      </c>
    </row>
    <row r="298" spans="1:20" x14ac:dyDescent="0.25">
      <c r="A298" s="5">
        <v>44295</v>
      </c>
      <c r="B298">
        <v>0.98787000000000003</v>
      </c>
      <c r="C298">
        <v>1.12035</v>
      </c>
      <c r="D298">
        <v>0.98770999999999998</v>
      </c>
      <c r="E298">
        <v>1.03356</v>
      </c>
      <c r="F298">
        <v>74862525.5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-0.30865500603136214</v>
      </c>
      <c r="Q298">
        <f t="shared" si="965"/>
        <v>-23106693.259725504</v>
      </c>
      <c r="R298">
        <f t="shared" si="966"/>
        <v>1133877323.5833604</v>
      </c>
      <c r="S298">
        <f t="shared" si="967"/>
        <v>11338.773235833605</v>
      </c>
      <c r="T298">
        <f t="shared" si="968"/>
        <v>11.338773235833605</v>
      </c>
    </row>
    <row r="299" spans="1:20" x14ac:dyDescent="0.25">
      <c r="A299" s="5">
        <v>44294</v>
      </c>
      <c r="B299">
        <v>0.92969999999999997</v>
      </c>
      <c r="C299">
        <v>1.0192000000000001</v>
      </c>
      <c r="D299">
        <v>0.91191</v>
      </c>
      <c r="E299">
        <v>0.98887999999999998</v>
      </c>
      <c r="F299">
        <v>40940906.299999997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0.43480287072420365</v>
      </c>
      <c r="Q299">
        <f t="shared" si="965"/>
        <v>17801223.589290634</v>
      </c>
      <c r="R299">
        <f t="shared" si="966"/>
        <v>1156984016.843086</v>
      </c>
      <c r="S299">
        <f t="shared" si="967"/>
        <v>11569.840168430859</v>
      </c>
      <c r="T299">
        <f t="shared" si="968"/>
        <v>11.56984016843086</v>
      </c>
    </row>
    <row r="300" spans="1:20" x14ac:dyDescent="0.25">
      <c r="A300" s="5">
        <v>44293</v>
      </c>
      <c r="B300">
        <v>0.95767999999999998</v>
      </c>
      <c r="C300">
        <v>0.96638999999999997</v>
      </c>
      <c r="D300">
        <v>0.83460000000000001</v>
      </c>
      <c r="E300">
        <v>0.92976999999999999</v>
      </c>
      <c r="F300">
        <v>45888668.100000001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0.44426739509826246</v>
      </c>
      <c r="Q300">
        <f t="shared" si="965"/>
        <v>20386839.041315734</v>
      </c>
      <c r="R300">
        <f t="shared" si="966"/>
        <v>1139182793.2537954</v>
      </c>
      <c r="S300">
        <f t="shared" si="967"/>
        <v>11391.827932537954</v>
      </c>
      <c r="T300">
        <f t="shared" si="968"/>
        <v>11.391827932537954</v>
      </c>
    </row>
    <row r="301" spans="1:20" x14ac:dyDescent="0.25">
      <c r="A301" s="5">
        <v>44292</v>
      </c>
      <c r="B301">
        <v>1.00865</v>
      </c>
      <c r="C301">
        <v>1.01183</v>
      </c>
      <c r="D301">
        <v>0.91346000000000005</v>
      </c>
      <c r="E301">
        <v>0.95762000000000003</v>
      </c>
      <c r="F301">
        <v>34878803.200000003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-0.10216529429704185</v>
      </c>
      <c r="Q301">
        <f t="shared" si="965"/>
        <v>-3563403.1936566057</v>
      </c>
      <c r="R301">
        <f t="shared" si="966"/>
        <v>1118795954.2124796</v>
      </c>
      <c r="S301">
        <f t="shared" si="967"/>
        <v>11187.959542124796</v>
      </c>
      <c r="T301">
        <f t="shared" si="968"/>
        <v>11.187959542124796</v>
      </c>
    </row>
    <row r="302" spans="1:20" x14ac:dyDescent="0.25">
      <c r="A302" s="5">
        <v>44291</v>
      </c>
      <c r="B302">
        <v>1.0040199999999999</v>
      </c>
      <c r="C302">
        <v>1.018</v>
      </c>
      <c r="D302">
        <v>0.94506999999999997</v>
      </c>
      <c r="E302">
        <v>1.0085500000000001</v>
      </c>
      <c r="F302">
        <v>51171446.299999997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0.74084738790621274</v>
      </c>
      <c r="Q302">
        <f t="shared" si="965"/>
        <v>37910232.32673803</v>
      </c>
      <c r="R302">
        <f t="shared" si="966"/>
        <v>1122359357.4061363</v>
      </c>
      <c r="S302">
        <f t="shared" si="967"/>
        <v>11223.593574061362</v>
      </c>
      <c r="T302">
        <f t="shared" si="968"/>
        <v>11.223593574061363</v>
      </c>
    </row>
    <row r="303" spans="1:20" x14ac:dyDescent="0.25">
      <c r="A303" s="5">
        <v>44290</v>
      </c>
      <c r="B303">
        <v>0.94391000000000003</v>
      </c>
      <c r="C303">
        <v>1.01559</v>
      </c>
      <c r="D303">
        <v>0.90756000000000003</v>
      </c>
      <c r="E303">
        <v>1.0030399999999999</v>
      </c>
      <c r="F303">
        <v>32939052.100000001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0.76765713227806964</v>
      </c>
      <c r="Q303">
        <f t="shared" si="965"/>
        <v>25285898.275043927</v>
      </c>
      <c r="R303">
        <f t="shared" si="966"/>
        <v>1084449125.0793982</v>
      </c>
      <c r="S303">
        <f t="shared" si="967"/>
        <v>10844.491250793981</v>
      </c>
      <c r="T303">
        <f t="shared" si="968"/>
        <v>10.844491250793981</v>
      </c>
    </row>
    <row r="304" spans="1:20" x14ac:dyDescent="0.25">
      <c r="A304" s="5">
        <v>44289</v>
      </c>
      <c r="B304">
        <v>1.0365200000000001</v>
      </c>
      <c r="C304">
        <v>1.0566</v>
      </c>
      <c r="D304">
        <v>0.92</v>
      </c>
      <c r="E304">
        <v>0.94328000000000001</v>
      </c>
      <c r="F304">
        <v>55224463.100000001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-0.65915080527086423</v>
      </c>
      <c r="Q304">
        <f t="shared" si="965"/>
        <v>-36401249.323016129</v>
      </c>
      <c r="R304">
        <f t="shared" si="966"/>
        <v>1059163226.8043542</v>
      </c>
      <c r="S304">
        <f t="shared" si="967"/>
        <v>10591.632268043542</v>
      </c>
      <c r="T304">
        <f t="shared" si="968"/>
        <v>10.591632268043542</v>
      </c>
    </row>
    <row r="305" spans="1:20" x14ac:dyDescent="0.25">
      <c r="A305" s="5">
        <v>44288</v>
      </c>
      <c r="B305">
        <v>1.01437</v>
      </c>
      <c r="C305">
        <v>1.0713200000000001</v>
      </c>
      <c r="D305">
        <v>0.99531999999999998</v>
      </c>
      <c r="E305">
        <v>1.03623</v>
      </c>
      <c r="F305">
        <v>44534247.700000003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7.657894736842015E-2</v>
      </c>
      <c r="Q305">
        <f t="shared" si="965"/>
        <v>3410385.8107104865</v>
      </c>
      <c r="R305">
        <f t="shared" si="966"/>
        <v>1095564476.1273704</v>
      </c>
      <c r="S305">
        <f t="shared" si="967"/>
        <v>10955.644761273703</v>
      </c>
      <c r="T305">
        <f t="shared" si="968"/>
        <v>10.955644761273703</v>
      </c>
    </row>
    <row r="306" spans="1:20" x14ac:dyDescent="0.25">
      <c r="A306" s="5">
        <v>44287</v>
      </c>
      <c r="B306">
        <v>1.0205</v>
      </c>
      <c r="C306">
        <v>1.07</v>
      </c>
      <c r="D306">
        <v>0.98599999999999999</v>
      </c>
      <c r="E306">
        <v>1.01434</v>
      </c>
      <c r="F306">
        <v>51272237.399999999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-0.3252380952380951</v>
      </c>
      <c r="Q306">
        <f t="shared" si="965"/>
        <v>-16675684.83057142</v>
      </c>
      <c r="R306">
        <f t="shared" si="966"/>
        <v>1092154090.3166599</v>
      </c>
      <c r="S306">
        <f t="shared" si="967"/>
        <v>10921.540903166599</v>
      </c>
      <c r="T306">
        <f t="shared" si="968"/>
        <v>10.921540903166598</v>
      </c>
    </row>
    <row r="307" spans="1:20" x14ac:dyDescent="0.25">
      <c r="A307" s="5">
        <v>44286</v>
      </c>
      <c r="B307">
        <v>1.08927</v>
      </c>
      <c r="C307">
        <v>1.0896300000000001</v>
      </c>
      <c r="D307">
        <v>0.97030000000000005</v>
      </c>
      <c r="E307">
        <v>1.0208600000000001</v>
      </c>
      <c r="F307">
        <v>59084262.299999997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-0.15260202798960815</v>
      </c>
      <c r="Q307">
        <f t="shared" si="965"/>
        <v>-9016378.2492499482</v>
      </c>
      <c r="R307">
        <f t="shared" si="966"/>
        <v>1108829775.1472313</v>
      </c>
      <c r="S307">
        <f t="shared" si="967"/>
        <v>11088.297751472313</v>
      </c>
      <c r="T307">
        <f t="shared" si="968"/>
        <v>11.088297751472313</v>
      </c>
    </row>
    <row r="308" spans="1:20" x14ac:dyDescent="0.25">
      <c r="A308" s="5">
        <v>44285</v>
      </c>
      <c r="B308">
        <v>1.09402</v>
      </c>
      <c r="C308">
        <v>1.12808</v>
      </c>
      <c r="D308">
        <v>1.0421</v>
      </c>
      <c r="E308">
        <v>1.0891299999999999</v>
      </c>
      <c r="F308">
        <v>66842349.799999997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9.3975343103045714E-2</v>
      </c>
      <c r="Q308">
        <f t="shared" si="965"/>
        <v>6281532.7562687984</v>
      </c>
      <c r="R308">
        <f t="shared" si="966"/>
        <v>1117846153.3964813</v>
      </c>
      <c r="S308">
        <f t="shared" si="967"/>
        <v>11178.461533964813</v>
      </c>
      <c r="T308">
        <f t="shared" si="968"/>
        <v>11.178461533964814</v>
      </c>
    </row>
    <row r="309" spans="1:20" x14ac:dyDescent="0.25">
      <c r="A309" s="5">
        <v>44284</v>
      </c>
      <c r="B309">
        <v>1.143</v>
      </c>
      <c r="C309">
        <v>1.18</v>
      </c>
      <c r="D309">
        <v>1.0456099999999999</v>
      </c>
      <c r="E309">
        <v>1.0918600000000001</v>
      </c>
      <c r="F309">
        <v>110520742.09999999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-0.31170473993600534</v>
      </c>
      <c r="Q309">
        <f t="shared" si="965"/>
        <v>-34449839.173814811</v>
      </c>
      <c r="R309">
        <f t="shared" si="966"/>
        <v>1111564620.6402125</v>
      </c>
      <c r="S309">
        <f t="shared" si="967"/>
        <v>11115.646206402125</v>
      </c>
      <c r="T309">
        <f t="shared" si="968"/>
        <v>11.115646206402126</v>
      </c>
    </row>
    <row r="310" spans="1:20" x14ac:dyDescent="0.25">
      <c r="A310" s="5">
        <v>44283</v>
      </c>
      <c r="B310">
        <v>0.92500000000000004</v>
      </c>
      <c r="C310">
        <v>1.1831499999999999</v>
      </c>
      <c r="D310">
        <v>0.90500999999999998</v>
      </c>
      <c r="E310">
        <v>1.14178</v>
      </c>
      <c r="F310">
        <v>195763105.90000001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0.7025239088228955</v>
      </c>
      <c r="Q310">
        <f t="shared" si="965"/>
        <v>137528262.36017844</v>
      </c>
      <c r="R310">
        <f t="shared" si="966"/>
        <v>1146014459.8140273</v>
      </c>
      <c r="S310">
        <f t="shared" si="967"/>
        <v>11460.144598140274</v>
      </c>
      <c r="T310">
        <f t="shared" si="968"/>
        <v>11.460144598140275</v>
      </c>
    </row>
    <row r="311" spans="1:20" x14ac:dyDescent="0.25">
      <c r="A311" s="5">
        <v>44282</v>
      </c>
      <c r="B311">
        <v>0.89600000000000002</v>
      </c>
      <c r="C311">
        <v>0.98499999999999999</v>
      </c>
      <c r="D311">
        <v>0.85365999999999997</v>
      </c>
      <c r="E311">
        <v>0.92435</v>
      </c>
      <c r="F311">
        <v>67946607.700000003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7.6442820161413488E-2</v>
      </c>
      <c r="Q311">
        <f t="shared" si="965"/>
        <v>5194030.3129892135</v>
      </c>
      <c r="R311">
        <f t="shared" si="966"/>
        <v>1008486197.4538488</v>
      </c>
      <c r="S311">
        <f t="shared" si="967"/>
        <v>10084.861974538488</v>
      </c>
      <c r="T311">
        <f t="shared" si="968"/>
        <v>10.084861974538487</v>
      </c>
    </row>
    <row r="312" spans="1:20" x14ac:dyDescent="0.25">
      <c r="A312" s="5">
        <v>44281</v>
      </c>
      <c r="B312">
        <v>0.81777999999999995</v>
      </c>
      <c r="C312">
        <v>0.91129000000000004</v>
      </c>
      <c r="D312">
        <v>0.81749000000000005</v>
      </c>
      <c r="E312">
        <v>0.89597000000000004</v>
      </c>
      <c r="F312">
        <v>35904848.200000003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0.67334754797441365</v>
      </c>
      <c r="Q312">
        <f t="shared" si="965"/>
        <v>24176441.495863542</v>
      </c>
      <c r="R312">
        <f t="shared" si="966"/>
        <v>1003292167.1408596</v>
      </c>
      <c r="S312">
        <f t="shared" si="967"/>
        <v>10032.921671408596</v>
      </c>
      <c r="T312">
        <f t="shared" si="968"/>
        <v>10.032921671408596</v>
      </c>
    </row>
    <row r="313" spans="1:20" x14ac:dyDescent="0.25">
      <c r="A313" s="5">
        <v>44280</v>
      </c>
      <c r="B313">
        <v>0.85096000000000005</v>
      </c>
      <c r="C313">
        <v>0.88880000000000003</v>
      </c>
      <c r="D313">
        <v>0.8</v>
      </c>
      <c r="E313">
        <v>0.81650999999999996</v>
      </c>
      <c r="F313">
        <v>44142877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-0.62815315315315501</v>
      </c>
      <c r="Q313">
        <f t="shared" si="965"/>
        <v>-27728487.376801882</v>
      </c>
      <c r="R313">
        <f t="shared" si="966"/>
        <v>979115725.64499605</v>
      </c>
      <c r="S313">
        <f t="shared" si="967"/>
        <v>9791.1572564499602</v>
      </c>
      <c r="T313">
        <f t="shared" si="968"/>
        <v>9.79115725644996</v>
      </c>
    </row>
    <row r="314" spans="1:20" x14ac:dyDescent="0.25">
      <c r="A314" s="5">
        <v>44279</v>
      </c>
      <c r="B314">
        <v>0.84694000000000003</v>
      </c>
      <c r="C314">
        <v>1</v>
      </c>
      <c r="D314">
        <v>0.82</v>
      </c>
      <c r="E314">
        <v>0.85096000000000005</v>
      </c>
      <c r="F314">
        <v>83163522.099999994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-0.65599999999999903</v>
      </c>
      <c r="Q314">
        <f t="shared" si="965"/>
        <v>-54555270.497599915</v>
      </c>
      <c r="R314">
        <f t="shared" si="966"/>
        <v>1006844213.0217979</v>
      </c>
      <c r="S314">
        <f t="shared" si="967"/>
        <v>10068.442130217978</v>
      </c>
      <c r="T314">
        <f t="shared" si="968"/>
        <v>10.068442130217978</v>
      </c>
    </row>
    <row r="315" spans="1:20" x14ac:dyDescent="0.25">
      <c r="A315" s="5">
        <v>44278</v>
      </c>
      <c r="B315">
        <v>0.91512000000000004</v>
      </c>
      <c r="C315">
        <v>0.92227000000000003</v>
      </c>
      <c r="D315">
        <v>0.81376000000000004</v>
      </c>
      <c r="E315">
        <v>0.84760000000000002</v>
      </c>
      <c r="F315">
        <v>46732729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-0.37627868399225911</v>
      </c>
      <c r="Q315">
        <f t="shared" si="965"/>
        <v>-17584529.767486881</v>
      </c>
      <c r="R315">
        <f t="shared" si="966"/>
        <v>1061399483.5193979</v>
      </c>
      <c r="S315">
        <f t="shared" si="967"/>
        <v>10613.994835193978</v>
      </c>
      <c r="T315">
        <f t="shared" si="968"/>
        <v>10.613994835193978</v>
      </c>
    </row>
    <row r="316" spans="1:20" x14ac:dyDescent="0.25">
      <c r="A316" s="5">
        <v>44277</v>
      </c>
      <c r="B316">
        <v>0.98029999999999995</v>
      </c>
      <c r="C316">
        <v>0.98980000000000001</v>
      </c>
      <c r="D316">
        <v>0.88500000000000001</v>
      </c>
      <c r="E316">
        <v>0.91510999999999998</v>
      </c>
      <c r="F316">
        <v>48965577.799999997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-0.42538167938931359</v>
      </c>
      <c r="Q316">
        <f t="shared" si="965"/>
        <v>-20829059.71683209</v>
      </c>
      <c r="R316">
        <f t="shared" si="966"/>
        <v>1078984013.2868848</v>
      </c>
      <c r="S316">
        <f t="shared" si="967"/>
        <v>10789.840132868849</v>
      </c>
      <c r="T316">
        <f t="shared" si="968"/>
        <v>10.789840132868848</v>
      </c>
    </row>
    <row r="317" spans="1:20" x14ac:dyDescent="0.25">
      <c r="A317" s="5">
        <v>44276</v>
      </c>
      <c r="B317">
        <v>0.89712999999999998</v>
      </c>
      <c r="C317">
        <v>1.0272399999999999</v>
      </c>
      <c r="D317">
        <v>0.87373000000000001</v>
      </c>
      <c r="E317">
        <v>0.98207</v>
      </c>
      <c r="F317">
        <v>70460767.799999997</v>
      </c>
      <c r="G317">
        <v>0</v>
      </c>
      <c r="L317" t="s">
        <v>8</v>
      </c>
      <c r="M317" t="s">
        <v>7</v>
      </c>
      <c r="N317" t="s">
        <v>7</v>
      </c>
      <c r="P317">
        <f t="shared" si="964"/>
        <v>0.41150413653833684</v>
      </c>
      <c r="Q317">
        <f t="shared" si="965"/>
        <v>28994897.413367245</v>
      </c>
      <c r="R317">
        <f t="shared" si="966"/>
        <v>1099813073.0037169</v>
      </c>
      <c r="S317">
        <f t="shared" si="967"/>
        <v>10998.13073003717</v>
      </c>
      <c r="T317">
        <f t="shared" si="968"/>
        <v>10.99813073003717</v>
      </c>
    </row>
    <row r="318" spans="1:20" x14ac:dyDescent="0.25">
      <c r="A318" s="5">
        <v>44275</v>
      </c>
      <c r="B318">
        <v>0.96284999999999998</v>
      </c>
      <c r="C318">
        <v>1.0189999999999999</v>
      </c>
      <c r="D318">
        <v>0.88682000000000005</v>
      </c>
      <c r="E318">
        <v>0.89490000000000003</v>
      </c>
      <c r="F318">
        <v>56291451.100000001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-0.87774247238614034</v>
      </c>
      <c r="Q318">
        <f t="shared" si="965"/>
        <v>-49409397.462717518</v>
      </c>
      <c r="R318">
        <f t="shared" si="966"/>
        <v>1070818175.5903497</v>
      </c>
      <c r="S318">
        <f t="shared" si="967"/>
        <v>10708.181755903497</v>
      </c>
      <c r="T318">
        <f t="shared" si="968"/>
        <v>10.708181755903498</v>
      </c>
    </row>
    <row r="319" spans="1:20" x14ac:dyDescent="0.25">
      <c r="A319" s="5">
        <v>44274</v>
      </c>
      <c r="B319">
        <v>0.97987000000000002</v>
      </c>
      <c r="C319">
        <v>1.02582</v>
      </c>
      <c r="D319">
        <v>0.94</v>
      </c>
      <c r="E319">
        <v>0.96220000000000006</v>
      </c>
      <c r="F319">
        <v>60132733.700000003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-0.48263807970169875</v>
      </c>
      <c r="Q319">
        <f t="shared" si="965"/>
        <v>-29022347.120181628</v>
      </c>
      <c r="R319">
        <f t="shared" si="966"/>
        <v>1120227573.0530672</v>
      </c>
      <c r="S319">
        <f t="shared" si="967"/>
        <v>11202.275730530671</v>
      </c>
      <c r="T319">
        <f t="shared" si="968"/>
        <v>11.202275730530671</v>
      </c>
    </row>
    <row r="320" spans="1:20" x14ac:dyDescent="0.25">
      <c r="A320" s="5">
        <v>44273</v>
      </c>
      <c r="B320">
        <v>1.06003</v>
      </c>
      <c r="C320">
        <v>1.08</v>
      </c>
      <c r="D320">
        <v>0.96257999999999999</v>
      </c>
      <c r="E320">
        <v>0.97987000000000002</v>
      </c>
      <c r="F320">
        <v>122558833.7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-0.70550161812297707</v>
      </c>
      <c r="Q320">
        <f t="shared" si="965"/>
        <v>-86465455.490614861</v>
      </c>
      <c r="R320">
        <f t="shared" si="966"/>
        <v>1149249920.1732488</v>
      </c>
      <c r="S320">
        <f t="shared" si="967"/>
        <v>11492.499201732488</v>
      </c>
      <c r="T320">
        <f t="shared" si="968"/>
        <v>11.492499201732487</v>
      </c>
    </row>
    <row r="321" spans="1:20" x14ac:dyDescent="0.25">
      <c r="A321" s="5">
        <v>44272</v>
      </c>
      <c r="B321">
        <v>0.90900000000000003</v>
      </c>
      <c r="C321">
        <v>1.0900000000000001</v>
      </c>
      <c r="D321">
        <v>0.77500000000000002</v>
      </c>
      <c r="E321">
        <v>1.05941</v>
      </c>
      <c r="F321">
        <v>256363242.40000001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0.80577777777777704</v>
      </c>
      <c r="Q321">
        <f t="shared" si="965"/>
        <v>206571803.7649776</v>
      </c>
      <c r="R321">
        <f t="shared" si="966"/>
        <v>1235715375.6638637</v>
      </c>
      <c r="S321">
        <f t="shared" si="967"/>
        <v>12357.153756638636</v>
      </c>
      <c r="T321">
        <f t="shared" si="968"/>
        <v>12.357153756638636</v>
      </c>
    </row>
    <row r="322" spans="1:20" x14ac:dyDescent="0.25">
      <c r="A322" s="5">
        <v>44271</v>
      </c>
      <c r="B322">
        <v>1.04999</v>
      </c>
      <c r="C322">
        <v>1.07551</v>
      </c>
      <c r="D322">
        <v>0.84440000000000004</v>
      </c>
      <c r="E322">
        <v>0.90915000000000001</v>
      </c>
      <c r="F322">
        <v>133938803.90000001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-0.43966076759984429</v>
      </c>
      <c r="Q322">
        <f t="shared" si="965"/>
        <v>-58887637.33407902</v>
      </c>
      <c r="R322">
        <f t="shared" si="966"/>
        <v>1029143571.898886</v>
      </c>
      <c r="S322">
        <f t="shared" si="967"/>
        <v>10291.43571898886</v>
      </c>
      <c r="T322">
        <f t="shared" si="968"/>
        <v>10.291435718988859</v>
      </c>
    </row>
    <row r="323" spans="1:20" x14ac:dyDescent="0.25">
      <c r="A323" s="5">
        <v>44270</v>
      </c>
      <c r="B323">
        <v>1.01447</v>
      </c>
      <c r="C323">
        <v>1.14438</v>
      </c>
      <c r="D323">
        <v>0.93244000000000005</v>
      </c>
      <c r="E323">
        <v>1.05</v>
      </c>
      <c r="F323">
        <v>200858839.19999999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0.10937057657827734</v>
      </c>
      <c r="Q323">
        <f t="shared" si="965"/>
        <v>21968047.054147493</v>
      </c>
      <c r="R323">
        <f t="shared" si="966"/>
        <v>1088031209.232965</v>
      </c>
      <c r="S323">
        <f t="shared" si="967"/>
        <v>10880.31209232965</v>
      </c>
      <c r="T323">
        <f t="shared" si="968"/>
        <v>10.88031209232965</v>
      </c>
    </row>
    <row r="324" spans="1:20" x14ac:dyDescent="0.25">
      <c r="A324" s="5">
        <v>44269</v>
      </c>
      <c r="B324">
        <v>0.97435000000000005</v>
      </c>
      <c r="C324">
        <v>1.2150000000000001</v>
      </c>
      <c r="D324">
        <v>0.87073999999999996</v>
      </c>
      <c r="E324">
        <v>1.014</v>
      </c>
      <c r="F324">
        <v>504742437.10000002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-0.16772207052808921</v>
      </c>
      <c r="Q324">
        <f t="shared" si="965"/>
        <v>-84656446.633805841</v>
      </c>
      <c r="R324">
        <f t="shared" si="966"/>
        <v>1066063162.1788174</v>
      </c>
      <c r="S324">
        <f t="shared" si="967"/>
        <v>10660.631621788174</v>
      </c>
      <c r="T324">
        <f t="shared" si="968"/>
        <v>10.660631621788173</v>
      </c>
    </row>
    <row r="325" spans="1:20" x14ac:dyDescent="0.25">
      <c r="A325" s="5">
        <v>44268</v>
      </c>
      <c r="B325">
        <v>0.65856999999999999</v>
      </c>
      <c r="C325">
        <v>1.1910000000000001</v>
      </c>
      <c r="D325">
        <v>0.60424999999999995</v>
      </c>
      <c r="E325">
        <v>0.97441999999999995</v>
      </c>
      <c r="F325">
        <v>744266820.20000005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0.26176395398380892</v>
      </c>
      <c r="Q325">
        <f t="shared" si="965"/>
        <v>194822225.6745086</v>
      </c>
      <c r="R325">
        <f t="shared" si="966"/>
        <v>1150719608.8126233</v>
      </c>
      <c r="S325">
        <f t="shared" si="967"/>
        <v>11507.196088126233</v>
      </c>
      <c r="T325">
        <f t="shared" si="968"/>
        <v>11.507196088126234</v>
      </c>
    </row>
    <row r="326" spans="1:20" x14ac:dyDescent="0.25">
      <c r="A326" s="5">
        <v>44267</v>
      </c>
      <c r="B326">
        <v>0.52154999999999996</v>
      </c>
      <c r="C326">
        <v>0.68500000000000005</v>
      </c>
      <c r="D326">
        <v>0.51614000000000004</v>
      </c>
      <c r="E326">
        <v>0.65939000000000003</v>
      </c>
      <c r="F326">
        <v>208020685.40000001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0.69667179912353405</v>
      </c>
      <c r="Q326">
        <f t="shared" ref="Q326:Q389" si="970">F326*P326</f>
        <v>144922145.15252867</v>
      </c>
      <c r="R326">
        <f t="shared" ref="R326:R389" si="971">R327+Q326</f>
        <v>955897383.13811469</v>
      </c>
      <c r="S326">
        <f t="shared" ref="S326:S389" si="972">R326/100000</f>
        <v>9558.9738313811467</v>
      </c>
      <c r="T326">
        <f t="shared" ref="T326:T389" si="973">S326/1000</f>
        <v>9.558973831381147</v>
      </c>
    </row>
    <row r="327" spans="1:20" x14ac:dyDescent="0.25">
      <c r="A327" s="5">
        <v>44266</v>
      </c>
      <c r="B327">
        <v>0.47968</v>
      </c>
      <c r="C327">
        <v>0.56108000000000002</v>
      </c>
      <c r="D327">
        <v>0.47110999999999997</v>
      </c>
      <c r="E327">
        <v>0.52102999999999999</v>
      </c>
      <c r="F327">
        <v>118602189.09999999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0.10970323441147031</v>
      </c>
      <c r="Q327">
        <f t="shared" si="970"/>
        <v>13011043.752550829</v>
      </c>
      <c r="R327">
        <f t="shared" si="971"/>
        <v>810975237.98558605</v>
      </c>
      <c r="S327">
        <f t="shared" si="972"/>
        <v>8109.7523798558605</v>
      </c>
      <c r="T327">
        <f t="shared" si="973"/>
        <v>8.1097523798558608</v>
      </c>
    </row>
    <row r="328" spans="1:20" x14ac:dyDescent="0.25">
      <c r="A328" s="5">
        <v>44265</v>
      </c>
      <c r="B328">
        <v>0.54810000000000003</v>
      </c>
      <c r="C328">
        <v>0.56194999999999995</v>
      </c>
      <c r="D328">
        <v>0.47588999999999998</v>
      </c>
      <c r="E328">
        <v>0.48082999999999998</v>
      </c>
      <c r="F328">
        <v>104669464.5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-0.88519637462235645</v>
      </c>
      <c r="Q328">
        <f t="shared" si="970"/>
        <v>-92653030.509063438</v>
      </c>
      <c r="R328">
        <f t="shared" si="971"/>
        <v>797964194.23303521</v>
      </c>
      <c r="S328">
        <f t="shared" si="972"/>
        <v>7979.6419423303523</v>
      </c>
      <c r="T328">
        <f t="shared" si="973"/>
        <v>7.9796419423303524</v>
      </c>
    </row>
    <row r="329" spans="1:20" x14ac:dyDescent="0.25">
      <c r="A329" s="5">
        <v>44264</v>
      </c>
      <c r="B329">
        <v>0.48577999999999999</v>
      </c>
      <c r="C329">
        <v>0.59399999999999997</v>
      </c>
      <c r="D329">
        <v>0.48530000000000001</v>
      </c>
      <c r="E329">
        <v>0.54823</v>
      </c>
      <c r="F329">
        <v>217148660.59999999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0.15786568537258522</v>
      </c>
      <c r="Q329">
        <f t="shared" si="970"/>
        <v>34280322.13335789</v>
      </c>
      <c r="R329">
        <f t="shared" si="971"/>
        <v>890617224.74209869</v>
      </c>
      <c r="S329">
        <f t="shared" si="972"/>
        <v>8906.1722474209873</v>
      </c>
      <c r="T329">
        <f t="shared" si="973"/>
        <v>8.9061722474209866</v>
      </c>
    </row>
    <row r="330" spans="1:20" x14ac:dyDescent="0.25">
      <c r="A330" s="5">
        <v>44263</v>
      </c>
      <c r="B330">
        <v>0.40128000000000003</v>
      </c>
      <c r="C330">
        <v>0.4995</v>
      </c>
      <c r="D330">
        <v>0.40127000000000002</v>
      </c>
      <c r="E330">
        <v>0.48592999999999997</v>
      </c>
      <c r="F330">
        <v>167840119.69999999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0.72370966099969403</v>
      </c>
      <c r="Q330">
        <f t="shared" si="970"/>
        <v>121467516.13023506</v>
      </c>
      <c r="R330">
        <f t="shared" si="971"/>
        <v>856336902.60874081</v>
      </c>
      <c r="S330">
        <f t="shared" si="972"/>
        <v>8563.3690260874082</v>
      </c>
      <c r="T330">
        <f t="shared" si="973"/>
        <v>8.5633690260874076</v>
      </c>
    </row>
    <row r="331" spans="1:20" x14ac:dyDescent="0.25">
      <c r="A331" s="5">
        <v>44262</v>
      </c>
      <c r="B331">
        <v>0.3599</v>
      </c>
      <c r="C331">
        <v>0.42</v>
      </c>
      <c r="D331">
        <v>0.34805000000000003</v>
      </c>
      <c r="E331">
        <v>0.4012</v>
      </c>
      <c r="F331">
        <v>69115308.900000006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0.47741487143849914</v>
      </c>
      <c r="Q331">
        <f t="shared" si="970"/>
        <v>32996676.312925659</v>
      </c>
      <c r="R331">
        <f t="shared" si="971"/>
        <v>734869386.47850573</v>
      </c>
      <c r="S331">
        <f t="shared" si="972"/>
        <v>7348.6938647850575</v>
      </c>
      <c r="T331">
        <f t="shared" si="973"/>
        <v>7.3486938647850577</v>
      </c>
    </row>
    <row r="332" spans="1:20" x14ac:dyDescent="0.25">
      <c r="A332" s="5">
        <v>44261</v>
      </c>
      <c r="B332">
        <v>0.37492999999999999</v>
      </c>
      <c r="C332">
        <v>0.38590000000000002</v>
      </c>
      <c r="D332">
        <v>0.33879999999999999</v>
      </c>
      <c r="E332">
        <v>0.36004999999999998</v>
      </c>
      <c r="F332">
        <v>64148099.100000001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-9.76645435244171E-2</v>
      </c>
      <c r="Q332">
        <f t="shared" si="970"/>
        <v>-6264994.8165605711</v>
      </c>
      <c r="R332">
        <f t="shared" si="971"/>
        <v>701872710.16558003</v>
      </c>
      <c r="S332">
        <f t="shared" si="972"/>
        <v>7018.7271016558007</v>
      </c>
      <c r="T332">
        <f t="shared" si="973"/>
        <v>7.0187271016558004</v>
      </c>
    </row>
    <row r="333" spans="1:20" x14ac:dyDescent="0.25">
      <c r="A333" s="5">
        <v>44260</v>
      </c>
      <c r="B333">
        <v>0.41888999999999998</v>
      </c>
      <c r="C333">
        <v>0.42598999999999998</v>
      </c>
      <c r="D333">
        <v>0.35670000000000002</v>
      </c>
      <c r="E333">
        <v>0.37486999999999998</v>
      </c>
      <c r="F333">
        <v>129549915.5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-0.47553759561264325</v>
      </c>
      <c r="Q333">
        <f t="shared" si="970"/>
        <v>-61605855.328691103</v>
      </c>
      <c r="R333">
        <f t="shared" si="971"/>
        <v>708137704.98214066</v>
      </c>
      <c r="S333">
        <f t="shared" si="972"/>
        <v>7081.3770498214062</v>
      </c>
      <c r="T333">
        <f t="shared" si="973"/>
        <v>7.0813770498214064</v>
      </c>
    </row>
    <row r="334" spans="1:20" x14ac:dyDescent="0.25">
      <c r="A334" s="5">
        <v>44259</v>
      </c>
      <c r="B334">
        <v>0.34787000000000001</v>
      </c>
      <c r="C334">
        <v>0.44735000000000003</v>
      </c>
      <c r="D334">
        <v>0.33323000000000003</v>
      </c>
      <c r="E334">
        <v>0.41899999999999998</v>
      </c>
      <c r="F334">
        <v>288094497.30000001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0.50315457413249143</v>
      </c>
      <c r="Q334">
        <f t="shared" si="970"/>
        <v>144956064.0988957</v>
      </c>
      <c r="R334">
        <f t="shared" si="971"/>
        <v>769743560.31083179</v>
      </c>
      <c r="S334">
        <f t="shared" si="972"/>
        <v>7697.435603108318</v>
      </c>
      <c r="T334">
        <f t="shared" si="973"/>
        <v>7.6974356031083184</v>
      </c>
    </row>
    <row r="335" spans="1:20" x14ac:dyDescent="0.25">
      <c r="A335" s="5">
        <v>44258</v>
      </c>
      <c r="B335">
        <v>0.28048000000000001</v>
      </c>
      <c r="C335">
        <v>0.34855999999999998</v>
      </c>
      <c r="D335">
        <v>0.27338000000000001</v>
      </c>
      <c r="E335">
        <v>0.34849000000000002</v>
      </c>
      <c r="F335">
        <v>100306189.5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0.99813780260707741</v>
      </c>
      <c r="Q335">
        <f t="shared" si="970"/>
        <v>100119399.5754191</v>
      </c>
      <c r="R335">
        <f t="shared" si="971"/>
        <v>624787496.21193612</v>
      </c>
      <c r="S335">
        <f t="shared" si="972"/>
        <v>6247.874962119361</v>
      </c>
      <c r="T335">
        <f t="shared" si="973"/>
        <v>6.2478749621193614</v>
      </c>
    </row>
    <row r="336" spans="1:20" x14ac:dyDescent="0.25">
      <c r="A336" s="5">
        <v>44257</v>
      </c>
      <c r="B336">
        <v>0.25966</v>
      </c>
      <c r="C336">
        <v>0.28999999999999998</v>
      </c>
      <c r="D336">
        <v>0.252</v>
      </c>
      <c r="E336">
        <v>0.28098000000000001</v>
      </c>
      <c r="F336">
        <v>47091120.100000001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0.52526315789473799</v>
      </c>
      <c r="Q336">
        <f t="shared" si="970"/>
        <v>24735230.452526372</v>
      </c>
      <c r="R336">
        <f t="shared" si="971"/>
        <v>524668096.63651705</v>
      </c>
      <c r="S336">
        <f t="shared" si="972"/>
        <v>5246.6809663651702</v>
      </c>
      <c r="T336">
        <f t="shared" si="973"/>
        <v>5.2466809663651706</v>
      </c>
    </row>
    <row r="337" spans="1:20" x14ac:dyDescent="0.25">
      <c r="A337" s="5">
        <v>44256</v>
      </c>
      <c r="B337">
        <v>0.23710999999999999</v>
      </c>
      <c r="C337">
        <v>0.26</v>
      </c>
      <c r="D337">
        <v>0.23394999999999999</v>
      </c>
      <c r="E337">
        <v>0.25964999999999999</v>
      </c>
      <c r="F337">
        <v>23076602.899999999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0.97312859884836722</v>
      </c>
      <c r="Q337">
        <f t="shared" si="970"/>
        <v>22456502.246257167</v>
      </c>
      <c r="R337">
        <f t="shared" si="971"/>
        <v>499932866.18399066</v>
      </c>
      <c r="S337">
        <f t="shared" si="972"/>
        <v>4999.328661839907</v>
      </c>
      <c r="T337">
        <f t="shared" si="973"/>
        <v>4.9993286618399067</v>
      </c>
    </row>
    <row r="338" spans="1:20" x14ac:dyDescent="0.25">
      <c r="A338" s="5">
        <v>44255</v>
      </c>
      <c r="B338">
        <v>0.25194</v>
      </c>
      <c r="C338">
        <v>0.25595000000000001</v>
      </c>
      <c r="D338">
        <v>0.22019</v>
      </c>
      <c r="E338">
        <v>0.23691000000000001</v>
      </c>
      <c r="F338">
        <v>24907005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-6.487695749440682E-2</v>
      </c>
      <c r="Q338">
        <f t="shared" si="970"/>
        <v>-1615890.7046979782</v>
      </c>
      <c r="R338">
        <f t="shared" si="971"/>
        <v>477476363.93773347</v>
      </c>
      <c r="S338">
        <f t="shared" si="972"/>
        <v>4774.7636393773346</v>
      </c>
      <c r="T338">
        <f t="shared" si="973"/>
        <v>4.7747636393773343</v>
      </c>
    </row>
    <row r="339" spans="1:20" x14ac:dyDescent="0.25">
      <c r="A339" s="5">
        <v>44254</v>
      </c>
      <c r="B339">
        <v>0.25002999999999997</v>
      </c>
      <c r="C339">
        <v>0.26329000000000002</v>
      </c>
      <c r="D339">
        <v>0.24517</v>
      </c>
      <c r="E339">
        <v>0.25281999999999999</v>
      </c>
      <c r="F339">
        <v>20693660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-0.15562913907284995</v>
      </c>
      <c r="Q339">
        <f t="shared" si="970"/>
        <v>-3220536.4900662722</v>
      </c>
      <c r="R339">
        <f t="shared" si="971"/>
        <v>479092254.64243144</v>
      </c>
      <c r="S339">
        <f t="shared" si="972"/>
        <v>4790.9225464243145</v>
      </c>
      <c r="T339">
        <f t="shared" si="973"/>
        <v>4.7909225464243148</v>
      </c>
    </row>
    <row r="340" spans="1:20" x14ac:dyDescent="0.25">
      <c r="A340" s="5">
        <v>44253</v>
      </c>
      <c r="B340">
        <v>0.25681999999999999</v>
      </c>
      <c r="C340">
        <v>0.26883000000000001</v>
      </c>
      <c r="D340">
        <v>0.22291</v>
      </c>
      <c r="E340">
        <v>0.25002999999999997</v>
      </c>
      <c r="F340">
        <v>47895144.700000003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0.18118466898954563</v>
      </c>
      <c r="Q340">
        <f t="shared" si="970"/>
        <v>8677865.9386758916</v>
      </c>
      <c r="R340">
        <f t="shared" si="971"/>
        <v>482312791.13249773</v>
      </c>
      <c r="S340">
        <f t="shared" si="972"/>
        <v>4823.1279113249775</v>
      </c>
      <c r="T340">
        <f t="shared" si="973"/>
        <v>4.8231279113249776</v>
      </c>
    </row>
    <row r="341" spans="1:20" x14ac:dyDescent="0.25">
      <c r="A341" s="5">
        <v>44252</v>
      </c>
      <c r="B341">
        <v>0.24765000000000001</v>
      </c>
      <c r="C341">
        <v>0.28999999999999998</v>
      </c>
      <c r="D341">
        <v>0.23580999999999999</v>
      </c>
      <c r="E341">
        <v>0.25613000000000002</v>
      </c>
      <c r="F341">
        <v>46889393.799999997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-0.25004613397305642</v>
      </c>
      <c r="Q341">
        <f t="shared" si="970"/>
        <v>-11724511.6440302</v>
      </c>
      <c r="R341">
        <f t="shared" si="971"/>
        <v>473634925.19382185</v>
      </c>
      <c r="S341">
        <f t="shared" si="972"/>
        <v>4736.3492519382189</v>
      </c>
      <c r="T341">
        <f t="shared" si="973"/>
        <v>4.7363492519382193</v>
      </c>
    </row>
    <row r="342" spans="1:20" x14ac:dyDescent="0.25">
      <c r="A342" s="5">
        <v>44251</v>
      </c>
      <c r="B342">
        <v>0.23335</v>
      </c>
      <c r="C342">
        <v>0.26563999999999999</v>
      </c>
      <c r="D342">
        <v>0.21989</v>
      </c>
      <c r="E342">
        <v>0.24722</v>
      </c>
      <c r="F342">
        <v>41091461.399999999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0.19475409836065583</v>
      </c>
      <c r="Q342">
        <f t="shared" si="970"/>
        <v>8002730.5152786914</v>
      </c>
      <c r="R342">
        <f t="shared" si="971"/>
        <v>485359436.83785206</v>
      </c>
      <c r="S342">
        <f t="shared" si="972"/>
        <v>4853.5943683785208</v>
      </c>
      <c r="T342">
        <f t="shared" si="973"/>
        <v>4.8535943683785208</v>
      </c>
    </row>
    <row r="343" spans="1:20" x14ac:dyDescent="0.25">
      <c r="A343" s="5">
        <v>44250</v>
      </c>
      <c r="B343">
        <v>0.27178000000000002</v>
      </c>
      <c r="C343">
        <v>0.27500000000000002</v>
      </c>
      <c r="D343">
        <v>0.186</v>
      </c>
      <c r="E343">
        <v>0.23308000000000001</v>
      </c>
      <c r="F343">
        <v>85185857.599999994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5.7977528089887605E-2</v>
      </c>
      <c r="Q343">
        <f t="shared" si="970"/>
        <v>4938865.4518651655</v>
      </c>
      <c r="R343">
        <f t="shared" si="971"/>
        <v>477356706.32257336</v>
      </c>
      <c r="S343">
        <f t="shared" si="972"/>
        <v>4773.5670632257334</v>
      </c>
      <c r="T343">
        <f t="shared" si="973"/>
        <v>4.773567063225733</v>
      </c>
    </row>
    <row r="344" spans="1:20" x14ac:dyDescent="0.25">
      <c r="A344" s="5">
        <v>44249</v>
      </c>
      <c r="B344">
        <v>0.31380000000000002</v>
      </c>
      <c r="C344">
        <v>0.32841999999999999</v>
      </c>
      <c r="D344">
        <v>0.23708000000000001</v>
      </c>
      <c r="E344">
        <v>0.27212999999999998</v>
      </c>
      <c r="F344">
        <v>82007907.900000006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-0.23253777096562342</v>
      </c>
      <c r="Q344">
        <f t="shared" si="970"/>
        <v>-19069936.10462014</v>
      </c>
      <c r="R344">
        <f t="shared" si="971"/>
        <v>472417840.87070823</v>
      </c>
      <c r="S344">
        <f t="shared" si="972"/>
        <v>4724.1784087070819</v>
      </c>
      <c r="T344">
        <f t="shared" si="973"/>
        <v>4.7241784087070817</v>
      </c>
    </row>
    <row r="345" spans="1:20" x14ac:dyDescent="0.25">
      <c r="A345" s="5">
        <v>44248</v>
      </c>
      <c r="B345">
        <v>0.30191000000000001</v>
      </c>
      <c r="C345">
        <v>0.32290999999999997</v>
      </c>
      <c r="D345">
        <v>0.29442000000000002</v>
      </c>
      <c r="E345">
        <v>0.31345000000000001</v>
      </c>
      <c r="F345">
        <v>26696094.699999999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0.33590733590733718</v>
      </c>
      <c r="Q345">
        <f t="shared" si="970"/>
        <v>8967414.0498069841</v>
      </c>
      <c r="R345">
        <f t="shared" si="971"/>
        <v>491487776.97532839</v>
      </c>
      <c r="S345">
        <f t="shared" si="972"/>
        <v>4914.8777697532842</v>
      </c>
      <c r="T345">
        <f t="shared" si="973"/>
        <v>4.9148777697532839</v>
      </c>
    </row>
    <row r="346" spans="1:20" x14ac:dyDescent="0.25">
      <c r="A346" s="5">
        <v>44247</v>
      </c>
      <c r="B346">
        <v>0.32744000000000001</v>
      </c>
      <c r="C346">
        <v>0.32968999999999998</v>
      </c>
      <c r="D346">
        <v>0.28999999999999998</v>
      </c>
      <c r="E346">
        <v>0.30191000000000001</v>
      </c>
      <c r="F346">
        <v>44003402.200000003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-0.39984882842025543</v>
      </c>
      <c r="Q346">
        <f t="shared" si="970"/>
        <v>-17594708.816175293</v>
      </c>
      <c r="R346">
        <f t="shared" si="971"/>
        <v>482520362.92552137</v>
      </c>
      <c r="S346">
        <f t="shared" si="972"/>
        <v>4825.2036292552139</v>
      </c>
      <c r="T346">
        <f t="shared" si="973"/>
        <v>4.8252036292552143</v>
      </c>
    </row>
    <row r="347" spans="1:20" x14ac:dyDescent="0.25">
      <c r="A347" s="5">
        <v>44246</v>
      </c>
      <c r="B347">
        <v>0.31297000000000003</v>
      </c>
      <c r="C347">
        <v>0.3589</v>
      </c>
      <c r="D347">
        <v>0.29399999999999998</v>
      </c>
      <c r="E347">
        <v>0.32832</v>
      </c>
      <c r="F347">
        <v>56231270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5.7627118644068109E-2</v>
      </c>
      <c r="Q347">
        <f t="shared" si="970"/>
        <v>3240446.0677966275</v>
      </c>
      <c r="R347">
        <f t="shared" si="971"/>
        <v>500115071.74169666</v>
      </c>
      <c r="S347">
        <f t="shared" si="972"/>
        <v>5001.1507174169665</v>
      </c>
      <c r="T347">
        <f t="shared" si="973"/>
        <v>5.0011507174169667</v>
      </c>
    </row>
    <row r="348" spans="1:20" x14ac:dyDescent="0.25">
      <c r="A348" s="5">
        <v>44245</v>
      </c>
      <c r="B348">
        <v>0.29998999999999998</v>
      </c>
      <c r="C348">
        <v>0.31991999999999998</v>
      </c>
      <c r="D348">
        <v>0.28959000000000001</v>
      </c>
      <c r="E348">
        <v>0.31297000000000003</v>
      </c>
      <c r="F348">
        <v>51860019.899999999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0.54170787998681413</v>
      </c>
      <c r="Q348">
        <f t="shared" si="970"/>
        <v>28092981.43610299</v>
      </c>
      <c r="R348">
        <f t="shared" si="971"/>
        <v>496874625.67390001</v>
      </c>
      <c r="S348">
        <f t="shared" si="972"/>
        <v>4968.7462567390003</v>
      </c>
      <c r="T348">
        <f t="shared" si="973"/>
        <v>4.9687462567390002</v>
      </c>
    </row>
    <row r="349" spans="1:20" x14ac:dyDescent="0.25">
      <c r="A349" s="5">
        <v>44244</v>
      </c>
      <c r="B349">
        <v>0.29063</v>
      </c>
      <c r="C349">
        <v>0.31</v>
      </c>
      <c r="D349">
        <v>0.26888000000000001</v>
      </c>
      <c r="E349">
        <v>0.29982999999999999</v>
      </c>
      <c r="F349">
        <v>49033521.700000003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0.5053501945525285</v>
      </c>
      <c r="Q349">
        <f t="shared" si="970"/>
        <v>24779099.730690628</v>
      </c>
      <c r="R349">
        <f t="shared" si="971"/>
        <v>468781644.23779702</v>
      </c>
      <c r="S349">
        <f t="shared" si="972"/>
        <v>4687.8164423779699</v>
      </c>
      <c r="T349">
        <f t="shared" si="973"/>
        <v>4.6878164423779696</v>
      </c>
    </row>
    <row r="350" spans="1:20" x14ac:dyDescent="0.25">
      <c r="A350" s="5">
        <v>44243</v>
      </c>
      <c r="B350">
        <v>0.29794999999999999</v>
      </c>
      <c r="C350">
        <v>0.31684000000000001</v>
      </c>
      <c r="D350">
        <v>0.26500000000000001</v>
      </c>
      <c r="E350">
        <v>0.29071000000000002</v>
      </c>
      <c r="F350">
        <v>59982873.5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-8.1018518518513882E-3</v>
      </c>
      <c r="Q350">
        <f t="shared" si="970"/>
        <v>-485972.35474534257</v>
      </c>
      <c r="R350">
        <f t="shared" si="971"/>
        <v>444002544.50710642</v>
      </c>
      <c r="S350">
        <f t="shared" si="972"/>
        <v>4440.0254450710645</v>
      </c>
      <c r="T350">
        <f t="shared" si="973"/>
        <v>4.4400254450710648</v>
      </c>
    </row>
    <row r="351" spans="1:20" x14ac:dyDescent="0.25">
      <c r="A351" s="5">
        <v>44242</v>
      </c>
      <c r="B351">
        <v>0.31135000000000002</v>
      </c>
      <c r="C351">
        <v>0.33</v>
      </c>
      <c r="D351">
        <v>0.25678000000000001</v>
      </c>
      <c r="E351">
        <v>0.29720000000000002</v>
      </c>
      <c r="F351">
        <v>58863450.700000003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0.10406992624965877</v>
      </c>
      <c r="Q351">
        <f t="shared" si="970"/>
        <v>6125914.9731494254</v>
      </c>
      <c r="R351">
        <f t="shared" si="971"/>
        <v>444488516.86185175</v>
      </c>
      <c r="S351">
        <f t="shared" si="972"/>
        <v>4444.8851686185171</v>
      </c>
      <c r="T351">
        <f t="shared" si="973"/>
        <v>4.4448851686185176</v>
      </c>
    </row>
    <row r="352" spans="1:20" x14ac:dyDescent="0.25">
      <c r="A352" s="5">
        <v>44241</v>
      </c>
      <c r="B352">
        <v>0.34599999999999997</v>
      </c>
      <c r="C352">
        <v>0.36499999999999999</v>
      </c>
      <c r="D352">
        <v>0.29681999999999997</v>
      </c>
      <c r="E352">
        <v>0.31202999999999997</v>
      </c>
      <c r="F352">
        <v>67785847.299999997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-0.55382810208272226</v>
      </c>
      <c r="Q352">
        <f t="shared" si="970"/>
        <v>-37541707.158228219</v>
      </c>
      <c r="R352">
        <f t="shared" si="971"/>
        <v>438362601.88870233</v>
      </c>
      <c r="S352">
        <f t="shared" si="972"/>
        <v>4383.6260188870237</v>
      </c>
      <c r="T352">
        <f t="shared" si="973"/>
        <v>4.383626018887024</v>
      </c>
    </row>
    <row r="353" spans="1:20" x14ac:dyDescent="0.25">
      <c r="A353" s="5">
        <v>44240</v>
      </c>
      <c r="B353">
        <v>0.30192000000000002</v>
      </c>
      <c r="C353">
        <v>0.376</v>
      </c>
      <c r="D353">
        <v>0.29933999999999999</v>
      </c>
      <c r="E353">
        <v>0.34594000000000003</v>
      </c>
      <c r="F353">
        <v>162819004.30000001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0.21575789199060857</v>
      </c>
      <c r="Q353">
        <f t="shared" si="970"/>
        <v>35129485.143777832</v>
      </c>
      <c r="R353">
        <f t="shared" si="971"/>
        <v>475904309.04693055</v>
      </c>
      <c r="S353">
        <f t="shared" si="972"/>
        <v>4759.0430904693058</v>
      </c>
      <c r="T353">
        <f t="shared" si="973"/>
        <v>4.759043090469306</v>
      </c>
    </row>
    <row r="354" spans="1:20" x14ac:dyDescent="0.25">
      <c r="A354" s="5">
        <v>44239</v>
      </c>
      <c r="B354">
        <v>0.28095999999999999</v>
      </c>
      <c r="C354">
        <v>0.315</v>
      </c>
      <c r="D354">
        <v>0.27500000000000002</v>
      </c>
      <c r="E354">
        <v>0.30196000000000001</v>
      </c>
      <c r="F354">
        <v>81128009.799999997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0.34799999999999986</v>
      </c>
      <c r="Q354">
        <f t="shared" si="970"/>
        <v>28232547.410399988</v>
      </c>
      <c r="R354">
        <f t="shared" si="971"/>
        <v>440774823.9031527</v>
      </c>
      <c r="S354">
        <f t="shared" si="972"/>
        <v>4407.7482390315272</v>
      </c>
      <c r="T354">
        <f t="shared" si="973"/>
        <v>4.4077482390315268</v>
      </c>
    </row>
    <row r="355" spans="1:20" x14ac:dyDescent="0.25">
      <c r="A355" s="5">
        <v>44238</v>
      </c>
      <c r="B355">
        <v>0.25134000000000001</v>
      </c>
      <c r="C355">
        <v>0.29499999999999998</v>
      </c>
      <c r="D355">
        <v>0.24418999999999999</v>
      </c>
      <c r="E355">
        <v>0.28170000000000001</v>
      </c>
      <c r="F355">
        <v>54526680.200000003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0.47648100767565521</v>
      </c>
      <c r="Q355">
        <f t="shared" si="970"/>
        <v>25980927.526904199</v>
      </c>
      <c r="R355">
        <f t="shared" si="971"/>
        <v>412542276.49275273</v>
      </c>
      <c r="S355">
        <f t="shared" si="972"/>
        <v>4125.4227649275272</v>
      </c>
      <c r="T355">
        <f t="shared" si="973"/>
        <v>4.125422764927527</v>
      </c>
    </row>
    <row r="356" spans="1:20" x14ac:dyDescent="0.25">
      <c r="A356" s="5">
        <v>44237</v>
      </c>
      <c r="B356">
        <v>0.24351999999999999</v>
      </c>
      <c r="C356">
        <v>0.26108999999999999</v>
      </c>
      <c r="D356">
        <v>0.22786000000000001</v>
      </c>
      <c r="E356">
        <v>0.25139</v>
      </c>
      <c r="F356">
        <v>61586028.299999997</v>
      </c>
      <c r="G356">
        <v>0</v>
      </c>
      <c r="L356" t="s">
        <v>8</v>
      </c>
      <c r="M356" t="s">
        <v>7</v>
      </c>
      <c r="N356" t="s">
        <v>8</v>
      </c>
      <c r="P356">
        <f t="shared" si="969"/>
        <v>0.41619018958772241</v>
      </c>
      <c r="Q356">
        <f t="shared" si="970"/>
        <v>25631500.794131838</v>
      </c>
      <c r="R356">
        <f t="shared" si="971"/>
        <v>386561348.96584851</v>
      </c>
      <c r="S356">
        <f t="shared" si="972"/>
        <v>3865.6134896584849</v>
      </c>
      <c r="T356">
        <f t="shared" si="973"/>
        <v>3.8656134896584851</v>
      </c>
    </row>
    <row r="357" spans="1:20" x14ac:dyDescent="0.25">
      <c r="A357" s="5">
        <v>44236</v>
      </c>
      <c r="B357">
        <v>0.23660999999999999</v>
      </c>
      <c r="C357">
        <v>0.24578</v>
      </c>
      <c r="D357">
        <v>0.23122999999999999</v>
      </c>
      <c r="E357">
        <v>0.24349000000000001</v>
      </c>
      <c r="F357">
        <v>48581591.5</v>
      </c>
      <c r="G357">
        <v>0</v>
      </c>
      <c r="L357" t="s">
        <v>8</v>
      </c>
      <c r="M357" t="s">
        <v>7</v>
      </c>
      <c r="N357" t="s">
        <v>8</v>
      </c>
      <c r="P357">
        <f t="shared" si="969"/>
        <v>0.68522336769759651</v>
      </c>
      <c r="Q357">
        <f t="shared" si="970"/>
        <v>33289241.735738929</v>
      </c>
      <c r="R357">
        <f t="shared" si="971"/>
        <v>360929848.17171669</v>
      </c>
      <c r="S357">
        <f t="shared" si="972"/>
        <v>3609.2984817171669</v>
      </c>
      <c r="T357">
        <f t="shared" si="973"/>
        <v>3.6092984817171669</v>
      </c>
    </row>
    <row r="358" spans="1:20" x14ac:dyDescent="0.25">
      <c r="A358" s="5">
        <v>44235</v>
      </c>
      <c r="B358">
        <v>0.23726</v>
      </c>
      <c r="C358">
        <v>0.25301000000000001</v>
      </c>
      <c r="D358">
        <v>0.22600000000000001</v>
      </c>
      <c r="E358">
        <v>0.23680000000000001</v>
      </c>
      <c r="F358">
        <v>64669608.399999999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-0.20029618659755635</v>
      </c>
      <c r="Q358">
        <f t="shared" si="970"/>
        <v>-12953075.951277297</v>
      </c>
      <c r="R358">
        <f t="shared" si="971"/>
        <v>327640606.43597776</v>
      </c>
      <c r="S358">
        <f t="shared" si="972"/>
        <v>3276.4060643597777</v>
      </c>
      <c r="T358">
        <f t="shared" si="973"/>
        <v>3.2764060643597777</v>
      </c>
    </row>
    <row r="359" spans="1:20" x14ac:dyDescent="0.25">
      <c r="A359" s="5">
        <v>44234</v>
      </c>
      <c r="B359">
        <v>0.23499</v>
      </c>
      <c r="C359">
        <v>0.28367999999999999</v>
      </c>
      <c r="D359">
        <v>0.21684999999999999</v>
      </c>
      <c r="E359">
        <v>0.23721</v>
      </c>
      <c r="F359">
        <v>188733565.40000001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-0.39069280263354733</v>
      </c>
      <c r="Q359">
        <f t="shared" si="970"/>
        <v>-73736845.617147893</v>
      </c>
      <c r="R359">
        <f t="shared" si="971"/>
        <v>340593682.38725507</v>
      </c>
      <c r="S359">
        <f t="shared" si="972"/>
        <v>3405.9368238725506</v>
      </c>
      <c r="T359">
        <f t="shared" si="973"/>
        <v>3.4059368238725507</v>
      </c>
    </row>
    <row r="360" spans="1:20" x14ac:dyDescent="0.25">
      <c r="A360" s="5">
        <v>44233</v>
      </c>
      <c r="B360">
        <v>0.21775</v>
      </c>
      <c r="C360">
        <v>0.27400000000000002</v>
      </c>
      <c r="D360">
        <v>0.18476000000000001</v>
      </c>
      <c r="E360">
        <v>0.23499</v>
      </c>
      <c r="F360">
        <v>176119369.40000001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0.12572837292693834</v>
      </c>
      <c r="Q360">
        <f t="shared" si="970"/>
        <v>22143201.755580414</v>
      </c>
      <c r="R360">
        <f t="shared" si="971"/>
        <v>414330528.00440294</v>
      </c>
      <c r="S360">
        <f t="shared" si="972"/>
        <v>4143.3052800440291</v>
      </c>
      <c r="T360">
        <f t="shared" si="973"/>
        <v>4.1433052800440295</v>
      </c>
    </row>
    <row r="361" spans="1:20" x14ac:dyDescent="0.25">
      <c r="A361" s="5">
        <v>44232</v>
      </c>
      <c r="B361">
        <v>0.17238000000000001</v>
      </c>
      <c r="C361">
        <v>0.24809999999999999</v>
      </c>
      <c r="D361">
        <v>0.16977</v>
      </c>
      <c r="E361">
        <v>0.21793000000000001</v>
      </c>
      <c r="F361">
        <v>100045897.7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0.2296693476318146</v>
      </c>
      <c r="Q361">
        <f t="shared" si="970"/>
        <v>22977476.057998262</v>
      </c>
      <c r="R361">
        <f t="shared" si="971"/>
        <v>392187326.24882251</v>
      </c>
      <c r="S361">
        <f t="shared" si="972"/>
        <v>3921.873262488225</v>
      </c>
      <c r="T361">
        <f t="shared" si="973"/>
        <v>3.9218732624882251</v>
      </c>
    </row>
    <row r="362" spans="1:20" x14ac:dyDescent="0.25">
      <c r="A362" s="5">
        <v>44231</v>
      </c>
      <c r="B362">
        <v>0.17645</v>
      </c>
      <c r="C362">
        <v>0.17759</v>
      </c>
      <c r="D362">
        <v>0.16546</v>
      </c>
      <c r="E362">
        <v>0.17212</v>
      </c>
      <c r="F362">
        <v>32983625.600000001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9.8103874690848844E-2</v>
      </c>
      <c r="Q362">
        <f t="shared" si="970"/>
        <v>3235821.4727122742</v>
      </c>
      <c r="R362">
        <f t="shared" si="971"/>
        <v>369209850.19082427</v>
      </c>
      <c r="S362">
        <f t="shared" si="972"/>
        <v>3692.0985019082427</v>
      </c>
      <c r="T362">
        <f t="shared" si="973"/>
        <v>3.6920985019082426</v>
      </c>
    </row>
    <row r="363" spans="1:20" x14ac:dyDescent="0.25">
      <c r="A363" s="5">
        <v>44230</v>
      </c>
      <c r="B363">
        <v>0.16767000000000001</v>
      </c>
      <c r="C363">
        <v>0.185</v>
      </c>
      <c r="D363">
        <v>0.16311999999999999</v>
      </c>
      <c r="E363">
        <v>0.17645</v>
      </c>
      <c r="F363">
        <v>52986547.600000001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0.21846435100548464</v>
      </c>
      <c r="Q363">
        <f t="shared" si="970"/>
        <v>11575671.73345522</v>
      </c>
      <c r="R363">
        <f t="shared" si="971"/>
        <v>365974028.71811199</v>
      </c>
      <c r="S363">
        <f t="shared" si="972"/>
        <v>3659.74028718112</v>
      </c>
      <c r="T363">
        <f t="shared" si="973"/>
        <v>3.65974028718112</v>
      </c>
    </row>
    <row r="364" spans="1:20" x14ac:dyDescent="0.25">
      <c r="A364" s="5">
        <v>44229</v>
      </c>
      <c r="B364">
        <v>0.15636</v>
      </c>
      <c r="C364">
        <v>0.16971</v>
      </c>
      <c r="D364">
        <v>0.15137999999999999</v>
      </c>
      <c r="E364">
        <v>0.16757</v>
      </c>
      <c r="F364">
        <v>34069367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0.76650300054555354</v>
      </c>
      <c r="Q364">
        <f t="shared" si="970"/>
        <v>26114272.032187663</v>
      </c>
      <c r="R364">
        <f t="shared" si="971"/>
        <v>354398356.98465675</v>
      </c>
      <c r="S364">
        <f t="shared" si="972"/>
        <v>3543.9835698465677</v>
      </c>
      <c r="T364">
        <f t="shared" si="973"/>
        <v>3.5439835698465676</v>
      </c>
    </row>
    <row r="365" spans="1:20" x14ac:dyDescent="0.25">
      <c r="A365" s="5">
        <v>44228</v>
      </c>
      <c r="B365">
        <v>0.15493000000000001</v>
      </c>
      <c r="C365">
        <v>0.15653</v>
      </c>
      <c r="D365">
        <v>0.14513000000000001</v>
      </c>
      <c r="E365">
        <v>0.15637000000000001</v>
      </c>
      <c r="F365">
        <v>23280007.699999999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0.97192982456140464</v>
      </c>
      <c r="Q365">
        <f t="shared" si="970"/>
        <v>22626533.799649149</v>
      </c>
      <c r="R365">
        <f t="shared" si="971"/>
        <v>328284084.95246911</v>
      </c>
      <c r="S365">
        <f t="shared" si="972"/>
        <v>3282.8408495246913</v>
      </c>
      <c r="T365">
        <f t="shared" si="973"/>
        <v>3.2828408495246912</v>
      </c>
    </row>
    <row r="366" spans="1:20" x14ac:dyDescent="0.25">
      <c r="A366" s="5">
        <v>44227</v>
      </c>
      <c r="B366">
        <v>0.15661</v>
      </c>
      <c r="C366">
        <v>0.15809999999999999</v>
      </c>
      <c r="D366">
        <v>0.14717</v>
      </c>
      <c r="E366">
        <v>0.15468000000000001</v>
      </c>
      <c r="F366">
        <v>25067980.199999999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0.37419945105215369</v>
      </c>
      <c r="Q366">
        <f t="shared" si="970"/>
        <v>9380424.4298262578</v>
      </c>
      <c r="R366">
        <f t="shared" si="971"/>
        <v>305657551.15281993</v>
      </c>
      <c r="S366">
        <f t="shared" si="972"/>
        <v>3056.5755115281995</v>
      </c>
      <c r="T366">
        <f t="shared" si="973"/>
        <v>3.0565755115281994</v>
      </c>
    </row>
    <row r="367" spans="1:20" x14ac:dyDescent="0.25">
      <c r="A367" s="5">
        <v>44226</v>
      </c>
      <c r="B367">
        <v>0.15398000000000001</v>
      </c>
      <c r="C367">
        <v>0.16181999999999999</v>
      </c>
      <c r="D367">
        <v>0.14912</v>
      </c>
      <c r="E367">
        <v>0.15673000000000001</v>
      </c>
      <c r="F367">
        <v>30002194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0.19842519685039561</v>
      </c>
      <c r="Q367">
        <f t="shared" si="970"/>
        <v>5953191.2503937585</v>
      </c>
      <c r="R367">
        <f t="shared" si="971"/>
        <v>296277126.72299367</v>
      </c>
      <c r="S367">
        <f t="shared" si="972"/>
        <v>2962.7712672299367</v>
      </c>
      <c r="T367">
        <f t="shared" si="973"/>
        <v>2.9627712672299369</v>
      </c>
    </row>
    <row r="368" spans="1:20" x14ac:dyDescent="0.25">
      <c r="A368" s="5">
        <v>44225</v>
      </c>
      <c r="B368">
        <v>0.15801999999999999</v>
      </c>
      <c r="C368">
        <v>0.16125999999999999</v>
      </c>
      <c r="D368">
        <v>0.15049999999999999</v>
      </c>
      <c r="E368">
        <v>0.15393000000000001</v>
      </c>
      <c r="F368">
        <v>41749787.5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-0.36245353159850946</v>
      </c>
      <c r="Q368">
        <f t="shared" si="970"/>
        <v>-15132357.922862304</v>
      </c>
      <c r="R368">
        <f t="shared" si="971"/>
        <v>290323935.47259992</v>
      </c>
      <c r="S368">
        <f t="shared" si="972"/>
        <v>2903.2393547259994</v>
      </c>
      <c r="T368">
        <f t="shared" si="973"/>
        <v>2.9032393547259994</v>
      </c>
    </row>
    <row r="369" spans="1:20" x14ac:dyDescent="0.25">
      <c r="A369" s="5">
        <v>44224</v>
      </c>
      <c r="B369">
        <v>0.14691000000000001</v>
      </c>
      <c r="C369">
        <v>0.16514999999999999</v>
      </c>
      <c r="D369">
        <v>0.14054</v>
      </c>
      <c r="E369">
        <v>0.158</v>
      </c>
      <c r="F369">
        <v>53317430.799999997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0.4189353921170263</v>
      </c>
      <c r="Q369">
        <f t="shared" si="970"/>
        <v>22336558.778870415</v>
      </c>
      <c r="R369">
        <f t="shared" si="971"/>
        <v>305456293.39546221</v>
      </c>
      <c r="S369">
        <f t="shared" si="972"/>
        <v>3054.5629339546222</v>
      </c>
      <c r="T369">
        <f t="shared" si="973"/>
        <v>3.0545629339546223</v>
      </c>
    </row>
    <row r="370" spans="1:20" x14ac:dyDescent="0.25">
      <c r="A370" s="5">
        <v>44223</v>
      </c>
      <c r="B370">
        <v>0.16644</v>
      </c>
      <c r="C370">
        <v>0.16730999999999999</v>
      </c>
      <c r="D370">
        <v>0.1401</v>
      </c>
      <c r="E370">
        <v>0.14696000000000001</v>
      </c>
      <c r="F370">
        <v>35929189.100000001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-0.49577361264241021</v>
      </c>
      <c r="Q370">
        <f t="shared" si="970"/>
        <v>-17812743.879419308</v>
      </c>
      <c r="R370">
        <f t="shared" si="971"/>
        <v>283119734.61659181</v>
      </c>
      <c r="S370">
        <f t="shared" si="972"/>
        <v>2831.1973461659181</v>
      </c>
      <c r="T370">
        <f t="shared" si="973"/>
        <v>2.8311973461659181</v>
      </c>
    </row>
    <row r="371" spans="1:20" x14ac:dyDescent="0.25">
      <c r="A371" s="5">
        <v>44222</v>
      </c>
      <c r="B371">
        <v>0.16313</v>
      </c>
      <c r="C371">
        <v>0.17165</v>
      </c>
      <c r="D371">
        <v>0.14912</v>
      </c>
      <c r="E371">
        <v>0.16644</v>
      </c>
      <c r="F371">
        <v>48791232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0.5375055481580121</v>
      </c>
      <c r="Q371">
        <f t="shared" si="970"/>
        <v>26225557.901464742</v>
      </c>
      <c r="R371">
        <f t="shared" si="971"/>
        <v>300932478.49601114</v>
      </c>
      <c r="S371">
        <f t="shared" si="972"/>
        <v>3009.3247849601112</v>
      </c>
      <c r="T371">
        <f t="shared" si="973"/>
        <v>3.009324784960111</v>
      </c>
    </row>
    <row r="372" spans="1:20" x14ac:dyDescent="0.25">
      <c r="A372" s="5">
        <v>44221</v>
      </c>
      <c r="B372">
        <v>0.17199999999999999</v>
      </c>
      <c r="C372">
        <v>0.18060000000000001</v>
      </c>
      <c r="D372">
        <v>0.1598</v>
      </c>
      <c r="E372">
        <v>0.16306000000000001</v>
      </c>
      <c r="F372">
        <v>54110797.5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-0.68653846153846054</v>
      </c>
      <c r="Q372">
        <f t="shared" si="970"/>
        <v>-37149143.66826918</v>
      </c>
      <c r="R372">
        <f t="shared" si="971"/>
        <v>274706920.59454638</v>
      </c>
      <c r="S372">
        <f t="shared" si="972"/>
        <v>2747.0692059454636</v>
      </c>
      <c r="T372">
        <f t="shared" si="973"/>
        <v>2.7470692059454636</v>
      </c>
    </row>
    <row r="373" spans="1:20" x14ac:dyDescent="0.25">
      <c r="A373" s="5">
        <v>44220</v>
      </c>
      <c r="B373">
        <v>0.19403000000000001</v>
      </c>
      <c r="C373">
        <v>0.19403999999999999</v>
      </c>
      <c r="D373">
        <v>0.16492999999999999</v>
      </c>
      <c r="E373">
        <v>0.17174</v>
      </c>
      <c r="F373">
        <v>78366114.700000003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-0.53211954654757743</v>
      </c>
      <c r="Q373">
        <f t="shared" si="970"/>
        <v>-41700141.418859445</v>
      </c>
      <c r="R373">
        <f t="shared" si="971"/>
        <v>311856064.26281554</v>
      </c>
      <c r="S373">
        <f t="shared" si="972"/>
        <v>3118.5606426281552</v>
      </c>
      <c r="T373">
        <f t="shared" si="973"/>
        <v>3.1185606426281551</v>
      </c>
    </row>
    <row r="374" spans="1:20" x14ac:dyDescent="0.25">
      <c r="A374" s="5">
        <v>44219</v>
      </c>
      <c r="B374">
        <v>0.15856000000000001</v>
      </c>
      <c r="C374">
        <v>0.20296</v>
      </c>
      <c r="D374">
        <v>0.15504999999999999</v>
      </c>
      <c r="E374">
        <v>0.19317999999999999</v>
      </c>
      <c r="F374">
        <v>210974510.5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0.59173450219160884</v>
      </c>
      <c r="Q374">
        <f t="shared" si="970"/>
        <v>124840896.94583586</v>
      </c>
      <c r="R374">
        <f t="shared" si="971"/>
        <v>353556205.68167496</v>
      </c>
      <c r="S374">
        <f t="shared" si="972"/>
        <v>3535.5620568167496</v>
      </c>
      <c r="T374">
        <f t="shared" si="973"/>
        <v>3.5355620568167496</v>
      </c>
    </row>
    <row r="375" spans="1:20" x14ac:dyDescent="0.25">
      <c r="A375" s="5">
        <v>44218</v>
      </c>
      <c r="B375">
        <v>0.11806</v>
      </c>
      <c r="C375">
        <v>0.16730999999999999</v>
      </c>
      <c r="D375">
        <v>0.10263</v>
      </c>
      <c r="E375">
        <v>0.15856000000000001</v>
      </c>
      <c r="F375">
        <v>236132339.90000001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0.72943722943722999</v>
      </c>
      <c r="Q375">
        <f t="shared" si="970"/>
        <v>172243719.79718629</v>
      </c>
      <c r="R375">
        <f t="shared" si="971"/>
        <v>228715308.73583913</v>
      </c>
      <c r="S375">
        <f t="shared" si="972"/>
        <v>2287.1530873583911</v>
      </c>
      <c r="T375">
        <f t="shared" si="973"/>
        <v>2.2871530873583912</v>
      </c>
    </row>
    <row r="376" spans="1:20" x14ac:dyDescent="0.25">
      <c r="A376" s="5">
        <v>44217</v>
      </c>
      <c r="B376">
        <v>0.13683000000000001</v>
      </c>
      <c r="C376">
        <v>0.13753000000000001</v>
      </c>
      <c r="D376">
        <v>0.11550000000000001</v>
      </c>
      <c r="E376">
        <v>0.11806999999999999</v>
      </c>
      <c r="F376">
        <v>69509531.099999994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-0.76668179754879817</v>
      </c>
      <c r="Q376">
        <f t="shared" si="970"/>
        <v>-53291692.250522085</v>
      </c>
      <c r="R376">
        <f t="shared" si="971"/>
        <v>56471588.938652836</v>
      </c>
      <c r="S376">
        <f t="shared" si="972"/>
        <v>564.71588938652837</v>
      </c>
      <c r="T376">
        <f t="shared" si="973"/>
        <v>0.56471588938652839</v>
      </c>
    </row>
    <row r="377" spans="1:20" x14ac:dyDescent="0.25">
      <c r="A377" s="5">
        <v>44216</v>
      </c>
      <c r="B377">
        <v>0.12187000000000001</v>
      </c>
      <c r="C377">
        <v>0.14441000000000001</v>
      </c>
      <c r="D377">
        <v>0.1203</v>
      </c>
      <c r="E377">
        <v>0.13650999999999999</v>
      </c>
      <c r="F377">
        <v>90182252.299999997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0.34467026130236283</v>
      </c>
      <c r="Q377">
        <f t="shared" si="970"/>
        <v>31083140.46507661</v>
      </c>
      <c r="R377">
        <f t="shared" si="971"/>
        <v>109763281.18917492</v>
      </c>
      <c r="S377">
        <f t="shared" si="972"/>
        <v>1097.6328118917493</v>
      </c>
      <c r="T377">
        <f t="shared" si="973"/>
        <v>1.0976328118917493</v>
      </c>
    </row>
    <row r="378" spans="1:20" x14ac:dyDescent="0.25">
      <c r="A378" s="5">
        <v>44215</v>
      </c>
      <c r="B378">
        <v>0.11677999999999999</v>
      </c>
      <c r="C378">
        <v>0.13522000000000001</v>
      </c>
      <c r="D378">
        <v>0.11294999999999999</v>
      </c>
      <c r="E378">
        <v>0.12221</v>
      </c>
      <c r="F378">
        <v>86905427.099999994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-0.16838796587337232</v>
      </c>
      <c r="Q378">
        <f t="shared" si="970"/>
        <v>-14633828.092725646</v>
      </c>
      <c r="R378">
        <f t="shared" si="971"/>
        <v>78680140.72409831</v>
      </c>
      <c r="S378">
        <f t="shared" si="972"/>
        <v>786.80140724098305</v>
      </c>
      <c r="T378">
        <f t="shared" si="973"/>
        <v>0.78680140724098302</v>
      </c>
    </row>
    <row r="379" spans="1:20" x14ac:dyDescent="0.25">
      <c r="A379" s="5">
        <v>44214</v>
      </c>
      <c r="B379">
        <v>0.11075</v>
      </c>
      <c r="C379">
        <v>0.11768000000000001</v>
      </c>
      <c r="D379">
        <v>0.10741000000000001</v>
      </c>
      <c r="E379">
        <v>0.11692</v>
      </c>
      <c r="F379">
        <v>31742735.300000001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0.85199610516066004</v>
      </c>
      <c r="Q379">
        <f t="shared" si="970"/>
        <v>27044686.842745796</v>
      </c>
      <c r="R379">
        <f t="shared" si="971"/>
        <v>93313968.816823959</v>
      </c>
      <c r="S379">
        <f t="shared" si="972"/>
        <v>933.13968816823956</v>
      </c>
      <c r="T379">
        <f t="shared" si="973"/>
        <v>0.93313968816823956</v>
      </c>
    </row>
    <row r="380" spans="1:20" x14ac:dyDescent="0.25">
      <c r="A380" s="5">
        <v>44213</v>
      </c>
      <c r="B380">
        <v>0.10893</v>
      </c>
      <c r="C380">
        <v>0.12064999999999999</v>
      </c>
      <c r="D380">
        <v>0.1026</v>
      </c>
      <c r="E380">
        <v>0.11075</v>
      </c>
      <c r="F380">
        <v>48402994.100000001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-9.6952908587256956E-2</v>
      </c>
      <c r="Q380">
        <f t="shared" si="970"/>
        <v>-4692811.0623268383</v>
      </c>
      <c r="R380">
        <f t="shared" si="971"/>
        <v>66269281.974078156</v>
      </c>
      <c r="S380">
        <f t="shared" si="972"/>
        <v>662.6928197407816</v>
      </c>
      <c r="T380">
        <f t="shared" si="973"/>
        <v>0.66269281974078165</v>
      </c>
    </row>
    <row r="381" spans="1:20" x14ac:dyDescent="0.25">
      <c r="A381" s="5">
        <v>44212</v>
      </c>
      <c r="B381">
        <v>0.10662000000000001</v>
      </c>
      <c r="C381">
        <v>0.11283</v>
      </c>
      <c r="D381">
        <v>0.10542</v>
      </c>
      <c r="E381">
        <v>0.10904</v>
      </c>
      <c r="F381">
        <v>29939647.899999999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-2.2941970310391833E-2</v>
      </c>
      <c r="Q381">
        <f t="shared" si="970"/>
        <v>-686874.5132253851</v>
      </c>
      <c r="R381">
        <f t="shared" si="971"/>
        <v>70962093.036404997</v>
      </c>
      <c r="S381">
        <f t="shared" si="972"/>
        <v>709.62093036404997</v>
      </c>
      <c r="T381">
        <f t="shared" si="973"/>
        <v>0.70962093036404994</v>
      </c>
    </row>
    <row r="382" spans="1:20" x14ac:dyDescent="0.25">
      <c r="A382" s="5">
        <v>44211</v>
      </c>
      <c r="B382">
        <v>0.11061</v>
      </c>
      <c r="C382">
        <v>0.11438</v>
      </c>
      <c r="D382">
        <v>9.819E-2</v>
      </c>
      <c r="E382">
        <v>0.10662000000000001</v>
      </c>
      <c r="F382">
        <v>40856110.399999999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4.1383570105004201E-2</v>
      </c>
      <c r="Q382">
        <f t="shared" si="970"/>
        <v>1690771.7089561911</v>
      </c>
      <c r="R382">
        <f t="shared" si="971"/>
        <v>71648967.549630389</v>
      </c>
      <c r="S382">
        <f t="shared" si="972"/>
        <v>716.4896754963039</v>
      </c>
      <c r="T382">
        <f t="shared" si="973"/>
        <v>0.71648967549630393</v>
      </c>
    </row>
    <row r="383" spans="1:20" x14ac:dyDescent="0.25">
      <c r="A383" s="5">
        <v>44210</v>
      </c>
      <c r="B383">
        <v>0.11487</v>
      </c>
      <c r="C383">
        <v>0.11759</v>
      </c>
      <c r="D383">
        <v>0.1077</v>
      </c>
      <c r="E383">
        <v>0.11051999999999999</v>
      </c>
      <c r="F383">
        <v>26782781.300000001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-0.42972699696663491</v>
      </c>
      <c r="Q383">
        <f t="shared" si="970"/>
        <v>-11509284.178463146</v>
      </c>
      <c r="R383">
        <f t="shared" si="971"/>
        <v>69958195.840674192</v>
      </c>
      <c r="S383">
        <f t="shared" si="972"/>
        <v>699.58195840674193</v>
      </c>
      <c r="T383">
        <f t="shared" si="973"/>
        <v>0.69958195840674198</v>
      </c>
    </row>
    <row r="384" spans="1:20" x14ac:dyDescent="0.25">
      <c r="A384" s="5">
        <v>44209</v>
      </c>
      <c r="B384">
        <v>0.11058999999999999</v>
      </c>
      <c r="C384">
        <v>0.11642</v>
      </c>
      <c r="D384">
        <v>9.894E-2</v>
      </c>
      <c r="E384">
        <v>0.11466999999999999</v>
      </c>
      <c r="F384">
        <v>42066384.100000001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0.79977116704805473</v>
      </c>
      <c r="Q384">
        <f t="shared" si="970"/>
        <v>33643481.105148733</v>
      </c>
      <c r="R384">
        <f t="shared" si="971"/>
        <v>81467480.019137338</v>
      </c>
      <c r="S384">
        <f t="shared" si="972"/>
        <v>814.67480019137338</v>
      </c>
      <c r="T384">
        <f t="shared" si="973"/>
        <v>0.81467480019137339</v>
      </c>
    </row>
    <row r="385" spans="1:20" x14ac:dyDescent="0.25">
      <c r="A385" s="5">
        <v>44208</v>
      </c>
      <c r="B385">
        <v>9.4149999999999998E-2</v>
      </c>
      <c r="C385">
        <v>0.11905</v>
      </c>
      <c r="D385">
        <v>9.1219999999999996E-2</v>
      </c>
      <c r="E385">
        <v>0.11047999999999999</v>
      </c>
      <c r="F385">
        <v>102507849.09999999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0.38411785842615842</v>
      </c>
      <c r="Q385">
        <f t="shared" si="970"/>
        <v>39375095.468163811</v>
      </c>
      <c r="R385">
        <f t="shared" si="971"/>
        <v>47823998.913988605</v>
      </c>
      <c r="S385">
        <f t="shared" si="972"/>
        <v>478.23998913988606</v>
      </c>
      <c r="T385">
        <f t="shared" si="973"/>
        <v>0.47823998913988608</v>
      </c>
    </row>
    <row r="386" spans="1:20" x14ac:dyDescent="0.25">
      <c r="A386" s="5">
        <v>44207</v>
      </c>
      <c r="B386">
        <v>0.10681</v>
      </c>
      <c r="C386">
        <v>0.10695</v>
      </c>
      <c r="D386">
        <v>0.08</v>
      </c>
      <c r="E386">
        <v>9.4189999999999996E-2</v>
      </c>
      <c r="F386">
        <v>55537096.100000001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5.3061224489795424E-2</v>
      </c>
      <c r="Q386">
        <f t="shared" si="970"/>
        <v>2946866.323673442</v>
      </c>
      <c r="R386">
        <f t="shared" si="971"/>
        <v>8448903.4458247982</v>
      </c>
      <c r="S386">
        <f t="shared" si="972"/>
        <v>84.489034458247986</v>
      </c>
      <c r="T386">
        <f t="shared" si="973"/>
        <v>8.4489034458247986E-2</v>
      </c>
    </row>
    <row r="387" spans="1:20" x14ac:dyDescent="0.25">
      <c r="A387" s="5">
        <v>44206</v>
      </c>
      <c r="B387">
        <v>0.11527999999999999</v>
      </c>
      <c r="C387">
        <v>0.121</v>
      </c>
      <c r="D387">
        <v>9.8019999999999996E-2</v>
      </c>
      <c r="E387">
        <v>0.10655000000000001</v>
      </c>
      <c r="F387">
        <v>61025798.700000003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-0.25761531766753615</v>
      </c>
      <c r="Q387">
        <f t="shared" si="970"/>
        <v>-15721180.518015616</v>
      </c>
      <c r="R387">
        <f t="shared" si="971"/>
        <v>5502037.1221513562</v>
      </c>
      <c r="S387">
        <f t="shared" si="972"/>
        <v>55.020371221513564</v>
      </c>
      <c r="T387">
        <f t="shared" si="973"/>
        <v>5.5020371221513563E-2</v>
      </c>
    </row>
    <row r="388" spans="1:20" x14ac:dyDescent="0.25">
      <c r="A388" s="5">
        <v>44205</v>
      </c>
      <c r="B388">
        <v>0.12623000000000001</v>
      </c>
      <c r="C388">
        <v>0.12806999999999999</v>
      </c>
      <c r="D388">
        <v>0.11022</v>
      </c>
      <c r="E388">
        <v>0.11523</v>
      </c>
      <c r="F388">
        <v>56108874.299999997</v>
      </c>
      <c r="G388">
        <v>0</v>
      </c>
      <c r="L388" t="s">
        <v>7</v>
      </c>
      <c r="M388" t="s">
        <v>7</v>
      </c>
      <c r="N388" t="s">
        <v>7</v>
      </c>
      <c r="P388">
        <f t="shared" si="969"/>
        <v>-0.43865546218487361</v>
      </c>
      <c r="Q388">
        <f t="shared" si="970"/>
        <v>-24612464.188739475</v>
      </c>
      <c r="R388">
        <f t="shared" si="971"/>
        <v>21223217.640166972</v>
      </c>
      <c r="S388">
        <f t="shared" si="972"/>
        <v>212.2321764016697</v>
      </c>
      <c r="T388">
        <f t="shared" si="973"/>
        <v>0.21223217640166969</v>
      </c>
    </row>
    <row r="389" spans="1:20" x14ac:dyDescent="0.25">
      <c r="A389" s="5">
        <v>44204</v>
      </c>
      <c r="B389">
        <v>0.12914</v>
      </c>
      <c r="C389">
        <v>0.16167000000000001</v>
      </c>
      <c r="D389">
        <v>0.10730000000000001</v>
      </c>
      <c r="E389">
        <v>0.12623000000000001</v>
      </c>
      <c r="F389">
        <v>271383891.39999998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-0.30366010667647592</v>
      </c>
      <c r="Q389">
        <f t="shared" si="970"/>
        <v>-82408461.412801147</v>
      </c>
      <c r="R389">
        <f t="shared" si="971"/>
        <v>45835681.828906447</v>
      </c>
      <c r="S389">
        <f t="shared" si="972"/>
        <v>458.35681828906445</v>
      </c>
      <c r="T389">
        <f t="shared" si="973"/>
        <v>0.45835681828906444</v>
      </c>
    </row>
    <row r="390" spans="1:20" x14ac:dyDescent="0.25">
      <c r="A390" s="5">
        <v>44203</v>
      </c>
      <c r="B390">
        <v>9.2299999999999993E-2</v>
      </c>
      <c r="C390">
        <v>0.13</v>
      </c>
      <c r="D390">
        <v>8.992E-2</v>
      </c>
      <c r="E390">
        <v>0.12914</v>
      </c>
      <c r="F390">
        <v>177451266.90000001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0.95708582834331335</v>
      </c>
      <c r="Q390">
        <f t="shared" ref="Q390:Q453" si="975">F390*P390</f>
        <v>169836092.77155688</v>
      </c>
      <c r="R390">
        <f t="shared" ref="R390:R453" si="976">R391+Q390</f>
        <v>128244143.24170759</v>
      </c>
      <c r="S390">
        <f t="shared" ref="S390:S453" si="977">R390/100000</f>
        <v>1282.4414324170759</v>
      </c>
      <c r="T390">
        <f t="shared" ref="T390:T453" si="978">S390/1000</f>
        <v>1.2824414324170759</v>
      </c>
    </row>
    <row r="391" spans="1:20" x14ac:dyDescent="0.25">
      <c r="A391" s="5">
        <v>44202</v>
      </c>
      <c r="B391">
        <v>8.2110000000000002E-2</v>
      </c>
      <c r="C391">
        <v>9.3270000000000006E-2</v>
      </c>
      <c r="D391">
        <v>8.1659999999999996E-2</v>
      </c>
      <c r="E391">
        <v>9.2249999999999999E-2</v>
      </c>
      <c r="F391">
        <v>44438090.399999999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0.82428940568475351</v>
      </c>
      <c r="Q391">
        <f t="shared" si="975"/>
        <v>36629847.125581346</v>
      </c>
      <c r="R391">
        <f t="shared" si="976"/>
        <v>-41591949.529849298</v>
      </c>
      <c r="S391">
        <f t="shared" si="977"/>
        <v>-415.91949529849296</v>
      </c>
      <c r="T391">
        <f t="shared" si="978"/>
        <v>-0.41591949529849298</v>
      </c>
    </row>
    <row r="392" spans="1:20" x14ac:dyDescent="0.25">
      <c r="A392" s="5">
        <v>44201</v>
      </c>
      <c r="B392">
        <v>7.8920000000000004E-2</v>
      </c>
      <c r="C392">
        <v>8.276E-2</v>
      </c>
      <c r="D392">
        <v>7.6869999999999994E-2</v>
      </c>
      <c r="E392">
        <v>8.2299999999999998E-2</v>
      </c>
      <c r="F392">
        <v>24679099.899999999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0.8438030560271641</v>
      </c>
      <c r="Q392">
        <f t="shared" si="975"/>
        <v>20824299.915619679</v>
      </c>
      <c r="R392">
        <f t="shared" si="976"/>
        <v>-78221796.655430645</v>
      </c>
      <c r="S392">
        <f t="shared" si="977"/>
        <v>-782.21796655430649</v>
      </c>
      <c r="T392">
        <f t="shared" si="978"/>
        <v>-0.78221796655430653</v>
      </c>
    </row>
    <row r="393" spans="1:20" x14ac:dyDescent="0.25">
      <c r="A393" s="5">
        <v>44200</v>
      </c>
      <c r="B393">
        <v>8.1170000000000006E-2</v>
      </c>
      <c r="C393">
        <v>8.7419999999999998E-2</v>
      </c>
      <c r="D393">
        <v>7.4999999999999997E-2</v>
      </c>
      <c r="E393">
        <v>7.8920000000000004E-2</v>
      </c>
      <c r="F393">
        <v>35264477.299999997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-0.36876006441223724</v>
      </c>
      <c r="Q393">
        <f t="shared" si="975"/>
        <v>-13004130.920611877</v>
      </c>
      <c r="R393">
        <f t="shared" si="976"/>
        <v>-99046096.571050316</v>
      </c>
      <c r="S393">
        <f t="shared" si="977"/>
        <v>-990.46096571050316</v>
      </c>
      <c r="T393">
        <f t="shared" si="978"/>
        <v>-0.99046096571050313</v>
      </c>
    </row>
    <row r="394" spans="1:20" x14ac:dyDescent="0.25">
      <c r="A394" s="5">
        <v>44199</v>
      </c>
      <c r="B394">
        <v>7.9269999999999993E-2</v>
      </c>
      <c r="C394">
        <v>8.2799999999999999E-2</v>
      </c>
      <c r="D394">
        <v>7.5670000000000001E-2</v>
      </c>
      <c r="E394">
        <v>8.1129999999999994E-2</v>
      </c>
      <c r="F394">
        <v>23705364.699999999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0.53155680224403778</v>
      </c>
      <c r="Q394">
        <f t="shared" si="975"/>
        <v>12600747.855960693</v>
      </c>
      <c r="R394">
        <f t="shared" si="976"/>
        <v>-86041965.650438443</v>
      </c>
      <c r="S394">
        <f t="shared" si="977"/>
        <v>-860.41965650438442</v>
      </c>
      <c r="T394">
        <f t="shared" si="978"/>
        <v>-0.86041965650438446</v>
      </c>
    </row>
    <row r="395" spans="1:20" x14ac:dyDescent="0.25">
      <c r="A395" s="5">
        <v>44198</v>
      </c>
      <c r="B395">
        <v>8.337E-2</v>
      </c>
      <c r="C395">
        <v>8.337E-2</v>
      </c>
      <c r="D395">
        <v>7.7179999999999999E-2</v>
      </c>
      <c r="E395">
        <v>7.9149999999999998E-2</v>
      </c>
      <c r="F395">
        <v>15621098.800000001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-0.36348949919224582</v>
      </c>
      <c r="Q395">
        <f t="shared" si="975"/>
        <v>-5678105.3796445923</v>
      </c>
      <c r="R395">
        <f t="shared" si="976"/>
        <v>-98642713.50639914</v>
      </c>
      <c r="S395">
        <f t="shared" si="977"/>
        <v>-986.42713506399139</v>
      </c>
      <c r="T395">
        <f t="shared" si="978"/>
        <v>-0.98642713506399138</v>
      </c>
    </row>
    <row r="396" spans="1:20" x14ac:dyDescent="0.25">
      <c r="A396" s="5">
        <v>44197</v>
      </c>
      <c r="B396">
        <v>7.7729999999999994E-2</v>
      </c>
      <c r="C396">
        <v>8.3720000000000003E-2</v>
      </c>
      <c r="D396">
        <v>7.6980000000000007E-2</v>
      </c>
      <c r="E396">
        <v>8.3540000000000003E-2</v>
      </c>
      <c r="F396">
        <v>19334828.300000001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0.94658753709198817</v>
      </c>
      <c r="Q396">
        <f t="shared" si="975"/>
        <v>18302107.500593472</v>
      </c>
      <c r="R396">
        <f t="shared" si="976"/>
        <v>-92964608.126754552</v>
      </c>
      <c r="S396">
        <f t="shared" si="977"/>
        <v>-929.64608126754547</v>
      </c>
      <c r="T396">
        <f t="shared" si="978"/>
        <v>-0.92964608126754544</v>
      </c>
    </row>
    <row r="397" spans="1:20" x14ac:dyDescent="0.25">
      <c r="A397" s="5">
        <v>44196</v>
      </c>
      <c r="B397">
        <v>7.8109999999999999E-2</v>
      </c>
      <c r="C397">
        <v>7.9100000000000004E-2</v>
      </c>
      <c r="D397">
        <v>7.4999999999999997E-2</v>
      </c>
      <c r="E397">
        <v>7.7759999999999996E-2</v>
      </c>
      <c r="F397">
        <v>7445560.9000000004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0.34634146341463135</v>
      </c>
      <c r="Q397">
        <f t="shared" si="975"/>
        <v>2578706.45804876</v>
      </c>
      <c r="R397">
        <f t="shared" si="976"/>
        <v>-111266715.62734802</v>
      </c>
      <c r="S397">
        <f t="shared" si="977"/>
        <v>-1112.6671562734803</v>
      </c>
      <c r="T397">
        <f t="shared" si="978"/>
        <v>-1.1126671562734802</v>
      </c>
    </row>
    <row r="398" spans="1:20" x14ac:dyDescent="0.25">
      <c r="A398" s="5">
        <v>44195</v>
      </c>
      <c r="B398">
        <v>7.9699999999999993E-2</v>
      </c>
      <c r="C398">
        <v>8.0810000000000007E-2</v>
      </c>
      <c r="D398">
        <v>7.6929999999999998E-2</v>
      </c>
      <c r="E398">
        <v>7.8119999999999995E-2</v>
      </c>
      <c r="F398">
        <v>9650549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-0.38659793814433296</v>
      </c>
      <c r="Q398">
        <f t="shared" si="975"/>
        <v>-3730882.3453608542</v>
      </c>
      <c r="R398">
        <f t="shared" si="976"/>
        <v>-113845422.08539678</v>
      </c>
      <c r="S398">
        <f t="shared" si="977"/>
        <v>-1138.4542208539679</v>
      </c>
      <c r="T398">
        <f t="shared" si="978"/>
        <v>-1.1384542208539679</v>
      </c>
    </row>
    <row r="399" spans="1:20" x14ac:dyDescent="0.25">
      <c r="A399" s="5">
        <v>44194</v>
      </c>
      <c r="B399">
        <v>8.0979999999999996E-2</v>
      </c>
      <c r="C399">
        <v>8.2699999999999996E-2</v>
      </c>
      <c r="D399">
        <v>7.6999999999999999E-2</v>
      </c>
      <c r="E399">
        <v>7.9710000000000003E-2</v>
      </c>
      <c r="F399">
        <v>14011896.300000001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-4.9122807017541889E-2</v>
      </c>
      <c r="Q399">
        <f t="shared" si="975"/>
        <v>-688303.67789470928</v>
      </c>
      <c r="R399">
        <f t="shared" si="976"/>
        <v>-110114539.74003592</v>
      </c>
      <c r="S399">
        <f t="shared" si="977"/>
        <v>-1101.1453974003591</v>
      </c>
      <c r="T399">
        <f t="shared" si="978"/>
        <v>-1.1011453974003591</v>
      </c>
    </row>
    <row r="400" spans="1:20" x14ac:dyDescent="0.25">
      <c r="A400" s="5">
        <v>44193</v>
      </c>
      <c r="B400">
        <v>8.0640000000000003E-2</v>
      </c>
      <c r="C400">
        <v>8.4989999999999996E-2</v>
      </c>
      <c r="D400">
        <v>8.0049999999999996E-2</v>
      </c>
      <c r="E400">
        <v>8.0979999999999996E-2</v>
      </c>
      <c r="F400">
        <v>21695787.399999999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-0.62348178137651811</v>
      </c>
      <c r="Q400">
        <f t="shared" si="975"/>
        <v>-13526928.176518215</v>
      </c>
      <c r="R400">
        <f t="shared" si="976"/>
        <v>-109426236.06214121</v>
      </c>
      <c r="S400">
        <f t="shared" si="977"/>
        <v>-1094.2623606214122</v>
      </c>
      <c r="T400">
        <f t="shared" si="978"/>
        <v>-1.0942623606214121</v>
      </c>
    </row>
    <row r="401" spans="1:20" x14ac:dyDescent="0.25">
      <c r="A401" s="5">
        <v>44192</v>
      </c>
      <c r="B401">
        <v>7.9000000000000001E-2</v>
      </c>
      <c r="C401">
        <v>8.5089999999999999E-2</v>
      </c>
      <c r="D401">
        <v>7.6990000000000003E-2</v>
      </c>
      <c r="E401">
        <v>8.0769999999999995E-2</v>
      </c>
      <c r="F401">
        <v>23763593.100000001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-6.6666666666668262E-2</v>
      </c>
      <c r="Q401">
        <f t="shared" si="975"/>
        <v>-1584239.540000038</v>
      </c>
      <c r="R401">
        <f t="shared" si="976"/>
        <v>-95899307.885622993</v>
      </c>
      <c r="S401">
        <f t="shared" si="977"/>
        <v>-958.99307885622989</v>
      </c>
      <c r="T401">
        <f t="shared" si="978"/>
        <v>-0.95899307885622986</v>
      </c>
    </row>
    <row r="402" spans="1:20" x14ac:dyDescent="0.25">
      <c r="A402" s="5">
        <v>44191</v>
      </c>
      <c r="B402">
        <v>7.9949999999999993E-2</v>
      </c>
      <c r="C402">
        <v>8.4589999999999999E-2</v>
      </c>
      <c r="D402">
        <v>7.6300000000000007E-2</v>
      </c>
      <c r="E402">
        <v>7.9159999999999994E-2</v>
      </c>
      <c r="F402">
        <v>17138204.699999999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-0.31001206272617843</v>
      </c>
      <c r="Q402">
        <f t="shared" si="975"/>
        <v>-5313050.1904704859</v>
      </c>
      <c r="R402">
        <f t="shared" si="976"/>
        <v>-94315068.345622957</v>
      </c>
      <c r="S402">
        <f t="shared" si="977"/>
        <v>-943.15068345622956</v>
      </c>
      <c r="T402">
        <f t="shared" si="978"/>
        <v>-0.94315068345622954</v>
      </c>
    </row>
    <row r="403" spans="1:20" x14ac:dyDescent="0.25">
      <c r="A403" s="5">
        <v>44190</v>
      </c>
      <c r="B403">
        <v>8.0649999999999999E-2</v>
      </c>
      <c r="C403">
        <v>8.1850000000000006E-2</v>
      </c>
      <c r="D403">
        <v>7.6280000000000001E-2</v>
      </c>
      <c r="E403">
        <v>7.9890000000000003E-2</v>
      </c>
      <c r="F403">
        <v>10703763.5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0.29622980251346448</v>
      </c>
      <c r="Q403">
        <f t="shared" si="975"/>
        <v>3170773.7477558292</v>
      </c>
      <c r="R403">
        <f t="shared" si="976"/>
        <v>-89002018.15515247</v>
      </c>
      <c r="S403">
        <f t="shared" si="977"/>
        <v>-890.02018155152473</v>
      </c>
      <c r="T403">
        <f t="shared" si="978"/>
        <v>-0.89002018155152474</v>
      </c>
    </row>
    <row r="404" spans="1:20" x14ac:dyDescent="0.25">
      <c r="A404" s="5">
        <v>44189</v>
      </c>
      <c r="B404">
        <v>7.4380000000000002E-2</v>
      </c>
      <c r="C404">
        <v>8.1250000000000003E-2</v>
      </c>
      <c r="D404">
        <v>7.0000000000000007E-2</v>
      </c>
      <c r="E404">
        <v>8.0600000000000005E-2</v>
      </c>
      <c r="F404">
        <v>19138691.399999999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0.88444444444444481</v>
      </c>
      <c r="Q404">
        <f t="shared" si="975"/>
        <v>16927109.282666672</v>
      </c>
      <c r="R404">
        <f t="shared" si="976"/>
        <v>-92172791.902908295</v>
      </c>
      <c r="S404">
        <f t="shared" si="977"/>
        <v>-921.72791902908295</v>
      </c>
      <c r="T404">
        <f t="shared" si="978"/>
        <v>-0.92172791902908291</v>
      </c>
    </row>
    <row r="405" spans="1:20" x14ac:dyDescent="0.25">
      <c r="A405" s="5">
        <v>44188</v>
      </c>
      <c r="B405">
        <v>8.412E-2</v>
      </c>
      <c r="C405">
        <v>8.6499999999999994E-2</v>
      </c>
      <c r="D405">
        <v>7.2529999999999997E-2</v>
      </c>
      <c r="E405">
        <v>7.4340000000000003E-2</v>
      </c>
      <c r="F405">
        <v>22684901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-0.74087329992841711</v>
      </c>
      <c r="Q405">
        <f t="shared" si="975"/>
        <v>-16806637.46241945</v>
      </c>
      <c r="R405">
        <f t="shared" si="976"/>
        <v>-109099901.18557496</v>
      </c>
      <c r="S405">
        <f t="shared" si="977"/>
        <v>-1090.9990118557496</v>
      </c>
      <c r="T405">
        <f t="shared" si="978"/>
        <v>-1.0909990118557495</v>
      </c>
    </row>
    <row r="406" spans="1:20" x14ac:dyDescent="0.25">
      <c r="A406" s="5">
        <v>44187</v>
      </c>
      <c r="B406">
        <v>8.3849999999999994E-2</v>
      </c>
      <c r="C406">
        <v>8.541E-2</v>
      </c>
      <c r="D406">
        <v>8.133E-2</v>
      </c>
      <c r="E406">
        <v>8.412E-2</v>
      </c>
      <c r="F406">
        <v>12826635.699999999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0.36764705882352972</v>
      </c>
      <c r="Q406">
        <f t="shared" si="975"/>
        <v>4715674.8897058861</v>
      </c>
      <c r="R406">
        <f t="shared" si="976"/>
        <v>-92293263.723155513</v>
      </c>
      <c r="S406">
        <f t="shared" si="977"/>
        <v>-922.93263723155519</v>
      </c>
      <c r="T406">
        <f t="shared" si="978"/>
        <v>-0.92293263723155516</v>
      </c>
    </row>
    <row r="407" spans="1:20" x14ac:dyDescent="0.25">
      <c r="A407" s="5">
        <v>44186</v>
      </c>
      <c r="B407">
        <v>8.8929999999999995E-2</v>
      </c>
      <c r="C407">
        <v>9.0749999999999997E-2</v>
      </c>
      <c r="D407">
        <v>8.2000000000000003E-2</v>
      </c>
      <c r="E407">
        <v>8.3970000000000003E-2</v>
      </c>
      <c r="F407">
        <v>18474108.399999999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-0.54971428571428549</v>
      </c>
      <c r="Q407">
        <f t="shared" si="975"/>
        <v>-10155481.303314282</v>
      </c>
      <c r="R407">
        <f t="shared" si="976"/>
        <v>-97008938.612861395</v>
      </c>
      <c r="S407">
        <f t="shared" si="977"/>
        <v>-970.08938612861391</v>
      </c>
      <c r="T407">
        <f t="shared" si="978"/>
        <v>-0.97008938612861395</v>
      </c>
    </row>
    <row r="408" spans="1:20" x14ac:dyDescent="0.25">
      <c r="A408" s="5">
        <v>44185</v>
      </c>
      <c r="B408">
        <v>9.2369999999999994E-2</v>
      </c>
      <c r="C408">
        <v>9.7489999999999993E-2</v>
      </c>
      <c r="D408">
        <v>8.6999999999999994E-2</v>
      </c>
      <c r="E408">
        <v>8.8940000000000005E-2</v>
      </c>
      <c r="F408">
        <v>23741141.800000001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-0.63012392755004554</v>
      </c>
      <c r="Q408">
        <f t="shared" si="975"/>
        <v>-14959861.515538558</v>
      </c>
      <c r="R408">
        <f t="shared" si="976"/>
        <v>-86853457.309547111</v>
      </c>
      <c r="S408">
        <f t="shared" si="977"/>
        <v>-868.53457309547116</v>
      </c>
      <c r="T408">
        <f t="shared" si="978"/>
        <v>-0.86853457309547111</v>
      </c>
    </row>
    <row r="409" spans="1:20" x14ac:dyDescent="0.25">
      <c r="A409" s="5">
        <v>44184</v>
      </c>
      <c r="B409">
        <v>8.9069999999999996E-2</v>
      </c>
      <c r="C409">
        <v>9.4710000000000003E-2</v>
      </c>
      <c r="D409">
        <v>8.8980000000000004E-2</v>
      </c>
      <c r="E409">
        <v>9.2369999999999994E-2</v>
      </c>
      <c r="F409">
        <v>19419051.800000001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0.18324607329842613</v>
      </c>
      <c r="Q409">
        <f t="shared" si="975"/>
        <v>3558464.9895287338</v>
      </c>
      <c r="R409">
        <f t="shared" si="976"/>
        <v>-71893595.794008553</v>
      </c>
      <c r="S409">
        <f t="shared" si="977"/>
        <v>-718.93595794008559</v>
      </c>
      <c r="T409">
        <f t="shared" si="978"/>
        <v>-0.71893595794008558</v>
      </c>
    </row>
    <row r="410" spans="1:20" x14ac:dyDescent="0.25">
      <c r="A410" s="5">
        <v>44183</v>
      </c>
      <c r="B410">
        <v>8.6940000000000003E-2</v>
      </c>
      <c r="C410">
        <v>9.1859999999999997E-2</v>
      </c>
      <c r="D410">
        <v>8.5000000000000006E-2</v>
      </c>
      <c r="E410">
        <v>8.9069999999999996E-2</v>
      </c>
      <c r="F410">
        <v>15957656.6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0.18658892128279755</v>
      </c>
      <c r="Q410">
        <f t="shared" si="975"/>
        <v>2977521.931195315</v>
      </c>
      <c r="R410">
        <f t="shared" si="976"/>
        <v>-75452060.783537284</v>
      </c>
      <c r="S410">
        <f t="shared" si="977"/>
        <v>-754.52060783537286</v>
      </c>
      <c r="T410">
        <f t="shared" si="978"/>
        <v>-0.75452060783537289</v>
      </c>
    </row>
    <row r="411" spans="1:20" x14ac:dyDescent="0.25">
      <c r="A411" s="5">
        <v>44182</v>
      </c>
      <c r="B411">
        <v>8.795E-2</v>
      </c>
      <c r="C411">
        <v>9.0880000000000002E-2</v>
      </c>
      <c r="D411">
        <v>8.4459999999999993E-2</v>
      </c>
      <c r="E411">
        <v>8.6959999999999996E-2</v>
      </c>
      <c r="F411">
        <v>21394637.600000001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-0.22118380062305337</v>
      </c>
      <c r="Q411">
        <f t="shared" si="975"/>
        <v>-4732147.2573208818</v>
      </c>
      <c r="R411">
        <f t="shared" si="976"/>
        <v>-78429582.714732602</v>
      </c>
      <c r="S411">
        <f t="shared" si="977"/>
        <v>-784.29582714732601</v>
      </c>
      <c r="T411">
        <f t="shared" si="978"/>
        <v>-0.78429582714732604</v>
      </c>
    </row>
    <row r="412" spans="1:20" x14ac:dyDescent="0.25">
      <c r="A412" s="5">
        <v>44181</v>
      </c>
      <c r="B412">
        <v>8.6559999999999998E-2</v>
      </c>
      <c r="C412">
        <v>8.8999999999999996E-2</v>
      </c>
      <c r="D412">
        <v>8.2129999999999995E-2</v>
      </c>
      <c r="E412">
        <v>8.795E-2</v>
      </c>
      <c r="F412">
        <v>16247221.300000001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0.69432314410480489</v>
      </c>
      <c r="Q412">
        <f t="shared" si="975"/>
        <v>11280821.775982557</v>
      </c>
      <c r="R412">
        <f t="shared" si="976"/>
        <v>-73697435.457411721</v>
      </c>
      <c r="S412">
        <f t="shared" si="977"/>
        <v>-736.97435457411723</v>
      </c>
      <c r="T412">
        <f t="shared" si="978"/>
        <v>-0.7369743545741172</v>
      </c>
    </row>
    <row r="413" spans="1:20" x14ac:dyDescent="0.25">
      <c r="A413" s="5">
        <v>44180</v>
      </c>
      <c r="B413">
        <v>8.6809999999999998E-2</v>
      </c>
      <c r="C413">
        <v>9.1770000000000004E-2</v>
      </c>
      <c r="D413">
        <v>8.5669999999999996E-2</v>
      </c>
      <c r="E413">
        <v>8.6449999999999999E-2</v>
      </c>
      <c r="F413">
        <v>21992744.899999999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-0.74426229508196662</v>
      </c>
      <c r="Q413">
        <f t="shared" si="975"/>
        <v>-16368370.794426216</v>
      </c>
      <c r="R413">
        <f t="shared" si="976"/>
        <v>-84978257.23339428</v>
      </c>
      <c r="S413">
        <f t="shared" si="977"/>
        <v>-849.78257233394277</v>
      </c>
      <c r="T413">
        <f t="shared" si="978"/>
        <v>-0.84978257233394272</v>
      </c>
    </row>
    <row r="414" spans="1:20" x14ac:dyDescent="0.25">
      <c r="A414" s="5">
        <v>44179</v>
      </c>
      <c r="B414">
        <v>8.6249999999999993E-2</v>
      </c>
      <c r="C414">
        <v>8.6999999999999994E-2</v>
      </c>
      <c r="D414">
        <v>8.3570000000000005E-2</v>
      </c>
      <c r="E414">
        <v>8.6790000000000006E-2</v>
      </c>
      <c r="F414">
        <v>8362073.2999999998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0.8775510204081699</v>
      </c>
      <c r="Q414">
        <f t="shared" si="975"/>
        <v>7338145.9571429128</v>
      </c>
      <c r="R414">
        <f t="shared" si="976"/>
        <v>-68609886.438968062</v>
      </c>
      <c r="S414">
        <f t="shared" si="977"/>
        <v>-686.09886438968067</v>
      </c>
      <c r="T414">
        <f t="shared" si="978"/>
        <v>-0.68609886438968071</v>
      </c>
    </row>
    <row r="415" spans="1:20" x14ac:dyDescent="0.25">
      <c r="A415" s="5">
        <v>44178</v>
      </c>
      <c r="B415">
        <v>8.2290000000000002E-2</v>
      </c>
      <c r="C415">
        <v>9.5000000000000001E-2</v>
      </c>
      <c r="D415">
        <v>8.2049999999999998E-2</v>
      </c>
      <c r="E415">
        <v>8.6279999999999996E-2</v>
      </c>
      <c r="F415">
        <v>12741996.1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-0.34671814671814727</v>
      </c>
      <c r="Q415">
        <f t="shared" si="975"/>
        <v>-4417881.2732818602</v>
      </c>
      <c r="R415">
        <f t="shared" si="976"/>
        <v>-75948032.396110982</v>
      </c>
      <c r="S415">
        <f t="shared" si="977"/>
        <v>-759.48032396110978</v>
      </c>
      <c r="T415">
        <f t="shared" si="978"/>
        <v>-0.75948032396110976</v>
      </c>
    </row>
    <row r="416" spans="1:20" x14ac:dyDescent="0.25">
      <c r="A416" s="5">
        <v>44177</v>
      </c>
      <c r="B416">
        <v>7.8670000000000004E-2</v>
      </c>
      <c r="C416">
        <v>8.3260000000000001E-2</v>
      </c>
      <c r="D416">
        <v>7.8649999999999998E-2</v>
      </c>
      <c r="E416">
        <v>8.2119999999999999E-2</v>
      </c>
      <c r="F416">
        <v>4976608.0999999996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0.50542299349240716</v>
      </c>
      <c r="Q416">
        <f t="shared" si="975"/>
        <v>2515292.1633405606</v>
      </c>
      <c r="R416">
        <f t="shared" si="976"/>
        <v>-71530151.122829124</v>
      </c>
      <c r="S416">
        <f t="shared" si="977"/>
        <v>-715.30151122829125</v>
      </c>
      <c r="T416">
        <f t="shared" si="978"/>
        <v>-0.71530151122829122</v>
      </c>
    </row>
    <row r="417" spans="1:20" x14ac:dyDescent="0.25">
      <c r="A417" s="5">
        <v>44176</v>
      </c>
      <c r="B417">
        <v>8.1509999999999999E-2</v>
      </c>
      <c r="C417">
        <v>8.1619999999999998E-2</v>
      </c>
      <c r="D417">
        <v>7.6420000000000002E-2</v>
      </c>
      <c r="E417">
        <v>7.8600000000000003E-2</v>
      </c>
      <c r="F417">
        <v>8970859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-0.16153846153846041</v>
      </c>
      <c r="Q417">
        <f t="shared" si="975"/>
        <v>-1449138.7615384513</v>
      </c>
      <c r="R417">
        <f t="shared" si="976"/>
        <v>-74045443.286169678</v>
      </c>
      <c r="S417">
        <f t="shared" si="977"/>
        <v>-740.45443286169677</v>
      </c>
      <c r="T417">
        <f t="shared" si="978"/>
        <v>-0.74045443286169677</v>
      </c>
    </row>
    <row r="418" spans="1:20" x14ac:dyDescent="0.25">
      <c r="A418" s="5">
        <v>44175</v>
      </c>
      <c r="B418">
        <v>8.4279999999999994E-2</v>
      </c>
      <c r="C418">
        <v>8.4680000000000005E-2</v>
      </c>
      <c r="D418">
        <v>8.0420000000000005E-2</v>
      </c>
      <c r="E418">
        <v>8.1509999999999999E-2</v>
      </c>
      <c r="F418">
        <v>8115574.2000000002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-0.488262910798125</v>
      </c>
      <c r="Q418">
        <f t="shared" si="975"/>
        <v>-3962533.8816901646</v>
      </c>
      <c r="R418">
        <f t="shared" si="976"/>
        <v>-72596304.524631232</v>
      </c>
      <c r="S418">
        <f t="shared" si="977"/>
        <v>-725.96304524631228</v>
      </c>
      <c r="T418">
        <f t="shared" si="978"/>
        <v>-0.72596304524631228</v>
      </c>
    </row>
    <row r="419" spans="1:20" x14ac:dyDescent="0.25">
      <c r="A419" s="5">
        <v>44174</v>
      </c>
      <c r="B419">
        <v>8.455E-2</v>
      </c>
      <c r="C419">
        <v>8.4879999999999997E-2</v>
      </c>
      <c r="D419">
        <v>0.08</v>
      </c>
      <c r="E419">
        <v>8.4330000000000002E-2</v>
      </c>
      <c r="F419">
        <v>14723350.1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0.77459016393442814</v>
      </c>
      <c r="Q419">
        <f t="shared" si="975"/>
        <v>11404562.167622978</v>
      </c>
      <c r="R419">
        <f t="shared" si="976"/>
        <v>-68633770.642941073</v>
      </c>
      <c r="S419">
        <f t="shared" si="977"/>
        <v>-686.33770642941067</v>
      </c>
      <c r="T419">
        <f t="shared" si="978"/>
        <v>-0.68633770642941072</v>
      </c>
    </row>
    <row r="420" spans="1:20" x14ac:dyDescent="0.25">
      <c r="A420" s="5">
        <v>44173</v>
      </c>
      <c r="B420">
        <v>8.8819999999999996E-2</v>
      </c>
      <c r="C420">
        <v>9.2560000000000003E-2</v>
      </c>
      <c r="D420">
        <v>8.3489999999999995E-2</v>
      </c>
      <c r="E420">
        <v>8.4510000000000002E-2</v>
      </c>
      <c r="F420">
        <v>13559390.800000001</v>
      </c>
      <c r="G420">
        <v>0</v>
      </c>
      <c r="L420" t="s">
        <v>7</v>
      </c>
      <c r="M420" t="s">
        <v>8</v>
      </c>
      <c r="N420" t="s">
        <v>7</v>
      </c>
      <c r="P420">
        <f t="shared" si="974"/>
        <v>-0.77508269018742981</v>
      </c>
      <c r="Q420">
        <f t="shared" si="975"/>
        <v>-10509649.098566687</v>
      </c>
      <c r="R420">
        <f t="shared" si="976"/>
        <v>-80038332.810564056</v>
      </c>
      <c r="S420">
        <f t="shared" si="977"/>
        <v>-800.38332810564054</v>
      </c>
      <c r="T420">
        <f t="shared" si="978"/>
        <v>-0.8003833281056405</v>
      </c>
    </row>
    <row r="421" spans="1:20" x14ac:dyDescent="0.25">
      <c r="A421" s="5">
        <v>44172</v>
      </c>
      <c r="B421">
        <v>9.0230000000000005E-2</v>
      </c>
      <c r="C421">
        <v>9.0459999999999999E-2</v>
      </c>
      <c r="D421">
        <v>8.7779999999999997E-2</v>
      </c>
      <c r="E421">
        <v>8.8940000000000005E-2</v>
      </c>
      <c r="F421">
        <v>8048533.5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-0.13432835820894967</v>
      </c>
      <c r="Q421">
        <f t="shared" si="975"/>
        <v>-1081146.2910447314</v>
      </c>
      <c r="R421">
        <f t="shared" si="976"/>
        <v>-69528683.711997375</v>
      </c>
      <c r="S421">
        <f t="shared" si="977"/>
        <v>-695.28683711997371</v>
      </c>
      <c r="T421">
        <f t="shared" si="978"/>
        <v>-0.69528683711997374</v>
      </c>
    </row>
    <row r="422" spans="1:20" x14ac:dyDescent="0.25">
      <c r="A422" s="5">
        <v>44171</v>
      </c>
      <c r="B422">
        <v>9.1840000000000005E-2</v>
      </c>
      <c r="C422">
        <v>9.2460000000000001E-2</v>
      </c>
      <c r="D422">
        <v>8.8510000000000005E-2</v>
      </c>
      <c r="E422">
        <v>9.0219999999999995E-2</v>
      </c>
      <c r="F422">
        <v>11854263.6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-0.13417721518987777</v>
      </c>
      <c r="Q422">
        <f t="shared" si="975"/>
        <v>-1590572.0779747351</v>
      </c>
      <c r="R422">
        <f t="shared" si="976"/>
        <v>-68447537.420952648</v>
      </c>
      <c r="S422">
        <f t="shared" si="977"/>
        <v>-684.47537420952654</v>
      </c>
      <c r="T422">
        <f t="shared" si="978"/>
        <v>-0.68447537420952653</v>
      </c>
    </row>
    <row r="423" spans="1:20" x14ac:dyDescent="0.25">
      <c r="A423" s="5">
        <v>44170</v>
      </c>
      <c r="B423">
        <v>8.6059999999999998E-2</v>
      </c>
      <c r="C423">
        <v>0.1</v>
      </c>
      <c r="D423">
        <v>8.5000000000000006E-2</v>
      </c>
      <c r="E423">
        <v>9.2030000000000001E-2</v>
      </c>
      <c r="F423">
        <v>33859070.799999997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-6.2666666666667356E-2</v>
      </c>
      <c r="Q423">
        <f t="shared" si="975"/>
        <v>-2121835.1034666901</v>
      </c>
      <c r="R423">
        <f t="shared" si="976"/>
        <v>-66856965.342977911</v>
      </c>
      <c r="S423">
        <f t="shared" si="977"/>
        <v>-668.56965342977912</v>
      </c>
      <c r="T423">
        <f t="shared" si="978"/>
        <v>-0.66856965342977914</v>
      </c>
    </row>
    <row r="424" spans="1:20" x14ac:dyDescent="0.25">
      <c r="A424" s="5">
        <v>44169</v>
      </c>
      <c r="B424">
        <v>9.171E-2</v>
      </c>
      <c r="C424">
        <v>9.1999999999999998E-2</v>
      </c>
      <c r="D424">
        <v>8.5489999999999997E-2</v>
      </c>
      <c r="E424">
        <v>8.6029999999999995E-2</v>
      </c>
      <c r="F424">
        <v>16667998.6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-0.83410138248847965</v>
      </c>
      <c r="Q424">
        <f t="shared" si="975"/>
        <v>-13902800.675576042</v>
      </c>
      <c r="R424">
        <f t="shared" si="976"/>
        <v>-64735130.239511222</v>
      </c>
      <c r="S424">
        <f t="shared" si="977"/>
        <v>-647.35130239511227</v>
      </c>
      <c r="T424">
        <f t="shared" si="978"/>
        <v>-0.64735130239511229</v>
      </c>
    </row>
    <row r="425" spans="1:20" x14ac:dyDescent="0.25">
      <c r="A425" s="5">
        <v>44168</v>
      </c>
      <c r="B425">
        <v>9.2649999999999996E-2</v>
      </c>
      <c r="C425">
        <v>9.6890000000000004E-2</v>
      </c>
      <c r="D425">
        <v>9.0999999999999998E-2</v>
      </c>
      <c r="E425">
        <v>9.1920000000000002E-2</v>
      </c>
      <c r="F425">
        <v>19494361.699999999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-0.68760611205432831</v>
      </c>
      <c r="Q425">
        <f t="shared" si="975"/>
        <v>-13404442.255517805</v>
      </c>
      <c r="R425">
        <f t="shared" si="976"/>
        <v>-50832329.563935183</v>
      </c>
      <c r="S425">
        <f t="shared" si="977"/>
        <v>-508.32329563935184</v>
      </c>
      <c r="T425">
        <f t="shared" si="978"/>
        <v>-0.50832329563935186</v>
      </c>
    </row>
    <row r="426" spans="1:20" x14ac:dyDescent="0.25">
      <c r="A426" s="5">
        <v>44167</v>
      </c>
      <c r="B426">
        <v>8.6010000000000003E-2</v>
      </c>
      <c r="C426">
        <v>9.6000000000000002E-2</v>
      </c>
      <c r="D426">
        <v>8.5180000000000006E-2</v>
      </c>
      <c r="E426">
        <v>9.2649999999999996E-2</v>
      </c>
      <c r="F426">
        <v>28092899.399999999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0.38077634011090444</v>
      </c>
      <c r="Q426">
        <f t="shared" si="975"/>
        <v>10697111.416635823</v>
      </c>
      <c r="R426">
        <f t="shared" si="976"/>
        <v>-37427887.30841738</v>
      </c>
      <c r="S426">
        <f t="shared" si="977"/>
        <v>-374.27887308417382</v>
      </c>
      <c r="T426">
        <f t="shared" si="978"/>
        <v>-0.37427887308417385</v>
      </c>
    </row>
    <row r="427" spans="1:20" x14ac:dyDescent="0.25">
      <c r="A427" s="5">
        <v>44166</v>
      </c>
      <c r="B427">
        <v>8.8489999999999999E-2</v>
      </c>
      <c r="C427">
        <v>9.6860000000000002E-2</v>
      </c>
      <c r="D427">
        <v>8.201E-2</v>
      </c>
      <c r="E427">
        <v>8.6019999999999999E-2</v>
      </c>
      <c r="F427">
        <v>32268545.100000001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-0.45993265993266003</v>
      </c>
      <c r="Q427">
        <f t="shared" si="975"/>
        <v>-14841357.780000003</v>
      </c>
      <c r="R427">
        <f t="shared" si="976"/>
        <v>-48124998.725053199</v>
      </c>
      <c r="S427">
        <f t="shared" si="977"/>
        <v>-481.249987250532</v>
      </c>
      <c r="T427">
        <f t="shared" si="978"/>
        <v>-0.48124998725053197</v>
      </c>
    </row>
    <row r="428" spans="1:20" x14ac:dyDescent="0.25">
      <c r="A428" s="5">
        <v>44165</v>
      </c>
      <c r="B428">
        <v>8.3030000000000007E-2</v>
      </c>
      <c r="C428">
        <v>8.8489999999999999E-2</v>
      </c>
      <c r="D428">
        <v>8.0530000000000004E-2</v>
      </c>
      <c r="E428">
        <v>8.8389999999999996E-2</v>
      </c>
      <c r="F428">
        <v>12693576.1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0.97487437185929571</v>
      </c>
      <c r="Q428">
        <f t="shared" si="975"/>
        <v>12374642.027135668</v>
      </c>
      <c r="R428">
        <f t="shared" si="976"/>
        <v>-33283640.945053197</v>
      </c>
      <c r="S428">
        <f t="shared" si="977"/>
        <v>-332.83640945053196</v>
      </c>
      <c r="T428">
        <f t="shared" si="978"/>
        <v>-0.33283640945053194</v>
      </c>
    </row>
    <row r="429" spans="1:20" x14ac:dyDescent="0.25">
      <c r="A429" s="5">
        <v>44164</v>
      </c>
      <c r="B429">
        <v>8.3379999999999996E-2</v>
      </c>
      <c r="C429">
        <v>8.4489999999999996E-2</v>
      </c>
      <c r="D429">
        <v>8.1110000000000002E-2</v>
      </c>
      <c r="E429">
        <v>8.2919999999999994E-2</v>
      </c>
      <c r="F429">
        <v>9987565.0999999996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7.100591715976054E-2</v>
      </c>
      <c r="Q429">
        <f t="shared" si="975"/>
        <v>709176.22011831542</v>
      </c>
      <c r="R429">
        <f t="shared" si="976"/>
        <v>-45658282.972188868</v>
      </c>
      <c r="S429">
        <f t="shared" si="977"/>
        <v>-456.58282972188869</v>
      </c>
      <c r="T429">
        <f t="shared" si="978"/>
        <v>-0.45658282972188868</v>
      </c>
    </row>
    <row r="430" spans="1:20" x14ac:dyDescent="0.25">
      <c r="A430" s="5">
        <v>44163</v>
      </c>
      <c r="B430">
        <v>8.054E-2</v>
      </c>
      <c r="C430">
        <v>8.6410000000000001E-2</v>
      </c>
      <c r="D430">
        <v>7.7840000000000006E-2</v>
      </c>
      <c r="E430">
        <v>8.3379999999999996E-2</v>
      </c>
      <c r="F430">
        <v>13354945.199999999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0.29288214702450249</v>
      </c>
      <c r="Q430">
        <f t="shared" si="975"/>
        <v>3911425.0235705734</v>
      </c>
      <c r="R430">
        <f t="shared" si="976"/>
        <v>-46367459.192307182</v>
      </c>
      <c r="S430">
        <f t="shared" si="977"/>
        <v>-463.67459192307183</v>
      </c>
      <c r="T430">
        <f t="shared" si="978"/>
        <v>-0.46367459192307181</v>
      </c>
    </row>
    <row r="431" spans="1:20" x14ac:dyDescent="0.25">
      <c r="A431" s="5">
        <v>44162</v>
      </c>
      <c r="B431">
        <v>8.0130000000000007E-2</v>
      </c>
      <c r="C431">
        <v>8.1629999999999994E-2</v>
      </c>
      <c r="D431">
        <v>7.5939999999999994E-2</v>
      </c>
      <c r="E431">
        <v>8.054E-2</v>
      </c>
      <c r="F431">
        <v>14523623.5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0.61687170474516917</v>
      </c>
      <c r="Q431">
        <f t="shared" si="975"/>
        <v>8959212.3875220008</v>
      </c>
      <c r="R431">
        <f t="shared" si="976"/>
        <v>-50278884.215877756</v>
      </c>
      <c r="S431">
        <f t="shared" si="977"/>
        <v>-502.78884215877758</v>
      </c>
      <c r="T431">
        <f t="shared" si="978"/>
        <v>-0.50278884215877762</v>
      </c>
    </row>
    <row r="432" spans="1:20" x14ac:dyDescent="0.25">
      <c r="A432" s="5">
        <v>44161</v>
      </c>
      <c r="B432">
        <v>9.1639999999999999E-2</v>
      </c>
      <c r="C432">
        <v>9.6589999999999995E-2</v>
      </c>
      <c r="D432">
        <v>7.5520000000000004E-2</v>
      </c>
      <c r="E432">
        <v>8.0130000000000007E-2</v>
      </c>
      <c r="F432">
        <v>29727117.300000001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-0.56241101091599388</v>
      </c>
      <c r="Q432">
        <f t="shared" si="975"/>
        <v>-16718858.09231133</v>
      </c>
      <c r="R432">
        <f t="shared" si="976"/>
        <v>-59238096.603399754</v>
      </c>
      <c r="S432">
        <f t="shared" si="977"/>
        <v>-592.38096603399754</v>
      </c>
      <c r="T432">
        <f t="shared" si="978"/>
        <v>-0.59238096603399759</v>
      </c>
    </row>
    <row r="433" spans="1:20" x14ac:dyDescent="0.25">
      <c r="A433" s="5">
        <v>44160</v>
      </c>
      <c r="B433">
        <v>9.1810000000000003E-2</v>
      </c>
      <c r="C433">
        <v>9.8970000000000002E-2</v>
      </c>
      <c r="D433">
        <v>8.7999999999999995E-2</v>
      </c>
      <c r="E433">
        <v>9.1679999999999998E-2</v>
      </c>
      <c r="F433">
        <v>26614201.800000001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-0.3290793072014585</v>
      </c>
      <c r="Q433">
        <f t="shared" si="975"/>
        <v>-8758183.0900638103</v>
      </c>
      <c r="R433">
        <f t="shared" si="976"/>
        <v>-42519238.511088423</v>
      </c>
      <c r="S433">
        <f t="shared" si="977"/>
        <v>-425.19238511088423</v>
      </c>
      <c r="T433">
        <f t="shared" si="978"/>
        <v>-0.42519238511088425</v>
      </c>
    </row>
    <row r="434" spans="1:20" x14ac:dyDescent="0.25">
      <c r="A434" s="5">
        <v>44159</v>
      </c>
      <c r="B434">
        <v>9.0359999999999996E-2</v>
      </c>
      <c r="C434">
        <v>9.5500000000000002E-2</v>
      </c>
      <c r="D434">
        <v>8.5529999999999995E-2</v>
      </c>
      <c r="E434">
        <v>9.2100000000000001E-2</v>
      </c>
      <c r="F434">
        <v>29409648.600000001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0.31795386158475469</v>
      </c>
      <c r="Q434">
        <f t="shared" si="975"/>
        <v>9350911.3402206749</v>
      </c>
      <c r="R434">
        <f t="shared" si="976"/>
        <v>-33761055.421024613</v>
      </c>
      <c r="S434">
        <f t="shared" si="977"/>
        <v>-337.61055421024611</v>
      </c>
      <c r="T434">
        <f t="shared" si="978"/>
        <v>-0.33761055421024611</v>
      </c>
    </row>
    <row r="435" spans="1:20" x14ac:dyDescent="0.25">
      <c r="A435" s="5">
        <v>44158</v>
      </c>
      <c r="B435">
        <v>8.5550000000000001E-2</v>
      </c>
      <c r="C435">
        <v>9.3410000000000007E-2</v>
      </c>
      <c r="D435">
        <v>8.4620000000000001E-2</v>
      </c>
      <c r="E435">
        <v>9.0179999999999996E-2</v>
      </c>
      <c r="F435">
        <v>24283276.600000001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0.2650739476678024</v>
      </c>
      <c r="Q435">
        <f t="shared" si="975"/>
        <v>6436863.9906711709</v>
      </c>
      <c r="R435">
        <f t="shared" si="976"/>
        <v>-43111966.761245288</v>
      </c>
      <c r="S435">
        <f t="shared" si="977"/>
        <v>-431.11966761245287</v>
      </c>
      <c r="T435">
        <f t="shared" si="978"/>
        <v>-0.43111966761245285</v>
      </c>
    </row>
    <row r="436" spans="1:20" x14ac:dyDescent="0.25">
      <c r="A436" s="5">
        <v>44157</v>
      </c>
      <c r="B436">
        <v>8.8029999999999997E-2</v>
      </c>
      <c r="C436">
        <v>9.0060000000000001E-2</v>
      </c>
      <c r="D436">
        <v>7.9200000000000007E-2</v>
      </c>
      <c r="E436">
        <v>8.5639999999999994E-2</v>
      </c>
      <c r="F436">
        <v>17935745.100000001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0.18600368324125058</v>
      </c>
      <c r="Q436">
        <f t="shared" si="975"/>
        <v>3336114.6502762125</v>
      </c>
      <c r="R436">
        <f t="shared" si="976"/>
        <v>-49548830.751916461</v>
      </c>
      <c r="S436">
        <f t="shared" si="977"/>
        <v>-495.48830751916461</v>
      </c>
      <c r="T436">
        <f t="shared" si="978"/>
        <v>-0.49548830751916462</v>
      </c>
    </row>
    <row r="437" spans="1:20" x14ac:dyDescent="0.25">
      <c r="A437" s="5">
        <v>44156</v>
      </c>
      <c r="B437">
        <v>8.1689999999999999E-2</v>
      </c>
      <c r="C437">
        <v>8.9499999999999996E-2</v>
      </c>
      <c r="D437">
        <v>8.0740000000000006E-2</v>
      </c>
      <c r="E437">
        <v>8.77E-2</v>
      </c>
      <c r="F437">
        <v>18682827.800000001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0.58904109589041143</v>
      </c>
      <c r="Q437">
        <f t="shared" si="975"/>
        <v>11004953.361643845</v>
      </c>
      <c r="R437">
        <f t="shared" si="976"/>
        <v>-52884945.402192675</v>
      </c>
      <c r="S437">
        <f t="shared" si="977"/>
        <v>-528.8494540219267</v>
      </c>
      <c r="T437">
        <f t="shared" si="978"/>
        <v>-0.52884945402192673</v>
      </c>
    </row>
    <row r="438" spans="1:20" x14ac:dyDescent="0.25">
      <c r="A438" s="5">
        <v>44155</v>
      </c>
      <c r="B438">
        <v>7.7909999999999993E-2</v>
      </c>
      <c r="C438">
        <v>8.276E-2</v>
      </c>
      <c r="D438">
        <v>7.7909999999999993E-2</v>
      </c>
      <c r="E438">
        <v>8.1460000000000005E-2</v>
      </c>
      <c r="F438">
        <v>11997794.1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0.46391752577319845</v>
      </c>
      <c r="Q438">
        <f t="shared" si="975"/>
        <v>5565986.9536082782</v>
      </c>
      <c r="R438">
        <f t="shared" si="976"/>
        <v>-63889898.763836518</v>
      </c>
      <c r="S438">
        <f t="shared" si="977"/>
        <v>-638.89898763836516</v>
      </c>
      <c r="T438">
        <f t="shared" si="978"/>
        <v>-0.63889898763836517</v>
      </c>
    </row>
    <row r="439" spans="1:20" x14ac:dyDescent="0.25">
      <c r="A439" s="5">
        <v>44154</v>
      </c>
      <c r="B439">
        <v>7.7160000000000006E-2</v>
      </c>
      <c r="C439">
        <v>7.8899999999999998E-2</v>
      </c>
      <c r="D439">
        <v>7.4429999999999996E-2</v>
      </c>
      <c r="E439">
        <v>7.8049999999999994E-2</v>
      </c>
      <c r="F439">
        <v>10490284.4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0.61968680089485317</v>
      </c>
      <c r="Q439">
        <f t="shared" si="975"/>
        <v>6500690.7803131845</v>
      </c>
      <c r="R439">
        <f t="shared" si="976"/>
        <v>-69455885.717444792</v>
      </c>
      <c r="S439">
        <f t="shared" si="977"/>
        <v>-694.55885717444789</v>
      </c>
      <c r="T439">
        <f t="shared" si="978"/>
        <v>-0.69455885717444787</v>
      </c>
    </row>
    <row r="440" spans="1:20" x14ac:dyDescent="0.25">
      <c r="A440" s="5">
        <v>44153</v>
      </c>
      <c r="B440">
        <v>8.09E-2</v>
      </c>
      <c r="C440">
        <v>8.1009999999999999E-2</v>
      </c>
      <c r="D440">
        <v>7.5620000000000007E-2</v>
      </c>
      <c r="E440">
        <v>7.7439999999999995E-2</v>
      </c>
      <c r="F440">
        <v>13907197.699999999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-0.324675324675328</v>
      </c>
      <c r="Q440">
        <f t="shared" si="975"/>
        <v>-4515323.9285714747</v>
      </c>
      <c r="R440">
        <f t="shared" si="976"/>
        <v>-75956576.497757971</v>
      </c>
      <c r="S440">
        <f t="shared" si="977"/>
        <v>-759.56576497757976</v>
      </c>
      <c r="T440">
        <f t="shared" si="978"/>
        <v>-0.75956576497757977</v>
      </c>
    </row>
    <row r="441" spans="1:20" x14ac:dyDescent="0.25">
      <c r="A441" s="5">
        <v>44152</v>
      </c>
      <c r="B441">
        <v>7.9450000000000007E-2</v>
      </c>
      <c r="C441">
        <v>8.2839999999999997E-2</v>
      </c>
      <c r="D441">
        <v>7.782E-2</v>
      </c>
      <c r="E441">
        <v>8.0610000000000001E-2</v>
      </c>
      <c r="F441">
        <v>19846270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0.11155378486055882</v>
      </c>
      <c r="Q441">
        <f t="shared" si="975"/>
        <v>2213926.5338645629</v>
      </c>
      <c r="R441">
        <f t="shared" si="976"/>
        <v>-71441252.569186494</v>
      </c>
      <c r="S441">
        <f t="shared" si="977"/>
        <v>-714.41252569186497</v>
      </c>
      <c r="T441">
        <f t="shared" si="978"/>
        <v>-0.71441252569186497</v>
      </c>
    </row>
    <row r="442" spans="1:20" x14ac:dyDescent="0.25">
      <c r="A442" s="5">
        <v>44151</v>
      </c>
      <c r="B442">
        <v>7.8719999999999998E-2</v>
      </c>
      <c r="C442">
        <v>8.3119999999999999E-2</v>
      </c>
      <c r="D442">
        <v>7.6999999999999999E-2</v>
      </c>
      <c r="E442">
        <v>7.9420000000000004E-2</v>
      </c>
      <c r="F442">
        <v>18084511.5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-0.20915032679738388</v>
      </c>
      <c r="Q442">
        <f t="shared" si="975"/>
        <v>-3782381.4901960469</v>
      </c>
      <c r="R442">
        <f t="shared" si="976"/>
        <v>-73655179.103051051</v>
      </c>
      <c r="S442">
        <f t="shared" si="977"/>
        <v>-736.55179103051057</v>
      </c>
      <c r="T442">
        <f t="shared" si="978"/>
        <v>-0.73655179103051061</v>
      </c>
    </row>
    <row r="443" spans="1:20" x14ac:dyDescent="0.25">
      <c r="A443" s="5">
        <v>44150</v>
      </c>
      <c r="B443">
        <v>7.9719999999999999E-2</v>
      </c>
      <c r="C443">
        <v>8.3059999999999995E-2</v>
      </c>
      <c r="D443">
        <v>7.6399999999999996E-2</v>
      </c>
      <c r="E443">
        <v>7.8750000000000001E-2</v>
      </c>
      <c r="F443">
        <v>16943890.800000001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-0.29429429429429277</v>
      </c>
      <c r="Q443">
        <f t="shared" si="975"/>
        <v>-4986490.3855855595</v>
      </c>
      <c r="R443">
        <f t="shared" si="976"/>
        <v>-69872797.612855002</v>
      </c>
      <c r="S443">
        <f t="shared" si="977"/>
        <v>-698.72797612855004</v>
      </c>
      <c r="T443">
        <f t="shared" si="978"/>
        <v>-0.69872797612855009</v>
      </c>
    </row>
    <row r="444" spans="1:20" x14ac:dyDescent="0.25">
      <c r="A444" s="5">
        <v>44149</v>
      </c>
      <c r="B444">
        <v>8.3390000000000006E-2</v>
      </c>
      <c r="C444">
        <v>8.3489999999999995E-2</v>
      </c>
      <c r="D444">
        <v>7.8280000000000002E-2</v>
      </c>
      <c r="E444">
        <v>7.9719999999999999E-2</v>
      </c>
      <c r="F444">
        <v>10903617.800000001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-0.44721689059501002</v>
      </c>
      <c r="Q444">
        <f t="shared" si="975"/>
        <v>-4876282.0487524038</v>
      </c>
      <c r="R444">
        <f t="shared" si="976"/>
        <v>-64886307.227269441</v>
      </c>
      <c r="S444">
        <f t="shared" si="977"/>
        <v>-648.86307227269435</v>
      </c>
      <c r="T444">
        <f t="shared" si="978"/>
        <v>-0.64886307227269435</v>
      </c>
    </row>
    <row r="445" spans="1:20" x14ac:dyDescent="0.25">
      <c r="A445" s="5">
        <v>44148</v>
      </c>
      <c r="B445">
        <v>8.3830000000000002E-2</v>
      </c>
      <c r="C445">
        <v>8.7279999999999996E-2</v>
      </c>
      <c r="D445">
        <v>8.072E-2</v>
      </c>
      <c r="E445">
        <v>8.3040000000000003E-2</v>
      </c>
      <c r="F445">
        <v>23462376.899999999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-0.29268292682926711</v>
      </c>
      <c r="Q445">
        <f t="shared" si="975"/>
        <v>-6867037.1414633868</v>
      </c>
      <c r="R445">
        <f t="shared" si="976"/>
        <v>-60010025.178517036</v>
      </c>
      <c r="S445">
        <f t="shared" si="977"/>
        <v>-600.10025178517037</v>
      </c>
      <c r="T445">
        <f t="shared" si="978"/>
        <v>-0.60010025178517035</v>
      </c>
    </row>
    <row r="446" spans="1:20" x14ac:dyDescent="0.25">
      <c r="A446" s="5">
        <v>44147</v>
      </c>
      <c r="B446">
        <v>8.3690000000000001E-2</v>
      </c>
      <c r="C446">
        <v>8.4959999999999994E-2</v>
      </c>
      <c r="D446">
        <v>7.7399999999999997E-2</v>
      </c>
      <c r="E446">
        <v>8.3570000000000005E-2</v>
      </c>
      <c r="F446">
        <v>25262322.100000001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0.63227513227513521</v>
      </c>
      <c r="Q446">
        <f t="shared" si="975"/>
        <v>15972738.047354572</v>
      </c>
      <c r="R446">
        <f t="shared" si="976"/>
        <v>-53142988.037053652</v>
      </c>
      <c r="S446">
        <f t="shared" si="977"/>
        <v>-531.42988037053647</v>
      </c>
      <c r="T446">
        <f t="shared" si="978"/>
        <v>-0.53142988037053651</v>
      </c>
    </row>
    <row r="447" spans="1:20" x14ac:dyDescent="0.25">
      <c r="A447" s="5">
        <v>44146</v>
      </c>
      <c r="B447">
        <v>8.8099999999999998E-2</v>
      </c>
      <c r="C447">
        <v>9.4189999999999996E-2</v>
      </c>
      <c r="D447">
        <v>8.1100000000000005E-2</v>
      </c>
      <c r="E447">
        <v>8.3690000000000001E-2</v>
      </c>
      <c r="F447">
        <v>48833612.700000003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-0.60427807486631058</v>
      </c>
      <c r="Q447">
        <f t="shared" si="975"/>
        <v>-29509081.471123017</v>
      </c>
      <c r="R447">
        <f t="shared" si="976"/>
        <v>-69115726.084408224</v>
      </c>
      <c r="S447">
        <f t="shared" si="977"/>
        <v>-691.1572608440822</v>
      </c>
      <c r="T447">
        <f t="shared" si="978"/>
        <v>-0.69115726084408224</v>
      </c>
    </row>
    <row r="448" spans="1:20" x14ac:dyDescent="0.25">
      <c r="A448" s="5">
        <v>44145</v>
      </c>
      <c r="B448">
        <v>9.7239999999999993E-2</v>
      </c>
      <c r="C448">
        <v>0.11226999999999999</v>
      </c>
      <c r="D448">
        <v>8.6919999999999997E-2</v>
      </c>
      <c r="E448">
        <v>8.7870000000000004E-2</v>
      </c>
      <c r="F448">
        <v>107227878.3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-0.92504930966469379</v>
      </c>
      <c r="Q448">
        <f t="shared" si="975"/>
        <v>-99191074.798224792</v>
      </c>
      <c r="R448">
        <f t="shared" si="976"/>
        <v>-39606644.613285214</v>
      </c>
      <c r="S448">
        <f t="shared" si="977"/>
        <v>-396.06644613285215</v>
      </c>
      <c r="T448">
        <f t="shared" si="978"/>
        <v>-0.39606644613285213</v>
      </c>
    </row>
    <row r="449" spans="1:20" x14ac:dyDescent="0.25">
      <c r="A449" s="5">
        <v>44144</v>
      </c>
      <c r="B449">
        <v>8.6760000000000004E-2</v>
      </c>
      <c r="C449">
        <v>0.10219</v>
      </c>
      <c r="D449">
        <v>8.1820000000000004E-2</v>
      </c>
      <c r="E449">
        <v>9.7320000000000004E-2</v>
      </c>
      <c r="F449">
        <v>98874547.599999994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0.52184585174275899</v>
      </c>
      <c r="Q449">
        <f t="shared" si="975"/>
        <v>51597272.508001961</v>
      </c>
      <c r="R449">
        <f t="shared" si="976"/>
        <v>59584430.184939578</v>
      </c>
      <c r="S449">
        <f t="shared" si="977"/>
        <v>595.84430184939583</v>
      </c>
      <c r="T449">
        <f t="shared" si="978"/>
        <v>0.59584430184939585</v>
      </c>
    </row>
    <row r="450" spans="1:20" x14ac:dyDescent="0.25">
      <c r="A450" s="5">
        <v>44143</v>
      </c>
      <c r="B450">
        <v>7.4429999999999996E-2</v>
      </c>
      <c r="C450">
        <v>8.9950000000000002E-2</v>
      </c>
      <c r="D450">
        <v>7.3999999999999996E-2</v>
      </c>
      <c r="E450">
        <v>8.6569999999999994E-2</v>
      </c>
      <c r="F450">
        <v>30820558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0.57617554858934084</v>
      </c>
      <c r="Q450">
        <f t="shared" si="975"/>
        <v>17758051.913479596</v>
      </c>
      <c r="R450">
        <f t="shared" si="976"/>
        <v>7987157.6769376211</v>
      </c>
      <c r="S450">
        <f t="shared" si="977"/>
        <v>79.871576769376205</v>
      </c>
      <c r="T450">
        <f t="shared" si="978"/>
        <v>7.9871576769376201E-2</v>
      </c>
    </row>
    <row r="451" spans="1:20" x14ac:dyDescent="0.25">
      <c r="A451" s="5">
        <v>44142</v>
      </c>
      <c r="B451">
        <v>8.3659999999999998E-2</v>
      </c>
      <c r="C451">
        <v>8.813E-2</v>
      </c>
      <c r="D451">
        <v>7.0499999999999993E-2</v>
      </c>
      <c r="E451">
        <v>7.4429999999999996E-2</v>
      </c>
      <c r="F451">
        <v>23758655.699999999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-0.55416903006239349</v>
      </c>
      <c r="Q451">
        <f t="shared" si="975"/>
        <v>-13166311.184855357</v>
      </c>
      <c r="R451">
        <f t="shared" si="976"/>
        <v>-9770894.2365419753</v>
      </c>
      <c r="S451">
        <f t="shared" si="977"/>
        <v>-97.708942365419759</v>
      </c>
      <c r="T451">
        <f t="shared" si="978"/>
        <v>-9.7708942365419757E-2</v>
      </c>
    </row>
    <row r="452" spans="1:20" x14ac:dyDescent="0.25">
      <c r="A452" s="5">
        <v>44141</v>
      </c>
      <c r="B452">
        <v>7.3999999999999996E-2</v>
      </c>
      <c r="C452">
        <v>9.0859999999999996E-2</v>
      </c>
      <c r="D452">
        <v>7.3419999999999999E-2</v>
      </c>
      <c r="E452">
        <v>8.3650000000000002E-2</v>
      </c>
      <c r="F452">
        <v>88066445.299999997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0.17316513761467944</v>
      </c>
      <c r="Q452">
        <f t="shared" si="975"/>
        <v>15250038.119610138</v>
      </c>
      <c r="R452">
        <f t="shared" si="976"/>
        <v>3395416.9483133815</v>
      </c>
      <c r="S452">
        <f t="shared" si="977"/>
        <v>33.954169483133818</v>
      </c>
      <c r="T452">
        <f t="shared" si="978"/>
        <v>3.3954169483133817E-2</v>
      </c>
    </row>
    <row r="453" spans="1:20" x14ac:dyDescent="0.25">
      <c r="A453" s="5">
        <v>44140</v>
      </c>
      <c r="B453">
        <v>6.3509999999999997E-2</v>
      </c>
      <c r="C453">
        <v>7.7880000000000005E-2</v>
      </c>
      <c r="D453">
        <v>6.3420000000000004E-2</v>
      </c>
      <c r="E453">
        <v>7.3899999999999993E-2</v>
      </c>
      <c r="F453">
        <v>29785249.600000001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0.44951590594743968</v>
      </c>
      <c r="Q453">
        <f t="shared" si="975"/>
        <v>13388943.457814615</v>
      </c>
      <c r="R453">
        <f t="shared" si="976"/>
        <v>-11854621.171296757</v>
      </c>
      <c r="S453">
        <f t="shared" si="977"/>
        <v>-118.54621171296756</v>
      </c>
      <c r="T453">
        <f t="shared" si="978"/>
        <v>-0.11854621171296756</v>
      </c>
    </row>
    <row r="454" spans="1:20" x14ac:dyDescent="0.25">
      <c r="A454" s="5">
        <v>44139</v>
      </c>
      <c r="B454">
        <v>6.3060000000000005E-2</v>
      </c>
      <c r="C454">
        <v>6.4119999999999996E-2</v>
      </c>
      <c r="D454">
        <v>6.1449999999999998E-2</v>
      </c>
      <c r="E454">
        <v>6.3619999999999996E-2</v>
      </c>
      <c r="F454">
        <v>2607661.4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0.62546816479400702</v>
      </c>
      <c r="Q454">
        <f t="shared" ref="Q454:Q517" si="980">F454*P454</f>
        <v>1631009.190262171</v>
      </c>
      <c r="R454">
        <f t="shared" ref="R454:R517" si="981">R455+Q454</f>
        <v>-25243564.629111372</v>
      </c>
      <c r="S454">
        <f t="shared" ref="S454:S517" si="982">R454/100000</f>
        <v>-252.43564629111373</v>
      </c>
      <c r="T454">
        <f t="shared" ref="T454:T517" si="983">S454/1000</f>
        <v>-0.2524356462911137</v>
      </c>
    </row>
    <row r="455" spans="1:20" x14ac:dyDescent="0.25">
      <c r="A455" s="5">
        <v>44138</v>
      </c>
      <c r="B455">
        <v>6.3039999999999999E-2</v>
      </c>
      <c r="C455">
        <v>6.3750000000000001E-2</v>
      </c>
      <c r="D455">
        <v>5.9630000000000002E-2</v>
      </c>
      <c r="E455">
        <v>6.2820000000000001E-2</v>
      </c>
      <c r="F455">
        <v>2785248.4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0.54854368932038811</v>
      </c>
      <c r="Q455">
        <f t="shared" si="980"/>
        <v>1527830.4330097081</v>
      </c>
      <c r="R455">
        <f t="shared" si="981"/>
        <v>-26874573.819373544</v>
      </c>
      <c r="S455">
        <f t="shared" si="982"/>
        <v>-268.74573819373546</v>
      </c>
      <c r="T455">
        <f t="shared" si="983"/>
        <v>-0.26874573819373548</v>
      </c>
    </row>
    <row r="456" spans="1:20" x14ac:dyDescent="0.25">
      <c r="A456" s="5">
        <v>44137</v>
      </c>
      <c r="B456">
        <v>6.4750000000000002E-2</v>
      </c>
      <c r="C456">
        <v>6.7769999999999997E-2</v>
      </c>
      <c r="D456">
        <v>6.2770000000000006E-2</v>
      </c>
      <c r="E456">
        <v>6.3039999999999999E-2</v>
      </c>
      <c r="F456">
        <v>4191893.3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-0.89200000000000279</v>
      </c>
      <c r="Q456">
        <f t="shared" si="980"/>
        <v>-3739168.8236000114</v>
      </c>
      <c r="R456">
        <f t="shared" si="981"/>
        <v>-28402404.252383251</v>
      </c>
      <c r="S456">
        <f t="shared" si="982"/>
        <v>-284.02404252383252</v>
      </c>
      <c r="T456">
        <f t="shared" si="983"/>
        <v>-0.28402404252383251</v>
      </c>
    </row>
    <row r="457" spans="1:20" x14ac:dyDescent="0.25">
      <c r="A457" s="5">
        <v>44136</v>
      </c>
      <c r="B457">
        <v>6.5360000000000001E-2</v>
      </c>
      <c r="C457">
        <v>6.5930000000000002E-2</v>
      </c>
      <c r="D457">
        <v>6.3479999999999995E-2</v>
      </c>
      <c r="E457">
        <v>6.4699999999999994E-2</v>
      </c>
      <c r="F457">
        <v>1396162.4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-4.0816326530652937E-3</v>
      </c>
      <c r="Q457">
        <f t="shared" si="980"/>
        <v>-5698.622040822007</v>
      </c>
      <c r="R457">
        <f t="shared" si="981"/>
        <v>-24663235.428783238</v>
      </c>
      <c r="S457">
        <f t="shared" si="982"/>
        <v>-246.63235428783238</v>
      </c>
      <c r="T457">
        <f t="shared" si="983"/>
        <v>-0.24663235428783239</v>
      </c>
    </row>
    <row r="458" spans="1:20" x14ac:dyDescent="0.25">
      <c r="A458" s="5">
        <v>44135</v>
      </c>
      <c r="B458">
        <v>6.3490000000000005E-2</v>
      </c>
      <c r="C458">
        <v>6.6290000000000002E-2</v>
      </c>
      <c r="D458">
        <v>6.2969999999999998E-2</v>
      </c>
      <c r="E458">
        <v>6.5299999999999997E-2</v>
      </c>
      <c r="F458">
        <v>2801552.1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0.40361445783132305</v>
      </c>
      <c r="Q458">
        <f t="shared" si="980"/>
        <v>1130746.9319277045</v>
      </c>
      <c r="R458">
        <f t="shared" si="981"/>
        <v>-24657536.806742415</v>
      </c>
      <c r="S458">
        <f t="shared" si="982"/>
        <v>-246.57536806742414</v>
      </c>
      <c r="T458">
        <f t="shared" si="983"/>
        <v>-0.24657536806742414</v>
      </c>
    </row>
    <row r="459" spans="1:20" x14ac:dyDescent="0.25">
      <c r="A459" s="5">
        <v>44134</v>
      </c>
      <c r="B459">
        <v>6.4769999999999994E-2</v>
      </c>
      <c r="C459">
        <v>6.5759999999999999E-2</v>
      </c>
      <c r="D459">
        <v>6.0609999999999997E-2</v>
      </c>
      <c r="E459">
        <v>6.3500000000000001E-2</v>
      </c>
      <c r="F459">
        <v>6589191.5999999996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0.12233009708737967</v>
      </c>
      <c r="Q459">
        <f t="shared" si="980"/>
        <v>806056.44815534656</v>
      </c>
      <c r="R459">
        <f t="shared" si="981"/>
        <v>-25788283.738670118</v>
      </c>
      <c r="S459">
        <f t="shared" si="982"/>
        <v>-257.88283738670117</v>
      </c>
      <c r="T459">
        <f t="shared" si="983"/>
        <v>-0.25788283738670115</v>
      </c>
    </row>
    <row r="460" spans="1:20" x14ac:dyDescent="0.25">
      <c r="A460" s="5">
        <v>44133</v>
      </c>
      <c r="B460">
        <v>6.6309999999999994E-2</v>
      </c>
      <c r="C460">
        <v>6.8110000000000004E-2</v>
      </c>
      <c r="D460">
        <v>6.3719999999999999E-2</v>
      </c>
      <c r="E460">
        <v>6.4769999999999994E-2</v>
      </c>
      <c r="F460">
        <v>2132053.7999999998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-0.52164009111617582</v>
      </c>
      <c r="Q460">
        <f t="shared" si="980"/>
        <v>-1112164.7384965888</v>
      </c>
      <c r="R460">
        <f t="shared" si="981"/>
        <v>-26594340.186825465</v>
      </c>
      <c r="S460">
        <f t="shared" si="982"/>
        <v>-265.94340186825468</v>
      </c>
      <c r="T460">
        <f t="shared" si="983"/>
        <v>-0.26594340186825466</v>
      </c>
    </row>
    <row r="461" spans="1:20" x14ac:dyDescent="0.25">
      <c r="A461" s="5">
        <v>44132</v>
      </c>
      <c r="B461">
        <v>7.1849999999999997E-2</v>
      </c>
      <c r="C461">
        <v>7.2239999999999999E-2</v>
      </c>
      <c r="D461">
        <v>6.4820000000000003E-2</v>
      </c>
      <c r="E461">
        <v>6.6059999999999994E-2</v>
      </c>
      <c r="F461">
        <v>3559969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-0.66576819407008303</v>
      </c>
      <c r="Q461">
        <f t="shared" si="980"/>
        <v>-2370114.1320754793</v>
      </c>
      <c r="R461">
        <f t="shared" si="981"/>
        <v>-25482175.448328875</v>
      </c>
      <c r="S461">
        <f t="shared" si="982"/>
        <v>-254.82175448328874</v>
      </c>
      <c r="T461">
        <f t="shared" si="983"/>
        <v>-0.25482175448328875</v>
      </c>
    </row>
    <row r="462" spans="1:20" x14ac:dyDescent="0.25">
      <c r="A462" s="5">
        <v>44131</v>
      </c>
      <c r="B462">
        <v>7.2410000000000002E-2</v>
      </c>
      <c r="C462">
        <v>7.2900000000000006E-2</v>
      </c>
      <c r="D462">
        <v>7.0819999999999994E-2</v>
      </c>
      <c r="E462">
        <v>7.1599999999999997E-2</v>
      </c>
      <c r="F462">
        <v>2611665.1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-0.25000000000000167</v>
      </c>
      <c r="Q462">
        <f t="shared" si="980"/>
        <v>-652916.27500000433</v>
      </c>
      <c r="R462">
        <f t="shared" si="981"/>
        <v>-23112061.316253398</v>
      </c>
      <c r="S462">
        <f t="shared" si="982"/>
        <v>-231.12061316253397</v>
      </c>
      <c r="T462">
        <f t="shared" si="983"/>
        <v>-0.23112061316253396</v>
      </c>
    </row>
    <row r="463" spans="1:20" x14ac:dyDescent="0.25">
      <c r="A463" s="5">
        <v>44130</v>
      </c>
      <c r="B463">
        <v>7.3190000000000005E-2</v>
      </c>
      <c r="C463">
        <v>7.4779999999999999E-2</v>
      </c>
      <c r="D463">
        <v>7.077E-2</v>
      </c>
      <c r="E463">
        <v>7.2410000000000002E-2</v>
      </c>
      <c r="F463">
        <v>1730140.2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-0.18204488778054728</v>
      </c>
      <c r="Q463">
        <f t="shared" si="980"/>
        <v>-314963.1785536136</v>
      </c>
      <c r="R463">
        <f t="shared" si="981"/>
        <v>-22459145.041253392</v>
      </c>
      <c r="S463">
        <f t="shared" si="982"/>
        <v>-224.59145041253393</v>
      </c>
      <c r="T463">
        <f t="shared" si="983"/>
        <v>-0.22459145041253392</v>
      </c>
    </row>
    <row r="464" spans="1:20" x14ac:dyDescent="0.25">
      <c r="A464" s="5">
        <v>44129</v>
      </c>
      <c r="B464">
        <v>7.4620000000000006E-2</v>
      </c>
      <c r="C464">
        <v>7.5190000000000007E-2</v>
      </c>
      <c r="D464">
        <v>7.2489999999999999E-2</v>
      </c>
      <c r="E464">
        <v>7.3349999999999999E-2</v>
      </c>
      <c r="F464">
        <v>1811500.2</v>
      </c>
      <c r="G464">
        <v>0</v>
      </c>
      <c r="L464" t="s">
        <v>8</v>
      </c>
      <c r="M464" t="s">
        <v>7</v>
      </c>
      <c r="N464" t="s">
        <v>8</v>
      </c>
      <c r="P464">
        <f t="shared" si="979"/>
        <v>-0.3629629629629651</v>
      </c>
      <c r="Q464">
        <f t="shared" si="980"/>
        <v>-657507.48000000382</v>
      </c>
      <c r="R464">
        <f t="shared" si="981"/>
        <v>-22144181.862699777</v>
      </c>
      <c r="S464">
        <f t="shared" si="982"/>
        <v>-221.44181862699776</v>
      </c>
      <c r="T464">
        <f t="shared" si="983"/>
        <v>-0.22144181862699777</v>
      </c>
    </row>
    <row r="465" spans="1:20" x14ac:dyDescent="0.25">
      <c r="A465" s="5">
        <v>44128</v>
      </c>
      <c r="B465">
        <v>7.3609999999999995E-2</v>
      </c>
      <c r="C465">
        <v>7.7369999999999994E-2</v>
      </c>
      <c r="D465">
        <v>7.3459999999999998E-2</v>
      </c>
      <c r="E465">
        <v>7.4789999999999995E-2</v>
      </c>
      <c r="F465">
        <v>3482700.2</v>
      </c>
      <c r="G465">
        <v>0</v>
      </c>
      <c r="L465" t="s">
        <v>8</v>
      </c>
      <c r="M465" t="s">
        <v>7</v>
      </c>
      <c r="N465" t="s">
        <v>8</v>
      </c>
      <c r="P465">
        <f t="shared" si="979"/>
        <v>-0.31969309462915657</v>
      </c>
      <c r="Q465">
        <f t="shared" si="980"/>
        <v>-1113395.2046035826</v>
      </c>
      <c r="R465">
        <f t="shared" si="981"/>
        <v>-21486674.382699773</v>
      </c>
      <c r="S465">
        <f t="shared" si="982"/>
        <v>-214.86674382699772</v>
      </c>
      <c r="T465">
        <f t="shared" si="983"/>
        <v>-0.21486674382699772</v>
      </c>
    </row>
    <row r="466" spans="1:20" x14ac:dyDescent="0.25">
      <c r="A466" s="5">
        <v>44127</v>
      </c>
      <c r="B466">
        <v>7.4999999999999997E-2</v>
      </c>
      <c r="C466">
        <v>7.5170000000000001E-2</v>
      </c>
      <c r="D466">
        <v>7.2580000000000006E-2</v>
      </c>
      <c r="E466">
        <v>7.3400000000000007E-2</v>
      </c>
      <c r="F466">
        <v>1600655.2</v>
      </c>
      <c r="G466">
        <v>0</v>
      </c>
      <c r="L466" t="s">
        <v>8</v>
      </c>
      <c r="M466" t="s">
        <v>7</v>
      </c>
      <c r="N466" t="s">
        <v>8</v>
      </c>
      <c r="P466">
        <f t="shared" si="979"/>
        <v>-0.36679536679536462</v>
      </c>
      <c r="Q466">
        <f t="shared" si="980"/>
        <v>-587112.91119690775</v>
      </c>
      <c r="R466">
        <f t="shared" si="981"/>
        <v>-20373279.17809619</v>
      </c>
      <c r="S466">
        <f t="shared" si="982"/>
        <v>-203.73279178096189</v>
      </c>
      <c r="T466">
        <f t="shared" si="983"/>
        <v>-0.2037327917809619</v>
      </c>
    </row>
    <row r="467" spans="1:20" x14ac:dyDescent="0.25">
      <c r="A467" s="5">
        <v>44126</v>
      </c>
      <c r="B467">
        <v>7.4099999999999999E-2</v>
      </c>
      <c r="C467">
        <v>7.6649999999999996E-2</v>
      </c>
      <c r="D467">
        <v>7.3539999999999994E-2</v>
      </c>
      <c r="E467">
        <v>7.4829999999999994E-2</v>
      </c>
      <c r="F467">
        <v>2016913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-0.17041800643086893</v>
      </c>
      <c r="Q467">
        <f t="shared" si="980"/>
        <v>-343718.29260450316</v>
      </c>
      <c r="R467">
        <f t="shared" si="981"/>
        <v>-19786166.266899284</v>
      </c>
      <c r="S467">
        <f t="shared" si="982"/>
        <v>-197.86166266899284</v>
      </c>
      <c r="T467">
        <f t="shared" si="983"/>
        <v>-0.19786166266899283</v>
      </c>
    </row>
    <row r="468" spans="1:20" x14ac:dyDescent="0.25">
      <c r="A468" s="5">
        <v>44125</v>
      </c>
      <c r="B468">
        <v>7.1150000000000005E-2</v>
      </c>
      <c r="C468">
        <v>7.4940000000000007E-2</v>
      </c>
      <c r="D468">
        <v>7.0779999999999996E-2</v>
      </c>
      <c r="E468">
        <v>7.4109999999999995E-2</v>
      </c>
      <c r="F468">
        <v>2568062.2000000002</v>
      </c>
      <c r="G468">
        <v>0</v>
      </c>
      <c r="L468" t="s">
        <v>7</v>
      </c>
      <c r="M468" t="s">
        <v>7</v>
      </c>
      <c r="N468" t="s">
        <v>8</v>
      </c>
      <c r="P468">
        <f t="shared" si="979"/>
        <v>0.60096153846153411</v>
      </c>
      <c r="Q468">
        <f t="shared" si="980"/>
        <v>1543306.6105769121</v>
      </c>
      <c r="R468">
        <f t="shared" si="981"/>
        <v>-19442447.974294782</v>
      </c>
      <c r="S468">
        <f t="shared" si="982"/>
        <v>-194.42447974294782</v>
      </c>
      <c r="T468">
        <f t="shared" si="983"/>
        <v>-0.19442447974294783</v>
      </c>
    </row>
    <row r="469" spans="1:20" x14ac:dyDescent="0.25">
      <c r="A469" s="5">
        <v>44124</v>
      </c>
      <c r="B469">
        <v>7.3999999999999996E-2</v>
      </c>
      <c r="C469">
        <v>7.4349999999999999E-2</v>
      </c>
      <c r="D469">
        <v>7.0499999999999993E-2</v>
      </c>
      <c r="E469">
        <v>7.1230000000000002E-2</v>
      </c>
      <c r="F469">
        <v>5021199.2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-0.62077922077921699</v>
      </c>
      <c r="Q469">
        <f t="shared" si="980"/>
        <v>-3117056.1267532278</v>
      </c>
      <c r="R469">
        <f t="shared" si="981"/>
        <v>-20985754.584871694</v>
      </c>
      <c r="S469">
        <f t="shared" si="982"/>
        <v>-209.85754584871694</v>
      </c>
      <c r="T469">
        <f t="shared" si="983"/>
        <v>-0.20985754584871694</v>
      </c>
    </row>
    <row r="470" spans="1:20" x14ac:dyDescent="0.25">
      <c r="A470" s="5">
        <v>44123</v>
      </c>
      <c r="B470">
        <v>7.6359999999999997E-2</v>
      </c>
      <c r="C470">
        <v>7.6369999999999993E-2</v>
      </c>
      <c r="D470">
        <v>7.3789999999999994E-2</v>
      </c>
      <c r="E470">
        <v>7.4109999999999995E-2</v>
      </c>
      <c r="F470">
        <v>2127924.7000000002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-0.75193798449612326</v>
      </c>
      <c r="Q470">
        <f t="shared" si="980"/>
        <v>-1600067.4100775179</v>
      </c>
      <c r="R470">
        <f t="shared" si="981"/>
        <v>-17868698.458118469</v>
      </c>
      <c r="S470">
        <f t="shared" si="982"/>
        <v>-178.68698458118467</v>
      </c>
      <c r="T470">
        <f t="shared" si="983"/>
        <v>-0.17868698458118468</v>
      </c>
    </row>
    <row r="471" spans="1:20" x14ac:dyDescent="0.25">
      <c r="A471" s="5">
        <v>44122</v>
      </c>
      <c r="B471">
        <v>7.3719999999999994E-2</v>
      </c>
      <c r="C471">
        <v>7.8729999999999994E-2</v>
      </c>
      <c r="D471">
        <v>7.3550000000000004E-2</v>
      </c>
      <c r="E471">
        <v>7.6119999999999993E-2</v>
      </c>
      <c r="F471">
        <v>1983386.9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-7.7220077220101014E-3</v>
      </c>
      <c r="Q471">
        <f t="shared" si="980"/>
        <v>-15315.728957533676</v>
      </c>
      <c r="R471">
        <f t="shared" si="981"/>
        <v>-16268631.048040953</v>
      </c>
      <c r="S471">
        <f t="shared" si="982"/>
        <v>-162.68631048040953</v>
      </c>
      <c r="T471">
        <f t="shared" si="983"/>
        <v>-0.16268631048040952</v>
      </c>
    </row>
    <row r="472" spans="1:20" x14ac:dyDescent="0.25">
      <c r="A472" s="5">
        <v>44121</v>
      </c>
      <c r="B472">
        <v>7.1470000000000006E-2</v>
      </c>
      <c r="C472">
        <v>7.6170000000000002E-2</v>
      </c>
      <c r="D472">
        <v>7.1129999999999999E-2</v>
      </c>
      <c r="E472">
        <v>7.3789999999999994E-2</v>
      </c>
      <c r="F472">
        <v>1645653.1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5.5555555555553263E-2</v>
      </c>
      <c r="Q472">
        <f t="shared" si="980"/>
        <v>91425.172222218447</v>
      </c>
      <c r="R472">
        <f t="shared" si="981"/>
        <v>-16253315.319083419</v>
      </c>
      <c r="S472">
        <f t="shared" si="982"/>
        <v>-162.53315319083418</v>
      </c>
      <c r="T472">
        <f t="shared" si="983"/>
        <v>-0.1625331531908342</v>
      </c>
    </row>
    <row r="473" spans="1:20" x14ac:dyDescent="0.25">
      <c r="A473" s="5">
        <v>44120</v>
      </c>
      <c r="B473">
        <v>7.4690000000000006E-2</v>
      </c>
      <c r="C473">
        <v>7.5069999999999998E-2</v>
      </c>
      <c r="D473">
        <v>7.0760000000000003E-2</v>
      </c>
      <c r="E473">
        <v>7.1650000000000005E-2</v>
      </c>
      <c r="F473">
        <v>2852959.4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-0.58700696055684309</v>
      </c>
      <c r="Q473">
        <f t="shared" si="980"/>
        <v>-1674707.0259860747</v>
      </c>
      <c r="R473">
        <f t="shared" si="981"/>
        <v>-16344740.491305636</v>
      </c>
      <c r="S473">
        <f t="shared" si="982"/>
        <v>-163.44740491305637</v>
      </c>
      <c r="T473">
        <f t="shared" si="983"/>
        <v>-0.16344740491305637</v>
      </c>
    </row>
    <row r="474" spans="1:20" x14ac:dyDescent="0.25">
      <c r="A474" s="5">
        <v>44119</v>
      </c>
      <c r="B474">
        <v>7.5819999999999999E-2</v>
      </c>
      <c r="C474">
        <v>7.7859999999999999E-2</v>
      </c>
      <c r="D474">
        <v>7.3069999999999996E-2</v>
      </c>
      <c r="E474">
        <v>7.4630000000000002E-2</v>
      </c>
      <c r="F474">
        <v>2688256.1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-0.34864300626304595</v>
      </c>
      <c r="Q474">
        <f t="shared" si="980"/>
        <v>-937241.68830897147</v>
      </c>
      <c r="R474">
        <f t="shared" si="981"/>
        <v>-14670033.465319561</v>
      </c>
      <c r="S474">
        <f t="shared" si="982"/>
        <v>-146.7003346531956</v>
      </c>
      <c r="T474">
        <f t="shared" si="983"/>
        <v>-0.1467003346531956</v>
      </c>
    </row>
    <row r="475" spans="1:20" x14ac:dyDescent="0.25">
      <c r="A475" s="5">
        <v>44118</v>
      </c>
      <c r="B475">
        <v>7.7240000000000003E-2</v>
      </c>
      <c r="C475">
        <v>7.7780000000000002E-2</v>
      </c>
      <c r="D475">
        <v>7.4740000000000001E-2</v>
      </c>
      <c r="E475">
        <v>7.5819999999999999E-2</v>
      </c>
      <c r="F475">
        <v>2035379.6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-0.2894736842105281</v>
      </c>
      <c r="Q475">
        <f t="shared" si="980"/>
        <v>-589188.83157895098</v>
      </c>
      <c r="R475">
        <f t="shared" si="981"/>
        <v>-13732791.77701059</v>
      </c>
      <c r="S475">
        <f t="shared" si="982"/>
        <v>-137.3279177701059</v>
      </c>
      <c r="T475">
        <f t="shared" si="983"/>
        <v>-0.13732791777010589</v>
      </c>
    </row>
    <row r="476" spans="1:20" x14ac:dyDescent="0.25">
      <c r="A476" s="5">
        <v>44117</v>
      </c>
      <c r="B476">
        <v>7.886E-2</v>
      </c>
      <c r="C476">
        <v>7.8909999999999994E-2</v>
      </c>
      <c r="D476">
        <v>7.6280000000000001E-2</v>
      </c>
      <c r="E476">
        <v>7.7240000000000003E-2</v>
      </c>
      <c r="F476">
        <v>2467403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-0.26996197718630804</v>
      </c>
      <c r="Q476">
        <f t="shared" si="980"/>
        <v>-666104.99239542801</v>
      </c>
      <c r="R476">
        <f t="shared" si="981"/>
        <v>-13143602.945431639</v>
      </c>
      <c r="S476">
        <f t="shared" si="982"/>
        <v>-131.43602945431638</v>
      </c>
      <c r="T476">
        <f t="shared" si="983"/>
        <v>-0.13143602945431637</v>
      </c>
    </row>
    <row r="477" spans="1:20" x14ac:dyDescent="0.25">
      <c r="A477" s="5">
        <v>44116</v>
      </c>
      <c r="B477">
        <v>7.8619999999999995E-2</v>
      </c>
      <c r="C477">
        <v>8.1259999999999999E-2</v>
      </c>
      <c r="D477">
        <v>7.6499999999999999E-2</v>
      </c>
      <c r="E477">
        <v>7.8869999999999996E-2</v>
      </c>
      <c r="F477">
        <v>5121591.7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-4.2016806722701937E-3</v>
      </c>
      <c r="Q477">
        <f t="shared" si="980"/>
        <v>-21519.292857149445</v>
      </c>
      <c r="R477">
        <f t="shared" si="981"/>
        <v>-12477497.95303621</v>
      </c>
      <c r="S477">
        <f t="shared" si="982"/>
        <v>-124.7749795303621</v>
      </c>
      <c r="T477">
        <f t="shared" si="983"/>
        <v>-0.12477497953036211</v>
      </c>
    </row>
    <row r="478" spans="1:20" x14ac:dyDescent="0.25">
      <c r="A478" s="5">
        <v>44115</v>
      </c>
      <c r="B478">
        <v>7.9960000000000003E-2</v>
      </c>
      <c r="C478">
        <v>8.0490000000000006E-2</v>
      </c>
      <c r="D478">
        <v>7.6420000000000002E-2</v>
      </c>
      <c r="E478">
        <v>7.8619999999999995E-2</v>
      </c>
      <c r="F478">
        <v>2256079.2000000002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8.1081081081076839E-2</v>
      </c>
      <c r="Q478">
        <f t="shared" si="980"/>
        <v>182925.34054053097</v>
      </c>
      <c r="R478">
        <f t="shared" si="981"/>
        <v>-12455978.66017906</v>
      </c>
      <c r="S478">
        <f t="shared" si="982"/>
        <v>-124.55978660179061</v>
      </c>
      <c r="T478">
        <f t="shared" si="983"/>
        <v>-0.12455978660179061</v>
      </c>
    </row>
    <row r="479" spans="1:20" x14ac:dyDescent="0.25">
      <c r="A479" s="5">
        <v>44114</v>
      </c>
      <c r="B479">
        <v>7.9759999999999998E-2</v>
      </c>
      <c r="C479">
        <v>8.4599999999999995E-2</v>
      </c>
      <c r="D479">
        <v>7.8880000000000006E-2</v>
      </c>
      <c r="E479">
        <v>7.9990000000000006E-2</v>
      </c>
      <c r="F479">
        <v>4840618.9000000004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-0.61188811188811121</v>
      </c>
      <c r="Q479">
        <f t="shared" si="980"/>
        <v>-2961917.1590909059</v>
      </c>
      <c r="R479">
        <f t="shared" si="981"/>
        <v>-12638904.00071959</v>
      </c>
      <c r="S479">
        <f t="shared" si="982"/>
        <v>-126.3890400071959</v>
      </c>
      <c r="T479">
        <f t="shared" si="983"/>
        <v>-0.12638904000719589</v>
      </c>
    </row>
    <row r="480" spans="1:20" x14ac:dyDescent="0.25">
      <c r="A480" s="5">
        <v>44113</v>
      </c>
      <c r="B480">
        <v>7.4209999999999998E-2</v>
      </c>
      <c r="C480">
        <v>8.0060000000000006E-2</v>
      </c>
      <c r="D480">
        <v>7.1870000000000003E-2</v>
      </c>
      <c r="E480">
        <v>7.9759999999999998E-2</v>
      </c>
      <c r="F480">
        <v>6590423.4000000004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0.92673992673992467</v>
      </c>
      <c r="Q480">
        <f t="shared" si="980"/>
        <v>6107608.4989010859</v>
      </c>
      <c r="R480">
        <f t="shared" si="981"/>
        <v>-9676986.8416286837</v>
      </c>
      <c r="S480">
        <f t="shared" si="982"/>
        <v>-96.76986841628684</v>
      </c>
      <c r="T480">
        <f t="shared" si="983"/>
        <v>-9.6769868416286847E-2</v>
      </c>
    </row>
    <row r="481" spans="1:20" x14ac:dyDescent="0.25">
      <c r="A481" s="5">
        <v>44112</v>
      </c>
      <c r="B481">
        <v>7.109E-2</v>
      </c>
      <c r="C481">
        <v>7.4499999999999997E-2</v>
      </c>
      <c r="D481">
        <v>6.9190000000000002E-2</v>
      </c>
      <c r="E481">
        <v>7.4230000000000004E-2</v>
      </c>
      <c r="F481">
        <v>2647044.1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0.89830508474576543</v>
      </c>
      <c r="Q481">
        <f t="shared" si="980"/>
        <v>2377853.1745762783</v>
      </c>
      <c r="R481">
        <f t="shared" si="981"/>
        <v>-15784595.34052977</v>
      </c>
      <c r="S481">
        <f t="shared" si="982"/>
        <v>-157.84595340529771</v>
      </c>
      <c r="T481">
        <f t="shared" si="983"/>
        <v>-0.1578459534052977</v>
      </c>
    </row>
    <row r="482" spans="1:20" x14ac:dyDescent="0.25">
      <c r="A482" s="5">
        <v>44111</v>
      </c>
      <c r="B482">
        <v>7.0010000000000003E-2</v>
      </c>
      <c r="C482">
        <v>7.1069999999999994E-2</v>
      </c>
      <c r="D482">
        <v>6.8860000000000005E-2</v>
      </c>
      <c r="E482">
        <v>7.1069999999999994E-2</v>
      </c>
      <c r="F482">
        <v>2925321.8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1</v>
      </c>
      <c r="Q482">
        <f t="shared" si="980"/>
        <v>2925321.8</v>
      </c>
      <c r="R482">
        <f t="shared" si="981"/>
        <v>-18162448.515106048</v>
      </c>
      <c r="S482">
        <f t="shared" si="982"/>
        <v>-181.6244851510605</v>
      </c>
      <c r="T482">
        <f t="shared" si="983"/>
        <v>-0.1816244851510605</v>
      </c>
    </row>
    <row r="483" spans="1:20" x14ac:dyDescent="0.25">
      <c r="A483" s="5">
        <v>44110</v>
      </c>
      <c r="B483">
        <v>7.6319999999999999E-2</v>
      </c>
      <c r="C483">
        <v>7.6899999999999996E-2</v>
      </c>
      <c r="D483">
        <v>6.9349999999999995E-2</v>
      </c>
      <c r="E483">
        <v>7.0190000000000002E-2</v>
      </c>
      <c r="F483">
        <v>10561995.199999999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-0.77748344370860734</v>
      </c>
      <c r="Q483">
        <f t="shared" si="980"/>
        <v>-8211776.4005297804</v>
      </c>
      <c r="R483">
        <f t="shared" si="981"/>
        <v>-21087770.315106049</v>
      </c>
      <c r="S483">
        <f t="shared" si="982"/>
        <v>-210.8777031510605</v>
      </c>
      <c r="T483">
        <f t="shared" si="983"/>
        <v>-0.2108777031510605</v>
      </c>
    </row>
    <row r="484" spans="1:20" x14ac:dyDescent="0.25">
      <c r="A484" s="5">
        <v>44109</v>
      </c>
      <c r="B484">
        <v>7.5399999999999995E-2</v>
      </c>
      <c r="C484">
        <v>7.757E-2</v>
      </c>
      <c r="D484">
        <v>7.4910000000000004E-2</v>
      </c>
      <c r="E484">
        <v>7.6319999999999999E-2</v>
      </c>
      <c r="F484">
        <v>3539763.6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6.0150375939847268E-2</v>
      </c>
      <c r="Q484">
        <f t="shared" si="980"/>
        <v>212918.11127818716</v>
      </c>
      <c r="R484">
        <f t="shared" si="981"/>
        <v>-12875993.914576268</v>
      </c>
      <c r="S484">
        <f t="shared" si="982"/>
        <v>-128.75993914576267</v>
      </c>
      <c r="T484">
        <f t="shared" si="983"/>
        <v>-0.12875993914576267</v>
      </c>
    </row>
    <row r="485" spans="1:20" x14ac:dyDescent="0.25">
      <c r="A485" s="5">
        <v>44108</v>
      </c>
      <c r="B485">
        <v>7.492E-2</v>
      </c>
      <c r="C485">
        <v>7.5579999999999994E-2</v>
      </c>
      <c r="D485">
        <v>7.4270000000000003E-2</v>
      </c>
      <c r="E485">
        <v>7.5340000000000004E-2</v>
      </c>
      <c r="F485">
        <v>1884787.5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0.63358778625955459</v>
      </c>
      <c r="Q485">
        <f t="shared" si="980"/>
        <v>1194178.3396946802</v>
      </c>
      <c r="R485">
        <f t="shared" si="981"/>
        <v>-13088912.025854455</v>
      </c>
      <c r="S485">
        <f t="shared" si="982"/>
        <v>-130.88912025854455</v>
      </c>
      <c r="T485">
        <f t="shared" si="983"/>
        <v>-0.13088912025854454</v>
      </c>
    </row>
    <row r="486" spans="1:20" x14ac:dyDescent="0.25">
      <c r="A486" s="5">
        <v>44107</v>
      </c>
      <c r="B486">
        <v>7.4079999999999993E-2</v>
      </c>
      <c r="C486">
        <v>7.5859999999999997E-2</v>
      </c>
      <c r="D486">
        <v>7.3940000000000006E-2</v>
      </c>
      <c r="E486">
        <v>7.5200000000000003E-2</v>
      </c>
      <c r="F486">
        <v>2070128.6</v>
      </c>
      <c r="G486">
        <v>0</v>
      </c>
      <c r="L486" t="s">
        <v>7</v>
      </c>
      <c r="M486" t="s">
        <v>7</v>
      </c>
      <c r="N486" t="s">
        <v>8</v>
      </c>
      <c r="P486">
        <f t="shared" si="979"/>
        <v>0.31250000000000316</v>
      </c>
      <c r="Q486">
        <f t="shared" si="980"/>
        <v>646915.18750000664</v>
      </c>
      <c r="R486">
        <f t="shared" si="981"/>
        <v>-14283090.365549136</v>
      </c>
      <c r="S486">
        <f t="shared" si="982"/>
        <v>-142.83090365549137</v>
      </c>
      <c r="T486">
        <f t="shared" si="983"/>
        <v>-0.14283090365549136</v>
      </c>
    </row>
    <row r="487" spans="1:20" x14ac:dyDescent="0.25">
      <c r="A487" s="5">
        <v>44106</v>
      </c>
      <c r="B487">
        <v>7.7240000000000003E-2</v>
      </c>
      <c r="C487">
        <v>7.7789999999999998E-2</v>
      </c>
      <c r="D487">
        <v>7.1499999999999994E-2</v>
      </c>
      <c r="E487">
        <v>7.4069999999999997E-2</v>
      </c>
      <c r="F487">
        <v>7704523.7999999998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-0.18282988871224126</v>
      </c>
      <c r="Q487">
        <f t="shared" si="980"/>
        <v>-1408617.2289348142</v>
      </c>
      <c r="R487">
        <f t="shared" si="981"/>
        <v>-14930005.553049143</v>
      </c>
      <c r="S487">
        <f t="shared" si="982"/>
        <v>-149.30005553049142</v>
      </c>
      <c r="T487">
        <f t="shared" si="983"/>
        <v>-0.14930005553049142</v>
      </c>
    </row>
    <row r="488" spans="1:20" x14ac:dyDescent="0.25">
      <c r="A488" s="5">
        <v>44105</v>
      </c>
      <c r="B488">
        <v>8.4019999999999997E-2</v>
      </c>
      <c r="C488">
        <v>8.6150000000000004E-2</v>
      </c>
      <c r="D488">
        <v>7.2789999999999994E-2</v>
      </c>
      <c r="E488">
        <v>7.7549999999999994E-2</v>
      </c>
      <c r="F488">
        <v>18203730.5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-0.28742514970059935</v>
      </c>
      <c r="Q488">
        <f t="shared" si="980"/>
        <v>-5232209.9640718661</v>
      </c>
      <c r="R488">
        <f t="shared" si="981"/>
        <v>-13521388.32411433</v>
      </c>
      <c r="S488">
        <f t="shared" si="982"/>
        <v>-135.21388324114329</v>
      </c>
      <c r="T488">
        <f t="shared" si="983"/>
        <v>-0.13521388324114331</v>
      </c>
    </row>
    <row r="489" spans="1:20" x14ac:dyDescent="0.25">
      <c r="A489" s="5">
        <v>44104</v>
      </c>
      <c r="B489">
        <v>8.8800000000000004E-2</v>
      </c>
      <c r="C489">
        <v>8.881E-2</v>
      </c>
      <c r="D489">
        <v>8.1390000000000004E-2</v>
      </c>
      <c r="E489">
        <v>8.4339999999999998E-2</v>
      </c>
      <c r="F489">
        <v>11035884.699999999</v>
      </c>
      <c r="G489">
        <v>0</v>
      </c>
      <c r="L489" t="s">
        <v>7</v>
      </c>
      <c r="M489" t="s">
        <v>8</v>
      </c>
      <c r="N489" t="s">
        <v>8</v>
      </c>
      <c r="P489">
        <f t="shared" si="979"/>
        <v>-0.20485175202156444</v>
      </c>
      <c r="Q489">
        <f t="shared" si="980"/>
        <v>-2260720.3159029768</v>
      </c>
      <c r="R489">
        <f t="shared" si="981"/>
        <v>-8289178.360042464</v>
      </c>
      <c r="S489">
        <f t="shared" si="982"/>
        <v>-82.891783600424645</v>
      </c>
      <c r="T489">
        <f t="shared" si="983"/>
        <v>-8.2891783600424651E-2</v>
      </c>
    </row>
    <row r="490" spans="1:20" x14ac:dyDescent="0.25">
      <c r="A490" s="5">
        <v>44103</v>
      </c>
      <c r="B490">
        <v>7.9619999999999996E-2</v>
      </c>
      <c r="C490">
        <v>9.1499999999999998E-2</v>
      </c>
      <c r="D490">
        <v>7.9450000000000007E-2</v>
      </c>
      <c r="E490">
        <v>8.8779999999999998E-2</v>
      </c>
      <c r="F490">
        <v>29496253.5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0.54854771784232326</v>
      </c>
      <c r="Q490">
        <f t="shared" si="980"/>
        <v>16180102.54232364</v>
      </c>
      <c r="R490">
        <f t="shared" si="981"/>
        <v>-6028458.0441394877</v>
      </c>
      <c r="S490">
        <f t="shared" si="982"/>
        <v>-60.28458044139488</v>
      </c>
      <c r="T490">
        <f t="shared" si="983"/>
        <v>-6.0284580441394883E-2</v>
      </c>
    </row>
    <row r="491" spans="1:20" x14ac:dyDescent="0.25">
      <c r="A491" s="5">
        <v>44102</v>
      </c>
      <c r="B491">
        <v>7.9259999999999997E-2</v>
      </c>
      <c r="C491">
        <v>8.1750000000000003E-2</v>
      </c>
      <c r="D491">
        <v>7.8909999999999994E-2</v>
      </c>
      <c r="E491">
        <v>7.9659999999999995E-2</v>
      </c>
      <c r="F491">
        <v>6988559.9000000004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-0.47183098591549422</v>
      </c>
      <c r="Q491">
        <f t="shared" si="980"/>
        <v>-3297419.1077464879</v>
      </c>
      <c r="R491">
        <f t="shared" si="981"/>
        <v>-22208560.586463127</v>
      </c>
      <c r="S491">
        <f t="shared" si="982"/>
        <v>-222.08560586463128</v>
      </c>
      <c r="T491">
        <f t="shared" si="983"/>
        <v>-0.22208560586463127</v>
      </c>
    </row>
    <row r="492" spans="1:20" x14ac:dyDescent="0.25">
      <c r="A492" s="5">
        <v>44101</v>
      </c>
      <c r="B492">
        <v>0.08</v>
      </c>
      <c r="C492">
        <v>8.2100000000000006E-2</v>
      </c>
      <c r="D492">
        <v>7.578E-2</v>
      </c>
      <c r="E492">
        <v>7.8890000000000002E-2</v>
      </c>
      <c r="F492">
        <v>7577948.2000000002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-1.582278481012702E-2</v>
      </c>
      <c r="Q492">
        <f t="shared" si="980"/>
        <v>-119904.24367088939</v>
      </c>
      <c r="R492">
        <f t="shared" si="981"/>
        <v>-18911141.478716638</v>
      </c>
      <c r="S492">
        <f t="shared" si="982"/>
        <v>-189.11141478716638</v>
      </c>
      <c r="T492">
        <f t="shared" si="983"/>
        <v>-0.18911141478716639</v>
      </c>
    </row>
    <row r="493" spans="1:20" x14ac:dyDescent="0.25">
      <c r="A493" s="5">
        <v>44100</v>
      </c>
      <c r="B493">
        <v>7.6490000000000002E-2</v>
      </c>
      <c r="C493">
        <v>8.2809999999999995E-2</v>
      </c>
      <c r="D493">
        <v>7.6289999999999997E-2</v>
      </c>
      <c r="E493">
        <v>7.9759999999999998E-2</v>
      </c>
      <c r="F493">
        <v>10663853.6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6.4417177914111015E-2</v>
      </c>
      <c r="Q493">
        <f t="shared" si="980"/>
        <v>686935.35460123327</v>
      </c>
      <c r="R493">
        <f t="shared" si="981"/>
        <v>-18791237.23504575</v>
      </c>
      <c r="S493">
        <f t="shared" si="982"/>
        <v>-187.9123723504575</v>
      </c>
      <c r="T493">
        <f t="shared" si="983"/>
        <v>-0.18791237235045749</v>
      </c>
    </row>
    <row r="494" spans="1:20" x14ac:dyDescent="0.25">
      <c r="A494" s="5">
        <v>44099</v>
      </c>
      <c r="B494">
        <v>7.5509999999999994E-2</v>
      </c>
      <c r="C494">
        <v>7.7780000000000002E-2</v>
      </c>
      <c r="D494">
        <v>7.1900000000000006E-2</v>
      </c>
      <c r="E494">
        <v>7.6480000000000006E-2</v>
      </c>
      <c r="F494">
        <v>7785483</v>
      </c>
      <c r="G494">
        <v>0</v>
      </c>
      <c r="L494" t="s">
        <v>8</v>
      </c>
      <c r="M494" t="s">
        <v>7</v>
      </c>
      <c r="N494" t="s">
        <v>8</v>
      </c>
      <c r="P494">
        <f t="shared" si="979"/>
        <v>0.55782312925170185</v>
      </c>
      <c r="Q494">
        <f t="shared" si="980"/>
        <v>4342922.4897959279</v>
      </c>
      <c r="R494">
        <f t="shared" si="981"/>
        <v>-19478172.589646984</v>
      </c>
      <c r="S494">
        <f t="shared" si="982"/>
        <v>-194.78172589646985</v>
      </c>
      <c r="T494">
        <f t="shared" si="983"/>
        <v>-0.19478172589646986</v>
      </c>
    </row>
    <row r="495" spans="1:20" x14ac:dyDescent="0.25">
      <c r="A495" s="5">
        <v>44098</v>
      </c>
      <c r="B495">
        <v>6.8949999999999997E-2</v>
      </c>
      <c r="C495">
        <v>7.5829999999999995E-2</v>
      </c>
      <c r="D495">
        <v>6.7979999999999999E-2</v>
      </c>
      <c r="E495">
        <v>7.5560000000000002E-2</v>
      </c>
      <c r="F495">
        <v>8449848</v>
      </c>
      <c r="G495">
        <v>0</v>
      </c>
      <c r="L495" t="s">
        <v>7</v>
      </c>
      <c r="M495" t="s">
        <v>7</v>
      </c>
      <c r="N495" t="s">
        <v>8</v>
      </c>
      <c r="P495">
        <f t="shared" si="979"/>
        <v>0.93121019108280445</v>
      </c>
      <c r="Q495">
        <f t="shared" si="980"/>
        <v>7868584.5707006529</v>
      </c>
      <c r="R495">
        <f t="shared" si="981"/>
        <v>-23821095.079442911</v>
      </c>
      <c r="S495">
        <f t="shared" si="982"/>
        <v>-238.2109507944291</v>
      </c>
      <c r="T495">
        <f t="shared" si="983"/>
        <v>-0.23821095079442908</v>
      </c>
    </row>
    <row r="496" spans="1:20" x14ac:dyDescent="0.25">
      <c r="A496" s="5">
        <v>44097</v>
      </c>
      <c r="B496">
        <v>7.2849999999999998E-2</v>
      </c>
      <c r="C496">
        <v>7.9680000000000001E-2</v>
      </c>
      <c r="D496">
        <v>6.8470000000000003E-2</v>
      </c>
      <c r="E496">
        <v>6.8820000000000006E-2</v>
      </c>
      <c r="F496">
        <v>16268489.699999999</v>
      </c>
      <c r="G496">
        <v>0</v>
      </c>
      <c r="L496" t="s">
        <v>8</v>
      </c>
      <c r="M496" t="s">
        <v>8</v>
      </c>
      <c r="N496" t="s">
        <v>8</v>
      </c>
      <c r="P496">
        <f t="shared" si="979"/>
        <v>-0.93755575379125722</v>
      </c>
      <c r="Q496">
        <f t="shared" si="980"/>
        <v>-15252616.123728802</v>
      </c>
      <c r="R496">
        <f t="shared" si="981"/>
        <v>-31689679.650143564</v>
      </c>
      <c r="S496">
        <f t="shared" si="982"/>
        <v>-316.89679650143563</v>
      </c>
      <c r="T496">
        <f t="shared" si="983"/>
        <v>-0.31689679650143565</v>
      </c>
    </row>
    <row r="497" spans="1:20" x14ac:dyDescent="0.25">
      <c r="A497" s="5">
        <v>44096</v>
      </c>
      <c r="B497">
        <v>6.9959999999999994E-2</v>
      </c>
      <c r="C497">
        <v>7.2779999999999997E-2</v>
      </c>
      <c r="D497">
        <v>6.658E-2</v>
      </c>
      <c r="E497">
        <v>7.2720000000000007E-2</v>
      </c>
      <c r="F497">
        <v>5030315.9000000004</v>
      </c>
      <c r="G497">
        <v>0</v>
      </c>
      <c r="L497" t="s">
        <v>7</v>
      </c>
      <c r="M497" t="s">
        <v>7</v>
      </c>
      <c r="N497" t="s">
        <v>8</v>
      </c>
      <c r="P497">
        <f t="shared" si="979"/>
        <v>0.98064516129032564</v>
      </c>
      <c r="Q497">
        <f t="shared" si="980"/>
        <v>4932954.9470967902</v>
      </c>
      <c r="R497">
        <f t="shared" si="981"/>
        <v>-16437063.526414763</v>
      </c>
      <c r="S497">
        <f t="shared" si="982"/>
        <v>-164.37063526414764</v>
      </c>
      <c r="T497">
        <f t="shared" si="983"/>
        <v>-0.16437063526414764</v>
      </c>
    </row>
    <row r="498" spans="1:20" x14ac:dyDescent="0.25">
      <c r="A498" s="5">
        <v>44095</v>
      </c>
      <c r="B498">
        <v>7.8850000000000003E-2</v>
      </c>
      <c r="C498">
        <v>7.9280000000000003E-2</v>
      </c>
      <c r="D498">
        <v>6.8040000000000003E-2</v>
      </c>
      <c r="E498">
        <v>6.9959999999999994E-2</v>
      </c>
      <c r="F498">
        <v>5912389.9000000004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-0.65836298932384496</v>
      </c>
      <c r="Q498">
        <f t="shared" si="980"/>
        <v>-3892498.6886121091</v>
      </c>
      <c r="R498">
        <f t="shared" si="981"/>
        <v>-21370018.473511554</v>
      </c>
      <c r="S498">
        <f t="shared" si="982"/>
        <v>-213.70018473511556</v>
      </c>
      <c r="T498">
        <f t="shared" si="983"/>
        <v>-0.21370018473511557</v>
      </c>
    </row>
    <row r="499" spans="1:20" x14ac:dyDescent="0.25">
      <c r="A499" s="5">
        <v>44094</v>
      </c>
      <c r="B499">
        <v>8.0820000000000003E-2</v>
      </c>
      <c r="C499">
        <v>8.1040000000000001E-2</v>
      </c>
      <c r="D499">
        <v>7.7179999999999999E-2</v>
      </c>
      <c r="E499">
        <v>7.8839999999999993E-2</v>
      </c>
      <c r="F499">
        <v>1973557.5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-0.13989637305699804</v>
      </c>
      <c r="Q499">
        <f t="shared" si="980"/>
        <v>-276093.53626943642</v>
      </c>
      <c r="R499">
        <f t="shared" si="981"/>
        <v>-17477519.784899447</v>
      </c>
      <c r="S499">
        <f t="shared" si="982"/>
        <v>-174.77519784899448</v>
      </c>
      <c r="T499">
        <f t="shared" si="983"/>
        <v>-0.17477519784899448</v>
      </c>
    </row>
    <row r="500" spans="1:20" x14ac:dyDescent="0.25">
      <c r="A500" s="5">
        <v>44093</v>
      </c>
      <c r="B500">
        <v>7.8960000000000002E-2</v>
      </c>
      <c r="C500">
        <v>8.1119999999999998E-2</v>
      </c>
      <c r="D500">
        <v>7.85E-2</v>
      </c>
      <c r="E500">
        <v>8.0939999999999998E-2</v>
      </c>
      <c r="F500">
        <v>2719256.2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0.86259541984732846</v>
      </c>
      <c r="Q500">
        <f t="shared" si="980"/>
        <v>2345617.9435114511</v>
      </c>
      <c r="R500">
        <f t="shared" si="981"/>
        <v>-17201426.24863001</v>
      </c>
      <c r="S500">
        <f t="shared" si="982"/>
        <v>-172.01426248630008</v>
      </c>
      <c r="T500">
        <f t="shared" si="983"/>
        <v>-0.17201426248630008</v>
      </c>
    </row>
    <row r="501" spans="1:20" x14ac:dyDescent="0.25">
      <c r="A501" s="5">
        <v>44092</v>
      </c>
      <c r="B501">
        <v>8.0350000000000005E-2</v>
      </c>
      <c r="C501">
        <v>8.3330000000000001E-2</v>
      </c>
      <c r="D501">
        <v>7.8189999999999996E-2</v>
      </c>
      <c r="E501">
        <v>7.8850000000000003E-2</v>
      </c>
      <c r="F501">
        <v>3132929.9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-0.74319066147859647</v>
      </c>
      <c r="Q501">
        <f t="shared" si="980"/>
        <v>-2328364.2447470729</v>
      </c>
      <c r="R501">
        <f t="shared" si="981"/>
        <v>-19547044.192141462</v>
      </c>
      <c r="S501">
        <f t="shared" si="982"/>
        <v>-195.47044192141462</v>
      </c>
      <c r="T501">
        <f t="shared" si="983"/>
        <v>-0.19547044192141461</v>
      </c>
    </row>
    <row r="502" spans="1:20" x14ac:dyDescent="0.25">
      <c r="A502" s="5">
        <v>44091</v>
      </c>
      <c r="B502">
        <v>7.8740000000000004E-2</v>
      </c>
      <c r="C502">
        <v>8.1629999999999994E-2</v>
      </c>
      <c r="D502">
        <v>7.6670000000000002E-2</v>
      </c>
      <c r="E502">
        <v>7.9869999999999997E-2</v>
      </c>
      <c r="F502">
        <v>2660758</v>
      </c>
      <c r="G502">
        <v>0</v>
      </c>
      <c r="L502" t="s">
        <v>7</v>
      </c>
      <c r="M502" t="s">
        <v>8</v>
      </c>
      <c r="N502" t="s">
        <v>8</v>
      </c>
      <c r="P502">
        <f t="shared" si="979"/>
        <v>0.29032258064516109</v>
      </c>
      <c r="Q502">
        <f t="shared" si="980"/>
        <v>772478.12903225748</v>
      </c>
      <c r="R502">
        <f t="shared" si="981"/>
        <v>-17218679.94739439</v>
      </c>
      <c r="S502">
        <f t="shared" si="982"/>
        <v>-172.18679947394389</v>
      </c>
      <c r="T502">
        <f t="shared" si="983"/>
        <v>-0.17218679947394389</v>
      </c>
    </row>
    <row r="503" spans="1:20" x14ac:dyDescent="0.25">
      <c r="A503" s="5">
        <v>44090</v>
      </c>
      <c r="B503">
        <v>7.9100000000000004E-2</v>
      </c>
      <c r="C503">
        <v>8.0460000000000004E-2</v>
      </c>
      <c r="D503">
        <v>7.6240000000000002E-2</v>
      </c>
      <c r="E503">
        <v>7.8509999999999996E-2</v>
      </c>
      <c r="F503">
        <v>3472847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7.5829383886252807E-2</v>
      </c>
      <c r="Q503">
        <f t="shared" si="980"/>
        <v>263343.8483412214</v>
      </c>
      <c r="R503">
        <f t="shared" si="981"/>
        <v>-17991158.076426648</v>
      </c>
      <c r="S503">
        <f t="shared" si="982"/>
        <v>-179.91158076426649</v>
      </c>
      <c r="T503">
        <f t="shared" si="983"/>
        <v>-0.1799115807642665</v>
      </c>
    </row>
    <row r="504" spans="1:20" x14ac:dyDescent="0.25">
      <c r="A504" s="5">
        <v>44089</v>
      </c>
      <c r="B504">
        <v>8.2350000000000007E-2</v>
      </c>
      <c r="C504">
        <v>8.3790000000000003E-2</v>
      </c>
      <c r="D504">
        <v>7.9009999999999997E-2</v>
      </c>
      <c r="E504">
        <v>7.9250000000000001E-2</v>
      </c>
      <c r="F504">
        <v>3546889.1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-0.8995815899581574</v>
      </c>
      <c r="Q504">
        <f t="shared" si="980"/>
        <v>-3190716.135983258</v>
      </c>
      <c r="R504">
        <f t="shared" si="981"/>
        <v>-18254501.92476787</v>
      </c>
      <c r="S504">
        <f t="shared" si="982"/>
        <v>-182.54501924767871</v>
      </c>
      <c r="T504">
        <f t="shared" si="983"/>
        <v>-0.18254501924767871</v>
      </c>
    </row>
    <row r="505" spans="1:20" x14ac:dyDescent="0.25">
      <c r="A505" s="5">
        <v>44088</v>
      </c>
      <c r="B505">
        <v>8.1739999999999993E-2</v>
      </c>
      <c r="C505">
        <v>8.3710000000000007E-2</v>
      </c>
      <c r="D505">
        <v>7.9250000000000001E-2</v>
      </c>
      <c r="E505">
        <v>8.2350000000000007E-2</v>
      </c>
      <c r="F505">
        <v>3120852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0.3901345291479828</v>
      </c>
      <c r="Q505">
        <f t="shared" si="980"/>
        <v>1217552.1255605405</v>
      </c>
      <c r="R505">
        <f t="shared" si="981"/>
        <v>-15063785.788784612</v>
      </c>
      <c r="S505">
        <f t="shared" si="982"/>
        <v>-150.63785788784611</v>
      </c>
      <c r="T505">
        <f t="shared" si="983"/>
        <v>-0.15063785788784612</v>
      </c>
    </row>
    <row r="506" spans="1:20" x14ac:dyDescent="0.25">
      <c r="A506" s="5">
        <v>44087</v>
      </c>
      <c r="B506">
        <v>8.5000000000000006E-2</v>
      </c>
      <c r="C506">
        <v>8.5980000000000001E-2</v>
      </c>
      <c r="D506">
        <v>7.8799999999999995E-2</v>
      </c>
      <c r="E506">
        <v>8.1739999999999993E-2</v>
      </c>
      <c r="F506">
        <v>6744128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-0.1810584958217282</v>
      </c>
      <c r="Q506">
        <f t="shared" si="980"/>
        <v>-1221081.6713092001</v>
      </c>
      <c r="R506">
        <f t="shared" si="981"/>
        <v>-16281337.914345153</v>
      </c>
      <c r="S506">
        <f t="shared" si="982"/>
        <v>-162.81337914345153</v>
      </c>
      <c r="T506">
        <f t="shared" si="983"/>
        <v>-0.16281337914345154</v>
      </c>
    </row>
    <row r="507" spans="1:20" x14ac:dyDescent="0.25">
      <c r="A507" s="5">
        <v>44086</v>
      </c>
      <c r="B507">
        <v>8.5419999999999996E-2</v>
      </c>
      <c r="C507">
        <v>8.5500000000000007E-2</v>
      </c>
      <c r="D507">
        <v>8.1299999999999997E-2</v>
      </c>
      <c r="E507">
        <v>8.4809999999999997E-2</v>
      </c>
      <c r="F507">
        <v>5682555.2999999998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0.67142857142856738</v>
      </c>
      <c r="Q507">
        <f t="shared" si="980"/>
        <v>3815429.9871428339</v>
      </c>
      <c r="R507">
        <f t="shared" si="981"/>
        <v>-15060256.243035953</v>
      </c>
      <c r="S507">
        <f t="shared" si="982"/>
        <v>-150.60256243035954</v>
      </c>
      <c r="T507">
        <f t="shared" si="983"/>
        <v>-0.15060256243035955</v>
      </c>
    </row>
    <row r="508" spans="1:20" x14ac:dyDescent="0.25">
      <c r="A508" s="5">
        <v>44085</v>
      </c>
      <c r="B508">
        <v>8.2189999999999999E-2</v>
      </c>
      <c r="C508">
        <v>8.6569999999999994E-2</v>
      </c>
      <c r="D508">
        <v>7.9979999999999996E-2</v>
      </c>
      <c r="E508">
        <v>8.5400000000000004E-2</v>
      </c>
      <c r="F508">
        <v>7450810.2999999998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0.64491654021244593</v>
      </c>
      <c r="Q508">
        <f t="shared" si="980"/>
        <v>4805150.8004552564</v>
      </c>
      <c r="R508">
        <f t="shared" si="981"/>
        <v>-18875686.230178788</v>
      </c>
      <c r="S508">
        <f t="shared" si="982"/>
        <v>-188.75686230178789</v>
      </c>
      <c r="T508">
        <f t="shared" si="983"/>
        <v>-0.1887568623017879</v>
      </c>
    </row>
    <row r="509" spans="1:20" x14ac:dyDescent="0.25">
      <c r="A509" s="5">
        <v>44084</v>
      </c>
      <c r="B509">
        <v>7.7590000000000006E-2</v>
      </c>
      <c r="C509">
        <v>8.2360000000000003E-2</v>
      </c>
      <c r="D509">
        <v>0.03</v>
      </c>
      <c r="E509">
        <v>8.2189999999999999E-2</v>
      </c>
      <c r="F509">
        <v>9084716.3000000007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0.99350649350649334</v>
      </c>
      <c r="Q509">
        <f t="shared" si="980"/>
        <v>9025724.6357142851</v>
      </c>
      <c r="R509">
        <f t="shared" si="981"/>
        <v>-23680837.030634046</v>
      </c>
      <c r="S509">
        <f t="shared" si="982"/>
        <v>-236.80837030634046</v>
      </c>
      <c r="T509">
        <f t="shared" si="983"/>
        <v>-0.23680837030634047</v>
      </c>
    </row>
    <row r="510" spans="1:20" x14ac:dyDescent="0.25">
      <c r="A510" s="5">
        <v>44083</v>
      </c>
      <c r="B510">
        <v>7.3889999999999997E-2</v>
      </c>
      <c r="C510">
        <v>7.9460000000000003E-2</v>
      </c>
      <c r="D510">
        <v>7.1459999999999996E-2</v>
      </c>
      <c r="E510">
        <v>7.7539999999999998E-2</v>
      </c>
      <c r="F510">
        <v>6777459.7999999998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0.51999999999999913</v>
      </c>
      <c r="Q510">
        <f t="shared" si="980"/>
        <v>3524279.0959999938</v>
      </c>
      <c r="R510">
        <f t="shared" si="981"/>
        <v>-32706561.666348331</v>
      </c>
      <c r="S510">
        <f t="shared" si="982"/>
        <v>-327.0656166634833</v>
      </c>
      <c r="T510">
        <f t="shared" si="983"/>
        <v>-0.32706561666348327</v>
      </c>
    </row>
    <row r="511" spans="1:20" x14ac:dyDescent="0.25">
      <c r="A511" s="5">
        <v>44082</v>
      </c>
      <c r="B511">
        <v>7.6960000000000001E-2</v>
      </c>
      <c r="C511">
        <v>7.7499999999999999E-2</v>
      </c>
      <c r="D511">
        <v>7.0569999999999994E-2</v>
      </c>
      <c r="E511">
        <v>7.3630000000000001E-2</v>
      </c>
      <c r="F511">
        <v>5247266.8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-0.11688311688311553</v>
      </c>
      <c r="Q511">
        <f t="shared" si="980"/>
        <v>-613316.89870129165</v>
      </c>
      <c r="R511">
        <f t="shared" si="981"/>
        <v>-36230840.762348324</v>
      </c>
      <c r="S511">
        <f t="shared" si="982"/>
        <v>-362.30840762348322</v>
      </c>
      <c r="T511">
        <f t="shared" si="983"/>
        <v>-0.36230840762348321</v>
      </c>
    </row>
    <row r="512" spans="1:20" x14ac:dyDescent="0.25">
      <c r="A512" s="5">
        <v>44081</v>
      </c>
      <c r="B512">
        <v>7.8539999999999999E-2</v>
      </c>
      <c r="C512">
        <v>8.0879999999999994E-2</v>
      </c>
      <c r="D512">
        <v>7.0000000000000007E-2</v>
      </c>
      <c r="E512">
        <v>7.6990000000000003E-2</v>
      </c>
      <c r="F512">
        <v>5071878.5999999996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0.28492647058823617</v>
      </c>
      <c r="Q512">
        <f t="shared" si="980"/>
        <v>1445112.4687500044</v>
      </c>
      <c r="R512">
        <f t="shared" si="981"/>
        <v>-35617523.863647029</v>
      </c>
      <c r="S512">
        <f t="shared" si="982"/>
        <v>-356.17523863647028</v>
      </c>
      <c r="T512">
        <f t="shared" si="983"/>
        <v>-0.35617523863647027</v>
      </c>
    </row>
    <row r="513" spans="1:20" x14ac:dyDescent="0.25">
      <c r="A513" s="5">
        <v>44080</v>
      </c>
      <c r="B513">
        <v>7.8539999999999999E-2</v>
      </c>
      <c r="C513">
        <v>8.0750000000000002E-2</v>
      </c>
      <c r="D513">
        <v>7.2300000000000003E-2</v>
      </c>
      <c r="E513">
        <v>7.8369999999999995E-2</v>
      </c>
      <c r="F513">
        <v>12567162.6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0.43668639053254266</v>
      </c>
      <c r="Q513">
        <f t="shared" si="980"/>
        <v>5487908.8750295639</v>
      </c>
      <c r="R513">
        <f t="shared" si="981"/>
        <v>-37062636.332397036</v>
      </c>
      <c r="S513">
        <f t="shared" si="982"/>
        <v>-370.62636332397034</v>
      </c>
      <c r="T513">
        <f t="shared" si="983"/>
        <v>-0.37062636332397036</v>
      </c>
    </row>
    <row r="514" spans="1:20" x14ac:dyDescent="0.25">
      <c r="A514" s="5">
        <v>44079</v>
      </c>
      <c r="B514">
        <v>8.7639999999999996E-2</v>
      </c>
      <c r="C514">
        <v>8.9770000000000003E-2</v>
      </c>
      <c r="D514">
        <v>7.0919999999999997E-2</v>
      </c>
      <c r="E514">
        <v>7.8539999999999999E-2</v>
      </c>
      <c r="F514">
        <v>6214755.7999999998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-0.1915119363395226</v>
      </c>
      <c r="Q514">
        <f t="shared" si="980"/>
        <v>-1190199.9171352787</v>
      </c>
      <c r="R514">
        <f t="shared" si="981"/>
        <v>-42550545.2074266</v>
      </c>
      <c r="S514">
        <f t="shared" si="982"/>
        <v>-425.50545207426597</v>
      </c>
      <c r="T514">
        <f t="shared" si="983"/>
        <v>-0.42550545207426599</v>
      </c>
    </row>
    <row r="515" spans="1:20" x14ac:dyDescent="0.25">
      <c r="A515" s="5">
        <v>44078</v>
      </c>
      <c r="B515">
        <v>8.2519999999999996E-2</v>
      </c>
      <c r="C515">
        <v>8.9929999999999996E-2</v>
      </c>
      <c r="D515">
        <v>8.0299999999999996E-2</v>
      </c>
      <c r="E515">
        <v>8.763E-2</v>
      </c>
      <c r="F515">
        <v>6705266.7999999998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0.52232606438213991</v>
      </c>
      <c r="Q515">
        <f t="shared" si="980"/>
        <v>3502335.6182762249</v>
      </c>
      <c r="R515">
        <f t="shared" si="981"/>
        <v>-41360345.290291324</v>
      </c>
      <c r="S515">
        <f t="shared" si="982"/>
        <v>-413.60345290291326</v>
      </c>
      <c r="T515">
        <f t="shared" si="983"/>
        <v>-0.41360345290291328</v>
      </c>
    </row>
    <row r="516" spans="1:20" x14ac:dyDescent="0.25">
      <c r="A516" s="5">
        <v>44077</v>
      </c>
      <c r="B516">
        <v>0.10032000000000001</v>
      </c>
      <c r="C516">
        <v>0.10185</v>
      </c>
      <c r="D516">
        <v>8.0500000000000002E-2</v>
      </c>
      <c r="E516">
        <v>8.2379999999999995E-2</v>
      </c>
      <c r="F516">
        <v>8153790.2999999998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-0.82388758782201466</v>
      </c>
      <c r="Q516">
        <f t="shared" si="980"/>
        <v>-6717806.6218735408</v>
      </c>
      <c r="R516">
        <f t="shared" si="981"/>
        <v>-44862680.908567548</v>
      </c>
      <c r="S516">
        <f t="shared" si="982"/>
        <v>-448.62680908567546</v>
      </c>
      <c r="T516">
        <f t="shared" si="983"/>
        <v>-0.44862680908567548</v>
      </c>
    </row>
    <row r="517" spans="1:20" x14ac:dyDescent="0.25">
      <c r="A517" s="5">
        <v>44076</v>
      </c>
      <c r="B517">
        <v>0.10073</v>
      </c>
      <c r="C517">
        <v>0.1055</v>
      </c>
      <c r="D517">
        <v>9.06E-2</v>
      </c>
      <c r="E517">
        <v>0.10036</v>
      </c>
      <c r="F517">
        <v>11564068.699999999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0.31006711409396065</v>
      </c>
      <c r="Q517">
        <f t="shared" si="980"/>
        <v>3585637.4089932991</v>
      </c>
      <c r="R517">
        <f t="shared" si="981"/>
        <v>-38144874.286694005</v>
      </c>
      <c r="S517">
        <f t="shared" si="982"/>
        <v>-381.44874286694005</v>
      </c>
      <c r="T517">
        <f t="shared" si="983"/>
        <v>-0.38144874286694003</v>
      </c>
    </row>
    <row r="518" spans="1:20" x14ac:dyDescent="0.25">
      <c r="A518" s="5">
        <v>44075</v>
      </c>
      <c r="B518">
        <v>9.8519999999999996E-2</v>
      </c>
      <c r="C518">
        <v>0.10217</v>
      </c>
      <c r="D518">
        <v>9.6280000000000004E-2</v>
      </c>
      <c r="E518">
        <v>0.10051</v>
      </c>
      <c r="F518">
        <v>7376409.7999999998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0.43633276740237797</v>
      </c>
      <c r="Q518">
        <f t="shared" ref="Q518:Q581" si="985">F518*P518</f>
        <v>3218569.3015280212</v>
      </c>
      <c r="R518">
        <f t="shared" ref="R518:R581" si="986">R519+Q518</f>
        <v>-41730511.695687301</v>
      </c>
      <c r="S518">
        <f t="shared" ref="S518:S581" si="987">R518/100000</f>
        <v>-417.30511695687301</v>
      </c>
      <c r="T518">
        <f t="shared" ref="T518:T581" si="988">S518/1000</f>
        <v>-0.417305116956873</v>
      </c>
    </row>
    <row r="519" spans="1:20" x14ac:dyDescent="0.25">
      <c r="A519" s="5">
        <v>44074</v>
      </c>
      <c r="B519">
        <v>0.10346</v>
      </c>
      <c r="C519">
        <v>0.10624</v>
      </c>
      <c r="D519">
        <v>9.69E-2</v>
      </c>
      <c r="E519">
        <v>9.8460000000000006E-2</v>
      </c>
      <c r="F519">
        <v>10818737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-0.66595289079229003</v>
      </c>
      <c r="Q519">
        <f t="shared" si="985"/>
        <v>-7204769.1798715079</v>
      </c>
      <c r="R519">
        <f t="shared" si="986"/>
        <v>-44949080.997215323</v>
      </c>
      <c r="S519">
        <f t="shared" si="987"/>
        <v>-449.49080997215322</v>
      </c>
      <c r="T519">
        <f t="shared" si="988"/>
        <v>-0.44949080997215324</v>
      </c>
    </row>
    <row r="520" spans="1:20" x14ac:dyDescent="0.25">
      <c r="A520" s="5">
        <v>44073</v>
      </c>
      <c r="B520">
        <v>0.10940999999999999</v>
      </c>
      <c r="C520">
        <v>0.11194</v>
      </c>
      <c r="D520">
        <v>0.10169</v>
      </c>
      <c r="E520">
        <v>0.10348</v>
      </c>
      <c r="F520">
        <v>9883578.5999999996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-0.65073170731707297</v>
      </c>
      <c r="Q520">
        <f t="shared" si="985"/>
        <v>-6431557.9767804854</v>
      </c>
      <c r="R520">
        <f t="shared" si="986"/>
        <v>-37744311.817343816</v>
      </c>
      <c r="S520">
        <f t="shared" si="987"/>
        <v>-377.44311817343817</v>
      </c>
      <c r="T520">
        <f t="shared" si="988"/>
        <v>-0.37744311817343817</v>
      </c>
    </row>
    <row r="521" spans="1:20" x14ac:dyDescent="0.25">
      <c r="A521" s="5">
        <v>44072</v>
      </c>
      <c r="B521">
        <v>0.10684</v>
      </c>
      <c r="C521">
        <v>0.1217</v>
      </c>
      <c r="D521">
        <v>0.10138</v>
      </c>
      <c r="E521">
        <v>0.10940999999999999</v>
      </c>
      <c r="F521">
        <v>37981212.299999997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-0.20964566929133921</v>
      </c>
      <c r="Q521">
        <f t="shared" si="985"/>
        <v>-7962596.6731299441</v>
      </c>
      <c r="R521">
        <f t="shared" si="986"/>
        <v>-31312753.840563327</v>
      </c>
      <c r="S521">
        <f t="shared" si="987"/>
        <v>-313.12753840563329</v>
      </c>
      <c r="T521">
        <f t="shared" si="988"/>
        <v>-0.31312753840563329</v>
      </c>
    </row>
    <row r="522" spans="1:20" x14ac:dyDescent="0.25">
      <c r="A522" s="5">
        <v>44071</v>
      </c>
      <c r="B522">
        <v>9.4460000000000002E-2</v>
      </c>
      <c r="C522">
        <v>0.1139</v>
      </c>
      <c r="D522">
        <v>9.1209999999999999E-2</v>
      </c>
      <c r="E522">
        <v>0.10632</v>
      </c>
      <c r="F522">
        <v>52442016.100000001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0.3318642573821064</v>
      </c>
      <c r="Q522">
        <f t="shared" si="985"/>
        <v>17403630.728646968</v>
      </c>
      <c r="R522">
        <f t="shared" si="986"/>
        <v>-23350157.167433385</v>
      </c>
      <c r="S522">
        <f t="shared" si="987"/>
        <v>-233.50157167433386</v>
      </c>
      <c r="T522">
        <f t="shared" si="988"/>
        <v>-0.23350157167433386</v>
      </c>
    </row>
    <row r="523" spans="1:20" x14ac:dyDescent="0.25">
      <c r="A523" s="5">
        <v>44070</v>
      </c>
      <c r="B523">
        <v>8.6999999999999994E-2</v>
      </c>
      <c r="C523">
        <v>9.4729999999999995E-2</v>
      </c>
      <c r="D523">
        <v>8.5999999999999993E-2</v>
      </c>
      <c r="E523">
        <v>9.4729999999999995E-2</v>
      </c>
      <c r="F523">
        <v>19387648.100000001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1</v>
      </c>
      <c r="Q523">
        <f t="shared" si="985"/>
        <v>19387648.100000001</v>
      </c>
      <c r="R523">
        <f t="shared" si="986"/>
        <v>-40753787.896080352</v>
      </c>
      <c r="S523">
        <f t="shared" si="987"/>
        <v>-407.53787896080354</v>
      </c>
      <c r="T523">
        <f t="shared" si="988"/>
        <v>-0.40753787896080351</v>
      </c>
    </row>
    <row r="524" spans="1:20" x14ac:dyDescent="0.25">
      <c r="A524" s="5">
        <v>44069</v>
      </c>
      <c r="B524">
        <v>8.5730000000000001E-2</v>
      </c>
      <c r="C524">
        <v>8.7160000000000001E-2</v>
      </c>
      <c r="D524">
        <v>8.3790000000000003E-2</v>
      </c>
      <c r="E524">
        <v>8.6999999999999994E-2</v>
      </c>
      <c r="F524">
        <v>4642478.3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0.90504451038575229</v>
      </c>
      <c r="Q524">
        <f t="shared" si="985"/>
        <v>4201649.4999999795</v>
      </c>
      <c r="R524">
        <f t="shared" si="986"/>
        <v>-60141435.996080354</v>
      </c>
      <c r="S524">
        <f t="shared" si="987"/>
        <v>-601.41435996080349</v>
      </c>
      <c r="T524">
        <f t="shared" si="988"/>
        <v>-0.6014143599608035</v>
      </c>
    </row>
    <row r="525" spans="1:20" x14ac:dyDescent="0.25">
      <c r="A525" s="5">
        <v>44068</v>
      </c>
      <c r="B525">
        <v>9.1660000000000005E-2</v>
      </c>
      <c r="C525">
        <v>9.3640000000000001E-2</v>
      </c>
      <c r="D525">
        <v>8.2089999999999996E-2</v>
      </c>
      <c r="E525">
        <v>8.5730000000000001E-2</v>
      </c>
      <c r="F525">
        <v>5353220.2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-0.36969696969696919</v>
      </c>
      <c r="Q525">
        <f t="shared" si="985"/>
        <v>-1979069.2860606033</v>
      </c>
      <c r="R525">
        <f t="shared" si="986"/>
        <v>-64343085.496080332</v>
      </c>
      <c r="S525">
        <f t="shared" si="987"/>
        <v>-643.43085496080334</v>
      </c>
      <c r="T525">
        <f t="shared" si="988"/>
        <v>-0.64343085496080332</v>
      </c>
    </row>
    <row r="526" spans="1:20" x14ac:dyDescent="0.25">
      <c r="A526" s="5">
        <v>44067</v>
      </c>
      <c r="B526">
        <v>9.2329999999999995E-2</v>
      </c>
      <c r="C526">
        <v>9.665E-2</v>
      </c>
      <c r="D526">
        <v>9.0649999999999994E-2</v>
      </c>
      <c r="E526">
        <v>9.1990000000000002E-2</v>
      </c>
      <c r="F526">
        <v>10238315.5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-0.55333333333333112</v>
      </c>
      <c r="Q526">
        <f t="shared" si="985"/>
        <v>-5665201.2433333108</v>
      </c>
      <c r="R526">
        <f t="shared" si="986"/>
        <v>-62364016.21001973</v>
      </c>
      <c r="S526">
        <f t="shared" si="987"/>
        <v>-623.64016210019724</v>
      </c>
      <c r="T526">
        <f t="shared" si="988"/>
        <v>-0.62364016210019724</v>
      </c>
    </row>
    <row r="527" spans="1:20" x14ac:dyDescent="0.25">
      <c r="A527" s="5">
        <v>44066</v>
      </c>
      <c r="B527">
        <v>9.69E-2</v>
      </c>
      <c r="C527">
        <v>9.7360000000000002E-2</v>
      </c>
      <c r="D527">
        <v>8.8999999999999996E-2</v>
      </c>
      <c r="E527">
        <v>9.1929999999999998E-2</v>
      </c>
      <c r="F527">
        <v>10986132.5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-0.299043062200957</v>
      </c>
      <c r="Q527">
        <f t="shared" si="985"/>
        <v>-3285326.7045454551</v>
      </c>
      <c r="R527">
        <f t="shared" si="986"/>
        <v>-56698814.96668642</v>
      </c>
      <c r="S527">
        <f t="shared" si="987"/>
        <v>-566.98814966686416</v>
      </c>
      <c r="T527">
        <f t="shared" si="988"/>
        <v>-0.56698814966686417</v>
      </c>
    </row>
    <row r="528" spans="1:20" x14ac:dyDescent="0.25">
      <c r="A528" s="5">
        <v>44065</v>
      </c>
      <c r="B528">
        <v>9.4299999999999995E-2</v>
      </c>
      <c r="C528">
        <v>0.115</v>
      </c>
      <c r="D528">
        <v>8.5779999999999995E-2</v>
      </c>
      <c r="E528">
        <v>9.69E-2</v>
      </c>
      <c r="F528">
        <v>60642295.399999999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-0.23887748117727575</v>
      </c>
      <c r="Q528">
        <f t="shared" si="985"/>
        <v>-14486078.777960295</v>
      </c>
      <c r="R528">
        <f t="shared" si="986"/>
        <v>-53413488.262140967</v>
      </c>
      <c r="S528">
        <f t="shared" si="987"/>
        <v>-534.1348826214097</v>
      </c>
      <c r="T528">
        <f t="shared" si="988"/>
        <v>-0.53413488262140973</v>
      </c>
    </row>
    <row r="529" spans="1:20" x14ac:dyDescent="0.25">
      <c r="A529" s="5">
        <v>44064</v>
      </c>
      <c r="B529">
        <v>9.1310000000000002E-2</v>
      </c>
      <c r="C529">
        <v>9.4750000000000001E-2</v>
      </c>
      <c r="D529">
        <v>8.3500000000000005E-2</v>
      </c>
      <c r="E529">
        <v>9.3780000000000002E-2</v>
      </c>
      <c r="F529">
        <v>15472080.6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0.82755555555555571</v>
      </c>
      <c r="Q529">
        <f t="shared" si="985"/>
        <v>12804006.256533336</v>
      </c>
      <c r="R529">
        <f t="shared" si="986"/>
        <v>-38927409.484180674</v>
      </c>
      <c r="S529">
        <f t="shared" si="987"/>
        <v>-389.27409484180674</v>
      </c>
      <c r="T529">
        <f t="shared" si="988"/>
        <v>-0.38927409484180675</v>
      </c>
    </row>
    <row r="530" spans="1:20" x14ac:dyDescent="0.25">
      <c r="A530" s="5">
        <v>44063</v>
      </c>
      <c r="B530">
        <v>8.2909999999999998E-2</v>
      </c>
      <c r="C530">
        <v>9.1319999999999998E-2</v>
      </c>
      <c r="D530">
        <v>8.0009999999999998E-2</v>
      </c>
      <c r="E530">
        <v>9.1310000000000002E-2</v>
      </c>
      <c r="F530">
        <v>6378378.2999999998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0.99823165340406783</v>
      </c>
      <c r="Q530">
        <f t="shared" si="985"/>
        <v>6367099.1164456271</v>
      </c>
      <c r="R530">
        <f t="shared" si="986"/>
        <v>-51731415.740714014</v>
      </c>
      <c r="S530">
        <f t="shared" si="987"/>
        <v>-517.3141574071401</v>
      </c>
      <c r="T530">
        <f t="shared" si="988"/>
        <v>-0.51731415740714015</v>
      </c>
    </row>
    <row r="531" spans="1:20" x14ac:dyDescent="0.25">
      <c r="A531" s="5">
        <v>44062</v>
      </c>
      <c r="B531">
        <v>9.0130000000000002E-2</v>
      </c>
      <c r="C531">
        <v>9.1630000000000003E-2</v>
      </c>
      <c r="D531">
        <v>8.0369999999999997E-2</v>
      </c>
      <c r="E531">
        <v>8.2750000000000004E-2</v>
      </c>
      <c r="F531">
        <v>9354251.0999999996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-0.57726465364120683</v>
      </c>
      <c r="Q531">
        <f t="shared" si="985"/>
        <v>-5399878.5213143779</v>
      </c>
      <c r="R531">
        <f t="shared" si="986"/>
        <v>-58098514.857159644</v>
      </c>
      <c r="S531">
        <f t="shared" si="987"/>
        <v>-580.98514857159648</v>
      </c>
      <c r="T531">
        <f t="shared" si="988"/>
        <v>-0.58098514857159644</v>
      </c>
    </row>
    <row r="532" spans="1:20" x14ac:dyDescent="0.25">
      <c r="A532" s="5">
        <v>44061</v>
      </c>
      <c r="B532">
        <v>9.5799999999999996E-2</v>
      </c>
      <c r="C532">
        <v>9.6250000000000002E-2</v>
      </c>
      <c r="D532">
        <v>8.6150000000000004E-2</v>
      </c>
      <c r="E532">
        <v>9.0219999999999995E-2</v>
      </c>
      <c r="F532">
        <v>14059910.199999999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-0.19405940594059581</v>
      </c>
      <c r="Q532">
        <f t="shared" si="985"/>
        <v>-2728457.8209901233</v>
      </c>
      <c r="R532">
        <f t="shared" si="986"/>
        <v>-52698636.335845269</v>
      </c>
      <c r="S532">
        <f t="shared" si="987"/>
        <v>-526.98636335845265</v>
      </c>
      <c r="T532">
        <f t="shared" si="988"/>
        <v>-0.52698636335845261</v>
      </c>
    </row>
    <row r="533" spans="1:20" x14ac:dyDescent="0.25">
      <c r="A533" s="5">
        <v>44060</v>
      </c>
      <c r="B533">
        <v>9.8599999999999993E-2</v>
      </c>
      <c r="C533">
        <v>9.9879999999999997E-2</v>
      </c>
      <c r="D533">
        <v>9.4479999999999995E-2</v>
      </c>
      <c r="E533">
        <v>9.5799999999999996E-2</v>
      </c>
      <c r="F533">
        <v>13555096.699999999</v>
      </c>
      <c r="G533">
        <v>0</v>
      </c>
      <c r="L533" t="s">
        <v>7</v>
      </c>
      <c r="M533" t="s">
        <v>8</v>
      </c>
      <c r="N533" t="s">
        <v>7</v>
      </c>
      <c r="P533">
        <f t="shared" si="984"/>
        <v>-0.51111111111111063</v>
      </c>
      <c r="Q533">
        <f t="shared" si="985"/>
        <v>-6928160.535555549</v>
      </c>
      <c r="R533">
        <f t="shared" si="986"/>
        <v>-49970178.514855146</v>
      </c>
      <c r="S533">
        <f t="shared" si="987"/>
        <v>-499.70178514855144</v>
      </c>
      <c r="T533">
        <f t="shared" si="988"/>
        <v>-0.49970178514855146</v>
      </c>
    </row>
    <row r="534" spans="1:20" x14ac:dyDescent="0.25">
      <c r="A534" s="5">
        <v>44059</v>
      </c>
      <c r="B534">
        <v>9.8879999999999996E-2</v>
      </c>
      <c r="C534">
        <v>0.10027999999999999</v>
      </c>
      <c r="D534">
        <v>9.4E-2</v>
      </c>
      <c r="E534">
        <v>9.8599999999999993E-2</v>
      </c>
      <c r="F534">
        <v>14696458.1</v>
      </c>
      <c r="G534">
        <v>0</v>
      </c>
      <c r="L534" t="s">
        <v>7</v>
      </c>
      <c r="M534" t="s">
        <v>8</v>
      </c>
      <c r="N534" t="s">
        <v>7</v>
      </c>
      <c r="P534">
        <f t="shared" si="984"/>
        <v>0.46496815286624121</v>
      </c>
      <c r="Q534">
        <f t="shared" si="985"/>
        <v>6833384.9764331086</v>
      </c>
      <c r="R534">
        <f t="shared" si="986"/>
        <v>-43042017.979299597</v>
      </c>
      <c r="S534">
        <f t="shared" si="987"/>
        <v>-430.42017979299595</v>
      </c>
      <c r="T534">
        <f t="shared" si="988"/>
        <v>-0.43042017979299596</v>
      </c>
    </row>
    <row r="535" spans="1:20" x14ac:dyDescent="0.25">
      <c r="A535" s="5">
        <v>44058</v>
      </c>
      <c r="B535">
        <v>9.5320000000000002E-2</v>
      </c>
      <c r="C535">
        <v>0.10150000000000001</v>
      </c>
      <c r="D535">
        <v>9.4729999999999995E-2</v>
      </c>
      <c r="E535">
        <v>9.8879999999999996E-2</v>
      </c>
      <c r="F535">
        <v>18572581.5</v>
      </c>
      <c r="G535">
        <v>0</v>
      </c>
      <c r="L535" t="s">
        <v>8</v>
      </c>
      <c r="M535" t="s">
        <v>8</v>
      </c>
      <c r="N535" t="s">
        <v>7</v>
      </c>
      <c r="P535">
        <f t="shared" si="984"/>
        <v>0.22599704579024918</v>
      </c>
      <c r="Q535">
        <f t="shared" si="985"/>
        <v>4197348.5516986344</v>
      </c>
      <c r="R535">
        <f t="shared" si="986"/>
        <v>-49875402.955732703</v>
      </c>
      <c r="S535">
        <f t="shared" si="987"/>
        <v>-498.75402955732704</v>
      </c>
      <c r="T535">
        <f t="shared" si="988"/>
        <v>-0.49875402955732706</v>
      </c>
    </row>
    <row r="536" spans="1:20" x14ac:dyDescent="0.25">
      <c r="A536" s="5">
        <v>44057</v>
      </c>
      <c r="B536">
        <v>9.2319999999999999E-2</v>
      </c>
      <c r="C536">
        <v>0.10349999999999999</v>
      </c>
      <c r="D536">
        <v>9.0359999999999996E-2</v>
      </c>
      <c r="E536">
        <v>9.529E-2</v>
      </c>
      <c r="F536">
        <v>28493547.600000001</v>
      </c>
      <c r="G536">
        <v>0</v>
      </c>
      <c r="L536" t="s">
        <v>7</v>
      </c>
      <c r="M536" t="s">
        <v>8</v>
      </c>
      <c r="N536" t="s">
        <v>7</v>
      </c>
      <c r="P536">
        <f t="shared" si="984"/>
        <v>-0.24961948249619417</v>
      </c>
      <c r="Q536">
        <f t="shared" si="985"/>
        <v>-7112544.606392676</v>
      </c>
      <c r="R536">
        <f t="shared" si="986"/>
        <v>-54072751.507431336</v>
      </c>
      <c r="S536">
        <f t="shared" si="987"/>
        <v>-540.72751507431337</v>
      </c>
      <c r="T536">
        <f t="shared" si="988"/>
        <v>-0.54072751507431338</v>
      </c>
    </row>
    <row r="537" spans="1:20" x14ac:dyDescent="0.25">
      <c r="A537" s="5">
        <v>44056</v>
      </c>
      <c r="B537">
        <v>9.8000000000000004E-2</v>
      </c>
      <c r="C537">
        <v>0.10499</v>
      </c>
      <c r="D537">
        <v>9.0539999999999995E-2</v>
      </c>
      <c r="E537">
        <v>9.2249999999999999E-2</v>
      </c>
      <c r="F537">
        <v>27932826.5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-0.76332179930795807</v>
      </c>
      <c r="Q537">
        <f t="shared" si="985"/>
        <v>-21321735.383737013</v>
      </c>
      <c r="R537">
        <f t="shared" si="986"/>
        <v>-46960206.901038662</v>
      </c>
      <c r="S537">
        <f t="shared" si="987"/>
        <v>-469.60206901038663</v>
      </c>
      <c r="T537">
        <f t="shared" si="988"/>
        <v>-0.46960206901038665</v>
      </c>
    </row>
    <row r="538" spans="1:20" x14ac:dyDescent="0.25">
      <c r="A538" s="5">
        <v>44055</v>
      </c>
      <c r="B538">
        <v>9.0569999999999998E-2</v>
      </c>
      <c r="C538">
        <v>0.10158</v>
      </c>
      <c r="D538">
        <v>8.5089999999999999E-2</v>
      </c>
      <c r="E538">
        <v>9.8390000000000005E-2</v>
      </c>
      <c r="F538">
        <v>30789539.699999999</v>
      </c>
      <c r="G538">
        <v>0</v>
      </c>
      <c r="L538" t="s">
        <v>8</v>
      </c>
      <c r="M538" t="s">
        <v>8</v>
      </c>
      <c r="N538" t="s">
        <v>7</v>
      </c>
      <c r="P538">
        <f t="shared" si="984"/>
        <v>0.61309884778653756</v>
      </c>
      <c r="Q538">
        <f t="shared" si="985"/>
        <v>18877031.313947856</v>
      </c>
      <c r="R538">
        <f t="shared" si="986"/>
        <v>-25638471.517301649</v>
      </c>
      <c r="S538">
        <f t="shared" si="987"/>
        <v>-256.3847151730165</v>
      </c>
      <c r="T538">
        <f t="shared" si="988"/>
        <v>-0.25638471517301648</v>
      </c>
    </row>
    <row r="539" spans="1:20" x14ac:dyDescent="0.25">
      <c r="A539" s="5">
        <v>44054</v>
      </c>
      <c r="B539">
        <v>0.10135</v>
      </c>
      <c r="C539">
        <v>0.104</v>
      </c>
      <c r="D539">
        <v>8.473E-2</v>
      </c>
      <c r="E539">
        <v>9.0569999999999998E-2</v>
      </c>
      <c r="F539">
        <v>33683534.299999997</v>
      </c>
      <c r="G539">
        <v>0</v>
      </c>
      <c r="L539" t="s">
        <v>7</v>
      </c>
      <c r="M539" t="s">
        <v>7</v>
      </c>
      <c r="N539" t="s">
        <v>7</v>
      </c>
      <c r="P539">
        <f t="shared" si="984"/>
        <v>-0.393876491956409</v>
      </c>
      <c r="Q539">
        <f t="shared" si="985"/>
        <v>-13267152.326777376</v>
      </c>
      <c r="R539">
        <f t="shared" si="986"/>
        <v>-44515502.831249505</v>
      </c>
      <c r="S539">
        <f t="shared" si="987"/>
        <v>-445.15502831249506</v>
      </c>
      <c r="T539">
        <f t="shared" si="988"/>
        <v>-0.44515502831249504</v>
      </c>
    </row>
    <row r="540" spans="1:20" x14ac:dyDescent="0.25">
      <c r="A540" s="5">
        <v>44053</v>
      </c>
      <c r="B540">
        <v>9.9709999999999993E-2</v>
      </c>
      <c r="C540">
        <v>0.11224000000000001</v>
      </c>
      <c r="D540">
        <v>9.2280000000000001E-2</v>
      </c>
      <c r="E540">
        <v>0.10138999999999999</v>
      </c>
      <c r="F540">
        <v>71520828.900000006</v>
      </c>
      <c r="G540">
        <v>0</v>
      </c>
      <c r="L540" t="s">
        <v>7</v>
      </c>
      <c r="M540" t="s">
        <v>7</v>
      </c>
      <c r="N540" t="s">
        <v>7</v>
      </c>
      <c r="P540">
        <f t="shared" si="984"/>
        <v>-8.7174348697395737E-2</v>
      </c>
      <c r="Q540">
        <f t="shared" si="985"/>
        <v>-6234781.6776553793</v>
      </c>
      <c r="R540">
        <f t="shared" si="986"/>
        <v>-31248350.504472133</v>
      </c>
      <c r="S540">
        <f t="shared" si="987"/>
        <v>-312.48350504472131</v>
      </c>
      <c r="T540">
        <f t="shared" si="988"/>
        <v>-0.31248350504472133</v>
      </c>
    </row>
    <row r="541" spans="1:20" x14ac:dyDescent="0.25">
      <c r="A541" s="5">
        <v>44052</v>
      </c>
      <c r="B541">
        <v>0.10266</v>
      </c>
      <c r="C541">
        <v>0.13200000000000001</v>
      </c>
      <c r="D541">
        <v>9.9239999999999995E-2</v>
      </c>
      <c r="E541">
        <v>9.9720000000000003E-2</v>
      </c>
      <c r="F541">
        <v>137647520.19999999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-0.97069597069597024</v>
      </c>
      <c r="Q541">
        <f t="shared" si="985"/>
        <v>-133613893.23443216</v>
      </c>
      <c r="R541">
        <f t="shared" si="986"/>
        <v>-25013568.826816753</v>
      </c>
      <c r="S541">
        <f t="shared" si="987"/>
        <v>-250.13568826816751</v>
      </c>
      <c r="T541">
        <f t="shared" si="988"/>
        <v>-0.25013568826816751</v>
      </c>
    </row>
    <row r="542" spans="1:20" x14ac:dyDescent="0.25">
      <c r="A542" s="5">
        <v>44051</v>
      </c>
      <c r="B542">
        <v>7.4980000000000005E-2</v>
      </c>
      <c r="C542">
        <v>0.10469000000000001</v>
      </c>
      <c r="D542">
        <v>7.2590000000000002E-2</v>
      </c>
      <c r="E542">
        <v>0.10281</v>
      </c>
      <c r="F542">
        <v>85765140.700000003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0.8828660436137068</v>
      </c>
      <c r="Q542">
        <f t="shared" si="985"/>
        <v>75719130.44978191</v>
      </c>
      <c r="R542">
        <f t="shared" si="986"/>
        <v>108600324.40761541</v>
      </c>
      <c r="S542">
        <f t="shared" si="987"/>
        <v>1086.003244076154</v>
      </c>
      <c r="T542">
        <f t="shared" si="988"/>
        <v>1.086003244076154</v>
      </c>
    </row>
    <row r="543" spans="1:20" x14ac:dyDescent="0.25">
      <c r="A543" s="5">
        <v>44050</v>
      </c>
      <c r="B543">
        <v>5.79E-2</v>
      </c>
      <c r="C543">
        <v>7.5939999999999994E-2</v>
      </c>
      <c r="D543">
        <v>5.7579999999999999E-2</v>
      </c>
      <c r="E543">
        <v>7.4840000000000004E-2</v>
      </c>
      <c r="F543">
        <v>51256029.899999999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0.88017429193899888</v>
      </c>
      <c r="Q543">
        <f t="shared" si="985"/>
        <v>45114239.824836656</v>
      </c>
      <c r="R543">
        <f t="shared" si="986"/>
        <v>32881193.957833495</v>
      </c>
      <c r="S543">
        <f t="shared" si="987"/>
        <v>328.81193957833494</v>
      </c>
      <c r="T543">
        <f t="shared" si="988"/>
        <v>0.32881193957833493</v>
      </c>
    </row>
    <row r="544" spans="1:20" x14ac:dyDescent="0.25">
      <c r="A544" s="5">
        <v>44049</v>
      </c>
      <c r="B544">
        <v>5.3629999999999997E-2</v>
      </c>
      <c r="C544">
        <v>0.12</v>
      </c>
      <c r="D544">
        <v>5.3629999999999997E-2</v>
      </c>
      <c r="E544">
        <v>5.8220000000000001E-2</v>
      </c>
      <c r="F544">
        <v>14196664.699999999</v>
      </c>
      <c r="G544">
        <v>0</v>
      </c>
      <c r="P544">
        <f t="shared" si="984"/>
        <v>-0.86168449600723207</v>
      </c>
      <c r="Q544">
        <f t="shared" si="985"/>
        <v>-12233045.867003161</v>
      </c>
      <c r="R544">
        <f t="shared" si="986"/>
        <v>-12233045.867003161</v>
      </c>
      <c r="S544">
        <f t="shared" si="987"/>
        <v>-122.33045867003162</v>
      </c>
      <c r="T544">
        <f t="shared" si="988"/>
        <v>-0.12233045867003162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L549" sqref="JL54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$A$548</v>
      </c>
      <c r="D111" s="1" t="str">
        <f>ADDRESS(C121-1,D121,1,1)</f>
        <v>$JL$548</v>
      </c>
      <c r="E111"/>
    </row>
    <row r="112" spans="1:5" x14ac:dyDescent="0.25">
      <c r="A112" s="7">
        <v>12164.144957890772</v>
      </c>
      <c r="C112" s="1" t="str">
        <f>ADDRESS(C121,1,1,1)</f>
        <v>$A$549</v>
      </c>
      <c r="D112" s="1" t="str">
        <f>ADDRESS(C121,D121-1,1,1)</f>
        <v>$JK$549</v>
      </c>
      <c r="E112"/>
    </row>
    <row r="113" spans="1:5" x14ac:dyDescent="0.25">
      <c r="A113" s="7">
        <v>11925.63231165762</v>
      </c>
      <c r="C113" s="1" t="str">
        <f>ADDRESS(C121+1,1,1,1)</f>
        <v>$A$550</v>
      </c>
      <c r="D113" s="1" t="str">
        <f>ADDRESS(C121-1,D121+1,1,1)</f>
        <v>$JM$548</v>
      </c>
    </row>
    <row r="114" spans="1:5" x14ac:dyDescent="0.25">
      <c r="A114" s="7">
        <v>11691.796383978059</v>
      </c>
      <c r="C114" s="1" t="str">
        <f>ADDRESS(C121,D121,1,1)</f>
        <v>$JL$549</v>
      </c>
      <c r="D114" s="1" t="str">
        <f>ADDRESS(C121+1,D121+1,1,1)</f>
        <v>$JM$550</v>
      </c>
    </row>
    <row r="115" spans="1:5" x14ac:dyDescent="0.25">
      <c r="A115" s="7">
        <v>11462.545474488292</v>
      </c>
      <c r="C115" s="1" t="str">
        <f>ADDRESS(C121+1,D121,1,1)</f>
        <v>$JL$550</v>
      </c>
    </row>
    <row r="116" spans="1:5" x14ac:dyDescent="0.25">
      <c r="A116" s="7">
        <v>11237.789680870874</v>
      </c>
      <c r="C116" s="1">
        <f>C117-1</f>
        <v>548</v>
      </c>
    </row>
    <row r="117" spans="1:5" x14ac:dyDescent="0.25">
      <c r="A117" s="7">
        <v>11017.440863598895</v>
      </c>
      <c r="C117" s="1">
        <f>C121</f>
        <v>549</v>
      </c>
      <c r="D117" s="1">
        <f>D121</f>
        <v>272</v>
      </c>
    </row>
    <row r="118" spans="1:5" x14ac:dyDescent="0.25">
      <c r="A118" s="7">
        <v>10801.412611371465</v>
      </c>
      <c r="C118" s="1">
        <f>C117+1</f>
        <v>550</v>
      </c>
      <c r="D118" s="1">
        <f>D117+1</f>
        <v>273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549</v>
      </c>
      <c r="D121" s="19">
        <v>272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R549</v>
      </c>
      <c r="D123" s="1" t="str">
        <f>"C"&amp;D121</f>
        <v>C272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2.1222987924018204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244" x14ac:dyDescent="0.25">
      <c r="A497" s="7">
        <v>5.9431331263054545</v>
      </c>
      <c r="B497"/>
      <c r="C497"/>
      <c r="D497"/>
      <c r="E497"/>
    </row>
    <row r="498" spans="1:244" x14ac:dyDescent="0.25">
      <c r="A498" s="7">
        <v>5.8266011042210337</v>
      </c>
      <c r="B498"/>
      <c r="C498"/>
      <c r="D498"/>
      <c r="E498"/>
      <c r="IG498" s="27" t="s">
        <v>8</v>
      </c>
    </row>
    <row r="499" spans="1:244" x14ac:dyDescent="0.25">
      <c r="A499" s="7">
        <v>5.7123540237461112</v>
      </c>
      <c r="B499"/>
      <c r="C499"/>
      <c r="D499"/>
      <c r="E499"/>
      <c r="IG499" s="27" t="s">
        <v>8</v>
      </c>
      <c r="IH499" s="27" t="s">
        <v>7</v>
      </c>
    </row>
    <row r="500" spans="1:244" x14ac:dyDescent="0.25">
      <c r="A500" s="7">
        <v>5.6003470821040304</v>
      </c>
      <c r="B500"/>
      <c r="C500"/>
      <c r="D500"/>
      <c r="E500"/>
      <c r="IG500" s="27" t="s">
        <v>8</v>
      </c>
      <c r="IH500" s="27" t="s">
        <v>7</v>
      </c>
    </row>
    <row r="501" spans="1:244" x14ac:dyDescent="0.25">
      <c r="A501" s="7">
        <v>5.4905363550039512</v>
      </c>
      <c r="B501"/>
      <c r="C501"/>
      <c r="D501"/>
      <c r="E501"/>
      <c r="IG501" s="27" t="s">
        <v>8</v>
      </c>
      <c r="IH501" s="27" t="s">
        <v>7</v>
      </c>
    </row>
    <row r="502" spans="1:244" x14ac:dyDescent="0.25">
      <c r="A502" s="7">
        <v>5.3828787794156385</v>
      </c>
      <c r="B502"/>
      <c r="C502"/>
      <c r="D502"/>
      <c r="E502"/>
      <c r="IG502" s="27" t="s">
        <v>8</v>
      </c>
      <c r="IH502" s="27" t="s">
        <v>7</v>
      </c>
    </row>
    <row r="503" spans="1:244" x14ac:dyDescent="0.25">
      <c r="A503" s="7">
        <v>5.2773321366819985</v>
      </c>
      <c r="B503"/>
      <c r="C503"/>
      <c r="D503"/>
      <c r="E503"/>
      <c r="IG503" s="27" t="s">
        <v>8</v>
      </c>
      <c r="IH503" s="27" t="s">
        <v>7</v>
      </c>
    </row>
    <row r="504" spans="1:244" x14ac:dyDescent="0.25">
      <c r="A504" s="7">
        <v>5.1738550359627435</v>
      </c>
      <c r="B504"/>
      <c r="C504"/>
      <c r="D504"/>
      <c r="E504"/>
      <c r="IG504" s="27" t="s">
        <v>8</v>
      </c>
      <c r="IH504" s="27" t="s">
        <v>7</v>
      </c>
      <c r="II504" s="27" t="s">
        <v>8</v>
      </c>
    </row>
    <row r="505" spans="1:244" x14ac:dyDescent="0.25">
      <c r="A505" s="7">
        <v>5.07240689800269</v>
      </c>
      <c r="B505"/>
      <c r="C505"/>
      <c r="D505"/>
      <c r="E505"/>
      <c r="IG505" s="27" t="s">
        <v>8</v>
      </c>
      <c r="IH505" s="27" t="s">
        <v>7</v>
      </c>
      <c r="II505" s="27" t="s">
        <v>8</v>
      </c>
      <c r="IJ505" s="27" t="s">
        <v>7</v>
      </c>
    </row>
    <row r="506" spans="1:244" x14ac:dyDescent="0.25">
      <c r="A506" s="7">
        <v>4.9729479392183231</v>
      </c>
      <c r="B506"/>
      <c r="C506"/>
      <c r="D506"/>
      <c r="E506"/>
      <c r="IG506" s="27" t="s">
        <v>8</v>
      </c>
      <c r="IH506" s="27" t="s">
        <v>7</v>
      </c>
      <c r="II506" s="27" t="s">
        <v>8</v>
      </c>
      <c r="IJ506" s="27" t="s">
        <v>7</v>
      </c>
    </row>
    <row r="507" spans="1:244" x14ac:dyDescent="0.25">
      <c r="A507" s="7">
        <v>4.8754391560963954</v>
      </c>
      <c r="B507"/>
      <c r="C507"/>
      <c r="D507"/>
      <c r="E507"/>
      <c r="HU507" s="27" t="s">
        <v>8</v>
      </c>
      <c r="IG507" s="27" t="s">
        <v>8</v>
      </c>
      <c r="IH507" s="27" t="s">
        <v>7</v>
      </c>
      <c r="II507" s="27" t="s">
        <v>8</v>
      </c>
      <c r="IJ507" s="27" t="s">
        <v>7</v>
      </c>
    </row>
    <row r="508" spans="1:244" x14ac:dyDescent="0.25">
      <c r="A508" s="7">
        <v>4.7798423098984264</v>
      </c>
      <c r="B508"/>
      <c r="C508"/>
      <c r="D508"/>
      <c r="E508"/>
      <c r="HU508" s="27" t="s">
        <v>8</v>
      </c>
      <c r="HV508" s="27" t="s">
        <v>7</v>
      </c>
      <c r="IG508" s="27" t="s">
        <v>8</v>
      </c>
      <c r="IH508" s="27" t="s">
        <v>7</v>
      </c>
      <c r="II508" s="27" t="s">
        <v>8</v>
      </c>
      <c r="IJ508" s="27" t="s">
        <v>7</v>
      </c>
    </row>
    <row r="509" spans="1:244" x14ac:dyDescent="0.25">
      <c r="A509" s="7">
        <v>4.6861199116651235</v>
      </c>
      <c r="B509"/>
      <c r="C509"/>
      <c r="D509"/>
      <c r="E509"/>
      <c r="HU509" s="27" t="s">
        <v>8</v>
      </c>
      <c r="HV509" s="27" t="s">
        <v>7</v>
      </c>
      <c r="IG509" s="27" t="s">
        <v>8</v>
      </c>
      <c r="IH509" s="27" t="s">
        <v>7</v>
      </c>
      <c r="II509" s="27" t="s">
        <v>8</v>
      </c>
      <c r="IJ509" s="27" t="s">
        <v>7</v>
      </c>
    </row>
    <row r="510" spans="1:244" x14ac:dyDescent="0.25">
      <c r="A510" s="7">
        <v>4.5942352075148269</v>
      </c>
      <c r="B510"/>
      <c r="C510"/>
      <c r="D510"/>
      <c r="E510"/>
      <c r="HU510" s="27" t="s">
        <v>8</v>
      </c>
      <c r="HV510" s="27" t="s">
        <v>7</v>
      </c>
      <c r="IG510" s="27" t="s">
        <v>8</v>
      </c>
      <c r="IH510" s="27" t="s">
        <v>7</v>
      </c>
      <c r="II510" s="27" t="s">
        <v>8</v>
      </c>
      <c r="IJ510" s="27" t="s">
        <v>7</v>
      </c>
    </row>
    <row r="511" spans="1:244" x14ac:dyDescent="0.25">
      <c r="A511" s="7">
        <v>4.5041521642302227</v>
      </c>
      <c r="B511"/>
      <c r="C511"/>
      <c r="D511"/>
      <c r="E511"/>
      <c r="HU511" s="27" t="s">
        <v>8</v>
      </c>
      <c r="HV511" s="27" t="s">
        <v>7</v>
      </c>
      <c r="IG511" s="27" t="s">
        <v>8</v>
      </c>
      <c r="IH511" s="27" t="s">
        <v>7</v>
      </c>
      <c r="II511" s="27" t="s">
        <v>8</v>
      </c>
      <c r="IJ511" s="27" t="s">
        <v>7</v>
      </c>
    </row>
    <row r="512" spans="1:244" x14ac:dyDescent="0.25">
      <c r="A512" s="7">
        <v>4.4158354551276693</v>
      </c>
      <c r="B512"/>
      <c r="C512"/>
      <c r="D512"/>
      <c r="E512"/>
      <c r="HU512" s="27" t="s">
        <v>8</v>
      </c>
      <c r="HV512" s="27" t="s">
        <v>7</v>
      </c>
      <c r="IG512" s="27" t="s">
        <v>8</v>
      </c>
      <c r="IH512" s="27" t="s">
        <v>7</v>
      </c>
      <c r="IJ512" s="27" t="s">
        <v>7</v>
      </c>
    </row>
    <row r="513" spans="1:262" x14ac:dyDescent="0.25">
      <c r="A513" s="7">
        <v>4.3292504462035977</v>
      </c>
      <c r="B513"/>
      <c r="C513"/>
      <c r="D513"/>
      <c r="E513"/>
      <c r="HU513" s="27" t="s">
        <v>8</v>
      </c>
      <c r="HV513" s="27" t="s">
        <v>7</v>
      </c>
      <c r="IE513" s="27" t="s">
        <v>8</v>
      </c>
      <c r="IG513" s="27" t="s">
        <v>8</v>
      </c>
      <c r="IJ513" s="27" t="s">
        <v>7</v>
      </c>
    </row>
    <row r="514" spans="1:262" x14ac:dyDescent="0.25">
      <c r="A514" s="7">
        <v>4.2443631825525463</v>
      </c>
      <c r="B514"/>
      <c r="C514"/>
      <c r="D514"/>
      <c r="E514"/>
      <c r="HU514" s="27" t="s">
        <v>8</v>
      </c>
      <c r="HV514" s="27" t="s">
        <v>7</v>
      </c>
      <c r="IE514" s="27" t="s">
        <v>8</v>
      </c>
      <c r="IF514" s="27" t="s">
        <v>7</v>
      </c>
      <c r="IG514" s="27" t="s">
        <v>8</v>
      </c>
      <c r="IJ514" s="27" t="s">
        <v>7</v>
      </c>
    </row>
    <row r="515" spans="1:262" x14ac:dyDescent="0.25">
      <c r="A515" s="7">
        <v>4.1611403750515157</v>
      </c>
      <c r="B515"/>
      <c r="C515"/>
      <c r="D515"/>
      <c r="E515"/>
      <c r="HU515" s="27" t="s">
        <v>8</v>
      </c>
      <c r="HV515" s="27" t="s">
        <v>7</v>
      </c>
      <c r="IE515" s="27" t="s">
        <v>8</v>
      </c>
      <c r="IF515" s="27" t="s">
        <v>7</v>
      </c>
      <c r="IG515" s="27" t="s">
        <v>8</v>
      </c>
      <c r="IJ515" s="27" t="s">
        <v>7</v>
      </c>
      <c r="IK515" s="27" t="s">
        <v>8</v>
      </c>
    </row>
    <row r="516" spans="1:262" x14ac:dyDescent="0.25">
      <c r="A516" s="7">
        <v>4.0795493873054074</v>
      </c>
      <c r="B516"/>
      <c r="C516"/>
      <c r="D516"/>
      <c r="E516"/>
      <c r="HU516" s="27" t="s">
        <v>8</v>
      </c>
      <c r="HV516" s="27" t="s">
        <v>7</v>
      </c>
      <c r="IE516" s="27" t="s">
        <v>8</v>
      </c>
      <c r="IF516" s="27" t="s">
        <v>7</v>
      </c>
      <c r="IG516" s="27" t="s">
        <v>8</v>
      </c>
      <c r="IJ516" s="27" t="s">
        <v>7</v>
      </c>
      <c r="IK516" s="27" t="s">
        <v>8</v>
      </c>
      <c r="IL516" s="27" t="s">
        <v>7</v>
      </c>
      <c r="IM516" s="27" t="s">
        <v>8</v>
      </c>
    </row>
    <row r="517" spans="1:262" x14ac:dyDescent="0.25">
      <c r="A517" s="7">
        <v>3.9995582228484383</v>
      </c>
      <c r="B517"/>
      <c r="C517"/>
      <c r="D517"/>
      <c r="E517"/>
      <c r="HU517" s="27" t="s">
        <v>8</v>
      </c>
      <c r="HV517" s="27" t="s">
        <v>7</v>
      </c>
      <c r="IE517" s="27" t="s">
        <v>8</v>
      </c>
      <c r="IF517" s="27" t="s">
        <v>7</v>
      </c>
      <c r="IG517" s="27" t="s">
        <v>8</v>
      </c>
      <c r="IJ517" s="27" t="s">
        <v>7</v>
      </c>
      <c r="IK517" s="27" t="s">
        <v>8</v>
      </c>
      <c r="IL517" s="27" t="s">
        <v>7</v>
      </c>
      <c r="IM517" s="27" t="s">
        <v>8</v>
      </c>
      <c r="IN517" s="27" t="s">
        <v>7</v>
      </c>
    </row>
    <row r="518" spans="1:262" x14ac:dyDescent="0.25">
      <c r="A518" s="7">
        <v>3.9211355125965079</v>
      </c>
      <c r="B518"/>
      <c r="C518"/>
      <c r="D518"/>
      <c r="E518"/>
      <c r="HU518" s="27" t="s">
        <v>8</v>
      </c>
      <c r="HV518" s="27" t="s">
        <v>7</v>
      </c>
      <c r="IE518" s="27" t="s">
        <v>8</v>
      </c>
      <c r="IF518" s="27" t="s">
        <v>7</v>
      </c>
      <c r="IG518" s="27" t="s">
        <v>8</v>
      </c>
      <c r="IJ518" s="27" t="s">
        <v>7</v>
      </c>
      <c r="IK518" s="27" t="s">
        <v>8</v>
      </c>
      <c r="IL518" s="27" t="s">
        <v>7</v>
      </c>
      <c r="IM518" s="27" t="s">
        <v>8</v>
      </c>
      <c r="IN518" s="27" t="s">
        <v>7</v>
      </c>
      <c r="IW518" s="27" t="s">
        <v>8</v>
      </c>
    </row>
    <row r="519" spans="1:262" x14ac:dyDescent="0.25">
      <c r="A519" s="7">
        <v>3.844250502545596</v>
      </c>
      <c r="B519"/>
      <c r="C519"/>
      <c r="D519"/>
      <c r="E519"/>
      <c r="HU519" s="27" t="s">
        <v>8</v>
      </c>
      <c r="HV519" s="27" t="s">
        <v>7</v>
      </c>
      <c r="IE519" s="27" t="s">
        <v>8</v>
      </c>
      <c r="IF519" s="27" t="s">
        <v>7</v>
      </c>
      <c r="IG519" s="27" t="s">
        <v>8</v>
      </c>
      <c r="IJ519" s="27" t="s">
        <v>7</v>
      </c>
      <c r="IK519" s="27" t="s">
        <v>8</v>
      </c>
      <c r="IL519" s="27" t="s">
        <v>7</v>
      </c>
      <c r="IM519" s="27" t="s">
        <v>8</v>
      </c>
      <c r="IN519" s="27" t="s">
        <v>7</v>
      </c>
      <c r="IU519" s="27" t="s">
        <v>8</v>
      </c>
      <c r="IW519" s="27" t="s">
        <v>8</v>
      </c>
      <c r="IX519" s="27" t="s">
        <v>7</v>
      </c>
    </row>
    <row r="520" spans="1:262" x14ac:dyDescent="0.25">
      <c r="A520" s="7">
        <v>3.7688730417113687</v>
      </c>
      <c r="B520"/>
      <c r="C520"/>
      <c r="D520"/>
      <c r="E520"/>
      <c r="HU520" s="27" t="s">
        <v>8</v>
      </c>
      <c r="HV520" s="27" t="s">
        <v>7</v>
      </c>
      <c r="IA520" s="27" t="s">
        <v>8</v>
      </c>
      <c r="IE520" s="27" t="s">
        <v>8</v>
      </c>
      <c r="IF520" s="27" t="s">
        <v>7</v>
      </c>
      <c r="IG520" s="27" t="s">
        <v>8</v>
      </c>
      <c r="IJ520" s="27" t="s">
        <v>7</v>
      </c>
      <c r="IK520" s="27" t="s">
        <v>8</v>
      </c>
      <c r="IL520" s="27" t="s">
        <v>7</v>
      </c>
      <c r="IM520" s="27" t="s">
        <v>8</v>
      </c>
      <c r="IN520" s="27" t="s">
        <v>7</v>
      </c>
      <c r="IU520" s="27" t="s">
        <v>8</v>
      </c>
      <c r="IV520" s="27" t="s">
        <v>7</v>
      </c>
      <c r="IW520" s="27" t="s">
        <v>8</v>
      </c>
      <c r="IX520" s="27" t="s">
        <v>7</v>
      </c>
    </row>
    <row r="521" spans="1:262" x14ac:dyDescent="0.25">
      <c r="A521" s="7">
        <v>3.6949735703052635</v>
      </c>
      <c r="B521"/>
      <c r="C521"/>
      <c r="D521"/>
      <c r="E521"/>
      <c r="HU521" s="27" t="s">
        <v>8</v>
      </c>
      <c r="HV521" s="27" t="s">
        <v>7</v>
      </c>
      <c r="IA521" s="27" t="s">
        <v>8</v>
      </c>
      <c r="IB521" s="27" t="s">
        <v>7</v>
      </c>
      <c r="IE521" s="27" t="s">
        <v>8</v>
      </c>
      <c r="IF521" s="27" t="s">
        <v>7</v>
      </c>
      <c r="IG521" s="27" t="s">
        <v>8</v>
      </c>
      <c r="IJ521" s="27" t="s">
        <v>7</v>
      </c>
      <c r="IK521" s="27" t="s">
        <v>8</v>
      </c>
      <c r="IL521" s="27" t="s">
        <v>7</v>
      </c>
      <c r="IM521" s="27" t="s">
        <v>8</v>
      </c>
      <c r="IN521" s="27" t="s">
        <v>7</v>
      </c>
      <c r="IU521" s="27" t="s">
        <v>8</v>
      </c>
      <c r="IV521" s="27" t="s">
        <v>7</v>
      </c>
      <c r="IW521" s="27" t="s">
        <v>8</v>
      </c>
      <c r="IX521" s="27" t="s">
        <v>7</v>
      </c>
    </row>
    <row r="522" spans="1:262" x14ac:dyDescent="0.25">
      <c r="A522" s="7">
        <v>3.6225231081424152</v>
      </c>
      <c r="B522"/>
      <c r="C522"/>
      <c r="D522"/>
      <c r="E522"/>
      <c r="HU522" s="27" t="s">
        <v>8</v>
      </c>
      <c r="HV522" s="27" t="s">
        <v>7</v>
      </c>
      <c r="IA522" s="27" t="s">
        <v>8</v>
      </c>
      <c r="IB522" s="27" t="s">
        <v>7</v>
      </c>
      <c r="IE522" s="27" t="s">
        <v>8</v>
      </c>
      <c r="IF522" s="27" t="s">
        <v>7</v>
      </c>
      <c r="IG522" s="27" t="s">
        <v>8</v>
      </c>
      <c r="IJ522" s="27" t="s">
        <v>7</v>
      </c>
      <c r="IK522" s="27" t="s">
        <v>8</v>
      </c>
      <c r="IL522" s="27" t="s">
        <v>7</v>
      </c>
      <c r="IM522" s="27" t="s">
        <v>8</v>
      </c>
      <c r="IN522" s="27" t="s">
        <v>7</v>
      </c>
      <c r="IO522" s="27" t="s">
        <v>8</v>
      </c>
      <c r="IU522" s="27" t="s">
        <v>8</v>
      </c>
      <c r="IV522" s="27" t="s">
        <v>7</v>
      </c>
      <c r="IW522" s="27" t="s">
        <v>8</v>
      </c>
      <c r="IX522" s="27" t="s">
        <v>7</v>
      </c>
    </row>
    <row r="523" spans="1:262" x14ac:dyDescent="0.25">
      <c r="A523" s="7">
        <v>3.5514932432768775</v>
      </c>
      <c r="B523"/>
      <c r="C523"/>
      <c r="D523"/>
      <c r="E523"/>
      <c r="HU523" s="27" t="s">
        <v>8</v>
      </c>
      <c r="HV523" s="27" t="s">
        <v>7</v>
      </c>
      <c r="IA523" s="27" t="s">
        <v>8</v>
      </c>
      <c r="IB523" s="27" t="s">
        <v>7</v>
      </c>
      <c r="IE523" s="27" t="s">
        <v>8</v>
      </c>
      <c r="IF523" s="27" t="s">
        <v>7</v>
      </c>
      <c r="IJ523" s="27" t="s">
        <v>7</v>
      </c>
      <c r="IK523" s="27" t="s">
        <v>8</v>
      </c>
      <c r="IL523" s="27" t="s">
        <v>7</v>
      </c>
      <c r="IM523" s="27" t="s">
        <v>8</v>
      </c>
      <c r="IN523" s="27" t="s">
        <v>7</v>
      </c>
      <c r="IO523" s="27" t="s">
        <v>8</v>
      </c>
      <c r="IP523" s="27" t="s">
        <v>7</v>
      </c>
      <c r="IS523" s="27" t="s">
        <v>8</v>
      </c>
      <c r="IU523" s="27" t="s">
        <v>8</v>
      </c>
      <c r="IV523" s="27" t="s">
        <v>7</v>
      </c>
      <c r="IW523" s="27" t="s">
        <v>8</v>
      </c>
      <c r="IX523" s="27" t="s">
        <v>7</v>
      </c>
    </row>
    <row r="524" spans="1:262" x14ac:dyDescent="0.25">
      <c r="A524" s="7">
        <v>3.4818561208596837</v>
      </c>
      <c r="B524"/>
      <c r="C524"/>
      <c r="D524"/>
      <c r="E524"/>
      <c r="HU524" s="27" t="s">
        <v>8</v>
      </c>
      <c r="HV524" s="27" t="s">
        <v>7</v>
      </c>
      <c r="HW524" s="27" t="s">
        <v>8</v>
      </c>
      <c r="IA524" s="27" t="s">
        <v>8</v>
      </c>
      <c r="IB524" s="27" t="s">
        <v>7</v>
      </c>
      <c r="IC524" s="27" t="s">
        <v>8</v>
      </c>
      <c r="IE524" s="27" t="s">
        <v>8</v>
      </c>
      <c r="IJ524" s="27" t="s">
        <v>7</v>
      </c>
      <c r="IK524" s="27" t="s">
        <v>8</v>
      </c>
      <c r="IL524" s="27" t="s">
        <v>7</v>
      </c>
      <c r="IM524" s="27" t="s">
        <v>8</v>
      </c>
      <c r="IN524" s="27" t="s">
        <v>7</v>
      </c>
      <c r="IO524" s="27" t="s">
        <v>8</v>
      </c>
      <c r="IP524" s="27" t="s">
        <v>7</v>
      </c>
      <c r="IS524" s="27" t="s">
        <v>8</v>
      </c>
      <c r="IT524" s="27" t="s">
        <v>7</v>
      </c>
      <c r="IU524" s="27" t="s">
        <v>8</v>
      </c>
      <c r="IV524" s="27" t="s">
        <v>7</v>
      </c>
      <c r="IX524" s="27" t="s">
        <v>7</v>
      </c>
    </row>
    <row r="525" spans="1:262" x14ac:dyDescent="0.25">
      <c r="A525" s="7">
        <v>3.4135844322153761</v>
      </c>
      <c r="B525"/>
      <c r="C525"/>
      <c r="D525"/>
      <c r="E525"/>
      <c r="HU525" s="27" t="s">
        <v>8</v>
      </c>
      <c r="HV525" s="27" t="s">
        <v>7</v>
      </c>
      <c r="HW525" s="27" t="s">
        <v>8</v>
      </c>
      <c r="HX525" s="27" t="s">
        <v>7</v>
      </c>
      <c r="IA525" s="27" t="s">
        <v>8</v>
      </c>
      <c r="IB525" s="27" t="s">
        <v>7</v>
      </c>
      <c r="IC525" s="27" t="s">
        <v>8</v>
      </c>
      <c r="ID525" s="27" t="s">
        <v>7</v>
      </c>
      <c r="IE525" s="27" t="s">
        <v>8</v>
      </c>
      <c r="IJ525" s="27" t="s">
        <v>7</v>
      </c>
      <c r="IK525" s="27" t="s">
        <v>8</v>
      </c>
      <c r="IL525" s="27" t="s">
        <v>7</v>
      </c>
      <c r="IM525" s="27" t="s">
        <v>8</v>
      </c>
      <c r="IN525" s="27" t="s">
        <v>7</v>
      </c>
      <c r="IO525" s="27" t="s">
        <v>8</v>
      </c>
      <c r="IP525" s="27" t="s">
        <v>7</v>
      </c>
      <c r="IQ525" s="27" t="s">
        <v>8</v>
      </c>
      <c r="IS525" s="27" t="s">
        <v>8</v>
      </c>
      <c r="IT525" s="27" t="s">
        <v>7</v>
      </c>
      <c r="IU525" s="27" t="s">
        <v>8</v>
      </c>
      <c r="IX525" s="27" t="s">
        <v>7</v>
      </c>
      <c r="IY525" s="27" t="s">
        <v>8</v>
      </c>
      <c r="JA525" s="27" t="s">
        <v>8</v>
      </c>
    </row>
    <row r="526" spans="1:262" x14ac:dyDescent="0.25">
      <c r="A526" s="7">
        <v>3.3466514041327216</v>
      </c>
      <c r="B526"/>
      <c r="C526"/>
      <c r="D526"/>
      <c r="E526"/>
      <c r="HU526" s="27" t="s">
        <v>8</v>
      </c>
      <c r="HV526" s="27" t="s">
        <v>7</v>
      </c>
      <c r="HW526" s="27" t="s">
        <v>8</v>
      </c>
      <c r="HX526" s="27" t="s">
        <v>7</v>
      </c>
      <c r="IA526" s="27" t="s">
        <v>8</v>
      </c>
      <c r="IB526" s="27" t="s">
        <v>7</v>
      </c>
      <c r="IC526" s="27" t="s">
        <v>8</v>
      </c>
      <c r="ID526" s="27" t="s">
        <v>7</v>
      </c>
      <c r="IE526" s="27" t="s">
        <v>8</v>
      </c>
      <c r="IJ526" s="27" t="s">
        <v>7</v>
      </c>
      <c r="IK526" s="27" t="s">
        <v>8</v>
      </c>
      <c r="IL526" s="27" t="s">
        <v>7</v>
      </c>
      <c r="IM526" s="27" t="s">
        <v>8</v>
      </c>
      <c r="IN526" s="27" t="s">
        <v>7</v>
      </c>
      <c r="IO526" s="27" t="s">
        <v>8</v>
      </c>
      <c r="IP526" s="27" t="s">
        <v>7</v>
      </c>
      <c r="IQ526" s="27" t="s">
        <v>8</v>
      </c>
      <c r="IR526" s="27" t="s">
        <v>7</v>
      </c>
      <c r="IS526" s="27" t="s">
        <v>8</v>
      </c>
      <c r="IT526" s="27" t="s">
        <v>7</v>
      </c>
      <c r="IU526" s="27" t="s">
        <v>8</v>
      </c>
      <c r="IX526" s="27" t="s">
        <v>7</v>
      </c>
      <c r="IY526" s="27" t="s">
        <v>8</v>
      </c>
      <c r="IZ526" s="27" t="s">
        <v>7</v>
      </c>
      <c r="JA526" s="27" t="s">
        <v>8</v>
      </c>
      <c r="JB526" s="27" t="s">
        <v>7</v>
      </c>
    </row>
    <row r="527" spans="1:262" x14ac:dyDescent="0.25">
      <c r="A527" s="7">
        <v>3.2810307883654133</v>
      </c>
      <c r="B527"/>
      <c r="C527"/>
      <c r="D527"/>
      <c r="E527"/>
      <c r="HU527" s="27" t="s">
        <v>8</v>
      </c>
      <c r="HV527" s="27" t="s">
        <v>7</v>
      </c>
      <c r="HW527" s="27" t="s">
        <v>8</v>
      </c>
      <c r="HX527" s="27" t="s">
        <v>7</v>
      </c>
      <c r="IA527" s="27" t="s">
        <v>8</v>
      </c>
      <c r="IB527" s="27" t="s">
        <v>7</v>
      </c>
      <c r="IC527" s="27" t="s">
        <v>8</v>
      </c>
      <c r="ID527" s="27" t="s">
        <v>7</v>
      </c>
      <c r="IE527" s="27" t="s">
        <v>8</v>
      </c>
      <c r="IJ527" s="27" t="s">
        <v>7</v>
      </c>
      <c r="IK527" s="27" t="s">
        <v>8</v>
      </c>
      <c r="IL527" s="27" t="s">
        <v>7</v>
      </c>
      <c r="IN527" s="27" t="s">
        <v>7</v>
      </c>
      <c r="IO527" s="27" t="s">
        <v>8</v>
      </c>
      <c r="IP527" s="27" t="s">
        <v>7</v>
      </c>
      <c r="IQ527" s="27" t="s">
        <v>8</v>
      </c>
      <c r="IR527" s="27" t="s">
        <v>7</v>
      </c>
      <c r="IS527" s="27" t="s">
        <v>8</v>
      </c>
      <c r="IT527" s="27" t="s">
        <v>7</v>
      </c>
      <c r="IU527" s="27" t="s">
        <v>8</v>
      </c>
      <c r="IX527" s="27" t="s">
        <v>7</v>
      </c>
      <c r="IY527" s="27" t="s">
        <v>8</v>
      </c>
      <c r="IZ527" s="27" t="s">
        <v>7</v>
      </c>
      <c r="JA527" s="27" t="s">
        <v>8</v>
      </c>
      <c r="JB527" s="27" t="s">
        <v>7</v>
      </c>
    </row>
    <row r="528" spans="1:262" x14ac:dyDescent="0.25">
      <c r="A528" s="7">
        <v>3.2166968513386403</v>
      </c>
      <c r="B528"/>
      <c r="C528"/>
      <c r="D528"/>
      <c r="E528"/>
      <c r="HU528" s="27" t="s">
        <v>8</v>
      </c>
      <c r="HV528" s="27" t="s">
        <v>7</v>
      </c>
      <c r="HW528" s="27" t="s">
        <v>8</v>
      </c>
      <c r="HX528" s="27" t="s">
        <v>7</v>
      </c>
      <c r="IA528" s="27" t="s">
        <v>8</v>
      </c>
      <c r="IB528" s="27" t="s">
        <v>7</v>
      </c>
      <c r="IC528" s="27" t="s">
        <v>8</v>
      </c>
      <c r="ID528" s="27" t="s">
        <v>7</v>
      </c>
      <c r="IE528" s="27" t="s">
        <v>8</v>
      </c>
      <c r="IJ528" s="27" t="s">
        <v>7</v>
      </c>
      <c r="IK528" s="27" t="s">
        <v>8</v>
      </c>
      <c r="IN528" s="27" t="s">
        <v>7</v>
      </c>
      <c r="IP528" s="27" t="s">
        <v>7</v>
      </c>
      <c r="IQ528" s="27" t="s">
        <v>8</v>
      </c>
      <c r="IR528" s="27" t="s">
        <v>7</v>
      </c>
      <c r="IS528" s="27" t="s">
        <v>8</v>
      </c>
      <c r="IT528" s="27" t="s">
        <v>7</v>
      </c>
      <c r="IU528" s="27" t="s">
        <v>8</v>
      </c>
      <c r="IX528" s="27" t="s">
        <v>7</v>
      </c>
      <c r="IZ528" s="27" t="s">
        <v>7</v>
      </c>
      <c r="JA528" s="27" t="s">
        <v>8</v>
      </c>
      <c r="JB528" s="27" t="s">
        <v>7</v>
      </c>
    </row>
    <row r="529" spans="1:271" x14ac:dyDescent="0.25">
      <c r="A529" s="7">
        <v>3.1536243640574906</v>
      </c>
      <c r="B529"/>
      <c r="C529"/>
      <c r="D529"/>
      <c r="E529"/>
      <c r="HU529" s="27" t="s">
        <v>8</v>
      </c>
      <c r="HV529" s="27" t="s">
        <v>7</v>
      </c>
      <c r="HW529" s="27" t="s">
        <v>8</v>
      </c>
      <c r="HX529" s="27" t="s">
        <v>7</v>
      </c>
      <c r="IA529" s="27" t="s">
        <v>8</v>
      </c>
      <c r="IB529" s="27" t="s">
        <v>7</v>
      </c>
      <c r="ID529" s="27" t="s">
        <v>7</v>
      </c>
      <c r="IE529" s="27" t="s">
        <v>8</v>
      </c>
      <c r="IJ529" s="27" t="s">
        <v>7</v>
      </c>
      <c r="IK529" s="27" t="s">
        <v>8</v>
      </c>
      <c r="IP529" s="27" t="s">
        <v>7</v>
      </c>
      <c r="IQ529" s="27" t="s">
        <v>8</v>
      </c>
      <c r="IR529" s="27" t="s">
        <v>7</v>
      </c>
      <c r="IS529" s="27" t="s">
        <v>8</v>
      </c>
      <c r="IT529" s="27" t="s">
        <v>7</v>
      </c>
      <c r="IU529" s="27" t="s">
        <v>8</v>
      </c>
      <c r="IZ529" s="27" t="s">
        <v>7</v>
      </c>
      <c r="JA529" s="27" t="s">
        <v>8</v>
      </c>
      <c r="JB529" s="27" t="s">
        <v>7</v>
      </c>
      <c r="JG529" s="27" t="s">
        <v>8</v>
      </c>
    </row>
    <row r="530" spans="1:271" x14ac:dyDescent="0.25">
      <c r="A530" s="7">
        <v>3.0917885922132262</v>
      </c>
      <c r="B530"/>
      <c r="C530"/>
      <c r="D530"/>
      <c r="E530"/>
      <c r="HU530" s="27" t="s">
        <v>8</v>
      </c>
      <c r="HV530" s="27" t="s">
        <v>7</v>
      </c>
      <c r="HW530" s="27" t="s">
        <v>8</v>
      </c>
      <c r="HX530" s="27" t="s">
        <v>7</v>
      </c>
      <c r="IA530" s="27" t="s">
        <v>8</v>
      </c>
      <c r="ID530" s="27" t="s">
        <v>7</v>
      </c>
      <c r="IE530" s="27" t="s">
        <v>8</v>
      </c>
      <c r="IJ530" s="27" t="s">
        <v>7</v>
      </c>
      <c r="IK530" s="27" t="s">
        <v>8</v>
      </c>
      <c r="IP530" s="27" t="s">
        <v>7</v>
      </c>
      <c r="IQ530" s="27" t="s">
        <v>8</v>
      </c>
      <c r="IR530" s="27" t="s">
        <v>7</v>
      </c>
      <c r="IS530" s="27" t="s">
        <v>8</v>
      </c>
      <c r="IT530" s="27" t="s">
        <v>7</v>
      </c>
      <c r="IU530" s="27" t="s">
        <v>8</v>
      </c>
      <c r="IZ530" s="27" t="s">
        <v>7</v>
      </c>
      <c r="JA530" s="27" t="s">
        <v>8</v>
      </c>
      <c r="JB530" s="27" t="s">
        <v>7</v>
      </c>
      <c r="JE530" s="27" t="s">
        <v>8</v>
      </c>
      <c r="JG530" s="27" t="s">
        <v>8</v>
      </c>
      <c r="JH530" s="27" t="s">
        <v>7</v>
      </c>
    </row>
    <row r="531" spans="1:271" x14ac:dyDescent="0.25">
      <c r="A531" s="7">
        <v>3.0311652864835552</v>
      </c>
      <c r="B531"/>
      <c r="C531"/>
      <c r="D531"/>
      <c r="E531"/>
      <c r="HU531" s="27" t="s">
        <v>8</v>
      </c>
      <c r="HV531" s="27" t="s">
        <v>7</v>
      </c>
      <c r="HW531" s="27" t="s">
        <v>8</v>
      </c>
      <c r="HX531" s="27" t="s">
        <v>7</v>
      </c>
      <c r="HY531" s="27" t="s">
        <v>8</v>
      </c>
      <c r="IA531" s="27" t="s">
        <v>8</v>
      </c>
      <c r="ID531" s="27" t="s">
        <v>7</v>
      </c>
      <c r="IE531" s="27" t="s">
        <v>8</v>
      </c>
      <c r="IJ531" s="27" t="s">
        <v>7</v>
      </c>
      <c r="IK531" s="27" t="s">
        <v>8</v>
      </c>
      <c r="IP531" s="27" t="s">
        <v>7</v>
      </c>
      <c r="IQ531" s="27" t="s">
        <v>8</v>
      </c>
      <c r="IR531" s="27" t="s">
        <v>7</v>
      </c>
      <c r="IS531" s="27" t="s">
        <v>8</v>
      </c>
      <c r="IT531" s="27" t="s">
        <v>7</v>
      </c>
      <c r="IZ531" s="27" t="s">
        <v>7</v>
      </c>
      <c r="JA531" s="27" t="s">
        <v>8</v>
      </c>
      <c r="JB531" s="27" t="s">
        <v>7</v>
      </c>
      <c r="JC531" s="27" t="s">
        <v>8</v>
      </c>
      <c r="JE531" s="27" t="s">
        <v>8</v>
      </c>
      <c r="JF531" s="27" t="s">
        <v>7</v>
      </c>
      <c r="JG531" s="27" t="s">
        <v>8</v>
      </c>
      <c r="JH531" s="27" t="s">
        <v>7</v>
      </c>
    </row>
    <row r="532" spans="1:271" x14ac:dyDescent="0.25">
      <c r="A532" s="7">
        <v>2.9717306730230932</v>
      </c>
      <c r="B532"/>
      <c r="C532"/>
      <c r="D532"/>
      <c r="E532"/>
      <c r="HU532" s="27" t="s">
        <v>8</v>
      </c>
      <c r="HV532" s="27" t="s">
        <v>7</v>
      </c>
      <c r="HW532" s="27" t="s">
        <v>8</v>
      </c>
      <c r="HX532" s="27" t="s">
        <v>7</v>
      </c>
      <c r="HY532" s="27" t="s">
        <v>8</v>
      </c>
      <c r="HZ532" s="27" t="s">
        <v>7</v>
      </c>
      <c r="IA532" s="27" t="s">
        <v>8</v>
      </c>
      <c r="ID532" s="27" t="s">
        <v>7</v>
      </c>
      <c r="IE532" s="27" t="s">
        <v>8</v>
      </c>
      <c r="IJ532" s="27" t="s">
        <v>7</v>
      </c>
      <c r="IK532" s="27" t="s">
        <v>8</v>
      </c>
      <c r="IP532" s="27" t="s">
        <v>7</v>
      </c>
      <c r="IR532" s="27" t="s">
        <v>7</v>
      </c>
      <c r="IZ532" s="27" t="s">
        <v>7</v>
      </c>
      <c r="JA532" s="27" t="s">
        <v>8</v>
      </c>
      <c r="JB532" s="27" t="s">
        <v>7</v>
      </c>
      <c r="JC532" s="27" t="s">
        <v>8</v>
      </c>
      <c r="JD532" s="27" t="s">
        <v>7</v>
      </c>
      <c r="JE532" s="27" t="s">
        <v>8</v>
      </c>
      <c r="JF532" s="27" t="s">
        <v>7</v>
      </c>
      <c r="JG532" s="27" t="s">
        <v>8</v>
      </c>
      <c r="JH532" s="27" t="s">
        <v>7</v>
      </c>
    </row>
    <row r="533" spans="1:271" x14ac:dyDescent="0.25">
      <c r="A533" s="7">
        <v>2.9134614441402875</v>
      </c>
      <c r="B533"/>
      <c r="C533"/>
      <c r="D533"/>
      <c r="E533"/>
      <c r="HU533" s="27" t="s">
        <v>8</v>
      </c>
      <c r="HV533" s="27" t="s">
        <v>7</v>
      </c>
      <c r="HW533" s="27" t="s">
        <v>8</v>
      </c>
      <c r="HX533" s="27" t="s">
        <v>7</v>
      </c>
      <c r="HY533" s="27" t="s">
        <v>8</v>
      </c>
      <c r="HZ533" s="27" t="s">
        <v>7</v>
      </c>
      <c r="IA533" s="27" t="s">
        <v>8</v>
      </c>
      <c r="ID533" s="27" t="s">
        <v>7</v>
      </c>
      <c r="IE533" s="27" t="s">
        <v>8</v>
      </c>
      <c r="IJ533" s="27" t="s">
        <v>7</v>
      </c>
      <c r="IK533" s="27" t="s">
        <v>8</v>
      </c>
      <c r="IZ533" s="27" t="s">
        <v>7</v>
      </c>
      <c r="JA533" s="27" t="s">
        <v>8</v>
      </c>
      <c r="JB533" s="27" t="s">
        <v>7</v>
      </c>
      <c r="JC533" s="27" t="s">
        <v>8</v>
      </c>
      <c r="JD533" s="27" t="s">
        <v>7</v>
      </c>
      <c r="JE533" s="27" t="s">
        <v>8</v>
      </c>
      <c r="JF533" s="27" t="s">
        <v>7</v>
      </c>
      <c r="JG533" s="27" t="s">
        <v>8</v>
      </c>
      <c r="JH533" s="27" t="s">
        <v>7</v>
      </c>
    </row>
    <row r="534" spans="1:271" x14ac:dyDescent="0.25">
      <c r="A534" s="7">
        <v>2.8563347491571447</v>
      </c>
      <c r="B534"/>
      <c r="C534"/>
      <c r="D534"/>
      <c r="E534"/>
      <c r="HU534" s="27" t="s">
        <v>8</v>
      </c>
      <c r="HV534" s="27" t="s">
        <v>7</v>
      </c>
      <c r="HW534" s="27" t="s">
        <v>8</v>
      </c>
      <c r="HX534" s="27" t="s">
        <v>7</v>
      </c>
      <c r="HY534" s="27" t="s">
        <v>8</v>
      </c>
      <c r="HZ534" s="27" t="s">
        <v>7</v>
      </c>
      <c r="IA534" s="27" t="s">
        <v>8</v>
      </c>
      <c r="ID534" s="27" t="s">
        <v>7</v>
      </c>
      <c r="IE534" s="27" t="s">
        <v>8</v>
      </c>
      <c r="IJ534" s="27" t="s">
        <v>7</v>
      </c>
      <c r="IK534" s="27" t="s">
        <v>8</v>
      </c>
      <c r="IZ534" s="27" t="s">
        <v>7</v>
      </c>
      <c r="JA534" s="27" t="s">
        <v>8</v>
      </c>
      <c r="JB534" s="27" t="s">
        <v>7</v>
      </c>
      <c r="JD534" s="27" t="s">
        <v>7</v>
      </c>
      <c r="JE534" s="27" t="s">
        <v>8</v>
      </c>
      <c r="JF534" s="27" t="s">
        <v>7</v>
      </c>
      <c r="JH534" s="27" t="s">
        <v>7</v>
      </c>
    </row>
    <row r="535" spans="1:271" x14ac:dyDescent="0.25">
      <c r="A535" s="7">
        <v>2.8003281854481812</v>
      </c>
      <c r="B535"/>
      <c r="C535"/>
      <c r="D535"/>
      <c r="E535"/>
      <c r="HU535" s="27" t="s">
        <v>8</v>
      </c>
      <c r="HV535" s="27" t="s">
        <v>7</v>
      </c>
      <c r="HW535" s="27" t="s">
        <v>8</v>
      </c>
      <c r="HX535" s="27" t="s">
        <v>7</v>
      </c>
      <c r="HY535" s="27" t="s">
        <v>8</v>
      </c>
      <c r="HZ535" s="27" t="s">
        <v>7</v>
      </c>
      <c r="IA535" s="27" t="s">
        <v>8</v>
      </c>
      <c r="ID535" s="27" t="s">
        <v>7</v>
      </c>
      <c r="IE535" s="27" t="s">
        <v>8</v>
      </c>
      <c r="IJ535" s="27" t="s">
        <v>7</v>
      </c>
      <c r="IK535" s="27" t="s">
        <v>8</v>
      </c>
      <c r="IZ535" s="27" t="s">
        <v>7</v>
      </c>
      <c r="JA535" s="27" t="s">
        <v>8</v>
      </c>
      <c r="JD535" s="27" t="s">
        <v>7</v>
      </c>
      <c r="JE535" s="27" t="s">
        <v>8</v>
      </c>
      <c r="JH535" s="27" t="s">
        <v>7</v>
      </c>
    </row>
    <row r="536" spans="1:271" x14ac:dyDescent="0.25">
      <c r="A536" s="7">
        <v>2.7454197896550796</v>
      </c>
      <c r="B536"/>
      <c r="C536"/>
      <c r="D536"/>
      <c r="E536"/>
      <c r="HU536" s="27" t="s">
        <v>8</v>
      </c>
      <c r="HV536" s="27" t="s">
        <v>7</v>
      </c>
      <c r="HW536" s="27" t="s">
        <v>8</v>
      </c>
      <c r="HX536" s="27" t="s">
        <v>7</v>
      </c>
      <c r="HY536" s="27" t="s">
        <v>8</v>
      </c>
      <c r="HZ536" s="27" t="s">
        <v>7</v>
      </c>
      <c r="IA536" s="27" t="s">
        <v>8</v>
      </c>
      <c r="ID536" s="27" t="s">
        <v>7</v>
      </c>
      <c r="IJ536" s="27" t="s">
        <v>7</v>
      </c>
      <c r="IK536" s="27" t="s">
        <v>8</v>
      </c>
      <c r="IZ536" s="27" t="s">
        <v>7</v>
      </c>
      <c r="JA536" s="27" t="s">
        <v>8</v>
      </c>
      <c r="JD536" s="27" t="s">
        <v>7</v>
      </c>
      <c r="JE536" s="27" t="s">
        <v>8</v>
      </c>
      <c r="JH536" s="27" t="s">
        <v>7</v>
      </c>
    </row>
    <row r="537" spans="1:271" x14ac:dyDescent="0.25">
      <c r="A537" s="7">
        <v>2.6915880290736074</v>
      </c>
      <c r="B537"/>
      <c r="C537"/>
      <c r="D537"/>
      <c r="E537"/>
      <c r="HU537" s="27" t="s">
        <v>8</v>
      </c>
      <c r="HV537" s="27" t="s">
        <v>7</v>
      </c>
      <c r="HW537" s="27" t="s">
        <v>8</v>
      </c>
      <c r="HX537" s="27" t="s">
        <v>7</v>
      </c>
      <c r="HY537" s="27" t="s">
        <v>8</v>
      </c>
      <c r="HZ537" s="27" t="s">
        <v>7</v>
      </c>
      <c r="IA537" s="27" t="s">
        <v>8</v>
      </c>
      <c r="IJ537" s="27" t="s">
        <v>7</v>
      </c>
      <c r="IK537" s="27" t="s">
        <v>8</v>
      </c>
      <c r="IZ537" s="27" t="s">
        <v>7</v>
      </c>
      <c r="JD537" s="27" t="s">
        <v>7</v>
      </c>
      <c r="JE537" s="27" t="s">
        <v>8</v>
      </c>
      <c r="JH537" s="27" t="s">
        <v>7</v>
      </c>
    </row>
    <row r="538" spans="1:271" x14ac:dyDescent="0.25">
      <c r="A538" s="7">
        <v>2.6388117932094191</v>
      </c>
      <c r="B538"/>
      <c r="C538"/>
      <c r="D538"/>
      <c r="E538"/>
      <c r="HU538" s="27" t="s">
        <v>8</v>
      </c>
      <c r="HV538" s="27" t="s">
        <v>7</v>
      </c>
      <c r="HW538" s="27" t="s">
        <v>8</v>
      </c>
      <c r="HX538" s="27" t="s">
        <v>7</v>
      </c>
      <c r="HY538" s="27" t="s">
        <v>8</v>
      </c>
      <c r="HZ538" s="27" t="s">
        <v>7</v>
      </c>
      <c r="IA538" s="27" t="s">
        <v>8</v>
      </c>
      <c r="IJ538" s="27" t="s">
        <v>7</v>
      </c>
      <c r="IK538" s="27" t="s">
        <v>8</v>
      </c>
      <c r="JD538" s="27" t="s">
        <v>7</v>
      </c>
      <c r="JH538" s="27" t="s">
        <v>7</v>
      </c>
    </row>
    <row r="539" spans="1:271" x14ac:dyDescent="0.25">
      <c r="A539" s="7">
        <v>2.5870703854994304</v>
      </c>
      <c r="B539"/>
      <c r="C539"/>
      <c r="D539"/>
      <c r="E539"/>
      <c r="HU539" s="27" t="s">
        <v>8</v>
      </c>
      <c r="HV539" s="27" t="s">
        <v>7</v>
      </c>
      <c r="HX539" s="27" t="s">
        <v>7</v>
      </c>
      <c r="HY539" s="27" t="s">
        <v>8</v>
      </c>
      <c r="HZ539" s="27" t="s">
        <v>7</v>
      </c>
      <c r="IA539" s="27" t="s">
        <v>8</v>
      </c>
      <c r="IJ539" s="27" t="s">
        <v>7</v>
      </c>
      <c r="IK539" s="27" t="s">
        <v>8</v>
      </c>
      <c r="JH539" s="27" t="s">
        <v>7</v>
      </c>
    </row>
    <row r="540" spans="1:271" x14ac:dyDescent="0.25">
      <c r="A540" s="7">
        <v>2.53634351519552</v>
      </c>
      <c r="B540"/>
      <c r="C540"/>
      <c r="D540"/>
      <c r="E540"/>
      <c r="HU540" s="27" t="s">
        <v>8</v>
      </c>
      <c r="HX540" s="27" t="s">
        <v>7</v>
      </c>
      <c r="HY540" s="27" t="s">
        <v>8</v>
      </c>
      <c r="HZ540" s="27" t="s">
        <v>7</v>
      </c>
      <c r="IA540" s="27" t="s">
        <v>8</v>
      </c>
      <c r="IJ540" s="27" t="s">
        <v>7</v>
      </c>
      <c r="JH540" s="27" t="s">
        <v>7</v>
      </c>
    </row>
    <row r="541" spans="1:271" x14ac:dyDescent="0.25">
      <c r="A541" s="7">
        <v>2.4866112894073726</v>
      </c>
      <c r="B541"/>
      <c r="C541"/>
      <c r="D541"/>
      <c r="E541"/>
      <c r="HU541" s="27" t="s">
        <v>8</v>
      </c>
      <c r="HX541" s="27" t="s">
        <v>7</v>
      </c>
      <c r="HY541" s="27" t="s">
        <v>8</v>
      </c>
      <c r="HZ541" s="27" t="s">
        <v>7</v>
      </c>
      <c r="IA541" s="27" t="s">
        <v>8</v>
      </c>
      <c r="JH541" s="27" t="s">
        <v>7</v>
      </c>
    </row>
    <row r="542" spans="1:271" x14ac:dyDescent="0.25">
      <c r="A542" s="7">
        <v>2.4378542053013459</v>
      </c>
      <c r="B542"/>
      <c r="C542"/>
      <c r="D542"/>
      <c r="E542"/>
      <c r="HU542" s="27" t="s">
        <v>8</v>
      </c>
      <c r="HX542" s="27" t="s">
        <v>7</v>
      </c>
      <c r="HY542" s="27" t="s">
        <v>8</v>
      </c>
      <c r="HZ542" s="27" t="s">
        <v>7</v>
      </c>
      <c r="IA542" s="27" t="s">
        <v>8</v>
      </c>
      <c r="JH542" s="27" t="s">
        <v>7</v>
      </c>
    </row>
    <row r="543" spans="1:271" x14ac:dyDescent="0.25">
      <c r="A543" s="7">
        <v>2.3900531424522997</v>
      </c>
      <c r="B543"/>
      <c r="C543"/>
      <c r="D543"/>
      <c r="E543"/>
      <c r="HU543" s="27" t="s">
        <v>8</v>
      </c>
      <c r="HX543" s="27" t="s">
        <v>7</v>
      </c>
      <c r="HY543" s="27" t="s">
        <v>8</v>
      </c>
      <c r="HZ543" s="27" t="s">
        <v>7</v>
      </c>
      <c r="IA543" s="27" t="s">
        <v>8</v>
      </c>
      <c r="JH543" s="27" t="s">
        <v>7</v>
      </c>
    </row>
    <row r="544" spans="1:271" x14ac:dyDescent="0.25">
      <c r="A544" s="7">
        <v>2.343189355345392</v>
      </c>
      <c r="B544"/>
      <c r="C544"/>
      <c r="D544"/>
      <c r="E544"/>
      <c r="HU544" s="27" t="s">
        <v>8</v>
      </c>
      <c r="HX544" s="27" t="s">
        <v>7</v>
      </c>
      <c r="HZ544" s="27" t="s">
        <v>7</v>
      </c>
      <c r="IA544" s="27" t="s">
        <v>8</v>
      </c>
      <c r="JH544" s="27" t="s">
        <v>7</v>
      </c>
      <c r="JK544" s="27" t="s">
        <v>8</v>
      </c>
    </row>
    <row r="545" spans="1:272" x14ac:dyDescent="0.25">
      <c r="A545" s="7">
        <v>2.2972444660248938</v>
      </c>
      <c r="B545"/>
      <c r="C545"/>
      <c r="D545"/>
      <c r="E545"/>
      <c r="HU545" s="27" t="s">
        <v>8</v>
      </c>
      <c r="HZ545" s="27" t="s">
        <v>7</v>
      </c>
      <c r="IA545" s="27" t="s">
        <v>8</v>
      </c>
      <c r="JH545" s="27" t="s">
        <v>7</v>
      </c>
      <c r="JK545" s="27" t="s">
        <v>8</v>
      </c>
      <c r="JL545" s="27" t="s">
        <v>7</v>
      </c>
    </row>
    <row r="546" spans="1:272" x14ac:dyDescent="0.25">
      <c r="A546" s="7">
        <v>2.252200456887151</v>
      </c>
      <c r="B546"/>
      <c r="C546"/>
      <c r="D546"/>
      <c r="E546"/>
      <c r="HU546" s="27" t="s">
        <v>8</v>
      </c>
      <c r="HZ546" s="27" t="s">
        <v>7</v>
      </c>
      <c r="IA546" s="27" t="s">
        <v>8</v>
      </c>
      <c r="JH546" s="27" t="s">
        <v>7</v>
      </c>
      <c r="JK546" s="27" t="s">
        <v>8</v>
      </c>
      <c r="JL546" s="27" t="s">
        <v>7</v>
      </c>
    </row>
    <row r="547" spans="1:272" x14ac:dyDescent="0.25">
      <c r="A547" s="7">
        <v>2.208039663614854</v>
      </c>
      <c r="B547"/>
      <c r="C547"/>
      <c r="D547"/>
      <c r="E547"/>
      <c r="HU547" s="27" t="s">
        <v>8</v>
      </c>
      <c r="HZ547" s="27" t="s">
        <v>7</v>
      </c>
      <c r="JH547" s="27" t="s">
        <v>7</v>
      </c>
      <c r="JK547" s="27" t="s">
        <v>8</v>
      </c>
      <c r="JL547" s="27" t="s">
        <v>7</v>
      </c>
    </row>
    <row r="548" spans="1:272" x14ac:dyDescent="0.25">
      <c r="A548" s="7">
        <v>2.1647447682498568</v>
      </c>
      <c r="B548"/>
      <c r="C548"/>
      <c r="D548"/>
      <c r="E548"/>
      <c r="HU548" s="27" t="s">
        <v>8</v>
      </c>
      <c r="JH548" s="27" t="s">
        <v>7</v>
      </c>
      <c r="JK548" s="27" t="s">
        <v>8</v>
      </c>
      <c r="JL548" s="27" t="s">
        <v>7</v>
      </c>
    </row>
    <row r="549" spans="1:272" x14ac:dyDescent="0.25">
      <c r="A549" s="7">
        <v>2.1222987924018204</v>
      </c>
      <c r="B549"/>
      <c r="C549"/>
      <c r="D549"/>
      <c r="E549"/>
      <c r="HU549" s="27" t="s">
        <v>8</v>
      </c>
      <c r="JH549" s="27" t="s">
        <v>7</v>
      </c>
      <c r="JI549" s="27" t="s">
        <v>8</v>
      </c>
      <c r="JK549" s="27" t="s">
        <v>8</v>
      </c>
      <c r="JL549" s="27" t="s">
        <v>7</v>
      </c>
    </row>
    <row r="550" spans="1:272" x14ac:dyDescent="0.25">
      <c r="A550" s="7">
        <v>2.0806850905900198</v>
      </c>
      <c r="B550"/>
      <c r="C550"/>
      <c r="D550"/>
      <c r="E550"/>
      <c r="HU550" s="27" t="s">
        <v>8</v>
      </c>
      <c r="JH550" s="27" t="s">
        <v>7</v>
      </c>
      <c r="JI550" s="27" t="s">
        <v>8</v>
      </c>
      <c r="JJ550" s="27" t="s">
        <v>7</v>
      </c>
      <c r="JK550" s="27" t="s">
        <v>8</v>
      </c>
    </row>
    <row r="551" spans="1:272" x14ac:dyDescent="0.25">
      <c r="A551" s="7">
        <v>2.0398873437157055</v>
      </c>
      <c r="B551"/>
      <c r="C551"/>
      <c r="D551"/>
      <c r="E551"/>
      <c r="HU551" s="27" t="s">
        <v>8</v>
      </c>
      <c r="JH551" s="27" t="s">
        <v>7</v>
      </c>
      <c r="JI551" s="27" t="s">
        <v>8</v>
      </c>
      <c r="JJ551" s="27" t="s">
        <v>7</v>
      </c>
      <c r="JK551" s="27" t="s">
        <v>8</v>
      </c>
    </row>
    <row r="552" spans="1:272" x14ac:dyDescent="0.25">
      <c r="A552" s="7">
        <v>1.9998895526624565</v>
      </c>
      <c r="B552"/>
      <c r="C552"/>
      <c r="D552"/>
      <c r="E552"/>
      <c r="HU552" s="27" t="s">
        <v>8</v>
      </c>
      <c r="JH552" s="27" t="s">
        <v>7</v>
      </c>
      <c r="JI552" s="27" t="s">
        <v>8</v>
      </c>
      <c r="JJ552" s="27" t="s">
        <v>7</v>
      </c>
      <c r="JK552" s="27" t="s">
        <v>8</v>
      </c>
    </row>
    <row r="553" spans="1:272" x14ac:dyDescent="0.25">
      <c r="A553" s="7">
        <v>1.9606760320220162</v>
      </c>
      <c r="B553"/>
      <c r="C553"/>
      <c r="D553"/>
      <c r="E553"/>
      <c r="HU553" s="27" t="s">
        <v>8</v>
      </c>
      <c r="JH553" s="27" t="s">
        <v>7</v>
      </c>
      <c r="JI553" s="27" t="s">
        <v>8</v>
      </c>
      <c r="JJ553" s="27" t="s">
        <v>7</v>
      </c>
      <c r="JK553" s="27" t="s">
        <v>8</v>
      </c>
    </row>
    <row r="554" spans="1:272" x14ac:dyDescent="0.25">
      <c r="A554" s="7">
        <v>1.9222314039431532</v>
      </c>
      <c r="B554"/>
      <c r="C554"/>
      <c r="D554"/>
      <c r="E554"/>
      <c r="HU554" s="27" t="s">
        <v>8</v>
      </c>
      <c r="JH554" s="27" t="s">
        <v>7</v>
      </c>
      <c r="JI554" s="27" t="s">
        <v>8</v>
      </c>
      <c r="JJ554" s="27" t="s">
        <v>7</v>
      </c>
      <c r="JK554" s="27" t="s">
        <v>8</v>
      </c>
    </row>
    <row r="555" spans="1:272" x14ac:dyDescent="0.25">
      <c r="A555" s="7">
        <v>1.8845405921011305</v>
      </c>
      <c r="B555"/>
      <c r="C555"/>
      <c r="D555"/>
      <c r="E555"/>
      <c r="HU555" s="27" t="s">
        <v>8</v>
      </c>
      <c r="JH555" s="27" t="s">
        <v>7</v>
      </c>
      <c r="JI555" s="27" t="s">
        <v>8</v>
      </c>
      <c r="JJ555" s="27" t="s">
        <v>7</v>
      </c>
      <c r="JK555" s="27" t="s">
        <v>8</v>
      </c>
    </row>
    <row r="556" spans="1:272" x14ac:dyDescent="0.25">
      <c r="A556" s="7">
        <v>1.8475888157854219</v>
      </c>
      <c r="B556"/>
      <c r="C556"/>
      <c r="D556"/>
      <c r="E556"/>
      <c r="HU556" s="27" t="s">
        <v>8</v>
      </c>
      <c r="JH556" s="27" t="s">
        <v>7</v>
      </c>
      <c r="JI556" s="27" t="s">
        <v>8</v>
      </c>
      <c r="JJ556" s="27" t="s">
        <v>7</v>
      </c>
      <c r="JK556" s="27" t="s">
        <v>8</v>
      </c>
    </row>
    <row r="557" spans="1:272" x14ac:dyDescent="0.25">
      <c r="A557" s="7">
        <v>1.8113615841033548</v>
      </c>
      <c r="B557"/>
      <c r="C557"/>
      <c r="D557"/>
      <c r="E557"/>
      <c r="HU557" s="27" t="s">
        <v>8</v>
      </c>
      <c r="JH557" s="27" t="s">
        <v>7</v>
      </c>
      <c r="JI557" s="27" t="s">
        <v>8</v>
      </c>
      <c r="JJ557" s="27" t="s">
        <v>7</v>
      </c>
    </row>
    <row r="558" spans="1:272" x14ac:dyDescent="0.25">
      <c r="A558" s="7">
        <v>1.7758446902974065</v>
      </c>
      <c r="B558"/>
      <c r="C558"/>
      <c r="D558"/>
      <c r="E558"/>
      <c r="HU558" s="27" t="s">
        <v>8</v>
      </c>
      <c r="JH558" s="27" t="s">
        <v>7</v>
      </c>
      <c r="JI558" s="27" t="s">
        <v>8</v>
      </c>
    </row>
    <row r="559" spans="1:272" x14ac:dyDescent="0.25">
      <c r="A559" s="7">
        <v>1.7410242061739281</v>
      </c>
      <c r="B559"/>
      <c r="C559"/>
      <c r="D559"/>
      <c r="E559"/>
      <c r="HU559" s="27" t="s">
        <v>8</v>
      </c>
      <c r="JH559" s="27" t="s">
        <v>7</v>
      </c>
      <c r="JI559" s="27" t="s">
        <v>8</v>
      </c>
    </row>
    <row r="560" spans="1:272" x14ac:dyDescent="0.25">
      <c r="A560" s="7">
        <v>1.7068864766411058</v>
      </c>
      <c r="B560"/>
      <c r="C560"/>
      <c r="D560"/>
      <c r="E560"/>
      <c r="HU560" s="27" t="s">
        <v>8</v>
      </c>
      <c r="JH560" s="27" t="s">
        <v>7</v>
      </c>
    </row>
    <row r="561" spans="1:229" x14ac:dyDescent="0.25">
      <c r="A561" s="7">
        <v>1.6734181143540252</v>
      </c>
      <c r="B561"/>
      <c r="C561"/>
      <c r="D561"/>
      <c r="E561"/>
      <c r="HU561" s="27" t="s">
        <v>8</v>
      </c>
    </row>
    <row r="562" spans="1:229" x14ac:dyDescent="0.25">
      <c r="A562" s="7">
        <v>1.6406059944647307</v>
      </c>
      <c r="B562"/>
      <c r="C562"/>
      <c r="D562"/>
      <c r="E562"/>
      <c r="DY562" s="27" t="s">
        <v>8</v>
      </c>
      <c r="HU562" s="27" t="s">
        <v>8</v>
      </c>
    </row>
    <row r="563" spans="1:229" x14ac:dyDescent="0.25">
      <c r="A563" s="7">
        <v>1.6084372494752261</v>
      </c>
      <c r="B563"/>
      <c r="C563"/>
      <c r="D563"/>
      <c r="E563"/>
      <c r="DY563" s="27" t="s">
        <v>8</v>
      </c>
      <c r="DZ563" s="27" t="s">
        <v>7</v>
      </c>
      <c r="HU563" s="27" t="s">
        <v>8</v>
      </c>
    </row>
    <row r="564" spans="1:229" x14ac:dyDescent="0.25">
      <c r="A564" s="7">
        <v>1.5768992641913981</v>
      </c>
      <c r="B564"/>
      <c r="C564"/>
      <c r="D564"/>
      <c r="E564"/>
      <c r="DY564" s="27" t="s">
        <v>8</v>
      </c>
      <c r="DZ564" s="27" t="s">
        <v>7</v>
      </c>
      <c r="EI564" s="27" t="s">
        <v>8</v>
      </c>
      <c r="HU564" s="27" t="s">
        <v>8</v>
      </c>
    </row>
    <row r="565" spans="1:229" x14ac:dyDescent="0.25">
      <c r="A565" s="7">
        <v>1.5459796707758806</v>
      </c>
      <c r="B565"/>
      <c r="C565"/>
      <c r="D565"/>
      <c r="E565"/>
      <c r="DY565" s="27" t="s">
        <v>8</v>
      </c>
      <c r="DZ565" s="27" t="s">
        <v>7</v>
      </c>
      <c r="EE565" s="27" t="s">
        <v>8</v>
      </c>
      <c r="EI565" s="27" t="s">
        <v>8</v>
      </c>
      <c r="EJ565" s="27" t="s">
        <v>7</v>
      </c>
      <c r="HU565" s="27" t="s">
        <v>8</v>
      </c>
    </row>
    <row r="566" spans="1:229" x14ac:dyDescent="0.25">
      <c r="A566" s="7">
        <v>1.5156663438979221</v>
      </c>
      <c r="B566"/>
      <c r="C566"/>
      <c r="D566"/>
      <c r="E566"/>
      <c r="DY566" s="27" t="s">
        <v>8</v>
      </c>
      <c r="DZ566" s="27" t="s">
        <v>7</v>
      </c>
      <c r="EE566" s="27" t="s">
        <v>8</v>
      </c>
      <c r="EF566" s="27" t="s">
        <v>7</v>
      </c>
      <c r="EI566" s="27" t="s">
        <v>8</v>
      </c>
      <c r="EJ566" s="27" t="s">
        <v>7</v>
      </c>
      <c r="HU566" s="27" t="s">
        <v>8</v>
      </c>
    </row>
    <row r="567" spans="1:229" x14ac:dyDescent="0.25">
      <c r="A567" s="7">
        <v>1.4859473959783549</v>
      </c>
      <c r="B567"/>
      <c r="C567"/>
      <c r="D567"/>
      <c r="E567"/>
      <c r="DY567" s="27" t="s">
        <v>8</v>
      </c>
      <c r="DZ567" s="27" t="s">
        <v>7</v>
      </c>
      <c r="EE567" s="27" t="s">
        <v>8</v>
      </c>
      <c r="EF567" s="27" t="s">
        <v>7</v>
      </c>
      <c r="EG567" s="27" t="s">
        <v>8</v>
      </c>
      <c r="EI567" s="27" t="s">
        <v>8</v>
      </c>
      <c r="EJ567" s="27" t="s">
        <v>7</v>
      </c>
      <c r="HU567" s="27" t="s">
        <v>8</v>
      </c>
    </row>
    <row r="568" spans="1:229" x14ac:dyDescent="0.25">
      <c r="A568" s="7">
        <v>1.4568111725277988</v>
      </c>
      <c r="B568"/>
      <c r="C568"/>
      <c r="D568"/>
      <c r="E568"/>
      <c r="DY568" s="27" t="s">
        <v>8</v>
      </c>
      <c r="DZ568" s="27" t="s">
        <v>7</v>
      </c>
      <c r="EA568" s="27" t="s">
        <v>8</v>
      </c>
      <c r="EE568" s="27" t="s">
        <v>8</v>
      </c>
      <c r="EF568" s="27" t="s">
        <v>7</v>
      </c>
      <c r="EG568" s="27" t="s">
        <v>8</v>
      </c>
      <c r="EH568" s="27" t="s">
        <v>7</v>
      </c>
      <c r="EI568" s="27" t="s">
        <v>8</v>
      </c>
      <c r="EJ568" s="27" t="s">
        <v>7</v>
      </c>
      <c r="HU568" s="27" t="s">
        <v>8</v>
      </c>
    </row>
    <row r="569" spans="1:229" x14ac:dyDescent="0.25">
      <c r="A569" s="7">
        <v>1.4282462475762734</v>
      </c>
      <c r="B569"/>
      <c r="C569"/>
      <c r="D569"/>
      <c r="E569"/>
      <c r="DY569" s="27" t="s">
        <v>8</v>
      </c>
      <c r="DZ569" s="27" t="s">
        <v>7</v>
      </c>
      <c r="EA569" s="27" t="s">
        <v>8</v>
      </c>
      <c r="EB569" s="27" t="s">
        <v>7</v>
      </c>
      <c r="EE569" s="27" t="s">
        <v>8</v>
      </c>
      <c r="EF569" s="27" t="s">
        <v>7</v>
      </c>
      <c r="EG569" s="27" t="s">
        <v>8</v>
      </c>
      <c r="EH569" s="27" t="s">
        <v>7</v>
      </c>
      <c r="EI569" s="27" t="s">
        <v>8</v>
      </c>
      <c r="EJ569" s="27" t="s">
        <v>7</v>
      </c>
      <c r="EK569" s="27" t="s">
        <v>8</v>
      </c>
      <c r="HU569" s="27" t="s">
        <v>8</v>
      </c>
    </row>
    <row r="570" spans="1:229" x14ac:dyDescent="0.25">
      <c r="A570" s="7">
        <v>1.4002414191924248</v>
      </c>
      <c r="B570"/>
      <c r="C570"/>
      <c r="D570"/>
      <c r="E570"/>
      <c r="DY570" s="27" t="s">
        <v>8</v>
      </c>
      <c r="DZ570" s="27" t="s">
        <v>7</v>
      </c>
      <c r="EA570" s="27" t="s">
        <v>8</v>
      </c>
      <c r="EB570" s="27" t="s">
        <v>7</v>
      </c>
      <c r="EE570" s="27" t="s">
        <v>8</v>
      </c>
      <c r="EF570" s="27" t="s">
        <v>7</v>
      </c>
      <c r="EG570" s="27" t="s">
        <v>8</v>
      </c>
      <c r="EH570" s="27" t="s">
        <v>7</v>
      </c>
      <c r="EI570" s="27" t="s">
        <v>8</v>
      </c>
      <c r="EJ570" s="27" t="s">
        <v>7</v>
      </c>
      <c r="EK570" s="27" t="s">
        <v>8</v>
      </c>
      <c r="EL570" s="27" t="s">
        <v>7</v>
      </c>
      <c r="HU570" s="27" t="s">
        <v>8</v>
      </c>
    </row>
    <row r="571" spans="1:229" x14ac:dyDescent="0.25">
      <c r="A571" s="7">
        <v>1.3727857050906125</v>
      </c>
      <c r="B571"/>
      <c r="C571"/>
      <c r="D571"/>
      <c r="E571"/>
      <c r="DY571" s="27" t="s">
        <v>8</v>
      </c>
      <c r="DZ571" s="27" t="s">
        <v>7</v>
      </c>
      <c r="EA571" s="27" t="s">
        <v>8</v>
      </c>
      <c r="EB571" s="27" t="s">
        <v>7</v>
      </c>
      <c r="EE571" s="27" t="s">
        <v>8</v>
      </c>
      <c r="EF571" s="27" t="s">
        <v>7</v>
      </c>
      <c r="EH571" s="27" t="s">
        <v>7</v>
      </c>
      <c r="EI571" s="27" t="s">
        <v>8</v>
      </c>
      <c r="EJ571" s="27" t="s">
        <v>7</v>
      </c>
      <c r="EK571" s="27" t="s">
        <v>8</v>
      </c>
      <c r="EL571" s="27" t="s">
        <v>7</v>
      </c>
      <c r="HU571" s="27" t="s">
        <v>8</v>
      </c>
    </row>
    <row r="572" spans="1:229" x14ac:dyDescent="0.25">
      <c r="A572" s="7">
        <v>1.3458683383241299</v>
      </c>
      <c r="B572"/>
      <c r="C572"/>
      <c r="D572"/>
      <c r="E572"/>
      <c r="DY572" s="27" t="s">
        <v>8</v>
      </c>
      <c r="DZ572" s="27" t="s">
        <v>7</v>
      </c>
      <c r="EA572" s="27" t="s">
        <v>8</v>
      </c>
      <c r="EB572" s="27" t="s">
        <v>7</v>
      </c>
      <c r="EE572" s="27" t="s">
        <v>8</v>
      </c>
      <c r="EH572" s="27" t="s">
        <v>7</v>
      </c>
      <c r="EI572" s="27" t="s">
        <v>8</v>
      </c>
      <c r="EJ572" s="27" t="s">
        <v>7</v>
      </c>
      <c r="EK572" s="27" t="s">
        <v>8</v>
      </c>
      <c r="EL572" s="27" t="s">
        <v>7</v>
      </c>
      <c r="HU572" s="27" t="s">
        <v>8</v>
      </c>
    </row>
    <row r="573" spans="1:229" x14ac:dyDescent="0.25">
      <c r="A573" s="7">
        <v>1.3194787630628724</v>
      </c>
      <c r="B573"/>
      <c r="C573"/>
      <c r="D573"/>
      <c r="E573"/>
      <c r="DY573" s="27" t="s">
        <v>8</v>
      </c>
      <c r="DZ573" s="27" t="s">
        <v>7</v>
      </c>
      <c r="EA573" s="27" t="s">
        <v>8</v>
      </c>
      <c r="EB573" s="27" t="s">
        <v>7</v>
      </c>
      <c r="EE573" s="27" t="s">
        <v>8</v>
      </c>
      <c r="EH573" s="27" t="s">
        <v>7</v>
      </c>
      <c r="EI573" s="27" t="s">
        <v>8</v>
      </c>
      <c r="EJ573" s="27" t="s">
        <v>7</v>
      </c>
      <c r="EK573" s="27" t="s">
        <v>8</v>
      </c>
      <c r="EL573" s="27" t="s">
        <v>7</v>
      </c>
      <c r="EM573" s="27" t="s">
        <v>8</v>
      </c>
      <c r="HU573" s="27" t="s">
        <v>8</v>
      </c>
    </row>
    <row r="574" spans="1:229" x14ac:dyDescent="0.25">
      <c r="A574" s="7">
        <v>1.2936066304537963</v>
      </c>
      <c r="B574"/>
      <c r="C574"/>
      <c r="D574"/>
      <c r="E574"/>
      <c r="DY574" s="27" t="s">
        <v>8</v>
      </c>
      <c r="DZ574" s="27" t="s">
        <v>7</v>
      </c>
      <c r="EA574" s="27" t="s">
        <v>8</v>
      </c>
      <c r="EB574" s="27" t="s">
        <v>7</v>
      </c>
      <c r="EE574" s="27" t="s">
        <v>8</v>
      </c>
      <c r="EH574" s="27" t="s">
        <v>7</v>
      </c>
      <c r="EI574" s="27" t="s">
        <v>8</v>
      </c>
      <c r="EJ574" s="27" t="s">
        <v>7</v>
      </c>
      <c r="EK574" s="27" t="s">
        <v>8</v>
      </c>
      <c r="EL574" s="27" t="s">
        <v>7</v>
      </c>
      <c r="EM574" s="27" t="s">
        <v>8</v>
      </c>
      <c r="EN574" s="27" t="s">
        <v>7</v>
      </c>
      <c r="HU574" s="27" t="s">
        <v>8</v>
      </c>
    </row>
    <row r="575" spans="1:229" x14ac:dyDescent="0.25">
      <c r="A575" s="7">
        <v>1.2682417945625455</v>
      </c>
      <c r="B575"/>
      <c r="C575"/>
      <c r="D575"/>
      <c r="E575"/>
      <c r="DY575" s="27" t="s">
        <v>8</v>
      </c>
      <c r="DZ575" s="27" t="s">
        <v>7</v>
      </c>
      <c r="EA575" s="27" t="s">
        <v>8</v>
      </c>
      <c r="EB575" s="27" t="s">
        <v>7</v>
      </c>
      <c r="EE575" s="27" t="s">
        <v>8</v>
      </c>
      <c r="EH575" s="27" t="s">
        <v>7</v>
      </c>
      <c r="EI575" s="27" t="s">
        <v>8</v>
      </c>
      <c r="EJ575" s="27" t="s">
        <v>7</v>
      </c>
      <c r="EK575" s="27" t="s">
        <v>8</v>
      </c>
      <c r="EL575" s="27" t="s">
        <v>7</v>
      </c>
      <c r="EM575" s="27" t="s">
        <v>8</v>
      </c>
      <c r="EN575" s="27" t="s">
        <v>7</v>
      </c>
      <c r="HU575" s="27" t="s">
        <v>8</v>
      </c>
    </row>
    <row r="576" spans="1:229" x14ac:dyDescent="0.25">
      <c r="A576" s="7">
        <v>1.2433743083946525</v>
      </c>
      <c r="B576"/>
      <c r="C576"/>
      <c r="D576"/>
      <c r="E576"/>
      <c r="DY576" s="27" t="s">
        <v>8</v>
      </c>
      <c r="DZ576" s="27" t="s">
        <v>7</v>
      </c>
      <c r="EA576" s="27" t="s">
        <v>8</v>
      </c>
      <c r="EB576" s="27" t="s">
        <v>7</v>
      </c>
      <c r="EE576" s="27" t="s">
        <v>8</v>
      </c>
      <c r="EH576" s="27" t="s">
        <v>7</v>
      </c>
      <c r="EJ576" s="27" t="s">
        <v>7</v>
      </c>
      <c r="EL576" s="27" t="s">
        <v>7</v>
      </c>
      <c r="EM576" s="27" t="s">
        <v>8</v>
      </c>
      <c r="EN576" s="27" t="s">
        <v>7</v>
      </c>
      <c r="EO576" s="27" t="s">
        <v>8</v>
      </c>
      <c r="HU576" s="27" t="s">
        <v>8</v>
      </c>
    </row>
    <row r="577" spans="1:229" x14ac:dyDescent="0.25">
      <c r="A577" s="7">
        <v>1.2189944199947573</v>
      </c>
      <c r="B577"/>
      <c r="C577"/>
      <c r="D577"/>
      <c r="E577"/>
      <c r="DY577" s="27" t="s">
        <v>8</v>
      </c>
      <c r="DZ577" s="27" t="s">
        <v>7</v>
      </c>
      <c r="EA577" s="27" t="s">
        <v>8</v>
      </c>
      <c r="EB577" s="27" t="s">
        <v>7</v>
      </c>
      <c r="EC577" s="27" t="s">
        <v>8</v>
      </c>
      <c r="EE577" s="27" t="s">
        <v>8</v>
      </c>
      <c r="EL577" s="27" t="s">
        <v>7</v>
      </c>
      <c r="EM577" s="27" t="s">
        <v>8</v>
      </c>
      <c r="EN577" s="27" t="s">
        <v>7</v>
      </c>
      <c r="EO577" s="27" t="s">
        <v>8</v>
      </c>
      <c r="EP577" s="27" t="s">
        <v>7</v>
      </c>
      <c r="HU577" s="27" t="s">
        <v>8</v>
      </c>
    </row>
    <row r="578" spans="1:229" x14ac:dyDescent="0.25">
      <c r="A578" s="7">
        <v>1.1950925686223111</v>
      </c>
      <c r="B578"/>
      <c r="C578"/>
      <c r="D578"/>
      <c r="E578"/>
      <c r="DE578" s="27" t="s">
        <v>8</v>
      </c>
      <c r="DW578" s="27" t="s">
        <v>8</v>
      </c>
      <c r="DY578" s="27" t="s">
        <v>8</v>
      </c>
      <c r="DZ578" s="27" t="s">
        <v>7</v>
      </c>
      <c r="EA578" s="27" t="s">
        <v>8</v>
      </c>
      <c r="EB578" s="27" t="s">
        <v>7</v>
      </c>
      <c r="EC578" s="27" t="s">
        <v>8</v>
      </c>
      <c r="ED578" s="27" t="s">
        <v>7</v>
      </c>
      <c r="EE578" s="27" t="s">
        <v>8</v>
      </c>
      <c r="EL578" s="27" t="s">
        <v>7</v>
      </c>
      <c r="EM578" s="27" t="s">
        <v>8</v>
      </c>
      <c r="EN578" s="27" t="s">
        <v>7</v>
      </c>
      <c r="EO578" s="27" t="s">
        <v>8</v>
      </c>
      <c r="EP578" s="27" t="s">
        <v>7</v>
      </c>
      <c r="HU578" s="27" t="s">
        <v>8</v>
      </c>
    </row>
    <row r="579" spans="1:229" x14ac:dyDescent="0.25">
      <c r="A579" s="7">
        <v>1.1716593810022657</v>
      </c>
      <c r="B579"/>
      <c r="C579"/>
      <c r="D579"/>
      <c r="E579"/>
      <c r="DE579" s="27" t="s">
        <v>8</v>
      </c>
      <c r="DF579" s="27" t="s">
        <v>7</v>
      </c>
      <c r="DM579" s="27" t="s">
        <v>8</v>
      </c>
      <c r="DW579" s="27" t="s">
        <v>8</v>
      </c>
      <c r="DX579" s="27" t="s">
        <v>7</v>
      </c>
      <c r="DY579" s="27" t="s">
        <v>8</v>
      </c>
      <c r="DZ579" s="27" t="s">
        <v>7</v>
      </c>
      <c r="EA579" s="27" t="s">
        <v>8</v>
      </c>
      <c r="EB579" s="27" t="s">
        <v>7</v>
      </c>
      <c r="EC579" s="27" t="s">
        <v>8</v>
      </c>
      <c r="ED579" s="27" t="s">
        <v>7</v>
      </c>
      <c r="EE579" s="27" t="s">
        <v>8</v>
      </c>
      <c r="EL579" s="27" t="s">
        <v>7</v>
      </c>
      <c r="EN579" s="27" t="s">
        <v>7</v>
      </c>
      <c r="EO579" s="27" t="s">
        <v>8</v>
      </c>
      <c r="EP579" s="27" t="s">
        <v>7</v>
      </c>
      <c r="HU579" s="27" t="s">
        <v>8</v>
      </c>
    </row>
    <row r="580" spans="1:229" x14ac:dyDescent="0.25">
      <c r="A580" s="7">
        <v>1.14868566764928</v>
      </c>
      <c r="B580"/>
      <c r="C580"/>
      <c r="D580"/>
      <c r="E580"/>
      <c r="DE580" s="27" t="s">
        <v>8</v>
      </c>
      <c r="DF580" s="27" t="s">
        <v>7</v>
      </c>
      <c r="DM580" s="27" t="s">
        <v>8</v>
      </c>
      <c r="DN580" s="27" t="s">
        <v>7</v>
      </c>
      <c r="DW580" s="27" t="s">
        <v>8</v>
      </c>
      <c r="DX580" s="27" t="s">
        <v>7</v>
      </c>
      <c r="DY580" s="27" t="s">
        <v>8</v>
      </c>
      <c r="DZ580" s="27" t="s">
        <v>7</v>
      </c>
      <c r="EA580" s="27" t="s">
        <v>8</v>
      </c>
      <c r="EB580" s="27" t="s">
        <v>7</v>
      </c>
      <c r="EC580" s="27" t="s">
        <v>8</v>
      </c>
      <c r="ED580" s="27" t="s">
        <v>7</v>
      </c>
      <c r="EE580" s="27" t="s">
        <v>8</v>
      </c>
      <c r="EN580" s="27" t="s">
        <v>7</v>
      </c>
      <c r="EO580" s="27" t="s">
        <v>8</v>
      </c>
      <c r="EP580" s="27" t="s">
        <v>7</v>
      </c>
      <c r="HU580" s="27" t="s">
        <v>8</v>
      </c>
    </row>
    <row r="581" spans="1:229" x14ac:dyDescent="0.25">
      <c r="A581" s="7">
        <v>1.1261624192640001</v>
      </c>
      <c r="B581"/>
      <c r="C581"/>
      <c r="D581"/>
      <c r="E581"/>
      <c r="DE581" s="27" t="s">
        <v>8</v>
      </c>
      <c r="DF581" s="27" t="s">
        <v>7</v>
      </c>
      <c r="DM581" s="27" t="s">
        <v>8</v>
      </c>
      <c r="DN581" s="27" t="s">
        <v>7</v>
      </c>
      <c r="DO581" s="27" t="s">
        <v>8</v>
      </c>
      <c r="DW581" s="27" t="s">
        <v>8</v>
      </c>
      <c r="DX581" s="27" t="s">
        <v>7</v>
      </c>
      <c r="DY581" s="27" t="s">
        <v>8</v>
      </c>
      <c r="DZ581" s="27" t="s">
        <v>7</v>
      </c>
      <c r="EA581" s="27" t="s">
        <v>8</v>
      </c>
      <c r="EB581" s="27" t="s">
        <v>7</v>
      </c>
      <c r="EC581" s="27" t="s">
        <v>8</v>
      </c>
      <c r="ED581" s="27" t="s">
        <v>7</v>
      </c>
      <c r="EE581" s="27" t="s">
        <v>8</v>
      </c>
      <c r="EN581" s="27" t="s">
        <v>7</v>
      </c>
      <c r="EO581" s="27" t="s">
        <v>8</v>
      </c>
      <c r="EP581" s="27" t="s">
        <v>7</v>
      </c>
      <c r="HU581" s="27" t="s">
        <v>8</v>
      </c>
    </row>
    <row r="582" spans="1:229" x14ac:dyDescent="0.25">
      <c r="A582" s="7">
        <v>1.1040808032</v>
      </c>
      <c r="B582"/>
      <c r="C582"/>
      <c r="D582"/>
      <c r="E582"/>
      <c r="DE582" s="27" t="s">
        <v>8</v>
      </c>
      <c r="DF582" s="27" t="s">
        <v>7</v>
      </c>
      <c r="DM582" s="27" t="s">
        <v>8</v>
      </c>
      <c r="DN582" s="27" t="s">
        <v>7</v>
      </c>
      <c r="DO582" s="27" t="s">
        <v>8</v>
      </c>
      <c r="DP582" s="27" t="s">
        <v>7</v>
      </c>
      <c r="DU582" s="27" t="s">
        <v>8</v>
      </c>
      <c r="DW582" s="27" t="s">
        <v>8</v>
      </c>
      <c r="DX582" s="27" t="s">
        <v>7</v>
      </c>
      <c r="DY582" s="27" t="s">
        <v>8</v>
      </c>
      <c r="DZ582" s="27" t="s">
        <v>7</v>
      </c>
      <c r="EA582" s="27" t="s">
        <v>8</v>
      </c>
      <c r="EB582" s="27" t="s">
        <v>7</v>
      </c>
      <c r="EC582" s="27" t="s">
        <v>8</v>
      </c>
      <c r="ED582" s="27" t="s">
        <v>7</v>
      </c>
      <c r="EE582" s="27" t="s">
        <v>8</v>
      </c>
      <c r="EN582" s="27" t="s">
        <v>7</v>
      </c>
      <c r="EO582" s="27" t="s">
        <v>8</v>
      </c>
      <c r="EP582" s="27" t="s">
        <v>7</v>
      </c>
      <c r="GS582" s="27" t="s">
        <v>8</v>
      </c>
      <c r="HU582" s="27" t="s">
        <v>8</v>
      </c>
    </row>
    <row r="583" spans="1:229" x14ac:dyDescent="0.25">
      <c r="A583" s="7">
        <v>1.08243216</v>
      </c>
      <c r="B583"/>
      <c r="C583"/>
      <c r="D583"/>
      <c r="E583"/>
      <c r="DE583" s="27" t="s">
        <v>8</v>
      </c>
      <c r="DF583" s="27" t="s">
        <v>7</v>
      </c>
      <c r="DM583" s="27" t="s">
        <v>8</v>
      </c>
      <c r="DN583" s="27" t="s">
        <v>7</v>
      </c>
      <c r="DO583" s="27" t="s">
        <v>8</v>
      </c>
      <c r="DP583" s="27" t="s">
        <v>7</v>
      </c>
      <c r="DU583" s="27" t="s">
        <v>8</v>
      </c>
      <c r="DV583" s="27" t="s">
        <v>7</v>
      </c>
      <c r="DW583" s="27" t="s">
        <v>8</v>
      </c>
      <c r="DX583" s="27" t="s">
        <v>7</v>
      </c>
      <c r="DY583" s="27" t="s">
        <v>8</v>
      </c>
      <c r="DZ583" s="27" t="s">
        <v>7</v>
      </c>
      <c r="EB583" s="27" t="s">
        <v>7</v>
      </c>
      <c r="EC583" s="27" t="s">
        <v>8</v>
      </c>
      <c r="ED583" s="27" t="s">
        <v>7</v>
      </c>
      <c r="EE583" s="27" t="s">
        <v>8</v>
      </c>
      <c r="EN583" s="27" t="s">
        <v>7</v>
      </c>
      <c r="EO583" s="27" t="s">
        <v>8</v>
      </c>
      <c r="EP583" s="27" t="s">
        <v>7</v>
      </c>
      <c r="GS583" s="27" t="s">
        <v>8</v>
      </c>
      <c r="GT583" s="27" t="s">
        <v>7</v>
      </c>
      <c r="HU583" s="27" t="s">
        <v>8</v>
      </c>
    </row>
    <row r="584" spans="1:229" x14ac:dyDescent="0.25">
      <c r="A584" s="7">
        <v>1.0612079999999999</v>
      </c>
      <c r="B584"/>
      <c r="C584"/>
      <c r="D584"/>
      <c r="E584"/>
      <c r="DE584" s="27" t="s">
        <v>8</v>
      </c>
      <c r="DF584" s="27" t="s">
        <v>7</v>
      </c>
      <c r="DG584" s="27" t="s">
        <v>8</v>
      </c>
      <c r="DM584" s="27" t="s">
        <v>8</v>
      </c>
      <c r="DN584" s="27" t="s">
        <v>7</v>
      </c>
      <c r="DP584" s="27" t="s">
        <v>7</v>
      </c>
      <c r="DQ584" s="27" t="s">
        <v>8</v>
      </c>
      <c r="DU584" s="27" t="s">
        <v>8</v>
      </c>
      <c r="DV584" s="27" t="s">
        <v>7</v>
      </c>
      <c r="DW584" s="27" t="s">
        <v>8</v>
      </c>
      <c r="DX584" s="27" t="s">
        <v>7</v>
      </c>
      <c r="DY584" s="27" t="s">
        <v>8</v>
      </c>
      <c r="EB584" s="27" t="s">
        <v>7</v>
      </c>
      <c r="EC584" s="27" t="s">
        <v>8</v>
      </c>
      <c r="ED584" s="27" t="s">
        <v>7</v>
      </c>
      <c r="EE584" s="27" t="s">
        <v>8</v>
      </c>
      <c r="EN584" s="27" t="s">
        <v>7</v>
      </c>
      <c r="EO584" s="27" t="s">
        <v>8</v>
      </c>
      <c r="EP584" s="27" t="s">
        <v>7</v>
      </c>
      <c r="GS584" s="27" t="s">
        <v>8</v>
      </c>
      <c r="GT584" s="27" t="s">
        <v>7</v>
      </c>
      <c r="GU584" s="27" t="s">
        <v>8</v>
      </c>
      <c r="GW584" s="27" t="s">
        <v>8</v>
      </c>
      <c r="HU584" s="27" t="s">
        <v>8</v>
      </c>
    </row>
    <row r="585" spans="1:229" x14ac:dyDescent="0.25">
      <c r="A585" s="7">
        <v>1.0404</v>
      </c>
      <c r="B585"/>
      <c r="C585"/>
      <c r="D585"/>
      <c r="E585"/>
      <c r="DE585" s="27" t="s">
        <v>8</v>
      </c>
      <c r="DF585" s="27" t="s">
        <v>7</v>
      </c>
      <c r="DG585" s="27" t="s">
        <v>8</v>
      </c>
      <c r="DH585" s="27" t="s">
        <v>7</v>
      </c>
      <c r="DM585" s="27" t="s">
        <v>8</v>
      </c>
      <c r="DP585" s="27" t="s">
        <v>7</v>
      </c>
      <c r="DQ585" s="27" t="s">
        <v>8</v>
      </c>
      <c r="DR585" s="27" t="s">
        <v>7</v>
      </c>
      <c r="DU585" s="27" t="s">
        <v>8</v>
      </c>
      <c r="DV585" s="27" t="s">
        <v>7</v>
      </c>
      <c r="DW585" s="27" t="s">
        <v>8</v>
      </c>
      <c r="DX585" s="27" t="s">
        <v>7</v>
      </c>
      <c r="DY585" s="27" t="s">
        <v>8</v>
      </c>
      <c r="EB585" s="27" t="s">
        <v>7</v>
      </c>
      <c r="EC585" s="27" t="s">
        <v>8</v>
      </c>
      <c r="ED585" s="27" t="s">
        <v>7</v>
      </c>
      <c r="EN585" s="27" t="s">
        <v>7</v>
      </c>
      <c r="EO585" s="27" t="s">
        <v>8</v>
      </c>
      <c r="EP585" s="27" t="s">
        <v>7</v>
      </c>
      <c r="GS585" s="27" t="s">
        <v>8</v>
      </c>
      <c r="GT585" s="27" t="s">
        <v>7</v>
      </c>
      <c r="GU585" s="27" t="s">
        <v>8</v>
      </c>
      <c r="GV585" s="27" t="s">
        <v>7</v>
      </c>
      <c r="GW585" s="27" t="s">
        <v>8</v>
      </c>
      <c r="GX585" s="27" t="s">
        <v>7</v>
      </c>
      <c r="HU585" s="27" t="s">
        <v>8</v>
      </c>
    </row>
    <row r="586" spans="1:229" x14ac:dyDescent="0.25">
      <c r="A586" s="7">
        <v>1.02</v>
      </c>
      <c r="B586"/>
      <c r="C586"/>
      <c r="D586"/>
      <c r="E586"/>
      <c r="DE586" s="27" t="s">
        <v>8</v>
      </c>
      <c r="DF586" s="27" t="s">
        <v>7</v>
      </c>
      <c r="DG586" s="27" t="s">
        <v>8</v>
      </c>
      <c r="DH586" s="27" t="s">
        <v>7</v>
      </c>
      <c r="DI586" s="27" t="s">
        <v>8</v>
      </c>
      <c r="DM586" s="27" t="s">
        <v>8</v>
      </c>
      <c r="DP586" s="27" t="s">
        <v>7</v>
      </c>
      <c r="DQ586" s="27" t="s">
        <v>8</v>
      </c>
      <c r="DR586" s="27" t="s">
        <v>7</v>
      </c>
      <c r="DU586" s="27" t="s">
        <v>8</v>
      </c>
      <c r="DV586" s="27" t="s">
        <v>7</v>
      </c>
      <c r="DW586" s="27" t="s">
        <v>8</v>
      </c>
      <c r="DX586" s="27" t="s">
        <v>7</v>
      </c>
      <c r="EB586" s="27" t="s">
        <v>7</v>
      </c>
      <c r="EC586" s="27" t="s">
        <v>8</v>
      </c>
      <c r="EN586" s="27" t="s">
        <v>7</v>
      </c>
      <c r="EP586" s="27" t="s">
        <v>7</v>
      </c>
      <c r="GS586" s="27" t="s">
        <v>8</v>
      </c>
      <c r="GT586" s="27" t="s">
        <v>7</v>
      </c>
      <c r="GU586" s="27" t="s">
        <v>8</v>
      </c>
      <c r="GV586" s="27" t="s">
        <v>7</v>
      </c>
      <c r="GW586" s="27" t="s">
        <v>8</v>
      </c>
      <c r="GX586" s="27" t="s">
        <v>7</v>
      </c>
      <c r="HU586" s="27" t="s">
        <v>8</v>
      </c>
    </row>
    <row r="587" spans="1:229" x14ac:dyDescent="0.25">
      <c r="A587" s="7">
        <v>1</v>
      </c>
      <c r="B587"/>
      <c r="C587"/>
      <c r="D587"/>
      <c r="E587" s="29" t="s">
        <v>8</v>
      </c>
      <c r="DE587" s="27" t="s">
        <v>8</v>
      </c>
      <c r="DF587" s="27" t="s">
        <v>7</v>
      </c>
      <c r="DG587" s="27" t="s">
        <v>8</v>
      </c>
      <c r="DH587" s="27" t="s">
        <v>7</v>
      </c>
      <c r="DI587" s="27" t="s">
        <v>8</v>
      </c>
      <c r="DJ587" s="27" t="s">
        <v>7</v>
      </c>
      <c r="DM587" s="27" t="s">
        <v>8</v>
      </c>
      <c r="DP587" s="27" t="s">
        <v>7</v>
      </c>
      <c r="DQ587" s="27" t="s">
        <v>8</v>
      </c>
      <c r="DR587" s="27" t="s">
        <v>7</v>
      </c>
      <c r="DS587" s="27" t="s">
        <v>8</v>
      </c>
      <c r="DU587" s="27" t="s">
        <v>8</v>
      </c>
      <c r="DV587" s="27" t="s">
        <v>7</v>
      </c>
      <c r="DW587" s="27" t="s">
        <v>8</v>
      </c>
      <c r="EB587" s="27" t="s">
        <v>7</v>
      </c>
      <c r="EC587" s="27" t="s">
        <v>8</v>
      </c>
      <c r="EP587" s="27" t="s">
        <v>7</v>
      </c>
      <c r="EQ587" s="27" t="s">
        <v>8</v>
      </c>
      <c r="EU587" s="27" t="s">
        <v>8</v>
      </c>
      <c r="GS587" s="27" t="s">
        <v>8</v>
      </c>
      <c r="GT587" s="27" t="s">
        <v>7</v>
      </c>
      <c r="GU587" s="27" t="s">
        <v>8</v>
      </c>
      <c r="GV587" s="27" t="s">
        <v>7</v>
      </c>
      <c r="GX587" s="27" t="s">
        <v>7</v>
      </c>
      <c r="HU587" s="27" t="s">
        <v>8</v>
      </c>
    </row>
    <row r="588" spans="1:229" x14ac:dyDescent="0.25">
      <c r="A588" s="7">
        <v>0.98039215686274506</v>
      </c>
      <c r="B588"/>
      <c r="C588"/>
      <c r="D588"/>
      <c r="E588"/>
      <c r="F588" s="27" t="s">
        <v>7</v>
      </c>
      <c r="DE588" s="27" t="s">
        <v>8</v>
      </c>
      <c r="DF588" s="27" t="s">
        <v>7</v>
      </c>
      <c r="DG588" s="27" t="s">
        <v>8</v>
      </c>
      <c r="DH588" s="27" t="s">
        <v>7</v>
      </c>
      <c r="DI588" s="27" t="s">
        <v>8</v>
      </c>
      <c r="DJ588" s="27" t="s">
        <v>7</v>
      </c>
      <c r="DK588" s="27" t="s">
        <v>8</v>
      </c>
      <c r="DM588" s="27" t="s">
        <v>8</v>
      </c>
      <c r="DP588" s="27" t="s">
        <v>7</v>
      </c>
      <c r="DR588" s="27" t="s">
        <v>7</v>
      </c>
      <c r="DS588" s="27" t="s">
        <v>8</v>
      </c>
      <c r="DT588" s="27" t="s">
        <v>7</v>
      </c>
      <c r="DU588" s="27" t="s">
        <v>8</v>
      </c>
      <c r="DV588" s="27" t="s">
        <v>7</v>
      </c>
      <c r="EB588" s="27" t="s">
        <v>7</v>
      </c>
      <c r="EC588" s="27" t="s">
        <v>8</v>
      </c>
      <c r="EP588" s="27" t="s">
        <v>7</v>
      </c>
      <c r="EQ588" s="27" t="s">
        <v>8</v>
      </c>
      <c r="ER588" s="27" t="s">
        <v>7</v>
      </c>
      <c r="EU588" s="27" t="s">
        <v>8</v>
      </c>
      <c r="EV588" s="27" t="s">
        <v>7</v>
      </c>
      <c r="GQ588" s="27" t="s">
        <v>8</v>
      </c>
      <c r="GS588" s="27" t="s">
        <v>8</v>
      </c>
      <c r="GT588" s="27" t="s">
        <v>7</v>
      </c>
      <c r="GU588" s="27" t="s">
        <v>8</v>
      </c>
      <c r="GX588" s="27" t="s">
        <v>7</v>
      </c>
      <c r="HU588" s="27" t="s">
        <v>8</v>
      </c>
    </row>
    <row r="589" spans="1:229" x14ac:dyDescent="0.25">
      <c r="A589" s="7">
        <v>0.96116878123798544</v>
      </c>
      <c r="B589"/>
      <c r="C589"/>
      <c r="D589"/>
      <c r="E589"/>
      <c r="F589" s="27" t="s">
        <v>7</v>
      </c>
      <c r="DE589" s="27" t="s">
        <v>8</v>
      </c>
      <c r="DF589" s="27" t="s">
        <v>7</v>
      </c>
      <c r="DG589" s="27" t="s">
        <v>8</v>
      </c>
      <c r="DH589" s="27" t="s">
        <v>7</v>
      </c>
      <c r="DI589" s="27" t="s">
        <v>8</v>
      </c>
      <c r="DJ589" s="27" t="s">
        <v>7</v>
      </c>
      <c r="DK589" s="27" t="s">
        <v>8</v>
      </c>
      <c r="DL589" s="27" t="s">
        <v>7</v>
      </c>
      <c r="DM589" s="27" t="s">
        <v>8</v>
      </c>
      <c r="DR589" s="27" t="s">
        <v>7</v>
      </c>
      <c r="DS589" s="27" t="s">
        <v>8</v>
      </c>
      <c r="DT589" s="27" t="s">
        <v>7</v>
      </c>
      <c r="DU589" s="27" t="s">
        <v>8</v>
      </c>
      <c r="EB589" s="27" t="s">
        <v>7</v>
      </c>
      <c r="EC589" s="27" t="s">
        <v>8</v>
      </c>
      <c r="EP589" s="27" t="s">
        <v>7</v>
      </c>
      <c r="EQ589" s="27" t="s">
        <v>8</v>
      </c>
      <c r="ER589" s="27" t="s">
        <v>7</v>
      </c>
      <c r="EU589" s="27" t="s">
        <v>8</v>
      </c>
      <c r="EV589" s="27" t="s">
        <v>7</v>
      </c>
      <c r="GQ589" s="27" t="s">
        <v>8</v>
      </c>
      <c r="GR589" s="27" t="s">
        <v>7</v>
      </c>
      <c r="GS589" s="27" t="s">
        <v>8</v>
      </c>
      <c r="GT589" s="27" t="s">
        <v>7</v>
      </c>
      <c r="GU589" s="27" t="s">
        <v>8</v>
      </c>
      <c r="GX589" s="27" t="s">
        <v>7</v>
      </c>
      <c r="HU589" s="27" t="s">
        <v>8</v>
      </c>
    </row>
    <row r="590" spans="1:229" x14ac:dyDescent="0.25">
      <c r="A590" s="7">
        <v>0.94232233454704462</v>
      </c>
      <c r="B590"/>
      <c r="C590"/>
      <c r="D590"/>
      <c r="E590"/>
      <c r="F590" s="27" t="s">
        <v>7</v>
      </c>
      <c r="DE590" s="27" t="s">
        <v>8</v>
      </c>
      <c r="DF590" s="27" t="s">
        <v>7</v>
      </c>
      <c r="DG590" s="27" t="s">
        <v>8</v>
      </c>
      <c r="DH590" s="27" t="s">
        <v>7</v>
      </c>
      <c r="DI590" s="27" t="s">
        <v>8</v>
      </c>
      <c r="DJ590" s="27" t="s">
        <v>7</v>
      </c>
      <c r="DK590" s="27" t="s">
        <v>8</v>
      </c>
      <c r="DL590" s="27" t="s">
        <v>7</v>
      </c>
      <c r="DM590" s="27" t="s">
        <v>8</v>
      </c>
      <c r="DR590" s="27" t="s">
        <v>7</v>
      </c>
      <c r="DS590" s="27" t="s">
        <v>8</v>
      </c>
      <c r="DT590" s="27" t="s">
        <v>7</v>
      </c>
      <c r="DU590" s="27" t="s">
        <v>8</v>
      </c>
      <c r="EB590" s="27" t="s">
        <v>7</v>
      </c>
      <c r="EC590" s="27" t="s">
        <v>8</v>
      </c>
      <c r="EP590" s="27" t="s">
        <v>7</v>
      </c>
      <c r="EQ590" s="27" t="s">
        <v>8</v>
      </c>
      <c r="ER590" s="27" t="s">
        <v>7</v>
      </c>
      <c r="EU590" s="27" t="s">
        <v>8</v>
      </c>
      <c r="EV590" s="27" t="s">
        <v>7</v>
      </c>
      <c r="GO590" s="27" t="s">
        <v>8</v>
      </c>
      <c r="GQ590" s="27" t="s">
        <v>8</v>
      </c>
      <c r="GR590" s="27" t="s">
        <v>7</v>
      </c>
      <c r="GS590" s="27" t="s">
        <v>8</v>
      </c>
      <c r="GT590" s="27" t="s">
        <v>7</v>
      </c>
      <c r="GU590" s="27" t="s">
        <v>8</v>
      </c>
      <c r="GX590" s="27" t="s">
        <v>7</v>
      </c>
      <c r="HU590" s="27" t="s">
        <v>8</v>
      </c>
    </row>
    <row r="591" spans="1:229" x14ac:dyDescent="0.25">
      <c r="A591" s="7">
        <v>0.92384542602651432</v>
      </c>
      <c r="B591"/>
      <c r="C591"/>
      <c r="D591"/>
      <c r="E591"/>
      <c r="F591" s="27" t="s">
        <v>7</v>
      </c>
      <c r="DE591" s="27" t="s">
        <v>8</v>
      </c>
      <c r="DF591" s="27" t="s">
        <v>7</v>
      </c>
      <c r="DG591" s="27" t="s">
        <v>8</v>
      </c>
      <c r="DH591" s="27" t="s">
        <v>7</v>
      </c>
      <c r="DI591" s="27" t="s">
        <v>8</v>
      </c>
      <c r="DJ591" s="27" t="s">
        <v>7</v>
      </c>
      <c r="DK591" s="27" t="s">
        <v>8</v>
      </c>
      <c r="DL591" s="27" t="s">
        <v>7</v>
      </c>
      <c r="DM591" s="27" t="s">
        <v>8</v>
      </c>
      <c r="DR591" s="27" t="s">
        <v>7</v>
      </c>
      <c r="DT591" s="27" t="s">
        <v>7</v>
      </c>
      <c r="DU591" s="27" t="s">
        <v>8</v>
      </c>
      <c r="EB591" s="27" t="s">
        <v>7</v>
      </c>
      <c r="EC591" s="27" t="s">
        <v>8</v>
      </c>
      <c r="EP591" s="27" t="s">
        <v>7</v>
      </c>
      <c r="EQ591" s="27" t="s">
        <v>8</v>
      </c>
      <c r="ER591" s="27" t="s">
        <v>7</v>
      </c>
      <c r="EU591" s="27" t="s">
        <v>8</v>
      </c>
      <c r="EV591" s="27" t="s">
        <v>7</v>
      </c>
      <c r="GO591" s="27" t="s">
        <v>8</v>
      </c>
      <c r="GP591" s="27" t="s">
        <v>7</v>
      </c>
      <c r="GQ591" s="27" t="s">
        <v>8</v>
      </c>
      <c r="GR591" s="27" t="s">
        <v>7</v>
      </c>
      <c r="GS591" s="27" t="s">
        <v>8</v>
      </c>
      <c r="GT591" s="27" t="s">
        <v>7</v>
      </c>
      <c r="GX591" s="27" t="s">
        <v>7</v>
      </c>
      <c r="HU591" s="27" t="s">
        <v>8</v>
      </c>
    </row>
    <row r="592" spans="1:229" x14ac:dyDescent="0.25">
      <c r="A592" s="7">
        <v>0.90573080982991594</v>
      </c>
      <c r="B592"/>
      <c r="C592"/>
      <c r="D592"/>
      <c r="E592"/>
      <c r="F592" s="27" t="s">
        <v>7</v>
      </c>
      <c r="DE592" s="27" t="s">
        <v>8</v>
      </c>
      <c r="DF592" s="27" t="s">
        <v>7</v>
      </c>
      <c r="DG592" s="27" t="s">
        <v>8</v>
      </c>
      <c r="DH592" s="27" t="s">
        <v>7</v>
      </c>
      <c r="DI592" s="27" t="s">
        <v>8</v>
      </c>
      <c r="DJ592" s="27" t="s">
        <v>7</v>
      </c>
      <c r="DK592" s="27" t="s">
        <v>8</v>
      </c>
      <c r="DL592" s="27" t="s">
        <v>7</v>
      </c>
      <c r="DM592" s="27" t="s">
        <v>8</v>
      </c>
      <c r="DT592" s="27" t="s">
        <v>7</v>
      </c>
      <c r="DU592" s="27" t="s">
        <v>8</v>
      </c>
      <c r="EB592" s="27" t="s">
        <v>7</v>
      </c>
      <c r="EP592" s="27" t="s">
        <v>7</v>
      </c>
      <c r="EQ592" s="27" t="s">
        <v>8</v>
      </c>
      <c r="ER592" s="27" t="s">
        <v>7</v>
      </c>
      <c r="EU592" s="27" t="s">
        <v>8</v>
      </c>
      <c r="EV592" s="27" t="s">
        <v>7</v>
      </c>
      <c r="GM592" s="27" t="s">
        <v>8</v>
      </c>
      <c r="GO592" s="27" t="s">
        <v>8</v>
      </c>
      <c r="GP592" s="27" t="s">
        <v>7</v>
      </c>
      <c r="GQ592" s="27" t="s">
        <v>8</v>
      </c>
      <c r="GR592" s="27" t="s">
        <v>7</v>
      </c>
      <c r="GS592" s="27" t="s">
        <v>8</v>
      </c>
      <c r="GX592" s="27" t="s">
        <v>7</v>
      </c>
      <c r="HU592" s="27" t="s">
        <v>8</v>
      </c>
    </row>
    <row r="593" spans="1:229" x14ac:dyDescent="0.25">
      <c r="A593" s="7">
        <v>0.8879713821861922</v>
      </c>
      <c r="B593"/>
      <c r="C593"/>
      <c r="D593"/>
      <c r="E593"/>
      <c r="F593" s="27" t="s">
        <v>7</v>
      </c>
      <c r="DE593" s="27" t="s">
        <v>8</v>
      </c>
      <c r="DF593" s="27" t="s">
        <v>7</v>
      </c>
      <c r="DG593" s="27" t="s">
        <v>8</v>
      </c>
      <c r="DH593" s="27" t="s">
        <v>7</v>
      </c>
      <c r="DJ593" s="27" t="s">
        <v>7</v>
      </c>
      <c r="DK593" s="27" t="s">
        <v>8</v>
      </c>
      <c r="DL593" s="27" t="s">
        <v>7</v>
      </c>
      <c r="DM593" s="27" t="s">
        <v>8</v>
      </c>
      <c r="DT593" s="27" t="s">
        <v>7</v>
      </c>
      <c r="DU593" s="27" t="s">
        <v>8</v>
      </c>
      <c r="EP593" s="27" t="s">
        <v>7</v>
      </c>
      <c r="EQ593" s="27" t="s">
        <v>8</v>
      </c>
      <c r="ER593" s="27" t="s">
        <v>7</v>
      </c>
      <c r="EU593" s="27" t="s">
        <v>8</v>
      </c>
      <c r="EV593" s="27" t="s">
        <v>7</v>
      </c>
      <c r="EY593" s="27" t="s">
        <v>8</v>
      </c>
      <c r="FA593" s="27" t="s">
        <v>8</v>
      </c>
      <c r="GM593" s="27" t="s">
        <v>8</v>
      </c>
      <c r="GN593" s="27" t="s">
        <v>7</v>
      </c>
      <c r="GO593" s="27" t="s">
        <v>8</v>
      </c>
      <c r="GP593" s="27" t="s">
        <v>7</v>
      </c>
      <c r="GQ593" s="27" t="s">
        <v>8</v>
      </c>
      <c r="GR593" s="27" t="s">
        <v>7</v>
      </c>
      <c r="GS593" s="27" t="s">
        <v>8</v>
      </c>
      <c r="GX593" s="27" t="s">
        <v>7</v>
      </c>
      <c r="GY593" s="27" t="s">
        <v>8</v>
      </c>
      <c r="HU593" s="27" t="s">
        <v>8</v>
      </c>
    </row>
    <row r="594" spans="1:229" x14ac:dyDescent="0.25">
      <c r="A594" s="7">
        <v>0.87056017861391399</v>
      </c>
      <c r="B594"/>
      <c r="C594"/>
      <c r="D594"/>
      <c r="E594"/>
      <c r="F594" s="27" t="s">
        <v>7</v>
      </c>
      <c r="DE594" s="27" t="s">
        <v>8</v>
      </c>
      <c r="DF594" s="27" t="s">
        <v>7</v>
      </c>
      <c r="DG594" s="27" t="s">
        <v>8</v>
      </c>
      <c r="DJ594" s="27" t="s">
        <v>7</v>
      </c>
      <c r="DK594" s="27" t="s">
        <v>8</v>
      </c>
      <c r="DL594" s="27" t="s">
        <v>7</v>
      </c>
      <c r="DM594" s="27" t="s">
        <v>8</v>
      </c>
      <c r="DT594" s="27" t="s">
        <v>7</v>
      </c>
      <c r="DU594" s="27" t="s">
        <v>8</v>
      </c>
      <c r="EP594" s="27" t="s">
        <v>7</v>
      </c>
      <c r="EQ594" s="27" t="s">
        <v>8</v>
      </c>
      <c r="ER594" s="27" t="s">
        <v>7</v>
      </c>
      <c r="EU594" s="27" t="s">
        <v>8</v>
      </c>
      <c r="EV594" s="27" t="s">
        <v>7</v>
      </c>
      <c r="EY594" s="27" t="s">
        <v>8</v>
      </c>
      <c r="EZ594" s="27" t="s">
        <v>7</v>
      </c>
      <c r="FA594" s="27" t="s">
        <v>8</v>
      </c>
      <c r="FB594" s="27" t="s">
        <v>7</v>
      </c>
      <c r="GM594" s="27" t="s">
        <v>8</v>
      </c>
      <c r="GN594" s="27" t="s">
        <v>7</v>
      </c>
      <c r="GO594" s="27" t="s">
        <v>8</v>
      </c>
      <c r="GP594" s="27" t="s">
        <v>7</v>
      </c>
      <c r="GQ594" s="27" t="s">
        <v>8</v>
      </c>
      <c r="GR594" s="27" t="s">
        <v>7</v>
      </c>
      <c r="GS594" s="27" t="s">
        <v>8</v>
      </c>
      <c r="GX594" s="27" t="s">
        <v>7</v>
      </c>
      <c r="GY594" s="27" t="s">
        <v>8</v>
      </c>
      <c r="GZ594" s="27" t="s">
        <v>7</v>
      </c>
      <c r="HC594" s="27" t="s">
        <v>8</v>
      </c>
      <c r="HU594" s="27" t="s">
        <v>8</v>
      </c>
    </row>
    <row r="595" spans="1:229" x14ac:dyDescent="0.25">
      <c r="A595" s="7">
        <v>0.85349037119011173</v>
      </c>
      <c r="B595"/>
      <c r="C595"/>
      <c r="D595"/>
      <c r="E595"/>
      <c r="F595" s="27" t="s">
        <v>7</v>
      </c>
      <c r="DE595" s="27" t="s">
        <v>8</v>
      </c>
      <c r="DF595" s="27" t="s">
        <v>7</v>
      </c>
      <c r="DG595" s="27" t="s">
        <v>8</v>
      </c>
      <c r="DJ595" s="27" t="s">
        <v>7</v>
      </c>
      <c r="DK595" s="27" t="s">
        <v>8</v>
      </c>
      <c r="DL595" s="27" t="s">
        <v>7</v>
      </c>
      <c r="DM595" s="27" t="s">
        <v>8</v>
      </c>
      <c r="DT595" s="27" t="s">
        <v>7</v>
      </c>
      <c r="DU595" s="27" t="s">
        <v>8</v>
      </c>
      <c r="EP595" s="27" t="s">
        <v>7</v>
      </c>
      <c r="EQ595" s="27" t="s">
        <v>8</v>
      </c>
      <c r="ER595" s="27" t="s">
        <v>7</v>
      </c>
      <c r="EU595" s="27" t="s">
        <v>8</v>
      </c>
      <c r="EV595" s="27" t="s">
        <v>7</v>
      </c>
      <c r="EW595" s="27" t="s">
        <v>8</v>
      </c>
      <c r="EY595" s="27" t="s">
        <v>8</v>
      </c>
      <c r="EZ595" s="27" t="s">
        <v>7</v>
      </c>
      <c r="FA595" s="27" t="s">
        <v>8</v>
      </c>
      <c r="FB595" s="27" t="s">
        <v>7</v>
      </c>
      <c r="GI595" s="27" t="s">
        <v>8</v>
      </c>
      <c r="GK595" s="27" t="s">
        <v>8</v>
      </c>
      <c r="GM595" s="27" t="s">
        <v>8</v>
      </c>
      <c r="GN595" s="27" t="s">
        <v>7</v>
      </c>
      <c r="GO595" s="27" t="s">
        <v>8</v>
      </c>
      <c r="GP595" s="27" t="s">
        <v>7</v>
      </c>
      <c r="GQ595" s="27" t="s">
        <v>8</v>
      </c>
      <c r="GR595" s="27" t="s">
        <v>7</v>
      </c>
      <c r="GX595" s="27" t="s">
        <v>7</v>
      </c>
      <c r="GY595" s="27" t="s">
        <v>8</v>
      </c>
      <c r="GZ595" s="27" t="s">
        <v>7</v>
      </c>
      <c r="HA595" s="27" t="s">
        <v>8</v>
      </c>
      <c r="HC595" s="27" t="s">
        <v>8</v>
      </c>
      <c r="HD595" s="27" t="s">
        <v>7</v>
      </c>
      <c r="HO595" s="27" t="s">
        <v>8</v>
      </c>
      <c r="HS595" s="27" t="s">
        <v>8</v>
      </c>
      <c r="HU595" s="27" t="s">
        <v>8</v>
      </c>
    </row>
    <row r="596" spans="1:229" x14ac:dyDescent="0.25">
      <c r="A596" s="7">
        <v>0.83675526587265858</v>
      </c>
      <c r="B596"/>
      <c r="C596"/>
      <c r="D596"/>
      <c r="E596"/>
      <c r="F596" s="27" t="s">
        <v>7</v>
      </c>
      <c r="DE596" s="27" t="s">
        <v>8</v>
      </c>
      <c r="DF596" s="27" t="s">
        <v>7</v>
      </c>
      <c r="DG596" s="27" t="s">
        <v>8</v>
      </c>
      <c r="DJ596" s="27" t="s">
        <v>7</v>
      </c>
      <c r="DK596" s="27" t="s">
        <v>8</v>
      </c>
      <c r="DL596" s="27" t="s">
        <v>7</v>
      </c>
      <c r="DM596" s="27" t="s">
        <v>8</v>
      </c>
      <c r="DT596" s="27" t="s">
        <v>7</v>
      </c>
      <c r="EP596" s="27" t="s">
        <v>7</v>
      </c>
      <c r="EQ596" s="27" t="s">
        <v>8</v>
      </c>
      <c r="ER596" s="27" t="s">
        <v>7</v>
      </c>
      <c r="EU596" s="27" t="s">
        <v>8</v>
      </c>
      <c r="EV596" s="27" t="s">
        <v>7</v>
      </c>
      <c r="EW596" s="27" t="s">
        <v>8</v>
      </c>
      <c r="EX596" s="27" t="s">
        <v>7</v>
      </c>
      <c r="EY596" s="27" t="s">
        <v>8</v>
      </c>
      <c r="EZ596" s="27" t="s">
        <v>7</v>
      </c>
      <c r="FA596" s="27" t="s">
        <v>8</v>
      </c>
      <c r="FB596" s="27" t="s">
        <v>7</v>
      </c>
      <c r="FQ596" s="27" t="s">
        <v>8</v>
      </c>
      <c r="GI596" s="27" t="s">
        <v>8</v>
      </c>
      <c r="GJ596" s="27" t="s">
        <v>7</v>
      </c>
      <c r="GK596" s="27" t="s">
        <v>8</v>
      </c>
      <c r="GL596" s="27" t="s">
        <v>7</v>
      </c>
      <c r="GM596" s="27" t="s">
        <v>8</v>
      </c>
      <c r="GN596" s="27" t="s">
        <v>7</v>
      </c>
      <c r="GO596" s="27" t="s">
        <v>8</v>
      </c>
      <c r="GP596" s="27" t="s">
        <v>7</v>
      </c>
      <c r="GX596" s="27" t="s">
        <v>7</v>
      </c>
      <c r="GY596" s="27" t="s">
        <v>8</v>
      </c>
      <c r="GZ596" s="27" t="s">
        <v>7</v>
      </c>
      <c r="HA596" s="27" t="s">
        <v>8</v>
      </c>
      <c r="HB596" s="27" t="s">
        <v>7</v>
      </c>
      <c r="HC596" s="27" t="s">
        <v>8</v>
      </c>
      <c r="HD596" s="27" t="s">
        <v>7</v>
      </c>
      <c r="HK596" s="27" t="s">
        <v>8</v>
      </c>
      <c r="HO596" s="27" t="s">
        <v>8</v>
      </c>
      <c r="HP596" s="27" t="s">
        <v>7</v>
      </c>
      <c r="HQ596" s="27" t="s">
        <v>8</v>
      </c>
      <c r="HS596" s="27" t="s">
        <v>8</v>
      </c>
      <c r="HT596" s="27" t="s">
        <v>7</v>
      </c>
      <c r="HU596" s="27" t="s">
        <v>8</v>
      </c>
    </row>
    <row r="597" spans="1:229" x14ac:dyDescent="0.25">
      <c r="A597" s="7">
        <v>0.82034829987515545</v>
      </c>
      <c r="B597"/>
      <c r="C597"/>
      <c r="D597"/>
      <c r="E597"/>
      <c r="F597" s="27" t="s">
        <v>7</v>
      </c>
      <c r="DE597" s="27" t="s">
        <v>8</v>
      </c>
      <c r="DF597" s="27" t="s">
        <v>7</v>
      </c>
      <c r="DG597" s="27" t="s">
        <v>8</v>
      </c>
      <c r="DJ597" s="27" t="s">
        <v>7</v>
      </c>
      <c r="DL597" s="27" t="s">
        <v>7</v>
      </c>
      <c r="DM597" s="27" t="s">
        <v>8</v>
      </c>
      <c r="EP597" s="27" t="s">
        <v>7</v>
      </c>
      <c r="EQ597" s="27" t="s">
        <v>8</v>
      </c>
      <c r="ER597" s="27" t="s">
        <v>7</v>
      </c>
      <c r="ES597" s="27" t="s">
        <v>8</v>
      </c>
      <c r="EU597" s="27" t="s">
        <v>8</v>
      </c>
      <c r="EV597" s="27" t="s">
        <v>7</v>
      </c>
      <c r="EW597" s="27" t="s">
        <v>8</v>
      </c>
      <c r="EX597" s="27" t="s">
        <v>7</v>
      </c>
      <c r="EY597" s="27" t="s">
        <v>8</v>
      </c>
      <c r="EZ597" s="27" t="s">
        <v>7</v>
      </c>
      <c r="FA597" s="27" t="s">
        <v>8</v>
      </c>
      <c r="FB597" s="27" t="s">
        <v>7</v>
      </c>
      <c r="FQ597" s="27" t="s">
        <v>8</v>
      </c>
      <c r="FR597" s="27" t="s">
        <v>7</v>
      </c>
      <c r="GI597" s="27" t="s">
        <v>8</v>
      </c>
      <c r="GJ597" s="27" t="s">
        <v>7</v>
      </c>
      <c r="GK597" s="27" t="s">
        <v>8</v>
      </c>
      <c r="GL597" s="27" t="s">
        <v>7</v>
      </c>
      <c r="GM597" s="27" t="s">
        <v>8</v>
      </c>
      <c r="GN597" s="27" t="s">
        <v>7</v>
      </c>
      <c r="GO597" s="27" t="s">
        <v>8</v>
      </c>
      <c r="GX597" s="27" t="s">
        <v>7</v>
      </c>
      <c r="GY597" s="27" t="s">
        <v>8</v>
      </c>
      <c r="GZ597" s="27" t="s">
        <v>7</v>
      </c>
      <c r="HA597" s="27" t="s">
        <v>8</v>
      </c>
      <c r="HB597" s="27" t="s">
        <v>7</v>
      </c>
      <c r="HC597" s="27" t="s">
        <v>8</v>
      </c>
      <c r="HD597" s="27" t="s">
        <v>7</v>
      </c>
      <c r="HI597" s="27" t="s">
        <v>8</v>
      </c>
      <c r="HK597" s="27" t="s">
        <v>8</v>
      </c>
      <c r="HL597" s="27" t="s">
        <v>7</v>
      </c>
      <c r="HO597" s="27" t="s">
        <v>8</v>
      </c>
      <c r="HP597" s="27" t="s">
        <v>7</v>
      </c>
      <c r="HQ597" s="27" t="s">
        <v>8</v>
      </c>
      <c r="HR597" s="27" t="s">
        <v>7</v>
      </c>
      <c r="HS597" s="27" t="s">
        <v>8</v>
      </c>
      <c r="HT597" s="27" t="s">
        <v>7</v>
      </c>
      <c r="HU597" s="27" t="s">
        <v>8</v>
      </c>
    </row>
    <row r="598" spans="1:229" x14ac:dyDescent="0.25">
      <c r="A598" s="7">
        <v>0.80426303909328967</v>
      </c>
      <c r="B598"/>
      <c r="C598"/>
      <c r="D598"/>
      <c r="E598"/>
      <c r="F598" s="27" t="s">
        <v>7</v>
      </c>
      <c r="DE598" s="27" t="s">
        <v>8</v>
      </c>
      <c r="DF598" s="27" t="s">
        <v>7</v>
      </c>
      <c r="DG598" s="27" t="s">
        <v>8</v>
      </c>
      <c r="DL598" s="27" t="s">
        <v>7</v>
      </c>
      <c r="EP598" s="27" t="s">
        <v>7</v>
      </c>
      <c r="EQ598" s="27" t="s">
        <v>8</v>
      </c>
      <c r="ER598" s="27" t="s">
        <v>7</v>
      </c>
      <c r="ES598" s="27" t="s">
        <v>8</v>
      </c>
      <c r="ET598" s="27" t="s">
        <v>7</v>
      </c>
      <c r="EU598" s="27" t="s">
        <v>8</v>
      </c>
      <c r="EV598" s="27" t="s">
        <v>7</v>
      </c>
      <c r="EW598" s="27" t="s">
        <v>8</v>
      </c>
      <c r="EX598" s="27" t="s">
        <v>7</v>
      </c>
      <c r="EZ598" s="27" t="s">
        <v>7</v>
      </c>
      <c r="FA598" s="27" t="s">
        <v>8</v>
      </c>
      <c r="FB598" s="27" t="s">
        <v>7</v>
      </c>
      <c r="FQ598" s="27" t="s">
        <v>8</v>
      </c>
      <c r="FR598" s="27" t="s">
        <v>7</v>
      </c>
      <c r="GI598" s="27" t="s">
        <v>8</v>
      </c>
      <c r="GJ598" s="27" t="s">
        <v>7</v>
      </c>
      <c r="GK598" s="27" t="s">
        <v>8</v>
      </c>
      <c r="GL598" s="27" t="s">
        <v>7</v>
      </c>
      <c r="GN598" s="27" t="s">
        <v>7</v>
      </c>
      <c r="GO598" s="27" t="s">
        <v>8</v>
      </c>
      <c r="GX598" s="27" t="s">
        <v>7</v>
      </c>
      <c r="GY598" s="27" t="s">
        <v>8</v>
      </c>
      <c r="GZ598" s="27" t="s">
        <v>7</v>
      </c>
      <c r="HB598" s="27" t="s">
        <v>7</v>
      </c>
      <c r="HC598" s="27" t="s">
        <v>8</v>
      </c>
      <c r="HD598" s="27" t="s">
        <v>7</v>
      </c>
      <c r="HI598" s="27" t="s">
        <v>8</v>
      </c>
      <c r="HJ598" s="27" t="s">
        <v>7</v>
      </c>
      <c r="HK598" s="27" t="s">
        <v>8</v>
      </c>
      <c r="HL598" s="27" t="s">
        <v>7</v>
      </c>
      <c r="HO598" s="27" t="s">
        <v>8</v>
      </c>
      <c r="HP598" s="27" t="s">
        <v>7</v>
      </c>
      <c r="HQ598" s="27" t="s">
        <v>8</v>
      </c>
      <c r="HR598" s="27" t="s">
        <v>7</v>
      </c>
      <c r="HS598" s="27" t="s">
        <v>8</v>
      </c>
      <c r="HT598" s="27" t="s">
        <v>7</v>
      </c>
      <c r="HU598" s="27" t="s">
        <v>8</v>
      </c>
    </row>
    <row r="599" spans="1:229" x14ac:dyDescent="0.25">
      <c r="A599" s="7">
        <v>0.78849317558165644</v>
      </c>
      <c r="B599"/>
      <c r="C599"/>
      <c r="D599"/>
      <c r="E599"/>
      <c r="F599" s="27" t="s">
        <v>7</v>
      </c>
      <c r="DE599" s="27" t="s">
        <v>8</v>
      </c>
      <c r="DF599" s="27" t="s">
        <v>7</v>
      </c>
      <c r="EP599" s="27" t="s">
        <v>7</v>
      </c>
      <c r="EQ599" s="27" t="s">
        <v>8</v>
      </c>
      <c r="ER599" s="27" t="s">
        <v>7</v>
      </c>
      <c r="ES599" s="27" t="s">
        <v>8</v>
      </c>
      <c r="ET599" s="27" t="s">
        <v>7</v>
      </c>
      <c r="EU599" s="27" t="s">
        <v>8</v>
      </c>
      <c r="EV599" s="27" t="s">
        <v>7</v>
      </c>
      <c r="EW599" s="27" t="s">
        <v>8</v>
      </c>
      <c r="EZ599" s="27" t="s">
        <v>7</v>
      </c>
      <c r="FA599" s="27" t="s">
        <v>8</v>
      </c>
      <c r="FB599" s="27" t="s">
        <v>7</v>
      </c>
      <c r="FE599" s="27" t="s">
        <v>8</v>
      </c>
      <c r="FQ599" s="27" t="s">
        <v>8</v>
      </c>
      <c r="FR599" s="27" t="s">
        <v>7</v>
      </c>
      <c r="GI599" s="27" t="s">
        <v>8</v>
      </c>
      <c r="GJ599" s="27" t="s">
        <v>7</v>
      </c>
      <c r="GK599" s="27" t="s">
        <v>8</v>
      </c>
      <c r="GN599" s="27" t="s">
        <v>7</v>
      </c>
      <c r="GO599" s="27" t="s">
        <v>8</v>
      </c>
      <c r="GX599" s="27" t="s">
        <v>7</v>
      </c>
      <c r="GY599" s="27" t="s">
        <v>8</v>
      </c>
      <c r="HB599" s="27" t="s">
        <v>7</v>
      </c>
      <c r="HC599" s="27" t="s">
        <v>8</v>
      </c>
      <c r="HD599" s="27" t="s">
        <v>7</v>
      </c>
      <c r="HI599" s="27" t="s">
        <v>8</v>
      </c>
      <c r="HJ599" s="27" t="s">
        <v>7</v>
      </c>
      <c r="HK599" s="27" t="s">
        <v>8</v>
      </c>
      <c r="HL599" s="27" t="s">
        <v>7</v>
      </c>
      <c r="HM599" s="27" t="s">
        <v>8</v>
      </c>
      <c r="HO599" s="27" t="s">
        <v>8</v>
      </c>
      <c r="HP599" s="27" t="s">
        <v>7</v>
      </c>
      <c r="HQ599" s="27" t="s">
        <v>8</v>
      </c>
      <c r="HR599" s="27" t="s">
        <v>7</v>
      </c>
      <c r="HS599" s="27" t="s">
        <v>8</v>
      </c>
      <c r="HT599" s="27" t="s">
        <v>7</v>
      </c>
      <c r="HU599" s="27" t="s">
        <v>8</v>
      </c>
    </row>
    <row r="600" spans="1:229" x14ac:dyDescent="0.25">
      <c r="A600" s="7">
        <v>0.77303252508005538</v>
      </c>
      <c r="B600"/>
      <c r="C600"/>
      <c r="D600"/>
      <c r="E600"/>
      <c r="F600" s="27" t="s">
        <v>7</v>
      </c>
      <c r="DE600" s="27" t="s">
        <v>8</v>
      </c>
      <c r="EP600" s="27" t="s">
        <v>7</v>
      </c>
      <c r="EQ600" s="27" t="s">
        <v>8</v>
      </c>
      <c r="ER600" s="27" t="s">
        <v>7</v>
      </c>
      <c r="ES600" s="27" t="s">
        <v>8</v>
      </c>
      <c r="ET600" s="27" t="s">
        <v>7</v>
      </c>
      <c r="EU600" s="27" t="s">
        <v>8</v>
      </c>
      <c r="EV600" s="27" t="s">
        <v>7</v>
      </c>
      <c r="EW600" s="27" t="s">
        <v>8</v>
      </c>
      <c r="EZ600" s="27" t="s">
        <v>7</v>
      </c>
      <c r="FB600" s="27" t="s">
        <v>7</v>
      </c>
      <c r="FE600" s="27" t="s">
        <v>8</v>
      </c>
      <c r="FF600" s="27" t="s">
        <v>7</v>
      </c>
      <c r="FQ600" s="27" t="s">
        <v>8</v>
      </c>
      <c r="FR600" s="27" t="s">
        <v>7</v>
      </c>
      <c r="FS600" s="27" t="s">
        <v>8</v>
      </c>
      <c r="GG600" s="27" t="s">
        <v>8</v>
      </c>
      <c r="GI600" s="27" t="s">
        <v>8</v>
      </c>
      <c r="GJ600" s="27" t="s">
        <v>7</v>
      </c>
      <c r="GN600" s="27" t="s">
        <v>7</v>
      </c>
      <c r="GO600" s="27" t="s">
        <v>8</v>
      </c>
      <c r="GX600" s="27" t="s">
        <v>7</v>
      </c>
      <c r="GY600" s="27" t="s">
        <v>8</v>
      </c>
      <c r="HB600" s="27" t="s">
        <v>7</v>
      </c>
      <c r="HD600" s="27" t="s">
        <v>7</v>
      </c>
      <c r="HE600" s="27" t="s">
        <v>8</v>
      </c>
      <c r="HI600" s="27" t="s">
        <v>8</v>
      </c>
      <c r="HJ600" s="27" t="s">
        <v>7</v>
      </c>
      <c r="HK600" s="27" t="s">
        <v>8</v>
      </c>
      <c r="HL600" s="27" t="s">
        <v>7</v>
      </c>
      <c r="HM600" s="27" t="s">
        <v>8</v>
      </c>
      <c r="HN600" s="27" t="s">
        <v>7</v>
      </c>
      <c r="HO600" s="27" t="s">
        <v>8</v>
      </c>
      <c r="HP600" s="27" t="s">
        <v>7</v>
      </c>
      <c r="HQ600" s="27" t="s">
        <v>8</v>
      </c>
      <c r="HR600" s="27" t="s">
        <v>7</v>
      </c>
      <c r="HS600" s="27" t="s">
        <v>8</v>
      </c>
      <c r="HT600" s="27" t="s">
        <v>7</v>
      </c>
      <c r="HU600" s="27" t="s">
        <v>8</v>
      </c>
    </row>
    <row r="601" spans="1:229" x14ac:dyDescent="0.25">
      <c r="A601" s="7">
        <v>0.75787502458828959</v>
      </c>
      <c r="B601"/>
      <c r="C601"/>
      <c r="D601"/>
      <c r="E601"/>
      <c r="F601" s="27" t="s">
        <v>7</v>
      </c>
      <c r="DE601" s="27" t="s">
        <v>8</v>
      </c>
      <c r="EP601" s="27" t="s">
        <v>7</v>
      </c>
      <c r="EQ601" s="27" t="s">
        <v>8</v>
      </c>
      <c r="ER601" s="27" t="s">
        <v>7</v>
      </c>
      <c r="ES601" s="27" t="s">
        <v>8</v>
      </c>
      <c r="ET601" s="27" t="s">
        <v>7</v>
      </c>
      <c r="EU601" s="27" t="s">
        <v>8</v>
      </c>
      <c r="EV601" s="27" t="s">
        <v>7</v>
      </c>
      <c r="EW601" s="27" t="s">
        <v>8</v>
      </c>
      <c r="FB601" s="27" t="s">
        <v>7</v>
      </c>
      <c r="FE601" s="27" t="s">
        <v>8</v>
      </c>
      <c r="FF601" s="27" t="s">
        <v>7</v>
      </c>
      <c r="FG601" s="27" t="s">
        <v>8</v>
      </c>
      <c r="FQ601" s="27" t="s">
        <v>8</v>
      </c>
      <c r="FR601" s="27" t="s">
        <v>7</v>
      </c>
      <c r="FS601" s="27" t="s">
        <v>8</v>
      </c>
      <c r="FT601" s="27" t="s">
        <v>7</v>
      </c>
      <c r="GA601" s="27" t="s">
        <v>8</v>
      </c>
      <c r="GG601" s="27" t="s">
        <v>8</v>
      </c>
      <c r="GH601" s="27" t="s">
        <v>7</v>
      </c>
      <c r="GI601" s="27" t="s">
        <v>8</v>
      </c>
      <c r="GN601" s="27" t="s">
        <v>7</v>
      </c>
      <c r="GX601" s="27" t="s">
        <v>7</v>
      </c>
      <c r="GY601" s="27" t="s">
        <v>8</v>
      </c>
      <c r="HD601" s="27" t="s">
        <v>7</v>
      </c>
      <c r="HE601" s="27" t="s">
        <v>8</v>
      </c>
      <c r="HF601" s="27" t="s">
        <v>7</v>
      </c>
      <c r="HG601" s="27" t="s">
        <v>8</v>
      </c>
      <c r="HI601" s="27" t="s">
        <v>8</v>
      </c>
      <c r="HJ601" s="27" t="s">
        <v>7</v>
      </c>
      <c r="HK601" s="27" t="s">
        <v>8</v>
      </c>
      <c r="HL601" s="27" t="s">
        <v>7</v>
      </c>
      <c r="HM601" s="27" t="s">
        <v>8</v>
      </c>
      <c r="HN601" s="27" t="s">
        <v>7</v>
      </c>
      <c r="HO601" s="27" t="s">
        <v>8</v>
      </c>
      <c r="HP601" s="27" t="s">
        <v>7</v>
      </c>
      <c r="HQ601" s="27" t="s">
        <v>8</v>
      </c>
      <c r="HR601" s="27" t="s">
        <v>7</v>
      </c>
      <c r="HT601" s="27" t="s">
        <v>7</v>
      </c>
      <c r="HU601" s="27" t="s">
        <v>8</v>
      </c>
    </row>
    <row r="602" spans="1:229" x14ac:dyDescent="0.25">
      <c r="A602" s="7">
        <v>0.74301472998851925</v>
      </c>
      <c r="B602"/>
      <c r="C602"/>
      <c r="D602"/>
      <c r="E602"/>
      <c r="F602" s="27" t="s">
        <v>7</v>
      </c>
      <c r="DE602" s="27" t="s">
        <v>8</v>
      </c>
      <c r="EP602" s="27" t="s">
        <v>7</v>
      </c>
      <c r="EQ602" s="27" t="s">
        <v>8</v>
      </c>
      <c r="ER602" s="27" t="s">
        <v>7</v>
      </c>
      <c r="ES602" s="27" t="s">
        <v>8</v>
      </c>
      <c r="ET602" s="27" t="s">
        <v>7</v>
      </c>
      <c r="EU602" s="27" t="s">
        <v>8</v>
      </c>
      <c r="EV602" s="27" t="s">
        <v>7</v>
      </c>
      <c r="EW602" s="27" t="s">
        <v>8</v>
      </c>
      <c r="FB602" s="27" t="s">
        <v>7</v>
      </c>
      <c r="FE602" s="27" t="s">
        <v>8</v>
      </c>
      <c r="FF602" s="27" t="s">
        <v>7</v>
      </c>
      <c r="FG602" s="27" t="s">
        <v>8</v>
      </c>
      <c r="FH602" s="27" t="s">
        <v>7</v>
      </c>
      <c r="FQ602" s="27" t="s">
        <v>8</v>
      </c>
      <c r="FR602" s="27" t="s">
        <v>7</v>
      </c>
      <c r="FS602" s="27" t="s">
        <v>8</v>
      </c>
      <c r="FT602" s="27" t="s">
        <v>7</v>
      </c>
      <c r="FU602" s="27" t="s">
        <v>8</v>
      </c>
      <c r="FY602" s="27" t="s">
        <v>8</v>
      </c>
      <c r="GA602" s="27" t="s">
        <v>8</v>
      </c>
      <c r="GB602" s="27" t="s">
        <v>7</v>
      </c>
      <c r="GE602" s="27" t="s">
        <v>8</v>
      </c>
      <c r="GG602" s="27" t="s">
        <v>8</v>
      </c>
      <c r="GH602" s="27" t="s">
        <v>7</v>
      </c>
      <c r="GI602" s="27" t="s">
        <v>8</v>
      </c>
      <c r="GX602" s="27" t="s">
        <v>7</v>
      </c>
      <c r="HD602" s="27" t="s">
        <v>7</v>
      </c>
      <c r="HE602" s="27" t="s">
        <v>8</v>
      </c>
      <c r="HF602" s="27" t="s">
        <v>7</v>
      </c>
      <c r="HG602" s="27" t="s">
        <v>8</v>
      </c>
      <c r="HH602" s="27" t="s">
        <v>7</v>
      </c>
      <c r="HI602" s="27" t="s">
        <v>8</v>
      </c>
      <c r="HJ602" s="27" t="s">
        <v>7</v>
      </c>
      <c r="HK602" s="27" t="s">
        <v>8</v>
      </c>
      <c r="HL602" s="27" t="s">
        <v>7</v>
      </c>
      <c r="HM602" s="27" t="s">
        <v>8</v>
      </c>
      <c r="HN602" s="27" t="s">
        <v>7</v>
      </c>
      <c r="HP602" s="27" t="s">
        <v>7</v>
      </c>
      <c r="HT602" s="27" t="s">
        <v>7</v>
      </c>
      <c r="HU602" s="27" t="s">
        <v>8</v>
      </c>
    </row>
    <row r="603" spans="1:229" x14ac:dyDescent="0.25">
      <c r="A603" s="7">
        <v>0.72844581371423456</v>
      </c>
      <c r="B603"/>
      <c r="C603"/>
      <c r="D603"/>
      <c r="E603"/>
      <c r="F603" s="27" t="s">
        <v>7</v>
      </c>
      <c r="DE603" s="27" t="s">
        <v>8</v>
      </c>
      <c r="EP603" s="27" t="s">
        <v>7</v>
      </c>
      <c r="EQ603" s="27" t="s">
        <v>8</v>
      </c>
      <c r="ER603" s="27" t="s">
        <v>7</v>
      </c>
      <c r="ES603" s="27" t="s">
        <v>8</v>
      </c>
      <c r="ET603" s="27" t="s">
        <v>7</v>
      </c>
      <c r="EU603" s="27" t="s">
        <v>8</v>
      </c>
      <c r="EV603" s="27" t="s">
        <v>7</v>
      </c>
      <c r="EW603" s="27" t="s">
        <v>8</v>
      </c>
      <c r="FB603" s="27" t="s">
        <v>7</v>
      </c>
      <c r="FC603" s="27" t="s">
        <v>8</v>
      </c>
      <c r="FE603" s="27" t="s">
        <v>8</v>
      </c>
      <c r="FF603" s="27" t="s">
        <v>7</v>
      </c>
      <c r="FG603" s="27" t="s">
        <v>8</v>
      </c>
      <c r="FH603" s="27" t="s">
        <v>7</v>
      </c>
      <c r="FQ603" s="27" t="s">
        <v>8</v>
      </c>
      <c r="FR603" s="27" t="s">
        <v>7</v>
      </c>
      <c r="FS603" s="27" t="s">
        <v>8</v>
      </c>
      <c r="FT603" s="27" t="s">
        <v>7</v>
      </c>
      <c r="FU603" s="27" t="s">
        <v>8</v>
      </c>
      <c r="FV603" s="27" t="s">
        <v>7</v>
      </c>
      <c r="FY603" s="27" t="s">
        <v>8</v>
      </c>
      <c r="FZ603" s="27" t="s">
        <v>7</v>
      </c>
      <c r="GA603" s="27" t="s">
        <v>8</v>
      </c>
      <c r="GB603" s="27" t="s">
        <v>7</v>
      </c>
      <c r="GE603" s="27" t="s">
        <v>8</v>
      </c>
      <c r="GF603" s="27" t="s">
        <v>7</v>
      </c>
      <c r="GG603" s="27" t="s">
        <v>8</v>
      </c>
      <c r="GH603" s="27" t="s">
        <v>7</v>
      </c>
      <c r="GI603" s="27" t="s">
        <v>8</v>
      </c>
      <c r="HD603" s="27" t="s">
        <v>7</v>
      </c>
      <c r="HE603" s="27" t="s">
        <v>8</v>
      </c>
      <c r="HF603" s="27" t="s">
        <v>7</v>
      </c>
      <c r="HG603" s="27" t="s">
        <v>8</v>
      </c>
      <c r="HH603" s="27" t="s">
        <v>7</v>
      </c>
      <c r="HI603" s="27" t="s">
        <v>8</v>
      </c>
      <c r="HJ603" s="27" t="s">
        <v>7</v>
      </c>
      <c r="HL603" s="27" t="s">
        <v>7</v>
      </c>
      <c r="HM603" s="27" t="s">
        <v>8</v>
      </c>
      <c r="HT603" s="27" t="s">
        <v>7</v>
      </c>
      <c r="HU603" s="27" t="s">
        <v>8</v>
      </c>
    </row>
    <row r="604" spans="1:229" x14ac:dyDescent="0.25">
      <c r="A604" s="7">
        <v>0.71416256246493581</v>
      </c>
      <c r="B604"/>
      <c r="C604"/>
      <c r="D604"/>
      <c r="E604"/>
      <c r="F604" s="27" t="s">
        <v>7</v>
      </c>
      <c r="DE604" s="27" t="s">
        <v>8</v>
      </c>
      <c r="EP604" s="27" t="s">
        <v>7</v>
      </c>
      <c r="EQ604" s="27" t="s">
        <v>8</v>
      </c>
      <c r="ER604" s="27" t="s">
        <v>7</v>
      </c>
      <c r="ES604" s="27" t="s">
        <v>8</v>
      </c>
      <c r="ET604" s="27" t="s">
        <v>7</v>
      </c>
      <c r="EU604" s="27" t="s">
        <v>8</v>
      </c>
      <c r="EV604" s="27" t="s">
        <v>7</v>
      </c>
      <c r="EW604" s="27" t="s">
        <v>8</v>
      </c>
      <c r="FB604" s="27" t="s">
        <v>7</v>
      </c>
      <c r="FC604" s="27" t="s">
        <v>8</v>
      </c>
      <c r="FD604" s="27" t="s">
        <v>7</v>
      </c>
      <c r="FE604" s="27" t="s">
        <v>8</v>
      </c>
      <c r="FF604" s="27" t="s">
        <v>7</v>
      </c>
      <c r="FG604" s="27" t="s">
        <v>8</v>
      </c>
      <c r="FH604" s="27" t="s">
        <v>7</v>
      </c>
      <c r="FQ604" s="27" t="s">
        <v>8</v>
      </c>
      <c r="FR604" s="27" t="s">
        <v>7</v>
      </c>
      <c r="FS604" s="27" t="s">
        <v>8</v>
      </c>
      <c r="FT604" s="27" t="s">
        <v>7</v>
      </c>
      <c r="FU604" s="27" t="s">
        <v>8</v>
      </c>
      <c r="FV604" s="27" t="s">
        <v>7</v>
      </c>
      <c r="FY604" s="27" t="s">
        <v>8</v>
      </c>
      <c r="FZ604" s="27" t="s">
        <v>7</v>
      </c>
      <c r="GA604" s="27" t="s">
        <v>8</v>
      </c>
      <c r="GB604" s="27" t="s">
        <v>7</v>
      </c>
      <c r="GC604" s="27" t="s">
        <v>8</v>
      </c>
      <c r="GE604" s="27" t="s">
        <v>8</v>
      </c>
      <c r="GF604" s="27" t="s">
        <v>7</v>
      </c>
      <c r="GG604" s="27" t="s">
        <v>8</v>
      </c>
      <c r="GH604" s="27" t="s">
        <v>7</v>
      </c>
      <c r="GI604" s="27" t="s">
        <v>8</v>
      </c>
      <c r="HD604" s="27" t="s">
        <v>7</v>
      </c>
      <c r="HE604" s="27" t="s">
        <v>8</v>
      </c>
      <c r="HF604" s="27" t="s">
        <v>7</v>
      </c>
      <c r="HG604" s="27" t="s">
        <v>8</v>
      </c>
      <c r="HH604" s="27" t="s">
        <v>7</v>
      </c>
      <c r="HI604" s="27" t="s">
        <v>8</v>
      </c>
      <c r="HL604" s="27" t="s">
        <v>7</v>
      </c>
      <c r="HT604" s="27" t="s">
        <v>7</v>
      </c>
    </row>
    <row r="605" spans="1:229" x14ac:dyDescent="0.25">
      <c r="A605" s="7">
        <v>0.7001593749656233</v>
      </c>
      <c r="B605"/>
      <c r="C605"/>
      <c r="D605"/>
      <c r="E605"/>
      <c r="F605" s="27" t="s">
        <v>7</v>
      </c>
      <c r="DE605" s="27" t="s">
        <v>8</v>
      </c>
      <c r="EP605" s="27" t="s">
        <v>7</v>
      </c>
      <c r="EQ605" s="27" t="s">
        <v>8</v>
      </c>
      <c r="ER605" s="27" t="s">
        <v>7</v>
      </c>
      <c r="ET605" s="27" t="s">
        <v>7</v>
      </c>
      <c r="EU605" s="27" t="s">
        <v>8</v>
      </c>
      <c r="EV605" s="27" t="s">
        <v>7</v>
      </c>
      <c r="FB605" s="27" t="s">
        <v>7</v>
      </c>
      <c r="FC605" s="27" t="s">
        <v>8</v>
      </c>
      <c r="FD605" s="27" t="s">
        <v>7</v>
      </c>
      <c r="FE605" s="27" t="s">
        <v>8</v>
      </c>
      <c r="FF605" s="27" t="s">
        <v>7</v>
      </c>
      <c r="FG605" s="27" t="s">
        <v>8</v>
      </c>
      <c r="FH605" s="27" t="s">
        <v>7</v>
      </c>
      <c r="FQ605" s="27" t="s">
        <v>8</v>
      </c>
      <c r="FR605" s="27" t="s">
        <v>7</v>
      </c>
      <c r="FS605" s="27" t="s">
        <v>8</v>
      </c>
      <c r="FT605" s="27" t="s">
        <v>7</v>
      </c>
      <c r="FU605" s="27" t="s">
        <v>8</v>
      </c>
      <c r="FV605" s="27" t="s">
        <v>7</v>
      </c>
      <c r="FY605" s="27" t="s">
        <v>8</v>
      </c>
      <c r="FZ605" s="27" t="s">
        <v>7</v>
      </c>
      <c r="GA605" s="27" t="s">
        <v>8</v>
      </c>
      <c r="GB605" s="27" t="s">
        <v>7</v>
      </c>
      <c r="GC605" s="27" t="s">
        <v>8</v>
      </c>
      <c r="GD605" s="27" t="s">
        <v>7</v>
      </c>
      <c r="GE605" s="27" t="s">
        <v>8</v>
      </c>
      <c r="GF605" s="27" t="s">
        <v>7</v>
      </c>
      <c r="GG605" s="27" t="s">
        <v>8</v>
      </c>
      <c r="GH605" s="27" t="s">
        <v>7</v>
      </c>
      <c r="HD605" s="27" t="s">
        <v>7</v>
      </c>
      <c r="HE605" s="27" t="s">
        <v>8</v>
      </c>
      <c r="HF605" s="27" t="s">
        <v>7</v>
      </c>
      <c r="HG605" s="27" t="s">
        <v>8</v>
      </c>
      <c r="HH605" s="27" t="s">
        <v>7</v>
      </c>
      <c r="HI605" s="27" t="s">
        <v>8</v>
      </c>
    </row>
    <row r="606" spans="1:229" x14ac:dyDescent="0.25">
      <c r="A606" s="7">
        <v>0.68643075977021883</v>
      </c>
      <c r="B606"/>
      <c r="C606"/>
      <c r="D606"/>
      <c r="E606"/>
      <c r="F606" s="27" t="s">
        <v>7</v>
      </c>
      <c r="DE606" s="27" t="s">
        <v>8</v>
      </c>
      <c r="EP606" s="27" t="s">
        <v>7</v>
      </c>
      <c r="EQ606" s="27" t="s">
        <v>8</v>
      </c>
      <c r="ET606" s="27" t="s">
        <v>7</v>
      </c>
      <c r="EU606" s="27" t="s">
        <v>8</v>
      </c>
      <c r="FB606" s="27" t="s">
        <v>7</v>
      </c>
      <c r="FC606" s="27" t="s">
        <v>8</v>
      </c>
      <c r="FD606" s="27" t="s">
        <v>7</v>
      </c>
      <c r="FF606" s="27" t="s">
        <v>7</v>
      </c>
      <c r="FG606" s="27" t="s">
        <v>8</v>
      </c>
      <c r="FH606" s="27" t="s">
        <v>7</v>
      </c>
      <c r="FQ606" s="27" t="s">
        <v>8</v>
      </c>
      <c r="FR606" s="27" t="s">
        <v>7</v>
      </c>
      <c r="FS606" s="27" t="s">
        <v>8</v>
      </c>
      <c r="FT606" s="27" t="s">
        <v>7</v>
      </c>
      <c r="FU606" s="27" t="s">
        <v>8</v>
      </c>
      <c r="FV606" s="27" t="s">
        <v>7</v>
      </c>
      <c r="FY606" s="27" t="s">
        <v>8</v>
      </c>
      <c r="FZ606" s="27" t="s">
        <v>7</v>
      </c>
      <c r="GA606" s="27" t="s">
        <v>8</v>
      </c>
      <c r="GB606" s="27" t="s">
        <v>7</v>
      </c>
      <c r="GC606" s="27" t="s">
        <v>8</v>
      </c>
      <c r="GD606" s="27" t="s">
        <v>7</v>
      </c>
      <c r="GE606" s="27" t="s">
        <v>8</v>
      </c>
      <c r="GF606" s="27" t="s">
        <v>7</v>
      </c>
      <c r="GG606" s="27" t="s">
        <v>8</v>
      </c>
      <c r="HD606" s="27" t="s">
        <v>7</v>
      </c>
      <c r="HE606" s="27" t="s">
        <v>8</v>
      </c>
      <c r="HF606" s="27" t="s">
        <v>7</v>
      </c>
      <c r="HG606" s="27" t="s">
        <v>8</v>
      </c>
      <c r="HH606" s="27" t="s">
        <v>7</v>
      </c>
      <c r="HI606" s="27" t="s">
        <v>8</v>
      </c>
    </row>
    <row r="607" spans="1:229" x14ac:dyDescent="0.25">
      <c r="A607" s="7">
        <v>0.67297133310805768</v>
      </c>
      <c r="B607"/>
      <c r="C607"/>
      <c r="D607"/>
      <c r="E607"/>
      <c r="F607" s="27" t="s">
        <v>7</v>
      </c>
      <c r="DE607" s="27" t="s">
        <v>8</v>
      </c>
      <c r="EP607" s="27" t="s">
        <v>7</v>
      </c>
      <c r="EQ607" s="27" t="s">
        <v>8</v>
      </c>
      <c r="ET607" s="27" t="s">
        <v>7</v>
      </c>
      <c r="EU607" s="27" t="s">
        <v>8</v>
      </c>
      <c r="FB607" s="27" t="s">
        <v>7</v>
      </c>
      <c r="FC607" s="27" t="s">
        <v>8</v>
      </c>
      <c r="FF607" s="27" t="s">
        <v>7</v>
      </c>
      <c r="FG607" s="27" t="s">
        <v>8</v>
      </c>
      <c r="FH607" s="27" t="s">
        <v>7</v>
      </c>
      <c r="FQ607" s="27" t="s">
        <v>8</v>
      </c>
      <c r="FR607" s="27" t="s">
        <v>7</v>
      </c>
      <c r="FS607" s="27" t="s">
        <v>8</v>
      </c>
      <c r="FT607" s="27" t="s">
        <v>7</v>
      </c>
      <c r="FU607" s="27" t="s">
        <v>8</v>
      </c>
      <c r="FV607" s="27" t="s">
        <v>7</v>
      </c>
      <c r="FY607" s="27" t="s">
        <v>8</v>
      </c>
      <c r="FZ607" s="27" t="s">
        <v>7</v>
      </c>
      <c r="GB607" s="27" t="s">
        <v>7</v>
      </c>
      <c r="GC607" s="27" t="s">
        <v>8</v>
      </c>
      <c r="GD607" s="27" t="s">
        <v>7</v>
      </c>
      <c r="GF607" s="27" t="s">
        <v>7</v>
      </c>
      <c r="HD607" s="27" t="s">
        <v>7</v>
      </c>
      <c r="HE607" s="27" t="s">
        <v>8</v>
      </c>
      <c r="HF607" s="27" t="s">
        <v>7</v>
      </c>
      <c r="HG607" s="27" t="s">
        <v>8</v>
      </c>
      <c r="HH607" s="27" t="s">
        <v>7</v>
      </c>
      <c r="HI607" s="27" t="s">
        <v>8</v>
      </c>
    </row>
    <row r="608" spans="1:229" x14ac:dyDescent="0.25">
      <c r="A608" s="7">
        <v>0.65977581677260566</v>
      </c>
      <c r="B608"/>
      <c r="C608"/>
      <c r="D608"/>
      <c r="E608"/>
      <c r="F608" s="27" t="s">
        <v>7</v>
      </c>
      <c r="DE608" s="27" t="s">
        <v>8</v>
      </c>
      <c r="EP608" s="27" t="s">
        <v>7</v>
      </c>
      <c r="EQ608" s="27" t="s">
        <v>8</v>
      </c>
      <c r="ET608" s="27" t="s">
        <v>7</v>
      </c>
      <c r="EU608" s="27" t="s">
        <v>8</v>
      </c>
      <c r="FB608" s="27" t="s">
        <v>7</v>
      </c>
      <c r="FC608" s="27" t="s">
        <v>8</v>
      </c>
      <c r="FF608" s="27" t="s">
        <v>7</v>
      </c>
      <c r="FG608" s="27" t="s">
        <v>8</v>
      </c>
      <c r="FH608" s="27" t="s">
        <v>7</v>
      </c>
      <c r="FI608" s="27" t="s">
        <v>8</v>
      </c>
      <c r="FQ608" s="27" t="s">
        <v>8</v>
      </c>
      <c r="FR608" s="27" t="s">
        <v>7</v>
      </c>
      <c r="FS608" s="27" t="s">
        <v>8</v>
      </c>
      <c r="FT608" s="27" t="s">
        <v>7</v>
      </c>
      <c r="FU608" s="27" t="s">
        <v>8</v>
      </c>
      <c r="FV608" s="27" t="s">
        <v>7</v>
      </c>
      <c r="FY608" s="27" t="s">
        <v>8</v>
      </c>
      <c r="GB608" s="27" t="s">
        <v>7</v>
      </c>
      <c r="GC608" s="27" t="s">
        <v>8</v>
      </c>
      <c r="HD608" s="27" t="s">
        <v>7</v>
      </c>
      <c r="HE608" s="27" t="s">
        <v>8</v>
      </c>
      <c r="HF608" s="27" t="s">
        <v>7</v>
      </c>
      <c r="HG608" s="27" t="s">
        <v>8</v>
      </c>
      <c r="HH608" s="27" t="s">
        <v>7</v>
      </c>
      <c r="HI608" s="27" t="s">
        <v>8</v>
      </c>
    </row>
    <row r="609" spans="1:217" x14ac:dyDescent="0.25">
      <c r="A609" s="7">
        <v>0.64683903605157422</v>
      </c>
      <c r="B609"/>
      <c r="C609"/>
      <c r="D609"/>
      <c r="E609"/>
      <c r="F609" s="27" t="s">
        <v>7</v>
      </c>
      <c r="DE609" s="27" t="s">
        <v>8</v>
      </c>
      <c r="EP609" s="27" t="s">
        <v>7</v>
      </c>
      <c r="EQ609" s="27" t="s">
        <v>8</v>
      </c>
      <c r="ET609" s="27" t="s">
        <v>7</v>
      </c>
      <c r="EU609" s="27" t="s">
        <v>8</v>
      </c>
      <c r="FB609" s="27" t="s">
        <v>7</v>
      </c>
      <c r="FC609" s="27" t="s">
        <v>8</v>
      </c>
      <c r="FF609" s="27" t="s">
        <v>7</v>
      </c>
      <c r="FG609" s="27" t="s">
        <v>8</v>
      </c>
      <c r="FH609" s="27" t="s">
        <v>7</v>
      </c>
      <c r="FI609" s="27" t="s">
        <v>8</v>
      </c>
      <c r="FJ609" s="27" t="s">
        <v>7</v>
      </c>
      <c r="FQ609" s="27" t="s">
        <v>8</v>
      </c>
      <c r="FR609" s="27" t="s">
        <v>7</v>
      </c>
      <c r="FS609" s="27" t="s">
        <v>8</v>
      </c>
      <c r="FT609" s="27" t="s">
        <v>7</v>
      </c>
      <c r="FU609" s="27" t="s">
        <v>8</v>
      </c>
      <c r="FV609" s="27" t="s">
        <v>7</v>
      </c>
      <c r="FW609" s="27" t="s">
        <v>8</v>
      </c>
      <c r="FY609" s="27" t="s">
        <v>8</v>
      </c>
      <c r="GB609" s="27" t="s">
        <v>7</v>
      </c>
      <c r="HD609" s="27" t="s">
        <v>7</v>
      </c>
      <c r="HE609" s="27" t="s">
        <v>8</v>
      </c>
      <c r="HF609" s="27" t="s">
        <v>7</v>
      </c>
      <c r="HH609" s="27" t="s">
        <v>7</v>
      </c>
      <c r="HI609" s="27" t="s">
        <v>8</v>
      </c>
    </row>
    <row r="610" spans="1:217" x14ac:dyDescent="0.25">
      <c r="A610" s="7">
        <v>0.63415591769762181</v>
      </c>
      <c r="B610"/>
      <c r="C610"/>
      <c r="D610"/>
      <c r="E610"/>
      <c r="F610" s="27" t="s">
        <v>7</v>
      </c>
      <c r="DE610" s="27" t="s">
        <v>8</v>
      </c>
      <c r="EP610" s="27" t="s">
        <v>7</v>
      </c>
      <c r="EQ610" s="27" t="s">
        <v>8</v>
      </c>
      <c r="ET610" s="27" t="s">
        <v>7</v>
      </c>
      <c r="EU610" s="27" t="s">
        <v>8</v>
      </c>
      <c r="FB610" s="27" t="s">
        <v>7</v>
      </c>
      <c r="FF610" s="27" t="s">
        <v>7</v>
      </c>
      <c r="FH610" s="27" t="s">
        <v>7</v>
      </c>
      <c r="FI610" s="27" t="s">
        <v>8</v>
      </c>
      <c r="FJ610" s="27" t="s">
        <v>7</v>
      </c>
      <c r="FQ610" s="27" t="s">
        <v>8</v>
      </c>
      <c r="FR610" s="27" t="s">
        <v>7</v>
      </c>
      <c r="FS610" s="27" t="s">
        <v>8</v>
      </c>
      <c r="FT610" s="27" t="s">
        <v>7</v>
      </c>
      <c r="FU610" s="27" t="s">
        <v>8</v>
      </c>
      <c r="FV610" s="27" t="s">
        <v>7</v>
      </c>
      <c r="FW610" s="27" t="s">
        <v>8</v>
      </c>
      <c r="FX610" s="27" t="s">
        <v>7</v>
      </c>
      <c r="FY610" s="27" t="s">
        <v>8</v>
      </c>
      <c r="HD610" s="27" t="s">
        <v>7</v>
      </c>
      <c r="HE610" s="27" t="s">
        <v>8</v>
      </c>
      <c r="HH610" s="27" t="s">
        <v>7</v>
      </c>
      <c r="HI610" s="27" t="s">
        <v>8</v>
      </c>
    </row>
    <row r="611" spans="1:217" x14ac:dyDescent="0.25">
      <c r="A611" s="7">
        <v>0.62172148793884496</v>
      </c>
      <c r="B611"/>
      <c r="C611"/>
      <c r="D611"/>
      <c r="E611"/>
      <c r="F611" s="27" t="s">
        <v>7</v>
      </c>
      <c r="DE611" s="27" t="s">
        <v>8</v>
      </c>
      <c r="EP611" s="27" t="s">
        <v>7</v>
      </c>
      <c r="EQ611" s="27" t="s">
        <v>8</v>
      </c>
      <c r="ET611" s="27" t="s">
        <v>7</v>
      </c>
      <c r="EU611" s="27" t="s">
        <v>8</v>
      </c>
      <c r="FH611" s="27" t="s">
        <v>7</v>
      </c>
      <c r="FJ611" s="27" t="s">
        <v>7</v>
      </c>
      <c r="FQ611" s="27" t="s">
        <v>8</v>
      </c>
      <c r="FR611" s="27" t="s">
        <v>7</v>
      </c>
      <c r="FS611" s="27" t="s">
        <v>8</v>
      </c>
      <c r="FT611" s="27" t="s">
        <v>7</v>
      </c>
      <c r="FU611" s="27" t="s">
        <v>8</v>
      </c>
      <c r="FV611" s="27" t="s">
        <v>7</v>
      </c>
      <c r="FW611" s="27" t="s">
        <v>8</v>
      </c>
      <c r="FX611" s="27" t="s">
        <v>7</v>
      </c>
      <c r="FY611" s="27" t="s">
        <v>8</v>
      </c>
      <c r="HD611" s="27" t="s">
        <v>7</v>
      </c>
      <c r="HE611" s="27" t="s">
        <v>8</v>
      </c>
      <c r="HH611" s="27" t="s">
        <v>7</v>
      </c>
    </row>
    <row r="612" spans="1:217" x14ac:dyDescent="0.25">
      <c r="A612" s="7">
        <v>0.60953087052827937</v>
      </c>
      <c r="B612"/>
      <c r="C612"/>
      <c r="D612"/>
      <c r="E612"/>
      <c r="F612" s="27" t="s">
        <v>7</v>
      </c>
      <c r="DE612" s="27" t="s">
        <v>8</v>
      </c>
      <c r="EP612" s="27" t="s">
        <v>7</v>
      </c>
      <c r="EQ612" s="27" t="s">
        <v>8</v>
      </c>
      <c r="ET612" s="27" t="s">
        <v>7</v>
      </c>
      <c r="EU612" s="27" t="s">
        <v>8</v>
      </c>
      <c r="FJ612" s="27" t="s">
        <v>7</v>
      </c>
      <c r="FQ612" s="27" t="s">
        <v>8</v>
      </c>
      <c r="FR612" s="27" t="s">
        <v>7</v>
      </c>
      <c r="FT612" s="27" t="s">
        <v>7</v>
      </c>
      <c r="FU612" s="27" t="s">
        <v>8</v>
      </c>
      <c r="FV612" s="27" t="s">
        <v>7</v>
      </c>
      <c r="FW612" s="27" t="s">
        <v>8</v>
      </c>
      <c r="FX612" s="27" t="s">
        <v>7</v>
      </c>
      <c r="FY612" s="27" t="s">
        <v>8</v>
      </c>
      <c r="HD612" s="27" t="s">
        <v>7</v>
      </c>
      <c r="HE612" s="27" t="s">
        <v>8</v>
      </c>
    </row>
    <row r="613" spans="1:217" x14ac:dyDescent="0.25">
      <c r="A613" s="7">
        <v>0.59757928483164646</v>
      </c>
      <c r="B613"/>
      <c r="C613"/>
      <c r="D613"/>
      <c r="E613"/>
      <c r="F613" s="27" t="s">
        <v>7</v>
      </c>
      <c r="DE613" s="27" t="s">
        <v>8</v>
      </c>
      <c r="EP613" s="27" t="s">
        <v>7</v>
      </c>
      <c r="EQ613" s="27" t="s">
        <v>8</v>
      </c>
      <c r="ET613" s="27" t="s">
        <v>7</v>
      </c>
      <c r="EU613" s="27" t="s">
        <v>8</v>
      </c>
      <c r="FJ613" s="27" t="s">
        <v>7</v>
      </c>
      <c r="FO613" s="27" t="s">
        <v>8</v>
      </c>
      <c r="FQ613" s="27" t="s">
        <v>8</v>
      </c>
      <c r="FT613" s="27" t="s">
        <v>7</v>
      </c>
      <c r="FV613" s="27" t="s">
        <v>7</v>
      </c>
      <c r="FX613" s="27" t="s">
        <v>7</v>
      </c>
      <c r="FY613" s="27" t="s">
        <v>8</v>
      </c>
      <c r="HD613" s="27" t="s">
        <v>7</v>
      </c>
    </row>
    <row r="614" spans="1:217" x14ac:dyDescent="0.25">
      <c r="A614" s="7">
        <v>0.58586204395259456</v>
      </c>
      <c r="B614"/>
      <c r="C614"/>
      <c r="D614"/>
      <c r="E614"/>
      <c r="F614" s="27" t="s">
        <v>7</v>
      </c>
      <c r="DC614" s="27" t="s">
        <v>8</v>
      </c>
      <c r="DE614" s="27" t="s">
        <v>8</v>
      </c>
      <c r="EP614" s="27" t="s">
        <v>7</v>
      </c>
      <c r="EQ614" s="27" t="s">
        <v>8</v>
      </c>
      <c r="ET614" s="27" t="s">
        <v>7</v>
      </c>
      <c r="EU614" s="27" t="s">
        <v>8</v>
      </c>
      <c r="FJ614" s="27" t="s">
        <v>7</v>
      </c>
      <c r="FM614" s="27" t="s">
        <v>8</v>
      </c>
      <c r="FO614" s="27" t="s">
        <v>8</v>
      </c>
      <c r="FP614" s="27" t="s">
        <v>7</v>
      </c>
      <c r="FQ614" s="27" t="s">
        <v>8</v>
      </c>
      <c r="FX614" s="27" t="s">
        <v>7</v>
      </c>
      <c r="FY614" s="27" t="s">
        <v>8</v>
      </c>
    </row>
    <row r="615" spans="1:217" x14ac:dyDescent="0.25">
      <c r="A615" s="7">
        <v>0.57437455289470052</v>
      </c>
      <c r="B615"/>
      <c r="C615"/>
      <c r="D615"/>
      <c r="E615"/>
      <c r="F615" s="27" t="s">
        <v>7</v>
      </c>
      <c r="DC615" s="27" t="s">
        <v>8</v>
      </c>
      <c r="DD615" s="27" t="s">
        <v>7</v>
      </c>
      <c r="DE615" s="27" t="s">
        <v>8</v>
      </c>
      <c r="EP615" s="27" t="s">
        <v>7</v>
      </c>
      <c r="EQ615" s="27" t="s">
        <v>8</v>
      </c>
      <c r="ET615" s="27" t="s">
        <v>7</v>
      </c>
      <c r="EU615" s="27" t="s">
        <v>8</v>
      </c>
      <c r="FJ615" s="27" t="s">
        <v>7</v>
      </c>
      <c r="FM615" s="27" t="s">
        <v>8</v>
      </c>
      <c r="FN615" s="27" t="s">
        <v>7</v>
      </c>
      <c r="FO615" s="27" t="s">
        <v>8</v>
      </c>
      <c r="FP615" s="27" t="s">
        <v>7</v>
      </c>
      <c r="FQ615" s="27" t="s">
        <v>8</v>
      </c>
      <c r="FX615" s="27" t="s">
        <v>7</v>
      </c>
      <c r="FY615" s="27" t="s">
        <v>8</v>
      </c>
    </row>
    <row r="616" spans="1:217" x14ac:dyDescent="0.25">
      <c r="A616" s="7">
        <v>0.56311230675951029</v>
      </c>
      <c r="B616"/>
      <c r="C616"/>
      <c r="D616"/>
      <c r="E616"/>
      <c r="F616" s="27" t="s">
        <v>7</v>
      </c>
      <c r="DC616" s="27" t="s">
        <v>8</v>
      </c>
      <c r="DD616" s="27" t="s">
        <v>7</v>
      </c>
      <c r="DE616" s="27" t="s">
        <v>8</v>
      </c>
      <c r="EP616" s="27" t="s">
        <v>7</v>
      </c>
      <c r="EQ616" s="27" t="s">
        <v>8</v>
      </c>
      <c r="ET616" s="27" t="s">
        <v>7</v>
      </c>
      <c r="EU616" s="27" t="s">
        <v>8</v>
      </c>
      <c r="FJ616" s="27" t="s">
        <v>7</v>
      </c>
      <c r="FM616" s="27" t="s">
        <v>8</v>
      </c>
      <c r="FN616" s="27" t="s">
        <v>7</v>
      </c>
      <c r="FO616" s="27" t="s">
        <v>8</v>
      </c>
      <c r="FP616" s="27" t="s">
        <v>7</v>
      </c>
      <c r="FQ616" s="27" t="s">
        <v>8</v>
      </c>
      <c r="FX616" s="18" t="s">
        <v>7</v>
      </c>
      <c r="FY616" s="27" t="s">
        <v>8</v>
      </c>
    </row>
    <row r="617" spans="1:217" x14ac:dyDescent="0.25">
      <c r="A617" s="7">
        <v>0.55207088897991208</v>
      </c>
      <c r="B617"/>
      <c r="C617"/>
      <c r="D617"/>
      <c r="E617"/>
      <c r="F617" s="27" t="s">
        <v>7</v>
      </c>
      <c r="DC617" s="27" t="s">
        <v>8</v>
      </c>
      <c r="DD617" s="27" t="s">
        <v>7</v>
      </c>
      <c r="DE617" s="27" t="s">
        <v>8</v>
      </c>
      <c r="EP617" s="27" t="s">
        <v>7</v>
      </c>
      <c r="EQ617" s="27" t="s">
        <v>8</v>
      </c>
      <c r="ET617" s="27" t="s">
        <v>7</v>
      </c>
      <c r="EU617" s="27" t="s">
        <v>8</v>
      </c>
      <c r="FJ617" s="27" t="s">
        <v>7</v>
      </c>
      <c r="FM617" s="27" t="s">
        <v>8</v>
      </c>
      <c r="FN617" s="27" t="s">
        <v>7</v>
      </c>
      <c r="FO617" s="27" t="s">
        <v>8</v>
      </c>
      <c r="FP617" s="27" t="s">
        <v>7</v>
      </c>
      <c r="FQ617" s="27" t="s">
        <v>8</v>
      </c>
      <c r="FX617" s="27" t="s">
        <v>7</v>
      </c>
      <c r="FY617" s="27" t="s">
        <v>8</v>
      </c>
    </row>
    <row r="618" spans="1:217" x14ac:dyDescent="0.25">
      <c r="A618" s="7">
        <v>0.54124596958814908</v>
      </c>
      <c r="B618"/>
      <c r="C618"/>
      <c r="D618"/>
      <c r="E618"/>
      <c r="F618" s="27" t="s">
        <v>7</v>
      </c>
      <c r="DC618" s="27" t="s">
        <v>8</v>
      </c>
      <c r="DD618" s="27" t="s">
        <v>7</v>
      </c>
      <c r="DE618" s="27" t="s">
        <v>8</v>
      </c>
      <c r="EP618" s="27" t="s">
        <v>7</v>
      </c>
      <c r="EQ618" s="27" t="s">
        <v>8</v>
      </c>
      <c r="ET618" s="27" t="s">
        <v>7</v>
      </c>
      <c r="EU618" s="27" t="s">
        <v>8</v>
      </c>
      <c r="FJ618" s="27" t="s">
        <v>7</v>
      </c>
      <c r="FK618" s="27" t="s">
        <v>8</v>
      </c>
      <c r="FM618" s="27" t="s">
        <v>8</v>
      </c>
      <c r="FN618" s="27" t="s">
        <v>7</v>
      </c>
      <c r="FO618" s="27" t="s">
        <v>8</v>
      </c>
      <c r="FP618" s="27" t="s">
        <v>7</v>
      </c>
      <c r="FQ618" s="27" t="s">
        <v>8</v>
      </c>
      <c r="FX618" s="27" t="s">
        <v>7</v>
      </c>
      <c r="FY618" s="27" t="s">
        <v>8</v>
      </c>
    </row>
    <row r="619" spans="1:217" x14ac:dyDescent="0.25">
      <c r="A619" s="7">
        <v>0.53063330351779314</v>
      </c>
      <c r="B619"/>
      <c r="C619"/>
      <c r="D619"/>
      <c r="E619"/>
      <c r="F619" s="27" t="s">
        <v>7</v>
      </c>
      <c r="DC619" s="27" t="s">
        <v>8</v>
      </c>
      <c r="DD619" s="27" t="s">
        <v>7</v>
      </c>
      <c r="DE619" s="27" t="s">
        <v>8</v>
      </c>
      <c r="EP619" s="27" t="s">
        <v>7</v>
      </c>
      <c r="EQ619" s="27" t="s">
        <v>8</v>
      </c>
      <c r="ET619" s="27" t="s">
        <v>7</v>
      </c>
      <c r="EU619" s="27" t="s">
        <v>8</v>
      </c>
      <c r="FJ619" s="27" t="s">
        <v>7</v>
      </c>
      <c r="FK619" s="27" t="s">
        <v>8</v>
      </c>
      <c r="FL619" s="27" t="s">
        <v>7</v>
      </c>
      <c r="FM619" s="27" t="s">
        <v>8</v>
      </c>
      <c r="FN619" s="27" t="s">
        <v>7</v>
      </c>
      <c r="FO619" s="27" t="s">
        <v>8</v>
      </c>
      <c r="FP619" s="27" t="s">
        <v>7</v>
      </c>
      <c r="FX619" s="27" t="s">
        <v>7</v>
      </c>
      <c r="FY619" s="27" t="s">
        <v>8</v>
      </c>
    </row>
    <row r="620" spans="1:217" x14ac:dyDescent="0.25">
      <c r="A620" s="7">
        <v>0.52022872893901284</v>
      </c>
      <c r="B620"/>
      <c r="C620"/>
      <c r="D620"/>
      <c r="E620"/>
      <c r="F620" s="27" t="s">
        <v>7</v>
      </c>
      <c r="DC620" s="27" t="s">
        <v>8</v>
      </c>
      <c r="DD620" s="27" t="s">
        <v>7</v>
      </c>
      <c r="DE620" s="27" t="s">
        <v>8</v>
      </c>
      <c r="EP620" s="27" t="s">
        <v>7</v>
      </c>
      <c r="EQ620" s="27" t="s">
        <v>8</v>
      </c>
      <c r="ET620" s="27" t="s">
        <v>7</v>
      </c>
      <c r="EU620" s="27" t="s">
        <v>8</v>
      </c>
      <c r="FJ620" s="27" t="s">
        <v>7</v>
      </c>
      <c r="FK620" s="27" t="s">
        <v>8</v>
      </c>
      <c r="FL620" s="27" t="s">
        <v>7</v>
      </c>
      <c r="FM620" s="27" t="s">
        <v>8</v>
      </c>
      <c r="FN620" s="27" t="s">
        <v>7</v>
      </c>
      <c r="FO620" s="27" t="s">
        <v>8</v>
      </c>
      <c r="FX620" s="27" t="s">
        <v>7</v>
      </c>
      <c r="FY620" s="27" t="s">
        <v>8</v>
      </c>
    </row>
    <row r="621" spans="1:217" x14ac:dyDescent="0.25">
      <c r="A621" s="7">
        <v>0.51002816562648323</v>
      </c>
      <c r="B621"/>
      <c r="C621"/>
      <c r="D621"/>
      <c r="E621"/>
      <c r="F621" s="27" t="s">
        <v>7</v>
      </c>
      <c r="DC621" s="27" t="s">
        <v>8</v>
      </c>
      <c r="DD621" s="27" t="s">
        <v>7</v>
      </c>
      <c r="DE621" s="27" t="s">
        <v>8</v>
      </c>
      <c r="EP621" s="27" t="s">
        <v>7</v>
      </c>
      <c r="EQ621" s="27" t="s">
        <v>8</v>
      </c>
      <c r="ET621" s="27" t="s">
        <v>7</v>
      </c>
      <c r="EU621" s="27" t="s">
        <v>8</v>
      </c>
      <c r="FJ621" s="27" t="s">
        <v>7</v>
      </c>
      <c r="FK621" s="27" t="s">
        <v>8</v>
      </c>
      <c r="FL621" s="27" t="s">
        <v>7</v>
      </c>
      <c r="FM621" s="27" t="s">
        <v>8</v>
      </c>
      <c r="FN621" s="27" t="s">
        <v>7</v>
      </c>
      <c r="FX621" s="27" t="s">
        <v>7</v>
      </c>
      <c r="FY621" s="27" t="s">
        <v>8</v>
      </c>
    </row>
    <row r="622" spans="1:217" x14ac:dyDescent="0.25">
      <c r="A622" s="7">
        <v>0.50002761335929735</v>
      </c>
      <c r="B622"/>
      <c r="C622"/>
      <c r="D622"/>
      <c r="E622"/>
      <c r="F622" s="27" t="s">
        <v>7</v>
      </c>
      <c r="DC622" s="27" t="s">
        <v>8</v>
      </c>
      <c r="DD622" s="27" t="s">
        <v>7</v>
      </c>
      <c r="DE622" s="27" t="s">
        <v>8</v>
      </c>
      <c r="EP622" s="27" t="s">
        <v>7</v>
      </c>
      <c r="ET622" s="27" t="s">
        <v>7</v>
      </c>
      <c r="EU622" s="27" t="s">
        <v>8</v>
      </c>
      <c r="FJ622" s="27" t="s">
        <v>7</v>
      </c>
      <c r="FK622" s="27" t="s">
        <v>8</v>
      </c>
      <c r="FL622" s="27" t="s">
        <v>7</v>
      </c>
      <c r="FM622" s="27" t="s">
        <v>8</v>
      </c>
      <c r="FX622" s="27" t="s">
        <v>7</v>
      </c>
    </row>
    <row r="623" spans="1:217" x14ac:dyDescent="0.25">
      <c r="A623" s="7">
        <v>0.49022315035225228</v>
      </c>
      <c r="B623"/>
      <c r="C623"/>
      <c r="D623"/>
      <c r="E623"/>
      <c r="F623" s="27" t="s">
        <v>7</v>
      </c>
      <c r="DC623" s="27" t="s">
        <v>8</v>
      </c>
      <c r="DD623" s="27" t="s">
        <v>7</v>
      </c>
      <c r="DE623" s="27" t="s">
        <v>8</v>
      </c>
      <c r="ET623" s="27" t="s">
        <v>7</v>
      </c>
      <c r="FJ623" s="27" t="s">
        <v>7</v>
      </c>
      <c r="FK623" s="27" t="s">
        <v>8</v>
      </c>
      <c r="FL623" s="27" t="s">
        <v>7</v>
      </c>
      <c r="FM623" s="27" t="s">
        <v>8</v>
      </c>
    </row>
    <row r="624" spans="1:217" x14ac:dyDescent="0.25">
      <c r="A624" s="7">
        <v>0.48061093171789437</v>
      </c>
      <c r="B624"/>
      <c r="C624"/>
      <c r="D624"/>
      <c r="E624"/>
      <c r="F624" s="27" t="s">
        <v>7</v>
      </c>
      <c r="DC624" s="27" t="s">
        <v>8</v>
      </c>
      <c r="DD624" s="27" t="s">
        <v>7</v>
      </c>
      <c r="DE624" s="27" t="s">
        <v>8</v>
      </c>
      <c r="FJ624" s="27" t="s">
        <v>7</v>
      </c>
      <c r="FK624" s="27" t="s">
        <v>8</v>
      </c>
      <c r="FL624" s="27" t="s">
        <v>7</v>
      </c>
      <c r="FM624" s="27" t="s">
        <v>8</v>
      </c>
    </row>
    <row r="625" spans="1:169" x14ac:dyDescent="0.25">
      <c r="A625" s="7">
        <v>0.47118718795871994</v>
      </c>
      <c r="B625"/>
      <c r="C625"/>
      <c r="D625"/>
      <c r="E625"/>
      <c r="F625" s="27" t="s">
        <v>7</v>
      </c>
      <c r="DC625" s="27" t="s">
        <v>8</v>
      </c>
      <c r="DD625" s="27" t="s">
        <v>7</v>
      </c>
      <c r="FJ625" s="27" t="s">
        <v>7</v>
      </c>
      <c r="FK625" s="27" t="s">
        <v>8</v>
      </c>
      <c r="FL625" s="27" t="s">
        <v>7</v>
      </c>
      <c r="FM625" s="27" t="s">
        <v>8</v>
      </c>
    </row>
    <row r="626" spans="1:169" x14ac:dyDescent="0.25">
      <c r="A626" s="7">
        <v>0.46194822348894116</v>
      </c>
      <c r="B626"/>
      <c r="C626"/>
      <c r="D626"/>
      <c r="E626"/>
      <c r="F626" s="27" t="s">
        <v>7</v>
      </c>
      <c r="DC626" s="27" t="s">
        <v>8</v>
      </c>
      <c r="FJ626" s="27" t="s">
        <v>7</v>
      </c>
      <c r="FK626" s="27" t="s">
        <v>8</v>
      </c>
      <c r="FL626" s="27" t="s">
        <v>7</v>
      </c>
      <c r="FM626" s="27" t="s">
        <v>8</v>
      </c>
    </row>
    <row r="627" spans="1:169" x14ac:dyDescent="0.25">
      <c r="A627" s="7">
        <v>0.45289041518523643</v>
      </c>
      <c r="B627"/>
      <c r="C627"/>
      <c r="D627"/>
      <c r="E627"/>
      <c r="F627" s="27" t="s">
        <v>7</v>
      </c>
      <c r="DC627" s="27" t="s">
        <v>8</v>
      </c>
      <c r="FJ627" s="27" t="s">
        <v>7</v>
      </c>
      <c r="FK627" s="27" t="s">
        <v>8</v>
      </c>
      <c r="FL627" s="27" t="s">
        <v>7</v>
      </c>
      <c r="FM627" s="27" t="s">
        <v>8</v>
      </c>
    </row>
    <row r="628" spans="1:169" x14ac:dyDescent="0.25">
      <c r="A628" s="7">
        <v>0.44401021096591808</v>
      </c>
      <c r="B628"/>
      <c r="C628"/>
      <c r="D628"/>
      <c r="E628"/>
      <c r="F628" s="27" t="s">
        <v>7</v>
      </c>
      <c r="DA628" s="27" t="s">
        <v>8</v>
      </c>
      <c r="DC628" s="27" t="s">
        <v>8</v>
      </c>
      <c r="FJ628" s="27" t="s">
        <v>7</v>
      </c>
      <c r="FK628" s="27" t="s">
        <v>8</v>
      </c>
      <c r="FL628" s="27" t="s">
        <v>7</v>
      </c>
    </row>
    <row r="629" spans="1:169" x14ac:dyDescent="0.25">
      <c r="A629" s="7">
        <v>0.4353041283979589</v>
      </c>
      <c r="B629"/>
      <c r="C629"/>
      <c r="D629"/>
      <c r="E629"/>
      <c r="F629" s="27" t="s">
        <v>7</v>
      </c>
      <c r="DA629" s="27" t="s">
        <v>8</v>
      </c>
      <c r="DB629" s="27" t="s">
        <v>7</v>
      </c>
      <c r="DC629" s="27" t="s">
        <v>8</v>
      </c>
      <c r="FJ629" s="27" t="s">
        <v>7</v>
      </c>
      <c r="FK629" s="27" t="s">
        <v>8</v>
      </c>
    </row>
    <row r="630" spans="1:169" x14ac:dyDescent="0.25">
      <c r="A630" s="7">
        <v>0.4267687533313323</v>
      </c>
      <c r="B630"/>
      <c r="C630"/>
      <c r="D630"/>
      <c r="E630"/>
      <c r="F630" s="27" t="s">
        <v>7</v>
      </c>
      <c r="DA630" s="27" t="s">
        <v>8</v>
      </c>
      <c r="DB630" s="27" t="s">
        <v>7</v>
      </c>
      <c r="DC630" s="27" t="s">
        <v>8</v>
      </c>
      <c r="FJ630" s="27" t="s">
        <v>7</v>
      </c>
      <c r="FK630" s="27" t="s">
        <v>8</v>
      </c>
    </row>
    <row r="631" spans="1:169" x14ac:dyDescent="0.25">
      <c r="A631" s="7">
        <v>0.41840073856012971</v>
      </c>
      <c r="B631"/>
      <c r="C631"/>
      <c r="D631"/>
      <c r="E631"/>
      <c r="F631" s="27" t="s">
        <v>7</v>
      </c>
      <c r="DA631" s="27" t="s">
        <v>8</v>
      </c>
      <c r="DB631" s="27" t="s">
        <v>7</v>
      </c>
      <c r="DC631" s="27" t="s">
        <v>8</v>
      </c>
      <c r="FJ631" s="27" t="s">
        <v>7</v>
      </c>
      <c r="FK631" s="27" t="s">
        <v>8</v>
      </c>
    </row>
    <row r="632" spans="1:169" x14ac:dyDescent="0.25">
      <c r="A632" s="7">
        <v>0.41019680250993112</v>
      </c>
      <c r="B632"/>
      <c r="C632"/>
      <c r="D632"/>
      <c r="E632"/>
      <c r="F632" s="27" t="s">
        <v>7</v>
      </c>
      <c r="DA632" s="27" t="s">
        <v>8</v>
      </c>
      <c r="DB632" s="27" t="s">
        <v>7</v>
      </c>
      <c r="DC632" s="27" t="s">
        <v>8</v>
      </c>
      <c r="FJ632" s="27" t="s">
        <v>7</v>
      </c>
      <c r="FK632" s="27" t="s">
        <v>8</v>
      </c>
    </row>
    <row r="633" spans="1:169" x14ac:dyDescent="0.25">
      <c r="A633" s="7">
        <v>0.40215372795091286</v>
      </c>
      <c r="B633"/>
      <c r="C633"/>
      <c r="D633"/>
      <c r="E633"/>
      <c r="F633" s="27" t="s">
        <v>7</v>
      </c>
      <c r="DA633" s="27" t="s">
        <v>8</v>
      </c>
      <c r="DB633" s="27" t="s">
        <v>7</v>
      </c>
      <c r="DC633" s="27" t="s">
        <v>8</v>
      </c>
      <c r="FJ633" s="27" t="s">
        <v>7</v>
      </c>
      <c r="FK633" s="27" t="s">
        <v>8</v>
      </c>
    </row>
    <row r="634" spans="1:169" x14ac:dyDescent="0.25">
      <c r="A634" s="7">
        <v>0.39426836073618904</v>
      </c>
      <c r="B634"/>
      <c r="C634"/>
      <c r="D634"/>
      <c r="E634"/>
      <c r="F634" s="27" t="s">
        <v>7</v>
      </c>
      <c r="DA634" s="27" t="s">
        <v>8</v>
      </c>
      <c r="DB634" s="27" t="s">
        <v>7</v>
      </c>
      <c r="DC634" s="27" t="s">
        <v>8</v>
      </c>
      <c r="FJ634" s="27" t="s">
        <v>7</v>
      </c>
      <c r="FK634" s="27" t="s">
        <v>8</v>
      </c>
    </row>
    <row r="635" spans="1:169" x14ac:dyDescent="0.25">
      <c r="A635" s="7">
        <v>0.38653760856489122</v>
      </c>
      <c r="B635"/>
      <c r="C635"/>
      <c r="D635"/>
      <c r="E635"/>
      <c r="F635" s="27" t="s">
        <v>7</v>
      </c>
      <c r="DA635" s="27" t="s">
        <v>8</v>
      </c>
      <c r="DB635" s="27" t="s">
        <v>7</v>
      </c>
      <c r="DC635" s="27" t="s">
        <v>8</v>
      </c>
      <c r="FJ635" s="27" t="s">
        <v>7</v>
      </c>
      <c r="FK635" s="27" t="s">
        <v>8</v>
      </c>
    </row>
    <row r="636" spans="1:169" x14ac:dyDescent="0.25">
      <c r="A636" s="7">
        <v>0.37895843976950117</v>
      </c>
      <c r="B636"/>
      <c r="C636"/>
      <c r="D636"/>
      <c r="E636"/>
      <c r="F636" s="27" t="s">
        <v>7</v>
      </c>
      <c r="DA636" s="27" t="s">
        <v>8</v>
      </c>
      <c r="DB636" s="27" t="s">
        <v>7</v>
      </c>
      <c r="DC636" s="27" t="s">
        <v>8</v>
      </c>
      <c r="FJ636" s="27" t="s">
        <v>7</v>
      </c>
      <c r="FK636" s="27" t="s">
        <v>8</v>
      </c>
    </row>
    <row r="637" spans="1:169" x14ac:dyDescent="0.25">
      <c r="A637" s="7">
        <v>0.37152788212696197</v>
      </c>
      <c r="B637"/>
      <c r="C637"/>
      <c r="D637"/>
      <c r="E637"/>
      <c r="F637" s="27" t="s">
        <v>7</v>
      </c>
      <c r="CO637" s="27" t="s">
        <v>8</v>
      </c>
      <c r="DA637" s="27" t="s">
        <v>8</v>
      </c>
      <c r="DB637" s="27" t="s">
        <v>7</v>
      </c>
      <c r="DC637" s="27" t="s">
        <v>8</v>
      </c>
      <c r="FJ637" s="27" t="s">
        <v>7</v>
      </c>
    </row>
    <row r="638" spans="1:169" x14ac:dyDescent="0.25">
      <c r="A638" s="7">
        <v>0.36424302169310002</v>
      </c>
      <c r="B638"/>
      <c r="C638"/>
      <c r="D638"/>
      <c r="E638"/>
      <c r="F638" s="27" t="s">
        <v>7</v>
      </c>
      <c r="CO638" s="27" t="s">
        <v>8</v>
      </c>
      <c r="CP638" s="27" t="s">
        <v>7</v>
      </c>
      <c r="DA638" s="27" t="s">
        <v>8</v>
      </c>
      <c r="DB638" s="27" t="s">
        <v>7</v>
      </c>
      <c r="DC638" s="27" t="s">
        <v>8</v>
      </c>
    </row>
    <row r="639" spans="1:169" x14ac:dyDescent="0.25">
      <c r="A639" s="7">
        <v>0.35710100165990194</v>
      </c>
      <c r="B639"/>
      <c r="C639"/>
      <c r="D639"/>
      <c r="E639"/>
      <c r="F639" s="27" t="s">
        <v>7</v>
      </c>
      <c r="CO639" s="27" t="s">
        <v>8</v>
      </c>
      <c r="CP639" s="27" t="s">
        <v>7</v>
      </c>
      <c r="CS639" s="27" t="s">
        <v>8</v>
      </c>
      <c r="DA639" s="27" t="s">
        <v>8</v>
      </c>
      <c r="DB639" s="27" t="s">
        <v>7</v>
      </c>
      <c r="DC639" s="27" t="s">
        <v>8</v>
      </c>
    </row>
    <row r="640" spans="1:169" x14ac:dyDescent="0.25">
      <c r="A640" s="7">
        <v>0.35009902123519804</v>
      </c>
      <c r="B640"/>
      <c r="C640"/>
      <c r="D640"/>
      <c r="E640"/>
      <c r="F640" s="27" t="s">
        <v>7</v>
      </c>
      <c r="CO640" s="27" t="s">
        <v>8</v>
      </c>
      <c r="CP640" s="27" t="s">
        <v>7</v>
      </c>
      <c r="CS640" s="27" t="s">
        <v>8</v>
      </c>
      <c r="CT640" s="27" t="s">
        <v>7</v>
      </c>
      <c r="DA640" s="27" t="s">
        <v>8</v>
      </c>
      <c r="DB640" s="27" t="s">
        <v>7</v>
      </c>
      <c r="DC640" s="27" t="s">
        <v>8</v>
      </c>
    </row>
    <row r="641" spans="1:106" x14ac:dyDescent="0.25">
      <c r="A641" s="7">
        <v>0.34323433454431179</v>
      </c>
      <c r="B641"/>
      <c r="C641"/>
      <c r="D641"/>
      <c r="E641"/>
      <c r="F641" s="27" t="s">
        <v>7</v>
      </c>
      <c r="CO641" s="27" t="s">
        <v>8</v>
      </c>
      <c r="CP641" s="27" t="s">
        <v>7</v>
      </c>
      <c r="CS641" s="27" t="s">
        <v>8</v>
      </c>
      <c r="CT641" s="27" t="s">
        <v>7</v>
      </c>
      <c r="DA641" s="27" t="s">
        <v>8</v>
      </c>
      <c r="DB641" s="27" t="s">
        <v>7</v>
      </c>
    </row>
    <row r="642" spans="1:106" x14ac:dyDescent="0.25">
      <c r="A642" s="7">
        <v>0.33650424955324681</v>
      </c>
      <c r="B642"/>
      <c r="C642"/>
      <c r="D642"/>
      <c r="E642"/>
      <c r="F642" s="27" t="s">
        <v>7</v>
      </c>
      <c r="CO642" s="27" t="s">
        <v>8</v>
      </c>
      <c r="CP642" s="27" t="s">
        <v>7</v>
      </c>
      <c r="CS642" s="27" t="s">
        <v>8</v>
      </c>
      <c r="CT642" s="27" t="s">
        <v>7</v>
      </c>
      <c r="DA642" s="27" t="s">
        <v>8</v>
      </c>
    </row>
    <row r="643" spans="1:106" x14ac:dyDescent="0.25">
      <c r="A643" s="7">
        <v>0.3299061270129871</v>
      </c>
      <c r="B643"/>
      <c r="C643"/>
      <c r="D643"/>
      <c r="E643"/>
      <c r="F643" s="27" t="s">
        <v>7</v>
      </c>
      <c r="CO643" s="27" t="s">
        <v>8</v>
      </c>
      <c r="CP643" s="27" t="s">
        <v>7</v>
      </c>
      <c r="CS643" s="27" t="s">
        <v>8</v>
      </c>
      <c r="CT643" s="27" t="s">
        <v>7</v>
      </c>
      <c r="DA643" s="27" t="s">
        <v>8</v>
      </c>
    </row>
    <row r="644" spans="1:106" x14ac:dyDescent="0.25">
      <c r="A644" s="7">
        <v>0.32343737942449713</v>
      </c>
      <c r="B644"/>
      <c r="C644"/>
      <c r="D644"/>
      <c r="E644"/>
      <c r="F644" s="27" t="s">
        <v>7</v>
      </c>
      <c r="CO644" s="27" t="s">
        <v>8</v>
      </c>
      <c r="CP644" s="27" t="s">
        <v>7</v>
      </c>
      <c r="CS644" s="27" t="s">
        <v>8</v>
      </c>
      <c r="CT644" s="27" t="s">
        <v>7</v>
      </c>
      <c r="CU644" s="27" t="s">
        <v>8</v>
      </c>
      <c r="DA644" s="27" t="s">
        <v>8</v>
      </c>
    </row>
    <row r="645" spans="1:106" x14ac:dyDescent="0.25">
      <c r="A645" s="7">
        <v>0.31709547002401678</v>
      </c>
      <c r="B645"/>
      <c r="C645"/>
      <c r="D645"/>
      <c r="E645"/>
      <c r="F645" s="27" t="s">
        <v>7</v>
      </c>
      <c r="CO645" s="27" t="s">
        <v>8</v>
      </c>
      <c r="CP645" s="27" t="s">
        <v>7</v>
      </c>
      <c r="CS645" s="27" t="s">
        <v>8</v>
      </c>
      <c r="CT645" s="27" t="s">
        <v>7</v>
      </c>
      <c r="CU645" s="27" t="s">
        <v>8</v>
      </c>
      <c r="CV645" s="27" t="s">
        <v>7</v>
      </c>
      <c r="DA645" s="27" t="s">
        <v>8</v>
      </c>
    </row>
    <row r="646" spans="1:106" x14ac:dyDescent="0.25">
      <c r="A646" s="7">
        <v>0.31087791178825175</v>
      </c>
      <c r="B646"/>
      <c r="C646"/>
      <c r="D646"/>
      <c r="E646"/>
      <c r="F646" s="27" t="s">
        <v>7</v>
      </c>
      <c r="CO646" s="27" t="s">
        <v>8</v>
      </c>
      <c r="CP646" s="27" t="s">
        <v>7</v>
      </c>
      <c r="CQ646" s="27" t="s">
        <v>8</v>
      </c>
      <c r="CS646" s="27" t="s">
        <v>8</v>
      </c>
      <c r="CT646" s="27" t="s">
        <v>7</v>
      </c>
      <c r="CU646" s="27" t="s">
        <v>8</v>
      </c>
      <c r="CV646" s="27" t="s">
        <v>7</v>
      </c>
      <c r="DA646" s="27" t="s">
        <v>8</v>
      </c>
    </row>
    <row r="647" spans="1:106" x14ac:dyDescent="0.25">
      <c r="A647" s="7">
        <v>0.30478226645907036</v>
      </c>
      <c r="B647"/>
      <c r="C647"/>
      <c r="D647"/>
      <c r="E647"/>
      <c r="F647" s="27" t="s">
        <v>7</v>
      </c>
      <c r="CO647" s="27" t="s">
        <v>8</v>
      </c>
      <c r="CP647" s="27" t="s">
        <v>7</v>
      </c>
      <c r="CQ647" s="27" t="s">
        <v>8</v>
      </c>
      <c r="CR647" s="27" t="s">
        <v>7</v>
      </c>
      <c r="CS647" s="27" t="s">
        <v>8</v>
      </c>
      <c r="CT647" s="27" t="s">
        <v>7</v>
      </c>
      <c r="CU647" s="27" t="s">
        <v>8</v>
      </c>
      <c r="CV647" s="27" t="s">
        <v>7</v>
      </c>
      <c r="DA647" s="27" t="s">
        <v>8</v>
      </c>
    </row>
    <row r="648" spans="1:106" x14ac:dyDescent="0.25">
      <c r="A648" s="7">
        <v>0.29880614358732388</v>
      </c>
      <c r="B648"/>
      <c r="C648"/>
      <c r="D648"/>
      <c r="E648"/>
      <c r="F648" s="27" t="s">
        <v>7</v>
      </c>
      <c r="CO648" s="27" t="s">
        <v>8</v>
      </c>
      <c r="CP648" s="27" t="s">
        <v>7</v>
      </c>
      <c r="CQ648" s="27" t="s">
        <v>8</v>
      </c>
      <c r="CR648" s="27" t="s">
        <v>7</v>
      </c>
      <c r="CS648" s="27" t="s">
        <v>8</v>
      </c>
      <c r="CT648" s="27" t="s">
        <v>7</v>
      </c>
      <c r="CU648" s="27" t="s">
        <v>8</v>
      </c>
      <c r="CV648" s="27" t="s">
        <v>7</v>
      </c>
      <c r="DA648" s="27" t="s">
        <v>8</v>
      </c>
    </row>
    <row r="649" spans="1:106" x14ac:dyDescent="0.25">
      <c r="A649" s="7">
        <v>0.2929471995954156</v>
      </c>
      <c r="B649"/>
      <c r="C649"/>
      <c r="D649"/>
      <c r="E649"/>
      <c r="F649" s="27" t="s">
        <v>7</v>
      </c>
      <c r="CO649" s="27" t="s">
        <v>8</v>
      </c>
      <c r="CP649" s="27" t="s">
        <v>7</v>
      </c>
      <c r="CQ649" s="27" t="s">
        <v>8</v>
      </c>
      <c r="CR649" s="27" t="s">
        <v>7</v>
      </c>
      <c r="CS649" s="27" t="s">
        <v>8</v>
      </c>
      <c r="CT649" s="27" t="s">
        <v>7</v>
      </c>
      <c r="CV649" s="27" t="s">
        <v>7</v>
      </c>
      <c r="DA649" s="27" t="s">
        <v>8</v>
      </c>
    </row>
    <row r="650" spans="1:106" x14ac:dyDescent="0.25">
      <c r="A650" s="7">
        <v>0.28720313685825055</v>
      </c>
      <c r="B650"/>
      <c r="C650"/>
      <c r="D650"/>
      <c r="E650"/>
      <c r="F650" s="27" t="s">
        <v>7</v>
      </c>
      <c r="CO650" s="27" t="s">
        <v>8</v>
      </c>
      <c r="CP650" s="27" t="s">
        <v>7</v>
      </c>
      <c r="CQ650" s="27" t="s">
        <v>8</v>
      </c>
      <c r="CR650" s="27" t="s">
        <v>7</v>
      </c>
      <c r="CS650" s="27" t="s">
        <v>8</v>
      </c>
      <c r="CV650" s="27" t="s">
        <v>7</v>
      </c>
      <c r="CW650" s="27" t="s">
        <v>8</v>
      </c>
      <c r="DA650" s="27" t="s">
        <v>8</v>
      </c>
    </row>
    <row r="651" spans="1:106" x14ac:dyDescent="0.25">
      <c r="A651" s="7">
        <v>0.28157170280220645</v>
      </c>
      <c r="B651"/>
      <c r="C651"/>
      <c r="D651"/>
      <c r="E651"/>
      <c r="F651" s="27" t="s">
        <v>7</v>
      </c>
      <c r="CM651" s="27" t="s">
        <v>8</v>
      </c>
      <c r="CO651" s="27" t="s">
        <v>8</v>
      </c>
      <c r="CP651" s="27" t="s">
        <v>7</v>
      </c>
      <c r="CQ651" s="27" t="s">
        <v>8</v>
      </c>
      <c r="CR651" s="27" t="s">
        <v>7</v>
      </c>
      <c r="CS651" s="27" t="s">
        <v>8</v>
      </c>
      <c r="CV651" s="27" t="s">
        <v>7</v>
      </c>
      <c r="CW651" s="27" t="s">
        <v>8</v>
      </c>
      <c r="CX651" s="27" t="s">
        <v>7</v>
      </c>
      <c r="DA651" s="27" t="s">
        <v>8</v>
      </c>
    </row>
    <row r="652" spans="1:106" x14ac:dyDescent="0.25">
      <c r="A652" s="7">
        <v>0.27605068902177105</v>
      </c>
      <c r="B652"/>
      <c r="C652"/>
      <c r="D652"/>
      <c r="E652"/>
      <c r="F652" s="27" t="s">
        <v>7</v>
      </c>
      <c r="CM652" s="27" t="s">
        <v>8</v>
      </c>
      <c r="CN652" s="27" t="s">
        <v>7</v>
      </c>
      <c r="CO652" s="27" t="s">
        <v>8</v>
      </c>
      <c r="CP652" s="27" t="s">
        <v>7</v>
      </c>
      <c r="CQ652" s="27" t="s">
        <v>8</v>
      </c>
      <c r="CR652" s="27" t="s">
        <v>7</v>
      </c>
      <c r="CS652" s="27" t="s">
        <v>8</v>
      </c>
      <c r="CV652" s="27" t="s">
        <v>7</v>
      </c>
      <c r="CW652" s="27" t="s">
        <v>8</v>
      </c>
      <c r="CX652" s="27" t="s">
        <v>7</v>
      </c>
      <c r="DA652" s="27" t="s">
        <v>8</v>
      </c>
    </row>
    <row r="653" spans="1:106" x14ac:dyDescent="0.25">
      <c r="A653" s="7">
        <v>0.27063793041350104</v>
      </c>
      <c r="B653"/>
      <c r="C653"/>
      <c r="D653"/>
      <c r="E653"/>
      <c r="F653" s="27" t="s">
        <v>7</v>
      </c>
      <c r="CM653" s="27" t="s">
        <v>8</v>
      </c>
      <c r="CN653" s="27" t="s">
        <v>7</v>
      </c>
      <c r="CO653" s="27" t="s">
        <v>8</v>
      </c>
      <c r="CP653" s="27" t="s">
        <v>7</v>
      </c>
      <c r="CQ653" s="27" t="s">
        <v>8</v>
      </c>
      <c r="CR653" s="27" t="s">
        <v>7</v>
      </c>
      <c r="CV653" s="27" t="s">
        <v>7</v>
      </c>
      <c r="CW653" s="27" t="s">
        <v>8</v>
      </c>
      <c r="CX653" s="27" t="s">
        <v>7</v>
      </c>
      <c r="DA653" s="27" t="s">
        <v>8</v>
      </c>
    </row>
    <row r="654" spans="1:106" x14ac:dyDescent="0.25">
      <c r="A654" s="7">
        <v>0.26533130432696184</v>
      </c>
      <c r="B654"/>
      <c r="C654"/>
      <c r="D654"/>
      <c r="E654"/>
      <c r="F654" s="27" t="s">
        <v>7</v>
      </c>
      <c r="CM654" s="27" t="s">
        <v>8</v>
      </c>
      <c r="CN654" s="27" t="s">
        <v>7</v>
      </c>
      <c r="CO654" s="27" t="s">
        <v>8</v>
      </c>
      <c r="CP654" s="27" t="s">
        <v>7</v>
      </c>
      <c r="CQ654" s="27" t="s">
        <v>8</v>
      </c>
      <c r="CV654" s="27" t="s">
        <v>7</v>
      </c>
      <c r="CW654" s="27" t="s">
        <v>8</v>
      </c>
      <c r="CX654" s="27" t="s">
        <v>7</v>
      </c>
      <c r="DA654" s="27" t="s">
        <v>8</v>
      </c>
    </row>
    <row r="655" spans="1:106" x14ac:dyDescent="0.25">
      <c r="A655" s="7">
        <v>0.26012872973231554</v>
      </c>
      <c r="B655"/>
      <c r="C655"/>
      <c r="D655"/>
      <c r="E655"/>
      <c r="F655" s="27" t="s">
        <v>7</v>
      </c>
      <c r="CM655" s="27" t="s">
        <v>8</v>
      </c>
      <c r="CN655" s="27" t="s">
        <v>7</v>
      </c>
      <c r="CO655" s="27" t="s">
        <v>8</v>
      </c>
      <c r="CP655" s="27" t="s">
        <v>7</v>
      </c>
      <c r="CV655" s="27" t="s">
        <v>7</v>
      </c>
      <c r="CW655" s="27" t="s">
        <v>8</v>
      </c>
      <c r="CX655" s="27" t="s">
        <v>7</v>
      </c>
      <c r="CY655" s="27" t="s">
        <v>8</v>
      </c>
      <c r="DA655" s="27" t="s">
        <v>8</v>
      </c>
    </row>
    <row r="656" spans="1:106" x14ac:dyDescent="0.25">
      <c r="A656" s="7">
        <v>0.25502816640423093</v>
      </c>
      <c r="B656"/>
      <c r="C656"/>
      <c r="D656"/>
      <c r="E656"/>
      <c r="F656" s="27" t="s">
        <v>7</v>
      </c>
      <c r="CM656" s="27" t="s">
        <v>8</v>
      </c>
      <c r="CN656" s="27" t="s">
        <v>7</v>
      </c>
      <c r="CO656" s="27" t="s">
        <v>8</v>
      </c>
      <c r="CV656" s="27" t="s">
        <v>7</v>
      </c>
      <c r="CW656" s="27" t="s">
        <v>8</v>
      </c>
      <c r="CX656" s="27" t="s">
        <v>7</v>
      </c>
      <c r="CY656" s="27" t="s">
        <v>8</v>
      </c>
      <c r="CZ656" s="27" t="s">
        <v>7</v>
      </c>
      <c r="DA656" s="27" t="s">
        <v>8</v>
      </c>
    </row>
    <row r="657" spans="1:105" x14ac:dyDescent="0.25">
      <c r="A657" s="7">
        <v>0.25002761412179503</v>
      </c>
      <c r="B657"/>
      <c r="C657"/>
      <c r="D657"/>
      <c r="E657"/>
      <c r="F657" s="27" t="s">
        <v>7</v>
      </c>
      <c r="CM657" s="27" t="s">
        <v>8</v>
      </c>
      <c r="CN657" s="27" t="s">
        <v>7</v>
      </c>
      <c r="CO657" s="27" t="s">
        <v>8</v>
      </c>
      <c r="CV657" s="27" t="s">
        <v>7</v>
      </c>
      <c r="CW657" s="27" t="s">
        <v>8</v>
      </c>
      <c r="CX657" s="27" t="s">
        <v>7</v>
      </c>
      <c r="CY657" s="27" t="s">
        <v>8</v>
      </c>
      <c r="CZ657" s="27" t="s">
        <v>7</v>
      </c>
      <c r="DA657" s="27" t="s">
        <v>8</v>
      </c>
    </row>
    <row r="658" spans="1:105" x14ac:dyDescent="0.25">
      <c r="A658" s="7">
        <v>0.24512511188411276</v>
      </c>
      <c r="B658"/>
      <c r="C658"/>
      <c r="D658"/>
      <c r="E658"/>
      <c r="F658" s="27" t="s">
        <v>7</v>
      </c>
      <c r="CM658" s="27" t="s">
        <v>8</v>
      </c>
      <c r="CN658" s="27" t="s">
        <v>7</v>
      </c>
      <c r="CO658" s="27" t="s">
        <v>8</v>
      </c>
      <c r="CV658" s="27" t="s">
        <v>7</v>
      </c>
      <c r="CW658" s="27" t="s">
        <v>8</v>
      </c>
      <c r="CX658" s="27" t="s">
        <v>7</v>
      </c>
      <c r="CY658" s="27" t="s">
        <v>8</v>
      </c>
      <c r="CZ658" s="27" t="s">
        <v>7</v>
      </c>
      <c r="DA658" s="27" t="s">
        <v>8</v>
      </c>
    </row>
    <row r="659" spans="1:105" x14ac:dyDescent="0.25">
      <c r="A659" s="7">
        <v>0.24031873714128701</v>
      </c>
      <c r="B659"/>
      <c r="C659"/>
      <c r="D659"/>
      <c r="E659"/>
      <c r="F659" s="27" t="s">
        <v>7</v>
      </c>
      <c r="CM659" s="27" t="s">
        <v>8</v>
      </c>
      <c r="CN659" s="27" t="s">
        <v>7</v>
      </c>
      <c r="CO659" s="27" t="s">
        <v>8</v>
      </c>
      <c r="CV659" s="27" t="s">
        <v>7</v>
      </c>
      <c r="CW659" s="27" t="s">
        <v>8</v>
      </c>
      <c r="CX659" s="27" t="s">
        <v>7</v>
      </c>
      <c r="CY659" s="27" t="s">
        <v>8</v>
      </c>
      <c r="CZ659" s="27" t="s">
        <v>7</v>
      </c>
      <c r="DA659" s="27" t="s">
        <v>8</v>
      </c>
    </row>
    <row r="660" spans="1:105" x14ac:dyDescent="0.25">
      <c r="A660" s="7">
        <v>0.23560660504047748</v>
      </c>
      <c r="B660"/>
      <c r="C660"/>
      <c r="D660"/>
      <c r="E660"/>
      <c r="F660" s="27" t="s">
        <v>7</v>
      </c>
      <c r="CM660" s="27" t="s">
        <v>8</v>
      </c>
      <c r="CN660" s="27" t="s">
        <v>7</v>
      </c>
      <c r="CO660" s="27" t="s">
        <v>8</v>
      </c>
      <c r="CV660" s="27" t="s">
        <v>7</v>
      </c>
      <c r="CW660" s="27" t="s">
        <v>8</v>
      </c>
      <c r="CX660" s="27" t="s">
        <v>7</v>
      </c>
      <c r="CY660" s="27" t="s">
        <v>8</v>
      </c>
      <c r="CZ660" s="27" t="s">
        <v>7</v>
      </c>
      <c r="DA660" s="27" t="s">
        <v>8</v>
      </c>
    </row>
    <row r="661" spans="1:105" x14ac:dyDescent="0.25">
      <c r="A661" s="7">
        <v>0.23098686768674265</v>
      </c>
      <c r="B661"/>
      <c r="C661"/>
      <c r="D661"/>
      <c r="E661"/>
      <c r="F661" s="27" t="s">
        <v>7</v>
      </c>
      <c r="CM661" s="27" t="s">
        <v>8</v>
      </c>
      <c r="CN661" s="27" t="s">
        <v>7</v>
      </c>
      <c r="CO661" s="27" t="s">
        <v>8</v>
      </c>
      <c r="CV661" s="27" t="s">
        <v>7</v>
      </c>
      <c r="CW661" s="27" t="s">
        <v>8</v>
      </c>
      <c r="CX661" s="27" t="s">
        <v>7</v>
      </c>
      <c r="CY661" s="27" t="s">
        <v>8</v>
      </c>
      <c r="CZ661" s="27" t="s">
        <v>7</v>
      </c>
      <c r="DA661" s="27" t="s">
        <v>8</v>
      </c>
    </row>
    <row r="662" spans="1:105" x14ac:dyDescent="0.25">
      <c r="A662" s="7">
        <v>0.22645771341837515</v>
      </c>
      <c r="B662"/>
      <c r="C662"/>
      <c r="D662"/>
      <c r="E662"/>
      <c r="F662" s="27" t="s">
        <v>7</v>
      </c>
      <c r="CM662" s="27" t="s">
        <v>8</v>
      </c>
      <c r="CN662" s="27" t="s">
        <v>7</v>
      </c>
      <c r="CV662" s="27" t="s">
        <v>7</v>
      </c>
      <c r="CW662" s="27" t="s">
        <v>8</v>
      </c>
      <c r="CX662" s="27" t="s">
        <v>7</v>
      </c>
      <c r="CZ662" s="27" t="s">
        <v>7</v>
      </c>
      <c r="DA662" s="27" t="s">
        <v>8</v>
      </c>
    </row>
    <row r="663" spans="1:105" x14ac:dyDescent="0.25">
      <c r="A663" s="7">
        <v>0.22201736609644623</v>
      </c>
      <c r="B663"/>
      <c r="C663"/>
      <c r="D663"/>
      <c r="E663"/>
      <c r="F663" s="27" t="s">
        <v>7</v>
      </c>
      <c r="CM663" s="27" t="s">
        <v>8</v>
      </c>
      <c r="CV663" s="27" t="s">
        <v>7</v>
      </c>
      <c r="CW663" s="27" t="s">
        <v>8</v>
      </c>
      <c r="CZ663" s="27" t="s">
        <v>7</v>
      </c>
    </row>
    <row r="664" spans="1:105" x14ac:dyDescent="0.25">
      <c r="A664" s="7">
        <v>0.21766408440828061</v>
      </c>
      <c r="B664"/>
      <c r="C664"/>
      <c r="D664"/>
      <c r="E664"/>
      <c r="F664" s="27" t="s">
        <v>7</v>
      </c>
      <c r="CM664" s="27" t="s">
        <v>8</v>
      </c>
      <c r="CV664" s="27" t="s">
        <v>7</v>
      </c>
      <c r="CW664" s="27" t="s">
        <v>8</v>
      </c>
    </row>
    <row r="665" spans="1:105" x14ac:dyDescent="0.25">
      <c r="A665" s="7">
        <v>0.21339616118458882</v>
      </c>
      <c r="B665"/>
      <c r="C665"/>
      <c r="D665"/>
      <c r="E665"/>
      <c r="F665" s="27" t="s">
        <v>7</v>
      </c>
      <c r="CM665" s="27" t="s">
        <v>8</v>
      </c>
      <c r="CV665" s="27" t="s">
        <v>7</v>
      </c>
      <c r="CW665" s="27" t="s">
        <v>8</v>
      </c>
    </row>
    <row r="666" spans="1:105" x14ac:dyDescent="0.25">
      <c r="A666" s="7">
        <v>0.20921192272998904</v>
      </c>
      <c r="B666"/>
      <c r="C666"/>
      <c r="D666"/>
      <c r="E666"/>
      <c r="F666" s="27" t="s">
        <v>7</v>
      </c>
      <c r="CM666" s="27" t="s">
        <v>8</v>
      </c>
      <c r="CV666" s="27" t="s">
        <v>7</v>
      </c>
      <c r="CW666" s="27" t="s">
        <v>8</v>
      </c>
    </row>
    <row r="667" spans="1:105" x14ac:dyDescent="0.25">
      <c r="A667" s="7">
        <v>0.20510972816665593</v>
      </c>
      <c r="B667"/>
      <c r="C667"/>
      <c r="D667"/>
      <c r="E667"/>
      <c r="F667" s="27" t="s">
        <v>7</v>
      </c>
      <c r="CM667" s="27" t="s">
        <v>8</v>
      </c>
      <c r="CV667" s="27" t="s">
        <v>7</v>
      </c>
      <c r="CW667" s="27" t="s">
        <v>8</v>
      </c>
    </row>
    <row r="668" spans="1:105" x14ac:dyDescent="0.25">
      <c r="A668" s="7">
        <v>0.20108796879083912</v>
      </c>
      <c r="B668"/>
      <c r="C668"/>
      <c r="D668"/>
      <c r="E668"/>
      <c r="F668" s="27" t="s">
        <v>7</v>
      </c>
      <c r="CG668" s="27" t="s">
        <v>8</v>
      </c>
      <c r="CM668" s="27" t="s">
        <v>8</v>
      </c>
      <c r="CV668" s="27" t="s">
        <v>7</v>
      </c>
      <c r="CW668" s="27" t="s">
        <v>8</v>
      </c>
    </row>
    <row r="669" spans="1:105" x14ac:dyDescent="0.25">
      <c r="A669" s="7">
        <v>0.19714506744199917</v>
      </c>
      <c r="B669"/>
      <c r="C669"/>
      <c r="D669"/>
      <c r="E669"/>
      <c r="F669" s="27" t="s">
        <v>7</v>
      </c>
      <c r="CG669" s="27" t="s">
        <v>8</v>
      </c>
      <c r="CH669" s="27" t="s">
        <v>7</v>
      </c>
      <c r="CM669" s="27" t="s">
        <v>8</v>
      </c>
      <c r="CV669" s="27" t="s">
        <v>7</v>
      </c>
      <c r="CW669" s="27" t="s">
        <v>8</v>
      </c>
    </row>
    <row r="670" spans="1:105" x14ac:dyDescent="0.25">
      <c r="A670" s="7">
        <v>0.19327947788431293</v>
      </c>
      <c r="B670"/>
      <c r="C670"/>
      <c r="D670"/>
      <c r="E670"/>
      <c r="F670" s="27" t="s">
        <v>7</v>
      </c>
      <c r="CG670" s="27" t="s">
        <v>8</v>
      </c>
      <c r="CH670" s="27" t="s">
        <v>7</v>
      </c>
      <c r="CM670" s="27" t="s">
        <v>8</v>
      </c>
      <c r="CV670" s="27" t="s">
        <v>7</v>
      </c>
      <c r="CW670" s="27" t="s">
        <v>8</v>
      </c>
    </row>
    <row r="671" spans="1:105" x14ac:dyDescent="0.25">
      <c r="A671" s="7">
        <v>0.18948968420030682</v>
      </c>
      <c r="B671"/>
      <c r="C671"/>
      <c r="D671"/>
      <c r="E671"/>
      <c r="F671" s="27" t="s">
        <v>7</v>
      </c>
      <c r="CG671" s="27" t="s">
        <v>8</v>
      </c>
      <c r="CH671" s="27" t="s">
        <v>7</v>
      </c>
      <c r="CM671" s="27" t="s">
        <v>8</v>
      </c>
      <c r="CV671" s="27" t="s">
        <v>7</v>
      </c>
    </row>
    <row r="672" spans="1:105" x14ac:dyDescent="0.25">
      <c r="A672" s="7">
        <v>0.18577420019637925</v>
      </c>
      <c r="B672"/>
      <c r="C672"/>
      <c r="D672"/>
      <c r="E672"/>
      <c r="F672" s="27" t="s">
        <v>7</v>
      </c>
      <c r="CG672" s="27" t="s">
        <v>8</v>
      </c>
      <c r="CH672" s="27" t="s">
        <v>7</v>
      </c>
      <c r="CM672" s="27" t="s">
        <v>8</v>
      </c>
    </row>
    <row r="673" spans="1:91" x14ac:dyDescent="0.25">
      <c r="A673" s="7">
        <v>0.18213156881997963</v>
      </c>
      <c r="B673"/>
      <c r="C673"/>
      <c r="D673"/>
      <c r="E673"/>
      <c r="F673" s="27" t="s">
        <v>7</v>
      </c>
      <c r="CG673" s="27" t="s">
        <v>8</v>
      </c>
      <c r="CH673" s="27" t="s">
        <v>7</v>
      </c>
      <c r="CK673" s="27" t="s">
        <v>8</v>
      </c>
      <c r="CM673" s="27" t="s">
        <v>8</v>
      </c>
    </row>
    <row r="674" spans="1:91" x14ac:dyDescent="0.25">
      <c r="A674" s="7">
        <v>0.17856036158821534</v>
      </c>
      <c r="B674"/>
      <c r="C674"/>
      <c r="D674"/>
      <c r="E674"/>
      <c r="F674" s="27" t="s">
        <v>7</v>
      </c>
      <c r="CG674" s="27" t="s">
        <v>8</v>
      </c>
      <c r="CH674" s="27" t="s">
        <v>7</v>
      </c>
      <c r="CK674" s="27" t="s">
        <v>8</v>
      </c>
      <c r="CL674" s="27" t="s">
        <v>7</v>
      </c>
      <c r="CM674" s="27" t="s">
        <v>8</v>
      </c>
    </row>
    <row r="675" spans="1:91" x14ac:dyDescent="0.25">
      <c r="A675" s="7">
        <v>0.17505917802766208</v>
      </c>
      <c r="B675"/>
      <c r="C675"/>
      <c r="D675"/>
      <c r="E675"/>
      <c r="F675" s="27" t="s">
        <v>7</v>
      </c>
      <c r="CG675" s="27" t="s">
        <v>8</v>
      </c>
      <c r="CH675" s="27" t="s">
        <v>7</v>
      </c>
      <c r="CK675" s="27" t="s">
        <v>8</v>
      </c>
      <c r="CL675" s="27" t="s">
        <v>7</v>
      </c>
      <c r="CM675" s="27" t="s">
        <v>8</v>
      </c>
    </row>
    <row r="676" spans="1:91" x14ac:dyDescent="0.25">
      <c r="A676" s="7">
        <v>0.17162664512515888</v>
      </c>
      <c r="B676"/>
      <c r="C676"/>
      <c r="D676"/>
      <c r="E676"/>
      <c r="F676" s="27" t="s">
        <v>7</v>
      </c>
      <c r="CG676" s="27" t="s">
        <v>8</v>
      </c>
      <c r="CH676" s="27" t="s">
        <v>7</v>
      </c>
      <c r="CK676" s="27" t="s">
        <v>8</v>
      </c>
      <c r="CL676" s="27" t="s">
        <v>7</v>
      </c>
      <c r="CM676" s="27" t="s">
        <v>8</v>
      </c>
    </row>
    <row r="677" spans="1:91" x14ac:dyDescent="0.25">
      <c r="A677" s="7">
        <v>0.16826141678937145</v>
      </c>
      <c r="B677"/>
      <c r="C677"/>
      <c r="D677"/>
      <c r="E677"/>
      <c r="F677" s="27" t="s">
        <v>7</v>
      </c>
      <c r="CG677" s="27" t="s">
        <v>8</v>
      </c>
      <c r="CH677" s="27" t="s">
        <v>7</v>
      </c>
      <c r="CK677" s="27" t="s">
        <v>8</v>
      </c>
      <c r="CL677" s="27" t="s">
        <v>7</v>
      </c>
    </row>
    <row r="678" spans="1:91" x14ac:dyDescent="0.25">
      <c r="A678" s="7">
        <v>0.16496217332291319</v>
      </c>
      <c r="B678"/>
      <c r="C678"/>
      <c r="D678"/>
      <c r="E678"/>
      <c r="F678" s="27" t="s">
        <v>7</v>
      </c>
      <c r="CG678" s="27" t="s">
        <v>8</v>
      </c>
      <c r="CH678" s="27" t="s">
        <v>7</v>
      </c>
      <c r="CI678" s="27" t="s">
        <v>8</v>
      </c>
      <c r="CK678" s="27" t="s">
        <v>8</v>
      </c>
    </row>
    <row r="679" spans="1:91" x14ac:dyDescent="0.25">
      <c r="A679" s="7">
        <v>0.16172762090481685</v>
      </c>
      <c r="B679"/>
      <c r="C679"/>
      <c r="D679"/>
      <c r="E679"/>
      <c r="F679" s="27" t="s">
        <v>7</v>
      </c>
      <c r="CG679" s="27" t="s">
        <v>8</v>
      </c>
      <c r="CH679" s="27" t="s">
        <v>7</v>
      </c>
      <c r="CI679" s="27" t="s">
        <v>8</v>
      </c>
      <c r="CJ679" s="27" t="s">
        <v>7</v>
      </c>
      <c r="CK679" s="27" t="s">
        <v>8</v>
      </c>
    </row>
    <row r="680" spans="1:91" x14ac:dyDescent="0.25">
      <c r="A680" s="7">
        <v>0.15855649108315376</v>
      </c>
      <c r="B680"/>
      <c r="C680"/>
      <c r="D680"/>
      <c r="E680"/>
      <c r="F680" s="27" t="s">
        <v>7</v>
      </c>
      <c r="BW680" s="27" t="s">
        <v>8</v>
      </c>
      <c r="CG680" s="27" t="s">
        <v>8</v>
      </c>
      <c r="CH680" s="27" t="s">
        <v>7</v>
      </c>
      <c r="CI680" s="27" t="s">
        <v>8</v>
      </c>
      <c r="CJ680" s="27" t="s">
        <v>7</v>
      </c>
      <c r="CK680" s="27" t="s">
        <v>8</v>
      </c>
    </row>
    <row r="681" spans="1:91" x14ac:dyDescent="0.25">
      <c r="A681" s="7">
        <v>0.15544754027760171</v>
      </c>
      <c r="B681"/>
      <c r="C681"/>
      <c r="D681"/>
      <c r="E681"/>
      <c r="F681" s="27" t="s">
        <v>7</v>
      </c>
      <c r="BW681" s="27" t="s">
        <v>8</v>
      </c>
      <c r="BX681" s="27" t="s">
        <v>7</v>
      </c>
      <c r="CG681" s="27" t="s">
        <v>8</v>
      </c>
      <c r="CH681" s="27" t="s">
        <v>7</v>
      </c>
      <c r="CI681" s="27" t="s">
        <v>8</v>
      </c>
      <c r="CJ681" s="27" t="s">
        <v>7</v>
      </c>
      <c r="CK681" s="27" t="s">
        <v>8</v>
      </c>
    </row>
    <row r="682" spans="1:91" x14ac:dyDescent="0.25">
      <c r="A682" s="7">
        <v>0.15239954929176638</v>
      </c>
      <c r="B682"/>
      <c r="C682"/>
      <c r="D682"/>
      <c r="E682"/>
      <c r="F682" s="27" t="s">
        <v>7</v>
      </c>
      <c r="BW682" s="27" t="s">
        <v>8</v>
      </c>
      <c r="BX682" s="27" t="s">
        <v>7</v>
      </c>
      <c r="CG682" s="27" t="s">
        <v>8</v>
      </c>
      <c r="CH682" s="27" t="s">
        <v>7</v>
      </c>
      <c r="CI682" s="27" t="s">
        <v>8</v>
      </c>
      <c r="CJ682" s="27" t="s">
        <v>7</v>
      </c>
      <c r="CK682" s="27" t="s">
        <v>8</v>
      </c>
    </row>
    <row r="683" spans="1:91" x14ac:dyDescent="0.25">
      <c r="A683" s="7">
        <v>0.14941132283506509</v>
      </c>
      <c r="B683"/>
      <c r="C683"/>
      <c r="D683"/>
      <c r="E683"/>
      <c r="F683" s="27" t="s">
        <v>7</v>
      </c>
      <c r="BW683" s="27" t="s">
        <v>8</v>
      </c>
      <c r="BX683" s="27" t="s">
        <v>7</v>
      </c>
      <c r="CG683" s="27" t="s">
        <v>8</v>
      </c>
      <c r="CH683" s="27" t="s">
        <v>7</v>
      </c>
      <c r="CI683" s="27" t="s">
        <v>8</v>
      </c>
      <c r="CJ683" s="27" t="s">
        <v>7</v>
      </c>
      <c r="CK683" s="27" t="s">
        <v>8</v>
      </c>
    </row>
    <row r="684" spans="1:91" x14ac:dyDescent="0.25">
      <c r="A684" s="7">
        <v>0.14648168905398537</v>
      </c>
      <c r="B684"/>
      <c r="C684"/>
      <c r="D684"/>
      <c r="E684"/>
      <c r="F684" s="27" t="s">
        <v>7</v>
      </c>
      <c r="BW684" s="27" t="s">
        <v>8</v>
      </c>
      <c r="BX684" s="27" t="s">
        <v>7</v>
      </c>
      <c r="CG684" s="27" t="s">
        <v>8</v>
      </c>
      <c r="CH684" s="27" t="s">
        <v>7</v>
      </c>
      <c r="CI684" s="27" t="s">
        <v>8</v>
      </c>
      <c r="CJ684" s="27" t="s">
        <v>7</v>
      </c>
    </row>
    <row r="685" spans="1:91" x14ac:dyDescent="0.25">
      <c r="A685" s="7">
        <v>0.14360949907253467</v>
      </c>
      <c r="B685"/>
      <c r="C685"/>
      <c r="D685"/>
      <c r="E685"/>
      <c r="F685" s="27" t="s">
        <v>7</v>
      </c>
      <c r="BW685" s="27" t="s">
        <v>8</v>
      </c>
      <c r="BX685" s="27" t="s">
        <v>7</v>
      </c>
      <c r="CE685" s="27" t="s">
        <v>8</v>
      </c>
      <c r="CG685" s="27" t="s">
        <v>8</v>
      </c>
      <c r="CH685" s="27" t="s">
        <v>7</v>
      </c>
      <c r="CI685" s="27" t="s">
        <v>8</v>
      </c>
    </row>
    <row r="686" spans="1:91" x14ac:dyDescent="0.25">
      <c r="A686" s="7">
        <v>0.14079362654170066</v>
      </c>
      <c r="B686"/>
      <c r="C686"/>
      <c r="D686"/>
      <c r="E686"/>
      <c r="F686" s="27" t="s">
        <v>7</v>
      </c>
      <c r="BW686" s="27" t="s">
        <v>8</v>
      </c>
      <c r="BX686" s="27" t="s">
        <v>7</v>
      </c>
      <c r="CE686" s="27" t="s">
        <v>8</v>
      </c>
      <c r="CF686" s="27" t="s">
        <v>7</v>
      </c>
      <c r="CG686" s="27" t="s">
        <v>8</v>
      </c>
      <c r="CH686" s="27" t="s">
        <v>7</v>
      </c>
    </row>
    <row r="687" spans="1:91" x14ac:dyDescent="0.25">
      <c r="A687" s="7">
        <v>0.13803296719774574</v>
      </c>
      <c r="B687"/>
      <c r="C687"/>
      <c r="D687"/>
      <c r="E687"/>
      <c r="F687" s="27" t="s">
        <v>7</v>
      </c>
      <c r="BW687" s="27" t="s">
        <v>8</v>
      </c>
      <c r="BX687" s="27" t="s">
        <v>7</v>
      </c>
      <c r="CE687" s="27" t="s">
        <v>8</v>
      </c>
      <c r="CF687" s="27" t="s">
        <v>7</v>
      </c>
      <c r="CG687" s="27" t="s">
        <v>8</v>
      </c>
    </row>
    <row r="688" spans="1:91" x14ac:dyDescent="0.25">
      <c r="A688" s="7">
        <v>0.1353264384291625</v>
      </c>
      <c r="B688"/>
      <c r="C688"/>
      <c r="D688"/>
      <c r="E688"/>
      <c r="F688" s="27" t="s">
        <v>7</v>
      </c>
      <c r="BW688" s="27" t="s">
        <v>8</v>
      </c>
      <c r="BX688" s="27" t="s">
        <v>7</v>
      </c>
      <c r="CE688" s="27" t="s">
        <v>8</v>
      </c>
      <c r="CF688" s="27" t="s">
        <v>7</v>
      </c>
      <c r="CG688" s="27" t="s">
        <v>8</v>
      </c>
    </row>
    <row r="689" spans="1:85" x14ac:dyDescent="0.25">
      <c r="A689" s="7">
        <v>0.13267297885212009</v>
      </c>
      <c r="B689"/>
      <c r="C689"/>
      <c r="D689"/>
      <c r="E689"/>
      <c r="F689" s="27" t="s">
        <v>7</v>
      </c>
      <c r="BW689" s="27" t="s">
        <v>8</v>
      </c>
      <c r="BX689" s="27" t="s">
        <v>7</v>
      </c>
      <c r="CE689" s="27" t="s">
        <v>8</v>
      </c>
      <c r="CF689" s="27" t="s">
        <v>7</v>
      </c>
      <c r="CG689" s="27" t="s">
        <v>8</v>
      </c>
    </row>
    <row r="690" spans="1:85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  <c r="BW690" s="27" t="s">
        <v>8</v>
      </c>
      <c r="BX690" s="27" t="s">
        <v>7</v>
      </c>
      <c r="CE690" s="27" t="s">
        <v>8</v>
      </c>
      <c r="CF690" s="27" t="s">
        <v>7</v>
      </c>
      <c r="CG690" s="27" t="s">
        <v>8</v>
      </c>
    </row>
    <row r="691" spans="1:85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H691" s="27" t="s">
        <v>7</v>
      </c>
      <c r="BW691" s="27" t="s">
        <v>8</v>
      </c>
      <c r="BX691" s="27" t="s">
        <v>7</v>
      </c>
      <c r="CE691" s="27" t="s">
        <v>8</v>
      </c>
      <c r="CF691" s="27" t="s">
        <v>7</v>
      </c>
      <c r="CG691" s="27" t="s">
        <v>8</v>
      </c>
    </row>
    <row r="692" spans="1:85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BW692" s="27" t="s">
        <v>8</v>
      </c>
      <c r="BX692" s="27" t="s">
        <v>7</v>
      </c>
      <c r="CE692" s="27" t="s">
        <v>8</v>
      </c>
      <c r="CF692" s="27" t="s">
        <v>7</v>
      </c>
      <c r="CG692" s="27" t="s">
        <v>8</v>
      </c>
    </row>
    <row r="693" spans="1:85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H693" s="27" t="s">
        <v>7</v>
      </c>
      <c r="BW693" s="27" t="s">
        <v>8</v>
      </c>
      <c r="BX693" s="27" t="s">
        <v>7</v>
      </c>
      <c r="CE693" s="27" t="s">
        <v>8</v>
      </c>
      <c r="CF693" s="27" t="s">
        <v>7</v>
      </c>
      <c r="CG693" s="27" t="s">
        <v>8</v>
      </c>
    </row>
    <row r="694" spans="1:85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H694" s="27" t="s">
        <v>7</v>
      </c>
      <c r="Q694" s="27" t="s">
        <v>8</v>
      </c>
      <c r="BW694" s="27" t="s">
        <v>8</v>
      </c>
      <c r="BX694" s="27" t="s">
        <v>7</v>
      </c>
      <c r="CC694" s="27" t="s">
        <v>8</v>
      </c>
      <c r="CE694" s="27" t="s">
        <v>8</v>
      </c>
      <c r="CF694" s="27" t="s">
        <v>7</v>
      </c>
      <c r="CG694" s="27" t="s">
        <v>8</v>
      </c>
    </row>
    <row r="695" spans="1:85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H695" s="27" t="s">
        <v>7</v>
      </c>
      <c r="Q695" s="27" t="s">
        <v>8</v>
      </c>
      <c r="R695" s="27" t="s">
        <v>7</v>
      </c>
      <c r="BW695" s="27" t="s">
        <v>8</v>
      </c>
      <c r="BX695" s="27" t="s">
        <v>7</v>
      </c>
      <c r="BY695" s="27" t="s">
        <v>8</v>
      </c>
      <c r="CC695" s="27" t="s">
        <v>8</v>
      </c>
      <c r="CD695" s="27" t="s">
        <v>7</v>
      </c>
      <c r="CE695" s="27" t="s">
        <v>8</v>
      </c>
      <c r="CF695" s="27" t="s">
        <v>7</v>
      </c>
      <c r="CG695" s="27" t="s">
        <v>8</v>
      </c>
    </row>
    <row r="696" spans="1:85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H696" s="27" t="s">
        <v>7</v>
      </c>
      <c r="Q696" s="27" t="s">
        <v>8</v>
      </c>
      <c r="R696" s="27" t="s">
        <v>7</v>
      </c>
      <c r="BW696" s="27" t="s">
        <v>8</v>
      </c>
      <c r="BX696" s="27" t="s">
        <v>7</v>
      </c>
      <c r="BY696" s="27" t="s">
        <v>8</v>
      </c>
      <c r="BZ696" s="27" t="s">
        <v>7</v>
      </c>
      <c r="CA696" s="27" t="s">
        <v>8</v>
      </c>
      <c r="CC696" s="27" t="s">
        <v>8</v>
      </c>
      <c r="CD696" s="27" t="s">
        <v>7</v>
      </c>
      <c r="CE696" s="27" t="s">
        <v>8</v>
      </c>
      <c r="CF696" s="27" t="s">
        <v>7</v>
      </c>
      <c r="CG696" s="27" t="s">
        <v>8</v>
      </c>
    </row>
    <row r="697" spans="1:85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H697" s="27" t="s">
        <v>7</v>
      </c>
      <c r="M697" s="27" t="s">
        <v>8</v>
      </c>
      <c r="Q697" s="27" t="s">
        <v>8</v>
      </c>
      <c r="R697" s="27" t="s">
        <v>7</v>
      </c>
      <c r="BW697" s="27" t="s">
        <v>8</v>
      </c>
      <c r="BX697" s="27" t="s">
        <v>7</v>
      </c>
      <c r="BY697" s="27" t="s">
        <v>8</v>
      </c>
      <c r="BZ697" s="27" t="s">
        <v>7</v>
      </c>
      <c r="CA697" s="27" t="s">
        <v>8</v>
      </c>
      <c r="CB697" s="27" t="s">
        <v>7</v>
      </c>
      <c r="CC697" s="27" t="s">
        <v>8</v>
      </c>
      <c r="CD697" s="27" t="s">
        <v>7</v>
      </c>
      <c r="CE697" s="27" t="s">
        <v>8</v>
      </c>
      <c r="CF697" s="27" t="s">
        <v>7</v>
      </c>
      <c r="CG697" s="27" t="s">
        <v>8</v>
      </c>
    </row>
    <row r="698" spans="1:85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H698" s="27" t="s">
        <v>7</v>
      </c>
      <c r="M698" s="27" t="s">
        <v>8</v>
      </c>
      <c r="N698" s="27" t="s">
        <v>7</v>
      </c>
      <c r="Q698" s="27" t="s">
        <v>8</v>
      </c>
      <c r="R698" s="27" t="s">
        <v>7</v>
      </c>
      <c r="AS698" s="27" t="s">
        <v>8</v>
      </c>
      <c r="BW698" s="27" t="s">
        <v>8</v>
      </c>
      <c r="BX698" s="27" t="s">
        <v>7</v>
      </c>
      <c r="BY698" s="27" t="s">
        <v>8</v>
      </c>
      <c r="BZ698" s="27" t="s">
        <v>7</v>
      </c>
      <c r="CA698" s="27" t="s">
        <v>8</v>
      </c>
      <c r="CB698" s="27" t="s">
        <v>7</v>
      </c>
      <c r="CC698" s="27" t="s">
        <v>8</v>
      </c>
      <c r="CD698" s="27" t="s">
        <v>7</v>
      </c>
      <c r="CE698" s="27" t="s">
        <v>8</v>
      </c>
      <c r="CF698" s="27" t="s">
        <v>7</v>
      </c>
      <c r="CG698" s="27" t="s">
        <v>8</v>
      </c>
    </row>
    <row r="699" spans="1:85" x14ac:dyDescent="0.25">
      <c r="A699" s="7">
        <v>0.10883805264070913</v>
      </c>
      <c r="B699"/>
      <c r="C699"/>
      <c r="D699"/>
      <c r="E699"/>
      <c r="F699" s="27" t="s">
        <v>7</v>
      </c>
      <c r="G699" s="27" t="s">
        <v>8</v>
      </c>
      <c r="H699" s="27" t="s">
        <v>7</v>
      </c>
      <c r="M699" s="27" t="s">
        <v>8</v>
      </c>
      <c r="N699" s="27" t="s">
        <v>7</v>
      </c>
      <c r="Q699" s="27" t="s">
        <v>8</v>
      </c>
      <c r="R699" s="27" t="s">
        <v>7</v>
      </c>
      <c r="AS699" s="27" t="s">
        <v>8</v>
      </c>
      <c r="AT699" s="27" t="s">
        <v>7</v>
      </c>
      <c r="BW699" s="27" t="s">
        <v>8</v>
      </c>
      <c r="BX699" s="27" t="s">
        <v>7</v>
      </c>
      <c r="BY699" s="27" t="s">
        <v>8</v>
      </c>
      <c r="BZ699" s="27" t="s">
        <v>7</v>
      </c>
      <c r="CA699" s="27" t="s">
        <v>8</v>
      </c>
      <c r="CB699" s="27" t="s">
        <v>7</v>
      </c>
      <c r="CC699" s="27" t="s">
        <v>8</v>
      </c>
      <c r="CD699" s="27" t="s">
        <v>7</v>
      </c>
      <c r="CF699" s="27" t="s">
        <v>7</v>
      </c>
      <c r="CG699" s="27" t="s">
        <v>8</v>
      </c>
    </row>
    <row r="700" spans="1:85" x14ac:dyDescent="0.25">
      <c r="A700" s="7">
        <v>0.10670397317716582</v>
      </c>
      <c r="B700"/>
      <c r="C700"/>
      <c r="D700"/>
      <c r="E700"/>
      <c r="F700" s="27" t="s">
        <v>7</v>
      </c>
      <c r="G700" s="27" t="s">
        <v>8</v>
      </c>
      <c r="H700" s="27" t="s">
        <v>7</v>
      </c>
      <c r="M700" s="27" t="s">
        <v>8</v>
      </c>
      <c r="N700" s="27" t="s">
        <v>7</v>
      </c>
      <c r="Q700" s="27" t="s">
        <v>8</v>
      </c>
      <c r="R700" s="27" t="s">
        <v>7</v>
      </c>
      <c r="AS700" s="27" t="s">
        <v>8</v>
      </c>
      <c r="AT700" s="27" t="s">
        <v>7</v>
      </c>
      <c r="BW700" s="27" t="s">
        <v>8</v>
      </c>
      <c r="BX700" s="27" t="s">
        <v>7</v>
      </c>
      <c r="BY700" s="27" t="s">
        <v>8</v>
      </c>
      <c r="BZ700" s="27" t="s">
        <v>7</v>
      </c>
      <c r="CA700" s="27" t="s">
        <v>8</v>
      </c>
      <c r="CB700" s="27" t="s">
        <v>7</v>
      </c>
      <c r="CC700" s="27" t="s">
        <v>8</v>
      </c>
      <c r="CF700" s="27" t="s">
        <v>7</v>
      </c>
      <c r="CG700" s="27" t="s">
        <v>8</v>
      </c>
    </row>
    <row r="701" spans="1:85" x14ac:dyDescent="0.25">
      <c r="A701" s="7">
        <v>0.1046117384089861</v>
      </c>
      <c r="B701"/>
      <c r="C701"/>
      <c r="D701"/>
      <c r="E701"/>
      <c r="F701" s="27" t="s">
        <v>7</v>
      </c>
      <c r="G701" s="27" t="s">
        <v>8</v>
      </c>
      <c r="H701" s="27" t="s">
        <v>7</v>
      </c>
      <c r="I701" s="27" t="s">
        <v>8</v>
      </c>
      <c r="M701" s="27" t="s">
        <v>8</v>
      </c>
      <c r="N701" s="27" t="s">
        <v>7</v>
      </c>
      <c r="Q701" s="27" t="s">
        <v>8</v>
      </c>
      <c r="R701" s="27" t="s">
        <v>7</v>
      </c>
      <c r="AS701" s="27" t="s">
        <v>8</v>
      </c>
      <c r="AT701" s="27" t="s">
        <v>7</v>
      </c>
      <c r="BW701" s="27" t="s">
        <v>8</v>
      </c>
      <c r="BX701" s="27" t="s">
        <v>7</v>
      </c>
      <c r="BY701" s="27" t="s">
        <v>8</v>
      </c>
      <c r="BZ701" s="27" t="s">
        <v>7</v>
      </c>
      <c r="CA701" s="27" t="s">
        <v>8</v>
      </c>
      <c r="CB701" s="27" t="s">
        <v>7</v>
      </c>
      <c r="CC701" s="27" t="s">
        <v>8</v>
      </c>
      <c r="CF701" s="27" t="s">
        <v>7</v>
      </c>
    </row>
    <row r="702" spans="1:85" x14ac:dyDescent="0.25">
      <c r="A702" s="7">
        <v>0.10256052785194716</v>
      </c>
      <c r="B702"/>
      <c r="C702"/>
      <c r="D702"/>
      <c r="E702"/>
      <c r="F702" s="27" t="s">
        <v>7</v>
      </c>
      <c r="G702" s="27" t="s">
        <v>8</v>
      </c>
      <c r="H702" s="27" t="s">
        <v>7</v>
      </c>
      <c r="I702" s="27" t="s">
        <v>8</v>
      </c>
      <c r="J702" s="27" t="s">
        <v>7</v>
      </c>
      <c r="M702" s="27" t="s">
        <v>8</v>
      </c>
      <c r="N702" s="27" t="s">
        <v>7</v>
      </c>
      <c r="Q702" s="27" t="s">
        <v>8</v>
      </c>
      <c r="R702" s="27" t="s">
        <v>7</v>
      </c>
      <c r="AS702" s="27" t="s">
        <v>8</v>
      </c>
      <c r="AT702" s="27" t="s">
        <v>7</v>
      </c>
      <c r="BW702" s="27" t="s">
        <v>8</v>
      </c>
      <c r="BX702" s="27" t="s">
        <v>7</v>
      </c>
      <c r="BY702" s="27" t="s">
        <v>8</v>
      </c>
      <c r="BZ702" s="27" t="s">
        <v>7</v>
      </c>
      <c r="CA702" s="27" t="s">
        <v>8</v>
      </c>
      <c r="CB702" s="27" t="s">
        <v>7</v>
      </c>
      <c r="CC702" s="27" t="s">
        <v>8</v>
      </c>
    </row>
    <row r="703" spans="1:85" x14ac:dyDescent="0.25">
      <c r="A703" s="7">
        <v>0.10054953710975212</v>
      </c>
      <c r="B703"/>
      <c r="C703"/>
      <c r="D703"/>
      <c r="E703"/>
      <c r="F703" s="27" t="s">
        <v>7</v>
      </c>
      <c r="G703" s="27" t="s">
        <v>8</v>
      </c>
      <c r="H703" s="27" t="s">
        <v>7</v>
      </c>
      <c r="I703" s="27" t="s">
        <v>8</v>
      </c>
      <c r="J703" s="27" t="s">
        <v>7</v>
      </c>
      <c r="K703" s="27" t="s">
        <v>8</v>
      </c>
      <c r="M703" s="27" t="s">
        <v>8</v>
      </c>
      <c r="N703" s="27" t="s">
        <v>7</v>
      </c>
      <c r="Q703" s="27" t="s">
        <v>8</v>
      </c>
      <c r="R703" s="27" t="s">
        <v>7</v>
      </c>
      <c r="AS703" s="27" t="s">
        <v>8</v>
      </c>
      <c r="AT703" s="27" t="s">
        <v>7</v>
      </c>
      <c r="BW703" s="27" t="s">
        <v>8</v>
      </c>
      <c r="BX703" s="27" t="s">
        <v>7</v>
      </c>
      <c r="BY703" s="27" t="s">
        <v>8</v>
      </c>
      <c r="BZ703" s="27" t="s">
        <v>7</v>
      </c>
      <c r="CB703" s="27" t="s">
        <v>7</v>
      </c>
      <c r="CC703" s="27" t="s">
        <v>8</v>
      </c>
    </row>
    <row r="704" spans="1:85" x14ac:dyDescent="0.25">
      <c r="A704" s="7">
        <v>9.8577977558580512E-2</v>
      </c>
      <c r="B704"/>
      <c r="C704"/>
      <c r="D704"/>
      <c r="E704"/>
      <c r="F704" s="27" t="s">
        <v>7</v>
      </c>
      <c r="G704" s="27" t="s">
        <v>8</v>
      </c>
      <c r="H704" s="27" t="s">
        <v>7</v>
      </c>
      <c r="I704" s="27" t="s">
        <v>8</v>
      </c>
      <c r="J704" s="27" t="s">
        <v>7</v>
      </c>
      <c r="K704" s="27" t="s">
        <v>8</v>
      </c>
      <c r="L704" s="27" t="s">
        <v>7</v>
      </c>
      <c r="M704" s="27" t="s">
        <v>8</v>
      </c>
      <c r="N704" s="27" t="s">
        <v>7</v>
      </c>
      <c r="Q704" s="27" t="s">
        <v>8</v>
      </c>
      <c r="R704" s="27" t="s">
        <v>7</v>
      </c>
      <c r="AS704" s="27" t="s">
        <v>8</v>
      </c>
      <c r="AT704" s="27" t="s">
        <v>7</v>
      </c>
      <c r="BA704" s="27" t="s">
        <v>8</v>
      </c>
      <c r="BG704" s="27" t="s">
        <v>8</v>
      </c>
      <c r="BW704" s="27" t="s">
        <v>8</v>
      </c>
      <c r="BX704" s="27" t="s">
        <v>7</v>
      </c>
      <c r="BY704" s="27" t="s">
        <v>8</v>
      </c>
      <c r="CB704" s="27" t="s">
        <v>7</v>
      </c>
    </row>
    <row r="705" spans="1:77" x14ac:dyDescent="0.25">
      <c r="A705" s="7">
        <v>9.6645076037824032E-2</v>
      </c>
      <c r="B705"/>
      <c r="C705"/>
      <c r="D705"/>
      <c r="E705"/>
      <c r="F705" s="27" t="s">
        <v>7</v>
      </c>
      <c r="G705" s="27" t="s">
        <v>8</v>
      </c>
      <c r="H705" s="27" t="s">
        <v>7</v>
      </c>
      <c r="I705" s="27" t="s">
        <v>8</v>
      </c>
      <c r="J705" s="27" t="s">
        <v>7</v>
      </c>
      <c r="K705" s="27" t="s">
        <v>8</v>
      </c>
      <c r="L705" s="27" t="s">
        <v>7</v>
      </c>
      <c r="M705" s="27" t="s">
        <v>8</v>
      </c>
      <c r="N705" s="27" t="s">
        <v>7</v>
      </c>
      <c r="O705" s="27" t="s">
        <v>8</v>
      </c>
      <c r="Q705" s="27" t="s">
        <v>8</v>
      </c>
      <c r="R705" s="27" t="s">
        <v>7</v>
      </c>
      <c r="AS705" s="27" t="s">
        <v>8</v>
      </c>
      <c r="AT705" s="27" t="s">
        <v>7</v>
      </c>
      <c r="BA705" s="27" t="s">
        <v>8</v>
      </c>
      <c r="BB705" s="27" t="s">
        <v>7</v>
      </c>
      <c r="BC705" s="27" t="s">
        <v>8</v>
      </c>
      <c r="BE705" s="27" t="s">
        <v>8</v>
      </c>
      <c r="BG705" s="27" t="s">
        <v>8</v>
      </c>
      <c r="BH705" s="27" t="s">
        <v>7</v>
      </c>
      <c r="BM705" s="27" t="s">
        <v>8</v>
      </c>
      <c r="BW705" s="27" t="s">
        <v>8</v>
      </c>
      <c r="BX705" s="27" t="s">
        <v>7</v>
      </c>
      <c r="BY705" s="27" t="s">
        <v>8</v>
      </c>
    </row>
    <row r="706" spans="1:77" x14ac:dyDescent="0.25">
      <c r="A706" s="7">
        <v>9.4750074546886304E-2</v>
      </c>
      <c r="B706"/>
      <c r="C706"/>
      <c r="D706"/>
      <c r="E706"/>
      <c r="F706" s="27" t="s">
        <v>7</v>
      </c>
      <c r="G706" s="27" t="s">
        <v>8</v>
      </c>
      <c r="H706" s="27" t="s">
        <v>7</v>
      </c>
      <c r="I706" s="27" t="s">
        <v>8</v>
      </c>
      <c r="J706" s="27" t="s">
        <v>7</v>
      </c>
      <c r="K706" s="27" t="s">
        <v>8</v>
      </c>
      <c r="L706" s="27" t="s">
        <v>7</v>
      </c>
      <c r="M706" s="27" t="s">
        <v>8</v>
      </c>
      <c r="N706" s="27" t="s">
        <v>7</v>
      </c>
      <c r="O706" s="27" t="s">
        <v>8</v>
      </c>
      <c r="P706" s="27" t="s">
        <v>7</v>
      </c>
      <c r="Q706" s="27" t="s">
        <v>8</v>
      </c>
      <c r="R706" s="27" t="s">
        <v>7</v>
      </c>
      <c r="AS706" s="27" t="s">
        <v>8</v>
      </c>
      <c r="AT706" s="27" t="s">
        <v>7</v>
      </c>
      <c r="BA706" s="27" t="s">
        <v>8</v>
      </c>
      <c r="BB706" s="27" t="s">
        <v>7</v>
      </c>
      <c r="BC706" s="27" t="s">
        <v>8</v>
      </c>
      <c r="BD706" s="27" t="s">
        <v>7</v>
      </c>
      <c r="BE706" s="27" t="s">
        <v>8</v>
      </c>
      <c r="BF706" s="27" t="s">
        <v>7</v>
      </c>
      <c r="BG706" s="27" t="s">
        <v>8</v>
      </c>
      <c r="BH706" s="27" t="s">
        <v>7</v>
      </c>
      <c r="BI706" s="27" t="s">
        <v>8</v>
      </c>
      <c r="BM706" s="27" t="s">
        <v>8</v>
      </c>
      <c r="BN706" s="27" t="s">
        <v>7</v>
      </c>
      <c r="BW706" s="27" t="s">
        <v>8</v>
      </c>
      <c r="BX706" s="27" t="s">
        <v>7</v>
      </c>
      <c r="BY706" s="27" t="s">
        <v>8</v>
      </c>
    </row>
    <row r="707" spans="1:77" x14ac:dyDescent="0.25">
      <c r="A707" s="7">
        <v>9.2892229947927743E-2</v>
      </c>
      <c r="B707"/>
      <c r="C707"/>
      <c r="D707"/>
      <c r="E707"/>
      <c r="F707" s="27" t="s">
        <v>7</v>
      </c>
      <c r="G707" s="27" t="s">
        <v>8</v>
      </c>
      <c r="H707" s="27" t="s">
        <v>7</v>
      </c>
      <c r="I707" s="27" t="s">
        <v>8</v>
      </c>
      <c r="J707" s="27" t="s">
        <v>7</v>
      </c>
      <c r="K707" s="27" t="s">
        <v>8</v>
      </c>
      <c r="L707" s="27" t="s">
        <v>7</v>
      </c>
      <c r="M707" s="27" t="s">
        <v>8</v>
      </c>
      <c r="N707" s="27" t="s">
        <v>7</v>
      </c>
      <c r="O707" s="27" t="s">
        <v>8</v>
      </c>
      <c r="P707" s="27" t="s">
        <v>7</v>
      </c>
      <c r="Q707" s="27" t="s">
        <v>8</v>
      </c>
      <c r="R707" s="27" t="s">
        <v>7</v>
      </c>
      <c r="AS707" s="27" t="s">
        <v>8</v>
      </c>
      <c r="AT707" s="27" t="s">
        <v>7</v>
      </c>
      <c r="BA707" s="27" t="s">
        <v>8</v>
      </c>
      <c r="BB707" s="27" t="s">
        <v>7</v>
      </c>
      <c r="BC707" s="27" t="s">
        <v>8</v>
      </c>
      <c r="BD707" s="27" t="s">
        <v>7</v>
      </c>
      <c r="BE707" s="27" t="s">
        <v>8</v>
      </c>
      <c r="BF707" s="27" t="s">
        <v>7</v>
      </c>
      <c r="BG707" s="27" t="s">
        <v>8</v>
      </c>
      <c r="BH707" s="27" t="s">
        <v>7</v>
      </c>
      <c r="BI707" s="27" t="s">
        <v>8</v>
      </c>
      <c r="BJ707" s="27" t="s">
        <v>7</v>
      </c>
      <c r="BM707" s="27" t="s">
        <v>8</v>
      </c>
      <c r="BN707" s="27" t="s">
        <v>7</v>
      </c>
      <c r="BW707" s="27" t="s">
        <v>8</v>
      </c>
      <c r="BX707" s="27" t="s">
        <v>7</v>
      </c>
      <c r="BY707" s="27" t="s">
        <v>8</v>
      </c>
    </row>
    <row r="708" spans="1:77" x14ac:dyDescent="0.25">
      <c r="A708" s="7">
        <v>9.1070813674438963E-2</v>
      </c>
      <c r="B708"/>
      <c r="C708"/>
      <c r="D708"/>
      <c r="E708"/>
      <c r="F708" s="27" t="s">
        <v>7</v>
      </c>
      <c r="G708" s="27" t="s">
        <v>8</v>
      </c>
      <c r="H708" s="27" t="s">
        <v>7</v>
      </c>
      <c r="I708" s="27" t="s">
        <v>8</v>
      </c>
      <c r="J708" s="27" t="s">
        <v>7</v>
      </c>
      <c r="L708" s="27" t="s">
        <v>7</v>
      </c>
      <c r="M708" s="27" t="s">
        <v>8</v>
      </c>
      <c r="N708" s="27" t="s">
        <v>7</v>
      </c>
      <c r="O708" s="27" t="s">
        <v>8</v>
      </c>
      <c r="P708" s="27" t="s">
        <v>7</v>
      </c>
      <c r="Q708" s="27" t="s">
        <v>8</v>
      </c>
      <c r="R708" s="27" t="s">
        <v>7</v>
      </c>
      <c r="AE708" s="27" t="s">
        <v>8</v>
      </c>
      <c r="AS708" s="27" t="s">
        <v>8</v>
      </c>
      <c r="AT708" s="27" t="s">
        <v>7</v>
      </c>
      <c r="BA708" s="27" t="s">
        <v>8</v>
      </c>
      <c r="BB708" s="27" t="s">
        <v>7</v>
      </c>
      <c r="BC708" s="27" t="s">
        <v>8</v>
      </c>
      <c r="BD708" s="27" t="s">
        <v>7</v>
      </c>
      <c r="BE708" s="27" t="s">
        <v>8</v>
      </c>
      <c r="BF708" s="27" t="s">
        <v>7</v>
      </c>
      <c r="BG708" s="27" t="s">
        <v>8</v>
      </c>
      <c r="BH708" s="27" t="s">
        <v>7</v>
      </c>
      <c r="BI708" s="27" t="s">
        <v>8</v>
      </c>
      <c r="BJ708" s="27" t="s">
        <v>7</v>
      </c>
      <c r="BK708" s="27" t="s">
        <v>8</v>
      </c>
      <c r="BM708" s="27" t="s">
        <v>8</v>
      </c>
      <c r="BN708" s="27" t="s">
        <v>7</v>
      </c>
      <c r="BW708" s="27" t="s">
        <v>8</v>
      </c>
      <c r="BX708" s="27" t="s">
        <v>7</v>
      </c>
      <c r="BY708" s="27" t="s">
        <v>8</v>
      </c>
    </row>
    <row r="709" spans="1:77" x14ac:dyDescent="0.25">
      <c r="A709" s="7">
        <v>8.9285111445528392E-2</v>
      </c>
      <c r="B709"/>
      <c r="C709"/>
      <c r="D709"/>
      <c r="E709"/>
      <c r="F709" s="27" t="s">
        <v>7</v>
      </c>
      <c r="G709" s="27" t="s">
        <v>8</v>
      </c>
      <c r="H709" s="27" t="s">
        <v>7</v>
      </c>
      <c r="I709" s="27" t="s">
        <v>8</v>
      </c>
      <c r="L709" s="27" t="s">
        <v>7</v>
      </c>
      <c r="M709" s="27" t="s">
        <v>8</v>
      </c>
      <c r="N709" s="27" t="s">
        <v>7</v>
      </c>
      <c r="P709" s="27" t="s">
        <v>7</v>
      </c>
      <c r="Q709" s="27" t="s">
        <v>8</v>
      </c>
      <c r="R709" s="27" t="s">
        <v>7</v>
      </c>
      <c r="S709" s="27" t="s">
        <v>8</v>
      </c>
      <c r="AE709" s="27" t="s">
        <v>8</v>
      </c>
      <c r="AF709" s="27" t="s">
        <v>7</v>
      </c>
      <c r="AQ709" s="27" t="s">
        <v>8</v>
      </c>
      <c r="AS709" s="27" t="s">
        <v>8</v>
      </c>
      <c r="AT709" s="27" t="s">
        <v>7</v>
      </c>
      <c r="AY709" s="27" t="s">
        <v>8</v>
      </c>
      <c r="BA709" s="27" t="s">
        <v>8</v>
      </c>
      <c r="BB709" s="27" t="s">
        <v>7</v>
      </c>
      <c r="BC709" s="27" t="s">
        <v>8</v>
      </c>
      <c r="BD709" s="27" t="s">
        <v>7</v>
      </c>
      <c r="BE709" s="27" t="s">
        <v>8</v>
      </c>
      <c r="BF709" s="27" t="s">
        <v>7</v>
      </c>
      <c r="BG709" s="27" t="s">
        <v>8</v>
      </c>
      <c r="BH709" s="27" t="s">
        <v>7</v>
      </c>
      <c r="BI709" s="27" t="s">
        <v>8</v>
      </c>
      <c r="BJ709" s="27" t="s">
        <v>7</v>
      </c>
      <c r="BK709" s="27" t="s">
        <v>8</v>
      </c>
      <c r="BL709" s="27" t="s">
        <v>7</v>
      </c>
      <c r="BM709" s="27" t="s">
        <v>8</v>
      </c>
      <c r="BN709" s="27" t="s">
        <v>7</v>
      </c>
      <c r="BW709" s="27" t="s">
        <v>8</v>
      </c>
      <c r="BX709" s="27" t="s">
        <v>7</v>
      </c>
      <c r="BY709" s="27" t="s">
        <v>8</v>
      </c>
    </row>
    <row r="710" spans="1:77" x14ac:dyDescent="0.25">
      <c r="A710" s="7">
        <v>8.7534422985812155E-2</v>
      </c>
      <c r="B710"/>
      <c r="C710"/>
      <c r="D710"/>
      <c r="E710"/>
      <c r="F710" s="27" t="s">
        <v>7</v>
      </c>
      <c r="G710" s="27" t="s">
        <v>8</v>
      </c>
      <c r="H710" s="27" t="s">
        <v>7</v>
      </c>
      <c r="I710" s="27" t="s">
        <v>8</v>
      </c>
      <c r="L710" s="27" t="s">
        <v>7</v>
      </c>
      <c r="M710" s="27" t="s">
        <v>8</v>
      </c>
      <c r="P710" s="27" t="s">
        <v>7</v>
      </c>
      <c r="Q710" s="27" t="s">
        <v>8</v>
      </c>
      <c r="R710" s="27" t="s">
        <v>7</v>
      </c>
      <c r="S710" s="27" t="s">
        <v>8</v>
      </c>
      <c r="T710" s="27" t="s">
        <v>7</v>
      </c>
      <c r="AE710" s="27" t="s">
        <v>8</v>
      </c>
      <c r="AF710" s="27" t="s">
        <v>7</v>
      </c>
      <c r="AQ710" s="27" t="s">
        <v>8</v>
      </c>
      <c r="AR710" s="27" t="s">
        <v>7</v>
      </c>
      <c r="AS710" s="27" t="s">
        <v>8</v>
      </c>
      <c r="AT710" s="27" t="s">
        <v>7</v>
      </c>
      <c r="AY710" s="27" t="s">
        <v>8</v>
      </c>
      <c r="AZ710" s="27" t="s">
        <v>7</v>
      </c>
      <c r="BA710" s="27" t="s">
        <v>8</v>
      </c>
      <c r="BB710" s="27" t="s">
        <v>7</v>
      </c>
      <c r="BC710" s="27" t="s">
        <v>8</v>
      </c>
      <c r="BD710" s="27" t="s">
        <v>7</v>
      </c>
      <c r="BE710" s="27" t="s">
        <v>8</v>
      </c>
      <c r="BF710" s="27" t="s">
        <v>7</v>
      </c>
      <c r="BG710" s="27" t="s">
        <v>8</v>
      </c>
      <c r="BH710" s="27" t="s">
        <v>7</v>
      </c>
      <c r="BI710" s="27" t="s">
        <v>8</v>
      </c>
      <c r="BJ710" s="27" t="s">
        <v>7</v>
      </c>
      <c r="BK710" s="27" t="s">
        <v>8</v>
      </c>
      <c r="BL710" s="27" t="s">
        <v>7</v>
      </c>
      <c r="BM710" s="27" t="s">
        <v>8</v>
      </c>
      <c r="BN710" s="27" t="s">
        <v>7</v>
      </c>
      <c r="BW710" s="27" t="s">
        <v>8</v>
      </c>
      <c r="BX710" s="27" t="s">
        <v>7</v>
      </c>
      <c r="BY710" s="27" t="s">
        <v>8</v>
      </c>
    </row>
    <row r="711" spans="1:77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H711" s="27" t="s">
        <v>7</v>
      </c>
      <c r="L711" s="27" t="s">
        <v>7</v>
      </c>
      <c r="M711" s="27" t="s">
        <v>8</v>
      </c>
      <c r="P711" s="27" t="s">
        <v>7</v>
      </c>
      <c r="Q711" s="27" t="s">
        <v>8</v>
      </c>
      <c r="R711" s="27" t="s">
        <v>7</v>
      </c>
      <c r="S711" s="27" t="s">
        <v>8</v>
      </c>
      <c r="T711" s="27" t="s">
        <v>7</v>
      </c>
      <c r="W711" s="27" t="s">
        <v>8</v>
      </c>
      <c r="AE711" s="27" t="s">
        <v>8</v>
      </c>
      <c r="AF711" s="27" t="s">
        <v>7</v>
      </c>
      <c r="AQ711" s="27" t="s">
        <v>8</v>
      </c>
      <c r="AR711" s="27" t="s">
        <v>7</v>
      </c>
      <c r="AS711" s="27" t="s">
        <v>8</v>
      </c>
      <c r="AT711" s="27" t="s">
        <v>7</v>
      </c>
      <c r="AU711" s="27" t="s">
        <v>8</v>
      </c>
      <c r="AY711" s="27" t="s">
        <v>8</v>
      </c>
      <c r="AZ711" s="27" t="s">
        <v>7</v>
      </c>
      <c r="BA711" s="27" t="s">
        <v>8</v>
      </c>
      <c r="BB711" s="27" t="s">
        <v>7</v>
      </c>
      <c r="BC711" s="27" t="s">
        <v>8</v>
      </c>
      <c r="BD711" s="27" t="s">
        <v>7</v>
      </c>
      <c r="BF711" s="27" t="s">
        <v>7</v>
      </c>
      <c r="BH711" s="27" t="s">
        <v>7</v>
      </c>
      <c r="BI711" s="27" t="s">
        <v>8</v>
      </c>
      <c r="BJ711" s="27" t="s">
        <v>7</v>
      </c>
      <c r="BK711" s="27" t="s">
        <v>8</v>
      </c>
      <c r="BL711" s="27" t="s">
        <v>7</v>
      </c>
      <c r="BM711" s="27" t="s">
        <v>8</v>
      </c>
      <c r="BN711" s="27" t="s">
        <v>7</v>
      </c>
      <c r="BU711" s="27" t="s">
        <v>8</v>
      </c>
      <c r="BW711" s="27" t="s">
        <v>8</v>
      </c>
      <c r="BX711" s="27" t="s">
        <v>7</v>
      </c>
      <c r="BY711" s="27" t="s">
        <v>8</v>
      </c>
    </row>
    <row r="712" spans="1:77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L712" s="27" t="s">
        <v>7</v>
      </c>
      <c r="M712" s="27" t="s">
        <v>8</v>
      </c>
      <c r="P712" s="27" t="s">
        <v>7</v>
      </c>
      <c r="Q712" s="27" t="s">
        <v>8</v>
      </c>
      <c r="R712" s="27" t="s">
        <v>7</v>
      </c>
      <c r="S712" s="27" t="s">
        <v>8</v>
      </c>
      <c r="T712" s="27" t="s">
        <v>7</v>
      </c>
      <c r="W712" s="27" t="s">
        <v>8</v>
      </c>
      <c r="X712" s="27" t="s">
        <v>7</v>
      </c>
      <c r="AE712" s="27" t="s">
        <v>8</v>
      </c>
      <c r="AF712" s="27" t="s">
        <v>7</v>
      </c>
      <c r="AI712" s="27" t="s">
        <v>8</v>
      </c>
      <c r="AQ712" s="27" t="s">
        <v>8</v>
      </c>
      <c r="AR712" s="27" t="s">
        <v>7</v>
      </c>
      <c r="AS712" s="27" t="s">
        <v>8</v>
      </c>
      <c r="AT712" s="27" t="s">
        <v>7</v>
      </c>
      <c r="AU712" s="27" t="s">
        <v>8</v>
      </c>
      <c r="AV712" s="27" t="s">
        <v>7</v>
      </c>
      <c r="AY712" s="27" t="s">
        <v>8</v>
      </c>
      <c r="AZ712" s="27" t="s">
        <v>7</v>
      </c>
      <c r="BA712" s="27" t="s">
        <v>8</v>
      </c>
      <c r="BB712" s="27" t="s">
        <v>7</v>
      </c>
      <c r="BC712" s="27" t="s">
        <v>8</v>
      </c>
      <c r="BH712" s="27" t="s">
        <v>7</v>
      </c>
      <c r="BI712" s="27" t="s">
        <v>8</v>
      </c>
      <c r="BJ712" s="27" t="s">
        <v>7</v>
      </c>
      <c r="BL712" s="27" t="s">
        <v>7</v>
      </c>
      <c r="BM712" s="27" t="s">
        <v>8</v>
      </c>
      <c r="BN712" s="27" t="s">
        <v>7</v>
      </c>
      <c r="BO712" s="27" t="s">
        <v>8</v>
      </c>
      <c r="BQ712" s="27" t="s">
        <v>8</v>
      </c>
      <c r="BU712" s="27" t="s">
        <v>8</v>
      </c>
      <c r="BV712" s="27" t="s">
        <v>7</v>
      </c>
      <c r="BW712" s="27" t="s">
        <v>8</v>
      </c>
      <c r="BX712" s="27" t="s">
        <v>7</v>
      </c>
      <c r="BY712" s="27" t="s">
        <v>8</v>
      </c>
    </row>
    <row r="713" spans="1:77" x14ac:dyDescent="0.25">
      <c r="A713" s="7">
        <v>8.248564182121898E-2</v>
      </c>
      <c r="B713"/>
      <c r="C713"/>
      <c r="D713"/>
      <c r="E713"/>
      <c r="F713" s="27" t="s">
        <v>7</v>
      </c>
      <c r="G713" s="27" t="s">
        <v>8</v>
      </c>
      <c r="L713" s="27" t="s">
        <v>7</v>
      </c>
      <c r="M713" s="27" t="s">
        <v>8</v>
      </c>
      <c r="P713" s="27" t="s">
        <v>7</v>
      </c>
      <c r="R713" s="27" t="s">
        <v>7</v>
      </c>
      <c r="S713" s="27" t="s">
        <v>8</v>
      </c>
      <c r="T713" s="27" t="s">
        <v>7</v>
      </c>
      <c r="W713" s="27" t="s">
        <v>8</v>
      </c>
      <c r="X713" s="27" t="s">
        <v>7</v>
      </c>
      <c r="Y713" s="27" t="s">
        <v>8</v>
      </c>
      <c r="AC713" s="27" t="s">
        <v>8</v>
      </c>
      <c r="AE713" s="27" t="s">
        <v>8</v>
      </c>
      <c r="AF713" s="27" t="s">
        <v>7</v>
      </c>
      <c r="AI713" s="27" t="s">
        <v>8</v>
      </c>
      <c r="AJ713" s="27" t="s">
        <v>7</v>
      </c>
      <c r="AQ713" s="27" t="s">
        <v>8</v>
      </c>
      <c r="AR713" s="27" t="s">
        <v>7</v>
      </c>
      <c r="AS713" s="27" t="s">
        <v>8</v>
      </c>
      <c r="AT713" s="27" t="s">
        <v>7</v>
      </c>
      <c r="AU713" s="27" t="s">
        <v>8</v>
      </c>
      <c r="AV713" s="27" t="s">
        <v>7</v>
      </c>
      <c r="AW713" s="27" t="s">
        <v>8</v>
      </c>
      <c r="AY713" s="27" t="s">
        <v>8</v>
      </c>
      <c r="AZ713" s="27" t="s">
        <v>7</v>
      </c>
      <c r="BA713" s="27" t="s">
        <v>8</v>
      </c>
      <c r="BB713" s="27" t="s">
        <v>7</v>
      </c>
      <c r="BC713" s="27" t="s">
        <v>8</v>
      </c>
      <c r="BH713" s="27" t="s">
        <v>7</v>
      </c>
      <c r="BI713" s="27" t="s">
        <v>8</v>
      </c>
      <c r="BL713" s="27" t="s">
        <v>7</v>
      </c>
      <c r="BN713" s="27" t="s">
        <v>7</v>
      </c>
      <c r="BO713" s="27" t="s">
        <v>8</v>
      </c>
      <c r="BP713" s="27" t="s">
        <v>7</v>
      </c>
      <c r="BQ713" s="27" t="s">
        <v>8</v>
      </c>
      <c r="BR713" s="27" t="s">
        <v>7</v>
      </c>
      <c r="BS713" s="27" t="s">
        <v>8</v>
      </c>
      <c r="BU713" s="27" t="s">
        <v>8</v>
      </c>
      <c r="BV713" s="27" t="s">
        <v>7</v>
      </c>
      <c r="BW713" s="27" t="s">
        <v>8</v>
      </c>
      <c r="BX713" s="27" t="s">
        <v>7</v>
      </c>
      <c r="BY713" s="27" t="s">
        <v>8</v>
      </c>
    </row>
    <row r="714" spans="1:77" x14ac:dyDescent="0.25">
      <c r="A714" s="7">
        <v>8.0868276295312735E-2</v>
      </c>
      <c r="B714"/>
      <c r="C714"/>
      <c r="D714"/>
      <c r="E714"/>
      <c r="F714" s="27" t="s">
        <v>7</v>
      </c>
      <c r="G714" s="27" t="s">
        <v>8</v>
      </c>
      <c r="L714" s="27" t="s">
        <v>7</v>
      </c>
      <c r="R714" s="27" t="s">
        <v>7</v>
      </c>
      <c r="T714" s="27" t="s">
        <v>7</v>
      </c>
      <c r="U714" s="27" t="s">
        <v>8</v>
      </c>
      <c r="W714" s="27" t="s">
        <v>8</v>
      </c>
      <c r="X714" s="27" t="s">
        <v>7</v>
      </c>
      <c r="Y714" s="27" t="s">
        <v>8</v>
      </c>
      <c r="Z714" s="27" t="s">
        <v>7</v>
      </c>
      <c r="AC714" s="27" t="s">
        <v>8</v>
      </c>
      <c r="AD714" s="27" t="s">
        <v>7</v>
      </c>
      <c r="AE714" s="27" t="s">
        <v>8</v>
      </c>
      <c r="AF714" s="27" t="s">
        <v>7</v>
      </c>
      <c r="AI714" s="27" t="s">
        <v>8</v>
      </c>
      <c r="AJ714" s="27" t="s">
        <v>7</v>
      </c>
      <c r="AQ714" s="27" t="s">
        <v>8</v>
      </c>
      <c r="AR714" s="27" t="s">
        <v>7</v>
      </c>
      <c r="AS714" s="27" t="s">
        <v>8</v>
      </c>
      <c r="AT714" s="27" t="s">
        <v>7</v>
      </c>
      <c r="AU714" s="27" t="s">
        <v>8</v>
      </c>
      <c r="AV714" s="27" t="s">
        <v>7</v>
      </c>
      <c r="AW714" s="27" t="s">
        <v>8</v>
      </c>
      <c r="AX714" s="27" t="s">
        <v>7</v>
      </c>
      <c r="AY714" s="27" t="s">
        <v>8</v>
      </c>
      <c r="AZ714" s="27" t="s">
        <v>7</v>
      </c>
      <c r="BA714" s="27" t="s">
        <v>8</v>
      </c>
      <c r="BB714" s="27" t="s">
        <v>7</v>
      </c>
      <c r="BC714" s="27" t="s">
        <v>8</v>
      </c>
      <c r="BH714" s="27" t="s">
        <v>7</v>
      </c>
      <c r="BI714" s="27" t="s">
        <v>8</v>
      </c>
      <c r="BN714" s="27" t="s">
        <v>7</v>
      </c>
      <c r="BO714" s="27" t="s">
        <v>8</v>
      </c>
      <c r="BP714" s="27" t="s">
        <v>7</v>
      </c>
      <c r="BQ714" s="27" t="s">
        <v>8</v>
      </c>
      <c r="BR714" s="27" t="s">
        <v>7</v>
      </c>
      <c r="BS714" s="27" t="s">
        <v>8</v>
      </c>
      <c r="BT714" s="27" t="s">
        <v>7</v>
      </c>
      <c r="BU714" s="27" t="s">
        <v>8</v>
      </c>
      <c r="BV714" s="27" t="s">
        <v>7</v>
      </c>
      <c r="BW714" s="27" t="s">
        <v>8</v>
      </c>
      <c r="BX714" s="27" t="s">
        <v>7</v>
      </c>
    </row>
    <row r="715" spans="1:77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T715" s="27" t="s">
        <v>7</v>
      </c>
      <c r="U715" s="27" t="s">
        <v>8</v>
      </c>
      <c r="V715" s="27" t="s">
        <v>7</v>
      </c>
      <c r="W715" s="27" t="s">
        <v>8</v>
      </c>
      <c r="X715" s="27" t="s">
        <v>7</v>
      </c>
      <c r="Y715" s="27" t="s">
        <v>8</v>
      </c>
      <c r="Z715" s="27" t="s">
        <v>7</v>
      </c>
      <c r="AA715" s="27" t="s">
        <v>8</v>
      </c>
      <c r="AC715" s="27" t="s">
        <v>8</v>
      </c>
      <c r="AD715" s="27" t="s">
        <v>7</v>
      </c>
      <c r="AE715" s="27" t="s">
        <v>8</v>
      </c>
      <c r="AF715" s="27" t="s">
        <v>7</v>
      </c>
      <c r="AI715" s="27" t="s">
        <v>8</v>
      </c>
      <c r="AJ715" s="27" t="s">
        <v>7</v>
      </c>
      <c r="AQ715" s="27" t="s">
        <v>8</v>
      </c>
      <c r="AR715" s="27" t="s">
        <v>7</v>
      </c>
      <c r="AS715" s="27" t="s">
        <v>8</v>
      </c>
      <c r="AT715" s="27" t="s">
        <v>7</v>
      </c>
      <c r="AU715" s="27" t="s">
        <v>8</v>
      </c>
      <c r="AV715" s="27" t="s">
        <v>7</v>
      </c>
      <c r="AW715" s="27" t="s">
        <v>8</v>
      </c>
      <c r="AX715" s="27" t="s">
        <v>7</v>
      </c>
      <c r="AY715" s="27" t="s">
        <v>8</v>
      </c>
      <c r="AZ715" s="27" t="s">
        <v>7</v>
      </c>
      <c r="BB715" s="27" t="s">
        <v>7</v>
      </c>
      <c r="BC715" s="27" t="s">
        <v>8</v>
      </c>
      <c r="BH715" s="27" t="s">
        <v>7</v>
      </c>
      <c r="BI715" s="27" t="s">
        <v>8</v>
      </c>
      <c r="BN715" s="27" t="s">
        <v>7</v>
      </c>
      <c r="BO715" s="27" t="s">
        <v>8</v>
      </c>
      <c r="BP715" s="27" t="s">
        <v>7</v>
      </c>
      <c r="BQ715" s="27" t="s">
        <v>8</v>
      </c>
      <c r="BR715" s="27" t="s">
        <v>7</v>
      </c>
      <c r="BS715" s="27" t="s">
        <v>8</v>
      </c>
      <c r="BT715" s="27" t="s">
        <v>7</v>
      </c>
      <c r="BU715" s="27" t="s">
        <v>8</v>
      </c>
      <c r="BV715" s="27" t="s">
        <v>7</v>
      </c>
      <c r="BW715" s="27" t="s">
        <v>8</v>
      </c>
    </row>
    <row r="716" spans="1:77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T716" s="27" t="s">
        <v>7</v>
      </c>
      <c r="U716" s="27" t="s">
        <v>8</v>
      </c>
      <c r="V716" s="27" t="s">
        <v>7</v>
      </c>
      <c r="W716" s="27" t="s">
        <v>8</v>
      </c>
      <c r="X716" s="27" t="s">
        <v>7</v>
      </c>
      <c r="Z716" s="27" t="s">
        <v>7</v>
      </c>
      <c r="AA716" s="27" t="s">
        <v>8</v>
      </c>
      <c r="AB716" s="27" t="s">
        <v>7</v>
      </c>
      <c r="AC716" s="27" t="s">
        <v>8</v>
      </c>
      <c r="AD716" s="27" t="s">
        <v>7</v>
      </c>
      <c r="AE716" s="27" t="s">
        <v>8</v>
      </c>
      <c r="AF716" s="27" t="s">
        <v>7</v>
      </c>
      <c r="AI716" s="27" t="s">
        <v>8</v>
      </c>
      <c r="AJ716" s="27" t="s">
        <v>7</v>
      </c>
      <c r="AK716" s="27" t="s">
        <v>8</v>
      </c>
      <c r="AQ716" s="27" t="s">
        <v>8</v>
      </c>
      <c r="AR716" s="27" t="s">
        <v>7</v>
      </c>
      <c r="AS716" s="27" t="s">
        <v>8</v>
      </c>
      <c r="AT716" s="27" t="s">
        <v>7</v>
      </c>
      <c r="AV716" s="27" t="s">
        <v>7</v>
      </c>
      <c r="AX716" s="27" t="s">
        <v>7</v>
      </c>
      <c r="AY716" s="27" t="s">
        <v>8</v>
      </c>
      <c r="BB716" s="27" t="s">
        <v>7</v>
      </c>
      <c r="BC716" s="27" t="s">
        <v>8</v>
      </c>
      <c r="BH716" s="27" t="s">
        <v>7</v>
      </c>
      <c r="BN716" s="27" t="s">
        <v>7</v>
      </c>
      <c r="BO716" s="27" t="s">
        <v>8</v>
      </c>
      <c r="BP716" s="27" t="s">
        <v>7</v>
      </c>
      <c r="BR716" s="27" t="s">
        <v>7</v>
      </c>
      <c r="BS716" s="27" t="s">
        <v>8</v>
      </c>
      <c r="BT716" s="27" t="s">
        <v>7</v>
      </c>
      <c r="BU716" s="27" t="s">
        <v>8</v>
      </c>
      <c r="BV716" s="27" t="s">
        <v>7</v>
      </c>
    </row>
    <row r="717" spans="1:77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T717" s="27" t="s">
        <v>7</v>
      </c>
      <c r="U717" s="27" t="s">
        <v>8</v>
      </c>
      <c r="V717" s="27" t="s">
        <v>7</v>
      </c>
      <c r="W717" s="27" t="s">
        <v>8</v>
      </c>
      <c r="Z717" s="27" t="s">
        <v>7</v>
      </c>
      <c r="AA717" s="27" t="s">
        <v>8</v>
      </c>
      <c r="AB717" s="27" t="s">
        <v>7</v>
      </c>
      <c r="AC717" s="27" t="s">
        <v>8</v>
      </c>
      <c r="AD717" s="27" t="s">
        <v>7</v>
      </c>
      <c r="AF717" s="27" t="s">
        <v>7</v>
      </c>
      <c r="AG717" s="27" t="s">
        <v>8</v>
      </c>
      <c r="AI717" s="27" t="s">
        <v>8</v>
      </c>
      <c r="AJ717" s="27" t="s">
        <v>7</v>
      </c>
      <c r="AK717" s="27" t="s">
        <v>8</v>
      </c>
      <c r="AL717" s="27" t="s">
        <v>7</v>
      </c>
      <c r="AM717" s="27" t="s">
        <v>8</v>
      </c>
      <c r="AQ717" s="27" t="s">
        <v>8</v>
      </c>
      <c r="AR717" s="27" t="s">
        <v>7</v>
      </c>
      <c r="AS717" s="27" t="s">
        <v>8</v>
      </c>
      <c r="AX717" s="27" t="s">
        <v>7</v>
      </c>
      <c r="AY717" s="27" t="s">
        <v>8</v>
      </c>
      <c r="BB717" s="27" t="s">
        <v>7</v>
      </c>
      <c r="BN717" s="27" t="s">
        <v>7</v>
      </c>
      <c r="BO717" s="27" t="s">
        <v>8</v>
      </c>
      <c r="BR717" s="27" t="s">
        <v>7</v>
      </c>
      <c r="BT717" s="27" t="s">
        <v>7</v>
      </c>
    </row>
    <row r="718" spans="1:77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T718" s="27" t="s">
        <v>7</v>
      </c>
      <c r="U718" s="27" t="s">
        <v>8</v>
      </c>
      <c r="V718" s="27" t="s">
        <v>7</v>
      </c>
      <c r="W718" s="27" t="s">
        <v>8</v>
      </c>
      <c r="Z718" s="27" t="s">
        <v>7</v>
      </c>
      <c r="AA718" s="27" t="s">
        <v>8</v>
      </c>
      <c r="AB718" s="27" t="s">
        <v>7</v>
      </c>
      <c r="AC718" s="27" t="s">
        <v>8</v>
      </c>
      <c r="AF718" s="27" t="s">
        <v>7</v>
      </c>
      <c r="AG718" s="27" t="s">
        <v>8</v>
      </c>
      <c r="AH718" s="27" t="s">
        <v>7</v>
      </c>
      <c r="AI718" s="27" t="s">
        <v>8</v>
      </c>
      <c r="AJ718" s="27" t="s">
        <v>7</v>
      </c>
      <c r="AK718" s="27" t="s">
        <v>8</v>
      </c>
      <c r="AL718" s="27" t="s">
        <v>7</v>
      </c>
      <c r="AM718" s="27" t="s">
        <v>8</v>
      </c>
      <c r="AN718" s="27" t="s">
        <v>7</v>
      </c>
      <c r="AQ718" s="27" t="s">
        <v>8</v>
      </c>
      <c r="AR718" s="27" t="s">
        <v>7</v>
      </c>
      <c r="AS718" s="27" t="s">
        <v>8</v>
      </c>
      <c r="AX718" s="27" t="s">
        <v>7</v>
      </c>
      <c r="BN718" s="27" t="s">
        <v>7</v>
      </c>
      <c r="BO718" s="27" t="s">
        <v>8</v>
      </c>
    </row>
    <row r="719" spans="1:77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T719" s="27" t="s">
        <v>7</v>
      </c>
      <c r="U719" s="27" t="s">
        <v>8</v>
      </c>
      <c r="V719" s="27" t="s">
        <v>7</v>
      </c>
      <c r="W719" s="27" t="s">
        <v>8</v>
      </c>
      <c r="Z719" s="27" t="s">
        <v>7</v>
      </c>
      <c r="AA719" s="27" t="s">
        <v>8</v>
      </c>
      <c r="AB719" s="27" t="s">
        <v>7</v>
      </c>
      <c r="AC719" s="27" t="s">
        <v>8</v>
      </c>
      <c r="AF719" s="27" t="s">
        <v>7</v>
      </c>
      <c r="AG719" s="27" t="s">
        <v>8</v>
      </c>
      <c r="AH719" s="27" t="s">
        <v>7</v>
      </c>
      <c r="AI719" s="27" t="s">
        <v>8</v>
      </c>
      <c r="AJ719" s="27" t="s">
        <v>7</v>
      </c>
      <c r="AK719" s="27" t="s">
        <v>8</v>
      </c>
      <c r="AL719" s="27" t="s">
        <v>7</v>
      </c>
      <c r="AM719" s="27" t="s">
        <v>8</v>
      </c>
      <c r="AN719" s="27" t="s">
        <v>7</v>
      </c>
      <c r="AQ719" s="27" t="s">
        <v>8</v>
      </c>
      <c r="AR719" s="27" t="s">
        <v>7</v>
      </c>
      <c r="AS719" s="27" t="s">
        <v>8</v>
      </c>
      <c r="BN719" s="27" t="s">
        <v>7</v>
      </c>
      <c r="BO719" s="27" t="s">
        <v>8</v>
      </c>
    </row>
    <row r="720" spans="1:77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T720" s="27" t="s">
        <v>7</v>
      </c>
      <c r="V720" s="27" t="s">
        <v>7</v>
      </c>
      <c r="Z720" s="27" t="s">
        <v>7</v>
      </c>
      <c r="AA720" s="27" t="s">
        <v>8</v>
      </c>
      <c r="AB720" s="27" t="s">
        <v>7</v>
      </c>
      <c r="AC720" s="27" t="s">
        <v>8</v>
      </c>
      <c r="AF720" s="27" t="s">
        <v>7</v>
      </c>
      <c r="AH720" s="27" t="s">
        <v>7</v>
      </c>
      <c r="AI720" s="27" t="s">
        <v>8</v>
      </c>
      <c r="AJ720" s="27" t="s">
        <v>7</v>
      </c>
      <c r="AL720" s="27" t="s">
        <v>7</v>
      </c>
      <c r="AN720" s="27" t="s">
        <v>7</v>
      </c>
      <c r="AQ720" s="27" t="s">
        <v>8</v>
      </c>
      <c r="AR720" s="27" t="s">
        <v>7</v>
      </c>
      <c r="BN720" s="27" t="s">
        <v>7</v>
      </c>
      <c r="BO720" s="27" t="s">
        <v>8</v>
      </c>
    </row>
    <row r="721" spans="1:66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Z721" s="27" t="s">
        <v>7</v>
      </c>
      <c r="AA721" s="27" t="s">
        <v>8</v>
      </c>
      <c r="AB721" s="27" t="s">
        <v>7</v>
      </c>
      <c r="AC721" s="27" t="s">
        <v>8</v>
      </c>
      <c r="AH721" s="27" t="s">
        <v>7</v>
      </c>
      <c r="AI721" s="27" t="s">
        <v>8</v>
      </c>
      <c r="AN721" s="27" t="s">
        <v>7</v>
      </c>
      <c r="AQ721" s="27" t="s">
        <v>8</v>
      </c>
      <c r="BN721" s="27" t="s">
        <v>7</v>
      </c>
    </row>
    <row r="722" spans="1:66" x14ac:dyDescent="0.25">
      <c r="A722" s="7">
        <v>6.9020295152790956E-2</v>
      </c>
      <c r="B722"/>
      <c r="C722"/>
      <c r="D722"/>
      <c r="E722"/>
      <c r="F722" s="27" t="s">
        <v>7</v>
      </c>
      <c r="G722" s="27" t="s">
        <v>8</v>
      </c>
      <c r="Z722" s="27" t="s">
        <v>7</v>
      </c>
      <c r="AA722" s="27" t="s">
        <v>8</v>
      </c>
      <c r="AB722" s="27" t="s">
        <v>7</v>
      </c>
      <c r="AH722" s="27" t="s">
        <v>7</v>
      </c>
      <c r="AN722" s="27" t="s">
        <v>7</v>
      </c>
      <c r="AQ722" s="27" t="s">
        <v>8</v>
      </c>
    </row>
    <row r="723" spans="1:66" x14ac:dyDescent="0.25">
      <c r="A723" s="7">
        <v>6.7666956032147993E-2</v>
      </c>
      <c r="B723"/>
      <c r="C723"/>
      <c r="D723"/>
      <c r="E723"/>
      <c r="F723" s="27" t="s">
        <v>7</v>
      </c>
      <c r="G723" s="27" t="s">
        <v>8</v>
      </c>
      <c r="Z723" s="27" t="s">
        <v>7</v>
      </c>
      <c r="AN723" s="27" t="s">
        <v>7</v>
      </c>
      <c r="AO723" s="27" t="s">
        <v>8</v>
      </c>
      <c r="AQ723" s="27" t="s">
        <v>8</v>
      </c>
    </row>
    <row r="724" spans="1:66" x14ac:dyDescent="0.25">
      <c r="A724" s="7">
        <v>6.6340152972694105E-2</v>
      </c>
      <c r="B724"/>
      <c r="C724"/>
      <c r="D724"/>
      <c r="E724"/>
      <c r="F724" s="27" t="s">
        <v>7</v>
      </c>
      <c r="G724" s="27" t="s">
        <v>8</v>
      </c>
      <c r="AN724" s="27" t="s">
        <v>7</v>
      </c>
      <c r="AO724" s="27" t="s">
        <v>8</v>
      </c>
      <c r="AP724" s="27" t="s">
        <v>7</v>
      </c>
      <c r="AQ724" s="27" t="s">
        <v>8</v>
      </c>
    </row>
    <row r="725" spans="1:66" x14ac:dyDescent="0.25">
      <c r="A725" s="7">
        <v>6.5039365659504023E-2</v>
      </c>
      <c r="B725"/>
      <c r="C725"/>
      <c r="D725"/>
      <c r="E725"/>
      <c r="F725" s="27" t="s">
        <v>7</v>
      </c>
      <c r="G725" s="27" t="s">
        <v>8</v>
      </c>
      <c r="AN725" s="27" t="s">
        <v>7</v>
      </c>
      <c r="AO725" s="27" t="s">
        <v>8</v>
      </c>
      <c r="AP725" s="27" t="s">
        <v>7</v>
      </c>
      <c r="AQ725" s="27" t="s">
        <v>8</v>
      </c>
    </row>
    <row r="726" spans="1:66" x14ac:dyDescent="0.25">
      <c r="A726" s="7">
        <v>6.3764083979905906E-2</v>
      </c>
      <c r="B726"/>
      <c r="C726"/>
      <c r="D726"/>
      <c r="E726"/>
      <c r="F726" s="27" t="s">
        <v>7</v>
      </c>
      <c r="G726" s="27" t="s">
        <v>8</v>
      </c>
      <c r="AN726" s="27" t="s">
        <v>7</v>
      </c>
      <c r="AO726" s="27" t="s">
        <v>8</v>
      </c>
      <c r="AP726" s="27" t="s">
        <v>7</v>
      </c>
      <c r="AQ726" s="27" t="s">
        <v>8</v>
      </c>
    </row>
    <row r="727" spans="1:66" x14ac:dyDescent="0.25">
      <c r="A727" s="7">
        <v>6.251380782343717E-2</v>
      </c>
      <c r="B727"/>
      <c r="C727"/>
      <c r="D727"/>
      <c r="E727"/>
      <c r="F727" s="27" t="s">
        <v>7</v>
      </c>
      <c r="G727" s="27" t="s">
        <v>8</v>
      </c>
      <c r="AN727" s="27" t="s">
        <v>7</v>
      </c>
      <c r="AO727" s="27" t="s">
        <v>8</v>
      </c>
      <c r="AP727" s="27" t="s">
        <v>7</v>
      </c>
      <c r="AQ727" s="27" t="s">
        <v>8</v>
      </c>
    </row>
    <row r="728" spans="1:66" x14ac:dyDescent="0.25">
      <c r="A728" s="7">
        <v>6.1288046885722716E-2</v>
      </c>
      <c r="B728"/>
      <c r="C728"/>
      <c r="D728"/>
      <c r="E728"/>
      <c r="F728" s="27" t="s">
        <v>7</v>
      </c>
      <c r="G728" s="27" t="s">
        <v>8</v>
      </c>
      <c r="AN728" s="27" t="s">
        <v>7</v>
      </c>
      <c r="AP728" s="27" t="s">
        <v>7</v>
      </c>
      <c r="AQ728" s="27" t="s">
        <v>8</v>
      </c>
    </row>
    <row r="729" spans="1:66" x14ac:dyDescent="0.25">
      <c r="A729" s="7">
        <v>6.0086320476198739E-2</v>
      </c>
      <c r="B729"/>
      <c r="C729"/>
      <c r="D729"/>
      <c r="E729"/>
      <c r="F729" s="27" t="s">
        <v>7</v>
      </c>
      <c r="G729" s="27" t="s">
        <v>8</v>
      </c>
      <c r="AP729" s="27" t="s">
        <v>7</v>
      </c>
    </row>
    <row r="730" spans="1:66" x14ac:dyDescent="0.25">
      <c r="A730" s="7">
        <v>5.8908157329606609E-2</v>
      </c>
      <c r="B730"/>
      <c r="C730"/>
      <c r="D730"/>
      <c r="E730"/>
      <c r="F730" s="27" t="s">
        <v>7</v>
      </c>
      <c r="G730" s="27" t="s">
        <v>8</v>
      </c>
    </row>
    <row r="731" spans="1:66" x14ac:dyDescent="0.25">
      <c r="A731" s="7">
        <v>5.7753095421182947E-2</v>
      </c>
      <c r="B731"/>
      <c r="C731"/>
      <c r="D731"/>
      <c r="E731"/>
      <c r="F731" s="27" t="s">
        <v>7</v>
      </c>
    </row>
    <row r="732" spans="1:66" x14ac:dyDescent="0.25">
      <c r="A732" s="7">
        <v>5.6620681785473484E-2</v>
      </c>
      <c r="B732"/>
      <c r="C732"/>
      <c r="D732"/>
      <c r="E732"/>
    </row>
    <row r="733" spans="1:66" x14ac:dyDescent="0.25">
      <c r="A733" s="7">
        <v>5.5510472338699497E-2</v>
      </c>
      <c r="B733"/>
      <c r="C733"/>
      <c r="D733"/>
      <c r="E733"/>
    </row>
    <row r="734" spans="1:66" x14ac:dyDescent="0.25">
      <c r="A734" s="7">
        <v>5.4422031704607354E-2</v>
      </c>
      <c r="B734"/>
      <c r="C734"/>
      <c r="D734"/>
      <c r="E734"/>
    </row>
    <row r="735" spans="1:66" x14ac:dyDescent="0.25">
      <c r="A735" s="7">
        <v>5.3354933043732705E-2</v>
      </c>
      <c r="B735"/>
      <c r="C735"/>
      <c r="D735"/>
      <c r="E735"/>
    </row>
    <row r="736" spans="1:66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5" operator="equal">
      <formula>$U$1</formula>
    </cfRule>
    <cfRule type="cellIs" dxfId="89" priority="946" operator="equal">
      <formula>$S$1</formula>
    </cfRule>
  </conditionalFormatting>
  <conditionalFormatting sqref="D27">
    <cfRule type="cellIs" dxfId="88" priority="943" operator="equal">
      <formula>$S$1</formula>
    </cfRule>
    <cfRule type="cellIs" dxfId="87" priority="944" operator="equal">
      <formula>$U$1</formula>
    </cfRule>
  </conditionalFormatting>
  <conditionalFormatting sqref="C164">
    <cfRule type="cellIs" dxfId="86" priority="941" operator="equal">
      <formula>$U$1</formula>
    </cfRule>
    <cfRule type="cellIs" dxfId="85" priority="942" operator="equal">
      <formula>$S$1</formula>
    </cfRule>
  </conditionalFormatting>
  <conditionalFormatting sqref="D164">
    <cfRule type="cellIs" dxfId="84" priority="939" operator="equal">
      <formula>$S$1</formula>
    </cfRule>
    <cfRule type="cellIs" dxfId="83" priority="940" operator="equal">
      <formula>$U$1</formula>
    </cfRule>
  </conditionalFormatting>
  <conditionalFormatting sqref="C55">
    <cfRule type="cellIs" dxfId="82" priority="937" operator="equal">
      <formula>$U$1</formula>
    </cfRule>
    <cfRule type="cellIs" dxfId="81" priority="938" operator="equal">
      <formula>$S$1</formula>
    </cfRule>
  </conditionalFormatting>
  <conditionalFormatting sqref="D55">
    <cfRule type="cellIs" dxfId="80" priority="935" operator="equal">
      <formula>$S$1</formula>
    </cfRule>
    <cfRule type="cellIs" dxfId="79" priority="936" operator="equal">
      <formula>$U$1</formula>
    </cfRule>
  </conditionalFormatting>
  <conditionalFormatting sqref="C89">
    <cfRule type="cellIs" dxfId="78" priority="933" operator="equal">
      <formula>$U$1</formula>
    </cfRule>
    <cfRule type="cellIs" dxfId="77" priority="934" operator="equal">
      <formula>$S$1</formula>
    </cfRule>
  </conditionalFormatting>
  <conditionalFormatting sqref="D89">
    <cfRule type="cellIs" dxfId="76" priority="931" operator="equal">
      <formula>$S$1</formula>
    </cfRule>
    <cfRule type="cellIs" dxfId="75" priority="932" operator="equal">
      <formula>$U$1</formula>
    </cfRule>
  </conditionalFormatting>
  <conditionalFormatting sqref="C136">
    <cfRule type="cellIs" dxfId="74" priority="929" operator="equal">
      <formula>$U$1</formula>
    </cfRule>
    <cfRule type="cellIs" dxfId="73" priority="930" operator="equal">
      <formula>$S$1</formula>
    </cfRule>
  </conditionalFormatting>
  <conditionalFormatting sqref="D136">
    <cfRule type="cellIs" dxfId="72" priority="927" operator="equal">
      <formula>$S$1</formula>
    </cfRule>
    <cfRule type="cellIs" dxfId="71" priority="928" operator="equal">
      <formula>$U$1</formula>
    </cfRule>
  </conditionalFormatting>
  <conditionalFormatting sqref="C1">
    <cfRule type="cellIs" dxfId="70" priority="92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6" zoomScale="90" zoomScaleNormal="90" workbookViewId="0">
      <pane xSplit="4" topLeftCell="BU1" activePane="topRight" state="frozen"/>
      <selection activeCell="A109" sqref="A109"/>
      <selection pane="topRight" activeCell="EG223" sqref="EG22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$A$222</v>
      </c>
      <c r="D111" s="1" t="str">
        <f>ADDRESS(C121-1,D121,1,1)</f>
        <v>$EG$222</v>
      </c>
      <c r="E111"/>
    </row>
    <row r="112" spans="1:5" x14ac:dyDescent="0.25">
      <c r="A112" s="30">
        <v>515.50191262726139</v>
      </c>
      <c r="C112" s="1" t="str">
        <f>ADDRESS(C121,1,1,1)</f>
        <v>$A$223</v>
      </c>
      <c r="D112" s="1" t="str">
        <f>ADDRESS(C121,D121-1,1,1)</f>
        <v>$EF$223</v>
      </c>
      <c r="E112"/>
    </row>
    <row r="113" spans="1:5" x14ac:dyDescent="0.25">
      <c r="A113" s="30">
        <v>490.95420250215363</v>
      </c>
      <c r="C113" s="1" t="str">
        <f>ADDRESS(C121+1,1,1,1)</f>
        <v>$A$224</v>
      </c>
      <c r="D113" s="1" t="str">
        <f>ADDRESS(C121-1,D121+1,1,1)</f>
        <v>$EH$222</v>
      </c>
    </row>
    <row r="114" spans="1:5" x14ac:dyDescent="0.25">
      <c r="A114" s="30">
        <v>467.57543095443202</v>
      </c>
      <c r="C114" s="1" t="str">
        <f>ADDRESS(C121,D121,1,1)</f>
        <v>$EG$223</v>
      </c>
      <c r="D114" s="1" t="str">
        <f>ADDRESS(C121+1,D121+1,1,1)</f>
        <v>$EH$224</v>
      </c>
    </row>
    <row r="115" spans="1:5" x14ac:dyDescent="0.25">
      <c r="A115" s="30">
        <v>445.30993424231622</v>
      </c>
      <c r="C115" s="1" t="str">
        <f>ADDRESS(C121+1,D121,1,1)</f>
        <v>$EG$224</v>
      </c>
    </row>
    <row r="116" spans="1:5" x14ac:dyDescent="0.25">
      <c r="A116" s="30">
        <v>424.10469927839637</v>
      </c>
      <c r="C116" s="1">
        <f>C117-1</f>
        <v>222</v>
      </c>
    </row>
    <row r="117" spans="1:5" x14ac:dyDescent="0.25">
      <c r="A117" s="30">
        <v>403.9092374079965</v>
      </c>
      <c r="C117" s="1">
        <f>C121</f>
        <v>223</v>
      </c>
      <c r="D117" s="1">
        <f>D121</f>
        <v>137</v>
      </c>
    </row>
    <row r="118" spans="1:5" x14ac:dyDescent="0.25">
      <c r="A118" s="30">
        <v>384.6754641980919</v>
      </c>
      <c r="C118" s="1">
        <f>C117+1</f>
        <v>224</v>
      </c>
      <c r="D118" s="1">
        <f>D117+1</f>
        <v>138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223</v>
      </c>
      <c r="D121" s="19">
        <v>137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R223</v>
      </c>
      <c r="D123" s="1" t="str">
        <f>"C"&amp;D121</f>
        <v>C137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2.2920183178010345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24" x14ac:dyDescent="0.25">
      <c r="A193" s="30">
        <v>9.9059710923258422</v>
      </c>
      <c r="E193"/>
    </row>
    <row r="194" spans="1:124" x14ac:dyDescent="0.25">
      <c r="A194" s="30">
        <v>9.4342581831674686</v>
      </c>
      <c r="E194"/>
    </row>
    <row r="195" spans="1:124" x14ac:dyDescent="0.25">
      <c r="A195" s="30">
        <v>8.9850077934928265</v>
      </c>
      <c r="E195"/>
    </row>
    <row r="196" spans="1:124" x14ac:dyDescent="0.25">
      <c r="A196" s="30">
        <v>8.5571502795169767</v>
      </c>
      <c r="E196"/>
    </row>
    <row r="197" spans="1:124" x14ac:dyDescent="0.25">
      <c r="A197" s="30">
        <v>8.1496669328733109</v>
      </c>
      <c r="E197"/>
    </row>
    <row r="198" spans="1:124" x14ac:dyDescent="0.25">
      <c r="A198" s="30">
        <v>7.7615875551174378</v>
      </c>
      <c r="E198"/>
    </row>
    <row r="199" spans="1:124" x14ac:dyDescent="0.25">
      <c r="A199" s="30">
        <v>7.3919881477308929</v>
      </c>
      <c r="E199"/>
    </row>
    <row r="200" spans="1:124" x14ac:dyDescent="0.25">
      <c r="A200" s="30">
        <v>7.0399887121246598</v>
      </c>
      <c r="E200"/>
    </row>
    <row r="201" spans="1:124" x14ac:dyDescent="0.25">
      <c r="A201" s="30">
        <v>6.7047511544044376</v>
      </c>
      <c r="E201"/>
    </row>
    <row r="202" spans="1:124" x14ac:dyDescent="0.25">
      <c r="A202" s="30">
        <v>6.3854772899089882</v>
      </c>
      <c r="E202"/>
    </row>
    <row r="203" spans="1:124" x14ac:dyDescent="0.25">
      <c r="A203" s="30">
        <v>6.0814069427704647</v>
      </c>
      <c r="C203" s="7"/>
      <c r="D203"/>
      <c r="E203"/>
    </row>
    <row r="204" spans="1:124" x14ac:dyDescent="0.25">
      <c r="A204" s="30">
        <v>5.7918161359718709</v>
      </c>
      <c r="E204"/>
      <c r="DQ204" s="27" t="s">
        <v>8</v>
      </c>
    </row>
    <row r="205" spans="1:124" x14ac:dyDescent="0.25">
      <c r="A205" s="30">
        <v>5.5160153675922574</v>
      </c>
      <c r="E205"/>
      <c r="DQ205" s="27" t="s">
        <v>8</v>
      </c>
      <c r="DR205" s="27" t="s">
        <v>7</v>
      </c>
    </row>
    <row r="206" spans="1:124" x14ac:dyDescent="0.25">
      <c r="A206" s="30">
        <v>5.2533479691354827</v>
      </c>
      <c r="C206"/>
      <c r="D206"/>
      <c r="E206"/>
      <c r="DQ206" s="27" t="s">
        <v>8</v>
      </c>
      <c r="DR206" s="27" t="s">
        <v>7</v>
      </c>
    </row>
    <row r="207" spans="1:124" x14ac:dyDescent="0.25">
      <c r="A207" s="30">
        <v>5.0031885420337927</v>
      </c>
      <c r="E207"/>
      <c r="DQ207" s="27" t="s">
        <v>8</v>
      </c>
      <c r="DR207" s="27" t="s">
        <v>7</v>
      </c>
      <c r="DS207" s="27" t="s">
        <v>8</v>
      </c>
    </row>
    <row r="208" spans="1:124" x14ac:dyDescent="0.25">
      <c r="A208" s="30">
        <v>4.7649414686036122</v>
      </c>
      <c r="E208"/>
      <c r="DG208" s="27" t="s">
        <v>8</v>
      </c>
      <c r="DQ208" s="27" t="s">
        <v>8</v>
      </c>
      <c r="DR208" s="27" t="s">
        <v>7</v>
      </c>
      <c r="DS208" s="27" t="s">
        <v>8</v>
      </c>
      <c r="DT208" s="27" t="s">
        <v>7</v>
      </c>
    </row>
    <row r="209" spans="1:137" x14ac:dyDescent="0.25">
      <c r="A209" s="30">
        <v>4.5380394939082018</v>
      </c>
      <c r="E209"/>
      <c r="DG209" s="27" t="s">
        <v>8</v>
      </c>
      <c r="DH209" s="27" t="s">
        <v>7</v>
      </c>
      <c r="DQ209" s="27" t="s">
        <v>8</v>
      </c>
      <c r="DR209" s="27" t="s">
        <v>7</v>
      </c>
      <c r="DS209" s="27" t="s">
        <v>8</v>
      </c>
      <c r="DT209" s="27" t="s">
        <v>7</v>
      </c>
    </row>
    <row r="210" spans="1:137" x14ac:dyDescent="0.25">
      <c r="A210" s="30">
        <v>4.3219423751506678</v>
      </c>
      <c r="C210"/>
      <c r="E210"/>
      <c r="DG210" s="27" t="s">
        <v>8</v>
      </c>
      <c r="DH210" s="27" t="s">
        <v>7</v>
      </c>
      <c r="DO210" s="27" t="s">
        <v>8</v>
      </c>
      <c r="DQ210" s="27" t="s">
        <v>8</v>
      </c>
      <c r="DR210" s="27" t="s">
        <v>7</v>
      </c>
      <c r="DT210" s="27" t="s">
        <v>7</v>
      </c>
    </row>
    <row r="211" spans="1:137" x14ac:dyDescent="0.25">
      <c r="A211" s="30">
        <v>4.1161355953815884</v>
      </c>
      <c r="E211"/>
      <c r="DG211" s="27" t="s">
        <v>8</v>
      </c>
      <c r="DH211" s="27" t="s">
        <v>7</v>
      </c>
      <c r="DO211" s="27" t="s">
        <v>8</v>
      </c>
      <c r="DP211" s="27" t="s">
        <v>7</v>
      </c>
      <c r="DQ211" s="27" t="s">
        <v>8</v>
      </c>
      <c r="DT211" s="27" t="s">
        <v>7</v>
      </c>
      <c r="DU211" s="27" t="s">
        <v>8</v>
      </c>
      <c r="DW211" s="27" t="s">
        <v>8</v>
      </c>
    </row>
    <row r="212" spans="1:137" x14ac:dyDescent="0.25">
      <c r="A212" s="30">
        <v>3.9201291384586554</v>
      </c>
      <c r="E212"/>
      <c r="DG212" s="27" t="s">
        <v>8</v>
      </c>
      <c r="DH212" s="27" t="s">
        <v>7</v>
      </c>
      <c r="DO212" s="27" t="s">
        <v>8</v>
      </c>
      <c r="DP212" s="27" t="s">
        <v>7</v>
      </c>
      <c r="DQ212" s="27" t="s">
        <v>8</v>
      </c>
      <c r="DT212" s="27" t="s">
        <v>7</v>
      </c>
      <c r="DU212" s="27" t="s">
        <v>8</v>
      </c>
      <c r="DV212" s="27" t="s">
        <v>7</v>
      </c>
      <c r="DW212" s="27" t="s">
        <v>8</v>
      </c>
      <c r="DX212" s="27" t="s">
        <v>7</v>
      </c>
      <c r="EA212" s="27" t="s">
        <v>8</v>
      </c>
    </row>
    <row r="213" spans="1:137" x14ac:dyDescent="0.25">
      <c r="A213" s="30">
        <v>3.7334563223415764</v>
      </c>
      <c r="E213"/>
      <c r="DG213" s="27" t="s">
        <v>8</v>
      </c>
      <c r="DH213" s="27" t="s">
        <v>7</v>
      </c>
      <c r="DM213" s="27" t="s">
        <v>8</v>
      </c>
      <c r="DO213" s="27" t="s">
        <v>8</v>
      </c>
      <c r="DP213" s="27" t="s">
        <v>7</v>
      </c>
      <c r="DQ213" s="27" t="s">
        <v>8</v>
      </c>
      <c r="DT213" s="27" t="s">
        <v>7</v>
      </c>
      <c r="DU213" s="27" t="s">
        <v>8</v>
      </c>
      <c r="DV213" s="27" t="s">
        <v>7</v>
      </c>
      <c r="DW213" s="27" t="s">
        <v>8</v>
      </c>
      <c r="DX213" s="27" t="s">
        <v>7</v>
      </c>
      <c r="EA213" s="27" t="s">
        <v>8</v>
      </c>
      <c r="EB213" s="27" t="s">
        <v>7</v>
      </c>
    </row>
    <row r="214" spans="1:137" x14ac:dyDescent="0.25">
      <c r="A214" s="30">
        <v>3.5556726879443583</v>
      </c>
      <c r="E214"/>
      <c r="DG214" s="27" t="s">
        <v>8</v>
      </c>
      <c r="DH214" s="27" t="s">
        <v>7</v>
      </c>
      <c r="DM214" s="27" t="s">
        <v>8</v>
      </c>
      <c r="DN214" s="27" t="s">
        <v>7</v>
      </c>
      <c r="DO214" s="27" t="s">
        <v>8</v>
      </c>
      <c r="DP214" s="27" t="s">
        <v>7</v>
      </c>
      <c r="DT214" s="27" t="s">
        <v>7</v>
      </c>
      <c r="DU214" s="27" t="s">
        <v>8</v>
      </c>
      <c r="DV214" s="27" t="s">
        <v>7</v>
      </c>
      <c r="DW214" s="27" t="s">
        <v>8</v>
      </c>
      <c r="DX214" s="27" t="s">
        <v>7</v>
      </c>
      <c r="DY214" s="27" t="s">
        <v>8</v>
      </c>
      <c r="EA214" s="27" t="s">
        <v>8</v>
      </c>
      <c r="EB214" s="27" t="s">
        <v>7</v>
      </c>
    </row>
    <row r="215" spans="1:137" x14ac:dyDescent="0.25">
      <c r="A215" s="30">
        <v>3.3863549408993889</v>
      </c>
      <c r="E215"/>
      <c r="DG215" s="27" t="s">
        <v>8</v>
      </c>
      <c r="DH215" s="27" t="s">
        <v>7</v>
      </c>
      <c r="DI215" s="27" t="s">
        <v>8</v>
      </c>
      <c r="DM215" s="27" t="s">
        <v>8</v>
      </c>
      <c r="DN215" s="27" t="s">
        <v>7</v>
      </c>
      <c r="DO215" s="27" t="s">
        <v>8</v>
      </c>
      <c r="DT215" s="27" t="s">
        <v>7</v>
      </c>
      <c r="DU215" s="27" t="s">
        <v>8</v>
      </c>
      <c r="DV215" s="27" t="s">
        <v>7</v>
      </c>
      <c r="DW215" s="27" t="s">
        <v>8</v>
      </c>
      <c r="DX215" s="27" t="s">
        <v>7</v>
      </c>
      <c r="DY215" s="27" t="s">
        <v>8</v>
      </c>
      <c r="DZ215" s="27" t="s">
        <v>7</v>
      </c>
      <c r="EA215" s="27" t="s">
        <v>8</v>
      </c>
      <c r="EB215" s="27" t="s">
        <v>7</v>
      </c>
      <c r="EC215" s="27" t="s">
        <v>8</v>
      </c>
    </row>
    <row r="216" spans="1:137" x14ac:dyDescent="0.25">
      <c r="A216" s="30">
        <v>3.2250999437137038</v>
      </c>
      <c r="E216"/>
      <c r="DG216" s="27" t="s">
        <v>8</v>
      </c>
      <c r="DH216" s="27" t="s">
        <v>7</v>
      </c>
      <c r="DI216" s="27" t="s">
        <v>8</v>
      </c>
      <c r="DJ216" s="27" t="s">
        <v>7</v>
      </c>
      <c r="DM216" s="27" t="s">
        <v>8</v>
      </c>
      <c r="DN216" s="27" t="s">
        <v>7</v>
      </c>
      <c r="DO216" s="27" t="s">
        <v>8</v>
      </c>
      <c r="DT216" s="27" t="s">
        <v>7</v>
      </c>
      <c r="DU216" s="27" t="s">
        <v>8</v>
      </c>
      <c r="DV216" s="27" t="s">
        <v>7</v>
      </c>
      <c r="DX216" s="27" t="s">
        <v>7</v>
      </c>
      <c r="DY216" s="27" t="s">
        <v>8</v>
      </c>
      <c r="DZ216" s="27" t="s">
        <v>7</v>
      </c>
      <c r="EA216" s="27" t="s">
        <v>8</v>
      </c>
      <c r="EB216" s="27" t="s">
        <v>7</v>
      </c>
      <c r="EC216" s="27" t="s">
        <v>8</v>
      </c>
      <c r="ED216" s="27" t="s">
        <v>7</v>
      </c>
    </row>
    <row r="217" spans="1:137" x14ac:dyDescent="0.25">
      <c r="A217" s="30">
        <v>3.0715237559178128</v>
      </c>
      <c r="E217"/>
      <c r="DG217" s="27" t="s">
        <v>8</v>
      </c>
      <c r="DH217" s="27" t="s">
        <v>7</v>
      </c>
      <c r="DI217" s="27" t="s">
        <v>8</v>
      </c>
      <c r="DJ217" s="27" t="s">
        <v>7</v>
      </c>
      <c r="DM217" s="27" t="s">
        <v>8</v>
      </c>
      <c r="DN217" s="27" t="s">
        <v>7</v>
      </c>
      <c r="DO217" s="27" t="s">
        <v>8</v>
      </c>
      <c r="DT217" s="27" t="s">
        <v>7</v>
      </c>
      <c r="DU217" s="27" t="s">
        <v>8</v>
      </c>
      <c r="DX217" s="27" t="s">
        <v>7</v>
      </c>
      <c r="DZ217" s="27" t="s">
        <v>7</v>
      </c>
      <c r="EB217" s="27" t="s">
        <v>7</v>
      </c>
      <c r="EC217" s="27" t="s">
        <v>8</v>
      </c>
      <c r="ED217" s="27" t="s">
        <v>7</v>
      </c>
      <c r="EE217" s="27" t="s">
        <v>8</v>
      </c>
    </row>
    <row r="218" spans="1:137" x14ac:dyDescent="0.25">
      <c r="A218" s="30">
        <v>2.9252607199217264</v>
      </c>
      <c r="E218"/>
      <c r="DG218" s="27" t="s">
        <v>8</v>
      </c>
      <c r="DH218" s="27" t="s">
        <v>7</v>
      </c>
      <c r="DI218" s="27" t="s">
        <v>8</v>
      </c>
      <c r="DJ218" s="27" t="s">
        <v>7</v>
      </c>
      <c r="DK218" s="27" t="s">
        <v>8</v>
      </c>
      <c r="DM218" s="27" t="s">
        <v>8</v>
      </c>
      <c r="DN218" s="27" t="s">
        <v>7</v>
      </c>
      <c r="DO218" s="27" t="s">
        <v>8</v>
      </c>
      <c r="DT218" s="27" t="s">
        <v>7</v>
      </c>
      <c r="DU218" s="27" t="s">
        <v>8</v>
      </c>
      <c r="EB218" s="27" t="s">
        <v>7</v>
      </c>
      <c r="EC218" s="27" t="s">
        <v>8</v>
      </c>
      <c r="ED218" s="27" t="s">
        <v>7</v>
      </c>
      <c r="EE218" s="27" t="s">
        <v>8</v>
      </c>
      <c r="EF218" s="27" t="s">
        <v>7</v>
      </c>
    </row>
    <row r="219" spans="1:137" x14ac:dyDescent="0.25">
      <c r="A219" s="30">
        <v>2.7859625904016441</v>
      </c>
      <c r="E219"/>
      <c r="DG219" s="27" t="s">
        <v>8</v>
      </c>
      <c r="DH219" s="27" t="s">
        <v>7</v>
      </c>
      <c r="DI219" s="27" t="s">
        <v>8</v>
      </c>
      <c r="DJ219" s="27" t="s">
        <v>7</v>
      </c>
      <c r="DK219" s="27" t="s">
        <v>8</v>
      </c>
      <c r="DL219" s="27" t="s">
        <v>7</v>
      </c>
      <c r="DM219" s="27" t="s">
        <v>8</v>
      </c>
      <c r="DN219" s="27" t="s">
        <v>7</v>
      </c>
      <c r="DT219" s="27" t="s">
        <v>7</v>
      </c>
      <c r="DU219" s="27" t="s">
        <v>8</v>
      </c>
      <c r="EB219" s="27" t="s">
        <v>7</v>
      </c>
      <c r="ED219" s="27" t="s">
        <v>7</v>
      </c>
      <c r="EE219" s="27" t="s">
        <v>8</v>
      </c>
      <c r="EF219" s="27" t="s">
        <v>7</v>
      </c>
    </row>
    <row r="220" spans="1:137" x14ac:dyDescent="0.25">
      <c r="A220" s="30">
        <v>2.6532977051444226</v>
      </c>
      <c r="E220"/>
      <c r="DG220" s="27" t="s">
        <v>8</v>
      </c>
      <c r="DH220" s="27" t="s">
        <v>7</v>
      </c>
      <c r="DJ220" s="27" t="s">
        <v>7</v>
      </c>
      <c r="DK220" s="27" t="s">
        <v>8</v>
      </c>
      <c r="DL220" s="27" t="s">
        <v>7</v>
      </c>
      <c r="DM220" s="27" t="s">
        <v>8</v>
      </c>
      <c r="DT220" s="27" t="s">
        <v>7</v>
      </c>
      <c r="DU220" s="27" t="s">
        <v>8</v>
      </c>
      <c r="ED220" s="27" t="s">
        <v>7</v>
      </c>
      <c r="EF220" s="27" t="s">
        <v>7</v>
      </c>
    </row>
    <row r="221" spans="1:137" x14ac:dyDescent="0.25">
      <c r="A221" s="30">
        <v>2.5269501953756404</v>
      </c>
      <c r="E221"/>
      <c r="DG221" s="27" t="s">
        <v>8</v>
      </c>
      <c r="DJ221" s="27" t="s">
        <v>7</v>
      </c>
      <c r="DK221" s="27" t="s">
        <v>8</v>
      </c>
      <c r="DL221" s="27" t="s">
        <v>7</v>
      </c>
      <c r="DM221" s="27" t="s">
        <v>8</v>
      </c>
      <c r="DT221" s="27" t="s">
        <v>7</v>
      </c>
      <c r="EF221" s="27" t="s">
        <v>7</v>
      </c>
    </row>
    <row r="222" spans="1:137" x14ac:dyDescent="0.25">
      <c r="A222" s="30">
        <v>2.4066192336910861</v>
      </c>
      <c r="E222"/>
      <c r="DG222" s="27" t="s">
        <v>8</v>
      </c>
      <c r="DJ222" s="27" t="s">
        <v>7</v>
      </c>
      <c r="DL222" s="27" t="s">
        <v>7</v>
      </c>
      <c r="DM222" s="27" t="s">
        <v>8</v>
      </c>
      <c r="EF222" s="27" t="s">
        <v>7</v>
      </c>
    </row>
    <row r="223" spans="1:137" x14ac:dyDescent="0.25">
      <c r="A223" s="30">
        <v>2.2920183178010345</v>
      </c>
      <c r="E223"/>
      <c r="DG223" s="27" t="s">
        <v>8</v>
      </c>
      <c r="DL223" s="27" t="s">
        <v>7</v>
      </c>
      <c r="EF223" s="27" t="s">
        <v>7</v>
      </c>
      <c r="EG223" s="27" t="s">
        <v>8</v>
      </c>
    </row>
    <row r="224" spans="1:137" x14ac:dyDescent="0.25">
      <c r="A224" s="30">
        <v>2.1828745883819374</v>
      </c>
      <c r="E224"/>
      <c r="DG224" s="27" t="s">
        <v>8</v>
      </c>
      <c r="EF224" s="27" t="s">
        <v>7</v>
      </c>
      <c r="EG224" s="27" t="s">
        <v>8</v>
      </c>
    </row>
    <row r="225" spans="1:137" x14ac:dyDescent="0.25">
      <c r="A225" s="30">
        <v>2.0789281794113688</v>
      </c>
      <c r="E225"/>
      <c r="DG225" s="27" t="s">
        <v>8</v>
      </c>
      <c r="EF225" s="27" t="s">
        <v>7</v>
      </c>
      <c r="EG225" s="27" t="s">
        <v>8</v>
      </c>
    </row>
    <row r="226" spans="1:137" x14ac:dyDescent="0.25">
      <c r="A226" s="30">
        <v>1.9799315994393987</v>
      </c>
      <c r="E226"/>
      <c r="DG226" s="27" t="s">
        <v>8</v>
      </c>
      <c r="EF226" s="27" t="s">
        <v>7</v>
      </c>
      <c r="EG226" s="27" t="s">
        <v>8</v>
      </c>
    </row>
    <row r="227" spans="1:137" x14ac:dyDescent="0.25">
      <c r="A227" s="30">
        <v>1.8856491423232367</v>
      </c>
      <c r="E227"/>
      <c r="DG227" s="27" t="s">
        <v>8</v>
      </c>
      <c r="EF227" s="27" t="s">
        <v>7</v>
      </c>
      <c r="EG227" s="27" t="s">
        <v>8</v>
      </c>
    </row>
    <row r="228" spans="1:137" x14ac:dyDescent="0.25">
      <c r="A228" s="30">
        <v>1.7958563260221301</v>
      </c>
      <c r="C228" s="7"/>
      <c r="D228"/>
      <c r="E228"/>
      <c r="DG228" s="27" t="s">
        <v>8</v>
      </c>
      <c r="EF228" s="27" t="s">
        <v>7</v>
      </c>
      <c r="EG228" s="27" t="s">
        <v>8</v>
      </c>
    </row>
    <row r="229" spans="1:137" x14ac:dyDescent="0.25">
      <c r="A229" s="30">
        <v>1.7103393581163142</v>
      </c>
      <c r="E229"/>
      <c r="DG229" s="27" t="s">
        <v>8</v>
      </c>
      <c r="EF229" s="27" t="s">
        <v>7</v>
      </c>
    </row>
    <row r="230" spans="1:137" x14ac:dyDescent="0.25">
      <c r="A230" s="30">
        <v>1.628894626777442</v>
      </c>
      <c r="E230"/>
      <c r="BM230" s="27" t="s">
        <v>8</v>
      </c>
      <c r="DG230" s="27" t="s">
        <v>8</v>
      </c>
    </row>
    <row r="231" spans="1:137" x14ac:dyDescent="0.25">
      <c r="A231" s="30">
        <v>1.5513282159785162</v>
      </c>
      <c r="C231"/>
      <c r="D231"/>
      <c r="E231"/>
      <c r="BM231" s="27" t="s">
        <v>8</v>
      </c>
      <c r="BN231" s="27" t="s">
        <v>7</v>
      </c>
      <c r="BS231" s="27" t="s">
        <v>8</v>
      </c>
      <c r="BU231" s="31" t="s">
        <v>8</v>
      </c>
      <c r="DG231" s="27" t="s">
        <v>8</v>
      </c>
    </row>
    <row r="232" spans="1:137" x14ac:dyDescent="0.25">
      <c r="A232" s="30">
        <v>1.477455443789063</v>
      </c>
      <c r="E232"/>
      <c r="BM232" s="27" t="s">
        <v>8</v>
      </c>
      <c r="BN232" s="27" t="s">
        <v>7</v>
      </c>
      <c r="BO232" s="27" t="s">
        <v>8</v>
      </c>
      <c r="BS232" s="27" t="s">
        <v>8</v>
      </c>
      <c r="BT232" s="27" t="s">
        <v>7</v>
      </c>
      <c r="BU232" s="27" t="s">
        <v>8</v>
      </c>
      <c r="BV232" s="31" t="s">
        <v>7</v>
      </c>
      <c r="DG232" s="27" t="s">
        <v>8</v>
      </c>
    </row>
    <row r="233" spans="1:137" x14ac:dyDescent="0.25">
      <c r="A233" s="30">
        <v>1.4071004226562505</v>
      </c>
      <c r="E233"/>
      <c r="BM233" s="27" t="s">
        <v>8</v>
      </c>
      <c r="BN233" s="27" t="s">
        <v>7</v>
      </c>
      <c r="BO233" s="27" t="s">
        <v>8</v>
      </c>
      <c r="BP233" s="27" t="s">
        <v>7</v>
      </c>
      <c r="BS233" s="27" t="s">
        <v>8</v>
      </c>
      <c r="BT233" s="27" t="s">
        <v>7</v>
      </c>
      <c r="BU233" s="27" t="s">
        <v>8</v>
      </c>
      <c r="BV233" s="27" t="s">
        <v>7</v>
      </c>
      <c r="BW233" s="31"/>
      <c r="DG233" s="27" t="s">
        <v>8</v>
      </c>
    </row>
    <row r="234" spans="1:137" x14ac:dyDescent="0.25">
      <c r="A234" s="30">
        <v>1.3400956406250004</v>
      </c>
      <c r="E234"/>
      <c r="BM234" s="27" t="s">
        <v>8</v>
      </c>
      <c r="BN234" s="27" t="s">
        <v>7</v>
      </c>
      <c r="BO234" s="27" t="s">
        <v>8</v>
      </c>
      <c r="BP234" s="27" t="s">
        <v>7</v>
      </c>
      <c r="BS234" s="27" t="s">
        <v>8</v>
      </c>
      <c r="BT234" s="27" t="s">
        <v>7</v>
      </c>
      <c r="BU234" s="27" t="s">
        <v>8</v>
      </c>
      <c r="BV234" s="27" t="s">
        <v>7</v>
      </c>
      <c r="BX234" s="31"/>
      <c r="DG234" s="27" t="s">
        <v>8</v>
      </c>
    </row>
    <row r="235" spans="1:137" x14ac:dyDescent="0.25">
      <c r="A235" s="30">
        <v>1.2762815625000004</v>
      </c>
      <c r="C235"/>
      <c r="E235"/>
      <c r="BM235" s="27" t="s">
        <v>8</v>
      </c>
      <c r="BN235" s="27" t="s">
        <v>7</v>
      </c>
      <c r="BO235" s="27" t="s">
        <v>8</v>
      </c>
      <c r="BP235" s="27" t="s">
        <v>7</v>
      </c>
      <c r="BS235" s="27" t="s">
        <v>8</v>
      </c>
      <c r="BT235" s="27" t="s">
        <v>7</v>
      </c>
      <c r="BV235" s="27" t="s">
        <v>7</v>
      </c>
      <c r="BY235" s="31"/>
      <c r="DG235" s="27" t="s">
        <v>8</v>
      </c>
    </row>
    <row r="236" spans="1:137" x14ac:dyDescent="0.25">
      <c r="A236" s="30">
        <v>1.2155062500000002</v>
      </c>
      <c r="E236"/>
      <c r="BM236" s="27" t="s">
        <v>8</v>
      </c>
      <c r="BN236" s="27" t="s">
        <v>7</v>
      </c>
      <c r="BO236" s="27" t="s">
        <v>8</v>
      </c>
      <c r="BP236" s="27" t="s">
        <v>7</v>
      </c>
      <c r="BQ236" s="27" t="s">
        <v>8</v>
      </c>
      <c r="BS236" s="27" t="s">
        <v>8</v>
      </c>
      <c r="BV236" s="27" t="s">
        <v>7</v>
      </c>
      <c r="BW236" s="27" t="s">
        <v>8</v>
      </c>
      <c r="BZ236" s="31"/>
      <c r="DG236" s="27" t="s">
        <v>8</v>
      </c>
    </row>
    <row r="237" spans="1:13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C237" s="27" t="s">
        <v>8</v>
      </c>
      <c r="BK237" s="27" t="s">
        <v>8</v>
      </c>
      <c r="BM237" s="27" t="s">
        <v>8</v>
      </c>
      <c r="BN237" s="27" t="s">
        <v>7</v>
      </c>
      <c r="BO237" s="27" t="s">
        <v>8</v>
      </c>
      <c r="BP237" s="27" t="s">
        <v>7</v>
      </c>
      <c r="BQ237" s="27" t="s">
        <v>8</v>
      </c>
      <c r="BR237" s="27" t="s">
        <v>7</v>
      </c>
      <c r="BS237" s="27" t="s">
        <v>8</v>
      </c>
      <c r="BV237" s="27" t="s">
        <v>7</v>
      </c>
      <c r="BW237" s="27" t="s">
        <v>8</v>
      </c>
      <c r="BX237" s="27" t="s">
        <v>7</v>
      </c>
      <c r="CA237" s="31"/>
      <c r="DG237" s="27" t="s">
        <v>8</v>
      </c>
    </row>
    <row r="238" spans="1:137" x14ac:dyDescent="0.25">
      <c r="A238" s="30">
        <v>1.1025</v>
      </c>
      <c r="E238"/>
      <c r="BC238" s="27" t="s">
        <v>8</v>
      </c>
      <c r="BD238" s="27" t="s">
        <v>7</v>
      </c>
      <c r="BE238" s="27" t="s">
        <v>8</v>
      </c>
      <c r="BK238" s="27" t="s">
        <v>8</v>
      </c>
      <c r="BL238" s="27" t="s">
        <v>7</v>
      </c>
      <c r="BM238" s="27" t="s">
        <v>8</v>
      </c>
      <c r="BN238" s="27" t="s">
        <v>7</v>
      </c>
      <c r="BP238" s="27" t="s">
        <v>7</v>
      </c>
      <c r="BQ238" s="27" t="s">
        <v>8</v>
      </c>
      <c r="BR238" s="27" t="s">
        <v>7</v>
      </c>
      <c r="BS238" s="27" t="s">
        <v>8</v>
      </c>
      <c r="BV238" s="27" t="s">
        <v>7</v>
      </c>
      <c r="BW238" s="27" t="s">
        <v>8</v>
      </c>
      <c r="BX238" s="27" t="s">
        <v>7</v>
      </c>
      <c r="CB238" s="31"/>
      <c r="CW238" s="27" t="s">
        <v>8</v>
      </c>
      <c r="DG238" s="27" t="s">
        <v>8</v>
      </c>
    </row>
    <row r="239" spans="1:137" x14ac:dyDescent="0.25">
      <c r="A239" s="30">
        <v>1.05</v>
      </c>
      <c r="E239"/>
      <c r="BC239" s="27" t="s">
        <v>8</v>
      </c>
      <c r="BD239" s="27" t="s">
        <v>7</v>
      </c>
      <c r="BE239" s="27" t="s">
        <v>8</v>
      </c>
      <c r="BF239" s="27" t="s">
        <v>7</v>
      </c>
      <c r="BG239" s="27" t="s">
        <v>8</v>
      </c>
      <c r="BK239" s="27" t="s">
        <v>8</v>
      </c>
      <c r="BL239" s="27" t="s">
        <v>7</v>
      </c>
      <c r="BM239" s="27" t="s">
        <v>8</v>
      </c>
      <c r="BP239" s="27" t="s">
        <v>7</v>
      </c>
      <c r="BQ239" s="27" t="s">
        <v>8</v>
      </c>
      <c r="BR239" s="27" t="s">
        <v>7</v>
      </c>
      <c r="BV239" s="27" t="s">
        <v>7</v>
      </c>
      <c r="BX239" s="27" t="s">
        <v>7</v>
      </c>
      <c r="CC239" s="31"/>
      <c r="CW239" s="27" t="s">
        <v>8</v>
      </c>
      <c r="CX239" s="27" t="s">
        <v>7</v>
      </c>
      <c r="DG239" s="27" t="s">
        <v>8</v>
      </c>
    </row>
    <row r="240" spans="1:137" x14ac:dyDescent="0.25">
      <c r="A240" s="30">
        <v>1</v>
      </c>
      <c r="E240" s="29" t="s">
        <v>8</v>
      </c>
      <c r="BC240" s="27" t="s">
        <v>8</v>
      </c>
      <c r="BD240" s="27" t="s">
        <v>7</v>
      </c>
      <c r="BE240" s="27" t="s">
        <v>8</v>
      </c>
      <c r="BF240" s="27" t="s">
        <v>7</v>
      </c>
      <c r="BG240" s="27" t="s">
        <v>8</v>
      </c>
      <c r="BH240" s="27" t="s">
        <v>7</v>
      </c>
      <c r="BK240" s="27" t="s">
        <v>8</v>
      </c>
      <c r="BL240" s="27" t="s">
        <v>7</v>
      </c>
      <c r="BM240" s="27" t="s">
        <v>8</v>
      </c>
      <c r="BP240" s="27" t="s">
        <v>7</v>
      </c>
      <c r="BQ240" s="27" t="s">
        <v>8</v>
      </c>
      <c r="BX240" s="27" t="s">
        <v>7</v>
      </c>
      <c r="BY240" s="27" t="s">
        <v>8</v>
      </c>
      <c r="CC240" s="27" t="s">
        <v>8</v>
      </c>
      <c r="CD240" s="31"/>
      <c r="CW240" s="27" t="s">
        <v>8</v>
      </c>
      <c r="CX240" s="27" t="s">
        <v>7</v>
      </c>
      <c r="DG240" s="27" t="s">
        <v>8</v>
      </c>
    </row>
    <row r="241" spans="1:111" x14ac:dyDescent="0.25">
      <c r="A241" s="30">
        <v>0.952380952380952</v>
      </c>
      <c r="B241"/>
      <c r="C241"/>
      <c r="D241"/>
      <c r="E241"/>
      <c r="F241" s="27" t="s">
        <v>7</v>
      </c>
      <c r="BC241" s="27" t="s">
        <v>8</v>
      </c>
      <c r="BD241" s="27" t="s">
        <v>7</v>
      </c>
      <c r="BE241" s="27" t="s">
        <v>8</v>
      </c>
      <c r="BF241" s="27" t="s">
        <v>7</v>
      </c>
      <c r="BG241" s="27" t="s">
        <v>8</v>
      </c>
      <c r="BH241" s="27" t="s">
        <v>7</v>
      </c>
      <c r="BI241" s="27" t="s">
        <v>8</v>
      </c>
      <c r="BK241" s="27" t="s">
        <v>8</v>
      </c>
      <c r="BL241" s="27" t="s">
        <v>7</v>
      </c>
      <c r="BM241" s="27" t="s">
        <v>8</v>
      </c>
      <c r="BP241" s="27" t="s">
        <v>7</v>
      </c>
      <c r="BQ241" s="27" t="s">
        <v>8</v>
      </c>
      <c r="BX241" s="27" t="s">
        <v>7</v>
      </c>
      <c r="BY241" s="27" t="s">
        <v>8</v>
      </c>
      <c r="BZ241" s="27" t="s">
        <v>7</v>
      </c>
      <c r="CC241" s="27" t="s">
        <v>8</v>
      </c>
      <c r="CD241" s="27" t="s">
        <v>7</v>
      </c>
      <c r="CE241" s="31"/>
      <c r="CW241" s="27" t="s">
        <v>8</v>
      </c>
      <c r="CX241" s="27" t="s">
        <v>7</v>
      </c>
      <c r="DG241" s="27" t="s">
        <v>8</v>
      </c>
    </row>
    <row r="242" spans="1:111" x14ac:dyDescent="0.25">
      <c r="A242" s="30">
        <v>0.90702947845804915</v>
      </c>
      <c r="B242"/>
      <c r="C242"/>
      <c r="D242"/>
      <c r="E242"/>
      <c r="F242" s="27" t="s">
        <v>7</v>
      </c>
      <c r="BC242" s="27" t="s">
        <v>8</v>
      </c>
      <c r="BD242" s="27" t="s">
        <v>7</v>
      </c>
      <c r="BF242" s="27" t="s">
        <v>7</v>
      </c>
      <c r="BG242" s="27" t="s">
        <v>8</v>
      </c>
      <c r="BH242" s="27" t="s">
        <v>7</v>
      </c>
      <c r="BI242" s="27" t="s">
        <v>8</v>
      </c>
      <c r="BJ242" s="27" t="s">
        <v>7</v>
      </c>
      <c r="BK242" s="27" t="s">
        <v>8</v>
      </c>
      <c r="BL242" s="27" t="s">
        <v>7</v>
      </c>
      <c r="BM242" s="27" t="s">
        <v>8</v>
      </c>
      <c r="BP242" s="27" t="s">
        <v>7</v>
      </c>
      <c r="BX242" s="27" t="s">
        <v>7</v>
      </c>
      <c r="BY242" s="27" t="s">
        <v>8</v>
      </c>
      <c r="BZ242" s="27" t="s">
        <v>7</v>
      </c>
      <c r="CC242" s="27" t="s">
        <v>8</v>
      </c>
      <c r="CD242" s="27" t="s">
        <v>7</v>
      </c>
      <c r="CF242" s="31"/>
      <c r="CU242" s="27" t="s">
        <v>8</v>
      </c>
      <c r="CW242" s="27" t="s">
        <v>8</v>
      </c>
      <c r="CX242" s="27" t="s">
        <v>7</v>
      </c>
      <c r="DG242" s="27" t="s">
        <v>8</v>
      </c>
    </row>
    <row r="243" spans="1:111" x14ac:dyDescent="0.25">
      <c r="A243" s="30">
        <v>0.86383759853147501</v>
      </c>
      <c r="B243"/>
      <c r="C243"/>
      <c r="D243"/>
      <c r="E243"/>
      <c r="F243" s="27" t="s">
        <v>7</v>
      </c>
      <c r="BC243" s="27" t="s">
        <v>8</v>
      </c>
      <c r="BF243" s="27" t="s">
        <v>7</v>
      </c>
      <c r="BG243" s="27" t="s">
        <v>8</v>
      </c>
      <c r="BH243" s="27" t="s">
        <v>7</v>
      </c>
      <c r="BI243" s="27" t="s">
        <v>8</v>
      </c>
      <c r="BJ243" s="27" t="s">
        <v>7</v>
      </c>
      <c r="BK243" s="27" t="s">
        <v>8</v>
      </c>
      <c r="BL243" s="27" t="s">
        <v>7</v>
      </c>
      <c r="BX243" s="27" t="s">
        <v>7</v>
      </c>
      <c r="BY243" s="27" t="s">
        <v>8</v>
      </c>
      <c r="BZ243" s="27" t="s">
        <v>7</v>
      </c>
      <c r="CC243" s="27" t="s">
        <v>8</v>
      </c>
      <c r="CD243" s="27" t="s">
        <v>7</v>
      </c>
      <c r="CE243" s="27" t="s">
        <v>8</v>
      </c>
      <c r="CG243" s="31"/>
      <c r="CU243" s="27" t="s">
        <v>8</v>
      </c>
      <c r="CV243" s="27" t="s">
        <v>7</v>
      </c>
      <c r="CW243" s="27" t="s">
        <v>8</v>
      </c>
      <c r="CX243" s="27" t="s">
        <v>7</v>
      </c>
      <c r="CY243" s="27" t="s">
        <v>8</v>
      </c>
      <c r="DC243" s="31"/>
      <c r="DE243" s="27" t="s">
        <v>8</v>
      </c>
      <c r="DG243" s="27" t="s">
        <v>8</v>
      </c>
    </row>
    <row r="244" spans="1:111" x14ac:dyDescent="0.25">
      <c r="A244" s="30">
        <v>0.82270247479188063</v>
      </c>
      <c r="B244"/>
      <c r="C244"/>
      <c r="D244"/>
      <c r="E244"/>
      <c r="F244" s="27" t="s">
        <v>7</v>
      </c>
      <c r="BC244" s="27" t="s">
        <v>8</v>
      </c>
      <c r="BF244" s="27" t="s">
        <v>7</v>
      </c>
      <c r="BG244" s="27" t="s">
        <v>8</v>
      </c>
      <c r="BH244" s="27" t="s">
        <v>7</v>
      </c>
      <c r="BJ244" s="27" t="s">
        <v>7</v>
      </c>
      <c r="BX244" s="27" t="s">
        <v>7</v>
      </c>
      <c r="BY244" s="27" t="s">
        <v>8</v>
      </c>
      <c r="BZ244" s="27" t="s">
        <v>7</v>
      </c>
      <c r="CA244" s="27" t="s">
        <v>8</v>
      </c>
      <c r="CC244" s="27" t="s">
        <v>8</v>
      </c>
      <c r="CD244" s="27" t="s">
        <v>7</v>
      </c>
      <c r="CE244" s="27" t="s">
        <v>8</v>
      </c>
      <c r="CF244" s="27" t="s">
        <v>7</v>
      </c>
      <c r="CH244" s="31"/>
      <c r="CM244" s="27" t="s">
        <v>8</v>
      </c>
      <c r="CU244" s="27" t="s">
        <v>8</v>
      </c>
      <c r="CV244" s="27" t="s">
        <v>7</v>
      </c>
      <c r="CW244" s="27" t="s">
        <v>8</v>
      </c>
      <c r="CX244" s="27" t="s">
        <v>7</v>
      </c>
      <c r="CY244" s="27" t="s">
        <v>8</v>
      </c>
      <c r="CZ244" s="27" t="s">
        <v>7</v>
      </c>
      <c r="DB244" s="31"/>
      <c r="DE244" s="27" t="s">
        <v>8</v>
      </c>
      <c r="DF244" s="27" t="s">
        <v>7</v>
      </c>
      <c r="DG244" s="27" t="s">
        <v>8</v>
      </c>
    </row>
    <row r="245" spans="1:111" x14ac:dyDescent="0.25">
      <c r="A245" s="30">
        <v>0.78352616646845741</v>
      </c>
      <c r="B245"/>
      <c r="C245"/>
      <c r="D245"/>
      <c r="E245"/>
      <c r="F245" s="27" t="s">
        <v>7</v>
      </c>
      <c r="BC245" s="27" t="s">
        <v>8</v>
      </c>
      <c r="BF245" s="27" t="s">
        <v>7</v>
      </c>
      <c r="BX245" s="27" t="s">
        <v>7</v>
      </c>
      <c r="BY245" s="27" t="s">
        <v>8</v>
      </c>
      <c r="BZ245" s="27" t="s">
        <v>7</v>
      </c>
      <c r="CA245" s="27" t="s">
        <v>8</v>
      </c>
      <c r="CB245" s="27" t="s">
        <v>7</v>
      </c>
      <c r="CC245" s="27" t="s">
        <v>8</v>
      </c>
      <c r="CD245" s="27" t="s">
        <v>7</v>
      </c>
      <c r="CE245" s="27" t="s">
        <v>8</v>
      </c>
      <c r="CF245" s="27" t="s">
        <v>7</v>
      </c>
      <c r="CG245" s="27" t="s">
        <v>8</v>
      </c>
      <c r="CI245" s="31"/>
      <c r="CM245" s="27" t="s">
        <v>8</v>
      </c>
      <c r="CN245" s="27" t="s">
        <v>7</v>
      </c>
      <c r="CO245" s="27" t="s">
        <v>8</v>
      </c>
      <c r="CU245" s="33" t="s">
        <v>8</v>
      </c>
      <c r="CV245" s="27" t="s">
        <v>7</v>
      </c>
      <c r="CX245" s="27" t="s">
        <v>7</v>
      </c>
      <c r="CY245" s="27" t="s">
        <v>8</v>
      </c>
      <c r="CZ245" s="27" t="s">
        <v>7</v>
      </c>
      <c r="DA245" s="31"/>
      <c r="DE245" s="27" t="s">
        <v>8</v>
      </c>
      <c r="DF245" s="27" t="s">
        <v>7</v>
      </c>
      <c r="DG245" s="27" t="s">
        <v>8</v>
      </c>
    </row>
    <row r="246" spans="1:111" x14ac:dyDescent="0.25">
      <c r="A246" s="30">
        <v>0.74621539663662584</v>
      </c>
      <c r="B246"/>
      <c r="C246"/>
      <c r="D246"/>
      <c r="E246"/>
      <c r="F246" s="27" t="s">
        <v>7</v>
      </c>
      <c r="BC246" s="27" t="s">
        <v>8</v>
      </c>
      <c r="BX246" s="27" t="s">
        <v>7</v>
      </c>
      <c r="BY246" s="27" t="s">
        <v>8</v>
      </c>
      <c r="BZ246" s="27" t="s">
        <v>7</v>
      </c>
      <c r="CA246" s="27" t="s">
        <v>8</v>
      </c>
      <c r="CB246" s="27" t="s">
        <v>7</v>
      </c>
      <c r="CC246" s="27" t="s">
        <v>8</v>
      </c>
      <c r="CD246" s="27" t="s">
        <v>7</v>
      </c>
      <c r="CE246" s="27" t="s">
        <v>8</v>
      </c>
      <c r="CF246" s="27" t="s">
        <v>7</v>
      </c>
      <c r="CG246" s="27" t="s">
        <v>8</v>
      </c>
      <c r="CH246" s="27" t="s">
        <v>7</v>
      </c>
      <c r="CI246" s="27" t="s">
        <v>8</v>
      </c>
      <c r="CJ246" s="31"/>
      <c r="CM246" s="27" t="s">
        <v>8</v>
      </c>
      <c r="CN246" s="27" t="s">
        <v>7</v>
      </c>
      <c r="CO246" s="27" t="s">
        <v>8</v>
      </c>
      <c r="CP246" s="27" t="s">
        <v>7</v>
      </c>
      <c r="CQ246" s="27" t="s">
        <v>8</v>
      </c>
      <c r="CS246" s="27" t="s">
        <v>8</v>
      </c>
      <c r="CU246" s="27" t="s">
        <v>8</v>
      </c>
      <c r="CX246" s="27" t="s">
        <v>7</v>
      </c>
      <c r="CZ246" s="31" t="s">
        <v>7</v>
      </c>
      <c r="DA246" s="27" t="s">
        <v>8</v>
      </c>
      <c r="DC246" s="27" t="s">
        <v>8</v>
      </c>
      <c r="DE246" s="27" t="s">
        <v>8</v>
      </c>
      <c r="DF246" s="27" t="s">
        <v>7</v>
      </c>
      <c r="DG246" s="27" t="s">
        <v>8</v>
      </c>
    </row>
    <row r="247" spans="1:111" x14ac:dyDescent="0.25">
      <c r="A247" s="30">
        <v>0.71068133013011958</v>
      </c>
      <c r="B247"/>
      <c r="C247"/>
      <c r="D247"/>
      <c r="E247"/>
      <c r="F247" s="27" t="s">
        <v>7</v>
      </c>
      <c r="BC247" s="27" t="s">
        <v>8</v>
      </c>
      <c r="BX247" s="27" t="s">
        <v>7</v>
      </c>
      <c r="BY247" s="27" t="s">
        <v>8</v>
      </c>
      <c r="BZ247" s="27" t="s">
        <v>7</v>
      </c>
      <c r="CB247" s="27" t="s">
        <v>7</v>
      </c>
      <c r="CC247" s="27" t="s">
        <v>8</v>
      </c>
      <c r="CD247" s="27" t="s">
        <v>7</v>
      </c>
      <c r="CF247" s="27" t="s">
        <v>7</v>
      </c>
      <c r="CG247" s="27" t="s">
        <v>8</v>
      </c>
      <c r="CH247" s="27" t="s">
        <v>7</v>
      </c>
      <c r="CI247" s="27" t="s">
        <v>8</v>
      </c>
      <c r="CJ247" s="27" t="s">
        <v>7</v>
      </c>
      <c r="CK247" s="31"/>
      <c r="CM247" s="27" t="s">
        <v>8</v>
      </c>
      <c r="CN247" s="27" t="s">
        <v>7</v>
      </c>
      <c r="CO247" s="27" t="s">
        <v>8</v>
      </c>
      <c r="CP247" s="27" t="s">
        <v>7</v>
      </c>
      <c r="CQ247" s="27" t="s">
        <v>8</v>
      </c>
      <c r="CR247" s="27" t="s">
        <v>7</v>
      </c>
      <c r="CS247" s="27" t="s">
        <v>8</v>
      </c>
      <c r="CT247" s="27" t="s">
        <v>7</v>
      </c>
      <c r="CU247" s="27" t="s">
        <v>8</v>
      </c>
      <c r="CY247" s="31"/>
      <c r="CZ247" s="27" t="s">
        <v>7</v>
      </c>
      <c r="DA247" s="27" t="s">
        <v>8</v>
      </c>
      <c r="DB247" s="27" t="s">
        <v>7</v>
      </c>
      <c r="DC247" s="27" t="s">
        <v>8</v>
      </c>
      <c r="DD247" s="27" t="s">
        <v>7</v>
      </c>
      <c r="DE247" s="27" t="s">
        <v>8</v>
      </c>
      <c r="DF247" s="27" t="s">
        <v>7</v>
      </c>
    </row>
    <row r="248" spans="1:111" x14ac:dyDescent="0.25">
      <c r="A248" s="30">
        <v>0.676839362028685</v>
      </c>
      <c r="B248"/>
      <c r="C248"/>
      <c r="D248"/>
      <c r="E248"/>
      <c r="F248" s="27" t="s">
        <v>7</v>
      </c>
      <c r="BC248" s="27" t="s">
        <v>8</v>
      </c>
      <c r="BX248" s="27" t="s">
        <v>7</v>
      </c>
      <c r="BY248" s="27" t="s">
        <v>8</v>
      </c>
      <c r="CB248" s="27" t="s">
        <v>7</v>
      </c>
      <c r="CC248" s="27" t="s">
        <v>8</v>
      </c>
      <c r="CF248" s="32" t="s">
        <v>7</v>
      </c>
      <c r="CG248" s="27" t="s">
        <v>8</v>
      </c>
      <c r="CH248" s="27" t="s">
        <v>7</v>
      </c>
      <c r="CI248" s="27" t="s">
        <v>8</v>
      </c>
      <c r="CJ248" s="27" t="s">
        <v>7</v>
      </c>
      <c r="CL248" s="31"/>
      <c r="CM248" s="27" t="s">
        <v>8</v>
      </c>
      <c r="CN248" s="27" t="s">
        <v>7</v>
      </c>
      <c r="CO248" s="27" t="s">
        <v>8</v>
      </c>
      <c r="CP248" s="27" t="s">
        <v>7</v>
      </c>
      <c r="CQ248" s="27" t="s">
        <v>8</v>
      </c>
      <c r="CR248" s="27" t="s">
        <v>7</v>
      </c>
      <c r="CS248" s="27" t="s">
        <v>8</v>
      </c>
      <c r="CT248" s="27" t="s">
        <v>7</v>
      </c>
      <c r="CU248" s="27" t="s">
        <v>8</v>
      </c>
      <c r="CX248" s="31"/>
      <c r="CZ248" s="27" t="s">
        <v>7</v>
      </c>
      <c r="DA248" s="27" t="s">
        <v>8</v>
      </c>
      <c r="DB248" s="27" t="s">
        <v>7</v>
      </c>
      <c r="DC248" s="27" t="s">
        <v>8</v>
      </c>
      <c r="DD248" s="27" t="s">
        <v>7</v>
      </c>
      <c r="DE248" s="27" t="s">
        <v>8</v>
      </c>
    </row>
    <row r="249" spans="1:111" x14ac:dyDescent="0.25">
      <c r="A249" s="30">
        <v>0.64460891621779492</v>
      </c>
      <c r="B249"/>
      <c r="C249"/>
      <c r="D249"/>
      <c r="E249"/>
      <c r="F249" s="27" t="s">
        <v>7</v>
      </c>
      <c r="BC249" s="27" t="s">
        <v>8</v>
      </c>
      <c r="BX249" s="27" t="s">
        <v>7</v>
      </c>
      <c r="BY249" s="27" t="s">
        <v>8</v>
      </c>
      <c r="CB249" s="27" t="s">
        <v>7</v>
      </c>
      <c r="CC249" s="27" t="s">
        <v>8</v>
      </c>
      <c r="CF249" s="27" t="s">
        <v>7</v>
      </c>
      <c r="CH249" s="27" t="s">
        <v>7</v>
      </c>
      <c r="CJ249" s="27" t="s">
        <v>7</v>
      </c>
      <c r="CM249" s="31" t="s">
        <v>8</v>
      </c>
      <c r="CN249" s="27" t="s">
        <v>7</v>
      </c>
      <c r="CO249" s="27" t="s">
        <v>8</v>
      </c>
      <c r="CP249" s="27" t="s">
        <v>7</v>
      </c>
      <c r="CQ249" s="27" t="s">
        <v>8</v>
      </c>
      <c r="CR249" s="27" t="s">
        <v>7</v>
      </c>
      <c r="CS249" s="27" t="s">
        <v>8</v>
      </c>
      <c r="CT249" s="27" t="s">
        <v>7</v>
      </c>
      <c r="CW249" s="31"/>
      <c r="CZ249" s="27" t="s">
        <v>7</v>
      </c>
      <c r="DA249" s="27" t="s">
        <v>8</v>
      </c>
      <c r="DB249" s="27" t="s">
        <v>7</v>
      </c>
      <c r="DD249" s="27" t="s">
        <v>7</v>
      </c>
    </row>
    <row r="250" spans="1:111" x14ac:dyDescent="0.25">
      <c r="A250" s="30">
        <v>0.61391325354075688</v>
      </c>
      <c r="B250"/>
      <c r="C250"/>
      <c r="D250"/>
      <c r="E250"/>
      <c r="F250" s="27" t="s">
        <v>7</v>
      </c>
      <c r="BC250" s="27" t="s">
        <v>8</v>
      </c>
      <c r="BX250" s="27" t="s">
        <v>7</v>
      </c>
      <c r="BY250" s="27" t="s">
        <v>8</v>
      </c>
      <c r="CB250" s="27" t="s">
        <v>7</v>
      </c>
      <c r="CC250" s="27" t="s">
        <v>8</v>
      </c>
      <c r="CJ250" s="27" t="s">
        <v>7</v>
      </c>
      <c r="CM250" s="27" t="s">
        <v>8</v>
      </c>
      <c r="CN250" s="27" t="s">
        <v>7</v>
      </c>
      <c r="CP250" s="27" t="s">
        <v>7</v>
      </c>
      <c r="CR250" s="27" t="s">
        <v>7</v>
      </c>
      <c r="CS250" s="27" t="s">
        <v>8</v>
      </c>
      <c r="CV250" s="31"/>
      <c r="CZ250" s="27" t="s">
        <v>7</v>
      </c>
    </row>
    <row r="251" spans="1:111" x14ac:dyDescent="0.25">
      <c r="A251" s="30">
        <v>0.58467928908643485</v>
      </c>
      <c r="B251"/>
      <c r="C251"/>
      <c r="D251"/>
      <c r="E251"/>
      <c r="F251" s="27" t="s">
        <v>7</v>
      </c>
      <c r="BA251" s="27" t="s">
        <v>8</v>
      </c>
      <c r="BC251" s="27" t="s">
        <v>8</v>
      </c>
      <c r="BX251" s="27" t="s">
        <v>7</v>
      </c>
      <c r="BY251" s="27" t="s">
        <v>8</v>
      </c>
      <c r="CB251" s="27" t="s">
        <v>7</v>
      </c>
      <c r="CC251" s="27" t="s">
        <v>8</v>
      </c>
      <c r="CJ251" s="27" t="s">
        <v>7</v>
      </c>
      <c r="CM251" s="27" t="s">
        <v>8</v>
      </c>
      <c r="CR251" s="32" t="s">
        <v>7</v>
      </c>
      <c r="CS251" s="27" t="s">
        <v>8</v>
      </c>
      <c r="CU251" s="31"/>
    </row>
    <row r="252" spans="1:111" x14ac:dyDescent="0.25">
      <c r="A252" s="30">
        <v>0.55683741817755672</v>
      </c>
      <c r="B252"/>
      <c r="C252"/>
      <c r="D252"/>
      <c r="E252"/>
      <c r="F252" s="27" t="s">
        <v>7</v>
      </c>
      <c r="BA252" s="27" t="s">
        <v>8</v>
      </c>
      <c r="BB252" s="27" t="s">
        <v>7</v>
      </c>
      <c r="BC252" s="27" t="s">
        <v>8</v>
      </c>
      <c r="BX252" s="27" t="s">
        <v>7</v>
      </c>
      <c r="BY252" s="27" t="s">
        <v>8</v>
      </c>
      <c r="CB252" s="27" t="s">
        <v>7</v>
      </c>
      <c r="CC252" s="27" t="s">
        <v>8</v>
      </c>
      <c r="CJ252" s="27" t="s">
        <v>7</v>
      </c>
      <c r="CM252" s="33" t="s">
        <v>8</v>
      </c>
      <c r="CR252" s="31" t="s">
        <v>7</v>
      </c>
      <c r="CS252" s="27" t="s">
        <v>8</v>
      </c>
      <c r="CT252" s="31"/>
    </row>
    <row r="253" spans="1:111" x14ac:dyDescent="0.25">
      <c r="A253" s="30">
        <v>0.53032135064529184</v>
      </c>
      <c r="B253"/>
      <c r="C253"/>
      <c r="D253"/>
      <c r="E253"/>
      <c r="F253" s="27" t="s">
        <v>7</v>
      </c>
      <c r="BA253" s="27" t="s">
        <v>8</v>
      </c>
      <c r="BB253" s="27" t="s">
        <v>7</v>
      </c>
      <c r="BC253" s="27" t="s">
        <v>8</v>
      </c>
      <c r="BX253" s="27" t="s">
        <v>7</v>
      </c>
      <c r="BY253" s="27" t="s">
        <v>8</v>
      </c>
      <c r="CB253" s="27" t="s">
        <v>7</v>
      </c>
      <c r="CC253" s="27" t="s">
        <v>8</v>
      </c>
      <c r="CJ253" s="27" t="s">
        <v>7</v>
      </c>
      <c r="CK253" s="27" t="s">
        <v>8</v>
      </c>
      <c r="CM253" s="27" t="s">
        <v>8</v>
      </c>
      <c r="CQ253" s="31"/>
      <c r="CR253" s="27" t="s">
        <v>7</v>
      </c>
      <c r="CS253" s="31" t="s">
        <v>8</v>
      </c>
    </row>
    <row r="254" spans="1:111" x14ac:dyDescent="0.25">
      <c r="A254" s="30">
        <v>0.50506795299551588</v>
      </c>
      <c r="B254"/>
      <c r="C254"/>
      <c r="D254"/>
      <c r="E254"/>
      <c r="F254" s="27" t="s">
        <v>7</v>
      </c>
      <c r="BA254" s="27" t="s">
        <v>8</v>
      </c>
      <c r="BB254" s="27" t="s">
        <v>7</v>
      </c>
      <c r="BC254" s="27" t="s">
        <v>8</v>
      </c>
      <c r="BX254" s="27" t="s">
        <v>7</v>
      </c>
      <c r="CB254" s="27" t="s">
        <v>7</v>
      </c>
      <c r="CJ254" s="27" t="s">
        <v>7</v>
      </c>
      <c r="CK254" s="27" t="s">
        <v>8</v>
      </c>
      <c r="CL254" s="27" t="s">
        <v>7</v>
      </c>
      <c r="CM254" s="27" t="s">
        <v>8</v>
      </c>
      <c r="CP254" s="31"/>
      <c r="CR254" s="27" t="s">
        <v>7</v>
      </c>
    </row>
    <row r="255" spans="1:111" x14ac:dyDescent="0.25">
      <c r="A255" s="30">
        <v>0.48101709809096732</v>
      </c>
      <c r="E255"/>
      <c r="F255" s="27" t="s">
        <v>7</v>
      </c>
      <c r="BA255" s="27" t="s">
        <v>8</v>
      </c>
      <c r="BB255" s="27" t="s">
        <v>7</v>
      </c>
      <c r="CJ255" s="27" t="s">
        <v>7</v>
      </c>
      <c r="CK255" s="27" t="s">
        <v>8</v>
      </c>
      <c r="CL255" s="27" t="s">
        <v>7</v>
      </c>
      <c r="CM255" s="27" t="s">
        <v>8</v>
      </c>
      <c r="CO255" s="31"/>
    </row>
    <row r="256" spans="1:111" x14ac:dyDescent="0.25">
      <c r="A256" s="30">
        <v>0.45811152199139726</v>
      </c>
      <c r="E256"/>
      <c r="F256" s="27" t="s">
        <v>7</v>
      </c>
      <c r="BA256" s="27" t="s">
        <v>8</v>
      </c>
      <c r="CJ256" s="27" t="s">
        <v>7</v>
      </c>
      <c r="CK256" s="27" t="s">
        <v>8</v>
      </c>
      <c r="CL256" s="27" t="s">
        <v>7</v>
      </c>
      <c r="CN256" s="31"/>
    </row>
    <row r="257" spans="1:91" x14ac:dyDescent="0.25">
      <c r="A257" s="30">
        <v>0.43629668761085438</v>
      </c>
      <c r="B257"/>
      <c r="C257"/>
      <c r="D257"/>
      <c r="E257"/>
      <c r="F257" s="27" t="s">
        <v>7</v>
      </c>
      <c r="AY257" s="27" t="s">
        <v>8</v>
      </c>
      <c r="BA257" s="27" t="s">
        <v>8</v>
      </c>
      <c r="CJ257" s="27" t="s">
        <v>7</v>
      </c>
      <c r="CK257" s="27" t="s">
        <v>8</v>
      </c>
      <c r="CM257" s="31"/>
    </row>
    <row r="258" spans="1:91" x14ac:dyDescent="0.25">
      <c r="A258" s="30">
        <v>0.41552065486748019</v>
      </c>
      <c r="B258"/>
      <c r="C258"/>
      <c r="D258"/>
      <c r="E258"/>
      <c r="F258" s="27" t="s">
        <v>7</v>
      </c>
      <c r="AY258" s="27" t="s">
        <v>8</v>
      </c>
      <c r="AZ258" s="27" t="s">
        <v>7</v>
      </c>
      <c r="BA258" s="27" t="s">
        <v>8</v>
      </c>
      <c r="CJ258" s="27" t="s">
        <v>7</v>
      </c>
      <c r="CK258" s="27" t="s">
        <v>8</v>
      </c>
      <c r="CL258" s="31"/>
    </row>
    <row r="259" spans="1:91" x14ac:dyDescent="0.25">
      <c r="A259" s="30">
        <v>0.39573395701664765</v>
      </c>
      <c r="B259"/>
      <c r="C259"/>
      <c r="D259"/>
      <c r="E259"/>
      <c r="F259" s="27" t="s">
        <v>7</v>
      </c>
      <c r="AY259" s="27" t="s">
        <v>8</v>
      </c>
      <c r="AZ259" s="27" t="s">
        <v>7</v>
      </c>
      <c r="BA259" s="27" t="s">
        <v>8</v>
      </c>
      <c r="CJ259" s="27" t="s">
        <v>7</v>
      </c>
      <c r="CK259" s="31" t="s">
        <v>8</v>
      </c>
    </row>
    <row r="260" spans="1:91" x14ac:dyDescent="0.25">
      <c r="A260" s="30">
        <v>0.37688948287299762</v>
      </c>
      <c r="B260"/>
      <c r="C260"/>
      <c r="D260"/>
      <c r="E260"/>
      <c r="F260" s="27" t="s">
        <v>7</v>
      </c>
      <c r="AY260" s="27" t="s">
        <v>8</v>
      </c>
      <c r="AZ260" s="27" t="s">
        <v>7</v>
      </c>
      <c r="BA260" s="27" t="s">
        <v>8</v>
      </c>
      <c r="CJ260" s="31" t="s">
        <v>7</v>
      </c>
    </row>
    <row r="261" spans="1:91" x14ac:dyDescent="0.25">
      <c r="A261" s="30">
        <v>0.35894236464094997</v>
      </c>
      <c r="B261"/>
      <c r="C261"/>
      <c r="D261"/>
      <c r="E261"/>
      <c r="F261" s="27" t="s">
        <v>7</v>
      </c>
      <c r="AS261" s="27" t="s">
        <v>8</v>
      </c>
      <c r="AY261" s="27" t="s">
        <v>8</v>
      </c>
      <c r="AZ261" s="27" t="s">
        <v>7</v>
      </c>
      <c r="BA261" s="27" t="s">
        <v>8</v>
      </c>
    </row>
    <row r="262" spans="1:91" x14ac:dyDescent="0.25">
      <c r="A262" s="30">
        <v>0.34184987108661891</v>
      </c>
      <c r="B262"/>
      <c r="C262"/>
      <c r="D262"/>
      <c r="E262"/>
      <c r="F262" s="27" t="s">
        <v>7</v>
      </c>
      <c r="AS262" s="27" t="s">
        <v>8</v>
      </c>
      <c r="AT262" s="27" t="s">
        <v>7</v>
      </c>
      <c r="AU262" s="27" t="s">
        <v>8</v>
      </c>
      <c r="AY262" s="27" t="s">
        <v>8</v>
      </c>
      <c r="AZ262" s="27" t="s">
        <v>7</v>
      </c>
    </row>
    <row r="263" spans="1:91" x14ac:dyDescent="0.25">
      <c r="A263" s="30">
        <v>0.32557130579677979</v>
      </c>
      <c r="B263"/>
      <c r="C263"/>
      <c r="D263"/>
      <c r="E263"/>
      <c r="F263" s="27" t="s">
        <v>7</v>
      </c>
      <c r="AS263" s="27" t="s">
        <v>8</v>
      </c>
      <c r="AT263" s="27" t="s">
        <v>7</v>
      </c>
      <c r="AU263" s="27" t="s">
        <v>8</v>
      </c>
      <c r="AV263" s="27" t="s">
        <v>7</v>
      </c>
      <c r="AY263" s="27" t="s">
        <v>8</v>
      </c>
    </row>
    <row r="264" spans="1:91" x14ac:dyDescent="0.25">
      <c r="A264" s="30">
        <v>0.3100679102826473</v>
      </c>
      <c r="B264"/>
      <c r="C264"/>
      <c r="D264"/>
      <c r="E264"/>
      <c r="F264" s="27" t="s">
        <v>7</v>
      </c>
      <c r="AS264" s="27" t="s">
        <v>8</v>
      </c>
      <c r="AT264" s="27" t="s">
        <v>7</v>
      </c>
      <c r="AU264" s="27" t="s">
        <v>8</v>
      </c>
      <c r="AV264" s="27" t="s">
        <v>7</v>
      </c>
      <c r="AY264" s="27" t="s">
        <v>8</v>
      </c>
    </row>
    <row r="265" spans="1:91" x14ac:dyDescent="0.25">
      <c r="A265" s="30">
        <v>0.2953027716977592</v>
      </c>
      <c r="B265"/>
      <c r="C265"/>
      <c r="D265"/>
      <c r="E265"/>
      <c r="F265" s="27" t="s">
        <v>7</v>
      </c>
      <c r="AS265" s="27" t="s">
        <v>8</v>
      </c>
      <c r="AT265" s="27" t="s">
        <v>7</v>
      </c>
      <c r="AU265" s="27" t="s">
        <v>8</v>
      </c>
      <c r="AV265" s="27" t="s">
        <v>7</v>
      </c>
      <c r="AY265" s="27" t="s">
        <v>8</v>
      </c>
    </row>
    <row r="266" spans="1:91" x14ac:dyDescent="0.25">
      <c r="A266" s="30">
        <v>0.28124073495024676</v>
      </c>
      <c r="B266"/>
      <c r="C266"/>
      <c r="D266"/>
      <c r="E266"/>
      <c r="F266" s="27" t="s">
        <v>7</v>
      </c>
      <c r="AQ266" s="27" t="s">
        <v>8</v>
      </c>
      <c r="AS266" s="27" t="s">
        <v>8</v>
      </c>
      <c r="AT266" s="27" t="s">
        <v>7</v>
      </c>
      <c r="AU266" s="27" t="s">
        <v>8</v>
      </c>
      <c r="AV266" s="27" t="s">
        <v>7</v>
      </c>
      <c r="AW266" s="27" t="s">
        <v>8</v>
      </c>
      <c r="AY266" s="27" t="s">
        <v>8</v>
      </c>
    </row>
    <row r="267" spans="1:91" x14ac:dyDescent="0.25">
      <c r="A267" s="30">
        <v>0.26784831900023492</v>
      </c>
      <c r="B267"/>
      <c r="C267"/>
      <c r="D267"/>
      <c r="E267"/>
      <c r="F267" s="27" t="s">
        <v>7</v>
      </c>
      <c r="AQ267" s="27" t="s">
        <v>8</v>
      </c>
      <c r="AR267" s="27" t="s">
        <v>7</v>
      </c>
      <c r="AS267" s="27" t="s">
        <v>8</v>
      </c>
      <c r="AT267" s="27" t="s">
        <v>7</v>
      </c>
      <c r="AV267" s="27" t="s">
        <v>7</v>
      </c>
      <c r="AW267" s="27" t="s">
        <v>8</v>
      </c>
      <c r="AX267" s="27" t="s">
        <v>7</v>
      </c>
      <c r="AY267" s="27" t="s">
        <v>8</v>
      </c>
    </row>
    <row r="268" spans="1:91" x14ac:dyDescent="0.25">
      <c r="A268" s="30">
        <v>0.25509363714308075</v>
      </c>
      <c r="B268"/>
      <c r="C268"/>
      <c r="D268"/>
      <c r="E268"/>
      <c r="F268" s="27" t="s">
        <v>7</v>
      </c>
      <c r="AQ268" s="27" t="s">
        <v>8</v>
      </c>
      <c r="AR268" s="27" t="s">
        <v>7</v>
      </c>
      <c r="AS268" s="27" t="s">
        <v>8</v>
      </c>
      <c r="AV268" s="27" t="s">
        <v>7</v>
      </c>
      <c r="AW268" s="27" t="s">
        <v>8</v>
      </c>
      <c r="AX268" s="27" t="s">
        <v>7</v>
      </c>
      <c r="AY268" s="27" t="s">
        <v>8</v>
      </c>
    </row>
    <row r="269" spans="1:91" x14ac:dyDescent="0.25">
      <c r="A269" s="30">
        <v>0.24294632108864825</v>
      </c>
      <c r="B269"/>
      <c r="C269"/>
      <c r="D269"/>
      <c r="E269"/>
      <c r="F269" s="27" t="s">
        <v>7</v>
      </c>
      <c r="AQ269" s="27" t="s">
        <v>8</v>
      </c>
      <c r="AR269" s="27" t="s">
        <v>7</v>
      </c>
      <c r="AS269" s="27" t="s">
        <v>8</v>
      </c>
      <c r="AV269" s="27" t="s">
        <v>7</v>
      </c>
      <c r="AW269" s="27" t="s">
        <v>8</v>
      </c>
      <c r="AX269" s="27" t="s">
        <v>7</v>
      </c>
      <c r="AY269" s="27" t="s">
        <v>8</v>
      </c>
    </row>
    <row r="270" spans="1:91" x14ac:dyDescent="0.25">
      <c r="A270" s="30">
        <v>0.23137744865585538</v>
      </c>
      <c r="B270"/>
      <c r="C270"/>
      <c r="D270"/>
      <c r="E270"/>
      <c r="F270" s="27" t="s">
        <v>7</v>
      </c>
      <c r="AQ270" s="27" t="s">
        <v>8</v>
      </c>
      <c r="AR270" s="27" t="s">
        <v>7</v>
      </c>
      <c r="AV270" s="27" t="s">
        <v>7</v>
      </c>
      <c r="AW270" s="27" t="s">
        <v>8</v>
      </c>
      <c r="AX270" s="27" t="s">
        <v>7</v>
      </c>
      <c r="AY270" s="27" t="s">
        <v>8</v>
      </c>
    </row>
    <row r="271" spans="1:91" x14ac:dyDescent="0.25">
      <c r="A271" s="30">
        <v>0.22035947491033836</v>
      </c>
      <c r="B271"/>
      <c r="C271"/>
      <c r="D271"/>
      <c r="E271"/>
      <c r="F271" s="27" t="s">
        <v>7</v>
      </c>
      <c r="AQ271" s="27" t="s">
        <v>8</v>
      </c>
      <c r="AV271" s="27" t="s">
        <v>7</v>
      </c>
      <c r="AW271" s="27" t="s">
        <v>8</v>
      </c>
      <c r="AX271" s="27" t="s">
        <v>7</v>
      </c>
    </row>
    <row r="272" spans="1:91" x14ac:dyDescent="0.25">
      <c r="A272" s="30">
        <v>0.20986616658127455</v>
      </c>
      <c r="B272"/>
      <c r="C272"/>
      <c r="D272"/>
      <c r="E272"/>
      <c r="F272" s="27" t="s">
        <v>7</v>
      </c>
      <c r="AQ272" s="27" t="s">
        <v>8</v>
      </c>
      <c r="AV272" s="27" t="s">
        <v>7</v>
      </c>
      <c r="AW272" s="27" t="s">
        <v>8</v>
      </c>
    </row>
    <row r="273" spans="1:49" x14ac:dyDescent="0.25">
      <c r="A273" s="30">
        <v>0.19987253960121379</v>
      </c>
      <c r="B273"/>
      <c r="C273"/>
      <c r="D273"/>
      <c r="E273"/>
      <c r="F273" s="27" t="s">
        <v>7</v>
      </c>
      <c r="AO273" s="27" t="s">
        <v>8</v>
      </c>
      <c r="AQ273" s="27" t="s">
        <v>8</v>
      </c>
      <c r="AV273" s="27" t="s">
        <v>7</v>
      </c>
      <c r="AW273" s="27" t="s">
        <v>8</v>
      </c>
    </row>
    <row r="274" spans="1:49" x14ac:dyDescent="0.25">
      <c r="A274" s="30">
        <v>0.19035479962020352</v>
      </c>
      <c r="B274"/>
      <c r="C274"/>
      <c r="D274"/>
      <c r="E274"/>
      <c r="F274" s="27" t="s">
        <v>7</v>
      </c>
      <c r="AO274" s="27" t="s">
        <v>8</v>
      </c>
      <c r="AP274" s="27" t="s">
        <v>7</v>
      </c>
      <c r="AQ274" s="27" t="s">
        <v>8</v>
      </c>
      <c r="AV274" s="27" t="s">
        <v>7</v>
      </c>
    </row>
    <row r="275" spans="1:49" x14ac:dyDescent="0.25">
      <c r="A275" s="30">
        <v>0.18129028535257471</v>
      </c>
      <c r="B275"/>
      <c r="C275"/>
      <c r="D275"/>
      <c r="E275"/>
      <c r="F275" s="27" t="s">
        <v>7</v>
      </c>
      <c r="AO275" s="27" t="s">
        <v>8</v>
      </c>
      <c r="AP275" s="27" t="s">
        <v>7</v>
      </c>
      <c r="AQ275" s="27" t="s">
        <v>8</v>
      </c>
    </row>
    <row r="276" spans="1:49" x14ac:dyDescent="0.25">
      <c r="A276" s="30">
        <v>0.17265741462149967</v>
      </c>
      <c r="B276"/>
      <c r="C276"/>
      <c r="D276"/>
      <c r="E276"/>
      <c r="F276" s="27" t="s">
        <v>7</v>
      </c>
      <c r="AO276" s="27" t="s">
        <v>8</v>
      </c>
      <c r="AP276" s="27" t="s">
        <v>7</v>
      </c>
      <c r="AQ276" s="27" t="s">
        <v>8</v>
      </c>
    </row>
    <row r="277" spans="1:49" x14ac:dyDescent="0.25">
      <c r="A277" s="30">
        <v>0.16443563297285677</v>
      </c>
      <c r="B277"/>
      <c r="C277"/>
      <c r="D277"/>
      <c r="E277"/>
      <c r="F277" s="27" t="s">
        <v>7</v>
      </c>
      <c r="AO277" s="27" t="s">
        <v>8</v>
      </c>
      <c r="AP277" s="27" t="s">
        <v>7</v>
      </c>
      <c r="AQ277" s="27" t="s">
        <v>8</v>
      </c>
    </row>
    <row r="278" spans="1:49" x14ac:dyDescent="0.25">
      <c r="A278" s="30">
        <v>0.15660536473605399</v>
      </c>
      <c r="B278"/>
      <c r="C278"/>
      <c r="D278"/>
      <c r="E278"/>
      <c r="F278" s="27" t="s">
        <v>7</v>
      </c>
      <c r="AG278" s="27" t="s">
        <v>8</v>
      </c>
      <c r="AO278" s="27" t="s">
        <v>8</v>
      </c>
      <c r="AP278" s="27" t="s">
        <v>7</v>
      </c>
      <c r="AQ278" s="27" t="s">
        <v>8</v>
      </c>
    </row>
    <row r="279" spans="1:49" x14ac:dyDescent="0.25">
      <c r="A279" s="30">
        <v>0.14914796641528946</v>
      </c>
      <c r="B279"/>
      <c r="C279"/>
      <c r="D279"/>
      <c r="E279"/>
      <c r="F279" s="27" t="s">
        <v>7</v>
      </c>
      <c r="AG279" s="27" t="s">
        <v>8</v>
      </c>
      <c r="AH279" s="27" t="s">
        <v>7</v>
      </c>
      <c r="AO279" s="27" t="s">
        <v>8</v>
      </c>
      <c r="AP279" s="27" t="s">
        <v>7</v>
      </c>
      <c r="AQ279" s="27" t="s">
        <v>8</v>
      </c>
    </row>
    <row r="280" spans="1:49" x14ac:dyDescent="0.25">
      <c r="A280" s="30">
        <v>0.14204568230027562</v>
      </c>
      <c r="B280"/>
      <c r="C280"/>
      <c r="D280"/>
      <c r="E280"/>
      <c r="F280" s="27" t="s">
        <v>7</v>
      </c>
      <c r="AG280" s="27" t="s">
        <v>8</v>
      </c>
      <c r="AH280" s="27" t="s">
        <v>7</v>
      </c>
      <c r="AM280" s="27" t="s">
        <v>8</v>
      </c>
      <c r="AO280" s="27" t="s">
        <v>8</v>
      </c>
      <c r="AP280" s="27" t="s">
        <v>7</v>
      </c>
    </row>
    <row r="281" spans="1:49" x14ac:dyDescent="0.25">
      <c r="A281" s="30">
        <v>0.13528160219073862</v>
      </c>
      <c r="B281"/>
      <c r="C281"/>
      <c r="D281"/>
      <c r="E281"/>
      <c r="F281" s="27" t="s">
        <v>7</v>
      </c>
      <c r="AG281" s="27" t="s">
        <v>8</v>
      </c>
      <c r="AH281" s="27" t="s">
        <v>7</v>
      </c>
      <c r="AM281" s="27" t="s">
        <v>8</v>
      </c>
      <c r="AN281" s="27" t="s">
        <v>7</v>
      </c>
      <c r="AO281" s="27" t="s">
        <v>8</v>
      </c>
    </row>
    <row r="282" spans="1:49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AG282" s="27" t="s">
        <v>8</v>
      </c>
      <c r="AH282" s="27" t="s">
        <v>7</v>
      </c>
      <c r="AM282" s="27" t="s">
        <v>8</v>
      </c>
      <c r="AN282" s="27" t="s">
        <v>7</v>
      </c>
      <c r="AO282" s="27" t="s">
        <v>8</v>
      </c>
    </row>
    <row r="283" spans="1:49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AG283" s="27" t="s">
        <v>8</v>
      </c>
      <c r="AH283" s="27" t="s">
        <v>7</v>
      </c>
      <c r="AM283" s="27" t="s">
        <v>8</v>
      </c>
      <c r="AN283" s="27" t="s">
        <v>7</v>
      </c>
      <c r="AO283" s="27" t="s">
        <v>8</v>
      </c>
    </row>
    <row r="284" spans="1:49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M284" s="27" t="s">
        <v>8</v>
      </c>
      <c r="AG284" s="27" t="s">
        <v>8</v>
      </c>
      <c r="AH284" s="27" t="s">
        <v>7</v>
      </c>
      <c r="AI284" s="27" t="s">
        <v>8</v>
      </c>
      <c r="AK284" s="27" t="s">
        <v>8</v>
      </c>
      <c r="AM284" s="27" t="s">
        <v>8</v>
      </c>
      <c r="AN284" s="27" t="s">
        <v>7</v>
      </c>
      <c r="AO284" s="27" t="s">
        <v>8</v>
      </c>
    </row>
    <row r="285" spans="1:49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H285" s="27" t="s">
        <v>7</v>
      </c>
      <c r="K285" s="27" t="s">
        <v>8</v>
      </c>
      <c r="M285" s="27" t="s">
        <v>8</v>
      </c>
      <c r="N285" s="27" t="s">
        <v>7</v>
      </c>
      <c r="Y285" s="27" t="s">
        <v>8</v>
      </c>
      <c r="AG285" s="27" t="s">
        <v>8</v>
      </c>
      <c r="AH285" s="27" t="s">
        <v>7</v>
      </c>
      <c r="AI285" s="27" t="s">
        <v>8</v>
      </c>
      <c r="AJ285" s="27" t="s">
        <v>7</v>
      </c>
      <c r="AK285" s="27" t="s">
        <v>8</v>
      </c>
      <c r="AL285" s="27" t="s">
        <v>7</v>
      </c>
      <c r="AM285" s="27" t="s">
        <v>8</v>
      </c>
      <c r="AN285" s="27" t="s">
        <v>7</v>
      </c>
      <c r="AO285" s="27" t="s">
        <v>8</v>
      </c>
    </row>
    <row r="286" spans="1:49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H286" s="27" t="s">
        <v>7</v>
      </c>
      <c r="K286" s="27" t="s">
        <v>8</v>
      </c>
      <c r="L286" s="27" t="s">
        <v>7</v>
      </c>
      <c r="M286" s="27" t="s">
        <v>8</v>
      </c>
      <c r="N286" s="27" t="s">
        <v>7</v>
      </c>
      <c r="Y286" s="27" t="s">
        <v>8</v>
      </c>
      <c r="Z286" s="27" t="s">
        <v>7</v>
      </c>
      <c r="AG286" s="27" t="s">
        <v>8</v>
      </c>
      <c r="AH286" s="27" t="s">
        <v>7</v>
      </c>
      <c r="AI286" s="27" t="s">
        <v>8</v>
      </c>
      <c r="AJ286" s="27" t="s">
        <v>7</v>
      </c>
      <c r="AK286" s="27" t="s">
        <v>8</v>
      </c>
      <c r="AL286" s="27" t="s">
        <v>7</v>
      </c>
      <c r="AM286" s="27" t="s">
        <v>8</v>
      </c>
      <c r="AN286" s="27" t="s">
        <v>7</v>
      </c>
    </row>
    <row r="287" spans="1:49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H287" s="27" t="s">
        <v>7</v>
      </c>
      <c r="I287" s="27" t="s">
        <v>8</v>
      </c>
      <c r="K287" s="27" t="s">
        <v>8</v>
      </c>
      <c r="L287" s="27" t="s">
        <v>7</v>
      </c>
      <c r="M287" s="27" t="s">
        <v>8</v>
      </c>
      <c r="N287" s="27" t="s">
        <v>7</v>
      </c>
      <c r="Y287" s="27" t="s">
        <v>8</v>
      </c>
      <c r="Z287" s="27" t="s">
        <v>7</v>
      </c>
      <c r="AG287" s="27" t="s">
        <v>8</v>
      </c>
      <c r="AH287" s="27" t="s">
        <v>7</v>
      </c>
      <c r="AI287" s="27" t="s">
        <v>8</v>
      </c>
      <c r="AJ287" s="27" t="s">
        <v>7</v>
      </c>
      <c r="AL287" s="27" t="s">
        <v>7</v>
      </c>
    </row>
    <row r="288" spans="1:49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H288" s="27" t="s">
        <v>7</v>
      </c>
      <c r="I288" s="27" t="s">
        <v>8</v>
      </c>
      <c r="J288" s="27" t="s">
        <v>7</v>
      </c>
      <c r="K288" s="27" t="s">
        <v>8</v>
      </c>
      <c r="L288" s="27" t="s">
        <v>7</v>
      </c>
      <c r="M288" s="27" t="s">
        <v>8</v>
      </c>
      <c r="N288" s="27" t="s">
        <v>7</v>
      </c>
      <c r="Y288" s="27" t="s">
        <v>8</v>
      </c>
      <c r="Z288" s="27" t="s">
        <v>7</v>
      </c>
      <c r="AA288" s="27" t="s">
        <v>8</v>
      </c>
      <c r="AC288" s="27" t="s">
        <v>8</v>
      </c>
      <c r="AE288" s="27" t="s">
        <v>8</v>
      </c>
      <c r="AG288" s="27" t="s">
        <v>8</v>
      </c>
      <c r="AH288" s="27" t="s">
        <v>7</v>
      </c>
      <c r="AI288" s="27" t="s">
        <v>8</v>
      </c>
    </row>
    <row r="289" spans="1:35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H289" s="27" t="s">
        <v>7</v>
      </c>
      <c r="I289" s="27" t="s">
        <v>8</v>
      </c>
      <c r="J289" s="27" t="s">
        <v>7</v>
      </c>
      <c r="K289" s="27" t="s">
        <v>8</v>
      </c>
      <c r="L289" s="27" t="s">
        <v>7</v>
      </c>
      <c r="M289" s="27" t="s">
        <v>8</v>
      </c>
      <c r="N289" s="27" t="s">
        <v>7</v>
      </c>
      <c r="Y289" s="27" t="s">
        <v>8</v>
      </c>
      <c r="Z289" s="27" t="s">
        <v>7</v>
      </c>
      <c r="AA289" s="27" t="s">
        <v>8</v>
      </c>
      <c r="AB289" s="27" t="s">
        <v>7</v>
      </c>
      <c r="AC289" s="27" t="s">
        <v>8</v>
      </c>
      <c r="AD289" s="27" t="s">
        <v>7</v>
      </c>
      <c r="AE289" s="27" t="s">
        <v>8</v>
      </c>
      <c r="AF289" s="27" t="s">
        <v>7</v>
      </c>
      <c r="AG289" s="27" t="s">
        <v>8</v>
      </c>
      <c r="AH289" s="27" t="s">
        <v>7</v>
      </c>
      <c r="AI289" s="27" t="s">
        <v>8</v>
      </c>
    </row>
    <row r="290" spans="1:35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H290" s="27" t="s">
        <v>7</v>
      </c>
      <c r="J290" s="27" t="s">
        <v>7</v>
      </c>
      <c r="K290" s="27" t="s">
        <v>8</v>
      </c>
      <c r="L290" s="27" t="s">
        <v>7</v>
      </c>
      <c r="M290" s="27" t="s">
        <v>8</v>
      </c>
      <c r="N290" s="27" t="s">
        <v>7</v>
      </c>
      <c r="S290" s="27" t="s">
        <v>8</v>
      </c>
      <c r="W290" s="27" t="s">
        <v>8</v>
      </c>
      <c r="Y290" s="27" t="s">
        <v>8</v>
      </c>
      <c r="Z290" s="27" t="s">
        <v>7</v>
      </c>
      <c r="AA290" s="27" t="s">
        <v>8</v>
      </c>
      <c r="AB290" s="27" t="s">
        <v>7</v>
      </c>
      <c r="AC290" s="27" t="s">
        <v>8</v>
      </c>
      <c r="AD290" s="27" t="s">
        <v>7</v>
      </c>
      <c r="AE290" s="27" t="s">
        <v>8</v>
      </c>
      <c r="AF290" s="27" t="s">
        <v>7</v>
      </c>
      <c r="AG290" s="27" t="s">
        <v>8</v>
      </c>
      <c r="AH290" s="27" t="s">
        <v>7</v>
      </c>
      <c r="AI290" s="27" t="s">
        <v>8</v>
      </c>
    </row>
    <row r="291" spans="1:35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J291" s="27" t="s">
        <v>7</v>
      </c>
      <c r="L291" s="27" t="s">
        <v>7</v>
      </c>
      <c r="N291" s="27" t="s">
        <v>7</v>
      </c>
      <c r="O291" s="27" t="s">
        <v>8</v>
      </c>
      <c r="S291" s="27" t="s">
        <v>8</v>
      </c>
      <c r="T291" s="27" t="s">
        <v>7</v>
      </c>
      <c r="U291" s="27" t="s">
        <v>8</v>
      </c>
      <c r="W291" s="27" t="s">
        <v>8</v>
      </c>
      <c r="X291" s="27" t="s">
        <v>7</v>
      </c>
      <c r="Y291" s="27" t="s">
        <v>8</v>
      </c>
      <c r="Z291" s="27" t="s">
        <v>7</v>
      </c>
      <c r="AA291" s="27" t="s">
        <v>8</v>
      </c>
      <c r="AB291" s="27" t="s">
        <v>7</v>
      </c>
      <c r="AC291" s="27" t="s">
        <v>8</v>
      </c>
      <c r="AD291" s="27" t="s">
        <v>7</v>
      </c>
      <c r="AE291" s="27" t="s">
        <v>8</v>
      </c>
      <c r="AF291" s="27" t="s">
        <v>7</v>
      </c>
      <c r="AG291" s="27" t="s">
        <v>8</v>
      </c>
      <c r="AH291" s="27" t="s">
        <v>7</v>
      </c>
    </row>
    <row r="292" spans="1:35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N292" s="27" t="s">
        <v>7</v>
      </c>
      <c r="O292" s="27" t="s">
        <v>8</v>
      </c>
      <c r="P292" s="27" t="s">
        <v>7</v>
      </c>
      <c r="Q292" s="27" t="s">
        <v>8</v>
      </c>
      <c r="S292" s="27" t="s">
        <v>8</v>
      </c>
      <c r="T292" s="27" t="s">
        <v>7</v>
      </c>
      <c r="U292" s="27" t="s">
        <v>8</v>
      </c>
      <c r="V292" s="27" t="s">
        <v>7</v>
      </c>
      <c r="W292" s="27" t="s">
        <v>8</v>
      </c>
      <c r="X292" s="27" t="s">
        <v>7</v>
      </c>
      <c r="Y292" s="27" t="s">
        <v>8</v>
      </c>
      <c r="Z292" s="27" t="s">
        <v>7</v>
      </c>
      <c r="AA292" s="27" t="s">
        <v>8</v>
      </c>
      <c r="AB292" s="27" t="s">
        <v>7</v>
      </c>
      <c r="AD292" s="27" t="s">
        <v>7</v>
      </c>
      <c r="AF292" s="27" t="s">
        <v>7</v>
      </c>
      <c r="AG292" s="27" t="s">
        <v>8</v>
      </c>
    </row>
    <row r="293" spans="1:35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N293" s="27" t="s">
        <v>7</v>
      </c>
      <c r="O293" s="27" t="s">
        <v>8</v>
      </c>
      <c r="P293" s="27" t="s">
        <v>7</v>
      </c>
      <c r="Q293" s="27" t="s">
        <v>8</v>
      </c>
      <c r="R293" s="27" t="s">
        <v>7</v>
      </c>
      <c r="S293" s="27" t="s">
        <v>8</v>
      </c>
      <c r="T293" s="27" t="s">
        <v>7</v>
      </c>
      <c r="U293" s="27" t="s">
        <v>8</v>
      </c>
      <c r="V293" s="27" t="s">
        <v>7</v>
      </c>
      <c r="W293" s="27" t="s">
        <v>8</v>
      </c>
      <c r="X293" s="27" t="s">
        <v>7</v>
      </c>
      <c r="Y293" s="27" t="s">
        <v>8</v>
      </c>
      <c r="Z293" s="27" t="s">
        <v>7</v>
      </c>
      <c r="AF293" s="27" t="s">
        <v>7</v>
      </c>
      <c r="AG293" s="27" t="s">
        <v>8</v>
      </c>
    </row>
    <row r="294" spans="1:35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N294" s="27" t="s">
        <v>7</v>
      </c>
      <c r="O294" s="27" t="s">
        <v>8</v>
      </c>
      <c r="P294" s="27" t="s">
        <v>7</v>
      </c>
      <c r="Q294" s="27" t="s">
        <v>8</v>
      </c>
      <c r="R294" s="27" t="s">
        <v>7</v>
      </c>
      <c r="S294" s="27" t="s">
        <v>8</v>
      </c>
      <c r="T294" s="27" t="s">
        <v>7</v>
      </c>
      <c r="V294" s="27" t="s">
        <v>7</v>
      </c>
      <c r="W294" s="27" t="s">
        <v>8</v>
      </c>
      <c r="X294" s="27" t="s">
        <v>7</v>
      </c>
      <c r="AF294" s="27" t="s">
        <v>7</v>
      </c>
    </row>
    <row r="295" spans="1:35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N295" s="27" t="s">
        <v>7</v>
      </c>
      <c r="O295" s="27" t="s">
        <v>8</v>
      </c>
      <c r="P295" s="27" t="s">
        <v>7</v>
      </c>
      <c r="R295" s="27" t="s">
        <v>7</v>
      </c>
      <c r="V295" s="27" t="s">
        <v>7</v>
      </c>
      <c r="W295" s="27" t="s">
        <v>8</v>
      </c>
    </row>
    <row r="296" spans="1:35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N296" s="27" t="s">
        <v>7</v>
      </c>
      <c r="O296" s="27" t="s">
        <v>8</v>
      </c>
      <c r="V296" s="27" t="s">
        <v>7</v>
      </c>
      <c r="W296" s="27" t="s">
        <v>8</v>
      </c>
    </row>
    <row r="297" spans="1:35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N297" s="27" t="s">
        <v>7</v>
      </c>
      <c r="O297" s="27" t="s">
        <v>8</v>
      </c>
      <c r="V297" s="27" t="s">
        <v>7</v>
      </c>
    </row>
    <row r="298" spans="1:35" x14ac:dyDescent="0.25">
      <c r="A298" s="30">
        <v>5.9022914930508576E-2</v>
      </c>
      <c r="B298"/>
      <c r="C298"/>
      <c r="D298"/>
      <c r="E298"/>
      <c r="F298" s="27" t="s">
        <v>7</v>
      </c>
      <c r="N298" s="27" t="s">
        <v>7</v>
      </c>
      <c r="O298" s="27" t="s">
        <v>8</v>
      </c>
    </row>
    <row r="299" spans="1:35" x14ac:dyDescent="0.25">
      <c r="A299" s="30">
        <v>5.6212299933817669E-2</v>
      </c>
      <c r="B299"/>
      <c r="C299"/>
      <c r="D299"/>
      <c r="E299"/>
      <c r="N299" s="27" t="s">
        <v>7</v>
      </c>
      <c r="O299" s="27" t="s">
        <v>8</v>
      </c>
    </row>
    <row r="300" spans="1:35" x14ac:dyDescent="0.25">
      <c r="A300" s="30">
        <v>5.3535523746492994E-2</v>
      </c>
      <c r="B300"/>
      <c r="C300"/>
      <c r="D300"/>
      <c r="E300"/>
      <c r="N300" s="27" t="s">
        <v>7</v>
      </c>
      <c r="O300" s="27" t="s">
        <v>8</v>
      </c>
    </row>
    <row r="301" spans="1:35" x14ac:dyDescent="0.25">
      <c r="A301" s="30">
        <v>5.0986213091898068E-2</v>
      </c>
      <c r="B301"/>
      <c r="C301"/>
      <c r="D301"/>
      <c r="E301"/>
      <c r="N301" s="27" t="s">
        <v>7</v>
      </c>
      <c r="O301" s="27" t="s">
        <v>8</v>
      </c>
    </row>
    <row r="302" spans="1:35" x14ac:dyDescent="0.25">
      <c r="A302" s="30">
        <v>4.8558298182760043E-2</v>
      </c>
      <c r="B302"/>
      <c r="C302"/>
      <c r="D302"/>
      <c r="E302"/>
      <c r="N302" s="27" t="s">
        <v>7</v>
      </c>
      <c r="O302" s="27" t="s">
        <v>8</v>
      </c>
    </row>
    <row r="303" spans="1:35" x14ac:dyDescent="0.25">
      <c r="A303" s="30">
        <v>4.6245998269295263E-2</v>
      </c>
      <c r="B303"/>
      <c r="C303"/>
      <c r="D303"/>
      <c r="E303"/>
      <c r="N303" s="27" t="s">
        <v>7</v>
      </c>
      <c r="O303" s="27" t="s">
        <v>8</v>
      </c>
    </row>
    <row r="304" spans="1:35" x14ac:dyDescent="0.25">
      <c r="A304" s="30">
        <v>4.4043807875519279E-2</v>
      </c>
      <c r="B304"/>
      <c r="C304"/>
      <c r="D304"/>
      <c r="E304"/>
      <c r="N304" s="27" t="s">
        <v>7</v>
      </c>
      <c r="O304" s="27" t="s">
        <v>8</v>
      </c>
    </row>
    <row r="305" spans="1:15" x14ac:dyDescent="0.25">
      <c r="A305" s="30">
        <v>4.1946483690970725E-2</v>
      </c>
      <c r="B305"/>
      <c r="C305"/>
      <c r="D305"/>
      <c r="E305"/>
      <c r="N305" s="27" t="s">
        <v>7</v>
      </c>
      <c r="O305" s="27" t="s">
        <v>8</v>
      </c>
    </row>
    <row r="306" spans="1:15" x14ac:dyDescent="0.25">
      <c r="A306" s="30">
        <v>3.9949032086638768E-2</v>
      </c>
      <c r="B306"/>
      <c r="C306"/>
      <c r="D306"/>
      <c r="E306"/>
      <c r="N306" s="27" t="s">
        <v>7</v>
      </c>
      <c r="O306" s="27" t="s">
        <v>8</v>
      </c>
    </row>
    <row r="307" spans="1:15" x14ac:dyDescent="0.25">
      <c r="A307" s="30">
        <v>3.8046697225370241E-2</v>
      </c>
      <c r="B307"/>
      <c r="C307"/>
      <c r="D307"/>
      <c r="E307"/>
      <c r="N307" s="27" t="s">
        <v>7</v>
      </c>
      <c r="O307" s="27" t="s">
        <v>8</v>
      </c>
    </row>
    <row r="308" spans="1:15" x14ac:dyDescent="0.25">
      <c r="A308" s="30">
        <v>3.6234949738447833E-2</v>
      </c>
      <c r="B308"/>
      <c r="C308"/>
      <c r="D308"/>
      <c r="E308"/>
      <c r="N308" s="27" t="s">
        <v>7</v>
      </c>
      <c r="O308" s="27" t="s">
        <v>8</v>
      </c>
    </row>
    <row r="309" spans="1:15" x14ac:dyDescent="0.25">
      <c r="A309" s="30">
        <v>3.4509475941378875E-2</v>
      </c>
      <c r="B309"/>
      <c r="C309"/>
      <c r="D309"/>
      <c r="E309"/>
      <c r="N309" s="27" t="s">
        <v>7</v>
      </c>
      <c r="O309" s="27" t="s">
        <v>8</v>
      </c>
    </row>
    <row r="310" spans="1:15" x14ac:dyDescent="0.25">
      <c r="A310" s="30">
        <v>3.286616756321796E-2</v>
      </c>
      <c r="B310"/>
      <c r="C310"/>
      <c r="D310"/>
      <c r="E310"/>
      <c r="N310" s="27" t="s">
        <v>7</v>
      </c>
      <c r="O310" s="27" t="s">
        <v>8</v>
      </c>
    </row>
    <row r="311" spans="1:15" x14ac:dyDescent="0.25">
      <c r="A311" s="30">
        <v>3.1301111964969472E-2</v>
      </c>
      <c r="B311"/>
      <c r="C311"/>
      <c r="D311"/>
      <c r="E311"/>
      <c r="N311" s="27" t="s">
        <v>7</v>
      </c>
    </row>
    <row r="312" spans="1:15" x14ac:dyDescent="0.25">
      <c r="A312" s="30">
        <v>2.9810582823780438E-2</v>
      </c>
      <c r="B312"/>
      <c r="C312"/>
      <c r="D312"/>
      <c r="E312"/>
    </row>
    <row r="313" spans="1:15" x14ac:dyDescent="0.25">
      <c r="A313" s="30">
        <v>2.8391031260743264E-2</v>
      </c>
      <c r="B313"/>
      <c r="C313"/>
      <c r="D313"/>
      <c r="E313"/>
    </row>
    <row r="314" spans="1:15" x14ac:dyDescent="0.25">
      <c r="A314" s="30">
        <v>2.7039077391184052E-2</v>
      </c>
      <c r="B314"/>
      <c r="C314"/>
      <c r="D314"/>
      <c r="E314"/>
    </row>
    <row r="315" spans="1:15" x14ac:dyDescent="0.25">
      <c r="A315" s="30">
        <v>2.5751502277318133E-2</v>
      </c>
      <c r="B315"/>
      <c r="C315"/>
      <c r="D315"/>
      <c r="E315"/>
    </row>
    <row r="316" spans="1:15" x14ac:dyDescent="0.25">
      <c r="A316" s="30">
        <v>2.4525240264112496E-2</v>
      </c>
      <c r="B316"/>
      <c r="C316"/>
      <c r="D316"/>
      <c r="E316"/>
    </row>
    <row r="317" spans="1:15" x14ac:dyDescent="0.25">
      <c r="A317" s="30">
        <v>2.3357371680107129E-2</v>
      </c>
      <c r="B317"/>
      <c r="C317"/>
      <c r="D317"/>
      <c r="E317"/>
    </row>
    <row r="318" spans="1:15" x14ac:dyDescent="0.25">
      <c r="A318" s="30">
        <v>2.2245115885816305E-2</v>
      </c>
      <c r="B318"/>
      <c r="C318"/>
      <c r="D318"/>
      <c r="E318"/>
    </row>
    <row r="319" spans="1:15" x14ac:dyDescent="0.25">
      <c r="A319" s="30">
        <v>2.1185824653158377E-2</v>
      </c>
      <c r="B319"/>
      <c r="C319"/>
      <c r="D319"/>
      <c r="E319"/>
    </row>
    <row r="320" spans="1:1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60" operator="equal">
      <formula>$U$1</formula>
    </cfRule>
    <cfRule type="cellIs" dxfId="67" priority="961" operator="equal">
      <formula>$S$1</formula>
    </cfRule>
  </conditionalFormatting>
  <conditionalFormatting sqref="D136">
    <cfRule type="cellIs" dxfId="66" priority="958" operator="equal">
      <formula>$S$1</formula>
    </cfRule>
    <cfRule type="cellIs" dxfId="65" priority="959" operator="equal">
      <formula>$U$1</formula>
    </cfRule>
  </conditionalFormatting>
  <conditionalFormatting sqref="C162">
    <cfRule type="cellIs" dxfId="64" priority="956" operator="equal">
      <formula>$U$1</formula>
    </cfRule>
    <cfRule type="cellIs" dxfId="63" priority="957" operator="equal">
      <formula>$S$1</formula>
    </cfRule>
  </conditionalFormatting>
  <conditionalFormatting sqref="D162">
    <cfRule type="cellIs" dxfId="62" priority="954" operator="equal">
      <formula>$S$1</formula>
    </cfRule>
    <cfRule type="cellIs" dxfId="61" priority="955" operator="equal">
      <formula>$U$1</formula>
    </cfRule>
  </conditionalFormatting>
  <conditionalFormatting sqref="C187">
    <cfRule type="cellIs" dxfId="60" priority="952" operator="equal">
      <formula>$U$1</formula>
    </cfRule>
    <cfRule type="cellIs" dxfId="59" priority="953" operator="equal">
      <formula>$S$1</formula>
    </cfRule>
  </conditionalFormatting>
  <conditionalFormatting sqref="D187">
    <cfRule type="cellIs" dxfId="58" priority="950" operator="equal">
      <formula>$S$1</formula>
    </cfRule>
    <cfRule type="cellIs" dxfId="57" priority="951" operator="equal">
      <formula>$U$1</formula>
    </cfRule>
  </conditionalFormatting>
  <conditionalFormatting sqref="C212">
    <cfRule type="cellIs" dxfId="56" priority="948" operator="equal">
      <formula>$U$1</formula>
    </cfRule>
    <cfRule type="cellIs" dxfId="55" priority="949" operator="equal">
      <formula>$S$1</formula>
    </cfRule>
  </conditionalFormatting>
  <conditionalFormatting sqref="D212">
    <cfRule type="cellIs" dxfId="54" priority="946" operator="equal">
      <formula>$S$1</formula>
    </cfRule>
    <cfRule type="cellIs" dxfId="53" priority="947" operator="equal">
      <formula>$U$1</formula>
    </cfRule>
  </conditionalFormatting>
  <conditionalFormatting sqref="C237">
    <cfRule type="cellIs" dxfId="52" priority="944" operator="equal">
      <formula>$U$1</formula>
    </cfRule>
    <cfRule type="cellIs" dxfId="51" priority="945" operator="equal">
      <formula>$S$1</formula>
    </cfRule>
  </conditionalFormatting>
  <conditionalFormatting sqref="D237">
    <cfRule type="cellIs" dxfId="50" priority="942" operator="equal">
      <formula>$S$1</formula>
    </cfRule>
    <cfRule type="cellIs" dxfId="49" priority="943" operator="equal">
      <formula>$U$1</formula>
    </cfRule>
  </conditionalFormatting>
  <conditionalFormatting sqref="C106">
    <cfRule type="cellIs" dxfId="48" priority="940" operator="equal">
      <formula>$U$1</formula>
    </cfRule>
    <cfRule type="cellIs" dxfId="47" priority="941" operator="equal">
      <formula>$S$1</formula>
    </cfRule>
  </conditionalFormatting>
  <conditionalFormatting sqref="D106">
    <cfRule type="cellIs" dxfId="46" priority="938" operator="equal">
      <formula>$S$1</formula>
    </cfRule>
    <cfRule type="cellIs" dxfId="45" priority="939" operator="equal">
      <formula>$U$1</formula>
    </cfRule>
  </conditionalFormatting>
  <conditionalFormatting sqref="C81">
    <cfRule type="cellIs" dxfId="44" priority="936" operator="equal">
      <formula>$U$1</formula>
    </cfRule>
    <cfRule type="cellIs" dxfId="43" priority="937" operator="equal">
      <formula>$S$1</formula>
    </cfRule>
  </conditionalFormatting>
  <conditionalFormatting sqref="D81">
    <cfRule type="cellIs" dxfId="42" priority="934" operator="equal">
      <formula>$S$1</formula>
    </cfRule>
    <cfRule type="cellIs" dxfId="41" priority="935" operator="equal">
      <formula>$U$1</formula>
    </cfRule>
  </conditionalFormatting>
  <conditionalFormatting sqref="C56">
    <cfRule type="cellIs" dxfId="40" priority="932" operator="equal">
      <formula>$U$1</formula>
    </cfRule>
    <cfRule type="cellIs" dxfId="39" priority="933" operator="equal">
      <formula>$S$1</formula>
    </cfRule>
  </conditionalFormatting>
  <conditionalFormatting sqref="D56">
    <cfRule type="cellIs" dxfId="38" priority="930" operator="equal">
      <formula>$S$1</formula>
    </cfRule>
    <cfRule type="cellIs" dxfId="37" priority="931" operator="equal">
      <formula>$U$1</formula>
    </cfRule>
  </conditionalFormatting>
  <conditionalFormatting sqref="C31">
    <cfRule type="cellIs" dxfId="36" priority="928" operator="equal">
      <formula>$U$1</formula>
    </cfRule>
    <cfRule type="cellIs" dxfId="35" priority="929" operator="equal">
      <formula>$S$1</formula>
    </cfRule>
  </conditionalFormatting>
  <conditionalFormatting sqref="D31">
    <cfRule type="cellIs" dxfId="34" priority="926" operator="equal">
      <formula>$S$1</formula>
    </cfRule>
    <cfRule type="cellIs" dxfId="33" priority="92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0" zoomScale="90" zoomScaleNormal="90" workbookViewId="0">
      <pane xSplit="4" topLeftCell="G1" activePane="topRight" state="frozen"/>
      <selection activeCell="A109" sqref="A109"/>
      <selection pane="topRight" activeCell="AY112" sqref="AY11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1" x14ac:dyDescent="0.25">
      <c r="A97" s="30">
        <v>9.849732675807628</v>
      </c>
      <c r="E97"/>
    </row>
    <row r="98" spans="1:51" x14ac:dyDescent="0.25">
      <c r="A98" s="30">
        <v>8.9543024325523888</v>
      </c>
      <c r="C98" s="1" t="s">
        <v>13</v>
      </c>
      <c r="E98"/>
    </row>
    <row r="99" spans="1:51" x14ac:dyDescent="0.25">
      <c r="A99" s="30">
        <v>8.140274938683989</v>
      </c>
      <c r="C99" s="1">
        <f>C88</f>
        <v>0</v>
      </c>
      <c r="E99"/>
    </row>
    <row r="100" spans="1:51" x14ac:dyDescent="0.25">
      <c r="A100" s="30">
        <v>7.4002499442581717</v>
      </c>
      <c r="C100"/>
      <c r="D100"/>
      <c r="E100"/>
    </row>
    <row r="101" spans="1:51" x14ac:dyDescent="0.25">
      <c r="A101" s="30">
        <v>6.72749994932561</v>
      </c>
      <c r="C101" s="1" t="s">
        <v>14</v>
      </c>
      <c r="E101"/>
    </row>
    <row r="102" spans="1:5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1" x14ac:dyDescent="0.25">
      <c r="A103" s="30">
        <v>5.5599173134922388</v>
      </c>
      <c r="E103"/>
      <c r="AU103" s="27" t="s">
        <v>8</v>
      </c>
    </row>
    <row r="104" spans="1:51" x14ac:dyDescent="0.25">
      <c r="A104" s="30">
        <v>5.0544702849929442</v>
      </c>
      <c r="E104"/>
      <c r="AU104" s="27" t="s">
        <v>8</v>
      </c>
      <c r="AV104" s="27" t="s">
        <v>7</v>
      </c>
    </row>
    <row r="105" spans="1:51" x14ac:dyDescent="0.25">
      <c r="A105" s="30">
        <v>4.594972986357222</v>
      </c>
      <c r="E105"/>
      <c r="AO105" s="27" t="s">
        <v>8</v>
      </c>
      <c r="AU105" s="27" t="s">
        <v>8</v>
      </c>
      <c r="AV105" s="27" t="s">
        <v>7</v>
      </c>
    </row>
    <row r="106" spans="1:51" x14ac:dyDescent="0.25">
      <c r="A106" s="30">
        <v>4.1772481694156562</v>
      </c>
      <c r="E106"/>
      <c r="AO106" s="27" t="s">
        <v>8</v>
      </c>
      <c r="AP106" s="27" t="s">
        <v>7</v>
      </c>
      <c r="AU106" s="27" t="s">
        <v>8</v>
      </c>
      <c r="AV106" s="27" t="s">
        <v>7</v>
      </c>
    </row>
    <row r="107" spans="1:51" x14ac:dyDescent="0.25">
      <c r="A107" s="30">
        <v>3.7974983358324148</v>
      </c>
      <c r="E107"/>
      <c r="AO107" s="27" t="s">
        <v>8</v>
      </c>
      <c r="AP107" s="27" t="s">
        <v>7</v>
      </c>
      <c r="AS107" s="27" t="s">
        <v>8</v>
      </c>
      <c r="AU107" s="27" t="s">
        <v>8</v>
      </c>
      <c r="AV107" s="27" t="s">
        <v>7</v>
      </c>
      <c r="AW107" s="27" t="s">
        <v>8</v>
      </c>
    </row>
    <row r="108" spans="1:51" x14ac:dyDescent="0.25">
      <c r="A108" s="30">
        <v>3.4522712143931042</v>
      </c>
      <c r="E108"/>
      <c r="AO108" s="27" t="s">
        <v>8</v>
      </c>
      <c r="AP108" s="27" t="s">
        <v>7</v>
      </c>
      <c r="AQ108" s="27" t="s">
        <v>8</v>
      </c>
      <c r="AS108" s="27" t="s">
        <v>8</v>
      </c>
      <c r="AT108" s="27" t="s">
        <v>7</v>
      </c>
      <c r="AU108" s="27" t="s">
        <v>8</v>
      </c>
      <c r="AV108" s="27" t="s">
        <v>7</v>
      </c>
      <c r="AW108" s="27" t="s">
        <v>8</v>
      </c>
      <c r="AX108" s="27" t="s">
        <v>7</v>
      </c>
    </row>
    <row r="109" spans="1:51" x14ac:dyDescent="0.25">
      <c r="A109" s="30">
        <v>3.1384283767210035</v>
      </c>
      <c r="E109"/>
      <c r="AO109" s="27" t="s">
        <v>8</v>
      </c>
      <c r="AP109" s="27" t="s">
        <v>7</v>
      </c>
      <c r="AQ109" s="27" t="s">
        <v>8</v>
      </c>
      <c r="AR109" s="27" t="s">
        <v>7</v>
      </c>
      <c r="AS109" s="27" t="s">
        <v>8</v>
      </c>
      <c r="AT109" s="27" t="s">
        <v>7</v>
      </c>
      <c r="AU109" s="27" t="s">
        <v>8</v>
      </c>
      <c r="AV109" s="27" t="s">
        <v>7</v>
      </c>
      <c r="AW109" s="27" t="s">
        <v>8</v>
      </c>
      <c r="AX109" s="27" t="s">
        <v>7</v>
      </c>
    </row>
    <row r="110" spans="1:51" x14ac:dyDescent="0.25">
      <c r="A110" s="30">
        <v>2.8531167061100029</v>
      </c>
      <c r="E110"/>
      <c r="AO110" s="27" t="s">
        <v>8</v>
      </c>
      <c r="AP110" s="27" t="s">
        <v>7</v>
      </c>
      <c r="AQ110" s="27" t="s">
        <v>8</v>
      </c>
      <c r="AR110" s="27" t="s">
        <v>7</v>
      </c>
      <c r="AS110" s="27" t="s">
        <v>8</v>
      </c>
      <c r="AT110" s="27" t="s">
        <v>7</v>
      </c>
      <c r="AV110" s="27" t="s">
        <v>7</v>
      </c>
      <c r="AW110" s="27" t="s">
        <v>8</v>
      </c>
      <c r="AX110" s="27" t="s">
        <v>7</v>
      </c>
    </row>
    <row r="111" spans="1:51" x14ac:dyDescent="0.25">
      <c r="A111" s="30">
        <v>2.5937424601000023</v>
      </c>
      <c r="C111" s="1" t="str">
        <f>ADDRESS(C121-1,1,1,1)</f>
        <v>$A$111</v>
      </c>
      <c r="D111" s="1" t="str">
        <f>ADDRESS(C121-1,D121,1,1)</f>
        <v>$AY$111</v>
      </c>
      <c r="E111"/>
      <c r="AO111" s="27" t="s">
        <v>8</v>
      </c>
      <c r="AP111" s="27" t="s">
        <v>7</v>
      </c>
      <c r="AR111" s="27" t="s">
        <v>7</v>
      </c>
      <c r="AS111" s="27" t="s">
        <v>8</v>
      </c>
      <c r="AV111" s="27" t="s">
        <v>7</v>
      </c>
      <c r="AX111" s="27" t="s">
        <v>7</v>
      </c>
    </row>
    <row r="112" spans="1:51" x14ac:dyDescent="0.25">
      <c r="A112" s="30">
        <v>2.3579476910000019</v>
      </c>
      <c r="C112" s="1" t="str">
        <f>ADDRESS(C121,1,1,1)</f>
        <v>$A$112</v>
      </c>
      <c r="D112" s="1" t="str">
        <f>ADDRESS(C121,D121-1,1,1)</f>
        <v>$AX$112</v>
      </c>
      <c r="E112"/>
      <c r="AO112" s="27" t="s">
        <v>8</v>
      </c>
      <c r="AR112" s="27" t="s">
        <v>7</v>
      </c>
      <c r="AX112" s="27" t="s">
        <v>7</v>
      </c>
      <c r="AY112" s="27" t="s">
        <v>8</v>
      </c>
    </row>
    <row r="113" spans="1:51" x14ac:dyDescent="0.25">
      <c r="A113" s="30">
        <v>2.1435888100000016</v>
      </c>
      <c r="C113" s="1" t="str">
        <f>ADDRESS(C121+1,1,1,1)</f>
        <v>$A$113</v>
      </c>
      <c r="D113" s="1" t="str">
        <f>ADDRESS(C121-1,D121+1,1,1)</f>
        <v>$AZ$111</v>
      </c>
      <c r="AO113" s="27" t="s">
        <v>8</v>
      </c>
      <c r="AX113" s="27" t="s">
        <v>7</v>
      </c>
      <c r="AY113" s="27" t="s">
        <v>8</v>
      </c>
    </row>
    <row r="114" spans="1:51" x14ac:dyDescent="0.25">
      <c r="A114" s="30">
        <v>1.9487171000000014</v>
      </c>
      <c r="C114" s="1" t="str">
        <f>ADDRESS(C121,D121,1,1)</f>
        <v>$AY$112</v>
      </c>
      <c r="D114" s="1" t="str">
        <f>ADDRESS(C121+1,D121+1,1,1)</f>
        <v>$AZ$113</v>
      </c>
      <c r="AO114" s="27" t="s">
        <v>8</v>
      </c>
      <c r="AX114" s="27" t="s">
        <v>7</v>
      </c>
      <c r="AY114" s="27" t="s">
        <v>8</v>
      </c>
    </row>
    <row r="115" spans="1:51" x14ac:dyDescent="0.25">
      <c r="A115" s="30">
        <v>1.7715610000000011</v>
      </c>
      <c r="C115" s="1" t="str">
        <f>ADDRESS(C121+1,D121,1,1)</f>
        <v>$AY$113</v>
      </c>
      <c r="AO115" s="27" t="s">
        <v>8</v>
      </c>
      <c r="AX115" s="27" t="s">
        <v>7</v>
      </c>
    </row>
    <row r="116" spans="1:51" x14ac:dyDescent="0.25">
      <c r="A116" s="30">
        <v>1.6105100000000008</v>
      </c>
      <c r="C116" s="1">
        <f>C117-1</f>
        <v>111</v>
      </c>
      <c r="AA116" s="27" t="s">
        <v>8</v>
      </c>
      <c r="AO116" s="27" t="s">
        <v>8</v>
      </c>
    </row>
    <row r="117" spans="1:51" x14ac:dyDescent="0.25">
      <c r="A117" s="30">
        <v>1.4641000000000006</v>
      </c>
      <c r="C117" s="1">
        <f>C121</f>
        <v>112</v>
      </c>
      <c r="D117" s="1">
        <f>D121</f>
        <v>51</v>
      </c>
      <c r="AA117" s="27" t="s">
        <v>8</v>
      </c>
      <c r="AB117" s="27" t="s">
        <v>7</v>
      </c>
      <c r="AC117" s="27" t="s">
        <v>8</v>
      </c>
      <c r="AE117" s="31" t="s">
        <v>8</v>
      </c>
      <c r="AO117" s="27" t="s">
        <v>8</v>
      </c>
    </row>
    <row r="118" spans="1:51" x14ac:dyDescent="0.25">
      <c r="A118" s="30">
        <v>1.3310000000000004</v>
      </c>
      <c r="C118" s="1">
        <f>C117+1</f>
        <v>113</v>
      </c>
      <c r="D118" s="1">
        <f>D117+1</f>
        <v>52</v>
      </c>
      <c r="AA118" s="27" t="s">
        <v>8</v>
      </c>
      <c r="AB118" s="27" t="s">
        <v>7</v>
      </c>
      <c r="AC118" s="27" t="s">
        <v>8</v>
      </c>
      <c r="AD118" s="27" t="s">
        <v>7</v>
      </c>
      <c r="AE118" s="27" t="s">
        <v>8</v>
      </c>
      <c r="AF118" s="31" t="s">
        <v>7</v>
      </c>
      <c r="AO118" s="27" t="s">
        <v>8</v>
      </c>
    </row>
    <row r="119" spans="1:51" x14ac:dyDescent="0.25">
      <c r="A119" s="30">
        <v>1.2100000000000002</v>
      </c>
      <c r="Y119" s="27" t="s">
        <v>8</v>
      </c>
      <c r="AA119" s="27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G119" s="31"/>
      <c r="AO119" s="27" t="s">
        <v>8</v>
      </c>
    </row>
    <row r="120" spans="1:51" x14ac:dyDescent="0.25">
      <c r="A120" s="30">
        <v>1.1000000000000001</v>
      </c>
      <c r="C120" s="1" t="s">
        <v>9</v>
      </c>
      <c r="Y120" s="27" t="s">
        <v>8</v>
      </c>
      <c r="Z120" s="27" t="s">
        <v>7</v>
      </c>
      <c r="AA120" s="27" t="s">
        <v>8</v>
      </c>
      <c r="AB120" s="27" t="s">
        <v>7</v>
      </c>
      <c r="AD120" s="27" t="s">
        <v>7</v>
      </c>
      <c r="AE120" s="27" t="s">
        <v>8</v>
      </c>
      <c r="AF120" s="27" t="s">
        <v>7</v>
      </c>
      <c r="AH120" s="31"/>
      <c r="AM120" s="27" t="s">
        <v>8</v>
      </c>
      <c r="AO120" s="27" t="s">
        <v>8</v>
      </c>
    </row>
    <row r="121" spans="1:51" x14ac:dyDescent="0.25">
      <c r="A121" s="30">
        <v>1</v>
      </c>
      <c r="C121" s="18">
        <v>112</v>
      </c>
      <c r="D121" s="19">
        <v>51</v>
      </c>
      <c r="E121" s="18" t="s">
        <v>8</v>
      </c>
      <c r="Y121" s="27" t="s">
        <v>8</v>
      </c>
      <c r="Z121" s="27" t="s">
        <v>7</v>
      </c>
      <c r="AA121" s="27" t="s">
        <v>8</v>
      </c>
      <c r="AD121" s="32" t="s">
        <v>7</v>
      </c>
      <c r="AE121" s="27" t="s">
        <v>8</v>
      </c>
      <c r="AF121" s="27" t="s">
        <v>7</v>
      </c>
      <c r="AG121" s="27" t="s">
        <v>8</v>
      </c>
      <c r="AI121" s="31" t="s">
        <v>8</v>
      </c>
      <c r="AM121" s="27" t="s">
        <v>8</v>
      </c>
      <c r="AN121" s="27" t="s">
        <v>7</v>
      </c>
      <c r="AO121" s="27" t="s">
        <v>8</v>
      </c>
    </row>
    <row r="122" spans="1:51" x14ac:dyDescent="0.25">
      <c r="A122" s="30">
        <v>0.90909090909090895</v>
      </c>
      <c r="C122" s="1" t="str">
        <f>INDEX(1:1048576,C117,D117)</f>
        <v>X</v>
      </c>
      <c r="F122" s="27" t="s">
        <v>7</v>
      </c>
      <c r="Y122" s="27" t="s">
        <v>8</v>
      </c>
      <c r="Z122" s="27" t="s">
        <v>7</v>
      </c>
      <c r="AA122" s="27" t="s">
        <v>8</v>
      </c>
      <c r="AD122" s="27" t="s">
        <v>7</v>
      </c>
      <c r="AF122" s="27" t="s">
        <v>7</v>
      </c>
      <c r="AG122" s="27" t="s">
        <v>8</v>
      </c>
      <c r="AH122" s="27" t="s">
        <v>7</v>
      </c>
      <c r="AI122" s="27" t="s">
        <v>8</v>
      </c>
      <c r="AJ122" s="31" t="s">
        <v>7</v>
      </c>
      <c r="AM122" s="33" t="s">
        <v>8</v>
      </c>
      <c r="AN122" s="27" t="s">
        <v>7</v>
      </c>
      <c r="AO122" s="27" t="s">
        <v>8</v>
      </c>
    </row>
    <row r="123" spans="1:51" x14ac:dyDescent="0.25">
      <c r="A123" s="30">
        <v>0.82644628099173523</v>
      </c>
      <c r="C123" s="1" t="str">
        <f>"R"&amp;C121</f>
        <v>R112</v>
      </c>
      <c r="D123" s="1" t="str">
        <f>"C"&amp;D121</f>
        <v>C51</v>
      </c>
      <c r="F123" s="27" t="s">
        <v>7</v>
      </c>
      <c r="Y123" s="27" t="s">
        <v>8</v>
      </c>
      <c r="Z123" s="27" t="s">
        <v>7</v>
      </c>
      <c r="AF123" s="27" t="s">
        <v>7</v>
      </c>
      <c r="AG123" s="27" t="s">
        <v>8</v>
      </c>
      <c r="AH123" s="27" t="s">
        <v>7</v>
      </c>
      <c r="AI123" s="27" t="s">
        <v>8</v>
      </c>
      <c r="AJ123" s="27" t="s">
        <v>7</v>
      </c>
      <c r="AK123" s="31" t="s">
        <v>8</v>
      </c>
      <c r="AM123" s="27" t="s">
        <v>8</v>
      </c>
      <c r="AN123" s="27" t="s">
        <v>7</v>
      </c>
      <c r="AO123" s="27" t="s">
        <v>8</v>
      </c>
    </row>
    <row r="124" spans="1:51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Y124" s="27" t="s">
        <v>8</v>
      </c>
      <c r="AF124" s="27" t="s">
        <v>7</v>
      </c>
      <c r="AG124" s="27" t="s">
        <v>8</v>
      </c>
      <c r="AH124" s="27" t="s">
        <v>7</v>
      </c>
      <c r="AI124" s="27" t="s">
        <v>8</v>
      </c>
      <c r="AJ124" s="27" t="s">
        <v>7</v>
      </c>
      <c r="AK124" s="27" t="s">
        <v>8</v>
      </c>
      <c r="AL124" s="31" t="s">
        <v>7</v>
      </c>
      <c r="AM124" s="27" t="s">
        <v>8</v>
      </c>
      <c r="AN124" s="27" t="s">
        <v>7</v>
      </c>
      <c r="AO124" s="27" t="s">
        <v>8</v>
      </c>
    </row>
    <row r="125" spans="1:51" x14ac:dyDescent="0.25">
      <c r="A125" s="30">
        <v>0.68301345536507019</v>
      </c>
      <c r="F125" s="27" t="s">
        <v>7</v>
      </c>
      <c r="Y125" s="27" t="s">
        <v>8</v>
      </c>
      <c r="AF125" s="27" t="s">
        <v>7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27" t="s">
        <v>8</v>
      </c>
      <c r="AL125" s="27" t="s">
        <v>7</v>
      </c>
      <c r="AM125" s="31" t="s">
        <v>8</v>
      </c>
      <c r="AN125" s="27" t="s">
        <v>7</v>
      </c>
      <c r="AO125" s="27" t="s">
        <v>8</v>
      </c>
    </row>
    <row r="126" spans="1:51" x14ac:dyDescent="0.25">
      <c r="A126" s="30">
        <v>0.6209213230591546</v>
      </c>
      <c r="C126" s="1" t="s">
        <v>10</v>
      </c>
      <c r="F126" s="27" t="s">
        <v>7</v>
      </c>
      <c r="Y126" s="27" t="s">
        <v>8</v>
      </c>
      <c r="AF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K126" s="27" t="s">
        <v>8</v>
      </c>
      <c r="AL126" s="27" t="s">
        <v>7</v>
      </c>
      <c r="AM126" s="27" t="s">
        <v>8</v>
      </c>
      <c r="AN126" s="27" t="s">
        <v>7</v>
      </c>
      <c r="AO126" s="31"/>
    </row>
    <row r="127" spans="1:51" x14ac:dyDescent="0.25">
      <c r="A127" s="30">
        <v>0.56447393005377677</v>
      </c>
      <c r="C127" s="30">
        <v>2.3579476910000019</v>
      </c>
      <c r="D127"/>
      <c r="F127" s="27" t="s">
        <v>7</v>
      </c>
      <c r="Y127" s="27" t="s">
        <v>8</v>
      </c>
      <c r="AF127" s="27" t="s">
        <v>7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  <c r="AL127" s="18" t="s">
        <v>7</v>
      </c>
      <c r="AM127" s="27" t="s">
        <v>8</v>
      </c>
      <c r="AN127" s="31"/>
    </row>
    <row r="128" spans="1:51" x14ac:dyDescent="0.25">
      <c r="A128" s="30">
        <v>0.51315811823070612</v>
      </c>
      <c r="F128" s="27" t="s">
        <v>7</v>
      </c>
      <c r="Y128" s="27" t="s">
        <v>8</v>
      </c>
      <c r="AF128" s="27" t="s">
        <v>7</v>
      </c>
      <c r="AH128" s="27" t="s">
        <v>7</v>
      </c>
      <c r="AJ128" s="27" t="s">
        <v>7</v>
      </c>
      <c r="AK128" s="27" t="s">
        <v>8</v>
      </c>
      <c r="AL128" s="27" t="s">
        <v>7</v>
      </c>
      <c r="AM128" s="31"/>
    </row>
    <row r="129" spans="1:3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Y129" s="27" t="s">
        <v>8</v>
      </c>
      <c r="AJ129" s="27" t="s">
        <v>7</v>
      </c>
      <c r="AK129" s="27" t="s">
        <v>8</v>
      </c>
      <c r="AL129" s="31"/>
    </row>
    <row r="130" spans="1:38" x14ac:dyDescent="0.25">
      <c r="A130" s="30">
        <v>0.42409761837248428</v>
      </c>
      <c r="C130" s="6"/>
      <c r="D130" s="6"/>
      <c r="E130"/>
      <c r="F130" s="27" t="s">
        <v>7</v>
      </c>
      <c r="Y130" s="27" t="s">
        <v>8</v>
      </c>
      <c r="AJ130" s="27" t="s">
        <v>7</v>
      </c>
      <c r="AK130" s="31" t="s">
        <v>8</v>
      </c>
    </row>
    <row r="131" spans="1:38" x14ac:dyDescent="0.25">
      <c r="A131" s="30">
        <v>0.38554328942953109</v>
      </c>
      <c r="E131"/>
      <c r="F131" s="27" t="s">
        <v>7</v>
      </c>
      <c r="Y131" s="27" t="s">
        <v>8</v>
      </c>
      <c r="AJ131" s="31" t="s">
        <v>7</v>
      </c>
    </row>
    <row r="132" spans="1:38" x14ac:dyDescent="0.25">
      <c r="A132" s="30">
        <v>0.35049389948139187</v>
      </c>
      <c r="C132" s="1" t="s">
        <v>13</v>
      </c>
      <c r="E132"/>
      <c r="F132" s="27" t="s">
        <v>7</v>
      </c>
      <c r="U132" s="27" t="s">
        <v>8</v>
      </c>
      <c r="W132" s="27" t="s">
        <v>8</v>
      </c>
      <c r="Y132" s="27" t="s">
        <v>8</v>
      </c>
    </row>
    <row r="133" spans="1:38" x14ac:dyDescent="0.25">
      <c r="A133" s="30">
        <v>0.31863081771035617</v>
      </c>
      <c r="C133" s="1" t="str">
        <f>C122</f>
        <v>X</v>
      </c>
      <c r="E133"/>
      <c r="F133" s="27" t="s">
        <v>7</v>
      </c>
      <c r="U133" s="27" t="s">
        <v>8</v>
      </c>
      <c r="V133" s="27" t="s">
        <v>7</v>
      </c>
      <c r="W133" s="27" t="s">
        <v>8</v>
      </c>
      <c r="X133" s="27" t="s">
        <v>7</v>
      </c>
      <c r="Y133" s="27" t="s">
        <v>8</v>
      </c>
    </row>
    <row r="134" spans="1:38" x14ac:dyDescent="0.25">
      <c r="A134" s="30">
        <v>0.28966437973668741</v>
      </c>
      <c r="C134"/>
      <c r="D134"/>
      <c r="E134"/>
      <c r="F134" s="27" t="s">
        <v>7</v>
      </c>
      <c r="U134" s="27" t="s">
        <v>8</v>
      </c>
      <c r="V134" s="27" t="s">
        <v>7</v>
      </c>
      <c r="W134" s="27" t="s">
        <v>8</v>
      </c>
      <c r="X134" s="27" t="s">
        <v>7</v>
      </c>
      <c r="Y134" s="27" t="s">
        <v>8</v>
      </c>
    </row>
    <row r="135" spans="1:38" x14ac:dyDescent="0.25">
      <c r="A135" s="30">
        <v>0.2633312543060794</v>
      </c>
      <c r="C135" s="1" t="s">
        <v>14</v>
      </c>
      <c r="E135"/>
      <c r="F135" s="27" t="s">
        <v>7</v>
      </c>
      <c r="U135" s="27" t="s">
        <v>8</v>
      </c>
      <c r="V135" s="27" t="s">
        <v>7</v>
      </c>
      <c r="X135" s="27" t="s">
        <v>7</v>
      </c>
      <c r="Y135" s="27" t="s">
        <v>8</v>
      </c>
    </row>
    <row r="136" spans="1:38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U136" s="27" t="s">
        <v>8</v>
      </c>
      <c r="X136" s="27" t="s">
        <v>7</v>
      </c>
      <c r="Y136" s="27" t="s">
        <v>8</v>
      </c>
    </row>
    <row r="137" spans="1:38" x14ac:dyDescent="0.25">
      <c r="A137" s="30">
        <v>0.2176291357901482</v>
      </c>
      <c r="E137"/>
      <c r="F137" s="27" t="s">
        <v>7</v>
      </c>
      <c r="U137" s="27" t="s">
        <v>8</v>
      </c>
      <c r="X137" s="27" t="s">
        <v>7</v>
      </c>
      <c r="Y137" s="27" t="s">
        <v>8</v>
      </c>
    </row>
    <row r="138" spans="1:38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S138" s="27" t="s">
        <v>8</v>
      </c>
      <c r="U138" s="27" t="s">
        <v>8</v>
      </c>
      <c r="X138" s="27" t="s">
        <v>7</v>
      </c>
    </row>
    <row r="139" spans="1:38" x14ac:dyDescent="0.25">
      <c r="A139" s="30">
        <v>0.17985878990921333</v>
      </c>
      <c r="E139"/>
      <c r="F139" s="27" t="s">
        <v>7</v>
      </c>
      <c r="S139" s="27" t="s">
        <v>8</v>
      </c>
      <c r="T139" s="27" t="s">
        <v>7</v>
      </c>
      <c r="U139" s="27" t="s">
        <v>8</v>
      </c>
    </row>
    <row r="140" spans="1:38" x14ac:dyDescent="0.25">
      <c r="A140" s="30">
        <v>0.16350799082655756</v>
      </c>
      <c r="C140" s="1">
        <v>0</v>
      </c>
      <c r="E140"/>
      <c r="F140" s="27" t="s">
        <v>7</v>
      </c>
      <c r="S140" s="27" t="s">
        <v>8</v>
      </c>
      <c r="T140" s="27" t="s">
        <v>7</v>
      </c>
      <c r="U140" s="27" t="s">
        <v>8</v>
      </c>
    </row>
    <row r="141" spans="1:38" x14ac:dyDescent="0.25">
      <c r="A141" s="30">
        <v>0.14864362802414322</v>
      </c>
      <c r="C141" s="1">
        <v>1</v>
      </c>
      <c r="E141"/>
      <c r="F141" s="27" t="s">
        <v>7</v>
      </c>
      <c r="Q141" s="27" t="s">
        <v>8</v>
      </c>
      <c r="S141" s="27" t="s">
        <v>8</v>
      </c>
      <c r="T141" s="27" t="s">
        <v>7</v>
      </c>
    </row>
    <row r="142" spans="1:38" x14ac:dyDescent="0.25">
      <c r="A142" s="30">
        <v>0.13513057093103928</v>
      </c>
      <c r="C142" s="1">
        <v>2</v>
      </c>
      <c r="E142"/>
      <c r="F142" s="27" t="s">
        <v>7</v>
      </c>
      <c r="Q142" s="27" t="s">
        <v>8</v>
      </c>
      <c r="R142" s="27" t="s">
        <v>7</v>
      </c>
      <c r="S142" s="27" t="s">
        <v>8</v>
      </c>
    </row>
    <row r="143" spans="1:38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Q143" s="27" t="s">
        <v>8</v>
      </c>
      <c r="R143" s="27" t="s">
        <v>7</v>
      </c>
      <c r="S143" s="27" t="s">
        <v>8</v>
      </c>
    </row>
    <row r="144" spans="1:38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  <c r="K144" s="27" t="s">
        <v>8</v>
      </c>
      <c r="O144" s="27" t="s">
        <v>8</v>
      </c>
      <c r="Q144" s="27" t="s">
        <v>8</v>
      </c>
      <c r="R144" s="27" t="s">
        <v>7</v>
      </c>
      <c r="S144" s="27" t="s">
        <v>8</v>
      </c>
    </row>
    <row r="145" spans="1:19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I145" s="27" t="s">
        <v>8</v>
      </c>
      <c r="J145" s="27" t="s">
        <v>7</v>
      </c>
      <c r="K145" s="27" t="s">
        <v>8</v>
      </c>
      <c r="L145" s="27" t="s">
        <v>7</v>
      </c>
      <c r="O145" s="27" t="s">
        <v>8</v>
      </c>
      <c r="P145" s="27" t="s">
        <v>7</v>
      </c>
      <c r="Q145" s="27" t="s">
        <v>8</v>
      </c>
      <c r="R145" s="27" t="s">
        <v>7</v>
      </c>
      <c r="S145" s="27" t="s">
        <v>8</v>
      </c>
    </row>
    <row r="146" spans="1:19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H146" s="27" t="s">
        <v>7</v>
      </c>
      <c r="I146" s="27" t="s">
        <v>8</v>
      </c>
      <c r="J146" s="27" t="s">
        <v>7</v>
      </c>
      <c r="K146" s="27" t="s">
        <v>8</v>
      </c>
      <c r="L146" s="27" t="s">
        <v>7</v>
      </c>
      <c r="O146" s="27" t="s">
        <v>8</v>
      </c>
      <c r="P146" s="27" t="s">
        <v>7</v>
      </c>
      <c r="Q146" s="27" t="s">
        <v>8</v>
      </c>
      <c r="R146" s="27" t="s">
        <v>7</v>
      </c>
      <c r="S146" s="27" t="s">
        <v>8</v>
      </c>
    </row>
    <row r="147" spans="1:19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H147" s="27" t="s">
        <v>7</v>
      </c>
      <c r="J147" s="27" t="s">
        <v>7</v>
      </c>
      <c r="L147" s="27" t="s">
        <v>7</v>
      </c>
      <c r="M147" s="27" t="s">
        <v>8</v>
      </c>
      <c r="O147" s="27" t="s">
        <v>8</v>
      </c>
      <c r="P147" s="27" t="s">
        <v>7</v>
      </c>
      <c r="Q147" s="27" t="s">
        <v>8</v>
      </c>
      <c r="R147" s="27" t="s">
        <v>7</v>
      </c>
    </row>
    <row r="148" spans="1:19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L148" s="27" t="s">
        <v>7</v>
      </c>
      <c r="M148" s="27" t="s">
        <v>8</v>
      </c>
      <c r="N148" s="27" t="s">
        <v>7</v>
      </c>
      <c r="O148" s="27" t="s">
        <v>8</v>
      </c>
      <c r="P148" s="27" t="s">
        <v>7</v>
      </c>
    </row>
    <row r="149" spans="1:19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L149" s="27" t="s">
        <v>7</v>
      </c>
      <c r="M149" s="27" t="s">
        <v>8</v>
      </c>
      <c r="N149" s="27" t="s">
        <v>7</v>
      </c>
      <c r="O149" s="27" t="s">
        <v>8</v>
      </c>
    </row>
    <row r="150" spans="1:19" x14ac:dyDescent="0.25">
      <c r="A150" s="30">
        <v>6.3039408631284613E-2</v>
      </c>
      <c r="B150"/>
      <c r="C150"/>
      <c r="D150"/>
      <c r="E150"/>
      <c r="F150" s="27" t="s">
        <v>7</v>
      </c>
      <c r="L150" s="27" t="s">
        <v>7</v>
      </c>
      <c r="M150" s="27" t="s">
        <v>8</v>
      </c>
      <c r="N150" s="27" t="s">
        <v>7</v>
      </c>
    </row>
    <row r="151" spans="1:19" x14ac:dyDescent="0.25">
      <c r="A151" s="30">
        <v>5.7308553301167818E-2</v>
      </c>
      <c r="B151"/>
      <c r="C151"/>
      <c r="D151"/>
      <c r="E151"/>
      <c r="L151" s="27" t="s">
        <v>7</v>
      </c>
      <c r="M151" s="27" t="s">
        <v>8</v>
      </c>
    </row>
    <row r="152" spans="1:19" x14ac:dyDescent="0.25">
      <c r="A152" s="30">
        <v>5.2098684819243464E-2</v>
      </c>
      <c r="B152"/>
      <c r="C152"/>
      <c r="D152"/>
      <c r="E152"/>
      <c r="L152" s="27" t="s">
        <v>7</v>
      </c>
      <c r="M152" s="27" t="s">
        <v>8</v>
      </c>
    </row>
    <row r="153" spans="1:19" x14ac:dyDescent="0.25">
      <c r="A153" s="30">
        <v>4.7362440744766775E-2</v>
      </c>
      <c r="B153"/>
      <c r="C153"/>
      <c r="D153"/>
      <c r="E153"/>
      <c r="L153" s="27" t="s">
        <v>7</v>
      </c>
      <c r="M153" s="27" t="s">
        <v>8</v>
      </c>
    </row>
    <row r="154" spans="1:19" x14ac:dyDescent="0.25">
      <c r="A154" s="30">
        <v>4.3056764313424332E-2</v>
      </c>
      <c r="B154"/>
      <c r="C154"/>
      <c r="D154"/>
      <c r="E154"/>
      <c r="L154" s="27" t="s">
        <v>7</v>
      </c>
      <c r="M154" s="27" t="s">
        <v>8</v>
      </c>
    </row>
    <row r="155" spans="1:19" x14ac:dyDescent="0.25">
      <c r="A155" s="30">
        <v>3.9142513012203929E-2</v>
      </c>
      <c r="B155"/>
      <c r="C155"/>
      <c r="D155"/>
      <c r="E155"/>
      <c r="L155" s="27" t="s">
        <v>7</v>
      </c>
      <c r="M155" s="27" t="s">
        <v>8</v>
      </c>
    </row>
    <row r="156" spans="1:19" x14ac:dyDescent="0.25">
      <c r="A156" s="30">
        <v>3.55841027383672E-2</v>
      </c>
      <c r="B156"/>
      <c r="C156"/>
      <c r="D156"/>
      <c r="E156"/>
      <c r="L156" s="27" t="s">
        <v>7</v>
      </c>
      <c r="M156" s="27" t="s">
        <v>8</v>
      </c>
    </row>
    <row r="157" spans="1:19" x14ac:dyDescent="0.25">
      <c r="A157" s="30">
        <v>3.2349184307606541E-2</v>
      </c>
      <c r="B157"/>
      <c r="C157"/>
      <c r="D157"/>
      <c r="E157"/>
      <c r="L157" s="27" t="s">
        <v>7</v>
      </c>
    </row>
    <row r="158" spans="1:19" x14ac:dyDescent="0.25">
      <c r="A158" s="30">
        <v>2.9408349370551395E-2</v>
      </c>
      <c r="B158"/>
      <c r="C158"/>
      <c r="D158"/>
      <c r="E158"/>
    </row>
    <row r="159" spans="1:19" x14ac:dyDescent="0.25">
      <c r="A159" s="30">
        <v>2.6734863064137627E-2</v>
      </c>
      <c r="B159"/>
      <c r="C159"/>
      <c r="D159"/>
      <c r="E159"/>
    </row>
    <row r="160" spans="1:19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44" operator="equal">
      <formula>$U$1</formula>
    </cfRule>
    <cfRule type="cellIs" dxfId="30" priority="945" operator="equal">
      <formula>$S$1</formula>
    </cfRule>
  </conditionalFormatting>
  <conditionalFormatting sqref="D136">
    <cfRule type="cellIs" dxfId="29" priority="942" operator="equal">
      <formula>$S$1</formula>
    </cfRule>
    <cfRule type="cellIs" dxfId="28" priority="943" operator="equal">
      <formula>$U$1</formula>
    </cfRule>
  </conditionalFormatting>
  <conditionalFormatting sqref="C102">
    <cfRule type="cellIs" dxfId="27" priority="940" operator="equal">
      <formula>$U$1</formula>
    </cfRule>
    <cfRule type="cellIs" dxfId="26" priority="941" operator="equal">
      <formula>$S$1</formula>
    </cfRule>
  </conditionalFormatting>
  <conditionalFormatting sqref="D102">
    <cfRule type="cellIs" dxfId="25" priority="938" operator="equal">
      <formula>$S$1</formula>
    </cfRule>
    <cfRule type="cellIs" dxfId="24" priority="939" operator="equal">
      <formula>$U$1</formula>
    </cfRule>
  </conditionalFormatting>
  <conditionalFormatting sqref="C77">
    <cfRule type="cellIs" dxfId="23" priority="936" operator="equal">
      <formula>$U$1</formula>
    </cfRule>
    <cfRule type="cellIs" dxfId="22" priority="937" operator="equal">
      <formula>$S$1</formula>
    </cfRule>
  </conditionalFormatting>
  <conditionalFormatting sqref="D77">
    <cfRule type="cellIs" dxfId="21" priority="934" operator="equal">
      <formula>$S$1</formula>
    </cfRule>
    <cfRule type="cellIs" dxfId="20" priority="935" operator="equal">
      <formula>$U$1</formula>
    </cfRule>
  </conditionalFormatting>
  <conditionalFormatting sqref="C52">
    <cfRule type="cellIs" dxfId="19" priority="932" operator="equal">
      <formula>$U$1</formula>
    </cfRule>
    <cfRule type="cellIs" dxfId="18" priority="933" operator="equal">
      <formula>$S$1</formula>
    </cfRule>
  </conditionalFormatting>
  <conditionalFormatting sqref="D52">
    <cfRule type="cellIs" dxfId="17" priority="930" operator="equal">
      <formula>$S$1</formula>
    </cfRule>
    <cfRule type="cellIs" dxfId="16" priority="931" operator="equal">
      <formula>$U$1</formula>
    </cfRule>
  </conditionalFormatting>
  <conditionalFormatting sqref="C26">
    <cfRule type="cellIs" dxfId="15" priority="928" operator="equal">
      <formula>$U$1</formula>
    </cfRule>
    <cfRule type="cellIs" dxfId="14" priority="929" operator="equal">
      <formula>$S$1</formula>
    </cfRule>
  </conditionalFormatting>
  <conditionalFormatting sqref="D26">
    <cfRule type="cellIs" dxfId="13" priority="926" operator="equal">
      <formula>$S$1</formula>
    </cfRule>
    <cfRule type="cellIs" dxfId="12" priority="92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0.37688948287299762</v>
      </c>
      <c r="F3" s="30">
        <v>0.48101709809096732</v>
      </c>
      <c r="G3" s="30">
        <v>0.82270247479188063</v>
      </c>
      <c r="H3" s="25">
        <f>IF(G3="","",(3*(G3-F3))+E3)</f>
        <v>1.4019456129757375</v>
      </c>
      <c r="I3" s="7"/>
      <c r="J3" s="7">
        <f>(E3+G3)/2</f>
        <v>0.59979597883243918</v>
      </c>
      <c r="K3" s="7">
        <f>H3/2</f>
        <v>0.70097280648786875</v>
      </c>
      <c r="M3" s="26">
        <f>IF(OR(J3="",H3=""),"",H3/J3)</f>
        <v>2.3373708101624158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0.50506795299551588</v>
      </c>
      <c r="F4" s="30">
        <v>0.676839362028685</v>
      </c>
      <c r="G4" s="30">
        <v>0.90702947845804915</v>
      </c>
      <c r="H4" s="25">
        <f t="shared" ref="H4:H25" si="0">IF(G4="","",(3*(G4-F4))+E4)</f>
        <v>1.1956383022836083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2022-01-28T01:18:43Z</dcterms:modified>
</cp:coreProperties>
</file>