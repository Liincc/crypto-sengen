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7F399387-678F-4AC2-836F-23C89470686E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22" i="5" s="1"/>
  <c r="C133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C136" i="4" s="1"/>
  <c r="C116" i="5"/>
  <c r="C118" i="5"/>
  <c r="C116" i="4"/>
  <c r="C118" i="4"/>
  <c r="C116" i="3"/>
  <c r="R765" i="1"/>
  <c r="C136" i="5"/>
  <c r="D136" i="5"/>
  <c r="C122" i="3"/>
  <c r="C133" i="3" s="1"/>
  <c r="D136" i="3" s="1"/>
  <c r="D136" i="4" l="1"/>
  <c r="C138" i="4" s="1"/>
  <c r="C138" i="5"/>
  <c r="R764" i="1"/>
  <c r="S765" i="1"/>
  <c r="T765" i="1" s="1"/>
  <c r="C136" i="3"/>
  <c r="C138" i="3" s="1"/>
  <c r="R763" i="1" l="1"/>
  <c r="S764" i="1"/>
  <c r="T764" i="1" s="1"/>
  <c r="S763" i="1" l="1"/>
  <c r="T763" i="1" s="1"/>
  <c r="R762" i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S758" i="1" l="1"/>
  <c r="T758" i="1" s="1"/>
  <c r="R757" i="1"/>
  <c r="S757" i="1" l="1"/>
  <c r="T757" i="1" s="1"/>
  <c r="R756" i="1"/>
  <c r="S756" i="1" l="1"/>
  <c r="T756" i="1" s="1"/>
  <c r="R755" i="1"/>
  <c r="R754" i="1" l="1"/>
  <c r="S755" i="1"/>
  <c r="T755" i="1" s="1"/>
  <c r="S754" i="1" l="1"/>
  <c r="T754" i="1" s="1"/>
  <c r="R753" i="1"/>
  <c r="R752" i="1" l="1"/>
  <c r="S753" i="1"/>
  <c r="T753" i="1" s="1"/>
  <c r="R751" i="1" l="1"/>
  <c r="S752" i="1"/>
  <c r="T752" i="1" s="1"/>
  <c r="S751" i="1" l="1"/>
  <c r="T751" i="1" s="1"/>
  <c r="R750" i="1"/>
  <c r="S750" i="1" l="1"/>
  <c r="T750" i="1" s="1"/>
  <c r="R749" i="1"/>
  <c r="R748" i="1" l="1"/>
  <c r="S749" i="1"/>
  <c r="T749" i="1" s="1"/>
  <c r="R747" i="1" l="1"/>
  <c r="S748" i="1"/>
  <c r="T748" i="1" s="1"/>
  <c r="R746" i="1" l="1"/>
  <c r="S747" i="1"/>
  <c r="T747" i="1" s="1"/>
  <c r="S746" i="1" l="1"/>
  <c r="T746" i="1" s="1"/>
  <c r="R745" i="1"/>
  <c r="S745" i="1" l="1"/>
  <c r="T745" i="1" s="1"/>
  <c r="R744" i="1"/>
  <c r="S744" i="1" l="1"/>
  <c r="T744" i="1" s="1"/>
  <c r="R743" i="1"/>
  <c r="R742" i="1" l="1"/>
  <c r="S743" i="1"/>
  <c r="T743" i="1" s="1"/>
  <c r="R741" i="1" l="1"/>
  <c r="S742" i="1"/>
  <c r="T742" i="1" s="1"/>
  <c r="R740" i="1" l="1"/>
  <c r="S741" i="1"/>
  <c r="T741" i="1" s="1"/>
  <c r="S740" i="1" l="1"/>
  <c r="T740" i="1" s="1"/>
  <c r="R739" i="1"/>
  <c r="S739" i="1" l="1"/>
  <c r="T739" i="1" s="1"/>
  <c r="R738" i="1"/>
  <c r="S738" i="1" l="1"/>
  <c r="T738" i="1" s="1"/>
  <c r="R737" i="1"/>
  <c r="R736" i="1" l="1"/>
  <c r="S737" i="1"/>
  <c r="T737" i="1" s="1"/>
  <c r="R735" i="1" l="1"/>
  <c r="S736" i="1"/>
  <c r="T736" i="1" s="1"/>
  <c r="S735" i="1" l="1"/>
  <c r="T735" i="1" s="1"/>
  <c r="R734" i="1"/>
  <c r="S734" i="1" l="1"/>
  <c r="T734" i="1" s="1"/>
  <c r="R733" i="1"/>
  <c r="S733" i="1" l="1"/>
  <c r="T733" i="1" s="1"/>
  <c r="R732" i="1"/>
  <c r="R731" i="1" l="1"/>
  <c r="S732" i="1"/>
  <c r="T732" i="1" s="1"/>
  <c r="R730" i="1" l="1"/>
  <c r="S731" i="1"/>
  <c r="T731" i="1" s="1"/>
  <c r="R729" i="1" l="1"/>
  <c r="S730" i="1"/>
  <c r="T730" i="1" s="1"/>
  <c r="S729" i="1" l="1"/>
  <c r="T729" i="1" s="1"/>
  <c r="R728" i="1"/>
  <c r="S728" i="1" l="1"/>
  <c r="T728" i="1" s="1"/>
  <c r="R727" i="1"/>
  <c r="S727" i="1" l="1"/>
  <c r="T727" i="1" s="1"/>
  <c r="R726" i="1"/>
  <c r="R725" i="1" l="1"/>
  <c r="S726" i="1"/>
  <c r="T726" i="1" s="1"/>
  <c r="R724" i="1" l="1"/>
  <c r="S725" i="1"/>
  <c r="T725" i="1" s="1"/>
  <c r="R723" i="1" l="1"/>
  <c r="S724" i="1"/>
  <c r="T724" i="1" s="1"/>
  <c r="S723" i="1" l="1"/>
  <c r="T723" i="1" s="1"/>
  <c r="R722" i="1"/>
  <c r="S722" i="1" l="1"/>
  <c r="T722" i="1" s="1"/>
  <c r="R721" i="1"/>
  <c r="S721" i="1" l="1"/>
  <c r="T721" i="1" s="1"/>
  <c r="R720" i="1"/>
  <c r="R719" i="1" l="1"/>
  <c r="S720" i="1"/>
  <c r="T720" i="1" s="1"/>
  <c r="R718" i="1" l="1"/>
  <c r="S719" i="1"/>
  <c r="T719" i="1" s="1"/>
  <c r="S718" i="1" l="1"/>
  <c r="T718" i="1" s="1"/>
  <c r="R717" i="1"/>
  <c r="R716" i="1" l="1"/>
  <c r="S717" i="1"/>
  <c r="T717" i="1" s="1"/>
  <c r="S716" i="1" l="1"/>
  <c r="T716" i="1" s="1"/>
  <c r="R715" i="1"/>
  <c r="R714" i="1" l="1"/>
  <c r="S715" i="1"/>
  <c r="T715" i="1" s="1"/>
  <c r="S714" i="1" l="1"/>
  <c r="T714" i="1" s="1"/>
  <c r="R713" i="1"/>
  <c r="R712" i="1" l="1"/>
  <c r="S713" i="1"/>
  <c r="T713" i="1" s="1"/>
  <c r="R711" i="1" l="1"/>
  <c r="S712" i="1"/>
  <c r="T712" i="1" s="1"/>
  <c r="R710" i="1" l="1"/>
  <c r="S711" i="1"/>
  <c r="T711" i="1" s="1"/>
  <c r="S710" i="1" l="1"/>
  <c r="T710" i="1" s="1"/>
  <c r="R709" i="1"/>
  <c r="S709" i="1" l="1"/>
  <c r="T709" i="1" s="1"/>
  <c r="R708" i="1"/>
  <c r="S708" i="1" l="1"/>
  <c r="T708" i="1" s="1"/>
  <c r="R707" i="1"/>
  <c r="R706" i="1" l="1"/>
  <c r="S707" i="1"/>
  <c r="T707" i="1" s="1"/>
  <c r="R705" i="1" l="1"/>
  <c r="S706" i="1"/>
  <c r="T706" i="1" s="1"/>
  <c r="R704" i="1" l="1"/>
  <c r="S705" i="1"/>
  <c r="T705" i="1" s="1"/>
  <c r="S704" i="1" l="1"/>
  <c r="T704" i="1" s="1"/>
  <c r="R703" i="1"/>
  <c r="S703" i="1" l="1"/>
  <c r="T703" i="1" s="1"/>
  <c r="R702" i="1"/>
  <c r="S702" i="1" l="1"/>
  <c r="T702" i="1" s="1"/>
  <c r="R701" i="1"/>
  <c r="R700" i="1" l="1"/>
  <c r="S701" i="1"/>
  <c r="T701" i="1" s="1"/>
  <c r="R699" i="1" l="1"/>
  <c r="S700" i="1"/>
  <c r="T700" i="1" s="1"/>
  <c r="R698" i="1" l="1"/>
  <c r="S699" i="1"/>
  <c r="T699" i="1" s="1"/>
  <c r="S698" i="1" l="1"/>
  <c r="T698" i="1" s="1"/>
  <c r="R697" i="1"/>
  <c r="S697" i="1" l="1"/>
  <c r="T697" i="1" s="1"/>
  <c r="R696" i="1"/>
  <c r="S696" i="1" l="1"/>
  <c r="T696" i="1" s="1"/>
  <c r="R695" i="1"/>
  <c r="R694" i="1" l="1"/>
  <c r="S695" i="1"/>
  <c r="T695" i="1" s="1"/>
  <c r="R693" i="1" l="1"/>
  <c r="S694" i="1"/>
  <c r="T694" i="1" s="1"/>
  <c r="R692" i="1" l="1"/>
  <c r="S693" i="1"/>
  <c r="T693" i="1" s="1"/>
  <c r="S692" i="1" l="1"/>
  <c r="T692" i="1" s="1"/>
  <c r="R691" i="1"/>
  <c r="S691" i="1" l="1"/>
  <c r="T691" i="1" s="1"/>
  <c r="R690" i="1"/>
  <c r="S690" i="1" l="1"/>
  <c r="T690" i="1" s="1"/>
  <c r="R689" i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S685" i="1" l="1"/>
  <c r="T685" i="1" s="1"/>
  <c r="R684" i="1"/>
  <c r="S684" i="1" l="1"/>
  <c r="T684" i="1" s="1"/>
  <c r="R683" i="1"/>
  <c r="S683" i="1" l="1"/>
  <c r="T683" i="1" s="1"/>
  <c r="R682" i="1"/>
  <c r="R681" i="1" l="1"/>
  <c r="S682" i="1"/>
  <c r="T682" i="1" s="1"/>
  <c r="R680" i="1" l="1"/>
  <c r="S681" i="1"/>
  <c r="T681" i="1" s="1"/>
  <c r="R679" i="1" l="1"/>
  <c r="S680" i="1"/>
  <c r="T680" i="1" s="1"/>
  <c r="S679" i="1" l="1"/>
  <c r="T679" i="1" s="1"/>
  <c r="R678" i="1"/>
  <c r="S678" i="1" l="1"/>
  <c r="T678" i="1" s="1"/>
  <c r="R677" i="1"/>
  <c r="S677" i="1" l="1"/>
  <c r="T677" i="1" s="1"/>
  <c r="R676" i="1"/>
  <c r="R675" i="1" l="1"/>
  <c r="S676" i="1"/>
  <c r="T676" i="1" s="1"/>
  <c r="S675" i="1" l="1"/>
  <c r="T675" i="1" s="1"/>
  <c r="R674" i="1"/>
  <c r="R673" i="1" l="1"/>
  <c r="S674" i="1"/>
  <c r="T674" i="1" s="1"/>
  <c r="S673" i="1" l="1"/>
  <c r="T673" i="1" s="1"/>
  <c r="R672" i="1"/>
  <c r="R671" i="1" l="1"/>
  <c r="S672" i="1"/>
  <c r="T672" i="1" s="1"/>
  <c r="S671" i="1" l="1"/>
  <c r="T671" i="1" s="1"/>
  <c r="R670" i="1"/>
  <c r="R669" i="1" l="1"/>
  <c r="S670" i="1"/>
  <c r="T670" i="1" s="1"/>
  <c r="S669" i="1" l="1"/>
  <c r="T669" i="1" s="1"/>
  <c r="R668" i="1"/>
  <c r="R667" i="1" l="1"/>
  <c r="S668" i="1"/>
  <c r="T668" i="1" s="1"/>
  <c r="S667" i="1" l="1"/>
  <c r="T667" i="1" s="1"/>
  <c r="R666" i="1"/>
  <c r="R665" i="1" l="1"/>
  <c r="S666" i="1"/>
  <c r="T666" i="1" s="1"/>
  <c r="S665" i="1" l="1"/>
  <c r="T665" i="1" s="1"/>
  <c r="R664" i="1"/>
  <c r="R663" i="1" l="1"/>
  <c r="S664" i="1"/>
  <c r="T664" i="1" s="1"/>
  <c r="S663" i="1" l="1"/>
  <c r="T663" i="1" s="1"/>
  <c r="R662" i="1"/>
  <c r="R661" i="1" l="1"/>
  <c r="S662" i="1"/>
  <c r="T662" i="1" s="1"/>
  <c r="S661" i="1" l="1"/>
  <c r="T661" i="1" s="1"/>
  <c r="R660" i="1"/>
  <c r="S660" i="1" l="1"/>
  <c r="T660" i="1" s="1"/>
  <c r="R659" i="1"/>
  <c r="S659" i="1" l="1"/>
  <c r="T659" i="1" s="1"/>
  <c r="R658" i="1"/>
  <c r="R657" i="1" l="1"/>
  <c r="S658" i="1"/>
  <c r="T658" i="1" s="1"/>
  <c r="R656" i="1" l="1"/>
  <c r="S657" i="1"/>
  <c r="T657" i="1" s="1"/>
  <c r="R655" i="1" l="1"/>
  <c r="S656" i="1"/>
  <c r="T656" i="1" s="1"/>
  <c r="S655" i="1" l="1"/>
  <c r="T655" i="1" s="1"/>
  <c r="R654" i="1"/>
  <c r="S654" i="1" l="1"/>
  <c r="T654" i="1" s="1"/>
  <c r="R653" i="1"/>
  <c r="R652" i="1" l="1"/>
  <c r="S653" i="1"/>
  <c r="T653" i="1" s="1"/>
  <c r="S652" i="1" l="1"/>
  <c r="T652" i="1" s="1"/>
  <c r="R651" i="1"/>
  <c r="R650" i="1" l="1"/>
  <c r="S651" i="1"/>
  <c r="T651" i="1" s="1"/>
  <c r="S650" i="1" l="1"/>
  <c r="T650" i="1" s="1"/>
  <c r="R649" i="1"/>
  <c r="R648" i="1" l="1"/>
  <c r="S649" i="1"/>
  <c r="T649" i="1" s="1"/>
  <c r="S648" i="1" l="1"/>
  <c r="T648" i="1" s="1"/>
  <c r="R647" i="1"/>
  <c r="S647" i="1" l="1"/>
  <c r="T647" i="1" s="1"/>
  <c r="R646" i="1"/>
  <c r="S646" i="1" l="1"/>
  <c r="T646" i="1" s="1"/>
  <c r="R645" i="1"/>
  <c r="S645" i="1" l="1"/>
  <c r="T645" i="1" s="1"/>
  <c r="R644" i="1"/>
  <c r="S644" i="1" l="1"/>
  <c r="T644" i="1" s="1"/>
  <c r="R643" i="1"/>
  <c r="S643" i="1" l="1"/>
  <c r="T643" i="1" s="1"/>
  <c r="R642" i="1"/>
  <c r="R641" i="1" l="1"/>
  <c r="S642" i="1"/>
  <c r="T642" i="1" s="1"/>
  <c r="R640" i="1" l="1"/>
  <c r="S641" i="1"/>
  <c r="T641" i="1" s="1"/>
  <c r="R639" i="1" l="1"/>
  <c r="S640" i="1"/>
  <c r="T640" i="1" s="1"/>
  <c r="S639" i="1" l="1"/>
  <c r="T639" i="1" s="1"/>
  <c r="R638" i="1"/>
  <c r="S638" i="1" l="1"/>
  <c r="T638" i="1" s="1"/>
  <c r="R637" i="1"/>
  <c r="S637" i="1" l="1"/>
  <c r="T637" i="1" s="1"/>
  <c r="R636" i="1"/>
  <c r="R635" i="1" l="1"/>
  <c r="S636" i="1"/>
  <c r="T636" i="1" s="1"/>
  <c r="R634" i="1" l="1"/>
  <c r="S635" i="1"/>
  <c r="T635" i="1" s="1"/>
  <c r="R633" i="1" l="1"/>
  <c r="S634" i="1"/>
  <c r="T634" i="1" s="1"/>
  <c r="S633" i="1" l="1"/>
  <c r="T633" i="1" s="1"/>
  <c r="R632" i="1"/>
  <c r="S632" i="1" l="1"/>
  <c r="T632" i="1" s="1"/>
  <c r="R631" i="1"/>
  <c r="S631" i="1" l="1"/>
  <c r="T631" i="1" s="1"/>
  <c r="R630" i="1"/>
  <c r="S630" i="1" l="1"/>
  <c r="T630" i="1" s="1"/>
  <c r="R629" i="1"/>
  <c r="R628" i="1" l="1"/>
  <c r="S629" i="1"/>
  <c r="T629" i="1" s="1"/>
  <c r="R627" i="1" l="1"/>
  <c r="S628" i="1"/>
  <c r="T628" i="1" s="1"/>
  <c r="R626" i="1" l="1"/>
  <c r="S627" i="1"/>
  <c r="T627" i="1" s="1"/>
  <c r="S626" i="1" l="1"/>
  <c r="T626" i="1" s="1"/>
  <c r="R625" i="1"/>
  <c r="S625" i="1" l="1"/>
  <c r="T625" i="1" s="1"/>
  <c r="R624" i="1"/>
  <c r="S624" i="1" l="1"/>
  <c r="T624" i="1" s="1"/>
  <c r="R623" i="1"/>
  <c r="R622" i="1" l="1"/>
  <c r="S623" i="1"/>
  <c r="T623" i="1" s="1"/>
  <c r="R621" i="1" l="1"/>
  <c r="S622" i="1"/>
  <c r="T622" i="1" s="1"/>
  <c r="S621" i="1" l="1"/>
  <c r="T621" i="1" s="1"/>
  <c r="R620" i="1"/>
  <c r="S620" i="1" l="1"/>
  <c r="T620" i="1" s="1"/>
  <c r="R619" i="1"/>
  <c r="S619" i="1" l="1"/>
  <c r="T619" i="1" s="1"/>
  <c r="R618" i="1"/>
  <c r="S618" i="1" l="1"/>
  <c r="T618" i="1" s="1"/>
  <c r="R617" i="1"/>
  <c r="R616" i="1" l="1"/>
  <c r="S617" i="1"/>
  <c r="T617" i="1" s="1"/>
  <c r="R615" i="1" l="1"/>
  <c r="S616" i="1"/>
  <c r="T616" i="1" s="1"/>
  <c r="R614" i="1" l="1"/>
  <c r="S615" i="1"/>
  <c r="T615" i="1" s="1"/>
  <c r="S614" i="1" l="1"/>
  <c r="T614" i="1" s="1"/>
  <c r="R613" i="1"/>
  <c r="S613" i="1" l="1"/>
  <c r="T613" i="1" s="1"/>
  <c r="R612" i="1"/>
  <c r="S612" i="1" l="1"/>
  <c r="T612" i="1" s="1"/>
  <c r="R611" i="1"/>
  <c r="S611" i="1" l="1"/>
  <c r="T611" i="1" s="1"/>
  <c r="R610" i="1"/>
  <c r="R609" i="1" l="1"/>
  <c r="S610" i="1"/>
  <c r="T610" i="1" s="1"/>
  <c r="R608" i="1" l="1"/>
  <c r="S609" i="1"/>
  <c r="T609" i="1" s="1"/>
  <c r="R607" i="1" l="1"/>
  <c r="S608" i="1"/>
  <c r="T608" i="1" s="1"/>
  <c r="S607" i="1" l="1"/>
  <c r="T607" i="1" s="1"/>
  <c r="R606" i="1"/>
  <c r="S606" i="1" l="1"/>
  <c r="T606" i="1" s="1"/>
  <c r="R605" i="1"/>
  <c r="S605" i="1" l="1"/>
  <c r="T605" i="1" s="1"/>
  <c r="R604" i="1"/>
  <c r="R603" i="1" l="1"/>
  <c r="S604" i="1"/>
  <c r="T604" i="1" s="1"/>
  <c r="R602" i="1" l="1"/>
  <c r="S603" i="1"/>
  <c r="T603" i="1" s="1"/>
  <c r="R601" i="1" l="1"/>
  <c r="S602" i="1"/>
  <c r="T602" i="1" s="1"/>
  <c r="S601" i="1" l="1"/>
  <c r="T601" i="1" s="1"/>
  <c r="R600" i="1"/>
  <c r="S600" i="1" l="1"/>
  <c r="T600" i="1" s="1"/>
  <c r="R599" i="1"/>
  <c r="S599" i="1" l="1"/>
  <c r="T599" i="1" s="1"/>
  <c r="R598" i="1"/>
  <c r="R597" i="1" l="1"/>
  <c r="S598" i="1"/>
  <c r="T598" i="1" s="1"/>
  <c r="R596" i="1" l="1"/>
  <c r="S597" i="1"/>
  <c r="T597" i="1" s="1"/>
  <c r="R595" i="1" l="1"/>
  <c r="S596" i="1"/>
  <c r="T596" i="1" s="1"/>
  <c r="S595" i="1" l="1"/>
  <c r="T595" i="1" s="1"/>
  <c r="R594" i="1"/>
  <c r="R593" i="1" l="1"/>
  <c r="S594" i="1"/>
  <c r="T594" i="1" s="1"/>
  <c r="S593" i="1" l="1"/>
  <c r="T593" i="1" s="1"/>
  <c r="R592" i="1"/>
  <c r="S592" i="1" l="1"/>
  <c r="T592" i="1" s="1"/>
  <c r="R591" i="1"/>
  <c r="S591" i="1" l="1"/>
  <c r="T591" i="1" s="1"/>
  <c r="R590" i="1"/>
  <c r="R589" i="1" l="1"/>
  <c r="S590" i="1"/>
  <c r="T590" i="1" s="1"/>
  <c r="R588" i="1" l="1"/>
  <c r="S589" i="1"/>
  <c r="T589" i="1" s="1"/>
  <c r="R587" i="1" l="1"/>
  <c r="S588" i="1"/>
  <c r="T588" i="1" s="1"/>
  <c r="S587" i="1" l="1"/>
  <c r="T587" i="1" s="1"/>
  <c r="R586" i="1"/>
  <c r="S586" i="1" l="1"/>
  <c r="T586" i="1" s="1"/>
  <c r="R585" i="1"/>
  <c r="S585" i="1" l="1"/>
  <c r="T585" i="1" s="1"/>
  <c r="R584" i="1"/>
  <c r="R583" i="1" l="1"/>
  <c r="S584" i="1"/>
  <c r="T584" i="1" s="1"/>
  <c r="R582" i="1" l="1"/>
  <c r="S583" i="1"/>
  <c r="T583" i="1" s="1"/>
  <c r="R581" i="1" l="1"/>
  <c r="S582" i="1"/>
  <c r="T582" i="1" s="1"/>
  <c r="S581" i="1" l="1"/>
  <c r="T581" i="1" s="1"/>
  <c r="R580" i="1"/>
  <c r="R579" i="1" l="1"/>
  <c r="S580" i="1"/>
  <c r="T580" i="1" s="1"/>
  <c r="S579" i="1" l="1"/>
  <c r="T579" i="1" s="1"/>
  <c r="R578" i="1"/>
  <c r="R577" i="1" l="1"/>
  <c r="S578" i="1"/>
  <c r="T578" i="1" s="1"/>
  <c r="S577" i="1" l="1"/>
  <c r="T577" i="1" s="1"/>
  <c r="R576" i="1"/>
  <c r="R575" i="1" l="1"/>
  <c r="S576" i="1"/>
  <c r="T576" i="1" s="1"/>
  <c r="S575" i="1" l="1"/>
  <c r="T575" i="1" s="1"/>
  <c r="R574" i="1"/>
  <c r="R573" i="1" l="1"/>
  <c r="S574" i="1"/>
  <c r="T574" i="1" s="1"/>
  <c r="S573" i="1" l="1"/>
  <c r="T573" i="1" s="1"/>
  <c r="R572" i="1"/>
  <c r="S572" i="1" l="1"/>
  <c r="T572" i="1" s="1"/>
  <c r="R571" i="1"/>
  <c r="S571" i="1" l="1"/>
  <c r="T571" i="1" s="1"/>
  <c r="R570" i="1"/>
  <c r="R569" i="1" l="1"/>
  <c r="S570" i="1"/>
  <c r="T570" i="1" s="1"/>
  <c r="R568" i="1" l="1"/>
  <c r="S569" i="1"/>
  <c r="T569" i="1" s="1"/>
  <c r="R567" i="1" l="1"/>
  <c r="S568" i="1"/>
  <c r="T568" i="1" s="1"/>
  <c r="S567" i="1" l="1"/>
  <c r="T567" i="1" s="1"/>
  <c r="R566" i="1"/>
  <c r="S566" i="1" l="1"/>
  <c r="T566" i="1" s="1"/>
  <c r="R565" i="1"/>
  <c r="S565" i="1" l="1"/>
  <c r="T565" i="1" s="1"/>
  <c r="R564" i="1"/>
  <c r="R563" i="1" l="1"/>
  <c r="S564" i="1"/>
  <c r="T564" i="1" s="1"/>
  <c r="R562" i="1" l="1"/>
  <c r="S563" i="1"/>
  <c r="T563" i="1" s="1"/>
  <c r="S562" i="1" l="1"/>
  <c r="T562" i="1" s="1"/>
  <c r="R561" i="1"/>
  <c r="S561" i="1" l="1"/>
  <c r="T561" i="1" s="1"/>
  <c r="R560" i="1"/>
  <c r="S560" i="1" l="1"/>
  <c r="T560" i="1" s="1"/>
  <c r="R559" i="1"/>
  <c r="R558" i="1" l="1"/>
  <c r="S559" i="1"/>
  <c r="T559" i="1" s="1"/>
  <c r="S558" i="1" l="1"/>
  <c r="T558" i="1" s="1"/>
  <c r="R557" i="1"/>
  <c r="R556" i="1" l="1"/>
  <c r="S557" i="1"/>
  <c r="T557" i="1" s="1"/>
  <c r="S556" i="1" l="1"/>
  <c r="T556" i="1" s="1"/>
  <c r="R555" i="1"/>
  <c r="R554" i="1" l="1"/>
  <c r="S555" i="1"/>
  <c r="T555" i="1" s="1"/>
  <c r="S554" i="1" l="1"/>
  <c r="T554" i="1" s="1"/>
  <c r="R553" i="1"/>
  <c r="R552" i="1" l="1"/>
  <c r="S553" i="1"/>
  <c r="T553" i="1" s="1"/>
  <c r="R551" i="1" l="1"/>
  <c r="S552" i="1"/>
  <c r="T552" i="1" s="1"/>
  <c r="R550" i="1" l="1"/>
  <c r="S551" i="1"/>
  <c r="T551" i="1" s="1"/>
  <c r="S550" i="1" l="1"/>
  <c r="T550" i="1" s="1"/>
  <c r="R549" i="1"/>
  <c r="S549" i="1" l="1"/>
  <c r="T549" i="1" s="1"/>
  <c r="R548" i="1"/>
  <c r="S548" i="1" l="1"/>
  <c r="T548" i="1" s="1"/>
  <c r="R547" i="1"/>
  <c r="R546" i="1" l="1"/>
  <c r="S547" i="1"/>
  <c r="T547" i="1" s="1"/>
  <c r="R545" i="1" l="1"/>
  <c r="S546" i="1"/>
  <c r="T546" i="1" s="1"/>
  <c r="R544" i="1" l="1"/>
  <c r="S545" i="1"/>
  <c r="T545" i="1" s="1"/>
  <c r="S544" i="1" l="1"/>
  <c r="T544" i="1" s="1"/>
  <c r="R543" i="1"/>
  <c r="S543" i="1" l="1"/>
  <c r="T543" i="1" s="1"/>
  <c r="R542" i="1"/>
  <c r="S542" i="1" l="1"/>
  <c r="T542" i="1" s="1"/>
  <c r="R541" i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S537" i="1" l="1"/>
  <c r="T537" i="1" s="1"/>
  <c r="R536" i="1"/>
  <c r="R535" i="1" l="1"/>
  <c r="S536" i="1"/>
  <c r="T536" i="1" s="1"/>
  <c r="S535" i="1" l="1"/>
  <c r="T535" i="1" s="1"/>
  <c r="R534" i="1"/>
  <c r="R533" i="1" l="1"/>
  <c r="S534" i="1"/>
  <c r="T534" i="1" s="1"/>
  <c r="R532" i="1" l="1"/>
  <c r="S533" i="1"/>
  <c r="T533" i="1" s="1"/>
  <c r="R531" i="1" l="1"/>
  <c r="S532" i="1"/>
  <c r="T532" i="1" s="1"/>
  <c r="S531" i="1" l="1"/>
  <c r="T531" i="1" s="1"/>
  <c r="R530" i="1"/>
  <c r="S530" i="1" l="1"/>
  <c r="T530" i="1" s="1"/>
  <c r="R529" i="1"/>
  <c r="S529" i="1" l="1"/>
  <c r="T529" i="1" s="1"/>
  <c r="R528" i="1"/>
  <c r="S528" i="1" l="1"/>
  <c r="T528" i="1" s="1"/>
  <c r="R527" i="1"/>
  <c r="S527" i="1" l="1"/>
  <c r="T527" i="1" s="1"/>
  <c r="R526" i="1"/>
  <c r="R525" i="1" l="1"/>
  <c r="S526" i="1"/>
  <c r="T526" i="1" s="1"/>
  <c r="R524" i="1" l="1"/>
  <c r="S525" i="1"/>
  <c r="T525" i="1" s="1"/>
  <c r="R523" i="1" l="1"/>
  <c r="S524" i="1"/>
  <c r="T524" i="1" s="1"/>
  <c r="S523" i="1" l="1"/>
  <c r="T523" i="1" s="1"/>
  <c r="R522" i="1"/>
  <c r="S522" i="1" l="1"/>
  <c r="T522" i="1" s="1"/>
  <c r="R521" i="1"/>
  <c r="S521" i="1" l="1"/>
  <c r="T521" i="1" s="1"/>
  <c r="R520" i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S516" i="1" l="1"/>
  <c r="T516" i="1" s="1"/>
  <c r="R515" i="1"/>
  <c r="S515" i="1" l="1"/>
  <c r="T515" i="1" s="1"/>
  <c r="R514" i="1"/>
  <c r="S514" i="1" l="1"/>
  <c r="T514" i="1" s="1"/>
  <c r="R513" i="1"/>
  <c r="R512" i="1" l="1"/>
  <c r="S513" i="1"/>
  <c r="T513" i="1" s="1"/>
  <c r="R511" i="1" l="1"/>
  <c r="S512" i="1"/>
  <c r="T512" i="1" s="1"/>
  <c r="S511" i="1" l="1"/>
  <c r="T511" i="1" s="1"/>
  <c r="R510" i="1"/>
  <c r="S510" i="1" l="1"/>
  <c r="T510" i="1" s="1"/>
  <c r="R509" i="1"/>
  <c r="S509" i="1" l="1"/>
  <c r="T509" i="1" s="1"/>
  <c r="R508" i="1"/>
  <c r="R507" i="1" l="1"/>
  <c r="S508" i="1"/>
  <c r="T508" i="1" s="1"/>
  <c r="R506" i="1" l="1"/>
  <c r="S507" i="1"/>
  <c r="T507" i="1" s="1"/>
  <c r="R505" i="1" l="1"/>
  <c r="S506" i="1"/>
  <c r="T506" i="1" s="1"/>
  <c r="S505" i="1" l="1"/>
  <c r="T505" i="1" s="1"/>
  <c r="R504" i="1"/>
  <c r="S504" i="1" l="1"/>
  <c r="T504" i="1" s="1"/>
  <c r="R503" i="1"/>
  <c r="S503" i="1" l="1"/>
  <c r="T503" i="1" s="1"/>
  <c r="R502" i="1"/>
  <c r="R501" i="1" l="1"/>
  <c r="S502" i="1"/>
  <c r="T502" i="1" s="1"/>
  <c r="R500" i="1" l="1"/>
  <c r="S501" i="1"/>
  <c r="T501" i="1" s="1"/>
  <c r="R499" i="1" l="1"/>
  <c r="S500" i="1"/>
  <c r="T500" i="1" s="1"/>
  <c r="S499" i="1" l="1"/>
  <c r="T499" i="1" s="1"/>
  <c r="R498" i="1"/>
  <c r="S498" i="1" l="1"/>
  <c r="T498" i="1" s="1"/>
  <c r="R497" i="1"/>
  <c r="S497" i="1" l="1"/>
  <c r="T497" i="1" s="1"/>
  <c r="R496" i="1"/>
  <c r="R495" i="1" l="1"/>
  <c r="S496" i="1"/>
  <c r="T496" i="1" s="1"/>
  <c r="S495" i="1" l="1"/>
  <c r="T495" i="1" s="1"/>
  <c r="R494" i="1"/>
  <c r="R493" i="1" l="1"/>
  <c r="S494" i="1"/>
  <c r="T494" i="1" s="1"/>
  <c r="S493" i="1" l="1"/>
  <c r="T493" i="1" s="1"/>
  <c r="R492" i="1"/>
  <c r="R491" i="1" l="1"/>
  <c r="S492" i="1"/>
  <c r="T492" i="1" s="1"/>
  <c r="S491" i="1" l="1"/>
  <c r="T491" i="1" s="1"/>
  <c r="R490" i="1"/>
  <c r="R489" i="1" l="1"/>
  <c r="S490" i="1"/>
  <c r="T490" i="1" s="1"/>
  <c r="R488" i="1" l="1"/>
  <c r="S489" i="1"/>
  <c r="T489" i="1" s="1"/>
  <c r="R487" i="1" l="1"/>
  <c r="S488" i="1"/>
  <c r="T488" i="1" s="1"/>
  <c r="S487" i="1" l="1"/>
  <c r="T487" i="1" s="1"/>
  <c r="R486" i="1"/>
  <c r="S486" i="1" l="1"/>
  <c r="T486" i="1" s="1"/>
  <c r="R485" i="1"/>
  <c r="S485" i="1" l="1"/>
  <c r="T485" i="1" s="1"/>
  <c r="R484" i="1"/>
  <c r="R483" i="1" l="1"/>
  <c r="S484" i="1"/>
  <c r="T484" i="1" s="1"/>
  <c r="R482" i="1" l="1"/>
  <c r="S483" i="1"/>
  <c r="T483" i="1" s="1"/>
  <c r="R481" i="1" l="1"/>
  <c r="S482" i="1"/>
  <c r="T482" i="1" s="1"/>
  <c r="S481" i="1" l="1"/>
  <c r="T481" i="1" s="1"/>
  <c r="R480" i="1"/>
  <c r="S480" i="1" l="1"/>
  <c r="T480" i="1" s="1"/>
  <c r="R479" i="1"/>
  <c r="S479" i="1" l="1"/>
  <c r="T479" i="1" s="1"/>
  <c r="R478" i="1"/>
  <c r="R477" i="1" l="1"/>
  <c r="S478" i="1"/>
  <c r="T478" i="1" s="1"/>
  <c r="R476" i="1" l="1"/>
  <c r="S477" i="1"/>
  <c r="T477" i="1" s="1"/>
  <c r="R475" i="1" l="1"/>
  <c r="S476" i="1"/>
  <c r="T476" i="1" s="1"/>
  <c r="S475" i="1" l="1"/>
  <c r="T475" i="1" s="1"/>
  <c r="R474" i="1"/>
  <c r="S474" i="1" l="1"/>
  <c r="T474" i="1" s="1"/>
  <c r="R473" i="1"/>
  <c r="R472" i="1" l="1"/>
  <c r="S473" i="1"/>
  <c r="T473" i="1" s="1"/>
  <c r="R471" i="1" l="1"/>
  <c r="S472" i="1"/>
  <c r="T472" i="1" s="1"/>
  <c r="R470" i="1" l="1"/>
  <c r="S471" i="1"/>
  <c r="T471" i="1" s="1"/>
  <c r="S470" i="1" l="1"/>
  <c r="T470" i="1" s="1"/>
  <c r="R469" i="1"/>
  <c r="S469" i="1" l="1"/>
  <c r="T469" i="1" s="1"/>
  <c r="R468" i="1"/>
  <c r="S468" i="1" l="1"/>
  <c r="T468" i="1" s="1"/>
  <c r="R467" i="1"/>
  <c r="R466" i="1" l="1"/>
  <c r="S467" i="1"/>
  <c r="T467" i="1" s="1"/>
  <c r="S466" i="1" l="1"/>
  <c r="T466" i="1" s="1"/>
  <c r="R465" i="1"/>
  <c r="R464" i="1" l="1"/>
  <c r="S465" i="1"/>
  <c r="T465" i="1" s="1"/>
  <c r="S464" i="1" l="1"/>
  <c r="T464" i="1" s="1"/>
  <c r="R463" i="1"/>
  <c r="R462" i="1" l="1"/>
  <c r="S463" i="1"/>
  <c r="T463" i="1" s="1"/>
  <c r="S462" i="1" l="1"/>
  <c r="T462" i="1" s="1"/>
  <c r="R461" i="1"/>
  <c r="R460" i="1" l="1"/>
  <c r="S461" i="1"/>
  <c r="T461" i="1" s="1"/>
  <c r="S460" i="1" l="1"/>
  <c r="T460" i="1" s="1"/>
  <c r="R459" i="1"/>
  <c r="R458" i="1" l="1"/>
  <c r="S459" i="1"/>
  <c r="T459" i="1" s="1"/>
  <c r="S458" i="1" l="1"/>
  <c r="T458" i="1" s="1"/>
  <c r="R457" i="1"/>
  <c r="R456" i="1" l="1"/>
  <c r="S457" i="1"/>
  <c r="T457" i="1" s="1"/>
  <c r="S456" i="1" l="1"/>
  <c r="T456" i="1" s="1"/>
  <c r="R455" i="1"/>
  <c r="R454" i="1" l="1"/>
  <c r="S455" i="1"/>
  <c r="T455" i="1" s="1"/>
  <c r="S454" i="1" l="1"/>
  <c r="T454" i="1" s="1"/>
  <c r="R453" i="1"/>
  <c r="R452" i="1" l="1"/>
  <c r="S453" i="1"/>
  <c r="T453" i="1" s="1"/>
  <c r="S452" i="1" l="1"/>
  <c r="T452" i="1" s="1"/>
  <c r="R451" i="1"/>
  <c r="R450" i="1" l="1"/>
  <c r="S451" i="1"/>
  <c r="T451" i="1" s="1"/>
  <c r="S450" i="1" l="1"/>
  <c r="T450" i="1" s="1"/>
  <c r="R449" i="1"/>
  <c r="S449" i="1" l="1"/>
  <c r="T449" i="1" s="1"/>
  <c r="R448" i="1"/>
  <c r="S448" i="1" l="1"/>
  <c r="T448" i="1" s="1"/>
  <c r="R447" i="1"/>
  <c r="R446" i="1" l="1"/>
  <c r="S447" i="1"/>
  <c r="T447" i="1" s="1"/>
  <c r="R445" i="1" l="1"/>
  <c r="S446" i="1"/>
  <c r="T446" i="1" s="1"/>
  <c r="R444" i="1" l="1"/>
  <c r="S445" i="1"/>
  <c r="T445" i="1" s="1"/>
  <c r="S444" i="1" l="1"/>
  <c r="T444" i="1" s="1"/>
  <c r="R443" i="1"/>
  <c r="S443" i="1" l="1"/>
  <c r="T443" i="1" s="1"/>
  <c r="R442" i="1"/>
  <c r="S442" i="1" l="1"/>
  <c r="T442" i="1" s="1"/>
  <c r="R441" i="1"/>
  <c r="R440" i="1" l="1"/>
  <c r="S441" i="1"/>
  <c r="T441" i="1" s="1"/>
  <c r="R439" i="1" l="1"/>
  <c r="S440" i="1"/>
  <c r="T440" i="1" s="1"/>
  <c r="S439" i="1" l="1"/>
  <c r="T439" i="1" s="1"/>
  <c r="R438" i="1"/>
  <c r="S438" i="1" l="1"/>
  <c r="T438" i="1" s="1"/>
  <c r="R437" i="1"/>
  <c r="S437" i="1" l="1"/>
  <c r="T437" i="1" s="1"/>
  <c r="R436" i="1"/>
  <c r="R435" i="1" l="1"/>
  <c r="S436" i="1"/>
  <c r="T436" i="1" s="1"/>
  <c r="R434" i="1" l="1"/>
  <c r="S435" i="1"/>
  <c r="T435" i="1" s="1"/>
  <c r="S434" i="1" l="1"/>
  <c r="T434" i="1" s="1"/>
  <c r="R433" i="1"/>
  <c r="S433" i="1" l="1"/>
  <c r="T433" i="1" s="1"/>
  <c r="R432" i="1"/>
  <c r="S432" i="1" l="1"/>
  <c r="T432" i="1" s="1"/>
  <c r="R431" i="1"/>
  <c r="R430" i="1" l="1"/>
  <c r="S431" i="1"/>
  <c r="T431" i="1" s="1"/>
  <c r="R429" i="1" l="1"/>
  <c r="S430" i="1"/>
  <c r="T430" i="1" s="1"/>
  <c r="R428" i="1" l="1"/>
  <c r="S429" i="1"/>
  <c r="T429" i="1" s="1"/>
  <c r="S428" i="1" l="1"/>
  <c r="T428" i="1" s="1"/>
  <c r="R427" i="1"/>
  <c r="S427" i="1" l="1"/>
  <c r="T427" i="1" s="1"/>
  <c r="R426" i="1"/>
  <c r="S426" i="1" l="1"/>
  <c r="T426" i="1" s="1"/>
  <c r="R425" i="1"/>
  <c r="R424" i="1" l="1"/>
  <c r="S425" i="1"/>
  <c r="T425" i="1" s="1"/>
  <c r="R423" i="1" l="1"/>
  <c r="S424" i="1"/>
  <c r="T424" i="1" s="1"/>
  <c r="R422" i="1" l="1"/>
  <c r="S423" i="1"/>
  <c r="T423" i="1" s="1"/>
  <c r="S422" i="1" l="1"/>
  <c r="T422" i="1" s="1"/>
  <c r="R421" i="1"/>
  <c r="S421" i="1" l="1"/>
  <c r="T421" i="1" s="1"/>
  <c r="R420" i="1"/>
  <c r="S420" i="1" l="1"/>
  <c r="T420" i="1" s="1"/>
  <c r="R419" i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S415" i="1" l="1"/>
  <c r="T415" i="1" s="1"/>
  <c r="R414" i="1"/>
  <c r="S414" i="1" l="1"/>
  <c r="T414" i="1" s="1"/>
  <c r="R413" i="1"/>
  <c r="S413" i="1" l="1"/>
  <c r="T413" i="1" s="1"/>
  <c r="R412" i="1"/>
  <c r="R411" i="1" l="1"/>
  <c r="S412" i="1"/>
  <c r="T412" i="1" s="1"/>
  <c r="S411" i="1" l="1"/>
  <c r="T411" i="1" s="1"/>
  <c r="R410" i="1"/>
  <c r="R409" i="1" l="1"/>
  <c r="S410" i="1"/>
  <c r="T410" i="1" s="1"/>
  <c r="S409" i="1" l="1"/>
  <c r="T409" i="1" s="1"/>
  <c r="R408" i="1"/>
  <c r="R407" i="1" l="1"/>
  <c r="S408" i="1"/>
  <c r="T408" i="1" s="1"/>
  <c r="S407" i="1" l="1"/>
  <c r="T407" i="1" s="1"/>
  <c r="R406" i="1"/>
  <c r="S406" i="1" l="1"/>
  <c r="T406" i="1" s="1"/>
  <c r="R405" i="1"/>
  <c r="S405" i="1" l="1"/>
  <c r="T405" i="1" s="1"/>
  <c r="R404" i="1"/>
  <c r="S404" i="1" l="1"/>
  <c r="T404" i="1" s="1"/>
  <c r="R403" i="1"/>
  <c r="R402" i="1" l="1"/>
  <c r="S403" i="1"/>
  <c r="T403" i="1" s="1"/>
  <c r="R401" i="1" l="1"/>
  <c r="S402" i="1"/>
  <c r="T402" i="1" s="1"/>
  <c r="R400" i="1" l="1"/>
  <c r="S401" i="1"/>
  <c r="T401" i="1" s="1"/>
  <c r="S400" i="1" l="1"/>
  <c r="T400" i="1" s="1"/>
  <c r="R399" i="1"/>
  <c r="S399" i="1" l="1"/>
  <c r="T399" i="1" s="1"/>
  <c r="R398" i="1"/>
  <c r="S398" i="1" l="1"/>
  <c r="T398" i="1" s="1"/>
  <c r="R397" i="1"/>
  <c r="R396" i="1" l="1"/>
  <c r="S397" i="1"/>
  <c r="T397" i="1" s="1"/>
  <c r="R395" i="1" l="1"/>
  <c r="S396" i="1"/>
  <c r="T396" i="1" s="1"/>
  <c r="R394" i="1" l="1"/>
  <c r="S395" i="1"/>
  <c r="T395" i="1" s="1"/>
  <c r="S394" i="1" l="1"/>
  <c r="T394" i="1" s="1"/>
  <c r="R393" i="1"/>
  <c r="S393" i="1" l="1"/>
  <c r="T393" i="1" s="1"/>
  <c r="R392" i="1"/>
  <c r="S392" i="1" l="1"/>
  <c r="T392" i="1" s="1"/>
  <c r="R391" i="1"/>
  <c r="S391" i="1" l="1"/>
  <c r="T391" i="1" s="1"/>
  <c r="R390" i="1"/>
  <c r="R389" i="1" l="1"/>
  <c r="S390" i="1"/>
  <c r="T390" i="1" s="1"/>
  <c r="R388" i="1" l="1"/>
  <c r="S389" i="1"/>
  <c r="T389" i="1" s="1"/>
  <c r="R387" i="1" l="1"/>
  <c r="S388" i="1"/>
  <c r="T388" i="1" s="1"/>
  <c r="S387" i="1" l="1"/>
  <c r="T387" i="1" s="1"/>
  <c r="R386" i="1"/>
  <c r="S386" i="1" l="1"/>
  <c r="T386" i="1" s="1"/>
  <c r="R385" i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S380" i="1" l="1"/>
  <c r="T380" i="1" s="1"/>
  <c r="R379" i="1"/>
  <c r="S379" i="1" l="1"/>
  <c r="T379" i="1" s="1"/>
  <c r="R378" i="1"/>
  <c r="S378" i="1" l="1"/>
  <c r="T378" i="1" s="1"/>
  <c r="R377" i="1"/>
  <c r="R376" i="1" l="1"/>
  <c r="S377" i="1"/>
  <c r="T377" i="1" s="1"/>
  <c r="R375" i="1" l="1"/>
  <c r="S376" i="1"/>
  <c r="T376" i="1" s="1"/>
  <c r="R374" i="1" l="1"/>
  <c r="S375" i="1"/>
  <c r="T375" i="1" s="1"/>
  <c r="S374" i="1" l="1"/>
  <c r="T374" i="1" s="1"/>
  <c r="R373" i="1"/>
  <c r="S373" i="1" l="1"/>
  <c r="T373" i="1" s="1"/>
  <c r="R372" i="1"/>
  <c r="R371" i="1" l="1"/>
  <c r="S372" i="1"/>
  <c r="T372" i="1" s="1"/>
  <c r="R370" i="1" l="1"/>
  <c r="S371" i="1"/>
  <c r="T371" i="1" s="1"/>
  <c r="S370" i="1" l="1"/>
  <c r="T370" i="1" s="1"/>
  <c r="R369" i="1"/>
  <c r="S369" i="1" l="1"/>
  <c r="T369" i="1" s="1"/>
  <c r="R368" i="1"/>
  <c r="S368" i="1" l="1"/>
  <c r="T368" i="1" s="1"/>
  <c r="R367" i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S362" i="1" l="1"/>
  <c r="T362" i="1" s="1"/>
  <c r="R361" i="1"/>
  <c r="S361" i="1" l="1"/>
  <c r="T361" i="1" s="1"/>
  <c r="R360" i="1"/>
  <c r="S360" i="1" l="1"/>
  <c r="T360" i="1" s="1"/>
  <c r="R359" i="1"/>
  <c r="R358" i="1" l="1"/>
  <c r="S359" i="1"/>
  <c r="T359" i="1" s="1"/>
  <c r="R357" i="1" l="1"/>
  <c r="S358" i="1"/>
  <c r="T358" i="1" s="1"/>
  <c r="R356" i="1" l="1"/>
  <c r="S357" i="1"/>
  <c r="T357" i="1" s="1"/>
  <c r="S356" i="1" l="1"/>
  <c r="T356" i="1" s="1"/>
  <c r="R355" i="1"/>
  <c r="R354" i="1" l="1"/>
  <c r="S355" i="1"/>
  <c r="T355" i="1" s="1"/>
  <c r="S354" i="1" l="1"/>
  <c r="T354" i="1" s="1"/>
  <c r="R353" i="1"/>
  <c r="R352" i="1" l="1"/>
  <c r="S353" i="1"/>
  <c r="T353" i="1" s="1"/>
  <c r="R351" i="1" l="1"/>
  <c r="S352" i="1"/>
  <c r="T352" i="1" s="1"/>
  <c r="S351" i="1" l="1"/>
  <c r="T351" i="1" s="1"/>
  <c r="R350" i="1"/>
  <c r="S350" i="1" l="1"/>
  <c r="T350" i="1" s="1"/>
  <c r="R349" i="1"/>
  <c r="S349" i="1" l="1"/>
  <c r="T349" i="1" s="1"/>
  <c r="R348" i="1"/>
  <c r="R347" i="1" l="1"/>
  <c r="S348" i="1"/>
  <c r="T348" i="1" s="1"/>
  <c r="R346" i="1" l="1"/>
  <c r="S347" i="1"/>
  <c r="T347" i="1" s="1"/>
  <c r="R345" i="1" l="1"/>
  <c r="S346" i="1"/>
  <c r="T346" i="1" s="1"/>
  <c r="S345" i="1" l="1"/>
  <c r="T345" i="1" s="1"/>
  <c r="R344" i="1"/>
  <c r="S344" i="1" l="1"/>
  <c r="T344" i="1" s="1"/>
  <c r="R343" i="1"/>
  <c r="S343" i="1" l="1"/>
  <c r="T343" i="1" s="1"/>
  <c r="R342" i="1"/>
  <c r="S342" i="1" l="1"/>
  <c r="T342" i="1" s="1"/>
  <c r="R341" i="1"/>
  <c r="R340" i="1" l="1"/>
  <c r="S341" i="1"/>
  <c r="T341" i="1" s="1"/>
  <c r="R339" i="1" l="1"/>
  <c r="S340" i="1"/>
  <c r="T340" i="1" s="1"/>
  <c r="R338" i="1" l="1"/>
  <c r="S339" i="1"/>
  <c r="T339" i="1" s="1"/>
  <c r="S338" i="1" l="1"/>
  <c r="T338" i="1" s="1"/>
  <c r="R337" i="1"/>
  <c r="S337" i="1" l="1"/>
  <c r="T337" i="1" s="1"/>
  <c r="R336" i="1"/>
  <c r="S336" i="1" l="1"/>
  <c r="T336" i="1" s="1"/>
  <c r="R335" i="1"/>
  <c r="R334" i="1" l="1"/>
  <c r="S335" i="1"/>
  <c r="T335" i="1" s="1"/>
  <c r="R333" i="1" l="1"/>
  <c r="S334" i="1"/>
  <c r="T334" i="1" s="1"/>
  <c r="S333" i="1" l="1"/>
  <c r="T333" i="1" s="1"/>
  <c r="R332" i="1"/>
  <c r="S332" i="1" l="1"/>
  <c r="T332" i="1" s="1"/>
  <c r="R331" i="1"/>
  <c r="S331" i="1" l="1"/>
  <c r="T331" i="1" s="1"/>
  <c r="R330" i="1"/>
  <c r="R329" i="1" l="1"/>
  <c r="S330" i="1"/>
  <c r="T330" i="1" s="1"/>
  <c r="R328" i="1" l="1"/>
  <c r="S329" i="1"/>
  <c r="T329" i="1" s="1"/>
  <c r="R327" i="1" l="1"/>
  <c r="S328" i="1"/>
  <c r="T328" i="1" s="1"/>
  <c r="S327" i="1" l="1"/>
  <c r="T327" i="1" s="1"/>
  <c r="R326" i="1"/>
  <c r="S326" i="1" l="1"/>
  <c r="T326" i="1" s="1"/>
  <c r="R325" i="1"/>
  <c r="S325" i="1" l="1"/>
  <c r="T325" i="1" s="1"/>
  <c r="R324" i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S319" i="1" l="1"/>
  <c r="T319" i="1" s="1"/>
  <c r="R318" i="1"/>
  <c r="S318" i="1" l="1"/>
  <c r="T318" i="1" s="1"/>
  <c r="R317" i="1"/>
  <c r="S317" i="1" l="1"/>
  <c r="T317" i="1" s="1"/>
  <c r="R316" i="1"/>
  <c r="R315" i="1" l="1"/>
  <c r="S316" i="1"/>
  <c r="T316" i="1" s="1"/>
  <c r="S315" i="1" l="1"/>
  <c r="T315" i="1" s="1"/>
  <c r="R314" i="1"/>
  <c r="R313" i="1" l="1"/>
  <c r="S314" i="1"/>
  <c r="T314" i="1" s="1"/>
  <c r="S313" i="1" l="1"/>
  <c r="T313" i="1" s="1"/>
  <c r="R312" i="1"/>
  <c r="R311" i="1" l="1"/>
  <c r="S312" i="1"/>
  <c r="T312" i="1" s="1"/>
  <c r="S311" i="1" l="1"/>
  <c r="T311" i="1" s="1"/>
  <c r="R310" i="1"/>
  <c r="R309" i="1" l="1"/>
  <c r="S310" i="1"/>
  <c r="T310" i="1" s="1"/>
  <c r="S309" i="1" l="1"/>
  <c r="T309" i="1" s="1"/>
  <c r="R308" i="1"/>
  <c r="R307" i="1" l="1"/>
  <c r="S308" i="1"/>
  <c r="T308" i="1" s="1"/>
  <c r="S307" i="1" l="1"/>
  <c r="T307" i="1" s="1"/>
  <c r="R306" i="1"/>
  <c r="R305" i="1" l="1"/>
  <c r="S306" i="1"/>
  <c r="T306" i="1" s="1"/>
  <c r="S305" i="1" l="1"/>
  <c r="T305" i="1" s="1"/>
  <c r="R304" i="1"/>
  <c r="R303" i="1" l="1"/>
  <c r="S304" i="1"/>
  <c r="T304" i="1" s="1"/>
  <c r="S303" i="1" l="1"/>
  <c r="T303" i="1" s="1"/>
  <c r="R302" i="1"/>
  <c r="R301" i="1" l="1"/>
  <c r="S302" i="1"/>
  <c r="T302" i="1" s="1"/>
  <c r="S301" i="1" l="1"/>
  <c r="T301" i="1" s="1"/>
  <c r="R300" i="1"/>
  <c r="R299" i="1" l="1"/>
  <c r="S300" i="1"/>
  <c r="T300" i="1" s="1"/>
  <c r="S299" i="1" l="1"/>
  <c r="T299" i="1" s="1"/>
  <c r="R298" i="1"/>
  <c r="S298" i="1" l="1"/>
  <c r="T298" i="1" s="1"/>
  <c r="R297" i="1"/>
  <c r="S297" i="1" l="1"/>
  <c r="T297" i="1" s="1"/>
  <c r="R296" i="1"/>
  <c r="S296" i="1" l="1"/>
  <c r="T296" i="1" s="1"/>
  <c r="R295" i="1"/>
  <c r="S295" i="1" l="1"/>
  <c r="T295" i="1" s="1"/>
  <c r="R294" i="1"/>
  <c r="S294" i="1" l="1"/>
  <c r="T294" i="1" s="1"/>
  <c r="R293" i="1"/>
  <c r="R292" i="1" l="1"/>
  <c r="S293" i="1"/>
  <c r="T293" i="1" s="1"/>
  <c r="R291" i="1" l="1"/>
  <c r="S292" i="1"/>
  <c r="T292" i="1" s="1"/>
  <c r="R290" i="1" l="1"/>
  <c r="S291" i="1"/>
  <c r="T291" i="1" s="1"/>
  <c r="S290" i="1" l="1"/>
  <c r="T290" i="1" s="1"/>
  <c r="R289" i="1"/>
  <c r="S289" i="1" l="1"/>
  <c r="T289" i="1" s="1"/>
  <c r="R288" i="1"/>
  <c r="S288" i="1" l="1"/>
  <c r="T288" i="1" s="1"/>
  <c r="R287" i="1"/>
  <c r="R286" i="1" l="1"/>
  <c r="S287" i="1"/>
  <c r="T287" i="1" s="1"/>
  <c r="R285" i="1" l="1"/>
  <c r="S286" i="1"/>
  <c r="T286" i="1" s="1"/>
  <c r="R284" i="1" l="1"/>
  <c r="S285" i="1"/>
  <c r="T285" i="1" s="1"/>
  <c r="S284" i="1" l="1"/>
  <c r="T284" i="1" s="1"/>
  <c r="R283" i="1"/>
  <c r="S283" i="1" l="1"/>
  <c r="T283" i="1" s="1"/>
  <c r="R282" i="1"/>
  <c r="S282" i="1" l="1"/>
  <c r="T282" i="1" s="1"/>
  <c r="R281" i="1"/>
  <c r="R280" i="1" l="1"/>
  <c r="S281" i="1"/>
  <c r="T281" i="1" s="1"/>
  <c r="R279" i="1" l="1"/>
  <c r="S280" i="1"/>
  <c r="T280" i="1" s="1"/>
  <c r="R278" i="1" l="1"/>
  <c r="S279" i="1"/>
  <c r="T279" i="1" s="1"/>
  <c r="S278" i="1" l="1"/>
  <c r="T278" i="1" s="1"/>
  <c r="R277" i="1"/>
  <c r="S277" i="1" l="1"/>
  <c r="T277" i="1" s="1"/>
  <c r="R276" i="1"/>
  <c r="S276" i="1" l="1"/>
  <c r="T276" i="1" s="1"/>
  <c r="R275" i="1"/>
  <c r="R274" i="1" l="1"/>
  <c r="S275" i="1"/>
  <c r="T275" i="1" s="1"/>
  <c r="R273" i="1" l="1"/>
  <c r="S274" i="1"/>
  <c r="T274" i="1" s="1"/>
  <c r="R272" i="1" l="1"/>
  <c r="S273" i="1"/>
  <c r="T273" i="1" s="1"/>
  <c r="S272" i="1" l="1"/>
  <c r="T272" i="1" s="1"/>
  <c r="R271" i="1"/>
  <c r="S271" i="1" l="1"/>
  <c r="T271" i="1" s="1"/>
  <c r="R270" i="1"/>
  <c r="S270" i="1" l="1"/>
  <c r="T270" i="1" s="1"/>
  <c r="R269" i="1"/>
  <c r="S269" i="1" l="1"/>
  <c r="T269" i="1" s="1"/>
  <c r="R268" i="1"/>
  <c r="R267" i="1" l="1"/>
  <c r="S268" i="1"/>
  <c r="T268" i="1" s="1"/>
  <c r="R266" i="1" l="1"/>
  <c r="S267" i="1"/>
  <c r="T267" i="1" s="1"/>
  <c r="R265" i="1" l="1"/>
  <c r="S266" i="1"/>
  <c r="T266" i="1" s="1"/>
  <c r="S265" i="1" l="1"/>
  <c r="T265" i="1" s="1"/>
  <c r="R264" i="1"/>
  <c r="S264" i="1" l="1"/>
  <c r="T264" i="1" s="1"/>
  <c r="R263" i="1"/>
  <c r="S263" i="1" l="1"/>
  <c r="T263" i="1" s="1"/>
  <c r="R262" i="1"/>
  <c r="S262" i="1" l="1"/>
  <c r="T262" i="1" s="1"/>
  <c r="R261" i="1"/>
  <c r="S261" i="1" l="1"/>
  <c r="T261" i="1" s="1"/>
  <c r="R260" i="1"/>
  <c r="S260" i="1" l="1"/>
  <c r="T260" i="1" s="1"/>
  <c r="R259" i="1"/>
  <c r="R258" i="1" l="1"/>
  <c r="S259" i="1"/>
  <c r="T259" i="1" s="1"/>
  <c r="S258" i="1" l="1"/>
  <c r="T258" i="1" s="1"/>
  <c r="R257" i="1"/>
  <c r="S257" i="1" l="1"/>
  <c r="T257" i="1" s="1"/>
  <c r="R256" i="1"/>
  <c r="S256" i="1" l="1"/>
  <c r="T256" i="1" s="1"/>
  <c r="R255" i="1"/>
  <c r="R254" i="1" l="1"/>
  <c r="S255" i="1"/>
  <c r="T255" i="1" s="1"/>
  <c r="R253" i="1" l="1"/>
  <c r="S254" i="1"/>
  <c r="T254" i="1" s="1"/>
  <c r="R252" i="1" l="1"/>
  <c r="S253" i="1"/>
  <c r="T253" i="1" s="1"/>
  <c r="S252" i="1" l="1"/>
  <c r="T252" i="1" s="1"/>
  <c r="R251" i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S245" i="1" l="1"/>
  <c r="T245" i="1" s="1"/>
  <c r="R244" i="1"/>
  <c r="S244" i="1" l="1"/>
  <c r="T244" i="1" s="1"/>
  <c r="R243" i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S238" i="1" l="1"/>
  <c r="T238" i="1" s="1"/>
  <c r="R237" i="1"/>
  <c r="S237" i="1" l="1"/>
  <c r="T237" i="1" s="1"/>
  <c r="R236" i="1"/>
  <c r="S236" i="1" l="1"/>
  <c r="T236" i="1" s="1"/>
  <c r="R235" i="1"/>
  <c r="R234" i="1" l="1"/>
  <c r="S235" i="1"/>
  <c r="T235" i="1" s="1"/>
  <c r="S234" i="1" l="1"/>
  <c r="T234" i="1" s="1"/>
  <c r="R233" i="1"/>
  <c r="S233" i="1" l="1"/>
  <c r="T233" i="1" s="1"/>
  <c r="R232" i="1"/>
  <c r="S232" i="1" l="1"/>
  <c r="T232" i="1" s="1"/>
  <c r="R231" i="1"/>
  <c r="R230" i="1" l="1"/>
  <c r="S231" i="1"/>
  <c r="T231" i="1" s="1"/>
  <c r="R229" i="1" l="1"/>
  <c r="S230" i="1"/>
  <c r="T230" i="1" s="1"/>
  <c r="S229" i="1" l="1"/>
  <c r="T229" i="1" s="1"/>
  <c r="R228" i="1"/>
  <c r="S228" i="1" l="1"/>
  <c r="T228" i="1" s="1"/>
  <c r="R227" i="1"/>
  <c r="S227" i="1" l="1"/>
  <c r="T227" i="1" s="1"/>
  <c r="R226" i="1"/>
  <c r="R225" i="1" l="1"/>
  <c r="S226" i="1"/>
  <c r="T226" i="1" s="1"/>
  <c r="S225" i="1" l="1"/>
  <c r="T225" i="1" s="1"/>
  <c r="R224" i="1"/>
  <c r="R223" i="1" l="1"/>
  <c r="S224" i="1"/>
  <c r="T224" i="1" s="1"/>
  <c r="S223" i="1" l="1"/>
  <c r="T223" i="1" s="1"/>
  <c r="R222" i="1"/>
  <c r="R221" i="1" l="1"/>
  <c r="S222" i="1"/>
  <c r="T222" i="1" s="1"/>
  <c r="S221" i="1" l="1"/>
  <c r="T221" i="1" s="1"/>
  <c r="R220" i="1"/>
  <c r="R219" i="1" l="1"/>
  <c r="S220" i="1"/>
  <c r="T220" i="1" s="1"/>
  <c r="R218" i="1" l="1"/>
  <c r="S219" i="1"/>
  <c r="T219" i="1" s="1"/>
  <c r="R217" i="1" l="1"/>
  <c r="S218" i="1"/>
  <c r="T218" i="1" s="1"/>
  <c r="S217" i="1" l="1"/>
  <c r="T217" i="1" s="1"/>
  <c r="R216" i="1"/>
  <c r="S216" i="1" l="1"/>
  <c r="T216" i="1" s="1"/>
  <c r="R215" i="1"/>
  <c r="S215" i="1" l="1"/>
  <c r="T215" i="1" s="1"/>
  <c r="R214" i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S209" i="1" l="1"/>
  <c r="T209" i="1" s="1"/>
  <c r="R208" i="1"/>
  <c r="S208" i="1" l="1"/>
  <c r="T208" i="1" s="1"/>
  <c r="R207" i="1"/>
  <c r="S207" i="1" l="1"/>
  <c r="T207" i="1" s="1"/>
  <c r="R206" i="1"/>
  <c r="R205" i="1" l="1"/>
  <c r="S206" i="1"/>
  <c r="T206" i="1" s="1"/>
  <c r="R204" i="1" l="1"/>
  <c r="S205" i="1"/>
  <c r="T205" i="1" s="1"/>
  <c r="S204" i="1" l="1"/>
  <c r="T204" i="1" s="1"/>
  <c r="R203" i="1"/>
  <c r="S203" i="1" l="1"/>
  <c r="T203" i="1" s="1"/>
  <c r="R202" i="1"/>
  <c r="S202" i="1" l="1"/>
  <c r="T202" i="1" s="1"/>
  <c r="R201" i="1"/>
  <c r="R200" i="1" l="1"/>
  <c r="S201" i="1"/>
  <c r="T201" i="1" s="1"/>
  <c r="R199" i="1" l="1"/>
  <c r="S200" i="1"/>
  <c r="T200" i="1" s="1"/>
  <c r="R198" i="1" l="1"/>
  <c r="S199" i="1"/>
  <c r="T199" i="1" s="1"/>
  <c r="S198" i="1" l="1"/>
  <c r="T198" i="1" s="1"/>
  <c r="R197" i="1"/>
  <c r="S197" i="1" l="1"/>
  <c r="T197" i="1" s="1"/>
  <c r="R196" i="1"/>
  <c r="S196" i="1" l="1"/>
  <c r="T196" i="1" s="1"/>
  <c r="R195" i="1"/>
  <c r="R194" i="1" l="1"/>
  <c r="S195" i="1"/>
  <c r="T195" i="1" s="1"/>
  <c r="R193" i="1" l="1"/>
  <c r="S194" i="1"/>
  <c r="T194" i="1" s="1"/>
  <c r="R192" i="1" l="1"/>
  <c r="S193" i="1"/>
  <c r="T193" i="1" s="1"/>
  <c r="S192" i="1" l="1"/>
  <c r="T192" i="1" s="1"/>
  <c r="R191" i="1"/>
  <c r="S191" i="1" l="1"/>
  <c r="T191" i="1" s="1"/>
  <c r="R190" i="1"/>
  <c r="S190" i="1" l="1"/>
  <c r="T190" i="1" s="1"/>
  <c r="R189" i="1"/>
  <c r="R188" i="1" l="1"/>
  <c r="S189" i="1"/>
  <c r="T189" i="1" s="1"/>
  <c r="S188" i="1" l="1"/>
  <c r="T188" i="1" s="1"/>
  <c r="R187" i="1"/>
  <c r="R186" i="1" l="1"/>
  <c r="S187" i="1"/>
  <c r="T187" i="1" s="1"/>
  <c r="S186" i="1" l="1"/>
  <c r="T186" i="1" s="1"/>
  <c r="R185" i="1"/>
  <c r="R184" i="1" l="1"/>
  <c r="S185" i="1"/>
  <c r="T185" i="1" s="1"/>
  <c r="S184" i="1" l="1"/>
  <c r="T184" i="1" s="1"/>
  <c r="R183" i="1"/>
  <c r="R182" i="1" l="1"/>
  <c r="S183" i="1"/>
  <c r="T183" i="1" s="1"/>
  <c r="S182" i="1" l="1"/>
  <c r="T182" i="1" s="1"/>
  <c r="R181" i="1"/>
  <c r="R180" i="1" l="1"/>
  <c r="S181" i="1"/>
  <c r="T181" i="1" s="1"/>
  <c r="R179" i="1" l="1"/>
  <c r="S180" i="1"/>
  <c r="T180" i="1" s="1"/>
  <c r="S179" i="1" l="1"/>
  <c r="T179" i="1" s="1"/>
  <c r="R178" i="1"/>
  <c r="S178" i="1" l="1"/>
  <c r="T178" i="1" s="1"/>
  <c r="R177" i="1"/>
  <c r="S177" i="1" l="1"/>
  <c r="T177" i="1" s="1"/>
  <c r="R176" i="1"/>
  <c r="R175" i="1" l="1"/>
  <c r="S176" i="1"/>
  <c r="T176" i="1" s="1"/>
  <c r="R174" i="1" l="1"/>
  <c r="S175" i="1"/>
  <c r="T175" i="1" s="1"/>
  <c r="R173" i="1" l="1"/>
  <c r="S174" i="1"/>
  <c r="T174" i="1" s="1"/>
  <c r="S173" i="1" l="1"/>
  <c r="T173" i="1" s="1"/>
  <c r="R172" i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S166" i="1" l="1"/>
  <c r="T166" i="1" s="1"/>
  <c r="R165" i="1"/>
  <c r="S165" i="1" l="1"/>
  <c r="T165" i="1" s="1"/>
  <c r="R164" i="1"/>
  <c r="S164" i="1" l="1"/>
  <c r="T164" i="1" s="1"/>
  <c r="R163" i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S158" i="1" l="1"/>
  <c r="T158" i="1" s="1"/>
  <c r="R157" i="1"/>
  <c r="R156" i="1" l="1"/>
  <c r="S157" i="1"/>
  <c r="T157" i="1" s="1"/>
  <c r="S156" i="1" l="1"/>
  <c r="T156" i="1" s="1"/>
  <c r="R155" i="1"/>
  <c r="S155" i="1" l="1"/>
  <c r="T155" i="1" s="1"/>
  <c r="R154" i="1"/>
  <c r="S154" i="1" l="1"/>
  <c r="T154" i="1" s="1"/>
  <c r="R153" i="1"/>
  <c r="R152" i="1" l="1"/>
  <c r="S153" i="1"/>
  <c r="T153" i="1" s="1"/>
  <c r="S152" i="1" l="1"/>
  <c r="T152" i="1" s="1"/>
  <c r="R151" i="1"/>
  <c r="S151" i="1" l="1"/>
  <c r="T151" i="1" s="1"/>
  <c r="R150" i="1"/>
  <c r="S150" i="1" l="1"/>
  <c r="T150" i="1" s="1"/>
  <c r="R149" i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S145" i="1" l="1"/>
  <c r="T145" i="1" s="1"/>
  <c r="R144" i="1"/>
  <c r="S144" i="1" l="1"/>
  <c r="T144" i="1" s="1"/>
  <c r="R143" i="1"/>
  <c r="S143" i="1" l="1"/>
  <c r="T143" i="1" s="1"/>
  <c r="R142" i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S138" i="1" l="1"/>
  <c r="T138" i="1" s="1"/>
  <c r="R137" i="1"/>
  <c r="R136" i="1" l="1"/>
  <c r="S137" i="1"/>
  <c r="T137" i="1" s="1"/>
  <c r="S136" i="1" l="1"/>
  <c r="T136" i="1" s="1"/>
  <c r="R135" i="1"/>
  <c r="R134" i="1" l="1"/>
  <c r="S135" i="1"/>
  <c r="T135" i="1" s="1"/>
  <c r="S134" i="1" l="1"/>
  <c r="T134" i="1" s="1"/>
  <c r="R133" i="1"/>
  <c r="R132" i="1" l="1"/>
  <c r="S133" i="1"/>
  <c r="T133" i="1" s="1"/>
  <c r="S132" i="1" l="1"/>
  <c r="T132" i="1" s="1"/>
  <c r="R131" i="1"/>
  <c r="S131" i="1" l="1"/>
  <c r="T131" i="1" s="1"/>
  <c r="R130" i="1"/>
  <c r="S130" i="1" l="1"/>
  <c r="T130" i="1" s="1"/>
  <c r="R129" i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S125" i="1" l="1"/>
  <c r="T125" i="1" s="1"/>
  <c r="R124" i="1"/>
  <c r="S124" i="1" l="1"/>
  <c r="T124" i="1" s="1"/>
  <c r="R123" i="1"/>
  <c r="R122" i="1" l="1"/>
  <c r="S123" i="1"/>
  <c r="T123" i="1" s="1"/>
  <c r="R121" i="1" l="1"/>
  <c r="S122" i="1"/>
  <c r="T122" i="1" s="1"/>
  <c r="R120" i="1" l="1"/>
  <c r="S121" i="1"/>
  <c r="T121" i="1" s="1"/>
  <c r="S120" i="1" l="1"/>
  <c r="T120" i="1" s="1"/>
  <c r="R119" i="1"/>
  <c r="R118" i="1" l="1"/>
  <c r="S119" i="1"/>
  <c r="T119" i="1" s="1"/>
  <c r="S118" i="1" l="1"/>
  <c r="T118" i="1" s="1"/>
  <c r="R117" i="1"/>
  <c r="S117" i="1" l="1"/>
  <c r="T117" i="1" s="1"/>
  <c r="R116" i="1"/>
  <c r="R115" i="1" l="1"/>
  <c r="S116" i="1"/>
  <c r="T116" i="1" s="1"/>
  <c r="S115" i="1" l="1"/>
  <c r="T115" i="1" s="1"/>
  <c r="R114" i="1"/>
  <c r="R113" i="1" l="1"/>
  <c r="S114" i="1"/>
  <c r="T114" i="1" s="1"/>
  <c r="S113" i="1" l="1"/>
  <c r="T113" i="1" s="1"/>
  <c r="R112" i="1"/>
  <c r="R111" i="1" l="1"/>
  <c r="S112" i="1"/>
  <c r="T112" i="1" s="1"/>
  <c r="S111" i="1" l="1"/>
  <c r="T111" i="1" s="1"/>
  <c r="R110" i="1"/>
  <c r="R109" i="1" l="1"/>
  <c r="S110" i="1"/>
  <c r="T110" i="1" s="1"/>
  <c r="S109" i="1" l="1"/>
  <c r="T109" i="1" s="1"/>
  <c r="R108" i="1"/>
  <c r="R107" i="1" l="1"/>
  <c r="S108" i="1"/>
  <c r="T108" i="1" s="1"/>
  <c r="S107" i="1" l="1"/>
  <c r="T107" i="1" s="1"/>
  <c r="R106" i="1"/>
  <c r="R105" i="1" l="1"/>
  <c r="S106" i="1"/>
  <c r="T106" i="1" s="1"/>
  <c r="S105" i="1" l="1"/>
  <c r="T105" i="1" s="1"/>
  <c r="R104" i="1"/>
  <c r="S104" i="1" l="1"/>
  <c r="T104" i="1" s="1"/>
  <c r="R103" i="1"/>
  <c r="S103" i="1" l="1"/>
  <c r="T103" i="1" s="1"/>
  <c r="R102" i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S98" i="1" l="1"/>
  <c r="T98" i="1" s="1"/>
  <c r="R97" i="1"/>
  <c r="S97" i="1" l="1"/>
  <c r="T97" i="1" s="1"/>
  <c r="R96" i="1"/>
  <c r="S96" i="1" l="1"/>
  <c r="T96" i="1" s="1"/>
  <c r="R95" i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S90" i="1" l="1"/>
  <c r="T90" i="1" s="1"/>
  <c r="R89" i="1"/>
  <c r="S89" i="1" l="1"/>
  <c r="T89" i="1" s="1"/>
  <c r="R88" i="1"/>
  <c r="S88" i="1" l="1"/>
  <c r="T88" i="1" s="1"/>
  <c r="R87" i="1"/>
  <c r="R86" i="1" l="1"/>
  <c r="S87" i="1"/>
  <c r="T87" i="1" s="1"/>
  <c r="S86" i="1" l="1"/>
  <c r="T86" i="1" s="1"/>
  <c r="R85" i="1"/>
  <c r="R84" i="1" l="1"/>
  <c r="S85" i="1"/>
  <c r="T85" i="1" s="1"/>
  <c r="R83" i="1" l="1"/>
  <c r="S84" i="1"/>
  <c r="T84" i="1" s="1"/>
  <c r="S83" i="1" l="1"/>
  <c r="T83" i="1" s="1"/>
  <c r="R82" i="1"/>
  <c r="S82" i="1" l="1"/>
  <c r="T82" i="1" s="1"/>
  <c r="R81" i="1"/>
  <c r="S81" i="1" l="1"/>
  <c r="T81" i="1" s="1"/>
  <c r="R80" i="1"/>
  <c r="R79" i="1" l="1"/>
  <c r="S80" i="1"/>
  <c r="T80" i="1" s="1"/>
  <c r="R78" i="1" l="1"/>
  <c r="S79" i="1"/>
  <c r="T79" i="1" s="1"/>
  <c r="R77" i="1" l="1"/>
  <c r="S78" i="1"/>
  <c r="T78" i="1" s="1"/>
  <c r="S77" i="1" l="1"/>
  <c r="T77" i="1" s="1"/>
  <c r="R76" i="1"/>
  <c r="S76" i="1" l="1"/>
  <c r="T76" i="1" s="1"/>
  <c r="R75" i="1"/>
  <c r="S75" i="1" l="1"/>
  <c r="T75" i="1" s="1"/>
  <c r="R74" i="1"/>
  <c r="S74" i="1" l="1"/>
  <c r="T74" i="1" s="1"/>
  <c r="R73" i="1"/>
  <c r="R72" i="1" l="1"/>
  <c r="S73" i="1"/>
  <c r="T73" i="1" s="1"/>
  <c r="S72" i="1" l="1"/>
  <c r="T72" i="1" s="1"/>
  <c r="R71" i="1"/>
  <c r="S71" i="1" l="1"/>
  <c r="T71" i="1" s="1"/>
  <c r="R70" i="1"/>
  <c r="R69" i="1" l="1"/>
  <c r="S70" i="1"/>
  <c r="T70" i="1" s="1"/>
  <c r="S69" i="1" l="1"/>
  <c r="T69" i="1" s="1"/>
  <c r="R68" i="1"/>
  <c r="S68" i="1" l="1"/>
  <c r="T68" i="1" s="1"/>
  <c r="R67" i="1"/>
  <c r="R66" i="1" l="1"/>
  <c r="S67" i="1"/>
  <c r="T67" i="1" s="1"/>
  <c r="R65" i="1" l="1"/>
  <c r="S66" i="1"/>
  <c r="T66" i="1" s="1"/>
  <c r="R64" i="1" l="1"/>
  <c r="S65" i="1"/>
  <c r="T65" i="1" s="1"/>
  <c r="S64" i="1" l="1"/>
  <c r="T64" i="1" s="1"/>
  <c r="R63" i="1"/>
  <c r="S63" i="1" l="1"/>
  <c r="T63" i="1" s="1"/>
  <c r="R62" i="1"/>
  <c r="R61" i="1" l="1"/>
  <c r="S62" i="1"/>
  <c r="T62" i="1" s="1"/>
  <c r="S61" i="1" l="1"/>
  <c r="T61" i="1" s="1"/>
  <c r="R60" i="1"/>
  <c r="S60" i="1" l="1"/>
  <c r="T60" i="1" s="1"/>
  <c r="R59" i="1"/>
  <c r="R58" i="1" l="1"/>
  <c r="S59" i="1"/>
  <c r="T59" i="1" s="1"/>
  <c r="R57" i="1" l="1"/>
  <c r="S58" i="1"/>
  <c r="T58" i="1" s="1"/>
  <c r="S57" i="1" l="1"/>
  <c r="T57" i="1" s="1"/>
  <c r="R56" i="1"/>
  <c r="S56" i="1" l="1"/>
  <c r="T56" i="1" s="1"/>
  <c r="R55" i="1"/>
  <c r="S55" i="1" l="1"/>
  <c r="T55" i="1" s="1"/>
  <c r="R54" i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S49" i="1" l="1"/>
  <c r="T49" i="1" s="1"/>
  <c r="R48" i="1"/>
  <c r="R47" i="1" l="1"/>
  <c r="S48" i="1"/>
  <c r="T48" i="1" s="1"/>
  <c r="S47" i="1" l="1"/>
  <c r="T47" i="1" s="1"/>
  <c r="R46" i="1"/>
  <c r="S46" i="1" l="1"/>
  <c r="T46" i="1" s="1"/>
  <c r="R45" i="1"/>
  <c r="R44" i="1" l="1"/>
  <c r="S45" i="1"/>
  <c r="T45" i="1" s="1"/>
  <c r="S44" i="1" l="1"/>
  <c r="T44" i="1" s="1"/>
  <c r="R43" i="1"/>
  <c r="R42" i="1" l="1"/>
  <c r="S43" i="1"/>
  <c r="T43" i="1" s="1"/>
  <c r="S42" i="1" l="1"/>
  <c r="T42" i="1" s="1"/>
  <c r="R41" i="1"/>
  <c r="R40" i="1" l="1"/>
  <c r="S41" i="1"/>
  <c r="T41" i="1" s="1"/>
  <c r="S40" i="1" l="1"/>
  <c r="T40" i="1" s="1"/>
  <c r="R39" i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S35" i="1" l="1"/>
  <c r="T35" i="1" s="1"/>
  <c r="R34" i="1"/>
  <c r="S34" i="1" l="1"/>
  <c r="T34" i="1" s="1"/>
  <c r="R33" i="1"/>
  <c r="R32" i="1" l="1"/>
  <c r="S33" i="1"/>
  <c r="T33" i="1" s="1"/>
  <c r="S32" i="1" l="1"/>
  <c r="T32" i="1" s="1"/>
  <c r="R31" i="1"/>
  <c r="R30" i="1" l="1"/>
  <c r="S31" i="1"/>
  <c r="T31" i="1" s="1"/>
  <c r="S30" i="1" l="1"/>
  <c r="T30" i="1" s="1"/>
  <c r="R29" i="1"/>
  <c r="R28" i="1" l="1"/>
  <c r="S29" i="1"/>
  <c r="T29" i="1" s="1"/>
  <c r="R27" i="1" l="1"/>
  <c r="S28" i="1"/>
  <c r="T28" i="1" s="1"/>
  <c r="S27" i="1" l="1"/>
  <c r="T27" i="1" s="1"/>
  <c r="R26" i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<sst xmlns="http://schemas.openxmlformats.org/spreadsheetml/2006/main" count="6321" uniqueCount="34">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</sst>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0.86099999999999999</c:v>
                </c:pt>
                <c:pt idx="1">
                  <c:v>0.88</c:v>
                </c:pt>
                <c:pt idx="2">
                  <c:v>0.86299999999999999</c:v>
                </c:pt>
                <c:pt idx="3">
                  <c:v>0.84699999999999998</c:v>
                </c:pt>
                <c:pt idx="4">
                  <c:v>0.93799999999999994</c:v>
                </c:pt>
                <c:pt idx="5">
                  <c:v>0.88700000000000001</c:v>
                </c:pt>
                <c:pt idx="6">
                  <c:v>1.002</c:v>
                </c:pt>
                <c:pt idx="7">
                  <c:v>1.1919999999999999</c:v>
                </c:pt>
                <c:pt idx="8">
                  <c:v>1.2549999999999999</c:v>
                </c:pt>
                <c:pt idx="9">
                  <c:v>1.3109999999999999</c:v>
                </c:pt>
                <c:pt idx="10">
                  <c:v>1.3280000000000001</c:v>
                </c:pt>
                <c:pt idx="11">
                  <c:v>1.454</c:v>
                </c:pt>
                <c:pt idx="12">
                  <c:v>1.4370000000000001</c:v>
                </c:pt>
                <c:pt idx="13">
                  <c:v>1.4339999999999999</c:v>
                </c:pt>
                <c:pt idx="14">
                  <c:v>1.39</c:v>
                </c:pt>
                <c:pt idx="15">
                  <c:v>1.4890000000000001</c:v>
                </c:pt>
                <c:pt idx="16">
                  <c:v>1.389</c:v>
                </c:pt>
                <c:pt idx="17">
                  <c:v>1.2929999999999999</c:v>
                </c:pt>
                <c:pt idx="18">
                  <c:v>1.34</c:v>
                </c:pt>
                <c:pt idx="19">
                  <c:v>1.329</c:v>
                </c:pt>
                <c:pt idx="20">
                  <c:v>1.383</c:v>
                </c:pt>
                <c:pt idx="21">
                  <c:v>1.458</c:v>
                </c:pt>
                <c:pt idx="22">
                  <c:v>1.4570000000000001</c:v>
                </c:pt>
                <c:pt idx="23">
                  <c:v>1.585</c:v>
                </c:pt>
                <c:pt idx="24">
                  <c:v>1.6160000000000001</c:v>
                </c:pt>
                <c:pt idx="25">
                  <c:v>1.647</c:v>
                </c:pt>
                <c:pt idx="26">
                  <c:v>1.65</c:v>
                </c:pt>
                <c:pt idx="27">
                  <c:v>1.601</c:v>
                </c:pt>
                <c:pt idx="28">
                  <c:v>1.6579999999999999</c:v>
                </c:pt>
                <c:pt idx="29">
                  <c:v>1.6639999999999999</c:v>
                </c:pt>
                <c:pt idx="30">
                  <c:v>1.7789999999999999</c:v>
                </c:pt>
                <c:pt idx="31">
                  <c:v>2.0569999999999999</c:v>
                </c:pt>
                <c:pt idx="32">
                  <c:v>1.899</c:v>
                </c:pt>
                <c:pt idx="33">
                  <c:v>1.784</c:v>
                </c:pt>
                <c:pt idx="34">
                  <c:v>1.746</c:v>
                </c:pt>
                <c:pt idx="35">
                  <c:v>1.7</c:v>
                </c:pt>
                <c:pt idx="36">
                  <c:v>1.5780000000000001</c:v>
                </c:pt>
                <c:pt idx="37">
                  <c:v>1.542</c:v>
                </c:pt>
                <c:pt idx="38">
                  <c:v>1.474</c:v>
                </c:pt>
                <c:pt idx="39">
                  <c:v>1.518</c:v>
                </c:pt>
                <c:pt idx="40">
                  <c:v>1.415</c:v>
                </c:pt>
                <c:pt idx="41">
                  <c:v>1.3839999999999999</c:v>
                </c:pt>
                <c:pt idx="42">
                  <c:v>1.4530000000000001</c:v>
                </c:pt>
                <c:pt idx="43">
                  <c:v>1.4850000000000001</c:v>
                </c:pt>
                <c:pt idx="44">
                  <c:v>1.448</c:v>
                </c:pt>
                <c:pt idx="45">
                  <c:v>1.429</c:v>
                </c:pt>
                <c:pt idx="46">
                  <c:v>1.631</c:v>
                </c:pt>
                <c:pt idx="47">
                  <c:v>1.585</c:v>
                </c:pt>
                <c:pt idx="48">
                  <c:v>1.5620000000000001</c:v>
                </c:pt>
                <c:pt idx="49">
                  <c:v>1.599</c:v>
                </c:pt>
                <c:pt idx="50">
                  <c:v>1.7649999999999999</c:v>
                </c:pt>
                <c:pt idx="51">
                  <c:v>1.722</c:v>
                </c:pt>
                <c:pt idx="52">
                  <c:v>1.7470000000000001</c:v>
                </c:pt>
                <c:pt idx="53">
                  <c:v>1.7310000000000001</c:v>
                </c:pt>
                <c:pt idx="54">
                  <c:v>1.9</c:v>
                </c:pt>
                <c:pt idx="55">
                  <c:v>2.1779999999999999</c:v>
                </c:pt>
                <c:pt idx="56">
                  <c:v>2.2450000000000001</c:v>
                </c:pt>
                <c:pt idx="57">
                  <c:v>2.36</c:v>
                </c:pt>
                <c:pt idx="58">
                  <c:v>2.2989999999999999</c:v>
                </c:pt>
                <c:pt idx="59">
                  <c:v>2.4049999999999998</c:v>
                </c:pt>
                <c:pt idx="60">
                  <c:v>2.4220000000000002</c:v>
                </c:pt>
                <c:pt idx="61">
                  <c:v>2.4460000000000002</c:v>
                </c:pt>
                <c:pt idx="62">
                  <c:v>2.1970000000000001</c:v>
                </c:pt>
                <c:pt idx="63">
                  <c:v>2.4409999999999998</c:v>
                </c:pt>
                <c:pt idx="64">
                  <c:v>2.613</c:v>
                </c:pt>
                <c:pt idx="65">
                  <c:v>2.79</c:v>
                </c:pt>
                <c:pt idx="66">
                  <c:v>2.08</c:v>
                </c:pt>
                <c:pt idx="67">
                  <c:v>2.2320000000000002</c:v>
                </c:pt>
                <c:pt idx="68">
                  <c:v>2.2469999999999999</c:v>
                </c:pt>
                <c:pt idx="69">
                  <c:v>2.1739999999999999</c:v>
                </c:pt>
                <c:pt idx="70">
                  <c:v>2.1459999999999999</c:v>
                </c:pt>
                <c:pt idx="71">
                  <c:v>2.282</c:v>
                </c:pt>
                <c:pt idx="72">
                  <c:v>2.1589999999999998</c:v>
                </c:pt>
                <c:pt idx="73">
                  <c:v>2.3860000000000001</c:v>
                </c:pt>
                <c:pt idx="74">
                  <c:v>2.5339999999999998</c:v>
                </c:pt>
                <c:pt idx="75">
                  <c:v>2.3849999999999998</c:v>
                </c:pt>
                <c:pt idx="76">
                  <c:v>2.2650000000000001</c:v>
                </c:pt>
                <c:pt idx="77">
                  <c:v>2.3479999999999999</c:v>
                </c:pt>
                <c:pt idx="78">
                  <c:v>2.3410000000000002</c:v>
                </c:pt>
                <c:pt idx="79">
                  <c:v>2.6179999999999999</c:v>
                </c:pt>
                <c:pt idx="80">
                  <c:v>2.6789999999999998</c:v>
                </c:pt>
                <c:pt idx="81">
                  <c:v>2.5859999999999999</c:v>
                </c:pt>
                <c:pt idx="82">
                  <c:v>2.5379999999999998</c:v>
                </c:pt>
                <c:pt idx="83">
                  <c:v>2.5870000000000002</c:v>
                </c:pt>
                <c:pt idx="84">
                  <c:v>2.6190000000000002</c:v>
                </c:pt>
                <c:pt idx="85">
                  <c:v>2.6349999999999998</c:v>
                </c:pt>
                <c:pt idx="86">
                  <c:v>2.57</c:v>
                </c:pt>
                <c:pt idx="87">
                  <c:v>2.2949999999999999</c:v>
                </c:pt>
                <c:pt idx="88">
                  <c:v>2.2229999999999999</c:v>
                </c:pt>
                <c:pt idx="89">
                  <c:v>2.3180000000000001</c:v>
                </c:pt>
                <c:pt idx="90">
                  <c:v>2.0529999999999999</c:v>
                </c:pt>
                <c:pt idx="91">
                  <c:v>1.974</c:v>
                </c:pt>
                <c:pt idx="92">
                  <c:v>1.9259999999999999</c:v>
                </c:pt>
                <c:pt idx="93">
                  <c:v>2.2229999999999999</c:v>
                </c:pt>
                <c:pt idx="94">
                  <c:v>2.3860000000000001</c:v>
                </c:pt>
                <c:pt idx="95">
                  <c:v>2.214</c:v>
                </c:pt>
                <c:pt idx="96">
                  <c:v>2.1349999999999998</c:v>
                </c:pt>
                <c:pt idx="97">
                  <c:v>2.052</c:v>
                </c:pt>
                <c:pt idx="98">
                  <c:v>1.97</c:v>
                </c:pt>
                <c:pt idx="99">
                  <c:v>2.0339999999999998</c:v>
                </c:pt>
                <c:pt idx="100">
                  <c:v>1.952</c:v>
                </c:pt>
                <c:pt idx="101">
                  <c:v>1.9450000000000001</c:v>
                </c:pt>
                <c:pt idx="102">
                  <c:v>1.9690000000000001</c:v>
                </c:pt>
                <c:pt idx="103">
                  <c:v>2.0379999999999998</c:v>
                </c:pt>
                <c:pt idx="104">
                  <c:v>2.048</c:v>
                </c:pt>
                <c:pt idx="105">
                  <c:v>2.0339999999999998</c:v>
                </c:pt>
                <c:pt idx="106">
                  <c:v>2.004</c:v>
                </c:pt>
                <c:pt idx="107">
                  <c:v>1.9610000000000001</c:v>
                </c:pt>
                <c:pt idx="108">
                  <c:v>2.0179999999999998</c:v>
                </c:pt>
                <c:pt idx="109">
                  <c:v>1.9730000000000001</c:v>
                </c:pt>
                <c:pt idx="110">
                  <c:v>2.1240000000000001</c:v>
                </c:pt>
                <c:pt idx="111">
                  <c:v>2.105</c:v>
                </c:pt>
                <c:pt idx="112">
                  <c:v>2.1110000000000002</c:v>
                </c:pt>
                <c:pt idx="113">
                  <c:v>2.1520000000000001</c:v>
                </c:pt>
                <c:pt idx="114">
                  <c:v>2.2130000000000001</c:v>
                </c:pt>
                <c:pt idx="115">
                  <c:v>2.2570000000000001</c:v>
                </c:pt>
                <c:pt idx="116">
                  <c:v>2.38</c:v>
                </c:pt>
                <c:pt idx="117">
                  <c:v>2.3069999999999999</c:v>
                </c:pt>
                <c:pt idx="118">
                  <c:v>2.355</c:v>
                </c:pt>
                <c:pt idx="119">
                  <c:v>2.0979999999999999</c:v>
                </c:pt>
                <c:pt idx="120">
                  <c:v>1.964</c:v>
                </c:pt>
                <c:pt idx="121">
                  <c:v>1.9219999999999999</c:v>
                </c:pt>
                <c:pt idx="122">
                  <c:v>2.0059999999999998</c:v>
                </c:pt>
                <c:pt idx="123">
                  <c:v>2.06</c:v>
                </c:pt>
                <c:pt idx="124">
                  <c:v>2.0790000000000002</c:v>
                </c:pt>
                <c:pt idx="125">
                  <c:v>2.121</c:v>
                </c:pt>
                <c:pt idx="126">
                  <c:v>2.2999999999999998</c:v>
                </c:pt>
                <c:pt idx="127">
                  <c:v>2.2989999999999999</c:v>
                </c:pt>
                <c:pt idx="128">
                  <c:v>1.9910000000000001</c:v>
                </c:pt>
                <c:pt idx="129">
                  <c:v>2.5590000000000002</c:v>
                </c:pt>
                <c:pt idx="130">
                  <c:v>3.0529999999999999</c:v>
                </c:pt>
                <c:pt idx="131">
                  <c:v>2.7250000000000001</c:v>
                </c:pt>
                <c:pt idx="132">
                  <c:v>2.694</c:v>
                </c:pt>
                <c:pt idx="133">
                  <c:v>2.9620000000000002</c:v>
                </c:pt>
                <c:pt idx="134">
                  <c:v>2.2559999999999998</c:v>
                </c:pt>
                <c:pt idx="135">
                  <c:v>2.1970000000000001</c:v>
                </c:pt>
                <c:pt idx="136">
                  <c:v>2.1389999999999998</c:v>
                </c:pt>
                <c:pt idx="137">
                  <c:v>2.2919999999999998</c:v>
                </c:pt>
                <c:pt idx="138">
                  <c:v>2.2810000000000001</c:v>
                </c:pt>
                <c:pt idx="139">
                  <c:v>2.2000000000000002</c:v>
                </c:pt>
                <c:pt idx="140">
                  <c:v>2.4500000000000002</c:v>
                </c:pt>
                <c:pt idx="141">
                  <c:v>2.1440000000000001</c:v>
                </c:pt>
                <c:pt idx="142">
                  <c:v>2.0870000000000002</c:v>
                </c:pt>
                <c:pt idx="143">
                  <c:v>2.6819999999999999</c:v>
                </c:pt>
                <c:pt idx="144">
                  <c:v>2.8679999999999999</c:v>
                </c:pt>
                <c:pt idx="145">
                  <c:v>2.774</c:v>
                </c:pt>
                <c:pt idx="146">
                  <c:v>2.8479999999999999</c:v>
                </c:pt>
                <c:pt idx="147">
                  <c:v>2.6309999999999998</c:v>
                </c:pt>
                <c:pt idx="148">
                  <c:v>2.5409999999999999</c:v>
                </c:pt>
                <c:pt idx="149">
                  <c:v>2.46</c:v>
                </c:pt>
                <c:pt idx="150">
                  <c:v>2.5129999999999999</c:v>
                </c:pt>
                <c:pt idx="151">
                  <c:v>2.8290000000000002</c:v>
                </c:pt>
                <c:pt idx="152">
                  <c:v>2.9329999999999998</c:v>
                </c:pt>
                <c:pt idx="153">
                  <c:v>2.5449999999999999</c:v>
                </c:pt>
                <c:pt idx="154">
                  <c:v>2.4300000000000002</c:v>
                </c:pt>
                <c:pt idx="155">
                  <c:v>2.7469000000000001</c:v>
                </c:pt>
                <c:pt idx="156">
                  <c:v>2.7141000000000002</c:v>
                </c:pt>
                <c:pt idx="157">
                  <c:v>3.0840999999999998</c:v>
                </c:pt>
                <c:pt idx="158">
                  <c:v>2.9089999999999998</c:v>
                </c:pt>
                <c:pt idx="159">
                  <c:v>2.8664999999999998</c:v>
                </c:pt>
                <c:pt idx="160">
                  <c:v>3.1589</c:v>
                </c:pt>
                <c:pt idx="161">
                  <c:v>3.2921999999999998</c:v>
                </c:pt>
                <c:pt idx="162">
                  <c:v>3.0594999999999999</c:v>
                </c:pt>
                <c:pt idx="163">
                  <c:v>2.8694999999999999</c:v>
                </c:pt>
                <c:pt idx="164">
                  <c:v>2.7313000000000001</c:v>
                </c:pt>
                <c:pt idx="165">
                  <c:v>1.6022000000000001</c:v>
                </c:pt>
                <c:pt idx="166">
                  <c:v>1.5876999999999999</c:v>
                </c:pt>
                <c:pt idx="167">
                  <c:v>1.7022999999999999</c:v>
                </c:pt>
                <c:pt idx="168">
                  <c:v>1.4782999999999999</c:v>
                </c:pt>
                <c:pt idx="169">
                  <c:v>1.5618000000000001</c:v>
                </c:pt>
                <c:pt idx="170">
                  <c:v>1.4670000000000001</c:v>
                </c:pt>
                <c:pt idx="171">
                  <c:v>1.3529</c:v>
                </c:pt>
                <c:pt idx="172">
                  <c:v>1.2644</c:v>
                </c:pt>
                <c:pt idx="173">
                  <c:v>1.3460000000000001</c:v>
                </c:pt>
                <c:pt idx="174">
                  <c:v>1.3473999999999999</c:v>
                </c:pt>
                <c:pt idx="175">
                  <c:v>1.173</c:v>
                </c:pt>
                <c:pt idx="176">
                  <c:v>1.1409</c:v>
                </c:pt>
                <c:pt idx="177">
                  <c:v>1.0747</c:v>
                </c:pt>
                <c:pt idx="178">
                  <c:v>1.121</c:v>
                </c:pt>
                <c:pt idx="179">
                  <c:v>1.1216999999999999</c:v>
                </c:pt>
                <c:pt idx="180">
                  <c:v>1.1624000000000001</c:v>
                </c:pt>
                <c:pt idx="181">
                  <c:v>1.1238999999999999</c:v>
                </c:pt>
                <c:pt idx="182">
                  <c:v>1.1248</c:v>
                </c:pt>
                <c:pt idx="183">
                  <c:v>1.1264000000000001</c:v>
                </c:pt>
                <c:pt idx="184">
                  <c:v>1.2073</c:v>
                </c:pt>
                <c:pt idx="185">
                  <c:v>1.1204000000000001</c:v>
                </c:pt>
                <c:pt idx="186">
                  <c:v>1.2523</c:v>
                </c:pt>
                <c:pt idx="187">
                  <c:v>1.1100000000000001</c:v>
                </c:pt>
                <c:pt idx="188">
                  <c:v>1.0274000000000001</c:v>
                </c:pt>
                <c:pt idx="189">
                  <c:v>0.9476</c:v>
                </c:pt>
                <c:pt idx="190">
                  <c:v>0.92700000000000005</c:v>
                </c:pt>
                <c:pt idx="191">
                  <c:v>0.82689999999999997</c:v>
                </c:pt>
                <c:pt idx="192">
                  <c:v>0.88959999999999995</c:v>
                </c:pt>
                <c:pt idx="193">
                  <c:v>1.0448999999999999</c:v>
                </c:pt>
                <c:pt idx="194">
                  <c:v>0.90769999999999995</c:v>
                </c:pt>
                <c:pt idx="195">
                  <c:v>0.96279999999999999</c:v>
                </c:pt>
                <c:pt idx="196">
                  <c:v>1.1408</c:v>
                </c:pt>
                <c:pt idx="197">
                  <c:v>1.2813000000000001</c:v>
                </c:pt>
                <c:pt idx="198">
                  <c:v>1.2665</c:v>
                </c:pt>
                <c:pt idx="199">
                  <c:v>0.92820000000000003</c:v>
                </c:pt>
                <c:pt idx="200">
                  <c:v>1.004</c:v>
                </c:pt>
                <c:pt idx="201">
                  <c:v>0.82269999999999999</c:v>
                </c:pt>
                <c:pt idx="202">
                  <c:v>0.84899999999999998</c:v>
                </c:pt>
                <c:pt idx="203">
                  <c:v>0.82920000000000005</c:v>
                </c:pt>
                <c:pt idx="204">
                  <c:v>0.91210000000000002</c:v>
                </c:pt>
                <c:pt idx="205">
                  <c:v>0.85060000000000002</c:v>
                </c:pt>
                <c:pt idx="206">
                  <c:v>0.78900000000000003</c:v>
                </c:pt>
                <c:pt idx="207">
                  <c:v>0.84889999999999999</c:v>
                </c:pt>
                <c:pt idx="208">
                  <c:v>0.86819999999999997</c:v>
                </c:pt>
                <c:pt idx="209">
                  <c:v>0.82450000000000001</c:v>
                </c:pt>
                <c:pt idx="210">
                  <c:v>0.75829999999999997</c:v>
                </c:pt>
                <c:pt idx="211">
                  <c:v>0.78480000000000005</c:v>
                </c:pt>
                <c:pt idx="212">
                  <c:v>0.79830000000000001</c:v>
                </c:pt>
                <c:pt idx="213">
                  <c:v>0.76819999999999999</c:v>
                </c:pt>
                <c:pt idx="214">
                  <c:v>0.74560000000000004</c:v>
                </c:pt>
                <c:pt idx="215">
                  <c:v>0.70930000000000004</c:v>
                </c:pt>
                <c:pt idx="216">
                  <c:v>0.6583</c:v>
                </c:pt>
                <c:pt idx="217">
                  <c:v>0.72919999999999996</c:v>
                </c:pt>
                <c:pt idx="218">
                  <c:v>0.72799999999999998</c:v>
                </c:pt>
                <c:pt idx="219">
                  <c:v>0.66400000000000003</c:v>
                </c:pt>
                <c:pt idx="220">
                  <c:v>0.74409999999999998</c:v>
                </c:pt>
                <c:pt idx="221">
                  <c:v>0.89290000000000003</c:v>
                </c:pt>
                <c:pt idx="222">
                  <c:v>0.88870000000000005</c:v>
                </c:pt>
                <c:pt idx="223">
                  <c:v>0.9133</c:v>
                </c:pt>
                <c:pt idx="224">
                  <c:v>1.0198</c:v>
                </c:pt>
                <c:pt idx="225">
                  <c:v>1.0173000000000001</c:v>
                </c:pt>
                <c:pt idx="226">
                  <c:v>1.0731999999999999</c:v>
                </c:pt>
                <c:pt idx="227">
                  <c:v>1.1181000000000001</c:v>
                </c:pt>
                <c:pt idx="228">
                  <c:v>1.0296000000000001</c:v>
                </c:pt>
                <c:pt idx="229">
                  <c:v>0.98509999999999998</c:v>
                </c:pt>
                <c:pt idx="230">
                  <c:v>1.0337000000000001</c:v>
                </c:pt>
                <c:pt idx="231">
                  <c:v>0.99709999999999999</c:v>
                </c:pt>
                <c:pt idx="232">
                  <c:v>1.0538000000000001</c:v>
                </c:pt>
                <c:pt idx="233">
                  <c:v>0.99719999999999998</c:v>
                </c:pt>
                <c:pt idx="234">
                  <c:v>0.99829999999999997</c:v>
                </c:pt>
                <c:pt idx="235">
                  <c:v>1.0900000000000001</c:v>
                </c:pt>
                <c:pt idx="236">
                  <c:v>1.0391999999999999</c:v>
                </c:pt>
                <c:pt idx="237">
                  <c:v>1.0772999999999999</c:v>
                </c:pt>
                <c:pt idx="238">
                  <c:v>1.1742999999999999</c:v>
                </c:pt>
                <c:pt idx="239">
                  <c:v>1.1725000000000001</c:v>
                </c:pt>
                <c:pt idx="240">
                  <c:v>1.1085</c:v>
                </c:pt>
                <c:pt idx="241">
                  <c:v>1.0685</c:v>
                </c:pt>
                <c:pt idx="242">
                  <c:v>1.0033000000000001</c:v>
                </c:pt>
                <c:pt idx="243">
                  <c:v>0.96109999999999995</c:v>
                </c:pt>
                <c:pt idx="244">
                  <c:v>1.0552999999999999</c:v>
                </c:pt>
                <c:pt idx="245">
                  <c:v>1.2269000000000001</c:v>
                </c:pt>
                <c:pt idx="246">
                  <c:v>1.2682</c:v>
                </c:pt>
                <c:pt idx="247">
                  <c:v>1.1748000000000001</c:v>
                </c:pt>
                <c:pt idx="248">
                  <c:v>1.1618999999999999</c:v>
                </c:pt>
                <c:pt idx="249">
                  <c:v>0.91559999999999997</c:v>
                </c:pt>
                <c:pt idx="250">
                  <c:v>1.0945</c:v>
                </c:pt>
                <c:pt idx="251">
                  <c:v>1.2117</c:v>
                </c:pt>
                <c:pt idx="252">
                  <c:v>1.4137999999999999</c:v>
                </c:pt>
                <c:pt idx="253">
                  <c:v>1.2567999999999999</c:v>
                </c:pt>
                <c:pt idx="254">
                  <c:v>1.9992000000000001</c:v>
                </c:pt>
                <c:pt idx="255">
                  <c:v>2.0558999999999998</c:v>
                </c:pt>
                <c:pt idx="256">
                  <c:v>1.8462000000000001</c:v>
                </c:pt>
                <c:pt idx="257">
                  <c:v>1.7985</c:v>
                </c:pt>
                <c:pt idx="258">
                  <c:v>1.996</c:v>
                </c:pt>
                <c:pt idx="259">
                  <c:v>1.8129</c:v>
                </c:pt>
                <c:pt idx="260">
                  <c:v>1.7787999999999999</c:v>
                </c:pt>
                <c:pt idx="261">
                  <c:v>2.1454</c:v>
                </c:pt>
                <c:pt idx="262">
                  <c:v>2.0785999999999998</c:v>
                </c:pt>
                <c:pt idx="263">
                  <c:v>2.1516999999999999</c:v>
                </c:pt>
                <c:pt idx="264">
                  <c:v>2.2279</c:v>
                </c:pt>
                <c:pt idx="265">
                  <c:v>2.2829000000000002</c:v>
                </c:pt>
                <c:pt idx="266">
                  <c:v>2.3450000000000002</c:v>
                </c:pt>
                <c:pt idx="267">
                  <c:v>2.4279999999999999</c:v>
                </c:pt>
                <c:pt idx="268">
                  <c:v>2.2685</c:v>
                </c:pt>
                <c:pt idx="269">
                  <c:v>2.6328</c:v>
                </c:pt>
                <c:pt idx="270">
                  <c:v>2.6836000000000002</c:v>
                </c:pt>
                <c:pt idx="271">
                  <c:v>2.6688000000000001</c:v>
                </c:pt>
                <c:pt idx="272">
                  <c:v>2.2719</c:v>
                </c:pt>
                <c:pt idx="273">
                  <c:v>2.2189000000000001</c:v>
                </c:pt>
                <c:pt idx="274">
                  <c:v>2.2660999999999998</c:v>
                </c:pt>
                <c:pt idx="275">
                  <c:v>2.4386000000000001</c:v>
                </c:pt>
                <c:pt idx="276">
                  <c:v>2.2738999999999998</c:v>
                </c:pt>
                <c:pt idx="277">
                  <c:v>1.9395</c:v>
                </c:pt>
                <c:pt idx="278">
                  <c:v>1.93662</c:v>
                </c:pt>
                <c:pt idx="279">
                  <c:v>1.60358</c:v>
                </c:pt>
                <c:pt idx="280">
                  <c:v>1.702</c:v>
                </c:pt>
                <c:pt idx="281">
                  <c:v>1.7533300000000001</c:v>
                </c:pt>
                <c:pt idx="282">
                  <c:v>1.89411</c:v>
                </c:pt>
                <c:pt idx="283">
                  <c:v>1.92438</c:v>
                </c:pt>
                <c:pt idx="284">
                  <c:v>2.1613500000000001</c:v>
                </c:pt>
                <c:pt idx="285">
                  <c:v>2.3643299999999998</c:v>
                </c:pt>
                <c:pt idx="286">
                  <c:v>2.4771899999999998</c:v>
                </c:pt>
                <c:pt idx="287">
                  <c:v>2.59904</c:v>
                </c:pt>
                <c:pt idx="288">
                  <c:v>2.5039500000000001</c:v>
                </c:pt>
                <c:pt idx="289">
                  <c:v>2.6123599999999998</c:v>
                </c:pt>
                <c:pt idx="290">
                  <c:v>2.6267999999999998</c:v>
                </c:pt>
                <c:pt idx="291">
                  <c:v>2.2640099999999999</c:v>
                </c:pt>
                <c:pt idx="292">
                  <c:v>2.3518699999999999</c:v>
                </c:pt>
                <c:pt idx="293">
                  <c:v>2.3893</c:v>
                </c:pt>
                <c:pt idx="294">
                  <c:v>2.4281999999999999</c:v>
                </c:pt>
                <c:pt idx="295">
                  <c:v>2.46624</c:v>
                </c:pt>
                <c:pt idx="296">
                  <c:v>2.3957700000000002</c:v>
                </c:pt>
                <c:pt idx="297">
                  <c:v>2.7555200000000002</c:v>
                </c:pt>
                <c:pt idx="298">
                  <c:v>3.0489999999999999</c:v>
                </c:pt>
                <c:pt idx="299">
                  <c:v>3.0847199999999999</c:v>
                </c:pt>
                <c:pt idx="300">
                  <c:v>3.18512</c:v>
                </c:pt>
                <c:pt idx="301">
                  <c:v>3.1276899999999999</c:v>
                </c:pt>
                <c:pt idx="302">
                  <c:v>3.1618400000000002</c:v>
                </c:pt>
                <c:pt idx="303">
                  <c:v>3.4241700000000002</c:v>
                </c:pt>
                <c:pt idx="304">
                  <c:v>3.3258899999999998</c:v>
                </c:pt>
                <c:pt idx="305">
                  <c:v>3.67509</c:v>
                </c:pt>
                <c:pt idx="306">
                  <c:v>4.03</c:v>
                </c:pt>
                <c:pt idx="307">
                  <c:v>2.99688</c:v>
                </c:pt>
                <c:pt idx="308">
                  <c:v>2.39974</c:v>
                </c:pt>
                <c:pt idx="309">
                  <c:v>2.0520100000000001</c:v>
                </c:pt>
                <c:pt idx="310">
                  <c:v>1.8730500000000001</c:v>
                </c:pt>
                <c:pt idx="311">
                  <c:v>1.7582</c:v>
                </c:pt>
                <c:pt idx="312">
                  <c:v>1.55491</c:v>
                </c:pt>
                <c:pt idx="313">
                  <c:v>1.3994</c:v>
                </c:pt>
                <c:pt idx="314">
                  <c:v>1.5360199999999999</c:v>
                </c:pt>
                <c:pt idx="315">
                  <c:v>1.5049999999999999</c:v>
                </c:pt>
                <c:pt idx="316">
                  <c:v>1.631</c:v>
                </c:pt>
                <c:pt idx="317">
                  <c:v>1.74</c:v>
                </c:pt>
                <c:pt idx="318">
                  <c:v>1.7643</c:v>
                </c:pt>
                <c:pt idx="319">
                  <c:v>1.40622</c:v>
                </c:pt>
                <c:pt idx="320">
                  <c:v>1.4688699999999999</c:v>
                </c:pt>
                <c:pt idx="321">
                  <c:v>1.00766</c:v>
                </c:pt>
                <c:pt idx="322">
                  <c:v>1.07785</c:v>
                </c:pt>
                <c:pt idx="323">
                  <c:v>1.01179</c:v>
                </c:pt>
                <c:pt idx="324">
                  <c:v>1.0833999999999999</c:v>
                </c:pt>
                <c:pt idx="325">
                  <c:v>0.94498000000000004</c:v>
                </c:pt>
                <c:pt idx="326">
                  <c:v>0.88122</c:v>
                </c:pt>
                <c:pt idx="327">
                  <c:v>1.0142800000000001</c:v>
                </c:pt>
                <c:pt idx="328">
                  <c:v>0.59970000000000001</c:v>
                </c:pt>
                <c:pt idx="329">
                  <c:v>0.60867000000000004</c:v>
                </c:pt>
                <c:pt idx="330">
                  <c:v>0.49807000000000001</c:v>
                </c:pt>
                <c:pt idx="331">
                  <c:v>0.45661000000000002</c:v>
                </c:pt>
                <c:pt idx="332">
                  <c:v>0.40267999999999998</c:v>
                </c:pt>
                <c:pt idx="333">
                  <c:v>0.37964999999999999</c:v>
                </c:pt>
                <c:pt idx="334">
                  <c:v>0.40561000000000003</c:v>
                </c:pt>
                <c:pt idx="335">
                  <c:v>0.45678999999999997</c:v>
                </c:pt>
                <c:pt idx="336">
                  <c:v>0.46434999999999998</c:v>
                </c:pt>
                <c:pt idx="337">
                  <c:v>0.42563000000000001</c:v>
                </c:pt>
                <c:pt idx="338">
                  <c:v>0.38434000000000001</c:v>
                </c:pt>
                <c:pt idx="339">
                  <c:v>0.41299999999999998</c:v>
                </c:pt>
                <c:pt idx="340">
                  <c:v>0.42270999999999997</c:v>
                </c:pt>
                <c:pt idx="341">
                  <c:v>0.40895999999999999</c:v>
                </c:pt>
                <c:pt idx="342">
                  <c:v>0.45591999999999999</c:v>
                </c:pt>
                <c:pt idx="343">
                  <c:v>0.44647999999999999</c:v>
                </c:pt>
                <c:pt idx="344">
                  <c:v>0.35536000000000001</c:v>
                </c:pt>
                <c:pt idx="345">
                  <c:v>0.34636</c:v>
                </c:pt>
                <c:pt idx="346">
                  <c:v>0.34982999999999997</c:v>
                </c:pt>
                <c:pt idx="347">
                  <c:v>0.35897000000000001</c:v>
                </c:pt>
                <c:pt idx="348">
                  <c:v>0.40015000000000001</c:v>
                </c:pt>
                <c:pt idx="349">
                  <c:v>0.40027000000000001</c:v>
                </c:pt>
                <c:pt idx="350">
                  <c:v>0.39217999999999997</c:v>
                </c:pt>
                <c:pt idx="351">
                  <c:v>0.38274999999999998</c:v>
                </c:pt>
                <c:pt idx="352">
                  <c:v>0.32128000000000001</c:v>
                </c:pt>
                <c:pt idx="353">
                  <c:v>0.29875000000000002</c:v>
                </c:pt>
                <c:pt idx="354">
                  <c:v>0.29554000000000002</c:v>
                </c:pt>
                <c:pt idx="355">
                  <c:v>0.24920999999999999</c:v>
                </c:pt>
                <c:pt idx="356">
                  <c:v>0.27495000000000003</c:v>
                </c:pt>
                <c:pt idx="357">
                  <c:v>0.24589</c:v>
                </c:pt>
                <c:pt idx="358">
                  <c:v>0.2263</c:v>
                </c:pt>
                <c:pt idx="359">
                  <c:v>0.21417</c:v>
                </c:pt>
                <c:pt idx="360">
                  <c:v>0.21195</c:v>
                </c:pt>
                <c:pt idx="361">
                  <c:v>0.21354000000000001</c:v>
                </c:pt>
                <c:pt idx="362">
                  <c:v>0.21415999999999999</c:v>
                </c:pt>
                <c:pt idx="363">
                  <c:v>0.20906</c:v>
                </c:pt>
                <c:pt idx="364">
                  <c:v>0.22198000000000001</c:v>
                </c:pt>
                <c:pt idx="365">
                  <c:v>0.2165</c:v>
                </c:pt>
                <c:pt idx="366">
                  <c:v>0.2485</c:v>
                </c:pt>
                <c:pt idx="367">
                  <c:v>0.19681000000000001</c:v>
                </c:pt>
                <c:pt idx="368">
                  <c:v>0.20637</c:v>
                </c:pt>
                <c:pt idx="369">
                  <c:v>0.20458999999999999</c:v>
                </c:pt>
                <c:pt idx="370">
                  <c:v>0.21503</c:v>
                </c:pt>
                <c:pt idx="371">
                  <c:v>0.20646999999999999</c:v>
                </c:pt>
                <c:pt idx="372">
                  <c:v>0.18715000000000001</c:v>
                </c:pt>
                <c:pt idx="373">
                  <c:v>0.19536999999999999</c:v>
                </c:pt>
                <c:pt idx="374">
                  <c:v>0.20805999999999999</c:v>
                </c:pt>
                <c:pt idx="375">
                  <c:v>0.18293000000000001</c:v>
                </c:pt>
                <c:pt idx="376">
                  <c:v>0.18787999999999999</c:v>
                </c:pt>
                <c:pt idx="377">
                  <c:v>0.18351999999999999</c:v>
                </c:pt>
                <c:pt idx="378">
                  <c:v>0.17468</c:v>
                </c:pt>
                <c:pt idx="379">
                  <c:v>0.17405000000000001</c:v>
                </c:pt>
                <c:pt idx="380">
                  <c:v>0.16918</c:v>
                </c:pt>
                <c:pt idx="381">
                  <c:v>0.16788</c:v>
                </c:pt>
                <c:pt idx="382">
                  <c:v>0.19312000000000001</c:v>
                </c:pt>
                <c:pt idx="383">
                  <c:v>0.18276000000000001</c:v>
                </c:pt>
                <c:pt idx="384">
                  <c:v>0.19166</c:v>
                </c:pt>
                <c:pt idx="385">
                  <c:v>0.17779</c:v>
                </c:pt>
                <c:pt idx="386">
                  <c:v>0.16758999999999999</c:v>
                </c:pt>
                <c:pt idx="387">
                  <c:v>0.15647</c:v>
                </c:pt>
                <c:pt idx="388">
                  <c:v>0.15490999999999999</c:v>
                </c:pt>
                <c:pt idx="389">
                  <c:v>0.16089000000000001</c:v>
                </c:pt>
                <c:pt idx="390">
                  <c:v>0.15637999999999999</c:v>
                </c:pt>
                <c:pt idx="391">
                  <c:v>0.15925</c:v>
                </c:pt>
                <c:pt idx="392">
                  <c:v>0.15310000000000001</c:v>
                </c:pt>
                <c:pt idx="393">
                  <c:v>0.15060000000000001</c:v>
                </c:pt>
                <c:pt idx="394">
                  <c:v>0.16245999999999999</c:v>
                </c:pt>
                <c:pt idx="395">
                  <c:v>0.16814000000000001</c:v>
                </c:pt>
                <c:pt idx="396">
                  <c:v>0.18435000000000001</c:v>
                </c:pt>
                <c:pt idx="397">
                  <c:v>0.14668</c:v>
                </c:pt>
                <c:pt idx="398">
                  <c:v>0.14660999999999999</c:v>
                </c:pt>
                <c:pt idx="399">
                  <c:v>0.15833</c:v>
                </c:pt>
                <c:pt idx="400">
                  <c:v>0.15465999999999999</c:v>
                </c:pt>
                <c:pt idx="401">
                  <c:v>0.18487000000000001</c:v>
                </c:pt>
                <c:pt idx="402">
                  <c:v>0.16966000000000001</c:v>
                </c:pt>
                <c:pt idx="403">
                  <c:v>0.18776000000000001</c:v>
                </c:pt>
                <c:pt idx="404">
                  <c:v>0.2029</c:v>
                </c:pt>
                <c:pt idx="405">
                  <c:v>0.21503</c:v>
                </c:pt>
                <c:pt idx="406">
                  <c:v>0.23183000000000001</c:v>
                </c:pt>
                <c:pt idx="407">
                  <c:v>0.20826</c:v>
                </c:pt>
                <c:pt idx="408">
                  <c:v>0.17326</c:v>
                </c:pt>
                <c:pt idx="409">
                  <c:v>0.16975000000000001</c:v>
                </c:pt>
                <c:pt idx="410">
                  <c:v>0.17493</c:v>
                </c:pt>
                <c:pt idx="411">
                  <c:v>0.16647000000000001</c:v>
                </c:pt>
                <c:pt idx="412">
                  <c:v>0.16417000000000001</c:v>
                </c:pt>
                <c:pt idx="413">
                  <c:v>0.16408</c:v>
                </c:pt>
                <c:pt idx="414">
                  <c:v>0.18503</c:v>
                </c:pt>
                <c:pt idx="415">
                  <c:v>0.19291</c:v>
                </c:pt>
                <c:pt idx="416">
                  <c:v>0.16449</c:v>
                </c:pt>
                <c:pt idx="417">
                  <c:v>0.15661</c:v>
                </c:pt>
                <c:pt idx="418">
                  <c:v>0.15373000000000001</c:v>
                </c:pt>
                <c:pt idx="419">
                  <c:v>0.13370000000000001</c:v>
                </c:pt>
                <c:pt idx="420">
                  <c:v>0.13944999999999999</c:v>
                </c:pt>
                <c:pt idx="421">
                  <c:v>0.13663</c:v>
                </c:pt>
                <c:pt idx="422">
                  <c:v>0.1245</c:v>
                </c:pt>
                <c:pt idx="423">
                  <c:v>0.12508</c:v>
                </c:pt>
                <c:pt idx="424">
                  <c:v>0.13012000000000001</c:v>
                </c:pt>
                <c:pt idx="425">
                  <c:v>0.13149</c:v>
                </c:pt>
                <c:pt idx="426">
                  <c:v>0.12736</c:v>
                </c:pt>
                <c:pt idx="427">
                  <c:v>9.987E-2</c:v>
                </c:pt>
                <c:pt idx="428">
                  <c:v>0.12</c:v>
                </c:pt>
                <c:pt idx="429">
                  <c:v>0.12429999999999999</c:v>
                </c:pt>
                <c:pt idx="430">
                  <c:v>0.13602</c:v>
                </c:pt>
                <c:pt idx="431">
                  <c:v>0.12741</c:v>
                </c:pt>
                <c:pt idx="432">
                  <c:v>0.13494999999999999</c:v>
                </c:pt>
                <c:pt idx="433">
                  <c:v>0.13805000000000001</c:v>
                </c:pt>
                <c:pt idx="434">
                  <c:v>0.1399</c:v>
                </c:pt>
                <c:pt idx="435">
                  <c:v>0.1507</c:v>
                </c:pt>
                <c:pt idx="436">
                  <c:v>0.18931999999999999</c:v>
                </c:pt>
                <c:pt idx="437">
                  <c:v>0.14180000000000001</c:v>
                </c:pt>
                <c:pt idx="438">
                  <c:v>0.14699999999999999</c:v>
                </c:pt>
                <c:pt idx="439">
                  <c:v>0.12908</c:v>
                </c:pt>
                <c:pt idx="440">
                  <c:v>0.15053</c:v>
                </c:pt>
                <c:pt idx="441">
                  <c:v>0.1515</c:v>
                </c:pt>
                <c:pt idx="442">
                  <c:v>0.13142000000000001</c:v>
                </c:pt>
                <c:pt idx="443">
                  <c:v>0.13954</c:v>
                </c:pt>
                <c:pt idx="444">
                  <c:v>0.12446</c:v>
                </c:pt>
                <c:pt idx="445">
                  <c:v>0.12553</c:v>
                </c:pt>
                <c:pt idx="446">
                  <c:v>0.10150000000000001</c:v>
                </c:pt>
                <c:pt idx="447">
                  <c:v>9.8479999999999998E-2</c:v>
                </c:pt>
                <c:pt idx="448">
                  <c:v>9.2979999999999993E-2</c:v>
                </c:pt>
                <c:pt idx="449">
                  <c:v>9.9779999999999994E-2</c:v>
                </c:pt>
                <c:pt idx="450">
                  <c:v>8.2309999999999994E-2</c:v>
                </c:pt>
                <c:pt idx="451">
                  <c:v>9.3289999999999998E-2</c:v>
                </c:pt>
                <c:pt idx="452">
                  <c:v>0.10093000000000001</c:v>
                </c:pt>
                <c:pt idx="453">
                  <c:v>0.11158999999999999</c:v>
                </c:pt>
                <c:pt idx="454">
                  <c:v>0.12119000000000001</c:v>
                </c:pt>
                <c:pt idx="455">
                  <c:v>0.10044</c:v>
                </c:pt>
                <c:pt idx="456">
                  <c:v>0.1153</c:v>
                </c:pt>
                <c:pt idx="457">
                  <c:v>0.15998999999999999</c:v>
                </c:pt>
                <c:pt idx="458">
                  <c:v>0.16585</c:v>
                </c:pt>
                <c:pt idx="459">
                  <c:v>0.18507999999999999</c:v>
                </c:pt>
                <c:pt idx="460">
                  <c:v>0.23827000000000001</c:v>
                </c:pt>
                <c:pt idx="461">
                  <c:v>0.19225999999999999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73-4B1F-8B38-BDDE54CEDED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-6.9386101661757813</c:v>
                </c:pt>
                <c:pt idx="1">
                  <c:v>-6.9364838721757813</c:v>
                </c:pt>
                <c:pt idx="2">
                  <c:v>-6.9098223349911665</c:v>
                </c:pt>
                <c:pt idx="3">
                  <c:v>-6.9262484625340237</c:v>
                </c:pt>
                <c:pt idx="4">
                  <c:v>-6.9222623425340233</c:v>
                </c:pt>
                <c:pt idx="5">
                  <c:v>-6.9364181120340236</c:v>
                </c:pt>
                <c:pt idx="6">
                  <c:v>-6.8992157233915457</c:v>
                </c:pt>
                <c:pt idx="7">
                  <c:v>-6.8401201045873794</c:v>
                </c:pt>
                <c:pt idx="8">
                  <c:v>-6.8154283796825519</c:v>
                </c:pt>
                <c:pt idx="9">
                  <c:v>-6.7987808273377244</c:v>
                </c:pt>
                <c:pt idx="10">
                  <c:v>-6.8024653522013603</c:v>
                </c:pt>
                <c:pt idx="11">
                  <c:v>-6.7808429790402869</c:v>
                </c:pt>
                <c:pt idx="12">
                  <c:v>-6.7822688495626746</c:v>
                </c:pt>
                <c:pt idx="13">
                  <c:v>-6.7745847302026752</c:v>
                </c:pt>
                <c:pt idx="14">
                  <c:v>-6.7994974192724422</c:v>
                </c:pt>
                <c:pt idx="15">
                  <c:v>-6.7644092455967666</c:v>
                </c:pt>
                <c:pt idx="16">
                  <c:v>-6.7843594363923874</c:v>
                </c:pt>
                <c:pt idx="17">
                  <c:v>-6.816706700460184</c:v>
                </c:pt>
                <c:pt idx="18">
                  <c:v>-6.8213190679601841</c:v>
                </c:pt>
                <c:pt idx="19">
                  <c:v>-6.8232011292744694</c:v>
                </c:pt>
                <c:pt idx="20">
                  <c:v>-6.8144388164926513</c:v>
                </c:pt>
                <c:pt idx="21">
                  <c:v>-6.8024558783832765</c:v>
                </c:pt>
                <c:pt idx="22">
                  <c:v>-6.8314911648118466</c:v>
                </c:pt>
                <c:pt idx="23">
                  <c:v>-6.8122817166689895</c:v>
                </c:pt>
                <c:pt idx="24">
                  <c:v>-6.7915179260536052</c:v>
                </c:pt>
                <c:pt idx="25">
                  <c:v>-6.7689958641390753</c:v>
                </c:pt>
                <c:pt idx="26">
                  <c:v>-6.7624307856470125</c:v>
                </c:pt>
                <c:pt idx="27">
                  <c:v>-6.7867534641085507</c:v>
                </c:pt>
                <c:pt idx="28">
                  <c:v>-6.7456028423744465</c:v>
                </c:pt>
                <c:pt idx="29">
                  <c:v>-6.7410003095084665</c:v>
                </c:pt>
                <c:pt idx="30">
                  <c:v>-6.6959408570248993</c:v>
                </c:pt>
                <c:pt idx="31">
                  <c:v>-6.5972364962681409</c:v>
                </c:pt>
                <c:pt idx="32">
                  <c:v>-6.6501489798289253</c:v>
                </c:pt>
                <c:pt idx="33">
                  <c:v>-6.6378286336726751</c:v>
                </c:pt>
                <c:pt idx="34">
                  <c:v>-6.6340207764726751</c:v>
                </c:pt>
                <c:pt idx="35">
                  <c:v>-6.6325996450625357</c:v>
                </c:pt>
                <c:pt idx="36">
                  <c:v>-6.6571922908317678</c:v>
                </c:pt>
                <c:pt idx="37">
                  <c:v>-6.6608619938047413</c:v>
                </c:pt>
                <c:pt idx="38">
                  <c:v>-6.6942517754333126</c:v>
                </c:pt>
                <c:pt idx="39">
                  <c:v>-6.7014724050754175</c:v>
                </c:pt>
                <c:pt idx="40">
                  <c:v>-6.6457019668580273</c:v>
                </c:pt>
                <c:pt idx="41">
                  <c:v>-6.6522339718580268</c:v>
                </c:pt>
                <c:pt idx="42">
                  <c:v>-6.6307214974477713</c:v>
                </c:pt>
                <c:pt idx="43">
                  <c:v>-6.5960555034100352</c:v>
                </c:pt>
                <c:pt idx="44">
                  <c:v>-6.6265974129217371</c:v>
                </c:pt>
                <c:pt idx="45">
                  <c:v>-6.6520128373258611</c:v>
                </c:pt>
                <c:pt idx="46">
                  <c:v>-6.6112153850936162</c:v>
                </c:pt>
                <c:pt idx="47">
                  <c:v>-6.6269387567364726</c:v>
                </c:pt>
                <c:pt idx="48">
                  <c:v>-6.6285414544637451</c:v>
                </c:pt>
                <c:pt idx="49">
                  <c:v>-6.4950413284214914</c:v>
                </c:pt>
                <c:pt idx="50">
                  <c:v>-6.4154643534074065</c:v>
                </c:pt>
                <c:pt idx="51">
                  <c:v>-6.4334427183005376</c:v>
                </c:pt>
                <c:pt idx="52">
                  <c:v>-6.3829144248685834</c:v>
                </c:pt>
                <c:pt idx="53">
                  <c:v>-6.3663978374902053</c:v>
                </c:pt>
                <c:pt idx="54">
                  <c:v>-6.3252037868502056</c:v>
                </c:pt>
                <c:pt idx="55">
                  <c:v>-6.3632911131506669</c:v>
                </c:pt>
                <c:pt idx="56">
                  <c:v>-6.349774993665374</c:v>
                </c:pt>
                <c:pt idx="57">
                  <c:v>-6.3272803916455711</c:v>
                </c:pt>
                <c:pt idx="58">
                  <c:v>-6.2538458001161592</c:v>
                </c:pt>
                <c:pt idx="59">
                  <c:v>-6.1832245302250692</c:v>
                </c:pt>
                <c:pt idx="60">
                  <c:v>-6.1147336448917349</c:v>
                </c:pt>
                <c:pt idx="61">
                  <c:v>-6.1995432249003564</c:v>
                </c:pt>
                <c:pt idx="62">
                  <c:v>-6.2356561408828508</c:v>
                </c:pt>
                <c:pt idx="63">
                  <c:v>-6.1431518409232826</c:v>
                </c:pt>
                <c:pt idx="64">
                  <c:v>-6.0246582735757208</c:v>
                </c:pt>
                <c:pt idx="65">
                  <c:v>-5.9067453113257207</c:v>
                </c:pt>
                <c:pt idx="66">
                  <c:v>-6.1583906016564756</c:v>
                </c:pt>
                <c:pt idx="67">
                  <c:v>-6.0762132703529028</c:v>
                </c:pt>
                <c:pt idx="68">
                  <c:v>-6.0395314258552517</c:v>
                </c:pt>
                <c:pt idx="69">
                  <c:v>-6.0764416266781094</c:v>
                </c:pt>
                <c:pt idx="70">
                  <c:v>-6.0528652208339535</c:v>
                </c:pt>
                <c:pt idx="71">
                  <c:v>-5.0219659980715887</c:v>
                </c:pt>
                <c:pt idx="72">
                  <c:v>-5.0844834185440284</c:v>
                </c:pt>
                <c:pt idx="73">
                  <c:v>-5.0706990963017606</c:v>
                </c:pt>
                <c:pt idx="74">
                  <c:v>-5.0373473188716531</c:v>
                </c:pt>
                <c:pt idx="75">
                  <c:v>-5.0586626981286811</c:v>
                </c:pt>
                <c:pt idx="76">
                  <c:v>-5.0671723162908435</c:v>
                </c:pt>
                <c:pt idx="77">
                  <c:v>-5.0542116446581904</c:v>
                </c:pt>
                <c:pt idx="78">
                  <c:v>-5.0542116446581904</c:v>
                </c:pt>
                <c:pt idx="79">
                  <c:v>-5.0165436077617853</c:v>
                </c:pt>
                <c:pt idx="80">
                  <c:v>-4.9572598357617856</c:v>
                </c:pt>
                <c:pt idx="81">
                  <c:v>-5.0079095332463215</c:v>
                </c:pt>
                <c:pt idx="82">
                  <c:v>-5.0044759046231322</c:v>
                </c:pt>
                <c:pt idx="83">
                  <c:v>-4.9887102077725576</c:v>
                </c:pt>
                <c:pt idx="84">
                  <c:v>-4.8866105134220428</c:v>
                </c:pt>
                <c:pt idx="85">
                  <c:v>-4.8844759363516204</c:v>
                </c:pt>
                <c:pt idx="86">
                  <c:v>-4.8936924113815605</c:v>
                </c:pt>
                <c:pt idx="87">
                  <c:v>-4.8705551834432894</c:v>
                </c:pt>
                <c:pt idx="88">
                  <c:v>-4.8514551557917738</c:v>
                </c:pt>
                <c:pt idx="89">
                  <c:v>-4.6510689619895755</c:v>
                </c:pt>
                <c:pt idx="90">
                  <c:v>-4.7363145045853203</c:v>
                </c:pt>
                <c:pt idx="91">
                  <c:v>-4.7456709730050735</c:v>
                </c:pt>
                <c:pt idx="92">
                  <c:v>-4.7505471403281501</c:v>
                </c:pt>
                <c:pt idx="93">
                  <c:v>-4.7002383930340317</c:v>
                </c:pt>
                <c:pt idx="94">
                  <c:v>-4.6588017590596724</c:v>
                </c:pt>
                <c:pt idx="95">
                  <c:v>-4.741826985905826</c:v>
                </c:pt>
                <c:pt idx="96">
                  <c:v>-4.6978585484639659</c:v>
                </c:pt>
                <c:pt idx="97">
                  <c:v>-4.6983779485615269</c:v>
                </c:pt>
                <c:pt idx="98">
                  <c:v>-4.7077033441575544</c:v>
                </c:pt>
                <c:pt idx="99">
                  <c:v>-4.6538097656718405</c:v>
                </c:pt>
                <c:pt idx="100">
                  <c:v>-4.6900966056214806</c:v>
                </c:pt>
                <c:pt idx="101">
                  <c:v>-4.6940135496214799</c:v>
                </c:pt>
                <c:pt idx="102">
                  <c:v>-4.6392715496214798</c:v>
                </c:pt>
                <c:pt idx="103">
                  <c:v>-4.6182401189585578</c:v>
                </c:pt>
                <c:pt idx="104">
                  <c:v>-4.551087495674687</c:v>
                </c:pt>
                <c:pt idx="105">
                  <c:v>-4.55776724601367</c:v>
                </c:pt>
                <c:pt idx="106">
                  <c:v>-4.534978320393515</c:v>
                </c:pt>
                <c:pt idx="107">
                  <c:v>-4.5692119925723231</c:v>
                </c:pt>
                <c:pt idx="108">
                  <c:v>-4.5941817669127483</c:v>
                </c:pt>
                <c:pt idx="109">
                  <c:v>-4.6023654832204404</c:v>
                </c:pt>
                <c:pt idx="110">
                  <c:v>-4.5529041817142666</c:v>
                </c:pt>
                <c:pt idx="111">
                  <c:v>-4.554095499969586</c:v>
                </c:pt>
                <c:pt idx="112">
                  <c:v>-4.5315147394838711</c:v>
                </c:pt>
                <c:pt idx="113">
                  <c:v>-4.4946753834838722</c:v>
                </c:pt>
                <c:pt idx="114">
                  <c:v>-4.4731107192885364</c:v>
                </c:pt>
                <c:pt idx="115">
                  <c:v>-4.4530191006061841</c:v>
                </c:pt>
                <c:pt idx="116">
                  <c:v>-4.4178714264598433</c:v>
                </c:pt>
                <c:pt idx="117">
                  <c:v>-4.4078325091660746</c:v>
                </c:pt>
                <c:pt idx="118">
                  <c:v>-4.3697902300204436</c:v>
                </c:pt>
                <c:pt idx="119">
                  <c:v>-4.442607149095176</c:v>
                </c:pt>
                <c:pt idx="120">
                  <c:v>-4.4702677679523193</c:v>
                </c:pt>
                <c:pt idx="121">
                  <c:v>-4.4574003271547733</c:v>
                </c:pt>
                <c:pt idx="122">
                  <c:v>-4.3975041585596513</c:v>
                </c:pt>
                <c:pt idx="123">
                  <c:v>-4.3327355437647794</c:v>
                </c:pt>
                <c:pt idx="124">
                  <c:v>-4.3479900501985149</c:v>
                </c:pt>
                <c:pt idx="125">
                  <c:v>-4.3307728401386347</c:v>
                </c:pt>
                <c:pt idx="126">
                  <c:v>-4.3330097259786342</c:v>
                </c:pt>
                <c:pt idx="127">
                  <c:v>-4.3403341556953716</c:v>
                </c:pt>
                <c:pt idx="128">
                  <c:v>-4.4396734123330202</c:v>
                </c:pt>
                <c:pt idx="129">
                  <c:v>-4.2606622789105071</c:v>
                </c:pt>
                <c:pt idx="130">
                  <c:v>-4.112446553198482</c:v>
                </c:pt>
                <c:pt idx="131">
                  <c:v>-4.2316376188742097</c:v>
                </c:pt>
                <c:pt idx="132">
                  <c:v>-4.1994896334364737</c:v>
                </c:pt>
                <c:pt idx="133">
                  <c:v>-3.9467444269394849</c:v>
                </c:pt>
                <c:pt idx="134">
                  <c:v>-4.3068480456120515</c:v>
                </c:pt>
                <c:pt idx="135">
                  <c:v>-4.384654856175688</c:v>
                </c:pt>
                <c:pt idx="136">
                  <c:v>-4.3894775044733976</c:v>
                </c:pt>
                <c:pt idx="137">
                  <c:v>-4.3788483957654618</c:v>
                </c:pt>
                <c:pt idx="138">
                  <c:v>-4.3576772473403409</c:v>
                </c:pt>
                <c:pt idx="139">
                  <c:v>-4.3738571567767037</c:v>
                </c:pt>
                <c:pt idx="140">
                  <c:v>-4.2786395515228177</c:v>
                </c:pt>
                <c:pt idx="141">
                  <c:v>-4.3927296598214607</c:v>
                </c:pt>
                <c:pt idx="142">
                  <c:v>-4.4850244143710789</c:v>
                </c:pt>
                <c:pt idx="143">
                  <c:v>-4.3309571665804913</c:v>
                </c:pt>
                <c:pt idx="144">
                  <c:v>-4.2655162362828722</c:v>
                </c:pt>
                <c:pt idx="145">
                  <c:v>-4.310939329474361</c:v>
                </c:pt>
                <c:pt idx="146">
                  <c:v>-4.2459819415217543</c:v>
                </c:pt>
                <c:pt idx="147">
                  <c:v>-4.2837599246680957</c:v>
                </c:pt>
                <c:pt idx="148">
                  <c:v>-4.3086022868872744</c:v>
                </c:pt>
                <c:pt idx="149">
                  <c:v>-4.409026022812383</c:v>
                </c:pt>
                <c:pt idx="150">
                  <c:v>-4.3152809380575095</c:v>
                </c:pt>
                <c:pt idx="151">
                  <c:v>-4.1663041413146518</c:v>
                </c:pt>
                <c:pt idx="152">
                  <c:v>-4.0721136897731887</c:v>
                </c:pt>
                <c:pt idx="153">
                  <c:v>-4.2139464394117168</c:v>
                </c:pt>
                <c:pt idx="154">
                  <c:v>-4.3122911110376618</c:v>
                </c:pt>
                <c:pt idx="155">
                  <c:v>-4.1960676111709949</c:v>
                </c:pt>
                <c:pt idx="156">
                  <c:v>-4.2214572832711159</c:v>
                </c:pt>
                <c:pt idx="157">
                  <c:v>-4.1011945749437171</c:v>
                </c:pt>
                <c:pt idx="158">
                  <c:v>-4.178707818494642</c:v>
                </c:pt>
                <c:pt idx="159">
                  <c:v>-4.1711233654924698</c:v>
                </c:pt>
                <c:pt idx="160">
                  <c:v>-3.9353763181360599</c:v>
                </c:pt>
                <c:pt idx="161">
                  <c:v>-3.764897208601881</c:v>
                </c:pt>
                <c:pt idx="162">
                  <c:v>-3.7059388669989817</c:v>
                </c:pt>
                <c:pt idx="163">
                  <c:v>-3.6658537654678107</c:v>
                </c:pt>
                <c:pt idx="164">
                  <c:v>-2.5670803693506179</c:v>
                </c:pt>
                <c:pt idx="165">
                  <c:v>-3.0903637225503409</c:v>
                </c:pt>
                <c:pt idx="166">
                  <c:v>-3.1096854563224872</c:v>
                </c:pt>
                <c:pt idx="167">
                  <c:v>-3.0739668035240366</c:v>
                </c:pt>
                <c:pt idx="168">
                  <c:v>-3.1214193279355422</c:v>
                </c:pt>
                <c:pt idx="169">
                  <c:v>-3.0904046823339546</c:v>
                </c:pt>
                <c:pt idx="170">
                  <c:v>-3.0602447146890794</c:v>
                </c:pt>
                <c:pt idx="171">
                  <c:v>-3.1148703537559546</c:v>
                </c:pt>
                <c:pt idx="172">
                  <c:v>-3.1341566691315497</c:v>
                </c:pt>
                <c:pt idx="173">
                  <c:v>-3.1190731157459082</c:v>
                </c:pt>
                <c:pt idx="174">
                  <c:v>-3.0986381986650797</c:v>
                </c:pt>
                <c:pt idx="175">
                  <c:v>-3.1845771192047092</c:v>
                </c:pt>
                <c:pt idx="176">
                  <c:v>-3.2467633609047093</c:v>
                </c:pt>
                <c:pt idx="177">
                  <c:v>-3.2722691263980423</c:v>
                </c:pt>
                <c:pt idx="178">
                  <c:v>-3.2391837694839576</c:v>
                </c:pt>
                <c:pt idx="179">
                  <c:v>-3.2188583821023395</c:v>
                </c:pt>
                <c:pt idx="180">
                  <c:v>-3.1796227579095393</c:v>
                </c:pt>
                <c:pt idx="181">
                  <c:v>-3.1801109646965573</c:v>
                </c:pt>
                <c:pt idx="182">
                  <c:v>-3.213867523594625</c:v>
                </c:pt>
                <c:pt idx="183">
                  <c:v>-3.1829765168867454</c:v>
                </c:pt>
                <c:pt idx="184">
                  <c:v>-3.1399546643916234</c:v>
                </c:pt>
                <c:pt idx="185">
                  <c:v>-3.215841198178079</c:v>
                </c:pt>
                <c:pt idx="186">
                  <c:v>-3.0685758910962337</c:v>
                </c:pt>
                <c:pt idx="187">
                  <c:v>-3.2417028138420796</c:v>
                </c:pt>
                <c:pt idx="188">
                  <c:v>-3.1846573399693794</c:v>
                </c:pt>
                <c:pt idx="189">
                  <c:v>-3.358961434346464</c:v>
                </c:pt>
                <c:pt idx="190">
                  <c:v>-3.3174071518801922</c:v>
                </c:pt>
                <c:pt idx="191">
                  <c:v>-3.3571481421949936</c:v>
                </c:pt>
                <c:pt idx="192">
                  <c:v>-3.320995332109935</c:v>
                </c:pt>
                <c:pt idx="193">
                  <c:v>-3.2169432932229487</c:v>
                </c:pt>
                <c:pt idx="194">
                  <c:v>-3.2288966760241609</c:v>
                </c:pt>
                <c:pt idx="195">
                  <c:v>-3.1675369793813037</c:v>
                </c:pt>
                <c:pt idx="196">
                  <c:v>-2.9976208162834559</c:v>
                </c:pt>
                <c:pt idx="197">
                  <c:v>-2.868911067009182</c:v>
                </c:pt>
                <c:pt idx="198">
                  <c:v>-2.9459272294077237</c:v>
                </c:pt>
                <c:pt idx="199">
                  <c:v>-3.1248315396101929</c:v>
                </c:pt>
                <c:pt idx="200">
                  <c:v>-3.0302146115231721</c:v>
                </c:pt>
                <c:pt idx="201">
                  <c:v>-3.137273658504097</c:v>
                </c:pt>
                <c:pt idx="202">
                  <c:v>-3.0954640860402542</c:v>
                </c:pt>
                <c:pt idx="203">
                  <c:v>-3.1504252245064586</c:v>
                </c:pt>
                <c:pt idx="204">
                  <c:v>-3.047822686357732</c:v>
                </c:pt>
                <c:pt idx="205">
                  <c:v>-2.9965331820287533</c:v>
                </c:pt>
                <c:pt idx="206">
                  <c:v>-3.0762764910014808</c:v>
                </c:pt>
                <c:pt idx="207">
                  <c:v>-2.9922001878245577</c:v>
                </c:pt>
                <c:pt idx="208">
                  <c:v>-2.9557248666680671</c:v>
                </c:pt>
                <c:pt idx="209">
                  <c:v>-3.0043100193809504</c:v>
                </c:pt>
                <c:pt idx="210">
                  <c:v>-3.0316639632098283</c:v>
                </c:pt>
                <c:pt idx="211">
                  <c:v>-3.0108822941298548</c:v>
                </c:pt>
                <c:pt idx="212">
                  <c:v>-3.0216439536693773</c:v>
                </c:pt>
                <c:pt idx="213">
                  <c:v>-3.0148234014708852</c:v>
                </c:pt>
                <c:pt idx="214">
                  <c:v>-2.9714753201390076</c:v>
                </c:pt>
                <c:pt idx="215">
                  <c:v>-3.0100988601706082</c:v>
                </c:pt>
                <c:pt idx="216">
                  <c:v>-3.0330790447669047</c:v>
                </c:pt>
                <c:pt idx="217">
                  <c:v>-3.0048653369655085</c:v>
                </c:pt>
                <c:pt idx="218">
                  <c:v>-3.0117309453148748</c:v>
                </c:pt>
                <c:pt idx="219">
                  <c:v>-3.0227799725449129</c:v>
                </c:pt>
                <c:pt idx="220">
                  <c:v>-2.992233591866742</c:v>
                </c:pt>
                <c:pt idx="221">
                  <c:v>-2.9488070785429263</c:v>
                </c:pt>
                <c:pt idx="222">
                  <c:v>-2.9701688093579945</c:v>
                </c:pt>
                <c:pt idx="223">
                  <c:v>-2.9434688397565187</c:v>
                </c:pt>
                <c:pt idx="224">
                  <c:v>-2.915702341497771</c:v>
                </c:pt>
                <c:pt idx="225">
                  <c:v>-2.9113885760423277</c:v>
                </c:pt>
                <c:pt idx="226">
                  <c:v>-2.8699240219395636</c:v>
                </c:pt>
                <c:pt idx="227">
                  <c:v>-2.8287070404268366</c:v>
                </c:pt>
                <c:pt idx="228">
                  <c:v>-2.8275458772327609</c:v>
                </c:pt>
                <c:pt idx="229">
                  <c:v>-2.860537744241014</c:v>
                </c:pt>
                <c:pt idx="230">
                  <c:v>-2.8279336322524196</c:v>
                </c:pt>
                <c:pt idx="231">
                  <c:v>-2.7683267896434565</c:v>
                </c:pt>
                <c:pt idx="232">
                  <c:v>-2.7458016242889212</c:v>
                </c:pt>
                <c:pt idx="233">
                  <c:v>-2.7932526942958247</c:v>
                </c:pt>
                <c:pt idx="234">
                  <c:v>-2.7899690313463648</c:v>
                </c:pt>
                <c:pt idx="235">
                  <c:v>-2.7487656653131021</c:v>
                </c:pt>
                <c:pt idx="236">
                  <c:v>-2.7691142916328371</c:v>
                </c:pt>
                <c:pt idx="237">
                  <c:v>-2.7473305733626852</c:v>
                </c:pt>
                <c:pt idx="238">
                  <c:v>-2.7174890160757261</c:v>
                </c:pt>
                <c:pt idx="239">
                  <c:v>-2.6765104298651154</c:v>
                </c:pt>
                <c:pt idx="240">
                  <c:v>-2.7219055072491494</c:v>
                </c:pt>
                <c:pt idx="241">
                  <c:v>-2.7155856751337648</c:v>
                </c:pt>
                <c:pt idx="242">
                  <c:v>-2.7628145853433232</c:v>
                </c:pt>
                <c:pt idx="243">
                  <c:v>-2.7672884823318054</c:v>
                </c:pt>
                <c:pt idx="244">
                  <c:v>-2.7360922707413291</c:v>
                </c:pt>
                <c:pt idx="245">
                  <c:v>-2.69389854082061</c:v>
                </c:pt>
                <c:pt idx="246">
                  <c:v>-2.6734762118654674</c:v>
                </c:pt>
                <c:pt idx="247">
                  <c:v>-2.7197014200425085</c:v>
                </c:pt>
                <c:pt idx="248">
                  <c:v>-2.7836115567010093</c:v>
                </c:pt>
                <c:pt idx="249">
                  <c:v>-2.8640680136140104</c:v>
                </c:pt>
                <c:pt idx="250">
                  <c:v>-2.8542627604921456</c:v>
                </c:pt>
                <c:pt idx="251">
                  <c:v>-2.8238587572652016</c:v>
                </c:pt>
                <c:pt idx="252">
                  <c:v>-2.8003931944652969</c:v>
                </c:pt>
                <c:pt idx="253">
                  <c:v>-2.8420265149382127</c:v>
                </c:pt>
                <c:pt idx="254">
                  <c:v>-2.7518678304938815</c:v>
                </c:pt>
                <c:pt idx="255">
                  <c:v>-2.6579159198679738</c:v>
                </c:pt>
                <c:pt idx="256">
                  <c:v>-2.6704964412453949</c:v>
                </c:pt>
                <c:pt idx="257">
                  <c:v>-2.697919328917628</c:v>
                </c:pt>
                <c:pt idx="258">
                  <c:v>-2.6679965906535581</c:v>
                </c:pt>
                <c:pt idx="259">
                  <c:v>-2.6826278352935318</c:v>
                </c:pt>
                <c:pt idx="260">
                  <c:v>-2.6773087842527912</c:v>
                </c:pt>
                <c:pt idx="261">
                  <c:v>-2.6264976840756975</c:v>
                </c:pt>
                <c:pt idx="262">
                  <c:v>-2.6733263962572678</c:v>
                </c:pt>
                <c:pt idx="263">
                  <c:v>-2.5891838569067689</c:v>
                </c:pt>
                <c:pt idx="264">
                  <c:v>-2.5752197444430021</c:v>
                </c:pt>
                <c:pt idx="265">
                  <c:v>-2.5485154358884783</c:v>
                </c:pt>
                <c:pt idx="266">
                  <c:v>-2.5275088554912757</c:v>
                </c:pt>
                <c:pt idx="267">
                  <c:v>-2.4767243499552758</c:v>
                </c:pt>
                <c:pt idx="268">
                  <c:v>-2.5278466266011055</c:v>
                </c:pt>
                <c:pt idx="269">
                  <c:v>-2.4613925149895066</c:v>
                </c:pt>
                <c:pt idx="270">
                  <c:v>-2.4038429570922353</c:v>
                </c:pt>
                <c:pt idx="271">
                  <c:v>-2.3074018180335147</c:v>
                </c:pt>
                <c:pt idx="272">
                  <c:v>-2.3965573576607091</c:v>
                </c:pt>
                <c:pt idx="273">
                  <c:v>-2.3905792078879817</c:v>
                </c:pt>
                <c:pt idx="274">
                  <c:v>-2.3725330879532676</c:v>
                </c:pt>
                <c:pt idx="275">
                  <c:v>-2.3619034840604853</c:v>
                </c:pt>
                <c:pt idx="276">
                  <c:v>-2.4607759150498012</c:v>
                </c:pt>
                <c:pt idx="277">
                  <c:v>-2.5094802808055396</c:v>
                </c:pt>
                <c:pt idx="278">
                  <c:v>-2.4270420616626018</c:v>
                </c:pt>
                <c:pt idx="279">
                  <c:v>-2.5181436605254337</c:v>
                </c:pt>
                <c:pt idx="280">
                  <c:v>-2.5339171021250917</c:v>
                </c:pt>
                <c:pt idx="281">
                  <c:v>-2.3909287878315628</c:v>
                </c:pt>
                <c:pt idx="282">
                  <c:v>-2.3095166769559339</c:v>
                </c:pt>
                <c:pt idx="283">
                  <c:v>-2.3034623767995193</c:v>
                </c:pt>
                <c:pt idx="284">
                  <c:v>-2.233879664316742</c:v>
                </c:pt>
                <c:pt idx="285">
                  <c:v>-2.220006923740272</c:v>
                </c:pt>
                <c:pt idx="286">
                  <c:v>-2.163893131703488</c:v>
                </c:pt>
                <c:pt idx="287">
                  <c:v>-2.1592224989181776</c:v>
                </c:pt>
                <c:pt idx="288">
                  <c:v>-2.1808310364812424</c:v>
                </c:pt>
                <c:pt idx="289">
                  <c:v>-2.1630736109992008</c:v>
                </c:pt>
                <c:pt idx="290">
                  <c:v>-2.1338837020065546</c:v>
                </c:pt>
                <c:pt idx="291">
                  <c:v>-2.0454467508911787</c:v>
                </c:pt>
                <c:pt idx="292">
                  <c:v>-2.0392718363456086</c:v>
                </c:pt>
                <c:pt idx="293">
                  <c:v>-2.0075889558163458</c:v>
                </c:pt>
                <c:pt idx="294">
                  <c:v>-1.9421465435493943</c:v>
                </c:pt>
                <c:pt idx="295">
                  <c:v>-1.9024437617261978</c:v>
                </c:pt>
                <c:pt idx="296">
                  <c:v>-1.9372524424968445</c:v>
                </c:pt>
                <c:pt idx="297">
                  <c:v>-1.8262806250407646</c:v>
                </c:pt>
                <c:pt idx="298">
                  <c:v>-1.7137901376111002</c:v>
                </c:pt>
                <c:pt idx="299">
                  <c:v>-1.657158703981281</c:v>
                </c:pt>
                <c:pt idx="300">
                  <c:v>-1.5792798658694982</c:v>
                </c:pt>
                <c:pt idx="301">
                  <c:v>-1.5471451880930378</c:v>
                </c:pt>
                <c:pt idx="302">
                  <c:v>-1.471479711549363</c:v>
                </c:pt>
                <c:pt idx="303">
                  <c:v>-1.4315236490823513</c:v>
                </c:pt>
                <c:pt idx="304">
                  <c:v>-1.4620362861406158</c:v>
                </c:pt>
                <c:pt idx="305">
                  <c:v>-1.3352453864848588</c:v>
                </c:pt>
                <c:pt idx="306">
                  <c:v>-1.2092655615446082</c:v>
                </c:pt>
                <c:pt idx="307">
                  <c:v>-1.2753356574383483</c:v>
                </c:pt>
                <c:pt idx="308">
                  <c:v>-1.351880516315181</c:v>
                </c:pt>
                <c:pt idx="309">
                  <c:v>-1.5145715359066549</c:v>
                </c:pt>
                <c:pt idx="310">
                  <c:v>-1.4831578300271615</c:v>
                </c:pt>
                <c:pt idx="311">
                  <c:v>-1.5760134668507684</c:v>
                </c:pt>
                <c:pt idx="312">
                  <c:v>-1.5677861821008185</c:v>
                </c:pt>
                <c:pt idx="313">
                  <c:v>-1.656144254824941</c:v>
                </c:pt>
                <c:pt idx="314">
                  <c:v>-1.5861017535356385</c:v>
                </c:pt>
                <c:pt idx="315">
                  <c:v>-1.5791262813309861</c:v>
                </c:pt>
                <c:pt idx="316">
                  <c:v>-1.5099858373671169</c:v>
                </c:pt>
                <c:pt idx="317">
                  <c:v>-1.5527802690826722</c:v>
                </c:pt>
                <c:pt idx="318">
                  <c:v>-1.3593006603737916</c:v>
                </c:pt>
                <c:pt idx="319">
                  <c:v>-1.5479034215603722</c:v>
                </c:pt>
                <c:pt idx="320">
                  <c:v>-1.5268735700465783</c:v>
                </c:pt>
                <c:pt idx="321">
                  <c:v>-1.7352028168353033</c:v>
                </c:pt>
                <c:pt idx="322">
                  <c:v>-1.6403234999491438</c:v>
                </c:pt>
                <c:pt idx="323">
                  <c:v>-1.7180292942459865</c:v>
                </c:pt>
                <c:pt idx="324">
                  <c:v>-1.6615813919630613</c:v>
                </c:pt>
                <c:pt idx="325">
                  <c:v>-1.5415120382480636</c:v>
                </c:pt>
                <c:pt idx="326">
                  <c:v>-1.6327306316620145</c:v>
                </c:pt>
                <c:pt idx="327">
                  <c:v>-1.4060165590471863</c:v>
                </c:pt>
                <c:pt idx="328">
                  <c:v>-1.7701744720533301</c:v>
                </c:pt>
                <c:pt idx="329">
                  <c:v>-1.6432778883829431</c:v>
                </c:pt>
                <c:pt idx="330">
                  <c:v>-1.610653117910134</c:v>
                </c:pt>
                <c:pt idx="331">
                  <c:v>-1.6263541436819648</c:v>
                </c:pt>
                <c:pt idx="332">
                  <c:v>-1.6797133967448181</c:v>
                </c:pt>
                <c:pt idx="333">
                  <c:v>-1.6893021546638933</c:v>
                </c:pt>
                <c:pt idx="334">
                  <c:v>-1.6936850995695538</c:v>
                </c:pt>
                <c:pt idx="335">
                  <c:v>-1.6597237636460187</c:v>
                </c:pt>
                <c:pt idx="336">
                  <c:v>-1.5223078720963517</c:v>
                </c:pt>
                <c:pt idx="337">
                  <c:v>-1.5444685809640866</c:v>
                </c:pt>
                <c:pt idx="338">
                  <c:v>-1.5833071680118855</c:v>
                </c:pt>
                <c:pt idx="339">
                  <c:v>-1.575378801540781</c:v>
                </c:pt>
                <c:pt idx="340">
                  <c:v>-1.599645565889209</c:v>
                </c:pt>
                <c:pt idx="341">
                  <c:v>-1.5934638169354189</c:v>
                </c:pt>
                <c:pt idx="342">
                  <c:v>-1.5419501972306351</c:v>
                </c:pt>
                <c:pt idx="343">
                  <c:v>-1.5124810707820975</c:v>
                </c:pt>
                <c:pt idx="344">
                  <c:v>-1.6247019050623299</c:v>
                </c:pt>
                <c:pt idx="345">
                  <c:v>-1.6376995442137541</c:v>
                </c:pt>
                <c:pt idx="346">
                  <c:v>-1.633220034405781</c:v>
                </c:pt>
                <c:pt idx="347">
                  <c:v>-1.6524513516427086</c:v>
                </c:pt>
                <c:pt idx="348">
                  <c:v>-1.5939833825310294</c:v>
                </c:pt>
                <c:pt idx="349">
                  <c:v>-1.5451052292187371</c:v>
                </c:pt>
                <c:pt idx="350">
                  <c:v>-1.611145800196633</c:v>
                </c:pt>
                <c:pt idx="351">
                  <c:v>-1.6379613526607066</c:v>
                </c:pt>
                <c:pt idx="352">
                  <c:v>-1.7430072279834468</c:v>
                </c:pt>
                <c:pt idx="353">
                  <c:v>-1.7794417311428237</c:v>
                </c:pt>
                <c:pt idx="354">
                  <c:v>-1.5998275986386468</c:v>
                </c:pt>
                <c:pt idx="355">
                  <c:v>-1.6349303342156376</c:v>
                </c:pt>
                <c:pt idx="356">
                  <c:v>-1.563337567199667</c:v>
                </c:pt>
                <c:pt idx="357">
                  <c:v>-1.6596208325951045</c:v>
                </c:pt>
                <c:pt idx="358">
                  <c:v>-1.7128107987740349</c:v>
                </c:pt>
                <c:pt idx="359">
                  <c:v>-1.7321249974814437</c:v>
                </c:pt>
                <c:pt idx="360">
                  <c:v>-1.7427792100421911</c:v>
                </c:pt>
                <c:pt idx="361">
                  <c:v>-1.7498710871915792</c:v>
                </c:pt>
                <c:pt idx="362">
                  <c:v>-1.7210979022224688</c:v>
                </c:pt>
                <c:pt idx="363">
                  <c:v>-1.7275540399055622</c:v>
                </c:pt>
                <c:pt idx="364">
                  <c:v>-1.6823779916756556</c:v>
                </c:pt>
                <c:pt idx="365">
                  <c:v>-1.6431670032787089</c:v>
                </c:pt>
                <c:pt idx="366">
                  <c:v>-1.362953086827454</c:v>
                </c:pt>
                <c:pt idx="367">
                  <c:v>-1.553893458469245</c:v>
                </c:pt>
                <c:pt idx="368">
                  <c:v>-1.5031456709803399</c:v>
                </c:pt>
                <c:pt idx="369">
                  <c:v>-1.4900297787794881</c:v>
                </c:pt>
                <c:pt idx="370">
                  <c:v>-1.4393628209020621</c:v>
                </c:pt>
                <c:pt idx="371">
                  <c:v>-1.3927675039071903</c:v>
                </c:pt>
                <c:pt idx="372">
                  <c:v>-1.4471024435852158</c:v>
                </c:pt>
                <c:pt idx="373">
                  <c:v>-1.4614953292634434</c:v>
                </c:pt>
                <c:pt idx="374">
                  <c:v>-1.4371528580418216</c:v>
                </c:pt>
                <c:pt idx="375">
                  <c:v>-1.5133409400209883</c:v>
                </c:pt>
                <c:pt idx="376">
                  <c:v>-1.5317389491109743</c:v>
                </c:pt>
                <c:pt idx="377">
                  <c:v>-1.5246827076375773</c:v>
                </c:pt>
                <c:pt idx="378">
                  <c:v>-1.5493972342786924</c:v>
                </c:pt>
                <c:pt idx="379">
                  <c:v>-1.5455474475878885</c:v>
                </c:pt>
                <c:pt idx="380">
                  <c:v>-1.5649696118237562</c:v>
                </c:pt>
                <c:pt idx="381">
                  <c:v>-1.5536301594816508</c:v>
                </c:pt>
                <c:pt idx="382">
                  <c:v>-1.5255255630816509</c:v>
                </c:pt>
                <c:pt idx="383">
                  <c:v>-1.5032611971859093</c:v>
                </c:pt>
                <c:pt idx="384">
                  <c:v>-1.4976697531004728</c:v>
                </c:pt>
                <c:pt idx="385">
                  <c:v>-1.55261941130447</c:v>
                </c:pt>
                <c:pt idx="386">
                  <c:v>-1.5595030205243934</c:v>
                </c:pt>
                <c:pt idx="387">
                  <c:v>-1.5722007698291025</c:v>
                </c:pt>
                <c:pt idx="388">
                  <c:v>-1.5741404964728523</c:v>
                </c:pt>
                <c:pt idx="389">
                  <c:v>-1.5846682356226944</c:v>
                </c:pt>
                <c:pt idx="390">
                  <c:v>-1.5879132979598198</c:v>
                </c:pt>
                <c:pt idx="391">
                  <c:v>-1.5860732143360574</c:v>
                </c:pt>
                <c:pt idx="392">
                  <c:v>-1.6025688841701182</c:v>
                </c:pt>
                <c:pt idx="393">
                  <c:v>-1.5384273872090366</c:v>
                </c:pt>
                <c:pt idx="394">
                  <c:v>-1.5194792566396935</c:v>
                </c:pt>
                <c:pt idx="395">
                  <c:v>-1.4977250233247195</c:v>
                </c:pt>
                <c:pt idx="396">
                  <c:v>-1.3485513115262666</c:v>
                </c:pt>
                <c:pt idx="397">
                  <c:v>-1.3894004803836821</c:v>
                </c:pt>
                <c:pt idx="398">
                  <c:v>-1.3857104280269945</c:v>
                </c:pt>
                <c:pt idx="399">
                  <c:v>-1.3700237209205519</c:v>
                </c:pt>
                <c:pt idx="400">
                  <c:v>-1.3884971978744469</c:v>
                </c:pt>
                <c:pt idx="401">
                  <c:v>-1.3533573952474547</c:v>
                </c:pt>
                <c:pt idx="402">
                  <c:v>-1.377203771154992</c:v>
                </c:pt>
                <c:pt idx="403">
                  <c:v>-1.3207490946131153</c:v>
                </c:pt>
                <c:pt idx="404">
                  <c:v>-1.2814681699031314</c:v>
                </c:pt>
                <c:pt idx="405">
                  <c:v>-1.2197929088717598</c:v>
                </c:pt>
                <c:pt idx="406">
                  <c:v>-1.1145417435127727</c:v>
                </c:pt>
                <c:pt idx="407">
                  <c:v>-0.99142264312304729</c:v>
                </c:pt>
                <c:pt idx="408">
                  <c:v>-1.0749487657142578</c:v>
                </c:pt>
                <c:pt idx="409">
                  <c:v>-1.0522625026329806</c:v>
                </c:pt>
                <c:pt idx="410">
                  <c:v>-1.0579624509771228</c:v>
                </c:pt>
                <c:pt idx="411">
                  <c:v>-1.0850268423961646</c:v>
                </c:pt>
                <c:pt idx="412">
                  <c:v>-1.0141220819961649</c:v>
                </c:pt>
                <c:pt idx="413">
                  <c:v>-1.0823725454910458</c:v>
                </c:pt>
                <c:pt idx="414">
                  <c:v>-0.99921773227683808</c:v>
                </c:pt>
                <c:pt idx="415">
                  <c:v>-0.99071386445746645</c:v>
                </c:pt>
                <c:pt idx="416">
                  <c:v>-0.96676195747068105</c:v>
                </c:pt>
                <c:pt idx="417">
                  <c:v>-1.0388574700942457</c:v>
                </c:pt>
                <c:pt idx="418">
                  <c:v>-0.96807894373420611</c:v>
                </c:pt>
                <c:pt idx="419">
                  <c:v>-0.99413696167307997</c:v>
                </c:pt>
                <c:pt idx="420">
                  <c:v>-0.93976513343411616</c:v>
                </c:pt>
                <c:pt idx="421">
                  <c:v>-0.95573187379672231</c:v>
                </c:pt>
                <c:pt idx="422">
                  <c:v>-0.97109089229563139</c:v>
                </c:pt>
                <c:pt idx="423">
                  <c:v>-0.9783929616193725</c:v>
                </c:pt>
                <c:pt idx="424">
                  <c:v>-0.94394078195270581</c:v>
                </c:pt>
                <c:pt idx="425">
                  <c:v>-0.92703730371661197</c:v>
                </c:pt>
                <c:pt idx="426">
                  <c:v>-0.96846894445295273</c:v>
                </c:pt>
                <c:pt idx="427">
                  <c:v>-0.93821600594564669</c:v>
                </c:pt>
                <c:pt idx="428">
                  <c:v>-0.91240950558903255</c:v>
                </c:pt>
                <c:pt idx="429">
                  <c:v>-0.88966699162761764</c:v>
                </c:pt>
                <c:pt idx="430">
                  <c:v>-0.85506243018317307</c:v>
                </c:pt>
                <c:pt idx="431">
                  <c:v>-0.90797720798082016</c:v>
                </c:pt>
                <c:pt idx="432">
                  <c:v>-0.84369444772596569</c:v>
                </c:pt>
                <c:pt idx="433">
                  <c:v>-0.84993209316571927</c:v>
                </c:pt>
                <c:pt idx="434">
                  <c:v>-0.80944814009010779</c:v>
                </c:pt>
                <c:pt idx="435">
                  <c:v>-0.73934236827972843</c:v>
                </c:pt>
                <c:pt idx="436">
                  <c:v>-0.65937396257142455</c:v>
                </c:pt>
                <c:pt idx="437">
                  <c:v>-0.87045124955327691</c:v>
                </c:pt>
                <c:pt idx="438">
                  <c:v>-0.83568063517655744</c:v>
                </c:pt>
                <c:pt idx="439">
                  <c:v>-0.93593591865793913</c:v>
                </c:pt>
                <c:pt idx="440">
                  <c:v>-0.8487759587840652</c:v>
                </c:pt>
                <c:pt idx="441">
                  <c:v>-0.774503086393172</c:v>
                </c:pt>
                <c:pt idx="442">
                  <c:v>-0.80555733338533331</c:v>
                </c:pt>
                <c:pt idx="443">
                  <c:v>-0.75204789866244159</c:v>
                </c:pt>
                <c:pt idx="444">
                  <c:v>-0.76487206781399608</c:v>
                </c:pt>
                <c:pt idx="445">
                  <c:v>-0.66228134119184801</c:v>
                </c:pt>
                <c:pt idx="446">
                  <c:v>-0.73231820120212321</c:v>
                </c:pt>
                <c:pt idx="447">
                  <c:v>-0.71011516176485368</c:v>
                </c:pt>
                <c:pt idx="448">
                  <c:v>-0.7271211201579173</c:v>
                </c:pt>
                <c:pt idx="449">
                  <c:v>-0.69873175628763551</c:v>
                </c:pt>
                <c:pt idx="450">
                  <c:v>-0.70863022608342152</c:v>
                </c:pt>
                <c:pt idx="451">
                  <c:v>-0.67508707058538009</c:v>
                </c:pt>
                <c:pt idx="452">
                  <c:v>-0.64635539637024486</c:v>
                </c:pt>
                <c:pt idx="453">
                  <c:v>-0.60871318392742968</c:v>
                </c:pt>
                <c:pt idx="454">
                  <c:v>-0.56831864579213232</c:v>
                </c:pt>
                <c:pt idx="455">
                  <c:v>-0.57521834080073908</c:v>
                </c:pt>
                <c:pt idx="456">
                  <c:v>-0.55063330328211668</c:v>
                </c:pt>
                <c:pt idx="457">
                  <c:v>-0.42494323281436841</c:v>
                </c:pt>
                <c:pt idx="458">
                  <c:v>-0.32201153599694904</c:v>
                </c:pt>
                <c:pt idx="459">
                  <c:v>-0.1663961414114771</c:v>
                </c:pt>
                <c:pt idx="460">
                  <c:v>8.771202485220099E-2</c:v>
                </c:pt>
                <c:pt idx="461">
                  <c:v>-8.8021829015026823E-2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73-4B1F-8B38-BDDE54CED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5593615"/>
        <c:axId val="795594031"/>
      </c:lineChart>
      <c:dateAx>
        <c:axId val="7955936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594031"/>
        <c:crosses val="autoZero"/>
        <c:auto val="1"/>
        <c:lblOffset val="100"/>
        <c:baseTimeUnit val="days"/>
      </c:dateAx>
      <c:valAx>
        <c:axId val="79559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593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50A38DB-965B-4C42-9973-098294795EC6}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93E435-35A9-437E-9EF8-DBD0CC674E3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4.99</v>
      </c>
      <c r="D2" s="4">
        <f>MIN(D3:D1912)</f>
        <v>0.02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0.879</v>
      </c>
      <c r="C5">
        <v>0.89200000000000002</v>
      </c>
      <c r="D5">
        <v>0.86099999999999999</v>
      </c>
      <c r="E5">
        <v>0.86099999999999999</v>
      </c>
      <c r="F5">
        <v>212629.4</v>
      </c>
      <c r="G5">
        <v>0.86099999999999999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-212629.4</v>
      </c>
      <c r="R5">
        <f t="shared" ref="R5" si="2">R6+Q5</f>
        <v>-693861016.61757815</v>
      </c>
      <c r="S5">
        <f t="shared" ref="S5" si="3">R5/100000</f>
        <v>-6938.6101661757812</v>
      </c>
      <c r="T5">
        <f t="shared" ref="T5" si="4">S5/1000</f>
        <v>-6.9386101661757813</v>
      </c>
    </row>
    <row r="6" spans="1:20" x14ac:dyDescent="0.25">
      <c r="A6" s="5">
        <v>44587</v>
      </c>
      <c r="B6">
        <v>0.86299999999999999</v>
      </c>
      <c r="C6">
        <v>0.97799999999999998</v>
      </c>
      <c r="D6">
        <v>0.84799999999999998</v>
      </c>
      <c r="E6">
        <v>0.88</v>
      </c>
      <c r="F6">
        <v>5251514.9000000004</v>
      </c>
      <c r="G6">
        <v>0.88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-0.50769230769230722</v>
      </c>
      <c r="Q6">
        <f t="shared" ref="Q6" si="6">F6*P6</f>
        <v>-2666153.7184615363</v>
      </c>
      <c r="R6">
        <f t="shared" ref="R6" si="7">R7+Q6</f>
        <v>-693648387.21757817</v>
      </c>
      <c r="S6">
        <f t="shared" ref="S6" si="8">R6/100000</f>
        <v>-6936.4838721757815</v>
      </c>
      <c r="T6">
        <f t="shared" ref="T6" si="9">S6/1000</f>
        <v>-6.9364838721757813</v>
      </c>
    </row>
    <row r="7" spans="1:20" x14ac:dyDescent="0.25">
      <c r="A7" s="5">
        <v>44586</v>
      </c>
      <c r="B7">
        <v>0.84699999999999998</v>
      </c>
      <c r="C7">
        <v>0.88200000000000001</v>
      </c>
      <c r="D7">
        <v>0.81200000000000006</v>
      </c>
      <c r="E7">
        <v>0.86299999999999999</v>
      </c>
      <c r="F7">
        <v>3593215.4</v>
      </c>
      <c r="G7">
        <v>0.86299999999999999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0.4571428571428563</v>
      </c>
      <c r="Q7">
        <f t="shared" ref="Q7" si="11">F7*P7</f>
        <v>1642612.7542857111</v>
      </c>
      <c r="R7">
        <f t="shared" ref="R7" si="12">R8+Q7</f>
        <v>-690982233.49911666</v>
      </c>
      <c r="S7">
        <f t="shared" ref="S7" si="13">R7/100000</f>
        <v>-6909.8223349911668</v>
      </c>
      <c r="T7">
        <f t="shared" ref="T7" si="14">S7/1000</f>
        <v>-6.9098223349911665</v>
      </c>
    </row>
    <row r="8" spans="1:20" x14ac:dyDescent="0.25">
      <c r="A8" s="5">
        <v>44585</v>
      </c>
      <c r="B8">
        <v>0.93799999999999994</v>
      </c>
      <c r="C8">
        <v>0.93799999999999994</v>
      </c>
      <c r="D8">
        <v>0.76300000000000001</v>
      </c>
      <c r="E8">
        <v>0.84699999999999998</v>
      </c>
      <c r="F8">
        <v>9965300</v>
      </c>
      <c r="G8">
        <v>0.84699999999999998</v>
      </c>
      <c r="L8" t="s">
        <v>7</v>
      </c>
      <c r="M8" t="s">
        <v>7</v>
      </c>
      <c r="N8" t="s">
        <v>7</v>
      </c>
      <c r="P8">
        <f t="shared" ref="P8" si="15">IF(C8=D8,0,((E8-D8)-(C8-E8))/(C8-D8))</f>
        <v>-4.0000000000000049E-2</v>
      </c>
      <c r="Q8">
        <f t="shared" ref="Q8" si="16">F8*P8</f>
        <v>-398612.00000000047</v>
      </c>
      <c r="R8">
        <f t="shared" ref="R8" si="17">R9+Q8</f>
        <v>-692624846.25340235</v>
      </c>
      <c r="S8">
        <f t="shared" ref="S8" si="18">R8/100000</f>
        <v>-6926.2484625340239</v>
      </c>
      <c r="T8">
        <f t="shared" ref="T8" si="19">S8/1000</f>
        <v>-6.9262484625340237</v>
      </c>
    </row>
    <row r="9" spans="1:20" x14ac:dyDescent="0.25">
      <c r="A9" s="5">
        <v>44584</v>
      </c>
      <c r="B9">
        <v>0.88700000000000001</v>
      </c>
      <c r="C9">
        <v>0.97399999999999998</v>
      </c>
      <c r="D9">
        <v>0.878</v>
      </c>
      <c r="E9">
        <v>0.93799999999999994</v>
      </c>
      <c r="F9">
        <v>5662307.7999999998</v>
      </c>
      <c r="G9">
        <v>0.93799999999999994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0.24999999999999914</v>
      </c>
      <c r="Q9">
        <f t="shared" ref="Q9" si="21">F9*P9</f>
        <v>1415576.9499999951</v>
      </c>
      <c r="R9">
        <f t="shared" ref="R9" si="22">R10+Q9</f>
        <v>-692226234.25340235</v>
      </c>
      <c r="S9">
        <f t="shared" ref="S9" si="23">R9/100000</f>
        <v>-6922.2623425340234</v>
      </c>
      <c r="T9">
        <f t="shared" ref="T9" si="24">S9/1000</f>
        <v>-6.9222623425340233</v>
      </c>
    </row>
    <row r="10" spans="1:20" x14ac:dyDescent="0.25">
      <c r="A10" s="5">
        <v>44583</v>
      </c>
      <c r="B10">
        <v>1</v>
      </c>
      <c r="C10">
        <v>1.038</v>
      </c>
      <c r="D10">
        <v>0.81200000000000006</v>
      </c>
      <c r="E10">
        <v>0.88700000000000001</v>
      </c>
      <c r="F10">
        <v>11062815.57</v>
      </c>
      <c r="G10">
        <v>0.88700000000000001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-0.33628318584070832</v>
      </c>
      <c r="Q10">
        <f t="shared" ref="Q10" si="26">F10*P10</f>
        <v>-3720238.8642477915</v>
      </c>
      <c r="R10">
        <f t="shared" ref="R10" si="27">R11+Q10</f>
        <v>-693641811.2034024</v>
      </c>
      <c r="S10">
        <f t="shared" ref="S10" si="28">R10/100000</f>
        <v>-6936.4181120340236</v>
      </c>
      <c r="T10">
        <f t="shared" ref="T10" si="29">S10/1000</f>
        <v>-6.9364181120340236</v>
      </c>
    </row>
    <row r="11" spans="1:20" x14ac:dyDescent="0.25">
      <c r="A11" s="5">
        <v>44582</v>
      </c>
      <c r="B11">
        <v>1.1910000000000001</v>
      </c>
      <c r="C11">
        <v>1.2070000000000001</v>
      </c>
      <c r="D11">
        <v>0.96699999999999997</v>
      </c>
      <c r="E11">
        <v>1.002</v>
      </c>
      <c r="F11">
        <v>8342910.8899999997</v>
      </c>
      <c r="G11">
        <v>1.002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-0.70833333333333315</v>
      </c>
      <c r="Q11">
        <f t="shared" ref="Q11" si="31">F11*P11</f>
        <v>-5909561.8804166652</v>
      </c>
      <c r="R11">
        <f t="shared" ref="R11" si="32">R12+Q11</f>
        <v>-689921572.3391546</v>
      </c>
      <c r="S11">
        <f t="shared" ref="S11" si="33">R11/100000</f>
        <v>-6899.2157233915459</v>
      </c>
      <c r="T11">
        <f t="shared" ref="T11" si="34">S11/1000</f>
        <v>-6.8992157233915457</v>
      </c>
    </row>
    <row r="12" spans="1:20" x14ac:dyDescent="0.25">
      <c r="A12" s="5">
        <v>44581</v>
      </c>
      <c r="B12">
        <v>1.256</v>
      </c>
      <c r="C12">
        <v>1.33</v>
      </c>
      <c r="D12">
        <v>1.1850000000000001</v>
      </c>
      <c r="E12">
        <v>1.1919999999999999</v>
      </c>
      <c r="F12">
        <v>2733053.52</v>
      </c>
      <c r="G12">
        <v>1.1919999999999999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-0.90344827586207044</v>
      </c>
      <c r="Q12">
        <f t="shared" ref="Q12" si="36">F12*P12</f>
        <v>-2469172.4904827625</v>
      </c>
      <c r="R12">
        <f t="shared" ref="R12" si="37">R13+Q12</f>
        <v>-684012010.45873797</v>
      </c>
      <c r="S12">
        <f t="shared" ref="S12" si="38">R12/100000</f>
        <v>-6840.1201045873795</v>
      </c>
      <c r="T12">
        <f t="shared" ref="T12" si="39">S12/1000</f>
        <v>-6.8401201045873794</v>
      </c>
    </row>
    <row r="13" spans="1:20" x14ac:dyDescent="0.25">
      <c r="A13" s="5">
        <v>44580</v>
      </c>
      <c r="B13">
        <v>1.3109999999999999</v>
      </c>
      <c r="C13">
        <v>1.327</v>
      </c>
      <c r="D13">
        <v>1.24</v>
      </c>
      <c r="E13">
        <v>1.2549999999999999</v>
      </c>
      <c r="F13">
        <v>2540942.2000000002</v>
      </c>
      <c r="G13">
        <v>1.2549999999999999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-0.65517241379310553</v>
      </c>
      <c r="Q13">
        <f t="shared" ref="Q13" si="41">F13*P13</f>
        <v>-1664755.234482764</v>
      </c>
      <c r="R13">
        <f t="shared" ref="R13" si="42">R14+Q13</f>
        <v>-681542837.96825516</v>
      </c>
      <c r="S13">
        <f t="shared" ref="S13" si="43">R13/100000</f>
        <v>-6815.4283796825521</v>
      </c>
      <c r="T13">
        <f t="shared" ref="T13" si="44">S13/1000</f>
        <v>-6.8154283796825519</v>
      </c>
    </row>
    <row r="14" spans="1:20" x14ac:dyDescent="0.25">
      <c r="A14" s="5">
        <v>44579</v>
      </c>
      <c r="B14">
        <v>1.3280000000000001</v>
      </c>
      <c r="C14">
        <v>1.349</v>
      </c>
      <c r="D14">
        <v>1.2609999999999999</v>
      </c>
      <c r="E14">
        <v>1.3109999999999999</v>
      </c>
      <c r="F14">
        <v>2701984.9</v>
      </c>
      <c r="G14">
        <v>1.3109999999999999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0.13636363636363635</v>
      </c>
      <c r="Q14">
        <f t="shared" ref="Q14" si="46">F14*P14</f>
        <v>368452.48636363633</v>
      </c>
      <c r="R14">
        <f t="shared" ref="R14" si="47">R15+Q14</f>
        <v>-679878082.7337724</v>
      </c>
      <c r="S14">
        <f t="shared" ref="S14" si="48">R14/100000</f>
        <v>-6798.7808273377241</v>
      </c>
      <c r="T14">
        <f t="shared" ref="T14" si="49">S14/1000</f>
        <v>-6.7987808273377244</v>
      </c>
    </row>
    <row r="15" spans="1:20" x14ac:dyDescent="0.25">
      <c r="A15" s="5">
        <v>44578</v>
      </c>
      <c r="B15">
        <v>1.454</v>
      </c>
      <c r="C15">
        <v>1.4570000000000001</v>
      </c>
      <c r="D15">
        <v>1.3080000000000001</v>
      </c>
      <c r="E15">
        <v>1.3280000000000001</v>
      </c>
      <c r="F15">
        <v>2955718.9</v>
      </c>
      <c r="G15">
        <v>1.3280000000000001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-0.73154362416107366</v>
      </c>
      <c r="Q15">
        <f t="shared" ref="Q15" si="51">F15*P15</f>
        <v>-2162237.3161073821</v>
      </c>
      <c r="R15">
        <f t="shared" ref="R15" si="52">R16+Q15</f>
        <v>-680246535.22013605</v>
      </c>
      <c r="S15">
        <f t="shared" ref="S15" si="53">R15/100000</f>
        <v>-6802.4653522013605</v>
      </c>
      <c r="T15">
        <f t="shared" ref="T15" si="54">S15/1000</f>
        <v>-6.8024653522013603</v>
      </c>
    </row>
    <row r="16" spans="1:20" x14ac:dyDescent="0.25">
      <c r="A16" s="5">
        <v>44577</v>
      </c>
      <c r="B16">
        <v>1.4359999999999999</v>
      </c>
      <c r="C16">
        <v>1.4850000000000001</v>
      </c>
      <c r="D16">
        <v>1.4179999999999999</v>
      </c>
      <c r="E16">
        <v>1.454</v>
      </c>
      <c r="F16">
        <v>1910666.5</v>
      </c>
      <c r="G16">
        <v>1.454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7.4626865671640008E-2</v>
      </c>
      <c r="Q16">
        <f t="shared" ref="Q16" si="56">F16*P16</f>
        <v>142587.05223880257</v>
      </c>
      <c r="R16">
        <f t="shared" ref="R16" si="57">R17+Q16</f>
        <v>-678084297.90402865</v>
      </c>
      <c r="S16">
        <f t="shared" ref="S16" si="58">R16/100000</f>
        <v>-6780.842979040287</v>
      </c>
      <c r="T16">
        <f t="shared" ref="T16" si="59">S16/1000</f>
        <v>-6.7808429790402869</v>
      </c>
    </row>
    <row r="17" spans="1:20" x14ac:dyDescent="0.25">
      <c r="A17" s="5">
        <v>44576</v>
      </c>
      <c r="B17">
        <v>1.4339999999999999</v>
      </c>
      <c r="C17">
        <v>1.488</v>
      </c>
      <c r="D17">
        <v>1.413</v>
      </c>
      <c r="E17">
        <v>1.4370000000000001</v>
      </c>
      <c r="F17">
        <v>2134477.6</v>
      </c>
      <c r="G17">
        <v>1.4370000000000001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-0.35999999999999904</v>
      </c>
      <c r="Q17">
        <f t="shared" ref="Q17" si="61">F17*P17</f>
        <v>-768411.93599999801</v>
      </c>
      <c r="R17">
        <f t="shared" ref="R17" si="62">R18+Q17</f>
        <v>-678226884.95626748</v>
      </c>
      <c r="S17">
        <f t="shared" ref="S17" si="63">R17/100000</f>
        <v>-6782.2688495626744</v>
      </c>
      <c r="T17">
        <f t="shared" ref="T17" si="64">S17/1000</f>
        <v>-6.7822688495626746</v>
      </c>
    </row>
    <row r="18" spans="1:20" x14ac:dyDescent="0.25">
      <c r="A18" s="5">
        <v>44575</v>
      </c>
      <c r="B18">
        <v>1.389</v>
      </c>
      <c r="C18">
        <v>1.4419999999999999</v>
      </c>
      <c r="D18">
        <v>1.3560000000000001</v>
      </c>
      <c r="E18">
        <v>1.4339999999999999</v>
      </c>
      <c r="F18">
        <v>3060701.8</v>
      </c>
      <c r="G18">
        <v>1.4339999999999999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0.81395348837209258</v>
      </c>
      <c r="Q18">
        <f t="shared" ref="Q18" si="66">F18*P18</f>
        <v>2491268.9069767427</v>
      </c>
      <c r="R18">
        <f t="shared" ref="R18" si="67">R19+Q18</f>
        <v>-677458473.02026749</v>
      </c>
      <c r="S18">
        <f t="shared" ref="S18" si="68">R18/100000</f>
        <v>-6774.584730202675</v>
      </c>
      <c r="T18">
        <f t="shared" ref="T18" si="69">S18/1000</f>
        <v>-6.7745847302026752</v>
      </c>
    </row>
    <row r="19" spans="1:20" x14ac:dyDescent="0.25">
      <c r="A19" s="5">
        <v>44574</v>
      </c>
      <c r="B19">
        <v>1.4890000000000001</v>
      </c>
      <c r="C19">
        <v>1.532</v>
      </c>
      <c r="D19">
        <v>1.3839999999999999</v>
      </c>
      <c r="E19">
        <v>1.39</v>
      </c>
      <c r="F19">
        <v>3818418.9</v>
      </c>
      <c r="G19">
        <v>1.39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-0.91891891891891897</v>
      </c>
      <c r="Q19">
        <f t="shared" ref="Q19" si="71">F19*P19</f>
        <v>-3508817.3675675676</v>
      </c>
      <c r="R19">
        <f t="shared" ref="R19" si="72">R20+Q19</f>
        <v>-679949741.92724419</v>
      </c>
      <c r="S19">
        <f t="shared" ref="S19" si="73">R19/100000</f>
        <v>-6799.4974192724421</v>
      </c>
      <c r="T19">
        <f t="shared" ref="T19" si="74">S19/1000</f>
        <v>-6.7994974192724422</v>
      </c>
    </row>
    <row r="20" spans="1:20" x14ac:dyDescent="0.25">
      <c r="A20" s="5">
        <v>44573</v>
      </c>
      <c r="B20">
        <v>1.39</v>
      </c>
      <c r="C20">
        <v>1.516</v>
      </c>
      <c r="D20">
        <v>1.379</v>
      </c>
      <c r="E20">
        <v>1.4890000000000001</v>
      </c>
      <c r="F20">
        <v>3292983.3</v>
      </c>
      <c r="G20">
        <v>1.4890000000000001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0.60583941605839542</v>
      </c>
      <c r="Q20">
        <f t="shared" ref="Q20" si="76">F20*P20</f>
        <v>1995019.0795620477</v>
      </c>
      <c r="R20">
        <f t="shared" ref="R20" si="77">R21+Q20</f>
        <v>-676440924.55967665</v>
      </c>
      <c r="S20">
        <f t="shared" ref="S20" si="78">R20/100000</f>
        <v>-6764.4092455967666</v>
      </c>
      <c r="T20">
        <f t="shared" ref="T20" si="79">S20/1000</f>
        <v>-6.7644092455967666</v>
      </c>
    </row>
    <row r="21" spans="1:20" x14ac:dyDescent="0.25">
      <c r="A21" s="5">
        <v>44572</v>
      </c>
      <c r="B21">
        <v>1.2949999999999999</v>
      </c>
      <c r="C21">
        <v>1.401</v>
      </c>
      <c r="D21">
        <v>1.2829999999999999</v>
      </c>
      <c r="E21">
        <v>1.389</v>
      </c>
      <c r="F21">
        <v>4060614</v>
      </c>
      <c r="G21">
        <v>1.389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0.79661016949152541</v>
      </c>
      <c r="Q21">
        <f t="shared" ref="Q21" si="81">F21*P21</f>
        <v>3234726.4067796608</v>
      </c>
      <c r="R21">
        <f t="shared" ref="R21" si="82">R22+Q21</f>
        <v>-678435943.63923872</v>
      </c>
      <c r="S21">
        <f t="shared" ref="S21" si="83">R21/100000</f>
        <v>-6784.3594363923876</v>
      </c>
      <c r="T21">
        <f t="shared" ref="T21" si="84">S21/1000</f>
        <v>-6.7843594363923874</v>
      </c>
    </row>
    <row r="22" spans="1:20" x14ac:dyDescent="0.25">
      <c r="A22" s="5">
        <v>44571</v>
      </c>
      <c r="B22">
        <v>1.3380000000000001</v>
      </c>
      <c r="C22">
        <v>1.3560000000000001</v>
      </c>
      <c r="D22">
        <v>1.212</v>
      </c>
      <c r="E22">
        <v>1.2929999999999999</v>
      </c>
      <c r="F22">
        <v>3689894</v>
      </c>
      <c r="G22">
        <v>1.2929999999999999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0.12499999999999846</v>
      </c>
      <c r="Q22">
        <f t="shared" ref="Q22" si="86">F22*P22</f>
        <v>461236.7499999943</v>
      </c>
      <c r="R22">
        <f t="shared" ref="R22" si="87">R23+Q22</f>
        <v>-681670670.04601836</v>
      </c>
      <c r="S22">
        <f t="shared" ref="S22" si="88">R22/100000</f>
        <v>-6816.706700460184</v>
      </c>
      <c r="T22">
        <f t="shared" ref="T22" si="89">S22/1000</f>
        <v>-6.816706700460184</v>
      </c>
    </row>
    <row r="23" spans="1:20" x14ac:dyDescent="0.25">
      <c r="A23" s="5">
        <v>44570</v>
      </c>
      <c r="B23">
        <v>1.329</v>
      </c>
      <c r="C23">
        <v>1.3720000000000001</v>
      </c>
      <c r="D23">
        <v>1.302</v>
      </c>
      <c r="E23">
        <v>1.34</v>
      </c>
      <c r="F23">
        <v>2195738.2000000002</v>
      </c>
      <c r="G23">
        <v>1.34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8.5714285714285715E-2</v>
      </c>
      <c r="Q23">
        <f t="shared" ref="Q23" si="91">F23*P23</f>
        <v>188206.13142857145</v>
      </c>
      <c r="R23">
        <f t="shared" ref="R23" si="92">R24+Q23</f>
        <v>-682131906.79601836</v>
      </c>
      <c r="S23">
        <f t="shared" ref="S23" si="93">R23/100000</f>
        <v>-6821.3190679601839</v>
      </c>
      <c r="T23">
        <f t="shared" ref="T23" si="94">S23/1000</f>
        <v>-6.8213190679601841</v>
      </c>
    </row>
    <row r="24" spans="1:20" x14ac:dyDescent="0.25">
      <c r="A24" s="5">
        <v>44569</v>
      </c>
      <c r="B24">
        <v>1.383</v>
      </c>
      <c r="C24">
        <v>1.42</v>
      </c>
      <c r="D24">
        <v>1.2769999999999999</v>
      </c>
      <c r="E24">
        <v>1.329</v>
      </c>
      <c r="F24">
        <v>3212848.02</v>
      </c>
      <c r="G24">
        <v>1.329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-0.27272727272727215</v>
      </c>
      <c r="Q24">
        <f t="shared" ref="Q24" si="96">F24*P24</f>
        <v>-876231.27818181633</v>
      </c>
      <c r="R24">
        <f t="shared" ref="R24" si="97">R25+Q24</f>
        <v>-682320112.92744696</v>
      </c>
      <c r="S24">
        <f t="shared" ref="S24" si="98">R24/100000</f>
        <v>-6823.2011292744692</v>
      </c>
      <c r="T24">
        <f t="shared" ref="T24" si="99">S24/1000</f>
        <v>-6.8232011292744694</v>
      </c>
    </row>
    <row r="25" spans="1:20" x14ac:dyDescent="0.25">
      <c r="A25" s="5">
        <v>44568</v>
      </c>
      <c r="B25">
        <v>1.4570000000000001</v>
      </c>
      <c r="C25">
        <v>1.466</v>
      </c>
      <c r="D25">
        <v>1.3380000000000001</v>
      </c>
      <c r="E25">
        <v>1.383</v>
      </c>
      <c r="F25">
        <v>4036358.1</v>
      </c>
      <c r="G25">
        <v>1.383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-0.2968750000000005</v>
      </c>
      <c r="Q25">
        <f t="shared" ref="Q25" si="101">F25*P25</f>
        <v>-1198293.810937502</v>
      </c>
      <c r="R25">
        <f t="shared" ref="R25" si="102">R26+Q25</f>
        <v>-681443881.64926517</v>
      </c>
      <c r="S25">
        <f t="shared" ref="S25" si="103">R25/100000</f>
        <v>-6814.4388164926513</v>
      </c>
      <c r="T25">
        <f t="shared" ref="T25" si="104">S25/1000</f>
        <v>-6.8144388164926513</v>
      </c>
    </row>
    <row r="26" spans="1:20" x14ac:dyDescent="0.25">
      <c r="A26" s="5">
        <v>44567</v>
      </c>
      <c r="B26">
        <v>1.456</v>
      </c>
      <c r="C26">
        <v>1.4690000000000001</v>
      </c>
      <c r="D26">
        <v>1.385</v>
      </c>
      <c r="E26">
        <v>1.458</v>
      </c>
      <c r="F26">
        <v>3933813</v>
      </c>
      <c r="G26">
        <v>1.458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0.73809523809523547</v>
      </c>
      <c r="Q26">
        <f t="shared" ref="Q26" si="106">F26*P26</f>
        <v>2903528.6428571325</v>
      </c>
      <c r="R26">
        <f t="shared" ref="R26" si="107">R27+Q26</f>
        <v>-680245587.83832765</v>
      </c>
      <c r="S26">
        <f t="shared" ref="S26" si="108">R26/100000</f>
        <v>-6802.4558783832763</v>
      </c>
      <c r="T26">
        <f t="shared" ref="T26" si="109">S26/1000</f>
        <v>-6.8024558783832765</v>
      </c>
    </row>
    <row r="27" spans="1:20" x14ac:dyDescent="0.25">
      <c r="A27" s="5">
        <v>44566</v>
      </c>
      <c r="B27">
        <v>1.585</v>
      </c>
      <c r="C27">
        <v>1.633</v>
      </c>
      <c r="D27">
        <v>1.36</v>
      </c>
      <c r="E27">
        <v>1.4570000000000001</v>
      </c>
      <c r="F27">
        <v>6638201.7000000002</v>
      </c>
      <c r="G27">
        <v>1.4570000000000001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-0.28937728937728935</v>
      </c>
      <c r="Q27">
        <f t="shared" ref="Q27" si="111">F27*P27</f>
        <v>-1920944.8142857142</v>
      </c>
      <c r="R27">
        <f t="shared" ref="R27" si="112">R28+Q27</f>
        <v>-683149116.48118472</v>
      </c>
      <c r="S27">
        <f t="shared" ref="S27" si="113">R27/100000</f>
        <v>-6831.4911648118468</v>
      </c>
      <c r="T27">
        <f t="shared" ref="T27" si="114">S27/1000</f>
        <v>-6.8314911648118466</v>
      </c>
    </row>
    <row r="28" spans="1:20" x14ac:dyDescent="0.25">
      <c r="A28" s="5">
        <v>44565</v>
      </c>
      <c r="B28">
        <v>1.6160000000000001</v>
      </c>
      <c r="C28">
        <v>1.661</v>
      </c>
      <c r="D28">
        <v>1.5569999999999999</v>
      </c>
      <c r="E28">
        <v>1.585</v>
      </c>
      <c r="F28">
        <v>4498821.3</v>
      </c>
      <c r="G28">
        <v>1.585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-0.46153846153846156</v>
      </c>
      <c r="Q28">
        <f t="shared" ref="Q28" si="116">F28*P28</f>
        <v>-2076379.0615384616</v>
      </c>
      <c r="R28">
        <f t="shared" ref="R28" si="117">R29+Q28</f>
        <v>-681228171.66689897</v>
      </c>
      <c r="S28">
        <f t="shared" ref="S28" si="118">R28/100000</f>
        <v>-6812.2817166689892</v>
      </c>
      <c r="T28">
        <f t="shared" ref="T28" si="119">S28/1000</f>
        <v>-6.8122817166689895</v>
      </c>
    </row>
    <row r="29" spans="1:20" x14ac:dyDescent="0.25">
      <c r="A29" s="5">
        <v>44564</v>
      </c>
      <c r="B29">
        <v>1.647</v>
      </c>
      <c r="C29">
        <v>1.6930000000000001</v>
      </c>
      <c r="D29">
        <v>1.5760000000000001</v>
      </c>
      <c r="E29">
        <v>1.6160000000000001</v>
      </c>
      <c r="F29">
        <v>7121841.2000000002</v>
      </c>
      <c r="G29">
        <v>1.6160000000000001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-0.31623931623931562</v>
      </c>
      <c r="Q29">
        <f t="shared" ref="Q29" si="121">F29*P29</f>
        <v>-2252206.191452987</v>
      </c>
      <c r="R29">
        <f t="shared" ref="R29" si="122">R30+Q29</f>
        <v>-679151792.60536051</v>
      </c>
      <c r="S29">
        <f t="shared" ref="S29" si="123">R29/100000</f>
        <v>-6791.5179260536052</v>
      </c>
      <c r="T29">
        <f t="shared" ref="T29" si="124">S29/1000</f>
        <v>-6.7915179260536052</v>
      </c>
    </row>
    <row r="30" spans="1:20" x14ac:dyDescent="0.25">
      <c r="A30" s="5">
        <v>44563</v>
      </c>
      <c r="B30">
        <v>1.6519999999999999</v>
      </c>
      <c r="C30">
        <v>1.6839999999999999</v>
      </c>
      <c r="D30">
        <v>1.621</v>
      </c>
      <c r="E30">
        <v>1.647</v>
      </c>
      <c r="F30">
        <v>3759999.5</v>
      </c>
      <c r="G30">
        <v>1.647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-0.17460317460317315</v>
      </c>
      <c r="Q30">
        <f t="shared" ref="Q30" si="126">F30*P30</f>
        <v>-656507.84920634376</v>
      </c>
      <c r="R30">
        <f t="shared" ref="R30" si="127">R31+Q30</f>
        <v>-676899586.41390753</v>
      </c>
      <c r="S30">
        <f t="shared" ref="S30" si="128">R30/100000</f>
        <v>-6768.9958641390749</v>
      </c>
      <c r="T30">
        <f t="shared" ref="T30" si="129">S30/1000</f>
        <v>-6.7689958641390753</v>
      </c>
    </row>
    <row r="31" spans="1:20" x14ac:dyDescent="0.25">
      <c r="A31" s="5">
        <v>44562</v>
      </c>
      <c r="B31">
        <v>1.601</v>
      </c>
      <c r="C31">
        <v>1.6559999999999999</v>
      </c>
      <c r="D31">
        <v>1.591</v>
      </c>
      <c r="E31">
        <v>1.65</v>
      </c>
      <c r="F31">
        <v>2982970</v>
      </c>
      <c r="G31">
        <v>1.65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0.81538461538461504</v>
      </c>
      <c r="Q31">
        <f t="shared" ref="Q31" si="131">F31*P31</f>
        <v>2432267.8461538451</v>
      </c>
      <c r="R31">
        <f t="shared" ref="R31" si="132">R32+Q31</f>
        <v>-676243078.5647012</v>
      </c>
      <c r="S31">
        <f t="shared" ref="S31" si="133">R31/100000</f>
        <v>-6762.4307856470123</v>
      </c>
      <c r="T31">
        <f t="shared" ref="T31" si="134">S31/1000</f>
        <v>-6.7624307856470125</v>
      </c>
    </row>
    <row r="32" spans="1:20" x14ac:dyDescent="0.25">
      <c r="A32" s="5">
        <v>44561</v>
      </c>
      <c r="B32">
        <v>1.657</v>
      </c>
      <c r="C32">
        <v>1.7350000000000001</v>
      </c>
      <c r="D32">
        <v>1.5620000000000001</v>
      </c>
      <c r="E32">
        <v>1.601</v>
      </c>
      <c r="F32">
        <v>7493744.7999999998</v>
      </c>
      <c r="G32">
        <v>1.601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-0.54913294797687962</v>
      </c>
      <c r="Q32">
        <f t="shared" ref="Q32" si="136">F32*P32</f>
        <v>-4115062.1734104119</v>
      </c>
      <c r="R32">
        <f t="shared" ref="R32" si="137">R33+Q32</f>
        <v>-678675346.41085505</v>
      </c>
      <c r="S32">
        <f t="shared" ref="S32" si="138">R32/100000</f>
        <v>-6786.7534641085504</v>
      </c>
      <c r="T32">
        <f t="shared" ref="T32" si="139">S32/1000</f>
        <v>-6.7867534641085507</v>
      </c>
    </row>
    <row r="33" spans="1:20" x14ac:dyDescent="0.25">
      <c r="A33" s="5">
        <v>44560</v>
      </c>
      <c r="B33">
        <v>1.6639999999999999</v>
      </c>
      <c r="C33">
        <v>1.7130000000000001</v>
      </c>
      <c r="D33">
        <v>1.6160000000000001</v>
      </c>
      <c r="E33">
        <v>1.6579999999999999</v>
      </c>
      <c r="F33">
        <v>3434197.6</v>
      </c>
      <c r="G33">
        <v>1.6579999999999999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-0.13402061855670461</v>
      </c>
      <c r="Q33">
        <f t="shared" ref="Q33" si="141">F33*P33</f>
        <v>-460253.28659795044</v>
      </c>
      <c r="R33">
        <f t="shared" ref="R33" si="142">R34+Q33</f>
        <v>-674560284.23744464</v>
      </c>
      <c r="S33">
        <f t="shared" ref="S33" si="143">R33/100000</f>
        <v>-6745.6028423744465</v>
      </c>
      <c r="T33">
        <f t="shared" ref="T33" si="144">S33/1000</f>
        <v>-6.7456028423744465</v>
      </c>
    </row>
    <row r="34" spans="1:20" x14ac:dyDescent="0.25">
      <c r="A34" s="5">
        <v>44559</v>
      </c>
      <c r="B34">
        <v>1.7809999999999999</v>
      </c>
      <c r="C34">
        <v>1.857</v>
      </c>
      <c r="D34">
        <v>1.6439999999999999</v>
      </c>
      <c r="E34">
        <v>1.6639999999999999</v>
      </c>
      <c r="F34">
        <v>5547782.2999999998</v>
      </c>
      <c r="G34">
        <v>1.6639999999999999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-0.81220657276995301</v>
      </c>
      <c r="Q34">
        <f t="shared" ref="Q34" si="146">F34*P34</f>
        <v>-4505945.248356807</v>
      </c>
      <c r="R34">
        <f t="shared" ref="R34" si="147">R35+Q34</f>
        <v>-674100030.95084667</v>
      </c>
      <c r="S34">
        <f t="shared" ref="S34" si="148">R34/100000</f>
        <v>-6741.0003095084667</v>
      </c>
      <c r="T34">
        <f t="shared" ref="T34" si="149">S34/1000</f>
        <v>-6.7410003095084665</v>
      </c>
    </row>
    <row r="35" spans="1:20" x14ac:dyDescent="0.25">
      <c r="A35" s="5">
        <v>44558</v>
      </c>
      <c r="B35">
        <v>2.056</v>
      </c>
      <c r="C35">
        <v>2.0950000000000002</v>
      </c>
      <c r="D35">
        <v>1.762</v>
      </c>
      <c r="E35">
        <v>1.7789999999999999</v>
      </c>
      <c r="F35">
        <v>10992826.800000001</v>
      </c>
      <c r="G35">
        <v>1.7789999999999999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-0.89789789789789853</v>
      </c>
      <c r="Q35">
        <f t="shared" ref="Q35" si="151">F35*P35</f>
        <v>-9870436.0756756831</v>
      </c>
      <c r="R35">
        <f t="shared" ref="R35" si="152">R36+Q35</f>
        <v>-669594085.70248985</v>
      </c>
      <c r="S35">
        <f t="shared" ref="S35" si="153">R35/100000</f>
        <v>-6695.9408570248988</v>
      </c>
      <c r="T35">
        <f t="shared" ref="T35" si="154">S35/1000</f>
        <v>-6.6959408570248993</v>
      </c>
    </row>
    <row r="36" spans="1:20" x14ac:dyDescent="0.25">
      <c r="A36" s="5">
        <v>44557</v>
      </c>
      <c r="B36">
        <v>1.901</v>
      </c>
      <c r="C36">
        <v>2.1309999999999998</v>
      </c>
      <c r="D36">
        <v>1.8759999999999999</v>
      </c>
      <c r="E36">
        <v>2.0569999999999999</v>
      </c>
      <c r="F36">
        <v>12609984.4</v>
      </c>
      <c r="G36">
        <v>2.0569999999999999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0.41960784313725591</v>
      </c>
      <c r="Q36">
        <f t="shared" ref="Q36" si="156">F36*P36</f>
        <v>5291248.356078444</v>
      </c>
      <c r="R36">
        <f t="shared" ref="R36" si="157">R37+Q36</f>
        <v>-659723649.62681413</v>
      </c>
      <c r="S36">
        <f t="shared" ref="S36" si="158">R36/100000</f>
        <v>-6597.2364962681413</v>
      </c>
      <c r="T36">
        <f t="shared" ref="T36" si="159">S36/1000</f>
        <v>-6.5972364962681409</v>
      </c>
    </row>
    <row r="37" spans="1:20" x14ac:dyDescent="0.25">
      <c r="A37" s="5">
        <v>44556</v>
      </c>
      <c r="B37">
        <v>1.7829999999999999</v>
      </c>
      <c r="C37">
        <v>2.0379999999999998</v>
      </c>
      <c r="D37">
        <v>1.782</v>
      </c>
      <c r="E37">
        <v>1.899</v>
      </c>
      <c r="F37">
        <v>14336402.800000001</v>
      </c>
      <c r="G37">
        <v>1.899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-8.5937499999999278E-2</v>
      </c>
      <c r="Q37">
        <f t="shared" ref="Q37" si="161">F37*P37</f>
        <v>-1232034.6156249896</v>
      </c>
      <c r="R37">
        <f t="shared" ref="R37" si="162">R38+Q37</f>
        <v>-665014897.98289251</v>
      </c>
      <c r="S37">
        <f t="shared" ref="S37" si="163">R37/100000</f>
        <v>-6650.1489798289249</v>
      </c>
      <c r="T37">
        <f t="shared" ref="T37" si="164">S37/1000</f>
        <v>-6.6501489798289253</v>
      </c>
    </row>
    <row r="38" spans="1:20" x14ac:dyDescent="0.25">
      <c r="A38" s="5">
        <v>44555</v>
      </c>
      <c r="B38">
        <v>1.746</v>
      </c>
      <c r="C38">
        <v>1.85</v>
      </c>
      <c r="D38">
        <v>1.7250000000000001</v>
      </c>
      <c r="E38">
        <v>1.784</v>
      </c>
      <c r="F38">
        <v>6799745</v>
      </c>
      <c r="G38">
        <v>1.784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-5.6000000000000938E-2</v>
      </c>
      <c r="Q38">
        <f t="shared" ref="Q38" si="166">F38*P38</f>
        <v>-380785.72000000637</v>
      </c>
      <c r="R38">
        <f t="shared" ref="R38" si="167">R39+Q38</f>
        <v>-663782863.36726749</v>
      </c>
      <c r="S38">
        <f t="shared" ref="S38" si="168">R38/100000</f>
        <v>-6637.8286336726751</v>
      </c>
      <c r="T38">
        <f t="shared" ref="T38" si="169">S38/1000</f>
        <v>-6.6378286336726751</v>
      </c>
    </row>
    <row r="39" spans="1:20" x14ac:dyDescent="0.25">
      <c r="A39" s="5">
        <v>44554</v>
      </c>
      <c r="B39">
        <v>1.7</v>
      </c>
      <c r="C39">
        <v>1.8560000000000001</v>
      </c>
      <c r="D39">
        <v>1.639</v>
      </c>
      <c r="E39">
        <v>1.746</v>
      </c>
      <c r="F39">
        <v>10279517.199999999</v>
      </c>
      <c r="G39">
        <v>1.746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-1.3824884792627248E-2</v>
      </c>
      <c r="Q39">
        <f t="shared" ref="Q39" si="171">F39*P39</f>
        <v>-142113.1410138302</v>
      </c>
      <c r="R39">
        <f t="shared" ref="R39" si="172">R40+Q39</f>
        <v>-663402077.64726746</v>
      </c>
      <c r="S39">
        <f t="shared" ref="S39" si="173">R39/100000</f>
        <v>-6634.0207764726747</v>
      </c>
      <c r="T39">
        <f t="shared" ref="T39" si="174">S39/1000</f>
        <v>-6.6340207764726751</v>
      </c>
    </row>
    <row r="40" spans="1:20" x14ac:dyDescent="0.25">
      <c r="A40" s="5">
        <v>44553</v>
      </c>
      <c r="B40">
        <v>1.5780000000000001</v>
      </c>
      <c r="C40">
        <v>1.772</v>
      </c>
      <c r="D40">
        <v>1.538</v>
      </c>
      <c r="E40">
        <v>1.7</v>
      </c>
      <c r="F40">
        <v>6394087.9000000004</v>
      </c>
      <c r="G40">
        <v>1.7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0.38461538461538403</v>
      </c>
      <c r="Q40">
        <f t="shared" ref="Q40" si="176">F40*P40</f>
        <v>2459264.5769230733</v>
      </c>
      <c r="R40">
        <f t="shared" ref="R40" si="177">R41+Q40</f>
        <v>-663259964.5062536</v>
      </c>
      <c r="S40">
        <f t="shared" ref="S40" si="178">R40/100000</f>
        <v>-6632.5996450625362</v>
      </c>
      <c r="T40">
        <f t="shared" ref="T40" si="179">S40/1000</f>
        <v>-6.6325996450625357</v>
      </c>
    </row>
    <row r="41" spans="1:20" x14ac:dyDescent="0.25">
      <c r="A41" s="5">
        <v>44552</v>
      </c>
      <c r="B41">
        <v>1.5409999999999999</v>
      </c>
      <c r="C41">
        <v>1.629</v>
      </c>
      <c r="D41">
        <v>1.518</v>
      </c>
      <c r="E41">
        <v>1.5780000000000001</v>
      </c>
      <c r="F41">
        <v>4525967</v>
      </c>
      <c r="G41">
        <v>1.5780000000000001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8.1081081081082168E-2</v>
      </c>
      <c r="Q41">
        <f t="shared" ref="Q41" si="181">F41*P41</f>
        <v>366970.29729730223</v>
      </c>
      <c r="R41">
        <f t="shared" ref="R41" si="182">R42+Q41</f>
        <v>-665719229.08317673</v>
      </c>
      <c r="S41">
        <f t="shared" ref="S41" si="183">R41/100000</f>
        <v>-6657.1922908317674</v>
      </c>
      <c r="T41">
        <f t="shared" ref="T41" si="184">S41/1000</f>
        <v>-6.6571922908317678</v>
      </c>
    </row>
    <row r="42" spans="1:20" x14ac:dyDescent="0.25">
      <c r="A42" s="5">
        <v>44551</v>
      </c>
      <c r="B42">
        <v>1.476</v>
      </c>
      <c r="C42">
        <v>1.55</v>
      </c>
      <c r="D42">
        <v>1.4450000000000001</v>
      </c>
      <c r="E42">
        <v>1.542</v>
      </c>
      <c r="F42">
        <v>3939243.9</v>
      </c>
      <c r="G42">
        <v>1.542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0.84761904761904749</v>
      </c>
      <c r="Q42">
        <f t="shared" ref="Q42" si="186">F42*P42</f>
        <v>3338978.1628571423</v>
      </c>
      <c r="R42">
        <f t="shared" ref="R42" si="187">R43+Q42</f>
        <v>-666086199.38047409</v>
      </c>
      <c r="S42">
        <f t="shared" ref="S42" si="188">R42/100000</f>
        <v>-6660.8619938047414</v>
      </c>
      <c r="T42">
        <f t="shared" ref="T42" si="189">S42/1000</f>
        <v>-6.6608619938047413</v>
      </c>
    </row>
    <row r="43" spans="1:20" x14ac:dyDescent="0.25">
      <c r="A43" s="5">
        <v>44550</v>
      </c>
      <c r="B43">
        <v>1.518</v>
      </c>
      <c r="C43">
        <v>1.5609999999999999</v>
      </c>
      <c r="D43">
        <v>1.371</v>
      </c>
      <c r="E43">
        <v>1.474</v>
      </c>
      <c r="F43">
        <v>8574497.6999999993</v>
      </c>
      <c r="G43">
        <v>1.474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8.4210526315789569E-2</v>
      </c>
      <c r="Q43">
        <f t="shared" ref="Q43" si="191">F43*P43</f>
        <v>722062.96421052702</v>
      </c>
      <c r="R43">
        <f t="shared" ref="R43" si="192">R44+Q43</f>
        <v>-669425177.54333127</v>
      </c>
      <c r="S43">
        <f t="shared" ref="S43" si="193">R43/100000</f>
        <v>-6694.251775433313</v>
      </c>
      <c r="T43">
        <f t="shared" ref="T43" si="194">S43/1000</f>
        <v>-6.6942517754333126</v>
      </c>
    </row>
    <row r="44" spans="1:20" x14ac:dyDescent="0.25">
      <c r="A44" s="5">
        <v>44549</v>
      </c>
      <c r="B44">
        <v>1.415</v>
      </c>
      <c r="C44">
        <v>1.742</v>
      </c>
      <c r="D44">
        <v>1.397</v>
      </c>
      <c r="E44">
        <v>1.518</v>
      </c>
      <c r="F44">
        <v>18680389.5</v>
      </c>
      <c r="G44">
        <v>1.518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-0.29855072463768112</v>
      </c>
      <c r="Q44">
        <f t="shared" ref="Q44" si="196">F44*P44</f>
        <v>-5577043.8217391297</v>
      </c>
      <c r="R44">
        <f t="shared" ref="R44" si="197">R45+Q44</f>
        <v>-670147240.50754178</v>
      </c>
      <c r="S44">
        <f t="shared" ref="S44" si="198">R44/100000</f>
        <v>-6701.4724050754176</v>
      </c>
      <c r="T44">
        <f t="shared" ref="T44" si="199">S44/1000</f>
        <v>-6.7014724050754175</v>
      </c>
    </row>
    <row r="45" spans="1:20" x14ac:dyDescent="0.25">
      <c r="A45" s="5">
        <v>44548</v>
      </c>
      <c r="B45">
        <v>1.3839999999999999</v>
      </c>
      <c r="C45">
        <v>1.4450000000000001</v>
      </c>
      <c r="D45">
        <v>1.36</v>
      </c>
      <c r="E45">
        <v>1.415</v>
      </c>
      <c r="F45">
        <v>2220881.7000000002</v>
      </c>
      <c r="G45">
        <v>1.415</v>
      </c>
      <c r="L45" t="s">
        <v>7</v>
      </c>
      <c r="M45" t="s">
        <v>8</v>
      </c>
      <c r="N45" t="s">
        <v>7</v>
      </c>
      <c r="P45">
        <f t="shared" ref="P45" si="200">IF(C45=D45,0,((E45-D45)-(C45-E45))/(C45-D45))</f>
        <v>0.2941176470588226</v>
      </c>
      <c r="Q45">
        <f t="shared" ref="Q45" si="201">F45*P45</f>
        <v>653200.49999999802</v>
      </c>
      <c r="R45">
        <f t="shared" ref="R45" si="202">R46+Q45</f>
        <v>-664570196.6858027</v>
      </c>
      <c r="S45">
        <f t="shared" ref="S45" si="203">R45/100000</f>
        <v>-6645.7019668580269</v>
      </c>
      <c r="T45">
        <f t="shared" ref="T45" si="204">S45/1000</f>
        <v>-6.6457019668580273</v>
      </c>
    </row>
    <row r="46" spans="1:20" x14ac:dyDescent="0.25">
      <c r="A46" s="5">
        <v>44547</v>
      </c>
      <c r="B46">
        <v>1.454</v>
      </c>
      <c r="C46">
        <v>1.5049999999999999</v>
      </c>
      <c r="D46">
        <v>1.349</v>
      </c>
      <c r="E46">
        <v>1.3839999999999999</v>
      </c>
      <c r="F46">
        <v>3902262.8</v>
      </c>
      <c r="G46">
        <v>1.3839999999999999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-0.5512820512820521</v>
      </c>
      <c r="Q46">
        <f t="shared" ref="Q46" si="206">F46*P46</f>
        <v>-2151247.4410256441</v>
      </c>
      <c r="R46">
        <f t="shared" ref="R46" si="207">R47+Q46</f>
        <v>-665223397.1858027</v>
      </c>
      <c r="S46">
        <f t="shared" ref="S46" si="208">R46/100000</f>
        <v>-6652.233971858027</v>
      </c>
      <c r="T46">
        <f t="shared" ref="T46" si="209">S46/1000</f>
        <v>-6.6522339718580268</v>
      </c>
    </row>
    <row r="47" spans="1:20" x14ac:dyDescent="0.25">
      <c r="A47" s="5">
        <v>44546</v>
      </c>
      <c r="B47">
        <v>1.4850000000000001</v>
      </c>
      <c r="C47">
        <v>1.552</v>
      </c>
      <c r="D47">
        <v>1.446</v>
      </c>
      <c r="E47">
        <v>1.4530000000000001</v>
      </c>
      <c r="F47">
        <v>3994125.4</v>
      </c>
      <c r="G47">
        <v>1.4530000000000001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-0.86792452830188471</v>
      </c>
      <c r="Q47">
        <f t="shared" ref="Q47" si="211">F47*P47</f>
        <v>-3466599.4037735765</v>
      </c>
      <c r="R47">
        <f t="shared" ref="R47" si="212">R48+Q47</f>
        <v>-663072149.74477708</v>
      </c>
      <c r="S47">
        <f t="shared" ref="S47" si="213">R47/100000</f>
        <v>-6630.7214974477711</v>
      </c>
      <c r="T47">
        <f t="shared" ref="T47" si="214">S47/1000</f>
        <v>-6.6307214974477713</v>
      </c>
    </row>
    <row r="48" spans="1:20" x14ac:dyDescent="0.25">
      <c r="A48" s="5">
        <v>44545</v>
      </c>
      <c r="B48">
        <v>1.448</v>
      </c>
      <c r="C48">
        <v>1.526</v>
      </c>
      <c r="D48">
        <v>1.3380000000000001</v>
      </c>
      <c r="E48">
        <v>1.4850000000000001</v>
      </c>
      <c r="F48">
        <v>5416866.9699999997</v>
      </c>
      <c r="G48">
        <v>1.4850000000000001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0.5638297872340432</v>
      </c>
      <c r="Q48">
        <f t="shared" ref="Q48" si="216">F48*P48</f>
        <v>3054190.9511702163</v>
      </c>
      <c r="R48">
        <f t="shared" ref="R48" si="217">R49+Q48</f>
        <v>-659605550.34100354</v>
      </c>
      <c r="S48">
        <f t="shared" ref="S48" si="218">R48/100000</f>
        <v>-6596.0555034100353</v>
      </c>
      <c r="T48">
        <f t="shared" ref="T48" si="219">S48/1000</f>
        <v>-6.5960555034100352</v>
      </c>
    </row>
    <row r="49" spans="1:20" x14ac:dyDescent="0.25">
      <c r="A49" s="5">
        <v>44544</v>
      </c>
      <c r="B49">
        <v>1.4279999999999999</v>
      </c>
      <c r="C49">
        <v>1.4670000000000001</v>
      </c>
      <c r="D49">
        <v>1.37</v>
      </c>
      <c r="E49">
        <v>1.448</v>
      </c>
      <c r="F49">
        <v>4178468.08</v>
      </c>
      <c r="G49">
        <v>1.448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0.60824742268040966</v>
      </c>
      <c r="Q49">
        <f t="shared" ref="Q49" si="221">F49*P49</f>
        <v>2541542.4404123598</v>
      </c>
      <c r="R49">
        <f t="shared" ref="R49" si="222">R50+Q49</f>
        <v>-662659741.29217374</v>
      </c>
      <c r="S49">
        <f t="shared" ref="S49" si="223">R49/100000</f>
        <v>-6626.5974129217375</v>
      </c>
      <c r="T49">
        <f t="shared" ref="T49" si="224">S49/1000</f>
        <v>-6.6265974129217371</v>
      </c>
    </row>
    <row r="50" spans="1:20" x14ac:dyDescent="0.25">
      <c r="A50" s="5">
        <v>44543</v>
      </c>
      <c r="B50">
        <v>1.631</v>
      </c>
      <c r="C50">
        <v>1.64</v>
      </c>
      <c r="D50">
        <v>1.395</v>
      </c>
      <c r="E50">
        <v>1.429</v>
      </c>
      <c r="F50">
        <v>5647104.9699999997</v>
      </c>
      <c r="G50">
        <v>1.429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-0.7224489795918364</v>
      </c>
      <c r="Q50">
        <f t="shared" ref="Q50" si="226">F50*P50</f>
        <v>-4079745.2232244876</v>
      </c>
      <c r="R50">
        <f t="shared" ref="R50" si="227">R51+Q50</f>
        <v>-665201283.73258615</v>
      </c>
      <c r="S50">
        <f t="shared" ref="S50" si="228">R50/100000</f>
        <v>-6652.0128373258613</v>
      </c>
      <c r="T50">
        <f t="shared" ref="T50" si="229">S50/1000</f>
        <v>-6.6520128373258611</v>
      </c>
    </row>
    <row r="51" spans="1:20" x14ac:dyDescent="0.25">
      <c r="A51" s="5">
        <v>44542</v>
      </c>
      <c r="B51">
        <v>1.6279999999999999</v>
      </c>
      <c r="C51">
        <v>1.6559999999999999</v>
      </c>
      <c r="D51">
        <v>1.5720000000000001</v>
      </c>
      <c r="E51">
        <v>1.631</v>
      </c>
      <c r="F51">
        <v>3884597.7</v>
      </c>
      <c r="G51">
        <v>1.631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0.40476190476190582</v>
      </c>
      <c r="Q51">
        <f t="shared" ref="Q51" si="231">F51*P51</f>
        <v>1572337.1642857185</v>
      </c>
      <c r="R51">
        <f t="shared" ref="R51" si="232">R52+Q51</f>
        <v>-661121538.50936162</v>
      </c>
      <c r="S51">
        <f t="shared" ref="S51" si="233">R51/100000</f>
        <v>-6611.2153850936165</v>
      </c>
      <c r="T51">
        <f t="shared" ref="T51" si="234">S51/1000</f>
        <v>-6.6112153850936162</v>
      </c>
    </row>
    <row r="52" spans="1:20" x14ac:dyDescent="0.25">
      <c r="A52" s="5">
        <v>44541</v>
      </c>
      <c r="B52">
        <v>1.5620000000000001</v>
      </c>
      <c r="C52">
        <v>1.597</v>
      </c>
      <c r="D52">
        <v>1.5309999999999999</v>
      </c>
      <c r="E52">
        <v>1.585</v>
      </c>
      <c r="F52">
        <v>251852.5</v>
      </c>
      <c r="G52">
        <v>1.585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0.63636363636363635</v>
      </c>
      <c r="Q52">
        <f t="shared" ref="Q52" si="236">F52*P52</f>
        <v>160269.77272727274</v>
      </c>
      <c r="R52">
        <f t="shared" ref="R52" si="237">R53+Q52</f>
        <v>-662693875.67364728</v>
      </c>
      <c r="S52">
        <f t="shared" ref="S52" si="238">R52/100000</f>
        <v>-6626.9387567364729</v>
      </c>
      <c r="T52">
        <f t="shared" ref="T52" si="239">S52/1000</f>
        <v>-6.6269387567364726</v>
      </c>
    </row>
    <row r="53" spans="1:20" x14ac:dyDescent="0.25">
      <c r="A53" s="5">
        <v>44540</v>
      </c>
      <c r="B53">
        <v>1.599</v>
      </c>
      <c r="C53">
        <v>1.7629999999999999</v>
      </c>
      <c r="D53">
        <v>1.55</v>
      </c>
      <c r="E53">
        <v>1.5620000000000001</v>
      </c>
      <c r="F53">
        <v>15045252.300000001</v>
      </c>
      <c r="G53">
        <v>1.5620000000000001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-0.88732394366197165</v>
      </c>
      <c r="Q53">
        <f t="shared" ref="Q53" si="241">F53*P53</f>
        <v>-13350012.604225351</v>
      </c>
      <c r="R53">
        <f t="shared" ref="R53" si="242">R54+Q53</f>
        <v>-662854145.44637454</v>
      </c>
      <c r="S53">
        <f t="shared" ref="S53" si="243">R53/100000</f>
        <v>-6628.5414544637451</v>
      </c>
      <c r="T53">
        <f t="shared" ref="T53" si="244">S53/1000</f>
        <v>-6.6285414544637451</v>
      </c>
    </row>
    <row r="54" spans="1:20" x14ac:dyDescent="0.25">
      <c r="A54" s="5">
        <v>44539</v>
      </c>
      <c r="B54">
        <v>1.7669999999999999</v>
      </c>
      <c r="C54">
        <v>1.879</v>
      </c>
      <c r="D54">
        <v>1.595</v>
      </c>
      <c r="E54">
        <v>1.599</v>
      </c>
      <c r="F54">
        <v>8188355.4000000004</v>
      </c>
      <c r="G54">
        <v>1.599</v>
      </c>
      <c r="L54" t="s">
        <v>8</v>
      </c>
      <c r="M54" t="s">
        <v>7</v>
      </c>
      <c r="N54" t="s">
        <v>8</v>
      </c>
      <c r="P54">
        <f t="shared" ref="P54" si="245">IF(C54=D54,0,((E54-D54)-(C54-E54))/(C54-D54))</f>
        <v>-0.97183098591549288</v>
      </c>
      <c r="Q54">
        <f t="shared" ref="Q54" si="246">F54*P54</f>
        <v>-7957697.5014084503</v>
      </c>
      <c r="R54">
        <f t="shared" ref="R54" si="247">R55+Q54</f>
        <v>-649504132.84214914</v>
      </c>
      <c r="S54">
        <f t="shared" ref="S54" si="248">R54/100000</f>
        <v>-6495.041328421491</v>
      </c>
      <c r="T54">
        <f t="shared" ref="T54" si="249">S54/1000</f>
        <v>-6.4950413284214914</v>
      </c>
    </row>
    <row r="55" spans="1:20" x14ac:dyDescent="0.25">
      <c r="A55" s="5">
        <v>44538</v>
      </c>
      <c r="B55">
        <v>1.7210000000000001</v>
      </c>
      <c r="C55">
        <v>1.869</v>
      </c>
      <c r="D55">
        <v>1.607</v>
      </c>
      <c r="E55">
        <v>1.7649999999999999</v>
      </c>
      <c r="F55">
        <v>8722836.3000000007</v>
      </c>
      <c r="G55">
        <v>1.7649999999999999</v>
      </c>
      <c r="L55" t="s">
        <v>7</v>
      </c>
      <c r="M55" t="s">
        <v>7</v>
      </c>
      <c r="N55" t="s">
        <v>8</v>
      </c>
      <c r="P55">
        <f t="shared" ref="P55" si="250">IF(C55=D55,0,((E55-D55)-(C55-E55))/(C55-D55))</f>
        <v>0.20610687022900695</v>
      </c>
      <c r="Q55">
        <f t="shared" ref="Q55" si="251">F55*P55</f>
        <v>1797836.4893129712</v>
      </c>
      <c r="R55">
        <f t="shared" ref="R55" si="252">R56+Q55</f>
        <v>-641546435.34074068</v>
      </c>
      <c r="S55">
        <f t="shared" ref="S55" si="253">R55/100000</f>
        <v>-6415.4643534074066</v>
      </c>
      <c r="T55">
        <f t="shared" ref="T55" si="254">S55/1000</f>
        <v>-6.4154643534074065</v>
      </c>
    </row>
    <row r="56" spans="1:20" x14ac:dyDescent="0.25">
      <c r="A56" s="5">
        <v>44537</v>
      </c>
      <c r="B56">
        <v>1.7470000000000001</v>
      </c>
      <c r="C56">
        <v>1.86</v>
      </c>
      <c r="D56">
        <v>1.6910000000000001</v>
      </c>
      <c r="E56">
        <v>1.722</v>
      </c>
      <c r="F56">
        <v>7980637</v>
      </c>
      <c r="G56">
        <v>1.722</v>
      </c>
      <c r="L56" t="s">
        <v>7</v>
      </c>
      <c r="M56" t="s">
        <v>7</v>
      </c>
      <c r="N56" t="s">
        <v>8</v>
      </c>
      <c r="P56">
        <f t="shared" ref="P56" si="255">IF(C56=D56,0,((E56-D56)-(C56-E56))/(C56-D56))</f>
        <v>-0.63313609467455734</v>
      </c>
      <c r="Q56">
        <f t="shared" ref="Q56" si="256">F56*P56</f>
        <v>-5052829.3431952754</v>
      </c>
      <c r="R56">
        <f t="shared" ref="R56" si="257">R57+Q56</f>
        <v>-643344271.83005369</v>
      </c>
      <c r="S56">
        <f t="shared" ref="S56" si="258">R56/100000</f>
        <v>-6433.4427183005373</v>
      </c>
      <c r="T56">
        <f t="shared" ref="T56" si="259">S56/1000</f>
        <v>-6.4334427183005376</v>
      </c>
    </row>
    <row r="57" spans="1:20" x14ac:dyDescent="0.25">
      <c r="A57" s="5">
        <v>44536</v>
      </c>
      <c r="B57">
        <v>1.73</v>
      </c>
      <c r="C57">
        <v>2.024</v>
      </c>
      <c r="D57">
        <v>1.5429999999999999</v>
      </c>
      <c r="E57">
        <v>1.7470000000000001</v>
      </c>
      <c r="F57">
        <v>10882847.300000001</v>
      </c>
      <c r="G57">
        <v>1.7470000000000001</v>
      </c>
      <c r="L57" t="s">
        <v>8</v>
      </c>
      <c r="M57" t="s">
        <v>8</v>
      </c>
      <c r="N57" t="s">
        <v>8</v>
      </c>
      <c r="P57">
        <f t="shared" ref="P57" si="260">IF(C57=D57,0,((E57-D57)-(C57-E57))/(C57-D57))</f>
        <v>-0.15176715176715119</v>
      </c>
      <c r="Q57">
        <f t="shared" ref="Q57" si="261">F57*P57</f>
        <v>-1651658.7378378317</v>
      </c>
      <c r="R57">
        <f t="shared" ref="R57" si="262">R58+Q57</f>
        <v>-638291442.48685837</v>
      </c>
      <c r="S57">
        <f t="shared" ref="S57" si="263">R57/100000</f>
        <v>-6382.9144248685834</v>
      </c>
      <c r="T57">
        <f t="shared" ref="T57" si="264">S57/1000</f>
        <v>-6.3829144248685834</v>
      </c>
    </row>
    <row r="58" spans="1:20" x14ac:dyDescent="0.25">
      <c r="A58" s="5">
        <v>44535</v>
      </c>
      <c r="B58">
        <v>1.899</v>
      </c>
      <c r="C58">
        <v>1.93</v>
      </c>
      <c r="D58">
        <v>1.68</v>
      </c>
      <c r="E58">
        <v>1.7310000000000001</v>
      </c>
      <c r="F58">
        <v>6958454.5</v>
      </c>
      <c r="G58">
        <v>1.7310000000000001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-0.59199999999999875</v>
      </c>
      <c r="Q58">
        <f t="shared" ref="Q58" si="266">F58*P58</f>
        <v>-4119405.0639999914</v>
      </c>
      <c r="R58">
        <f t="shared" ref="R58" si="267">R59+Q58</f>
        <v>-636639783.74902058</v>
      </c>
      <c r="S58">
        <f t="shared" ref="S58" si="268">R58/100000</f>
        <v>-6366.3978374902053</v>
      </c>
      <c r="T58">
        <f t="shared" ref="T58" si="269">S58/1000</f>
        <v>-6.3663978374902053</v>
      </c>
    </row>
    <row r="59" spans="1:20" x14ac:dyDescent="0.25">
      <c r="A59" s="5">
        <v>44534</v>
      </c>
      <c r="B59">
        <v>2.1739999999999999</v>
      </c>
      <c r="C59">
        <v>2.1800000000000002</v>
      </c>
      <c r="D59">
        <v>1.4218999999999999</v>
      </c>
      <c r="E59">
        <v>1.9</v>
      </c>
      <c r="F59">
        <v>14575467.98</v>
      </c>
      <c r="G59">
        <v>1.9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0.26131117266851295</v>
      </c>
      <c r="Q59">
        <f t="shared" ref="Q59" si="271">F59*P59</f>
        <v>3808732.6300461618</v>
      </c>
      <c r="R59">
        <f t="shared" ref="R59" si="272">R60+Q59</f>
        <v>-632520378.68502057</v>
      </c>
      <c r="S59">
        <f t="shared" ref="S59" si="273">R59/100000</f>
        <v>-6325.2037868502057</v>
      </c>
      <c r="T59">
        <f t="shared" ref="T59" si="274">S59/1000</f>
        <v>-6.3252037868502056</v>
      </c>
    </row>
    <row r="60" spans="1:20" x14ac:dyDescent="0.25">
      <c r="A60" s="5">
        <v>44533</v>
      </c>
      <c r="B60">
        <v>2.246</v>
      </c>
      <c r="C60">
        <v>2.339</v>
      </c>
      <c r="D60">
        <v>2.0670000000000002</v>
      </c>
      <c r="E60">
        <v>2.1779999999999999</v>
      </c>
      <c r="F60">
        <v>7352769</v>
      </c>
      <c r="G60">
        <v>2.1779999999999999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-0.18382352941176583</v>
      </c>
      <c r="Q60">
        <f t="shared" ref="Q60" si="276">F60*P60</f>
        <v>-1351611.94852942</v>
      </c>
      <c r="R60">
        <f t="shared" ref="R60" si="277">R61+Q60</f>
        <v>-636329111.3150667</v>
      </c>
      <c r="S60">
        <f t="shared" ref="S60" si="278">R60/100000</f>
        <v>-6363.2911131506671</v>
      </c>
      <c r="T60">
        <f t="shared" ref="T60" si="279">S60/1000</f>
        <v>-6.3632911131506669</v>
      </c>
    </row>
    <row r="61" spans="1:20" x14ac:dyDescent="0.25">
      <c r="A61" s="5">
        <v>44532</v>
      </c>
      <c r="B61">
        <v>2.3620000000000001</v>
      </c>
      <c r="C61">
        <v>2.3740000000000001</v>
      </c>
      <c r="D61">
        <v>2.1720000000000002</v>
      </c>
      <c r="E61">
        <v>2.2450000000000001</v>
      </c>
      <c r="F61">
        <v>8114124.2999999998</v>
      </c>
      <c r="G61">
        <v>2.2450000000000001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-0.27722772277227753</v>
      </c>
      <c r="Q61">
        <f t="shared" ref="Q61" si="281">F61*P61</f>
        <v>-2249460.2019802006</v>
      </c>
      <c r="R61">
        <f t="shared" ref="R61" si="282">R62+Q61</f>
        <v>-634977499.36653733</v>
      </c>
      <c r="S61">
        <f t="shared" ref="S61" si="283">R61/100000</f>
        <v>-6349.7749936653736</v>
      </c>
      <c r="T61">
        <f t="shared" ref="T61" si="284">S61/1000</f>
        <v>-6.349774993665374</v>
      </c>
    </row>
    <row r="62" spans="1:20" x14ac:dyDescent="0.25">
      <c r="A62" s="5">
        <v>44531</v>
      </c>
      <c r="B62">
        <v>2.2989999999999999</v>
      </c>
      <c r="C62">
        <v>2.5750000000000002</v>
      </c>
      <c r="D62">
        <v>2.286</v>
      </c>
      <c r="E62">
        <v>2.36</v>
      </c>
      <c r="F62">
        <v>15051487.199999999</v>
      </c>
      <c r="G62">
        <v>2.36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-0.4878892733564027</v>
      </c>
      <c r="Q62">
        <f t="shared" ref="Q62" si="286">F62*P62</f>
        <v>-7343459.1529411962</v>
      </c>
      <c r="R62">
        <f t="shared" ref="R62" si="287">R63+Q62</f>
        <v>-632728039.1645571</v>
      </c>
      <c r="S62">
        <f t="shared" ref="S62" si="288">R62/100000</f>
        <v>-6327.2803916455714</v>
      </c>
      <c r="T62">
        <f t="shared" ref="T62" si="289">S62/1000</f>
        <v>-6.3272803916455711</v>
      </c>
    </row>
    <row r="63" spans="1:20" x14ac:dyDescent="0.25">
      <c r="A63" s="5">
        <v>44530</v>
      </c>
      <c r="B63">
        <v>2.403</v>
      </c>
      <c r="C63">
        <v>2.4910000000000001</v>
      </c>
      <c r="D63">
        <v>2.2890000000000001</v>
      </c>
      <c r="E63">
        <v>2.2989999999999999</v>
      </c>
      <c r="F63">
        <v>7838184.9000000004</v>
      </c>
      <c r="G63">
        <v>2.2989999999999999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-0.90099009900990312</v>
      </c>
      <c r="Q63">
        <f t="shared" ref="Q63" si="291">F63*P63</f>
        <v>-7062126.9891089275</v>
      </c>
      <c r="R63">
        <f t="shared" ref="R63" si="292">R64+Q63</f>
        <v>-625384580.01161587</v>
      </c>
      <c r="S63">
        <f t="shared" ref="S63" si="293">R63/100000</f>
        <v>-6253.8458001161589</v>
      </c>
      <c r="T63">
        <f t="shared" ref="T63" si="294">S63/1000</f>
        <v>-6.2538458001161592</v>
      </c>
    </row>
    <row r="64" spans="1:20" x14ac:dyDescent="0.25">
      <c r="A64" s="5">
        <v>44529</v>
      </c>
      <c r="B64">
        <v>2.42</v>
      </c>
      <c r="C64">
        <v>2.58</v>
      </c>
      <c r="D64">
        <v>2.37</v>
      </c>
      <c r="E64">
        <v>2.4049999999999998</v>
      </c>
      <c r="F64">
        <v>10273632.800000001</v>
      </c>
      <c r="G64">
        <v>2.4049999999999998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-0.66666666666666952</v>
      </c>
      <c r="Q64">
        <f t="shared" ref="Q64" si="296">F64*P64</f>
        <v>-6849088.533333363</v>
      </c>
      <c r="R64">
        <f t="shared" ref="R64" si="297">R65+Q64</f>
        <v>-618322453.02250695</v>
      </c>
      <c r="S64">
        <f t="shared" ref="S64" si="298">R64/100000</f>
        <v>-6183.2245302250694</v>
      </c>
      <c r="T64">
        <f t="shared" ref="T64" si="299">S64/1000</f>
        <v>-6.1832245302250692</v>
      </c>
    </row>
    <row r="65" spans="1:20" x14ac:dyDescent="0.25">
      <c r="A65" s="5">
        <v>44528</v>
      </c>
      <c r="B65">
        <v>2.4460000000000002</v>
      </c>
      <c r="C65">
        <v>2.4489999999999998</v>
      </c>
      <c r="D65">
        <v>2.2170000000000001</v>
      </c>
      <c r="E65">
        <v>2.4220000000000002</v>
      </c>
      <c r="F65">
        <v>11053832.9</v>
      </c>
      <c r="G65">
        <v>2.4220000000000002</v>
      </c>
      <c r="L65" t="s">
        <v>7</v>
      </c>
      <c r="M65" t="s">
        <v>8</v>
      </c>
      <c r="N65" t="s">
        <v>7</v>
      </c>
      <c r="P65">
        <f t="shared" ref="P65" si="300">IF(C65=D65,0,((E65-D65)-(C65-E65))/(C65-D65))</f>
        <v>0.7672413793103473</v>
      </c>
      <c r="Q65">
        <f t="shared" ref="Q65" si="301">F65*P65</f>
        <v>8480958.0008620974</v>
      </c>
      <c r="R65">
        <f t="shared" ref="R65" si="302">R66+Q65</f>
        <v>-611473364.48917353</v>
      </c>
      <c r="S65">
        <f t="shared" ref="S65" si="303">R65/100000</f>
        <v>-6114.7336448917349</v>
      </c>
      <c r="T65">
        <f t="shared" ref="T65" si="304">S65/1000</f>
        <v>-6.1147336448917349</v>
      </c>
    </row>
    <row r="66" spans="1:20" x14ac:dyDescent="0.25">
      <c r="A66" s="5">
        <v>44527</v>
      </c>
      <c r="B66">
        <v>2.1970000000000001</v>
      </c>
      <c r="C66">
        <v>2.6379999999999999</v>
      </c>
      <c r="D66">
        <v>2.181</v>
      </c>
      <c r="E66">
        <v>2.4460000000000002</v>
      </c>
      <c r="F66">
        <v>22607674.800000001</v>
      </c>
      <c r="G66">
        <v>2.4460000000000002</v>
      </c>
      <c r="L66" t="s">
        <v>8</v>
      </c>
      <c r="M66" t="s">
        <v>8</v>
      </c>
      <c r="N66" t="s">
        <v>7</v>
      </c>
      <c r="P66">
        <f t="shared" ref="P66" si="305">IF(C66=D66,0,((E66-D66)-(C66-E66))/(C66-D66))</f>
        <v>0.15973741794310814</v>
      </c>
      <c r="Q66">
        <f t="shared" ref="Q66" si="306">F66*P66</f>
        <v>3611291.5982494741</v>
      </c>
      <c r="R66">
        <f t="shared" ref="R66" si="307">R67+Q66</f>
        <v>-619954322.49003565</v>
      </c>
      <c r="S66">
        <f t="shared" ref="S66" si="308">R66/100000</f>
        <v>-6199.5432249003561</v>
      </c>
      <c r="T66">
        <f t="shared" ref="T66" si="309">S66/1000</f>
        <v>-6.1995432249003564</v>
      </c>
    </row>
    <row r="67" spans="1:20" x14ac:dyDescent="0.25">
      <c r="A67" s="5">
        <v>44526</v>
      </c>
      <c r="B67">
        <v>2.4430000000000001</v>
      </c>
      <c r="C67">
        <v>2.5030000000000001</v>
      </c>
      <c r="D67">
        <v>2.1320000000000001</v>
      </c>
      <c r="E67">
        <v>2.1970000000000001</v>
      </c>
      <c r="F67">
        <v>14240288.5</v>
      </c>
      <c r="G67">
        <v>2.1970000000000001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-0.64959568733153672</v>
      </c>
      <c r="Q67">
        <f t="shared" ref="Q67" si="311">F67*P67</f>
        <v>-9250429.9959568772</v>
      </c>
      <c r="R67">
        <f t="shared" ref="R67" si="312">R68+Q67</f>
        <v>-623565614.08828509</v>
      </c>
      <c r="S67">
        <f t="shared" ref="S67" si="313">R67/100000</f>
        <v>-6235.6561408828511</v>
      </c>
      <c r="T67">
        <f t="shared" ref="T67" si="314">S67/1000</f>
        <v>-6.2356561408828508</v>
      </c>
    </row>
    <row r="68" spans="1:20" x14ac:dyDescent="0.25">
      <c r="A68" s="5">
        <v>44525</v>
      </c>
      <c r="B68">
        <v>2.6219999999999999</v>
      </c>
      <c r="C68">
        <v>2.76</v>
      </c>
      <c r="D68">
        <v>2.4319999999999999</v>
      </c>
      <c r="E68">
        <v>2.4409999999999998</v>
      </c>
      <c r="F68">
        <v>12537383.9</v>
      </c>
      <c r="G68">
        <v>2.4409999999999998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-0.94512195121951281</v>
      </c>
      <c r="Q68">
        <f t="shared" ref="Q68" si="316">F68*P68</f>
        <v>-11849356.734756107</v>
      </c>
      <c r="R68">
        <f t="shared" ref="R68" si="317">R69+Q68</f>
        <v>-614315184.09232819</v>
      </c>
      <c r="S68">
        <f t="shared" ref="S68" si="318">R68/100000</f>
        <v>-6143.1518409232822</v>
      </c>
      <c r="T68">
        <f t="shared" ref="T68" si="319">S68/1000</f>
        <v>-6.1431518409232826</v>
      </c>
    </row>
    <row r="69" spans="1:20" x14ac:dyDescent="0.25">
      <c r="A69" s="5">
        <v>44524</v>
      </c>
      <c r="B69">
        <v>2.79</v>
      </c>
      <c r="C69">
        <v>3.04</v>
      </c>
      <c r="D69">
        <v>2.552</v>
      </c>
      <c r="E69">
        <v>2.613</v>
      </c>
      <c r="F69">
        <v>15721728.300000001</v>
      </c>
      <c r="G69">
        <v>2.613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-0.75000000000000022</v>
      </c>
      <c r="Q69">
        <f t="shared" ref="Q69" si="321">F69*P69</f>
        <v>-11791296.225000003</v>
      </c>
      <c r="R69">
        <f t="shared" ref="R69" si="322">R70+Q69</f>
        <v>-602465827.35757208</v>
      </c>
      <c r="S69">
        <f t="shared" ref="S69" si="323">R69/100000</f>
        <v>-6024.6582735757211</v>
      </c>
      <c r="T69">
        <f t="shared" ref="T69" si="324">S69/1000</f>
        <v>-6.0246582735757208</v>
      </c>
    </row>
    <row r="70" spans="1:20" x14ac:dyDescent="0.25">
      <c r="A70" s="5">
        <v>44523</v>
      </c>
      <c r="B70">
        <v>2.0779999999999998</v>
      </c>
      <c r="C70">
        <v>3.08</v>
      </c>
      <c r="D70">
        <v>2.0459999999999998</v>
      </c>
      <c r="E70">
        <v>2.79</v>
      </c>
      <c r="F70">
        <v>57313046.299999997</v>
      </c>
      <c r="G70">
        <v>2.79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0.43907156673114128</v>
      </c>
      <c r="Q70">
        <f t="shared" ref="Q70" si="326">F70*P70</f>
        <v>25164529.033075437</v>
      </c>
      <c r="R70">
        <f t="shared" ref="R70" si="327">R71+Q70</f>
        <v>-590674531.13257205</v>
      </c>
      <c r="S70">
        <f t="shared" ref="S70" si="328">R70/100000</f>
        <v>-5906.7453113257206</v>
      </c>
      <c r="T70">
        <f t="shared" ref="T70" si="329">S70/1000</f>
        <v>-5.9067453113257207</v>
      </c>
    </row>
    <row r="71" spans="1:20" x14ac:dyDescent="0.25">
      <c r="A71" s="5">
        <v>44522</v>
      </c>
      <c r="B71">
        <v>2.2309999999999999</v>
      </c>
      <c r="C71">
        <v>2.258</v>
      </c>
      <c r="D71">
        <v>2.0339999999999998</v>
      </c>
      <c r="E71">
        <v>2.08</v>
      </c>
      <c r="F71">
        <v>13945244.1</v>
      </c>
      <c r="G71">
        <v>2.08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-0.5892857142857123</v>
      </c>
      <c r="Q71">
        <f t="shared" ref="Q71" si="331">F71*P71</f>
        <v>-8217733.1303571146</v>
      </c>
      <c r="R71">
        <f t="shared" ref="R71" si="332">R72+Q71</f>
        <v>-615839060.16564751</v>
      </c>
      <c r="S71">
        <f t="shared" ref="S71" si="333">R71/100000</f>
        <v>-6158.3906016564752</v>
      </c>
      <c r="T71">
        <f t="shared" ref="T71" si="334">S71/1000</f>
        <v>-6.1583906016564756</v>
      </c>
    </row>
    <row r="72" spans="1:20" x14ac:dyDescent="0.25">
      <c r="A72" s="5">
        <v>44521</v>
      </c>
      <c r="B72">
        <v>2.2509999999999999</v>
      </c>
      <c r="C72">
        <v>2.3780000000000001</v>
      </c>
      <c r="D72">
        <v>2.165</v>
      </c>
      <c r="E72">
        <v>2.2320000000000002</v>
      </c>
      <c r="F72">
        <v>9890168.1999999993</v>
      </c>
      <c r="G72">
        <v>2.2320000000000002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-0.37089201877934136</v>
      </c>
      <c r="Q72">
        <f t="shared" ref="Q72" si="336">F72*P72</f>
        <v>-3668184.4497652445</v>
      </c>
      <c r="R72">
        <f t="shared" ref="R72" si="337">R73+Q72</f>
        <v>-607621327.03529036</v>
      </c>
      <c r="S72">
        <f t="shared" ref="S72" si="338">R72/100000</f>
        <v>-6076.2132703529032</v>
      </c>
      <c r="T72">
        <f t="shared" ref="T72" si="339">S72/1000</f>
        <v>-6.0762132703529028</v>
      </c>
    </row>
    <row r="73" spans="1:20" x14ac:dyDescent="0.25">
      <c r="A73" s="5">
        <v>44520</v>
      </c>
      <c r="B73">
        <v>2.173</v>
      </c>
      <c r="C73">
        <v>2.306</v>
      </c>
      <c r="D73">
        <v>2.1309999999999998</v>
      </c>
      <c r="E73">
        <v>2.2469999999999999</v>
      </c>
      <c r="F73">
        <v>11332079.199999999</v>
      </c>
      <c r="G73">
        <v>2.2469999999999999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0.32571428571428485</v>
      </c>
      <c r="Q73">
        <f t="shared" ref="Q73" si="341">F73*P73</f>
        <v>3691020.0822857041</v>
      </c>
      <c r="R73">
        <f t="shared" ref="R73" si="342">R74+Q73</f>
        <v>-603953142.58552516</v>
      </c>
      <c r="S73">
        <f t="shared" ref="S73" si="343">R73/100000</f>
        <v>-6039.5314258552517</v>
      </c>
      <c r="T73">
        <f t="shared" ref="T73" si="344">S73/1000</f>
        <v>-6.0395314258552517</v>
      </c>
    </row>
    <row r="74" spans="1:20" x14ac:dyDescent="0.25">
      <c r="A74" s="5">
        <v>44519</v>
      </c>
      <c r="B74">
        <v>2.1459999999999999</v>
      </c>
      <c r="C74">
        <v>2.3050000000000002</v>
      </c>
      <c r="D74">
        <v>2.0739999999999998</v>
      </c>
      <c r="E74">
        <v>2.1739999999999999</v>
      </c>
      <c r="F74">
        <v>17568225</v>
      </c>
      <c r="G74">
        <v>2.1739999999999999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-0.13419913419913462</v>
      </c>
      <c r="Q74">
        <f t="shared" ref="Q74" si="346">F74*P74</f>
        <v>-2357640.5844155918</v>
      </c>
      <c r="R74">
        <f t="shared" ref="R74" si="347">R75+Q74</f>
        <v>-607644162.66781092</v>
      </c>
      <c r="S74">
        <f t="shared" ref="S74" si="348">R74/100000</f>
        <v>-6076.4416266781091</v>
      </c>
      <c r="T74">
        <f t="shared" ref="T74" si="349">S74/1000</f>
        <v>-6.0764416266781094</v>
      </c>
    </row>
    <row r="75" spans="1:20" x14ac:dyDescent="0.25">
      <c r="A75" s="5">
        <v>44518</v>
      </c>
      <c r="B75">
        <v>2.2829999999999999</v>
      </c>
      <c r="C75">
        <v>4.1479999999999997</v>
      </c>
      <c r="D75">
        <v>2.1019999999999999</v>
      </c>
      <c r="E75">
        <v>2.1459999999999999</v>
      </c>
      <c r="F75">
        <v>107723177.20999999</v>
      </c>
      <c r="G75">
        <v>2.1459999999999999</v>
      </c>
      <c r="L75" t="s">
        <v>8</v>
      </c>
      <c r="M75" t="s">
        <v>8</v>
      </c>
      <c r="N75" t="s">
        <v>8</v>
      </c>
      <c r="P75">
        <f t="shared" ref="P75" si="350">IF(C75=D75,0,((E75-D75)-(C75-E75))/(C75-D75))</f>
        <v>-0.95698924731182788</v>
      </c>
      <c r="Q75">
        <f t="shared" ref="Q75" si="351">F75*P75</f>
        <v>-103089922.27623655</v>
      </c>
      <c r="R75">
        <f t="shared" ref="R75" si="352">R76+Q75</f>
        <v>-605286522.08339536</v>
      </c>
      <c r="S75">
        <f t="shared" ref="S75" si="353">R75/100000</f>
        <v>-6052.8652208339536</v>
      </c>
      <c r="T75">
        <f t="shared" ref="T75" si="354">S75/1000</f>
        <v>-6.0528652208339535</v>
      </c>
    </row>
    <row r="76" spans="1:20" x14ac:dyDescent="0.25">
      <c r="A76" s="5">
        <v>44517</v>
      </c>
      <c r="B76">
        <v>2.1589999999999998</v>
      </c>
      <c r="C76">
        <v>2.2890000000000001</v>
      </c>
      <c r="D76">
        <v>2.0350000000000001</v>
      </c>
      <c r="E76">
        <v>2.282</v>
      </c>
      <c r="F76">
        <v>6616427</v>
      </c>
      <c r="G76">
        <v>2.282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0.94488188976377863</v>
      </c>
      <c r="Q76">
        <f t="shared" ref="Q76" si="356">F76*P76</f>
        <v>6251742.0472440887</v>
      </c>
      <c r="R76">
        <f t="shared" ref="R76" si="357">R77+Q76</f>
        <v>-502196599.80715883</v>
      </c>
      <c r="S76">
        <f t="shared" ref="S76" si="358">R76/100000</f>
        <v>-5021.9659980715887</v>
      </c>
      <c r="T76">
        <f t="shared" ref="T76" si="359">S76/1000</f>
        <v>-5.0219659980715887</v>
      </c>
    </row>
    <row r="77" spans="1:20" x14ac:dyDescent="0.25">
      <c r="A77" s="5">
        <v>44516</v>
      </c>
      <c r="B77">
        <v>2.3879999999999999</v>
      </c>
      <c r="C77">
        <v>2.3879999999999999</v>
      </c>
      <c r="D77">
        <v>2</v>
      </c>
      <c r="E77">
        <v>2.1589999999999998</v>
      </c>
      <c r="F77">
        <v>7640452.9000000004</v>
      </c>
      <c r="G77">
        <v>2.1589999999999998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-0.18041237113402139</v>
      </c>
      <c r="Q77">
        <f t="shared" ref="Q77" si="361">F77*P77</f>
        <v>-1378432.22422681</v>
      </c>
      <c r="R77">
        <f t="shared" ref="R77" si="362">R78+Q77</f>
        <v>-508448341.8544029</v>
      </c>
      <c r="S77">
        <f t="shared" ref="S77" si="363">R77/100000</f>
        <v>-5084.4834185440286</v>
      </c>
      <c r="T77">
        <f t="shared" ref="T77" si="364">S77/1000</f>
        <v>-5.0844834185440284</v>
      </c>
    </row>
    <row r="78" spans="1:20" x14ac:dyDescent="0.25">
      <c r="A78" s="5">
        <v>44515</v>
      </c>
      <c r="B78">
        <v>2.5329999999999999</v>
      </c>
      <c r="C78">
        <v>2.5499999999999998</v>
      </c>
      <c r="D78">
        <v>2.3639999999999999</v>
      </c>
      <c r="E78">
        <v>2.3860000000000001</v>
      </c>
      <c r="F78">
        <v>4368613.0999999996</v>
      </c>
      <c r="G78">
        <v>2.3860000000000001</v>
      </c>
      <c r="L78" t="s">
        <v>7</v>
      </c>
      <c r="M78" t="s">
        <v>8</v>
      </c>
      <c r="N78" t="s">
        <v>8</v>
      </c>
      <c r="P78">
        <f t="shared" ref="P78" si="365">IF(C78=D78,0,((E78-D78)-(C78-E78))/(C78-D78))</f>
        <v>-0.76344086021505109</v>
      </c>
      <c r="Q78">
        <f t="shared" ref="Q78" si="366">F78*P78</f>
        <v>-3335177.7430107407</v>
      </c>
      <c r="R78">
        <f t="shared" ref="R78" si="367">R79+Q78</f>
        <v>-507069909.63017607</v>
      </c>
      <c r="S78">
        <f t="shared" ref="S78" si="368">R78/100000</f>
        <v>-5070.6990963017606</v>
      </c>
      <c r="T78">
        <f t="shared" ref="T78" si="369">S78/1000</f>
        <v>-5.0706990963017606</v>
      </c>
    </row>
    <row r="79" spans="1:20" x14ac:dyDescent="0.25">
      <c r="A79" s="5">
        <v>44514</v>
      </c>
      <c r="B79">
        <v>2.387</v>
      </c>
      <c r="C79">
        <v>2.6259999999999999</v>
      </c>
      <c r="D79">
        <v>2.3769999999999998</v>
      </c>
      <c r="E79">
        <v>2.5339999999999998</v>
      </c>
      <c r="F79">
        <v>8165429.9000000004</v>
      </c>
      <c r="G79">
        <v>2.5339999999999998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0.261044176706827</v>
      </c>
      <c r="Q79">
        <f t="shared" ref="Q79" si="371">F79*P79</f>
        <v>2131537.9257028089</v>
      </c>
      <c r="R79">
        <f t="shared" ref="R79" si="372">R80+Q79</f>
        <v>-503734731.88716531</v>
      </c>
      <c r="S79">
        <f t="shared" ref="S79" si="373">R79/100000</f>
        <v>-5037.3473188716534</v>
      </c>
      <c r="T79">
        <f t="shared" ref="T79" si="374">S79/1000</f>
        <v>-5.0373473188716531</v>
      </c>
    </row>
    <row r="80" spans="1:20" x14ac:dyDescent="0.25">
      <c r="A80" s="5">
        <v>44513</v>
      </c>
      <c r="B80">
        <v>2.2629999999999999</v>
      </c>
      <c r="C80">
        <v>2.484</v>
      </c>
      <c r="D80">
        <v>2.262</v>
      </c>
      <c r="E80">
        <v>2.3849999999999998</v>
      </c>
      <c r="F80">
        <v>7871396.7999999998</v>
      </c>
      <c r="G80">
        <v>2.3849999999999998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0.10810810810810621</v>
      </c>
      <c r="Q80">
        <f t="shared" ref="Q80" si="376">F80*P80</f>
        <v>850961.81621620129</v>
      </c>
      <c r="R80">
        <f t="shared" ref="R80" si="377">R81+Q80</f>
        <v>-505866269.81286812</v>
      </c>
      <c r="S80">
        <f t="shared" ref="S80" si="378">R80/100000</f>
        <v>-5058.6626981286809</v>
      </c>
      <c r="T80">
        <f t="shared" ref="T80" si="379">S80/1000</f>
        <v>-5.0586626981286811</v>
      </c>
    </row>
    <row r="81" spans="1:20" x14ac:dyDescent="0.25">
      <c r="A81" s="5">
        <v>44512</v>
      </c>
      <c r="B81">
        <v>2.3479999999999999</v>
      </c>
      <c r="C81">
        <v>2.38</v>
      </c>
      <c r="D81">
        <v>2.1840000000000002</v>
      </c>
      <c r="E81">
        <v>2.2650000000000001</v>
      </c>
      <c r="F81">
        <v>7471446</v>
      </c>
      <c r="G81">
        <v>2.2650000000000001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-0.17346938775510129</v>
      </c>
      <c r="Q81">
        <f t="shared" ref="Q81" si="381">F81*P81</f>
        <v>-1296067.1632653004</v>
      </c>
      <c r="R81">
        <f t="shared" ref="R81" si="382">R82+Q81</f>
        <v>-506717231.62908435</v>
      </c>
      <c r="S81">
        <f t="shared" ref="S81" si="383">R81/100000</f>
        <v>-5067.1723162908438</v>
      </c>
      <c r="T81">
        <f t="shared" ref="T81" si="384">S81/1000</f>
        <v>-5.0671723162908435</v>
      </c>
    </row>
    <row r="82" spans="1:20" x14ac:dyDescent="0.25">
      <c r="A82" s="5">
        <v>44511</v>
      </c>
      <c r="B82">
        <v>2.3420000000000001</v>
      </c>
      <c r="C82">
        <v>2.4239999999999999</v>
      </c>
      <c r="D82">
        <v>2.2719999999999998</v>
      </c>
      <c r="E82">
        <v>2.3479999999999999</v>
      </c>
      <c r="F82">
        <v>5295655.8</v>
      </c>
      <c r="G82">
        <v>2.3479999999999999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</v>
      </c>
      <c r="Q82">
        <f t="shared" ref="Q82" si="386">F82*P82</f>
        <v>0</v>
      </c>
      <c r="R82">
        <f t="shared" ref="R82" si="387">R83+Q82</f>
        <v>-505421164.46581906</v>
      </c>
      <c r="S82">
        <f t="shared" ref="S82" si="388">R82/100000</f>
        <v>-5054.2116446581904</v>
      </c>
      <c r="T82">
        <f t="shared" ref="T82" si="389">S82/1000</f>
        <v>-5.0542116446581904</v>
      </c>
    </row>
    <row r="83" spans="1:20" x14ac:dyDescent="0.25">
      <c r="A83" s="5">
        <v>44510</v>
      </c>
      <c r="B83">
        <v>2.6179999999999999</v>
      </c>
      <c r="C83">
        <v>2.6429999999999998</v>
      </c>
      <c r="D83">
        <v>2.17</v>
      </c>
      <c r="E83">
        <v>2.3410000000000002</v>
      </c>
      <c r="F83">
        <v>13600749.199999999</v>
      </c>
      <c r="G83">
        <v>2.3410000000000002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-0.27695560253699658</v>
      </c>
      <c r="Q83">
        <f t="shared" ref="Q83" si="391">F83*P83</f>
        <v>-3766803.6896405742</v>
      </c>
      <c r="R83">
        <f t="shared" ref="R83" si="392">R84+Q83</f>
        <v>-505421164.46581906</v>
      </c>
      <c r="S83">
        <f t="shared" ref="S83" si="393">R83/100000</f>
        <v>-5054.2116446581904</v>
      </c>
      <c r="T83">
        <f t="shared" ref="T83" si="394">S83/1000</f>
        <v>-5.0542116446581904</v>
      </c>
    </row>
    <row r="84" spans="1:20" x14ac:dyDescent="0.25">
      <c r="A84" s="5">
        <v>44509</v>
      </c>
      <c r="B84">
        <v>2.6760000000000002</v>
      </c>
      <c r="C84">
        <v>2.827</v>
      </c>
      <c r="D84">
        <v>2.5609999999999999</v>
      </c>
      <c r="E84">
        <v>2.6179999999999999</v>
      </c>
      <c r="F84">
        <v>10374660.1</v>
      </c>
      <c r="G84">
        <v>2.6179999999999999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-0.57142857142857195</v>
      </c>
      <c r="Q84">
        <f t="shared" ref="Q84" si="396">F84*P84</f>
        <v>-5928377.2000000048</v>
      </c>
      <c r="R84">
        <f t="shared" ref="R84" si="397">R85+Q84</f>
        <v>-501654360.77617848</v>
      </c>
      <c r="S84">
        <f t="shared" ref="S84" si="398">R84/100000</f>
        <v>-5016.5436077617851</v>
      </c>
      <c r="T84">
        <f t="shared" ref="T84" si="399">S84/1000</f>
        <v>-5.0165436077617853</v>
      </c>
    </row>
    <row r="85" spans="1:20" x14ac:dyDescent="0.25">
      <c r="A85" s="5">
        <v>44508</v>
      </c>
      <c r="B85">
        <v>2.5859999999999999</v>
      </c>
      <c r="C85">
        <v>2.6949999999999998</v>
      </c>
      <c r="D85">
        <v>2.5009999999999999</v>
      </c>
      <c r="E85">
        <v>2.6789999999999998</v>
      </c>
      <c r="F85">
        <v>6065457.5999999996</v>
      </c>
      <c r="G85">
        <v>2.6789999999999998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0.83505154639175239</v>
      </c>
      <c r="Q85">
        <f t="shared" ref="Q85" si="401">F85*P85</f>
        <v>5064969.7484536069</v>
      </c>
      <c r="R85">
        <f t="shared" ref="R85" si="402">R86+Q85</f>
        <v>-495725983.57617849</v>
      </c>
      <c r="S85">
        <f t="shared" ref="S85" si="403">R85/100000</f>
        <v>-4957.2598357617853</v>
      </c>
      <c r="T85">
        <f t="shared" ref="T85" si="404">S85/1000</f>
        <v>-4.9572598357617856</v>
      </c>
    </row>
    <row r="86" spans="1:20" x14ac:dyDescent="0.25">
      <c r="A86" s="5">
        <v>44507</v>
      </c>
      <c r="B86">
        <v>2.5390000000000001</v>
      </c>
      <c r="C86">
        <v>2.66</v>
      </c>
      <c r="D86">
        <v>2.5219999999999998</v>
      </c>
      <c r="E86">
        <v>2.5859999999999999</v>
      </c>
      <c r="F86">
        <v>4738407.5</v>
      </c>
      <c r="G86">
        <v>2.5859999999999999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-7.2463768115943517E-2</v>
      </c>
      <c r="Q86">
        <f t="shared" ref="Q86" si="406">F86*P86</f>
        <v>-343362.86231884762</v>
      </c>
      <c r="R86">
        <f t="shared" ref="R86" si="407">R87+Q86</f>
        <v>-500790953.32463211</v>
      </c>
      <c r="S86">
        <f t="shared" ref="S86" si="408">R86/100000</f>
        <v>-5007.9095332463212</v>
      </c>
      <c r="T86">
        <f t="shared" ref="T86" si="409">S86/1000</f>
        <v>-5.0079095332463215</v>
      </c>
    </row>
    <row r="87" spans="1:20" x14ac:dyDescent="0.25">
      <c r="A87" s="5">
        <v>44506</v>
      </c>
      <c r="B87">
        <v>2.5880000000000001</v>
      </c>
      <c r="C87">
        <v>2.7029999999999998</v>
      </c>
      <c r="D87">
        <v>2.4420000000000002</v>
      </c>
      <c r="E87">
        <v>2.5379999999999998</v>
      </c>
      <c r="F87">
        <v>5963546.2000000002</v>
      </c>
      <c r="G87">
        <v>2.5379999999999998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-0.26436781609195587</v>
      </c>
      <c r="Q87">
        <f t="shared" ref="Q87" si="411">F87*P87</f>
        <v>-1576569.6850574822</v>
      </c>
      <c r="R87">
        <f t="shared" ref="R87" si="412">R88+Q87</f>
        <v>-500447590.46231323</v>
      </c>
      <c r="S87">
        <f t="shared" ref="S87" si="413">R87/100000</f>
        <v>-5004.475904623132</v>
      </c>
      <c r="T87">
        <f t="shared" ref="T87" si="414">S87/1000</f>
        <v>-5.0044759046231322</v>
      </c>
    </row>
    <row r="88" spans="1:20" x14ac:dyDescent="0.25">
      <c r="A88" s="5">
        <v>44505</v>
      </c>
      <c r="B88">
        <v>2.6190000000000002</v>
      </c>
      <c r="C88">
        <v>2.9329999999999998</v>
      </c>
      <c r="D88">
        <v>2.5449999999999999</v>
      </c>
      <c r="E88">
        <v>2.5870000000000002</v>
      </c>
      <c r="F88">
        <v>13031145.199999999</v>
      </c>
      <c r="G88">
        <v>2.5870000000000002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-0.78350515463917392</v>
      </c>
      <c r="Q88">
        <f t="shared" ref="Q88" si="416">F88*P88</f>
        <v>-10209969.435051529</v>
      </c>
      <c r="R88">
        <f t="shared" ref="R88" si="417">R89+Q88</f>
        <v>-498871020.77725577</v>
      </c>
      <c r="S88">
        <f t="shared" ref="S88" si="418">R88/100000</f>
        <v>-4988.7102077725576</v>
      </c>
      <c r="T88">
        <f t="shared" ref="T88" si="419">S88/1000</f>
        <v>-4.9887102077725576</v>
      </c>
    </row>
    <row r="89" spans="1:20" x14ac:dyDescent="0.25">
      <c r="A89" s="5">
        <v>44504</v>
      </c>
      <c r="B89">
        <v>2.6320000000000001</v>
      </c>
      <c r="C89">
        <v>2.7639999999999998</v>
      </c>
      <c r="D89">
        <v>2.48</v>
      </c>
      <c r="E89">
        <v>2.6190000000000002</v>
      </c>
      <c r="F89">
        <v>10103664.800000001</v>
      </c>
      <c r="G89">
        <v>2.6190000000000002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-2.1126760563377971E-2</v>
      </c>
      <c r="Q89">
        <f t="shared" ref="Q89" si="421">F89*P89</f>
        <v>-213457.70704223018</v>
      </c>
      <c r="R89">
        <f t="shared" ref="R89" si="422">R90+Q89</f>
        <v>-488661051.34220427</v>
      </c>
      <c r="S89">
        <f t="shared" ref="S89" si="423">R89/100000</f>
        <v>-4886.6105134220425</v>
      </c>
      <c r="T89">
        <f t="shared" ref="T89" si="424">S89/1000</f>
        <v>-4.8866105134220428</v>
      </c>
    </row>
    <row r="90" spans="1:20" x14ac:dyDescent="0.25">
      <c r="A90" s="5">
        <v>44503</v>
      </c>
      <c r="B90">
        <v>2.5680000000000001</v>
      </c>
      <c r="C90">
        <v>2.7919999999999998</v>
      </c>
      <c r="D90">
        <v>2.4580000000000002</v>
      </c>
      <c r="E90">
        <v>2.6349999999999998</v>
      </c>
      <c r="F90">
        <v>15391513.300000001</v>
      </c>
      <c r="G90">
        <v>2.6349999999999998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5.9880239520956877E-2</v>
      </c>
      <c r="Q90">
        <f t="shared" ref="Q90" si="426">F90*P90</f>
        <v>921647.50299399346</v>
      </c>
      <c r="R90">
        <f t="shared" ref="R90" si="427">R91+Q90</f>
        <v>-488447593.63516206</v>
      </c>
      <c r="S90">
        <f t="shared" ref="S90" si="428">R90/100000</f>
        <v>-4884.4759363516205</v>
      </c>
      <c r="T90">
        <f t="shared" ref="T90" si="429">S90/1000</f>
        <v>-4.8844759363516204</v>
      </c>
    </row>
    <row r="91" spans="1:20" x14ac:dyDescent="0.25">
      <c r="A91" s="5">
        <v>44502</v>
      </c>
      <c r="B91">
        <v>2.2949999999999999</v>
      </c>
      <c r="C91">
        <v>2.9159999999999999</v>
      </c>
      <c r="D91">
        <v>2.2679999999999998</v>
      </c>
      <c r="E91">
        <v>2.57</v>
      </c>
      <c r="F91">
        <v>34074826.600000001</v>
      </c>
      <c r="G91">
        <v>2.57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-6.7901234567901286E-2</v>
      </c>
      <c r="Q91">
        <f t="shared" ref="Q91" si="431">F91*P91</f>
        <v>-2313722.7938271626</v>
      </c>
      <c r="R91">
        <f t="shared" ref="R91" si="432">R92+Q91</f>
        <v>-489369241.13815606</v>
      </c>
      <c r="S91">
        <f t="shared" ref="S91" si="433">R91/100000</f>
        <v>-4893.6924113815603</v>
      </c>
      <c r="T91">
        <f t="shared" ref="T91" si="434">S91/1000</f>
        <v>-4.8936924113815605</v>
      </c>
    </row>
    <row r="92" spans="1:20" x14ac:dyDescent="0.25">
      <c r="A92" s="5">
        <v>44501</v>
      </c>
      <c r="B92">
        <v>2.2210000000000001</v>
      </c>
      <c r="C92">
        <v>2.5139999999999998</v>
      </c>
      <c r="D92">
        <v>2.1179999999999999</v>
      </c>
      <c r="E92">
        <v>2.2949999999999999</v>
      </c>
      <c r="F92">
        <v>18008597.5</v>
      </c>
      <c r="G92">
        <v>2.2949999999999999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-0.10606060606060562</v>
      </c>
      <c r="Q92">
        <f t="shared" ref="Q92" si="436">F92*P92</f>
        <v>-1910002.7651515072</v>
      </c>
      <c r="R92">
        <f t="shared" ref="R92" si="437">R93+Q92</f>
        <v>-487055518.34432888</v>
      </c>
      <c r="S92">
        <f t="shared" ref="S92" si="438">R92/100000</f>
        <v>-4870.555183443289</v>
      </c>
      <c r="T92">
        <f t="shared" ref="T92" si="439">S92/1000</f>
        <v>-4.8705551834432894</v>
      </c>
    </row>
    <row r="93" spans="1:20" x14ac:dyDescent="0.25">
      <c r="A93" s="5">
        <v>44500</v>
      </c>
      <c r="B93">
        <v>2.3149999999999999</v>
      </c>
      <c r="C93">
        <v>2.7</v>
      </c>
      <c r="D93">
        <v>2.1539999999999999</v>
      </c>
      <c r="E93">
        <v>2.2229999999999999</v>
      </c>
      <c r="F93">
        <v>26816387.699999999</v>
      </c>
      <c r="G93">
        <v>2.2229999999999999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-0.7472527472527476</v>
      </c>
      <c r="Q93">
        <f t="shared" ref="Q93" si="441">F93*P93</f>
        <v>-20038619.380219787</v>
      </c>
      <c r="R93">
        <f t="shared" ref="R93" si="442">R94+Q93</f>
        <v>-485145515.57917738</v>
      </c>
      <c r="S93">
        <f t="shared" ref="S93" si="443">R93/100000</f>
        <v>-4851.4551557917739</v>
      </c>
      <c r="T93">
        <f t="shared" ref="T93" si="444">S93/1000</f>
        <v>-4.8514551557917738</v>
      </c>
    </row>
    <row r="94" spans="1:20" x14ac:dyDescent="0.25">
      <c r="A94" s="5">
        <v>44499</v>
      </c>
      <c r="B94">
        <v>2.0550000000000002</v>
      </c>
      <c r="C94">
        <v>2.39</v>
      </c>
      <c r="D94">
        <v>1.9670000000000001</v>
      </c>
      <c r="E94">
        <v>2.3180000000000001</v>
      </c>
      <c r="F94">
        <v>12924324.199999999</v>
      </c>
      <c r="G94">
        <v>2.3180000000000001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0.65957446808510611</v>
      </c>
      <c r="Q94">
        <f t="shared" ref="Q94" si="446">F94*P94</f>
        <v>8524554.2595744636</v>
      </c>
      <c r="R94">
        <f t="shared" ref="R94" si="447">R95+Q94</f>
        <v>-465106896.19895756</v>
      </c>
      <c r="S94">
        <f t="shared" ref="S94" si="448">R94/100000</f>
        <v>-4651.0689619895757</v>
      </c>
      <c r="T94">
        <f t="shared" ref="T94" si="449">S94/1000</f>
        <v>-4.6510689619895755</v>
      </c>
    </row>
    <row r="95" spans="1:20" x14ac:dyDescent="0.25">
      <c r="A95" s="5">
        <v>44498</v>
      </c>
      <c r="B95">
        <v>1.974</v>
      </c>
      <c r="C95">
        <v>2.12</v>
      </c>
      <c r="D95">
        <v>1.958</v>
      </c>
      <c r="E95">
        <v>2.0529999999999999</v>
      </c>
      <c r="F95">
        <v>5413385.2999999998</v>
      </c>
      <c r="G95">
        <v>2.0529999999999999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0.17283950617283814</v>
      </c>
      <c r="Q95">
        <f t="shared" ref="Q95" si="451">F95*P95</f>
        <v>935646.84197530115</v>
      </c>
      <c r="R95">
        <f t="shared" ref="R95" si="452">R96+Q95</f>
        <v>-473631450.45853204</v>
      </c>
      <c r="S95">
        <f t="shared" ref="S95" si="453">R95/100000</f>
        <v>-4736.3145045853207</v>
      </c>
      <c r="T95">
        <f t="shared" ref="T95" si="454">S95/1000</f>
        <v>-4.7363145045853203</v>
      </c>
    </row>
    <row r="96" spans="1:20" x14ac:dyDescent="0.25">
      <c r="A96" s="5">
        <v>44497</v>
      </c>
      <c r="B96">
        <v>1.927</v>
      </c>
      <c r="C96">
        <v>2.0329999999999999</v>
      </c>
      <c r="D96">
        <v>1.903</v>
      </c>
      <c r="E96">
        <v>1.974</v>
      </c>
      <c r="F96">
        <v>5282514.5999999996</v>
      </c>
      <c r="G96">
        <v>1.974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9.2307692307692465E-2</v>
      </c>
      <c r="Q96">
        <f t="shared" ref="Q96" si="456">F96*P96</f>
        <v>487616.73230769311</v>
      </c>
      <c r="R96">
        <f t="shared" ref="R96" si="457">R97+Q96</f>
        <v>-474567097.30050731</v>
      </c>
      <c r="S96">
        <f t="shared" ref="S96" si="458">R96/100000</f>
        <v>-4745.6709730050734</v>
      </c>
      <c r="T96">
        <f t="shared" ref="T96" si="459">S96/1000</f>
        <v>-4.7456709730050735</v>
      </c>
    </row>
    <row r="97" spans="1:20" x14ac:dyDescent="0.25">
      <c r="A97" s="5">
        <v>44496</v>
      </c>
      <c r="B97">
        <v>2.2240000000000002</v>
      </c>
      <c r="C97">
        <v>2.2759999999999998</v>
      </c>
      <c r="D97">
        <v>1.8</v>
      </c>
      <c r="E97">
        <v>1.9259999999999999</v>
      </c>
      <c r="F97">
        <v>10690608.800000001</v>
      </c>
      <c r="G97">
        <v>1.9259999999999999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-0.47058823529411786</v>
      </c>
      <c r="Q97">
        <f t="shared" ref="Q97" si="461">F97*P97</f>
        <v>-5030874.7294117678</v>
      </c>
      <c r="R97">
        <f t="shared" ref="R97" si="462">R98+Q97</f>
        <v>-475054714.03281498</v>
      </c>
      <c r="S97">
        <f t="shared" ref="S97" si="463">R97/100000</f>
        <v>-4750.5471403281499</v>
      </c>
      <c r="T97">
        <f t="shared" ref="T97" si="464">S97/1000</f>
        <v>-4.7505471403281501</v>
      </c>
    </row>
    <row r="98" spans="1:20" x14ac:dyDescent="0.25">
      <c r="A98" s="5">
        <v>44495</v>
      </c>
      <c r="B98">
        <v>2.39</v>
      </c>
      <c r="C98">
        <v>2.415</v>
      </c>
      <c r="D98">
        <v>2.181</v>
      </c>
      <c r="E98">
        <v>2.2229999999999999</v>
      </c>
      <c r="F98">
        <v>6464114.9000000004</v>
      </c>
      <c r="G98">
        <v>2.2229999999999999</v>
      </c>
      <c r="L98" t="s">
        <v>7</v>
      </c>
      <c r="M98" t="s">
        <v>8</v>
      </c>
      <c r="N98" t="s">
        <v>7</v>
      </c>
      <c r="P98">
        <f t="shared" ref="P98" si="465">IF(C98=D98,0,((E98-D98)-(C98-E98))/(C98-D98))</f>
        <v>-0.64102564102564263</v>
      </c>
      <c r="Q98">
        <f t="shared" ref="Q98" si="466">F98*P98</f>
        <v>-4143663.3974359082</v>
      </c>
      <c r="R98">
        <f t="shared" ref="R98" si="467">R99+Q98</f>
        <v>-470023839.3034032</v>
      </c>
      <c r="S98">
        <f t="shared" ref="S98" si="468">R98/100000</f>
        <v>-4700.238393034032</v>
      </c>
      <c r="T98">
        <f t="shared" ref="T98" si="469">S98/1000</f>
        <v>-4.7002383930340317</v>
      </c>
    </row>
    <row r="99" spans="1:20" x14ac:dyDescent="0.25">
      <c r="A99" s="5">
        <v>44494</v>
      </c>
      <c r="B99">
        <v>2.214</v>
      </c>
      <c r="C99">
        <v>2.4060000000000001</v>
      </c>
      <c r="D99">
        <v>2.198</v>
      </c>
      <c r="E99">
        <v>2.3860000000000001</v>
      </c>
      <c r="F99">
        <v>10279313.800000001</v>
      </c>
      <c r="G99">
        <v>2.3860000000000001</v>
      </c>
      <c r="L99" t="s">
        <v>8</v>
      </c>
      <c r="M99" t="s">
        <v>8</v>
      </c>
      <c r="N99" t="s">
        <v>7</v>
      </c>
      <c r="P99">
        <f t="shared" ref="P99" si="470">IF(C99=D99,0,((E99-D99)-(C99-E99))/(C99-D99))</f>
        <v>0.80769230769230771</v>
      </c>
      <c r="Q99">
        <f t="shared" ref="Q99" si="471">F99*P99</f>
        <v>8302522.6846153857</v>
      </c>
      <c r="R99">
        <f t="shared" ref="R99" si="472">R100+Q99</f>
        <v>-465880175.9059673</v>
      </c>
      <c r="S99">
        <f t="shared" ref="S99" si="473">R99/100000</f>
        <v>-4658.8017590596728</v>
      </c>
      <c r="T99">
        <f t="shared" ref="T99" si="474">S99/1000</f>
        <v>-4.6588017590596724</v>
      </c>
    </row>
    <row r="100" spans="1:20" x14ac:dyDescent="0.25">
      <c r="A100" s="5">
        <v>44493</v>
      </c>
      <c r="B100">
        <v>2.1339999999999999</v>
      </c>
      <c r="C100">
        <v>2.3780000000000001</v>
      </c>
      <c r="D100">
        <v>2.12</v>
      </c>
      <c r="E100">
        <v>2.214</v>
      </c>
      <c r="F100">
        <v>16205509.800000001</v>
      </c>
      <c r="G100">
        <v>2.214</v>
      </c>
      <c r="L100" t="s">
        <v>8</v>
      </c>
      <c r="M100" t="s">
        <v>8</v>
      </c>
      <c r="N100" t="s">
        <v>7</v>
      </c>
      <c r="P100">
        <f t="shared" ref="P100" si="475">IF(C100=D100,0,((E100-D100)-(C100-E100))/(C100-D100))</f>
        <v>-0.27131782945736543</v>
      </c>
      <c r="Q100">
        <f t="shared" ref="Q100" si="476">F100*P100</f>
        <v>-4396843.7441860642</v>
      </c>
      <c r="R100">
        <f t="shared" ref="R100" si="477">R101+Q100</f>
        <v>-474182698.59058267</v>
      </c>
      <c r="S100">
        <f t="shared" ref="S100" si="478">R100/100000</f>
        <v>-4741.8269859058264</v>
      </c>
      <c r="T100">
        <f t="shared" ref="T100" si="479">S100/1000</f>
        <v>-4.741826985905826</v>
      </c>
    </row>
    <row r="101" spans="1:20" x14ac:dyDescent="0.25">
      <c r="A101" s="5">
        <v>44492</v>
      </c>
      <c r="B101">
        <v>2.0510000000000002</v>
      </c>
      <c r="C101">
        <v>2.2370000000000001</v>
      </c>
      <c r="D101">
        <v>2.032</v>
      </c>
      <c r="E101">
        <v>2.1349999999999998</v>
      </c>
      <c r="F101">
        <v>10647702</v>
      </c>
      <c r="G101">
        <v>2.1349999999999998</v>
      </c>
      <c r="L101" t="s">
        <v>8</v>
      </c>
      <c r="M101" t="s">
        <v>8</v>
      </c>
      <c r="N101" t="s">
        <v>7</v>
      </c>
      <c r="P101">
        <f t="shared" ref="P101" si="480">IF(C101=D101,0,((E101-D101)-(C101-E101))/(C101-D101))</f>
        <v>4.8780487804850996E-3</v>
      </c>
      <c r="Q101">
        <f t="shared" ref="Q101" si="481">F101*P101</f>
        <v>51940.009756068757</v>
      </c>
      <c r="R101">
        <f t="shared" ref="R101" si="482">R102+Q101</f>
        <v>-469785854.84639663</v>
      </c>
      <c r="S101">
        <f t="shared" ref="S101" si="483">R101/100000</f>
        <v>-4697.8585484639661</v>
      </c>
      <c r="T101">
        <f t="shared" ref="T101" si="484">S101/1000</f>
        <v>-4.6978585484639659</v>
      </c>
    </row>
    <row r="102" spans="1:20" x14ac:dyDescent="0.25">
      <c r="A102" s="5">
        <v>44491</v>
      </c>
      <c r="B102">
        <v>1.9690000000000001</v>
      </c>
      <c r="C102">
        <v>2.117</v>
      </c>
      <c r="D102">
        <v>1.966</v>
      </c>
      <c r="E102">
        <v>2.052</v>
      </c>
      <c r="F102">
        <v>6705403.5</v>
      </c>
      <c r="G102">
        <v>2.052</v>
      </c>
      <c r="L102" t="s">
        <v>8</v>
      </c>
      <c r="M102" t="s">
        <v>7</v>
      </c>
      <c r="N102" t="s">
        <v>7</v>
      </c>
      <c r="P102">
        <f t="shared" ref="P102" si="485">IF(C102=D102,0,((E102-D102)-(C102-E102))/(C102-D102))</f>
        <v>0.13907284768212005</v>
      </c>
      <c r="Q102">
        <f t="shared" ref="Q102" si="486">F102*P102</f>
        <v>932539.55960265466</v>
      </c>
      <c r="R102">
        <f t="shared" ref="R102" si="487">R103+Q102</f>
        <v>-469837794.85615271</v>
      </c>
      <c r="S102">
        <f t="shared" ref="S102" si="488">R102/100000</f>
        <v>-4698.3779485615269</v>
      </c>
      <c r="T102">
        <f t="shared" ref="T102" si="489">S102/1000</f>
        <v>-4.6983779485615269</v>
      </c>
    </row>
    <row r="103" spans="1:20" x14ac:dyDescent="0.25">
      <c r="A103" s="5">
        <v>44490</v>
      </c>
      <c r="B103">
        <v>2.036</v>
      </c>
      <c r="C103">
        <v>2.121</v>
      </c>
      <c r="D103">
        <v>1.946</v>
      </c>
      <c r="E103">
        <v>1.97</v>
      </c>
      <c r="F103">
        <v>7426280.5</v>
      </c>
      <c r="G103">
        <v>1.97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-0.72571428571428553</v>
      </c>
      <c r="Q103">
        <f t="shared" ref="Q103" si="491">F103*P103</f>
        <v>-5389357.8485714272</v>
      </c>
      <c r="R103">
        <f t="shared" ref="R103" si="492">R104+Q103</f>
        <v>-470770334.41575539</v>
      </c>
      <c r="S103">
        <f t="shared" ref="S103" si="493">R103/100000</f>
        <v>-4707.7033441575541</v>
      </c>
      <c r="T103">
        <f t="shared" ref="T103" si="494">S103/1000</f>
        <v>-4.7077033441575544</v>
      </c>
    </row>
    <row r="104" spans="1:20" x14ac:dyDescent="0.25">
      <c r="A104" s="5">
        <v>44489</v>
      </c>
      <c r="B104">
        <v>1.9530000000000001</v>
      </c>
      <c r="C104">
        <v>2.0499999999999998</v>
      </c>
      <c r="D104">
        <v>1.911</v>
      </c>
      <c r="E104">
        <v>2.0339999999999998</v>
      </c>
      <c r="F104">
        <v>4713897.9000000004</v>
      </c>
      <c r="G104">
        <v>2.0339999999999998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0.76978417266186994</v>
      </c>
      <c r="Q104">
        <f t="shared" ref="Q104" si="496">F104*P104</f>
        <v>3628683.9949640264</v>
      </c>
      <c r="R104">
        <f t="shared" ref="R104" si="497">R105+Q104</f>
        <v>-465380976.56718397</v>
      </c>
      <c r="S104">
        <f t="shared" ref="S104" si="498">R104/100000</f>
        <v>-4653.8097656718401</v>
      </c>
      <c r="T104">
        <f t="shared" ref="T104" si="499">S104/1000</f>
        <v>-4.6538097656718405</v>
      </c>
    </row>
    <row r="105" spans="1:20" x14ac:dyDescent="0.25">
      <c r="A105" s="5">
        <v>44488</v>
      </c>
      <c r="B105">
        <v>1.946</v>
      </c>
      <c r="C105">
        <v>1.988</v>
      </c>
      <c r="D105">
        <v>1.907</v>
      </c>
      <c r="E105">
        <v>1.952</v>
      </c>
      <c r="F105">
        <v>3525249.6</v>
      </c>
      <c r="G105">
        <v>1.952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0.1111111111111099</v>
      </c>
      <c r="Q105">
        <f t="shared" ref="Q105" si="501">F105*P105</f>
        <v>391694.39999999572</v>
      </c>
      <c r="R105">
        <f t="shared" ref="R105" si="502">R106+Q105</f>
        <v>-469009660.56214797</v>
      </c>
      <c r="S105">
        <f t="shared" ref="S105" si="503">R105/100000</f>
        <v>-4690.0966056214802</v>
      </c>
      <c r="T105">
        <f t="shared" ref="T105" si="504">S105/1000</f>
        <v>-4.6900966056214806</v>
      </c>
    </row>
    <row r="106" spans="1:20" x14ac:dyDescent="0.25">
      <c r="A106" s="5">
        <v>44487</v>
      </c>
      <c r="B106">
        <v>1.97</v>
      </c>
      <c r="C106">
        <v>2.0880000000000001</v>
      </c>
      <c r="D106">
        <v>1.9319999999999999</v>
      </c>
      <c r="E106">
        <v>1.9450000000000001</v>
      </c>
      <c r="F106">
        <v>6569040</v>
      </c>
      <c r="G106">
        <v>1.9450000000000001</v>
      </c>
      <c r="L106" t="s">
        <v>8</v>
      </c>
      <c r="M106" t="s">
        <v>7</v>
      </c>
      <c r="N106" t="s">
        <v>7</v>
      </c>
      <c r="P106">
        <f t="shared" ref="P106" si="505">IF(C106=D106,0,((E106-D106)-(C106-E106))/(C106-D106))</f>
        <v>-0.83333333333333193</v>
      </c>
      <c r="Q106">
        <f t="shared" ref="Q106" si="506">F106*P106</f>
        <v>-5474199.9999999907</v>
      </c>
      <c r="R106">
        <f t="shared" ref="R106" si="507">R107+Q106</f>
        <v>-469401354.96214795</v>
      </c>
      <c r="S106">
        <f t="shared" ref="S106" si="508">R106/100000</f>
        <v>-4694.0135496214798</v>
      </c>
      <c r="T106">
        <f t="shared" ref="T106" si="509">S106/1000</f>
        <v>-4.6940135496214799</v>
      </c>
    </row>
    <row r="107" spans="1:20" x14ac:dyDescent="0.25">
      <c r="A107" s="5">
        <v>44486</v>
      </c>
      <c r="B107">
        <v>2.0390000000000001</v>
      </c>
      <c r="C107">
        <v>2.085</v>
      </c>
      <c r="D107">
        <v>1.907</v>
      </c>
      <c r="E107">
        <v>1.9690000000000001</v>
      </c>
      <c r="F107">
        <v>6932582.7000000002</v>
      </c>
      <c r="G107">
        <v>1.9690000000000001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-0.30337078651685306</v>
      </c>
      <c r="Q107">
        <f t="shared" ref="Q107" si="511">F107*P107</f>
        <v>-2103143.066292129</v>
      </c>
      <c r="R107">
        <f t="shared" ref="R107" si="512">R108+Q107</f>
        <v>-463927154.96214795</v>
      </c>
      <c r="S107">
        <f t="shared" ref="S107" si="513">R107/100000</f>
        <v>-4639.2715496214796</v>
      </c>
      <c r="T107">
        <f t="shared" ref="T107" si="514">S107/1000</f>
        <v>-4.6392715496214798</v>
      </c>
    </row>
    <row r="108" spans="1:20" x14ac:dyDescent="0.25">
      <c r="A108" s="5">
        <v>44485</v>
      </c>
      <c r="B108">
        <v>2.048</v>
      </c>
      <c r="C108">
        <v>2.1739999999999999</v>
      </c>
      <c r="D108">
        <v>2.0190000000000001</v>
      </c>
      <c r="E108">
        <v>2.0379999999999998</v>
      </c>
      <c r="F108">
        <v>8896287.6999999993</v>
      </c>
      <c r="G108">
        <v>2.0379999999999998</v>
      </c>
      <c r="L108" t="s">
        <v>8</v>
      </c>
      <c r="M108" t="s">
        <v>7</v>
      </c>
      <c r="N108" t="s">
        <v>7</v>
      </c>
      <c r="P108">
        <f t="shared" ref="P108" si="515">IF(C108=D108,0,((E108-D108)-(C108-E108))/(C108-D108))</f>
        <v>-0.75483870967742317</v>
      </c>
      <c r="Q108">
        <f t="shared" ref="Q108" si="516">F108*P108</f>
        <v>-6715262.3283871301</v>
      </c>
      <c r="R108">
        <f t="shared" ref="R108" si="517">R109+Q108</f>
        <v>-461824011.89585584</v>
      </c>
      <c r="S108">
        <f t="shared" ref="S108" si="518">R108/100000</f>
        <v>-4618.240118958558</v>
      </c>
      <c r="T108">
        <f t="shared" ref="T108" si="519">S108/1000</f>
        <v>-4.6182401189585578</v>
      </c>
    </row>
    <row r="109" spans="1:20" x14ac:dyDescent="0.25">
      <c r="A109" s="5">
        <v>44484</v>
      </c>
      <c r="B109">
        <v>2.0350000000000001</v>
      </c>
      <c r="C109">
        <v>2.129</v>
      </c>
      <c r="D109">
        <v>1.952</v>
      </c>
      <c r="E109">
        <v>2.048</v>
      </c>
      <c r="F109">
        <v>7882105.4000000004</v>
      </c>
      <c r="G109">
        <v>2.048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8.4745762711865083E-2</v>
      </c>
      <c r="Q109">
        <f t="shared" ref="Q109" si="521">F109*P109</f>
        <v>667975.0338983105</v>
      </c>
      <c r="R109">
        <f t="shared" ref="R109" si="522">R110+Q109</f>
        <v>-455108749.5674687</v>
      </c>
      <c r="S109">
        <f t="shared" ref="S109" si="523">R109/100000</f>
        <v>-4551.0874956746866</v>
      </c>
      <c r="T109">
        <f t="shared" ref="T109" si="524">S109/1000</f>
        <v>-4.551087495674687</v>
      </c>
    </row>
    <row r="110" spans="1:20" x14ac:dyDescent="0.25">
      <c r="A110" s="5">
        <v>44483</v>
      </c>
      <c r="B110">
        <v>2.004</v>
      </c>
      <c r="C110">
        <v>2.125</v>
      </c>
      <c r="D110">
        <v>1.996</v>
      </c>
      <c r="E110">
        <v>2.0339999999999998</v>
      </c>
      <c r="F110">
        <v>5546738.5</v>
      </c>
      <c r="G110">
        <v>2.0339999999999998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-0.41085271317829752</v>
      </c>
      <c r="Q110">
        <f t="shared" ref="Q110" si="526">F110*P110</f>
        <v>-2278892.5620155204</v>
      </c>
      <c r="R110">
        <f t="shared" ref="R110" si="527">R111+Q110</f>
        <v>-455776724.601367</v>
      </c>
      <c r="S110">
        <f t="shared" ref="S110" si="528">R110/100000</f>
        <v>-4557.76724601367</v>
      </c>
      <c r="T110">
        <f t="shared" ref="T110" si="529">S110/1000</f>
        <v>-4.55776724601367</v>
      </c>
    </row>
    <row r="111" spans="1:20" x14ac:dyDescent="0.25">
      <c r="A111" s="5">
        <v>44482</v>
      </c>
      <c r="B111">
        <v>1.9610000000000001</v>
      </c>
      <c r="C111">
        <v>2.04</v>
      </c>
      <c r="D111">
        <v>1.889</v>
      </c>
      <c r="E111">
        <v>2.004</v>
      </c>
      <c r="F111">
        <v>6543398.0999999996</v>
      </c>
      <c r="G111">
        <v>2.004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0.52317880794701954</v>
      </c>
      <c r="Q111">
        <f t="shared" ref="Q111" si="531">F111*P111</f>
        <v>3423367.2178807925</v>
      </c>
      <c r="R111">
        <f t="shared" ref="R111" si="532">R112+Q111</f>
        <v>-453497832.03935146</v>
      </c>
      <c r="S111">
        <f t="shared" ref="S111" si="533">R111/100000</f>
        <v>-4534.9783203935149</v>
      </c>
      <c r="T111">
        <f t="shared" ref="T111" si="534">S111/1000</f>
        <v>-4.534978320393515</v>
      </c>
    </row>
    <row r="112" spans="1:20" x14ac:dyDescent="0.25">
      <c r="A112" s="5">
        <v>44481</v>
      </c>
      <c r="B112">
        <v>2.0179999999999998</v>
      </c>
      <c r="C112">
        <v>2.0179999999999998</v>
      </c>
      <c r="D112">
        <v>1.83</v>
      </c>
      <c r="E112">
        <v>1.9610000000000001</v>
      </c>
      <c r="F112">
        <v>6343672.4000000004</v>
      </c>
      <c r="G112">
        <v>1.9610000000000001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0.39361702127659787</v>
      </c>
      <c r="Q112">
        <f t="shared" ref="Q112" si="536">F112*P112</f>
        <v>2496977.4340425669</v>
      </c>
      <c r="R112">
        <f t="shared" ref="R112" si="537">R113+Q112</f>
        <v>-456921199.25723225</v>
      </c>
      <c r="S112">
        <f t="shared" ref="S112" si="538">R112/100000</f>
        <v>-4569.2119925723227</v>
      </c>
      <c r="T112">
        <f t="shared" ref="T112" si="539">S112/1000</f>
        <v>-4.5692119925723231</v>
      </c>
    </row>
    <row r="113" spans="1:20" x14ac:dyDescent="0.25">
      <c r="A113" s="5">
        <v>44480</v>
      </c>
      <c r="B113">
        <v>1.972</v>
      </c>
      <c r="C113">
        <v>2.0840000000000001</v>
      </c>
      <c r="D113">
        <v>1.9279999999999999</v>
      </c>
      <c r="E113">
        <v>2.0179999999999998</v>
      </c>
      <c r="F113">
        <v>5319415.5999999996</v>
      </c>
      <c r="G113">
        <v>2.0179999999999998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0.153846153846151</v>
      </c>
      <c r="Q113">
        <f t="shared" ref="Q113" si="541">F113*P113</f>
        <v>818371.63076921552</v>
      </c>
      <c r="R113">
        <f t="shared" ref="R113" si="542">R114+Q113</f>
        <v>-459418176.69127482</v>
      </c>
      <c r="S113">
        <f t="shared" ref="S113" si="543">R113/100000</f>
        <v>-4594.1817669127486</v>
      </c>
      <c r="T113">
        <f t="shared" ref="T113" si="544">S113/1000</f>
        <v>-4.5941817669127483</v>
      </c>
    </row>
    <row r="114" spans="1:20" x14ac:dyDescent="0.25">
      <c r="A114" s="5">
        <v>44479</v>
      </c>
      <c r="B114">
        <v>2.1240000000000001</v>
      </c>
      <c r="C114">
        <v>2.125</v>
      </c>
      <c r="D114">
        <v>1.9630000000000001</v>
      </c>
      <c r="E114">
        <v>1.9730000000000001</v>
      </c>
      <c r="F114">
        <v>5642768.2000000002</v>
      </c>
      <c r="G114">
        <v>1.9730000000000001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-0.87654320987654299</v>
      </c>
      <c r="Q114">
        <f t="shared" ref="Q114" si="546">F114*P114</f>
        <v>-4946130.1506172828</v>
      </c>
      <c r="R114">
        <f t="shared" ref="R114" si="547">R115+Q114</f>
        <v>-460236548.32204401</v>
      </c>
      <c r="S114">
        <f t="shared" ref="S114" si="548">R114/100000</f>
        <v>-4602.3654832204402</v>
      </c>
      <c r="T114">
        <f t="shared" ref="T114" si="549">S114/1000</f>
        <v>-4.6023654832204404</v>
      </c>
    </row>
    <row r="115" spans="1:20" x14ac:dyDescent="0.25">
      <c r="A115" s="5">
        <v>44478</v>
      </c>
      <c r="B115">
        <v>2.1040000000000001</v>
      </c>
      <c r="C115">
        <v>2.17</v>
      </c>
      <c r="D115">
        <v>2.0760000000000001</v>
      </c>
      <c r="E115">
        <v>2.1240000000000001</v>
      </c>
      <c r="F115">
        <v>5599195.7999999998</v>
      </c>
      <c r="G115">
        <v>2.1240000000000001</v>
      </c>
      <c r="L115" t="s">
        <v>7</v>
      </c>
      <c r="M115" t="s">
        <v>7</v>
      </c>
      <c r="N115" t="s">
        <v>7</v>
      </c>
      <c r="P115">
        <f t="shared" ref="P115" si="550">IF(C115=D115,0,((E115-D115)-(C115-E115))/(C115-D115))</f>
        <v>2.1276595744683262E-2</v>
      </c>
      <c r="Q115">
        <f t="shared" ref="Q115" si="551">F115*P115</f>
        <v>119131.82553192839</v>
      </c>
      <c r="R115">
        <f t="shared" ref="R115" si="552">R116+Q115</f>
        <v>-455290418.17142671</v>
      </c>
      <c r="S115">
        <f t="shared" ref="S115" si="553">R115/100000</f>
        <v>-4552.904181714267</v>
      </c>
      <c r="T115">
        <f t="shared" ref="T115" si="554">S115/1000</f>
        <v>-4.5529041817142666</v>
      </c>
    </row>
    <row r="116" spans="1:20" x14ac:dyDescent="0.25">
      <c r="A116" s="5">
        <v>44477</v>
      </c>
      <c r="B116">
        <v>2.11</v>
      </c>
      <c r="C116">
        <v>2.173</v>
      </c>
      <c r="D116">
        <v>2.0680000000000001</v>
      </c>
      <c r="E116">
        <v>2.105</v>
      </c>
      <c r="F116">
        <v>7648322.0999999996</v>
      </c>
      <c r="G116">
        <v>2.105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-0.29523809523809663</v>
      </c>
      <c r="Q116">
        <f t="shared" ref="Q116" si="556">F116*P116</f>
        <v>-2258076.048571439</v>
      </c>
      <c r="R116">
        <f t="shared" ref="R116" si="557">R117+Q116</f>
        <v>-455409549.99695861</v>
      </c>
      <c r="S116">
        <f t="shared" ref="S116" si="558">R116/100000</f>
        <v>-4554.0954999695859</v>
      </c>
      <c r="T116">
        <f t="shared" ref="T116" si="559">S116/1000</f>
        <v>-4.554095499969586</v>
      </c>
    </row>
    <row r="117" spans="1:20" x14ac:dyDescent="0.25">
      <c r="A117" s="5">
        <v>44476</v>
      </c>
      <c r="B117">
        <v>2.1520000000000001</v>
      </c>
      <c r="C117">
        <v>2.2250000000000001</v>
      </c>
      <c r="D117">
        <v>2.073</v>
      </c>
      <c r="E117">
        <v>2.1110000000000002</v>
      </c>
      <c r="F117">
        <v>7367871.2000000002</v>
      </c>
      <c r="G117">
        <v>2.1110000000000002</v>
      </c>
      <c r="L117" t="s">
        <v>8</v>
      </c>
      <c r="M117" t="s">
        <v>7</v>
      </c>
      <c r="N117" t="s">
        <v>7</v>
      </c>
      <c r="P117">
        <f t="shared" ref="P117" si="560">IF(C117=D117,0,((E117-D117)-(C117-E117))/(C117-D117))</f>
        <v>-0.49999999999999706</v>
      </c>
      <c r="Q117">
        <f t="shared" ref="Q117" si="561">F117*P117</f>
        <v>-3683935.5999999782</v>
      </c>
      <c r="R117">
        <f t="shared" ref="R117" si="562">R118+Q117</f>
        <v>-453151473.94838715</v>
      </c>
      <c r="S117">
        <f t="shared" ref="S117" si="563">R117/100000</f>
        <v>-4531.5147394838714</v>
      </c>
      <c r="T117">
        <f t="shared" ref="T117" si="564">S117/1000</f>
        <v>-4.5315147394838711</v>
      </c>
    </row>
    <row r="118" spans="1:20" x14ac:dyDescent="0.25">
      <c r="A118" s="5">
        <v>44475</v>
      </c>
      <c r="B118">
        <v>2.2120000000000002</v>
      </c>
      <c r="C118">
        <v>2.359</v>
      </c>
      <c r="D118">
        <v>2.016</v>
      </c>
      <c r="E118">
        <v>2.1520000000000001</v>
      </c>
      <c r="F118">
        <v>10417858.9</v>
      </c>
      <c r="G118">
        <v>2.1520000000000001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-0.2069970845481042</v>
      </c>
      <c r="Q118">
        <f t="shared" ref="Q118" si="566">F118*P118</f>
        <v>-2156466.41953352</v>
      </c>
      <c r="R118">
        <f t="shared" ref="R118" si="567">R119+Q118</f>
        <v>-449467538.34838718</v>
      </c>
      <c r="S118">
        <f t="shared" ref="S118" si="568">R118/100000</f>
        <v>-4494.6753834838719</v>
      </c>
      <c r="T118">
        <f t="shared" ref="T118" si="569">S118/1000</f>
        <v>-4.4946753834838722</v>
      </c>
    </row>
    <row r="119" spans="1:20" x14ac:dyDescent="0.25">
      <c r="A119" s="5">
        <v>44474</v>
      </c>
      <c r="B119">
        <v>2.2450000000000001</v>
      </c>
      <c r="C119">
        <v>2.3239999999999998</v>
      </c>
      <c r="D119">
        <v>2.1539999999999999</v>
      </c>
      <c r="E119">
        <v>2.2130000000000001</v>
      </c>
      <c r="F119">
        <v>6568413.7999999998</v>
      </c>
      <c r="G119">
        <v>2.2130000000000001</v>
      </c>
      <c r="L119" t="s">
        <v>7</v>
      </c>
      <c r="M119" t="s">
        <v>7</v>
      </c>
      <c r="N119" t="s">
        <v>7</v>
      </c>
      <c r="P119">
        <f t="shared" ref="P119" si="570">IF(C119=D119,0,((E119-D119)-(C119-E119))/(C119-D119))</f>
        <v>-0.30588235294117427</v>
      </c>
      <c r="Q119">
        <f t="shared" ref="Q119" si="571">F119*P119</f>
        <v>-2009161.8682352796</v>
      </c>
      <c r="R119">
        <f t="shared" ref="R119" si="572">R120+Q119</f>
        <v>-447311071.92885369</v>
      </c>
      <c r="S119">
        <f t="shared" ref="S119" si="573">R119/100000</f>
        <v>-4473.1107192885365</v>
      </c>
      <c r="T119">
        <f t="shared" ref="T119" si="574">S119/1000</f>
        <v>-4.4731107192885364</v>
      </c>
    </row>
    <row r="120" spans="1:20" x14ac:dyDescent="0.25">
      <c r="A120" s="5">
        <v>44473</v>
      </c>
      <c r="B120">
        <v>2.3759999999999999</v>
      </c>
      <c r="C120">
        <v>2.379</v>
      </c>
      <c r="D120">
        <v>2.2149999999999999</v>
      </c>
      <c r="E120">
        <v>2.2570000000000001</v>
      </c>
      <c r="F120">
        <v>7205273.2000000002</v>
      </c>
      <c r="G120">
        <v>2.2570000000000001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-0.48780487804877776</v>
      </c>
      <c r="Q120">
        <f t="shared" ref="Q120" si="576">F120*P120</f>
        <v>-3514767.4146341267</v>
      </c>
      <c r="R120">
        <f t="shared" ref="R120" si="577">R121+Q120</f>
        <v>-445301910.0606184</v>
      </c>
      <c r="S120">
        <f t="shared" ref="S120" si="578">R120/100000</f>
        <v>-4453.0191006061841</v>
      </c>
      <c r="T120">
        <f t="shared" ref="T120" si="579">S120/1000</f>
        <v>-4.4530191006061841</v>
      </c>
    </row>
    <row r="121" spans="1:20" x14ac:dyDescent="0.25">
      <c r="A121" s="5">
        <v>44472</v>
      </c>
      <c r="B121">
        <v>2.3039999999999998</v>
      </c>
      <c r="C121">
        <v>2.57</v>
      </c>
      <c r="D121">
        <v>2.2330000000000001</v>
      </c>
      <c r="E121">
        <v>2.38</v>
      </c>
      <c r="F121">
        <v>7867709.5999999996</v>
      </c>
      <c r="G121">
        <v>2.38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-0.12759643916914001</v>
      </c>
      <c r="Q121">
        <f t="shared" ref="Q121" si="581">F121*P121</f>
        <v>-1003891.7293768589</v>
      </c>
      <c r="R121">
        <f t="shared" ref="R121" si="582">R122+Q121</f>
        <v>-441787142.64598429</v>
      </c>
      <c r="S121">
        <f t="shared" ref="S121" si="583">R121/100000</f>
        <v>-4417.871426459843</v>
      </c>
      <c r="T121">
        <f t="shared" ref="T121" si="584">S121/1000</f>
        <v>-4.4178714264598433</v>
      </c>
    </row>
    <row r="122" spans="1:20" x14ac:dyDescent="0.25">
      <c r="A122" s="5">
        <v>44471</v>
      </c>
      <c r="B122">
        <v>2.355</v>
      </c>
      <c r="C122">
        <v>2.4620000000000002</v>
      </c>
      <c r="D122">
        <v>2.2559999999999998</v>
      </c>
      <c r="E122">
        <v>2.3069999999999999</v>
      </c>
      <c r="F122">
        <v>7535297.5999999996</v>
      </c>
      <c r="G122">
        <v>2.3069999999999999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-0.50485436893203828</v>
      </c>
      <c r="Q122">
        <f t="shared" ref="Q122" si="586">F122*P122</f>
        <v>-3804227.9145631022</v>
      </c>
      <c r="R122">
        <f t="shared" ref="R122" si="587">R123+Q122</f>
        <v>-440783250.91660744</v>
      </c>
      <c r="S122">
        <f t="shared" ref="S122" si="588">R122/100000</f>
        <v>-4407.8325091660745</v>
      </c>
      <c r="T122">
        <f t="shared" ref="T122" si="589">S122/1000</f>
        <v>-4.4078325091660746</v>
      </c>
    </row>
    <row r="123" spans="1:20" x14ac:dyDescent="0.25">
      <c r="A123" s="5">
        <v>44470</v>
      </c>
      <c r="B123">
        <v>2.0990000000000002</v>
      </c>
      <c r="C123">
        <v>2.3730000000000002</v>
      </c>
      <c r="D123">
        <v>2.0920000000000001</v>
      </c>
      <c r="E123">
        <v>2.355</v>
      </c>
      <c r="F123">
        <v>8351654.7999999998</v>
      </c>
      <c r="G123">
        <v>2.355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0.8718861209964397</v>
      </c>
      <c r="Q123">
        <f t="shared" ref="Q123" si="591">F123*P123</f>
        <v>7281691.9074732959</v>
      </c>
      <c r="R123">
        <f t="shared" ref="R123" si="592">R124+Q123</f>
        <v>-436979023.00204432</v>
      </c>
      <c r="S123">
        <f t="shared" ref="S123" si="593">R123/100000</f>
        <v>-4369.7902300204432</v>
      </c>
      <c r="T123">
        <f t="shared" ref="T123" si="594">S123/1000</f>
        <v>-4.3697902300204436</v>
      </c>
    </row>
    <row r="124" spans="1:20" x14ac:dyDescent="0.25">
      <c r="A124" s="5">
        <v>44469</v>
      </c>
      <c r="B124">
        <v>1.9630000000000001</v>
      </c>
      <c r="C124">
        <v>2.1589999999999998</v>
      </c>
      <c r="D124">
        <v>1.9490000000000001</v>
      </c>
      <c r="E124">
        <v>2.0979999999999999</v>
      </c>
      <c r="F124">
        <v>6600829.5</v>
      </c>
      <c r="G124">
        <v>2.0979999999999999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0.41904761904761889</v>
      </c>
      <c r="Q124">
        <f t="shared" ref="Q124" si="596">F124*P124</f>
        <v>2766061.8857142846</v>
      </c>
      <c r="R124">
        <f t="shared" ref="R124" si="597">R125+Q124</f>
        <v>-444260714.90951765</v>
      </c>
      <c r="S124">
        <f t="shared" ref="S124" si="598">R124/100000</f>
        <v>-4442.6071490951763</v>
      </c>
      <c r="T124">
        <f t="shared" ref="T124" si="599">S124/1000</f>
        <v>-4.442607149095176</v>
      </c>
    </row>
    <row r="125" spans="1:20" x14ac:dyDescent="0.25">
      <c r="A125" s="5">
        <v>44468</v>
      </c>
      <c r="B125">
        <v>1.9219999999999999</v>
      </c>
      <c r="C125">
        <v>2.0680000000000001</v>
      </c>
      <c r="D125">
        <v>1.905</v>
      </c>
      <c r="E125">
        <v>1.964</v>
      </c>
      <c r="F125">
        <v>4660873</v>
      </c>
      <c r="G125">
        <v>1.964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-0.27607361963190269</v>
      </c>
      <c r="Q125">
        <f t="shared" ref="Q125" si="601">F125*P125</f>
        <v>-1286744.0797546052</v>
      </c>
      <c r="R125">
        <f t="shared" ref="R125" si="602">R126+Q125</f>
        <v>-447026776.79523194</v>
      </c>
      <c r="S125">
        <f t="shared" ref="S125" si="603">R125/100000</f>
        <v>-4470.2677679523194</v>
      </c>
      <c r="T125">
        <f t="shared" ref="T125" si="604">S125/1000</f>
        <v>-4.4702677679523193</v>
      </c>
    </row>
    <row r="126" spans="1:20" x14ac:dyDescent="0.25">
      <c r="A126" s="5">
        <v>44467</v>
      </c>
      <c r="B126">
        <v>2.0070000000000001</v>
      </c>
      <c r="C126">
        <v>2.1150000000000002</v>
      </c>
      <c r="D126">
        <v>1.91</v>
      </c>
      <c r="E126">
        <v>1.9219999999999999</v>
      </c>
      <c r="F126">
        <v>6783820.2000000002</v>
      </c>
      <c r="G126">
        <v>1.9219999999999999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-0.8829268292682928</v>
      </c>
      <c r="Q126">
        <f t="shared" ref="Q126" si="606">F126*P126</f>
        <v>-5989616.8595121959</v>
      </c>
      <c r="R126">
        <f t="shared" ref="R126" si="607">R127+Q126</f>
        <v>-445740032.71547735</v>
      </c>
      <c r="S126">
        <f t="shared" ref="S126" si="608">R126/100000</f>
        <v>-4457.4003271547735</v>
      </c>
      <c r="T126">
        <f t="shared" ref="T126" si="609">S126/1000</f>
        <v>-4.4574003271547733</v>
      </c>
    </row>
    <row r="127" spans="1:20" x14ac:dyDescent="0.25">
      <c r="A127" s="5">
        <v>44466</v>
      </c>
      <c r="B127">
        <v>2.0609999999999999</v>
      </c>
      <c r="C127">
        <v>2.1960000000000002</v>
      </c>
      <c r="D127">
        <v>2.0009999999999999</v>
      </c>
      <c r="E127">
        <v>2.0059999999999998</v>
      </c>
      <c r="F127">
        <v>6826962.0999999996</v>
      </c>
      <c r="G127">
        <v>2.0059999999999998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-0.9487179487179499</v>
      </c>
      <c r="Q127">
        <f t="shared" ref="Q127" si="611">F127*P127</f>
        <v>-6476861.4794871872</v>
      </c>
      <c r="R127">
        <f t="shared" ref="R127" si="612">R128+Q127</f>
        <v>-439750415.85596514</v>
      </c>
      <c r="S127">
        <f t="shared" ref="S127" si="613">R127/100000</f>
        <v>-4397.5041585596509</v>
      </c>
      <c r="T127">
        <f t="shared" ref="T127" si="614">S127/1000</f>
        <v>-4.3975041585596513</v>
      </c>
    </row>
    <row r="128" spans="1:20" x14ac:dyDescent="0.25">
      <c r="A128" s="5">
        <v>44465</v>
      </c>
      <c r="B128">
        <v>2.0790000000000002</v>
      </c>
      <c r="C128">
        <v>2.1640000000000001</v>
      </c>
      <c r="D128">
        <v>1.915</v>
      </c>
      <c r="E128">
        <v>2.06</v>
      </c>
      <c r="F128">
        <v>9264322.1999999993</v>
      </c>
      <c r="G128">
        <v>2.06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0.16465863453815224</v>
      </c>
      <c r="Q128">
        <f t="shared" ref="Q128" si="616">F128*P128</f>
        <v>1525450.6433734905</v>
      </c>
      <c r="R128">
        <f t="shared" ref="R128" si="617">R129+Q128</f>
        <v>-433273554.37647796</v>
      </c>
      <c r="S128">
        <f t="shared" ref="S128" si="618">R128/100000</f>
        <v>-4332.7355437647793</v>
      </c>
      <c r="T128">
        <f t="shared" ref="T128" si="619">S128/1000</f>
        <v>-4.3327355437647794</v>
      </c>
    </row>
    <row r="129" spans="1:20" x14ac:dyDescent="0.25">
      <c r="A129" s="5">
        <v>44464</v>
      </c>
      <c r="B129">
        <v>2.121</v>
      </c>
      <c r="C129">
        <v>2.1800000000000002</v>
      </c>
      <c r="D129">
        <v>2.0129999999999999</v>
      </c>
      <c r="E129">
        <v>2.0790000000000002</v>
      </c>
      <c r="F129">
        <v>8215068.7999999998</v>
      </c>
      <c r="G129">
        <v>2.0790000000000002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-0.20958083832335117</v>
      </c>
      <c r="Q129">
        <f t="shared" ref="Q129" si="621">F129*P129</f>
        <v>-1721721.0059880065</v>
      </c>
      <c r="R129">
        <f t="shared" ref="R129" si="622">R130+Q129</f>
        <v>-434799005.01985145</v>
      </c>
      <c r="S129">
        <f t="shared" ref="S129" si="623">R129/100000</f>
        <v>-4347.9900501985148</v>
      </c>
      <c r="T129">
        <f t="shared" ref="T129" si="624">S129/1000</f>
        <v>-4.3479900501985149</v>
      </c>
    </row>
    <row r="130" spans="1:20" x14ac:dyDescent="0.25">
      <c r="A130" s="5">
        <v>44463</v>
      </c>
      <c r="B130">
        <v>2.2970000000000002</v>
      </c>
      <c r="C130">
        <v>2.3050000000000002</v>
      </c>
      <c r="D130">
        <v>1.93</v>
      </c>
      <c r="E130">
        <v>2.121</v>
      </c>
      <c r="F130">
        <v>11983317</v>
      </c>
      <c r="G130">
        <v>2.121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1.8666666666666377E-2</v>
      </c>
      <c r="Q130">
        <f t="shared" ref="Q130" si="626">F130*P130</f>
        <v>223688.58399999654</v>
      </c>
      <c r="R130">
        <f t="shared" ref="R130" si="627">R131+Q130</f>
        <v>-433077284.01386344</v>
      </c>
      <c r="S130">
        <f t="shared" ref="S130" si="628">R130/100000</f>
        <v>-4330.7728401386348</v>
      </c>
      <c r="T130">
        <f t="shared" ref="T130" si="629">S130/1000</f>
        <v>-4.3307728401386347</v>
      </c>
    </row>
    <row r="131" spans="1:20" x14ac:dyDescent="0.25">
      <c r="A131" s="5">
        <v>44462</v>
      </c>
      <c r="B131">
        <v>2.298</v>
      </c>
      <c r="C131">
        <v>2.4079999999999999</v>
      </c>
      <c r="D131">
        <v>2.1749999999999998</v>
      </c>
      <c r="E131">
        <v>2.2999999999999998</v>
      </c>
      <c r="F131">
        <v>10038777.199999999</v>
      </c>
      <c r="G131">
        <v>2.2999999999999998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7.2961373390557499E-2</v>
      </c>
      <c r="Q131">
        <f t="shared" ref="Q131" si="631">F131*P131</f>
        <v>732442.97167381528</v>
      </c>
      <c r="R131">
        <f t="shared" ref="R131" si="632">R132+Q131</f>
        <v>-433300972.59786344</v>
      </c>
      <c r="S131">
        <f t="shared" ref="S131" si="633">R131/100000</f>
        <v>-4333.0097259786344</v>
      </c>
      <c r="T131">
        <f t="shared" ref="T131" si="634">S131/1000</f>
        <v>-4.3330097259786342</v>
      </c>
    </row>
    <row r="132" spans="1:20" x14ac:dyDescent="0.25">
      <c r="A132" s="5">
        <v>44461</v>
      </c>
      <c r="B132">
        <v>1.99</v>
      </c>
      <c r="C132">
        <v>2.38</v>
      </c>
      <c r="D132">
        <v>1.9550000000000001</v>
      </c>
      <c r="E132">
        <v>2.2989999999999999</v>
      </c>
      <c r="F132">
        <v>16052921.699999999</v>
      </c>
      <c r="G132">
        <v>2.2989999999999999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0.61882352941176477</v>
      </c>
      <c r="Q132">
        <f t="shared" ref="Q132" si="636">F132*P132</f>
        <v>9933925.6637647059</v>
      </c>
      <c r="R132">
        <f t="shared" ref="R132" si="637">R133+Q132</f>
        <v>-434033415.56953722</v>
      </c>
      <c r="S132">
        <f t="shared" ref="S132" si="638">R132/100000</f>
        <v>-4340.3341556953719</v>
      </c>
      <c r="T132">
        <f t="shared" ref="T132" si="639">S132/1000</f>
        <v>-4.3403341556953716</v>
      </c>
    </row>
    <row r="133" spans="1:20" x14ac:dyDescent="0.25">
      <c r="A133" s="5">
        <v>44460</v>
      </c>
      <c r="B133">
        <v>2.3090000000000002</v>
      </c>
      <c r="C133">
        <v>2.5459999999999998</v>
      </c>
      <c r="D133">
        <v>1.9330000000000001</v>
      </c>
      <c r="E133">
        <v>1.9910000000000001</v>
      </c>
      <c r="F133">
        <v>22079240.399999999</v>
      </c>
      <c r="G133">
        <v>1.9910000000000001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-0.81076672104404546</v>
      </c>
      <c r="Q133">
        <f t="shared" ref="Q133" si="641">F133*P133</f>
        <v>-17901113.342251219</v>
      </c>
      <c r="R133">
        <f t="shared" ref="R133" si="642">R134+Q133</f>
        <v>-443967341.23330194</v>
      </c>
      <c r="S133">
        <f t="shared" ref="S133" si="643">R133/100000</f>
        <v>-4439.6734123330198</v>
      </c>
      <c r="T133">
        <f t="shared" ref="T133" si="644">S133/1000</f>
        <v>-4.4396734123330202</v>
      </c>
    </row>
    <row r="134" spans="1:20" x14ac:dyDescent="0.25">
      <c r="A134" s="5">
        <v>44459</v>
      </c>
      <c r="B134">
        <v>3.0529999999999999</v>
      </c>
      <c r="C134">
        <v>3.15</v>
      </c>
      <c r="D134">
        <v>2.5179999999999998</v>
      </c>
      <c r="E134">
        <v>2.5590000000000002</v>
      </c>
      <c r="F134">
        <v>17031334.300000001</v>
      </c>
      <c r="G134">
        <v>2.5590000000000002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-0.87025316455696089</v>
      </c>
      <c r="Q134">
        <f t="shared" ref="Q134" si="646">F134*P134</f>
        <v>-14821572.571202513</v>
      </c>
      <c r="R134">
        <f t="shared" ref="R134" si="647">R135+Q134</f>
        <v>-426066227.8910507</v>
      </c>
      <c r="S134">
        <f t="shared" ref="S134" si="648">R134/100000</f>
        <v>-4260.6622789105068</v>
      </c>
      <c r="T134">
        <f t="shared" ref="T134" si="649">S134/1000</f>
        <v>-4.2606622789105071</v>
      </c>
    </row>
    <row r="135" spans="1:20" x14ac:dyDescent="0.25">
      <c r="A135" s="5">
        <v>44458</v>
      </c>
      <c r="B135">
        <v>2.7280000000000002</v>
      </c>
      <c r="C135">
        <v>3.1440000000000001</v>
      </c>
      <c r="D135">
        <v>2.629</v>
      </c>
      <c r="E135">
        <v>3.0529999999999999</v>
      </c>
      <c r="F135">
        <v>18433453.100000001</v>
      </c>
      <c r="G135">
        <v>3.0529999999999999</v>
      </c>
      <c r="L135" t="s">
        <v>8</v>
      </c>
      <c r="M135" t="s">
        <v>8</v>
      </c>
      <c r="N135" t="s">
        <v>8</v>
      </c>
      <c r="P135">
        <f t="shared" ref="P135" si="650">IF(C135=D135,0,((E135-D135)-(C135-E135))/(C135-D135))</f>
        <v>0.64660194174757213</v>
      </c>
      <c r="Q135">
        <f t="shared" ref="Q135" si="651">F135*P135</f>
        <v>11919106.567572804</v>
      </c>
      <c r="R135">
        <f t="shared" ref="R135" si="652">R136+Q135</f>
        <v>-411244655.31984818</v>
      </c>
      <c r="S135">
        <f t="shared" ref="S135" si="653">R135/100000</f>
        <v>-4112.4465531984815</v>
      </c>
      <c r="T135">
        <f t="shared" ref="T135" si="654">S135/1000</f>
        <v>-4.112446553198482</v>
      </c>
    </row>
    <row r="136" spans="1:20" x14ac:dyDescent="0.25">
      <c r="A136" s="5">
        <v>44457</v>
      </c>
      <c r="B136">
        <v>2.6930000000000001</v>
      </c>
      <c r="C136">
        <v>2.8969999999999998</v>
      </c>
      <c r="D136">
        <v>2.6320000000000001</v>
      </c>
      <c r="E136">
        <v>2.7250000000000001</v>
      </c>
      <c r="F136">
        <v>10783817.9</v>
      </c>
      <c r="G136">
        <v>2.7250000000000001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-0.29811320754716919</v>
      </c>
      <c r="Q136">
        <f t="shared" ref="Q136" si="656">F136*P136</f>
        <v>-3214798.5437735785</v>
      </c>
      <c r="R136">
        <f t="shared" ref="R136" si="657">R137+Q136</f>
        <v>-423163761.88742101</v>
      </c>
      <c r="S136">
        <f t="shared" ref="S136" si="658">R136/100000</f>
        <v>-4231.6376188742097</v>
      </c>
      <c r="T136">
        <f t="shared" ref="T136" si="659">S136/1000</f>
        <v>-4.2316376188742097</v>
      </c>
    </row>
    <row r="137" spans="1:20" x14ac:dyDescent="0.25">
      <c r="A137" s="5">
        <v>44456</v>
      </c>
      <c r="B137">
        <v>2.9609999999999999</v>
      </c>
      <c r="C137">
        <v>3.2160000000000002</v>
      </c>
      <c r="D137">
        <v>2.585</v>
      </c>
      <c r="E137">
        <v>2.694</v>
      </c>
      <c r="F137">
        <v>38615550.920000002</v>
      </c>
      <c r="G137">
        <v>2.694</v>
      </c>
      <c r="L137" t="s">
        <v>8</v>
      </c>
      <c r="M137" t="s">
        <v>8</v>
      </c>
      <c r="N137" t="s">
        <v>8</v>
      </c>
      <c r="P137">
        <f t="shared" ref="P137" si="660">IF(C137=D137,0,((E137-D137)-(C137-E137))/(C137-D137))</f>
        <v>-0.65451664025356593</v>
      </c>
      <c r="Q137">
        <f t="shared" ref="Q137" si="661">F137*P137</f>
        <v>-25274520.649698898</v>
      </c>
      <c r="R137">
        <f t="shared" ref="R137" si="662">R138+Q137</f>
        <v>-419948963.34364742</v>
      </c>
      <c r="S137">
        <f t="shared" ref="S137" si="663">R137/100000</f>
        <v>-4199.4896334364739</v>
      </c>
      <c r="T137">
        <f t="shared" ref="T137" si="664">S137/1000</f>
        <v>-4.1994896334364737</v>
      </c>
    </row>
    <row r="138" spans="1:20" x14ac:dyDescent="0.25">
      <c r="A138" s="5">
        <v>44455</v>
      </c>
      <c r="B138">
        <v>2.2559999999999998</v>
      </c>
      <c r="C138">
        <v>3.0249999999999999</v>
      </c>
      <c r="D138">
        <v>2.234</v>
      </c>
      <c r="E138">
        <v>2.9620000000000002</v>
      </c>
      <c r="F138">
        <v>42833377.799999997</v>
      </c>
      <c r="G138">
        <v>2.9620000000000002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0.84070796460177055</v>
      </c>
      <c r="Q138">
        <f t="shared" ref="Q138" si="666">F138*P138</f>
        <v>36010361.867256664</v>
      </c>
      <c r="R138">
        <f t="shared" ref="R138" si="667">R139+Q138</f>
        <v>-394674442.69394851</v>
      </c>
      <c r="S138">
        <f t="shared" ref="S138" si="668">R138/100000</f>
        <v>-3946.744426939485</v>
      </c>
      <c r="T138">
        <f t="shared" ref="T138" si="669">S138/1000</f>
        <v>-3.9467444269394849</v>
      </c>
    </row>
    <row r="139" spans="1:20" x14ac:dyDescent="0.25">
      <c r="A139" s="5">
        <v>44454</v>
      </c>
      <c r="B139">
        <v>2.198</v>
      </c>
      <c r="C139">
        <v>2.2679999999999998</v>
      </c>
      <c r="D139">
        <v>2.1030000000000002</v>
      </c>
      <c r="E139">
        <v>2.2559999999999998</v>
      </c>
      <c r="F139">
        <v>9105052.3000000007</v>
      </c>
      <c r="G139">
        <v>2.2559999999999998</v>
      </c>
      <c r="L139" t="s">
        <v>7</v>
      </c>
      <c r="M139" t="s">
        <v>7</v>
      </c>
      <c r="N139" t="s">
        <v>7</v>
      </c>
      <c r="P139">
        <f t="shared" ref="P139" si="670">IF(C139=D139,0,((E139-D139)-(C139-E139))/(C139-D139))</f>
        <v>0.85454545454545405</v>
      </c>
      <c r="Q139">
        <f t="shared" ref="Q139" si="671">F139*P139</f>
        <v>7780681.0563636329</v>
      </c>
      <c r="R139">
        <f t="shared" ref="R139" si="672">R140+Q139</f>
        <v>-430684804.56120515</v>
      </c>
      <c r="S139">
        <f t="shared" ref="S139" si="673">R139/100000</f>
        <v>-4306.8480456120515</v>
      </c>
      <c r="T139">
        <f t="shared" ref="T139" si="674">S139/1000</f>
        <v>-4.3068480456120515</v>
      </c>
    </row>
    <row r="140" spans="1:20" x14ac:dyDescent="0.25">
      <c r="A140" s="5">
        <v>44453</v>
      </c>
      <c r="B140">
        <v>2.1389999999999998</v>
      </c>
      <c r="C140">
        <v>2.2570000000000001</v>
      </c>
      <c r="D140">
        <v>2.1259999999999999</v>
      </c>
      <c r="E140">
        <v>2.1970000000000001</v>
      </c>
      <c r="F140">
        <v>5743335.7000000002</v>
      </c>
      <c r="G140">
        <v>2.1970000000000001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8.396946564885574E-2</v>
      </c>
      <c r="Q140">
        <f t="shared" ref="Q140" si="676">F140*P140</f>
        <v>482264.82977099688</v>
      </c>
      <c r="R140">
        <f t="shared" ref="R140" si="677">R141+Q140</f>
        <v>-438465485.61756879</v>
      </c>
      <c r="S140">
        <f t="shared" ref="S140" si="678">R140/100000</f>
        <v>-4384.6548561756881</v>
      </c>
      <c r="T140">
        <f t="shared" ref="T140" si="679">S140/1000</f>
        <v>-4.384654856175688</v>
      </c>
    </row>
    <row r="141" spans="1:20" x14ac:dyDescent="0.25">
      <c r="A141" s="5">
        <v>44452</v>
      </c>
      <c r="B141">
        <v>2.2930000000000001</v>
      </c>
      <c r="C141">
        <v>2.3180000000000001</v>
      </c>
      <c r="D141">
        <v>2.0030000000000001</v>
      </c>
      <c r="E141">
        <v>2.1389999999999998</v>
      </c>
      <c r="F141">
        <v>7786440.0999999996</v>
      </c>
      <c r="G141">
        <v>2.1389999999999998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-0.13650793650793841</v>
      </c>
      <c r="Q141">
        <f t="shared" ref="Q141" si="681">F141*P141</f>
        <v>-1062910.8707936655</v>
      </c>
      <c r="R141">
        <f t="shared" ref="R141" si="682">R142+Q141</f>
        <v>-438947750.44733977</v>
      </c>
      <c r="S141">
        <f t="shared" ref="S141" si="683">R141/100000</f>
        <v>-4389.4775044733979</v>
      </c>
      <c r="T141">
        <f t="shared" ref="T141" si="684">S141/1000</f>
        <v>-4.3894775044733976</v>
      </c>
    </row>
    <row r="142" spans="1:20" x14ac:dyDescent="0.25">
      <c r="A142" s="5">
        <v>44451</v>
      </c>
      <c r="B142">
        <v>2.2850000000000001</v>
      </c>
      <c r="C142">
        <v>2.4249999999999998</v>
      </c>
      <c r="D142">
        <v>2.218</v>
      </c>
      <c r="E142">
        <v>2.2919999999999998</v>
      </c>
      <c r="F142">
        <v>7427843.5999999996</v>
      </c>
      <c r="G142">
        <v>2.2919999999999998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-0.28502415458937297</v>
      </c>
      <c r="Q142">
        <f t="shared" ref="Q142" si="686">F142*P142</f>
        <v>-2117114.8425120846</v>
      </c>
      <c r="R142">
        <f t="shared" ref="R142" si="687">R143+Q142</f>
        <v>-437884839.57654613</v>
      </c>
      <c r="S142">
        <f t="shared" ref="S142" si="688">R142/100000</f>
        <v>-4378.8483957654616</v>
      </c>
      <c r="T142">
        <f t="shared" ref="T142" si="689">S142/1000</f>
        <v>-4.3788483957654618</v>
      </c>
    </row>
    <row r="143" spans="1:20" x14ac:dyDescent="0.25">
      <c r="A143" s="5">
        <v>44450</v>
      </c>
      <c r="B143">
        <v>2.2000000000000002</v>
      </c>
      <c r="C143">
        <v>2.3420000000000001</v>
      </c>
      <c r="D143">
        <v>2.177</v>
      </c>
      <c r="E143">
        <v>2.2810000000000001</v>
      </c>
      <c r="F143">
        <v>6208569.9000000004</v>
      </c>
      <c r="G143">
        <v>2.2810000000000001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0.26060606060606145</v>
      </c>
      <c r="Q143">
        <f t="shared" ref="Q143" si="691">F143*P143</f>
        <v>1617990.943636369</v>
      </c>
      <c r="R143">
        <f t="shared" ref="R143" si="692">R144+Q143</f>
        <v>-435767724.73403406</v>
      </c>
      <c r="S143">
        <f t="shared" ref="S143" si="693">R143/100000</f>
        <v>-4357.6772473403407</v>
      </c>
      <c r="T143">
        <f t="shared" ref="T143" si="694">S143/1000</f>
        <v>-4.3576772473403409</v>
      </c>
    </row>
    <row r="144" spans="1:20" x14ac:dyDescent="0.25">
      <c r="A144" s="5">
        <v>44449</v>
      </c>
      <c r="B144">
        <v>2.4500000000000002</v>
      </c>
      <c r="C144">
        <v>2.5190000000000001</v>
      </c>
      <c r="D144">
        <v>2.133</v>
      </c>
      <c r="E144">
        <v>2.2000000000000002</v>
      </c>
      <c r="F144">
        <v>14584918.9</v>
      </c>
      <c r="G144">
        <v>2.2000000000000002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-0.6528497409326417</v>
      </c>
      <c r="Q144">
        <f t="shared" ref="Q144" si="696">F144*P144</f>
        <v>-9521760.5253885891</v>
      </c>
      <c r="R144">
        <f t="shared" ref="R144" si="697">R145+Q144</f>
        <v>-437385715.67767042</v>
      </c>
      <c r="S144">
        <f t="shared" ref="S144" si="698">R144/100000</f>
        <v>-4373.857156776704</v>
      </c>
      <c r="T144">
        <f t="shared" ref="T144" si="699">S144/1000</f>
        <v>-4.3738571567767037</v>
      </c>
    </row>
    <row r="145" spans="1:20" x14ac:dyDescent="0.25">
      <c r="A145" s="5">
        <v>44448</v>
      </c>
      <c r="B145">
        <v>2.1440000000000001</v>
      </c>
      <c r="C145">
        <v>2.5499999999999998</v>
      </c>
      <c r="D145">
        <v>2.1080000000000001</v>
      </c>
      <c r="E145">
        <v>2.4500000000000002</v>
      </c>
      <c r="F145">
        <v>20837945.399999999</v>
      </c>
      <c r="G145">
        <v>2.4500000000000002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0.54751131221719584</v>
      </c>
      <c r="Q145">
        <f t="shared" ref="Q145" si="701">F145*P145</f>
        <v>11409010.829864278</v>
      </c>
      <c r="R145">
        <f t="shared" ref="R145" si="702">R146+Q145</f>
        <v>-427863955.15228182</v>
      </c>
      <c r="S145">
        <f t="shared" ref="S145" si="703">R145/100000</f>
        <v>-4278.6395515228178</v>
      </c>
      <c r="T145">
        <f t="shared" ref="T145" si="704">S145/1000</f>
        <v>-4.2786395515228177</v>
      </c>
    </row>
    <row r="146" spans="1:20" x14ac:dyDescent="0.25">
      <c r="A146" s="5">
        <v>44447</v>
      </c>
      <c r="B146">
        <v>2.0880000000000001</v>
      </c>
      <c r="C146">
        <v>2.25</v>
      </c>
      <c r="D146">
        <v>1.857</v>
      </c>
      <c r="E146">
        <v>2.1440000000000001</v>
      </c>
      <c r="F146">
        <v>20039689.800000001</v>
      </c>
      <c r="G146">
        <v>2.1440000000000001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0.46055979643765971</v>
      </c>
      <c r="Q146">
        <f t="shared" ref="Q146" si="706">F146*P146</f>
        <v>9229475.4549618457</v>
      </c>
      <c r="R146">
        <f t="shared" ref="R146" si="707">R147+Q146</f>
        <v>-439272965.98214608</v>
      </c>
      <c r="S146">
        <f t="shared" ref="S146" si="708">R146/100000</f>
        <v>-4392.7296598214607</v>
      </c>
      <c r="T146">
        <f t="shared" ref="T146" si="709">S146/1000</f>
        <v>-4.3927296598214607</v>
      </c>
    </row>
    <row r="147" spans="1:20" x14ac:dyDescent="0.25">
      <c r="A147" s="5">
        <v>44446</v>
      </c>
      <c r="B147">
        <v>2.6850000000000001</v>
      </c>
      <c r="C147">
        <v>2.8250000000000002</v>
      </c>
      <c r="D147">
        <v>1.8049999999999999</v>
      </c>
      <c r="E147">
        <v>2.0870000000000002</v>
      </c>
      <c r="F147">
        <v>34462410.689999998</v>
      </c>
      <c r="G147">
        <v>2.0870000000000002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-0.4470588235294114</v>
      </c>
      <c r="Q147">
        <f t="shared" ref="Q147" si="711">F147*P147</f>
        <v>-15406724.77905881</v>
      </c>
      <c r="R147">
        <f t="shared" ref="R147" si="712">R148+Q147</f>
        <v>-448502441.43710792</v>
      </c>
      <c r="S147">
        <f t="shared" ref="S147" si="713">R147/100000</f>
        <v>-4485.0244143710788</v>
      </c>
      <c r="T147">
        <f t="shared" ref="T147" si="714">S147/1000</f>
        <v>-4.4850244143710789</v>
      </c>
    </row>
    <row r="148" spans="1:20" x14ac:dyDescent="0.25">
      <c r="A148" s="5">
        <v>44445</v>
      </c>
      <c r="B148">
        <v>2.8679999999999999</v>
      </c>
      <c r="C148">
        <v>3.0190000000000001</v>
      </c>
      <c r="D148">
        <v>2.5150000000000001</v>
      </c>
      <c r="E148">
        <v>2.6819999999999999</v>
      </c>
      <c r="F148">
        <v>19401311.100000001</v>
      </c>
      <c r="G148">
        <v>2.6819999999999999</v>
      </c>
      <c r="L148" t="s">
        <v>8</v>
      </c>
      <c r="M148" t="s">
        <v>7</v>
      </c>
      <c r="N148" t="s">
        <v>7</v>
      </c>
      <c r="P148">
        <f t="shared" ref="P148" si="715">IF(C148=D148,0,((E148-D148)-(C148-E148))/(C148-D148))</f>
        <v>-0.33730158730158805</v>
      </c>
      <c r="Q148">
        <f t="shared" ref="Q148" si="716">F148*P148</f>
        <v>-6544093.0297619198</v>
      </c>
      <c r="R148">
        <f t="shared" ref="R148" si="717">R149+Q148</f>
        <v>-433095716.65804911</v>
      </c>
      <c r="S148">
        <f t="shared" ref="S148" si="718">R148/100000</f>
        <v>-4330.9571665804915</v>
      </c>
      <c r="T148">
        <f t="shared" ref="T148" si="719">S148/1000</f>
        <v>-4.3309571665804913</v>
      </c>
    </row>
    <row r="149" spans="1:20" x14ac:dyDescent="0.25">
      <c r="A149" s="5">
        <v>44444</v>
      </c>
      <c r="B149">
        <v>2.778</v>
      </c>
      <c r="C149">
        <v>2.9220000000000002</v>
      </c>
      <c r="D149">
        <v>2.734</v>
      </c>
      <c r="E149">
        <v>2.8679999999999999</v>
      </c>
      <c r="F149">
        <v>10674426.9</v>
      </c>
      <c r="G149">
        <v>2.8679999999999999</v>
      </c>
      <c r="L149" t="s">
        <v>8</v>
      </c>
      <c r="M149" t="s">
        <v>8</v>
      </c>
      <c r="N149" t="s">
        <v>7</v>
      </c>
      <c r="P149">
        <f t="shared" ref="P149" si="720">IF(C149=D149,0,((E149-D149)-(C149-E149))/(C149-D149))</f>
        <v>0.42553191489361464</v>
      </c>
      <c r="Q149">
        <f t="shared" ref="Q149" si="721">F149*P149</f>
        <v>4542309.3191489112</v>
      </c>
      <c r="R149">
        <f t="shared" ref="R149" si="722">R150+Q149</f>
        <v>-426551623.6282872</v>
      </c>
      <c r="S149">
        <f t="shared" ref="S149" si="723">R149/100000</f>
        <v>-4265.5162362828723</v>
      </c>
      <c r="T149">
        <f t="shared" ref="T149" si="724">S149/1000</f>
        <v>-4.2655162362828722</v>
      </c>
    </row>
    <row r="150" spans="1:20" x14ac:dyDescent="0.25">
      <c r="A150" s="5">
        <v>44443</v>
      </c>
      <c r="B150">
        <v>2.8490000000000002</v>
      </c>
      <c r="C150">
        <v>2.93</v>
      </c>
      <c r="D150">
        <v>2.7189999999999999</v>
      </c>
      <c r="E150">
        <v>2.774</v>
      </c>
      <c r="F150">
        <v>13570305.800000001</v>
      </c>
      <c r="G150">
        <v>2.774</v>
      </c>
      <c r="L150" t="s">
        <v>7</v>
      </c>
      <c r="M150" t="s">
        <v>8</v>
      </c>
      <c r="N150" t="s">
        <v>7</v>
      </c>
      <c r="P150">
        <f t="shared" ref="P150" si="725">IF(C150=D150,0,((E150-D150)-(C150-E150))/(C150-D150))</f>
        <v>-0.47867298578198975</v>
      </c>
      <c r="Q150">
        <f t="shared" ref="Q150" si="726">F150*P150</f>
        <v>-6495738.7952606529</v>
      </c>
      <c r="R150">
        <f t="shared" ref="R150" si="727">R151+Q150</f>
        <v>-431093932.94743609</v>
      </c>
      <c r="S150">
        <f t="shared" ref="S150" si="728">R150/100000</f>
        <v>-4310.9393294743613</v>
      </c>
      <c r="T150">
        <f t="shared" ref="T150" si="729">S150/1000</f>
        <v>-4.310939329474361</v>
      </c>
    </row>
    <row r="151" spans="1:20" x14ac:dyDescent="0.25">
      <c r="A151" s="5">
        <v>44442</v>
      </c>
      <c r="B151">
        <v>2.6320000000000001</v>
      </c>
      <c r="C151">
        <v>3.0859999999999999</v>
      </c>
      <c r="D151">
        <v>2.5529999999999999</v>
      </c>
      <c r="E151">
        <v>2.8479999999999999</v>
      </c>
      <c r="F151">
        <v>35325728.100000001</v>
      </c>
      <c r="G151">
        <v>2.8479999999999999</v>
      </c>
      <c r="L151" t="s">
        <v>8</v>
      </c>
      <c r="M151" t="s">
        <v>8</v>
      </c>
      <c r="N151" t="s">
        <v>7</v>
      </c>
      <c r="P151">
        <f t="shared" ref="P151" si="730">IF(C151=D151,0,((E151-D151)-(C151-E151))/(C151-D151))</f>
        <v>0.10694183864915563</v>
      </c>
      <c r="Q151">
        <f t="shared" ref="Q151" si="731">F151*P151</f>
        <v>3777798.3146341434</v>
      </c>
      <c r="R151">
        <f t="shared" ref="R151" si="732">R152+Q151</f>
        <v>-424598194.15217543</v>
      </c>
      <c r="S151">
        <f t="shared" ref="S151" si="733">R151/100000</f>
        <v>-4245.9819415217544</v>
      </c>
      <c r="T151">
        <f t="shared" ref="T151" si="734">S151/1000</f>
        <v>-4.2459819415217543</v>
      </c>
    </row>
    <row r="152" spans="1:20" x14ac:dyDescent="0.25">
      <c r="A152" s="5">
        <v>44441</v>
      </c>
      <c r="B152">
        <v>2.5409999999999999</v>
      </c>
      <c r="C152">
        <v>2.76</v>
      </c>
      <c r="D152">
        <v>2.468</v>
      </c>
      <c r="E152">
        <v>2.6309999999999998</v>
      </c>
      <c r="F152">
        <v>21335205.199999999</v>
      </c>
      <c r="G152">
        <v>2.6309999999999998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0.11643835616438297</v>
      </c>
      <c r="Q152">
        <f t="shared" ref="Q152" si="736">F152*P152</f>
        <v>2484236.2219177955</v>
      </c>
      <c r="R152">
        <f t="shared" ref="R152" si="737">R153+Q152</f>
        <v>-428375992.46680957</v>
      </c>
      <c r="S152">
        <f t="shared" ref="S152" si="738">R152/100000</f>
        <v>-4283.7599246680957</v>
      </c>
      <c r="T152">
        <f t="shared" ref="T152" si="739">S152/1000</f>
        <v>-4.2837599246680957</v>
      </c>
    </row>
    <row r="153" spans="1:20" x14ac:dyDescent="0.25">
      <c r="A153" s="5">
        <v>44440</v>
      </c>
      <c r="B153">
        <v>2.4620000000000002</v>
      </c>
      <c r="C153">
        <v>2.577</v>
      </c>
      <c r="D153">
        <v>2.35</v>
      </c>
      <c r="E153">
        <v>2.5409999999999999</v>
      </c>
      <c r="F153">
        <v>14707218.1</v>
      </c>
      <c r="G153">
        <v>2.5409999999999999</v>
      </c>
      <c r="L153" t="s">
        <v>8</v>
      </c>
      <c r="M153" t="s">
        <v>7</v>
      </c>
      <c r="N153" t="s">
        <v>7</v>
      </c>
      <c r="P153">
        <f t="shared" ref="P153" si="740">IF(C153=D153,0,((E153-D153)-(C153-E153))/(C153-D153))</f>
        <v>0.68281938325991143</v>
      </c>
      <c r="Q153">
        <f t="shared" ref="Q153" si="741">F153*P153</f>
        <v>10042373.592511006</v>
      </c>
      <c r="R153">
        <f t="shared" ref="R153" si="742">R154+Q153</f>
        <v>-430860228.68872738</v>
      </c>
      <c r="S153">
        <f t="shared" ref="S153" si="743">R153/100000</f>
        <v>-4308.6022868872742</v>
      </c>
      <c r="T153">
        <f t="shared" ref="T153" si="744">S153/1000</f>
        <v>-4.3086022868872744</v>
      </c>
    </row>
    <row r="154" spans="1:20" x14ac:dyDescent="0.25">
      <c r="A154" s="5">
        <v>44439</v>
      </c>
      <c r="B154">
        <v>2.5129999999999999</v>
      </c>
      <c r="C154">
        <v>2.746</v>
      </c>
      <c r="D154">
        <v>2.387</v>
      </c>
      <c r="E154">
        <v>2.46</v>
      </c>
      <c r="F154">
        <v>15800227.9</v>
      </c>
      <c r="G154">
        <v>2.46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-0.59331476323119803</v>
      </c>
      <c r="Q154">
        <f t="shared" ref="Q154" si="746">F154*P154</f>
        <v>-9374508.4754874688</v>
      </c>
      <c r="R154">
        <f t="shared" ref="R154" si="747">R155+Q154</f>
        <v>-440902602.28123838</v>
      </c>
      <c r="S154">
        <f t="shared" ref="S154" si="748">R154/100000</f>
        <v>-4409.0260228123834</v>
      </c>
      <c r="T154">
        <f t="shared" ref="T154" si="749">S154/1000</f>
        <v>-4.409026022812383</v>
      </c>
    </row>
    <row r="155" spans="1:20" x14ac:dyDescent="0.25">
      <c r="A155" s="5">
        <v>44438</v>
      </c>
      <c r="B155">
        <v>2.83</v>
      </c>
      <c r="C155">
        <v>2.83</v>
      </c>
      <c r="D155">
        <v>2.48</v>
      </c>
      <c r="E155">
        <v>2.5129999999999999</v>
      </c>
      <c r="F155">
        <v>18359816.5</v>
      </c>
      <c r="G155">
        <v>2.5129999999999999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-0.81142857142857194</v>
      </c>
      <c r="Q155">
        <f t="shared" ref="Q155" si="751">F155*P155</f>
        <v>-14897679.674285723</v>
      </c>
      <c r="R155">
        <f t="shared" ref="R155" si="752">R156+Q155</f>
        <v>-431528093.80575091</v>
      </c>
      <c r="S155">
        <f t="shared" ref="S155" si="753">R155/100000</f>
        <v>-4315.280938057509</v>
      </c>
      <c r="T155">
        <f t="shared" ref="T155" si="754">S155/1000</f>
        <v>-4.3152809380575095</v>
      </c>
    </row>
    <row r="156" spans="1:20" x14ac:dyDescent="0.25">
      <c r="A156" s="5">
        <v>44437</v>
      </c>
      <c r="B156">
        <v>2.9340000000000002</v>
      </c>
      <c r="C156">
        <v>3.1</v>
      </c>
      <c r="D156">
        <v>2.69</v>
      </c>
      <c r="E156">
        <v>2.8290000000000002</v>
      </c>
      <c r="F156">
        <v>29256125.100000001</v>
      </c>
      <c r="G156">
        <v>2.8290000000000002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-0.32195121951219419</v>
      </c>
      <c r="Q156">
        <f t="shared" ref="Q156" si="756">F156*P156</f>
        <v>-9419045.1541463137</v>
      </c>
      <c r="R156">
        <f t="shared" ref="R156" si="757">R157+Q156</f>
        <v>-416630414.1314652</v>
      </c>
      <c r="S156">
        <f t="shared" ref="S156" si="758">R156/100000</f>
        <v>-4166.304141314652</v>
      </c>
      <c r="T156">
        <f t="shared" ref="T156" si="759">S156/1000</f>
        <v>-4.1663041413146518</v>
      </c>
    </row>
    <row r="157" spans="1:20" x14ac:dyDescent="0.25">
      <c r="A157" s="5">
        <v>44436</v>
      </c>
      <c r="B157">
        <v>2.5430000000000001</v>
      </c>
      <c r="C157">
        <v>3.1459999999999999</v>
      </c>
      <c r="D157">
        <v>2.4529999999999998</v>
      </c>
      <c r="E157">
        <v>2.9329999999999998</v>
      </c>
      <c r="F157">
        <v>36812769.850000001</v>
      </c>
      <c r="G157">
        <v>2.9329999999999998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0.38528138528138511</v>
      </c>
      <c r="Q157">
        <f t="shared" ref="Q157" si="761">F157*P157</f>
        <v>14183274.963852808</v>
      </c>
      <c r="R157">
        <f t="shared" ref="R157" si="762">R158+Q157</f>
        <v>-407211368.97731888</v>
      </c>
      <c r="S157">
        <f t="shared" ref="S157" si="763">R157/100000</f>
        <v>-4072.113689773189</v>
      </c>
      <c r="T157">
        <f t="shared" ref="T157" si="764">S157/1000</f>
        <v>-4.0721136897731887</v>
      </c>
    </row>
    <row r="158" spans="1:20" x14ac:dyDescent="0.25">
      <c r="A158" s="5">
        <v>44435</v>
      </c>
      <c r="B158">
        <v>2.431</v>
      </c>
      <c r="C158">
        <v>2.6360000000000001</v>
      </c>
      <c r="D158">
        <v>2.2389999999999999</v>
      </c>
      <c r="E158">
        <v>2.5449999999999999</v>
      </c>
      <c r="F158">
        <v>18159457.969999999</v>
      </c>
      <c r="G158">
        <v>2.5449999999999999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0.54156171284634691</v>
      </c>
      <c r="Q158">
        <f t="shared" ref="Q158" si="766">F158*P158</f>
        <v>9834467.162594445</v>
      </c>
      <c r="R158">
        <f t="shared" ref="R158" si="767">R159+Q158</f>
        <v>-421394643.94117171</v>
      </c>
      <c r="S158">
        <f t="shared" ref="S158" si="768">R158/100000</f>
        <v>-4213.9464394117167</v>
      </c>
      <c r="T158">
        <f t="shared" ref="T158" si="769">S158/1000</f>
        <v>-4.2139464394117168</v>
      </c>
    </row>
    <row r="159" spans="1:20" x14ac:dyDescent="0.25">
      <c r="A159" s="5">
        <v>44434</v>
      </c>
      <c r="B159">
        <v>2.7450999999999999</v>
      </c>
      <c r="C159">
        <v>2.82</v>
      </c>
      <c r="D159">
        <v>2.3610000000000002</v>
      </c>
      <c r="E159">
        <v>2.4300000000000002</v>
      </c>
      <c r="F159">
        <v>16618874.279999999</v>
      </c>
      <c r="G159">
        <v>2.4300000000000002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-0.69934640522875813</v>
      </c>
      <c r="Q159">
        <f t="shared" ref="Q159" si="771">F159*P159</f>
        <v>-11622349.986666666</v>
      </c>
      <c r="R159">
        <f t="shared" ref="R159" si="772">R160+Q159</f>
        <v>-431229111.10376614</v>
      </c>
      <c r="S159">
        <f t="shared" ref="S159" si="773">R159/100000</f>
        <v>-4312.2911110376617</v>
      </c>
      <c r="T159">
        <f t="shared" ref="T159" si="774">S159/1000</f>
        <v>-4.3122911110376618</v>
      </c>
    </row>
    <row r="160" spans="1:20" x14ac:dyDescent="0.25">
      <c r="A160" s="5">
        <v>44433</v>
      </c>
      <c r="B160">
        <v>2.7141000000000002</v>
      </c>
      <c r="C160">
        <v>2.8828999999999998</v>
      </c>
      <c r="D160">
        <v>2.5506000000000002</v>
      </c>
      <c r="E160">
        <v>2.7469000000000001</v>
      </c>
      <c r="F160">
        <v>13991688.289999999</v>
      </c>
      <c r="G160">
        <v>2.7469000000000001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0.18146253385495129</v>
      </c>
      <c r="Q160">
        <f t="shared" ref="Q160" si="776">F160*P160</f>
        <v>2538967.2100120503</v>
      </c>
      <c r="R160">
        <f t="shared" ref="R160" si="777">R161+Q160</f>
        <v>-419606761.11709946</v>
      </c>
      <c r="S160">
        <f t="shared" ref="S160" si="778">R160/100000</f>
        <v>-4196.0676111709945</v>
      </c>
      <c r="T160">
        <f t="shared" ref="T160" si="779">S160/1000</f>
        <v>-4.1960676111709949</v>
      </c>
    </row>
    <row r="161" spans="1:20" x14ac:dyDescent="0.25">
      <c r="A161" s="5">
        <v>44432</v>
      </c>
      <c r="B161">
        <v>3.0849000000000002</v>
      </c>
      <c r="C161">
        <v>3.09</v>
      </c>
      <c r="D161">
        <v>2.6406999999999998</v>
      </c>
      <c r="E161">
        <v>2.7141000000000002</v>
      </c>
      <c r="F161">
        <v>17862490.859999999</v>
      </c>
      <c r="G161">
        <v>2.7141000000000002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-0.67326953038059045</v>
      </c>
      <c r="Q161">
        <f t="shared" ref="Q161" si="781">F161*P161</f>
        <v>-12026270.832739789</v>
      </c>
      <c r="R161">
        <f t="shared" ref="R161" si="782">R162+Q161</f>
        <v>-422145728.32711154</v>
      </c>
      <c r="S161">
        <f t="shared" ref="S161" si="783">R161/100000</f>
        <v>-4221.4572832711156</v>
      </c>
      <c r="T161">
        <f t="shared" ref="T161" si="784">S161/1000</f>
        <v>-4.2214572832711159</v>
      </c>
    </row>
    <row r="162" spans="1:20" x14ac:dyDescent="0.25">
      <c r="A162" s="5">
        <v>44431</v>
      </c>
      <c r="B162">
        <v>2.8246000000000002</v>
      </c>
      <c r="C162">
        <v>3.25</v>
      </c>
      <c r="D162">
        <v>2.8121</v>
      </c>
      <c r="E162">
        <v>3.0840999999999998</v>
      </c>
      <c r="F162">
        <v>31991563.949999999</v>
      </c>
      <c r="G162">
        <v>3.0840999999999998</v>
      </c>
      <c r="L162" t="s">
        <v>7</v>
      </c>
      <c r="M162" t="s">
        <v>7</v>
      </c>
      <c r="N162" t="s">
        <v>7</v>
      </c>
      <c r="P162">
        <f t="shared" ref="P162" si="785">IF(C162=D162,0,((E162-D162)-(C162-E162))/(C162-D162))</f>
        <v>0.24229276090431526</v>
      </c>
      <c r="Q162">
        <f t="shared" ref="Q162" si="786">F162*P162</f>
        <v>7751324.3550924612</v>
      </c>
      <c r="R162">
        <f t="shared" ref="R162" si="787">R163+Q162</f>
        <v>-410119457.49437177</v>
      </c>
      <c r="S162">
        <f t="shared" ref="S162" si="788">R162/100000</f>
        <v>-4101.1945749437173</v>
      </c>
      <c r="T162">
        <f t="shared" ref="T162" si="789">S162/1000</f>
        <v>-4.1011945749437171</v>
      </c>
    </row>
    <row r="163" spans="1:20" x14ac:dyDescent="0.25">
      <c r="A163" s="5">
        <v>44430</v>
      </c>
      <c r="B163">
        <v>2.8664999999999998</v>
      </c>
      <c r="C163">
        <v>2.9866999999999999</v>
      </c>
      <c r="D163">
        <v>2.8624000000000001</v>
      </c>
      <c r="E163">
        <v>2.9089999999999998</v>
      </c>
      <c r="F163">
        <v>3031342.47</v>
      </c>
      <c r="G163">
        <v>2.9089999999999998</v>
      </c>
      <c r="L163" t="s">
        <v>7</v>
      </c>
      <c r="M163" t="s">
        <v>7</v>
      </c>
      <c r="N163" t="s">
        <v>7</v>
      </c>
      <c r="P163">
        <f t="shared" ref="P163" si="790">IF(C163=D163,0,((E163-D163)-(C163-E163))/(C163-D163))</f>
        <v>-0.25020112630732411</v>
      </c>
      <c r="Q163">
        <f t="shared" ref="Q163" si="791">F163*P163</f>
        <v>-758445.30021722591</v>
      </c>
      <c r="R163">
        <f t="shared" ref="R163" si="792">R164+Q163</f>
        <v>-417870781.84946424</v>
      </c>
      <c r="S163">
        <f t="shared" ref="S163" si="793">R163/100000</f>
        <v>-4178.7078184946422</v>
      </c>
      <c r="T163">
        <f t="shared" ref="T163" si="794">S163/1000</f>
        <v>-4.178707818494642</v>
      </c>
    </row>
    <row r="164" spans="1:20" x14ac:dyDescent="0.25">
      <c r="A164" s="5">
        <v>44429</v>
      </c>
      <c r="B164">
        <v>3.1585999999999999</v>
      </c>
      <c r="C164">
        <v>3.1597</v>
      </c>
      <c r="D164">
        <v>2.8578000000000001</v>
      </c>
      <c r="E164">
        <v>2.8664999999999998</v>
      </c>
      <c r="F164">
        <v>25016532.02</v>
      </c>
      <c r="G164">
        <v>2.8664999999999998</v>
      </c>
      <c r="L164" t="s">
        <v>7</v>
      </c>
      <c r="M164" t="s">
        <v>7</v>
      </c>
      <c r="N164" t="s">
        <v>7</v>
      </c>
      <c r="P164">
        <f t="shared" ref="P164" si="795">IF(C164=D164,0,((E164-D164)-(C164-E164))/(C164-D164))</f>
        <v>-0.94236502153030999</v>
      </c>
      <c r="Q164">
        <f t="shared" ref="Q164" si="796">F164*P164</f>
        <v>-23574704.735640988</v>
      </c>
      <c r="R164">
        <f t="shared" ref="R164" si="797">R165+Q164</f>
        <v>-417112336.54924703</v>
      </c>
      <c r="S164">
        <f t="shared" ref="S164" si="798">R164/100000</f>
        <v>-4171.1233654924699</v>
      </c>
      <c r="T164">
        <f t="shared" ref="T164" si="799">S164/1000</f>
        <v>-4.1711233654924698</v>
      </c>
    </row>
    <row r="165" spans="1:20" x14ac:dyDescent="0.25">
      <c r="A165" s="5">
        <v>44428</v>
      </c>
      <c r="B165">
        <v>3.2924000000000002</v>
      </c>
      <c r="C165">
        <v>3.44</v>
      </c>
      <c r="D165">
        <v>3.1246</v>
      </c>
      <c r="E165">
        <v>3.1589</v>
      </c>
      <c r="F165">
        <v>21786511.809999999</v>
      </c>
      <c r="G165">
        <v>3.1589</v>
      </c>
      <c r="L165" t="s">
        <v>7</v>
      </c>
      <c r="M165" t="s">
        <v>8</v>
      </c>
      <c r="N165" t="s">
        <v>7</v>
      </c>
      <c r="P165">
        <f t="shared" ref="P165" si="800">IF(C165=D165,0,((E165-D165)-(C165-E165))/(C165-D165))</f>
        <v>-0.78249841471147741</v>
      </c>
      <c r="Q165">
        <f t="shared" ref="Q165" si="801">F165*P165</f>
        <v>-17047910.953417879</v>
      </c>
      <c r="R165">
        <f t="shared" ref="R165" si="802">R166+Q165</f>
        <v>-393537631.81360602</v>
      </c>
      <c r="S165">
        <f t="shared" ref="S165" si="803">R165/100000</f>
        <v>-3935.37631813606</v>
      </c>
      <c r="T165">
        <f t="shared" ref="T165" si="804">S165/1000</f>
        <v>-3.9353763181360599</v>
      </c>
    </row>
    <row r="166" spans="1:20" x14ac:dyDescent="0.25">
      <c r="A166" s="5">
        <v>44427</v>
      </c>
      <c r="B166">
        <v>3.0615999999999999</v>
      </c>
      <c r="C166">
        <v>3.6898</v>
      </c>
      <c r="D166">
        <v>2.9723999999999999</v>
      </c>
      <c r="E166">
        <v>3.2921999999999998</v>
      </c>
      <c r="F166">
        <v>54365956.640000001</v>
      </c>
      <c r="G166">
        <v>3.2921999999999998</v>
      </c>
      <c r="L166" t="s">
        <v>8</v>
      </c>
      <c r="M166" t="s">
        <v>8</v>
      </c>
      <c r="N166" t="s">
        <v>7</v>
      </c>
      <c r="P166">
        <f t="shared" ref="P166" si="805">IF(C166=D166,0,((E166-D166)-(C166-E166))/(C166-D166))</f>
        <v>-0.10844717033732967</v>
      </c>
      <c r="Q166">
        <f t="shared" ref="Q166" si="806">F166*P166</f>
        <v>-5895834.1602899591</v>
      </c>
      <c r="R166">
        <f t="shared" ref="R166" si="807">R167+Q166</f>
        <v>-376489720.86018813</v>
      </c>
      <c r="S166">
        <f t="shared" ref="S166" si="808">R166/100000</f>
        <v>-3764.8972086018812</v>
      </c>
      <c r="T166">
        <f t="shared" ref="T166" si="809">S166/1000</f>
        <v>-3.764897208601881</v>
      </c>
    </row>
    <row r="167" spans="1:20" x14ac:dyDescent="0.25">
      <c r="A167" s="5">
        <v>44426</v>
      </c>
      <c r="B167">
        <v>2.8683999999999998</v>
      </c>
      <c r="C167">
        <v>3.56</v>
      </c>
      <c r="D167">
        <v>2.6042999999999998</v>
      </c>
      <c r="E167">
        <v>3.0594999999999999</v>
      </c>
      <c r="F167">
        <v>84568060.780000001</v>
      </c>
      <c r="G167">
        <v>3.0594999999999999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-4.739981165637764E-2</v>
      </c>
      <c r="Q167">
        <f t="shared" ref="Q167" si="811">F167*P167</f>
        <v>-4008510.153117097</v>
      </c>
      <c r="R167">
        <f t="shared" ref="R167" si="812">R168+Q167</f>
        <v>-370593886.69989818</v>
      </c>
      <c r="S167">
        <f t="shared" ref="S167" si="813">R167/100000</f>
        <v>-3705.9388669989817</v>
      </c>
      <c r="T167">
        <f t="shared" ref="T167" si="814">S167/1000</f>
        <v>-3.7059388669989817</v>
      </c>
    </row>
    <row r="168" spans="1:20" x14ac:dyDescent="0.25">
      <c r="A168" s="5">
        <v>44425</v>
      </c>
      <c r="B168">
        <v>2.7313000000000001</v>
      </c>
      <c r="C168">
        <v>4.07</v>
      </c>
      <c r="D168">
        <v>2.5024999999999999</v>
      </c>
      <c r="E168">
        <v>2.8694999999999999</v>
      </c>
      <c r="F168">
        <v>206637948.22</v>
      </c>
      <c r="G168">
        <v>2.8694999999999999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-0.53173843700159495</v>
      </c>
      <c r="Q168">
        <f t="shared" ref="Q168" si="816">F168*P168</f>
        <v>-109877339.61171931</v>
      </c>
      <c r="R168">
        <f t="shared" ref="R168" si="817">R169+Q168</f>
        <v>-366585376.54678106</v>
      </c>
      <c r="S168">
        <f t="shared" ref="S168" si="818">R168/100000</f>
        <v>-3665.8537654678107</v>
      </c>
      <c r="T168">
        <f t="shared" ref="T168" si="819">S168/1000</f>
        <v>-3.6658537654678107</v>
      </c>
    </row>
    <row r="169" spans="1:20" x14ac:dyDescent="0.25">
      <c r="A169" s="5">
        <v>44424</v>
      </c>
      <c r="B169">
        <v>1.6006</v>
      </c>
      <c r="C169">
        <v>2.99</v>
      </c>
      <c r="D169">
        <v>1.5794999999999999</v>
      </c>
      <c r="E169">
        <v>2.7313000000000001</v>
      </c>
      <c r="F169">
        <v>82643731.909999996</v>
      </c>
      <c r="G169">
        <v>2.7313000000000001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0.633179723502304</v>
      </c>
      <c r="Q169">
        <f t="shared" ref="Q169" si="821">F169*P169</f>
        <v>52328335.319972336</v>
      </c>
      <c r="R169">
        <f t="shared" ref="R169" si="822">R170+Q169</f>
        <v>-256708036.93506175</v>
      </c>
      <c r="S169">
        <f t="shared" ref="S169" si="823">R169/100000</f>
        <v>-2567.0803693506177</v>
      </c>
      <c r="T169">
        <f t="shared" ref="T169" si="824">S169/1000</f>
        <v>-2.5670803693506179</v>
      </c>
    </row>
    <row r="170" spans="1:20" x14ac:dyDescent="0.25">
      <c r="A170" s="5">
        <v>44423</v>
      </c>
      <c r="B170">
        <v>1.5913999999999999</v>
      </c>
      <c r="C170">
        <v>1.6362000000000001</v>
      </c>
      <c r="D170">
        <v>1.5047999999999999</v>
      </c>
      <c r="E170">
        <v>1.6022000000000001</v>
      </c>
      <c r="F170">
        <v>4004535.99</v>
      </c>
      <c r="G170">
        <v>1.6022000000000001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0.4824961948249622</v>
      </c>
      <c r="Q170">
        <f t="shared" ref="Q170" si="826">F170*P170</f>
        <v>1932173.3772146129</v>
      </c>
      <c r="R170">
        <f t="shared" ref="R170" si="827">R171+Q170</f>
        <v>-309036372.25503409</v>
      </c>
      <c r="S170">
        <f t="shared" ref="S170" si="828">R170/100000</f>
        <v>-3090.3637225503408</v>
      </c>
      <c r="T170">
        <f t="shared" ref="T170" si="829">S170/1000</f>
        <v>-3.0903637225503409</v>
      </c>
    </row>
    <row r="171" spans="1:20" x14ac:dyDescent="0.25">
      <c r="A171" s="5">
        <v>44422</v>
      </c>
      <c r="B171">
        <v>1.7003999999999999</v>
      </c>
      <c r="C171">
        <v>1.7436</v>
      </c>
      <c r="D171">
        <v>1.55</v>
      </c>
      <c r="E171">
        <v>1.5876999999999999</v>
      </c>
      <c r="F171">
        <v>5850364.79</v>
      </c>
      <c r="G171">
        <v>1.5876999999999999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-0.61053719008264618</v>
      </c>
      <c r="Q171">
        <f t="shared" ref="Q171" si="831">F171*P171</f>
        <v>-3571865.2798450505</v>
      </c>
      <c r="R171">
        <f t="shared" ref="R171" si="832">R172+Q171</f>
        <v>-310968545.6322487</v>
      </c>
      <c r="S171">
        <f t="shared" ref="S171" si="833">R171/100000</f>
        <v>-3109.685456322487</v>
      </c>
      <c r="T171">
        <f t="shared" ref="T171" si="834">S171/1000</f>
        <v>-3.1096854563224872</v>
      </c>
    </row>
    <row r="172" spans="1:20" x14ac:dyDescent="0.25">
      <c r="A172" s="5">
        <v>44421</v>
      </c>
      <c r="B172">
        <v>1.4764999999999999</v>
      </c>
      <c r="C172">
        <v>1.7623</v>
      </c>
      <c r="D172">
        <v>1.4529000000000001</v>
      </c>
      <c r="E172">
        <v>1.7022999999999999</v>
      </c>
      <c r="F172">
        <v>7751748.1799999997</v>
      </c>
      <c r="G172">
        <v>1.7022999999999999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0.61215255332902341</v>
      </c>
      <c r="Q172">
        <f t="shared" ref="Q172" si="836">F172*P172</f>
        <v>4745252.4411506103</v>
      </c>
      <c r="R172">
        <f t="shared" ref="R172" si="837">R173+Q172</f>
        <v>-307396680.35240364</v>
      </c>
      <c r="S172">
        <f t="shared" ref="S172" si="838">R172/100000</f>
        <v>-3073.9668035240365</v>
      </c>
      <c r="T172">
        <f t="shared" ref="T172" si="839">S172/1000</f>
        <v>-3.0739668035240366</v>
      </c>
    </row>
    <row r="173" spans="1:20" x14ac:dyDescent="0.25">
      <c r="A173" s="5">
        <v>44420</v>
      </c>
      <c r="B173">
        <v>1.5612999999999999</v>
      </c>
      <c r="C173">
        <v>1.6486000000000001</v>
      </c>
      <c r="D173">
        <v>1.4093</v>
      </c>
      <c r="E173">
        <v>1.4782999999999999</v>
      </c>
      <c r="F173">
        <v>7326559.4199999999</v>
      </c>
      <c r="G173">
        <v>1.4782999999999999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-0.42331801086502358</v>
      </c>
      <c r="Q173">
        <f t="shared" ref="Q173" si="841">F173*P173</f>
        <v>-3101464.5601588008</v>
      </c>
      <c r="R173">
        <f t="shared" ref="R173" si="842">R174+Q173</f>
        <v>-312141932.79355425</v>
      </c>
      <c r="S173">
        <f t="shared" ref="S173" si="843">R173/100000</f>
        <v>-3121.4193279355422</v>
      </c>
      <c r="T173">
        <f t="shared" ref="T173" si="844">S173/1000</f>
        <v>-3.1214193279355422</v>
      </c>
    </row>
    <row r="174" spans="1:20" x14ac:dyDescent="0.25">
      <c r="A174" s="5">
        <v>44419</v>
      </c>
      <c r="B174">
        <v>1.4657</v>
      </c>
      <c r="C174">
        <v>1.7490000000000001</v>
      </c>
      <c r="D174">
        <v>1.4495</v>
      </c>
      <c r="E174">
        <v>1.5618000000000001</v>
      </c>
      <c r="F174">
        <v>12059960.359999999</v>
      </c>
      <c r="G174">
        <v>1.5618000000000001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-0.25008347245408996</v>
      </c>
      <c r="Q174">
        <f t="shared" ref="Q174" si="846">F174*P174</f>
        <v>-3015996.7644874766</v>
      </c>
      <c r="R174">
        <f t="shared" ref="R174" si="847">R175+Q174</f>
        <v>-309040468.23339546</v>
      </c>
      <c r="S174">
        <f t="shared" ref="S174" si="848">R174/100000</f>
        <v>-3090.4046823339545</v>
      </c>
      <c r="T174">
        <f t="shared" ref="T174" si="849">S174/1000</f>
        <v>-3.0904046823339546</v>
      </c>
    </row>
    <row r="175" spans="1:20" x14ac:dyDescent="0.25">
      <c r="A175" s="5">
        <v>44418</v>
      </c>
      <c r="B175">
        <v>1.3545</v>
      </c>
      <c r="C175">
        <v>1.4831000000000001</v>
      </c>
      <c r="D175">
        <v>1.3230999999999999</v>
      </c>
      <c r="E175">
        <v>1.4670000000000001</v>
      </c>
      <c r="F175">
        <v>6838890.6500000004</v>
      </c>
      <c r="G175">
        <v>1.4670000000000001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0.79875000000000018</v>
      </c>
      <c r="Q175">
        <f t="shared" ref="Q175" si="851">F175*P175</f>
        <v>5462563.9066875018</v>
      </c>
      <c r="R175">
        <f t="shared" ref="R175" si="852">R176+Q175</f>
        <v>-306024471.46890795</v>
      </c>
      <c r="S175">
        <f t="shared" ref="S175" si="853">R175/100000</f>
        <v>-3060.2447146890795</v>
      </c>
      <c r="T175">
        <f t="shared" ref="T175" si="854">S175/1000</f>
        <v>-3.0602447146890794</v>
      </c>
    </row>
    <row r="176" spans="1:20" x14ac:dyDescent="0.25">
      <c r="A176" s="5">
        <v>44417</v>
      </c>
      <c r="B176">
        <v>1.2659</v>
      </c>
      <c r="C176">
        <v>1.4384999999999999</v>
      </c>
      <c r="D176">
        <v>1.2242</v>
      </c>
      <c r="E176">
        <v>1.3529</v>
      </c>
      <c r="F176">
        <v>9589460.2899999991</v>
      </c>
      <c r="G176">
        <v>1.3529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0.20111992533831149</v>
      </c>
      <c r="Q176">
        <f t="shared" ref="Q176" si="856">F176*P176</f>
        <v>1928631.5375595028</v>
      </c>
      <c r="R176">
        <f t="shared" ref="R176" si="857">R177+Q176</f>
        <v>-311487035.37559545</v>
      </c>
      <c r="S176">
        <f t="shared" ref="S176" si="858">R176/100000</f>
        <v>-3114.8703537559545</v>
      </c>
      <c r="T176">
        <f t="shared" ref="T176" si="859">S176/1000</f>
        <v>-3.1148703537559546</v>
      </c>
    </row>
    <row r="177" spans="1:20" x14ac:dyDescent="0.25">
      <c r="A177" s="5">
        <v>44416</v>
      </c>
      <c r="B177">
        <v>1.3463000000000001</v>
      </c>
      <c r="C177">
        <v>1.3586</v>
      </c>
      <c r="D177">
        <v>1.2012</v>
      </c>
      <c r="E177">
        <v>1.2644</v>
      </c>
      <c r="F177">
        <v>7658552.5899999999</v>
      </c>
      <c r="G177">
        <v>1.2644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-0.19695044472681159</v>
      </c>
      <c r="Q177">
        <f t="shared" ref="Q177" si="861">F177*P177</f>
        <v>-1508355.3385641747</v>
      </c>
      <c r="R177">
        <f t="shared" ref="R177" si="862">R178+Q177</f>
        <v>-313415666.91315496</v>
      </c>
      <c r="S177">
        <f t="shared" ref="S177" si="863">R177/100000</f>
        <v>-3134.1566691315497</v>
      </c>
      <c r="T177">
        <f t="shared" ref="T177" si="864">S177/1000</f>
        <v>-3.1341566691315497</v>
      </c>
    </row>
    <row r="178" spans="1:20" x14ac:dyDescent="0.25">
      <c r="A178" s="5">
        <v>44415</v>
      </c>
      <c r="B178">
        <v>1.3484</v>
      </c>
      <c r="C178">
        <v>1.4494</v>
      </c>
      <c r="D178">
        <v>1.2730999999999999</v>
      </c>
      <c r="E178">
        <v>1.3460000000000001</v>
      </c>
      <c r="F178">
        <v>11812052.07</v>
      </c>
      <c r="G178">
        <v>1.3460000000000001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-0.17300056721497292</v>
      </c>
      <c r="Q178">
        <f t="shared" ref="Q178" si="866">F178*P178</f>
        <v>-2043491.7080827951</v>
      </c>
      <c r="R178">
        <f t="shared" ref="R178" si="867">R179+Q178</f>
        <v>-311907311.5745908</v>
      </c>
      <c r="S178">
        <f t="shared" ref="S178" si="868">R178/100000</f>
        <v>-3119.0731157459081</v>
      </c>
      <c r="T178">
        <f t="shared" ref="T178" si="869">S178/1000</f>
        <v>-3.1190731157459082</v>
      </c>
    </row>
    <row r="179" spans="1:20" x14ac:dyDescent="0.25">
      <c r="A179" s="5">
        <v>44414</v>
      </c>
      <c r="B179">
        <v>1.173</v>
      </c>
      <c r="C179">
        <v>1.4</v>
      </c>
      <c r="D179">
        <v>1.1628000000000001</v>
      </c>
      <c r="E179">
        <v>1.3473999999999999</v>
      </c>
      <c r="F179">
        <v>15442963.6</v>
      </c>
      <c r="G179">
        <v>1.3473999999999999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0.55649241146711625</v>
      </c>
      <c r="Q179">
        <f t="shared" ref="Q179" si="871">F179*P179</f>
        <v>8593892.0539628994</v>
      </c>
      <c r="R179">
        <f t="shared" ref="R179" si="872">R180+Q179</f>
        <v>-309863819.86650801</v>
      </c>
      <c r="S179">
        <f t="shared" ref="S179" si="873">R179/100000</f>
        <v>-3098.6381986650799</v>
      </c>
      <c r="T179">
        <f t="shared" ref="T179" si="874">S179/1000</f>
        <v>-3.0986381986650797</v>
      </c>
    </row>
    <row r="180" spans="1:20" x14ac:dyDescent="0.25">
      <c r="A180" s="5">
        <v>44413</v>
      </c>
      <c r="B180">
        <v>1.1409</v>
      </c>
      <c r="C180">
        <v>1.173</v>
      </c>
      <c r="D180">
        <v>1.0810999999999999</v>
      </c>
      <c r="E180">
        <v>1.173</v>
      </c>
      <c r="F180">
        <v>6218624.1699999999</v>
      </c>
      <c r="G180">
        <v>1.173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1</v>
      </c>
      <c r="Q180">
        <f t="shared" ref="Q180" si="876">F180*P180</f>
        <v>6218624.1699999999</v>
      </c>
      <c r="R180">
        <f t="shared" ref="R180" si="877">R181+Q180</f>
        <v>-318457711.92047089</v>
      </c>
      <c r="S180">
        <f t="shared" ref="S180" si="878">R180/100000</f>
        <v>-3184.5771192047091</v>
      </c>
      <c r="T180">
        <f t="shared" ref="T180" si="879">S180/1000</f>
        <v>-3.1845771192047092</v>
      </c>
    </row>
    <row r="181" spans="1:20" x14ac:dyDescent="0.25">
      <c r="A181" s="5">
        <v>44412</v>
      </c>
      <c r="B181">
        <v>1.0747</v>
      </c>
      <c r="C181">
        <v>1.1672</v>
      </c>
      <c r="D181">
        <v>1.0517000000000001</v>
      </c>
      <c r="E181">
        <v>1.1409</v>
      </c>
      <c r="F181">
        <v>4683491.12</v>
      </c>
      <c r="G181">
        <v>1.1409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0.54458874458874451</v>
      </c>
      <c r="Q181">
        <f t="shared" ref="Q181" si="881">F181*P181</f>
        <v>2550576.549333333</v>
      </c>
      <c r="R181">
        <f t="shared" ref="R181" si="882">R182+Q181</f>
        <v>-324676336.09047091</v>
      </c>
      <c r="S181">
        <f t="shared" ref="S181" si="883">R181/100000</f>
        <v>-3246.7633609047093</v>
      </c>
      <c r="T181">
        <f t="shared" ref="T181" si="884">S181/1000</f>
        <v>-3.2467633609047093</v>
      </c>
    </row>
    <row r="182" spans="1:20" x14ac:dyDescent="0.25">
      <c r="A182" s="5">
        <v>44411</v>
      </c>
      <c r="B182">
        <v>1.121</v>
      </c>
      <c r="C182">
        <v>1.1355</v>
      </c>
      <c r="D182">
        <v>1.0503</v>
      </c>
      <c r="E182">
        <v>1.0747</v>
      </c>
      <c r="F182">
        <v>7744154.9699999997</v>
      </c>
      <c r="G182">
        <v>1.0747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-0.42723004694835698</v>
      </c>
      <c r="Q182">
        <f t="shared" ref="Q182" si="886">F182*P182</f>
        <v>-3308535.6914084521</v>
      </c>
      <c r="R182">
        <f t="shared" ref="R182" si="887">R183+Q182</f>
        <v>-327226912.63980424</v>
      </c>
      <c r="S182">
        <f t="shared" ref="S182" si="888">R182/100000</f>
        <v>-3272.2691263980423</v>
      </c>
      <c r="T182">
        <f t="shared" ref="T182" si="889">S182/1000</f>
        <v>-3.2722691263980423</v>
      </c>
    </row>
    <row r="183" spans="1:20" x14ac:dyDescent="0.25">
      <c r="A183" s="5">
        <v>44410</v>
      </c>
      <c r="B183">
        <v>1.1227</v>
      </c>
      <c r="C183">
        <v>1.165</v>
      </c>
      <c r="D183">
        <v>1.1056999999999999</v>
      </c>
      <c r="E183">
        <v>1.121</v>
      </c>
      <c r="F183">
        <v>4199635.79</v>
      </c>
      <c r="G183">
        <v>1.121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-0.48397976391230835</v>
      </c>
      <c r="Q183">
        <f t="shared" ref="Q183" si="891">F183*P183</f>
        <v>-2032538.7381618805</v>
      </c>
      <c r="R183">
        <f t="shared" ref="R183" si="892">R184+Q183</f>
        <v>-323918376.94839579</v>
      </c>
      <c r="S183">
        <f t="shared" ref="S183" si="893">R183/100000</f>
        <v>-3239.1837694839578</v>
      </c>
      <c r="T183">
        <f t="shared" ref="T183" si="894">S183/1000</f>
        <v>-3.2391837694839576</v>
      </c>
    </row>
    <row r="184" spans="1:20" x14ac:dyDescent="0.25">
      <c r="A184" s="5">
        <v>44409</v>
      </c>
      <c r="B184">
        <v>1.1628000000000001</v>
      </c>
      <c r="C184">
        <v>1.2</v>
      </c>
      <c r="D184">
        <v>1.1000000000000001</v>
      </c>
      <c r="E184">
        <v>1.1216999999999999</v>
      </c>
      <c r="F184">
        <v>6932089.0800000001</v>
      </c>
      <c r="G184">
        <v>1.1216999999999999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-0.56600000000000283</v>
      </c>
      <c r="Q184">
        <f t="shared" ref="Q184" si="896">F184*P184</f>
        <v>-3923562.4192800196</v>
      </c>
      <c r="R184">
        <f t="shared" ref="R184" si="897">R185+Q184</f>
        <v>-321885838.21023393</v>
      </c>
      <c r="S184">
        <f t="shared" ref="S184" si="898">R184/100000</f>
        <v>-3218.8583821023394</v>
      </c>
      <c r="T184">
        <f t="shared" ref="T184" si="899">S184/1000</f>
        <v>-3.2188583821023395</v>
      </c>
    </row>
    <row r="185" spans="1:20" x14ac:dyDescent="0.25">
      <c r="A185" s="5">
        <v>44408</v>
      </c>
      <c r="B185">
        <v>1.1238999999999999</v>
      </c>
      <c r="C185">
        <v>1.2152000000000001</v>
      </c>
      <c r="D185">
        <v>1.1089</v>
      </c>
      <c r="E185">
        <v>1.1624000000000001</v>
      </c>
      <c r="F185">
        <v>7413768.7800000003</v>
      </c>
      <c r="G185">
        <v>1.1624000000000001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6.5851364063983491E-3</v>
      </c>
      <c r="Q185">
        <f t="shared" ref="Q185" si="901">F185*P185</f>
        <v>48820.678701797471</v>
      </c>
      <c r="R185">
        <f t="shared" ref="R185" si="902">R186+Q185</f>
        <v>-317962275.79095393</v>
      </c>
      <c r="S185">
        <f t="shared" ref="S185" si="903">R185/100000</f>
        <v>-3179.6227579095394</v>
      </c>
      <c r="T185">
        <f t="shared" ref="T185" si="904">S185/1000</f>
        <v>-3.1796227579095393</v>
      </c>
    </row>
    <row r="186" spans="1:20" x14ac:dyDescent="0.25">
      <c r="A186" s="5">
        <v>44407</v>
      </c>
      <c r="B186">
        <v>1.1245000000000001</v>
      </c>
      <c r="C186">
        <v>1.1411</v>
      </c>
      <c r="D186">
        <v>1.0583</v>
      </c>
      <c r="E186">
        <v>1.1238999999999999</v>
      </c>
      <c r="F186">
        <v>5774882.3899999997</v>
      </c>
      <c r="G186">
        <v>1.1238999999999999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0.58454106280192974</v>
      </c>
      <c r="Q186">
        <f t="shared" ref="Q186" si="906">F186*P186</f>
        <v>3375655.8898067479</v>
      </c>
      <c r="R186">
        <f t="shared" ref="R186" si="907">R187+Q186</f>
        <v>-318011096.46965575</v>
      </c>
      <c r="S186">
        <f t="shared" ref="S186" si="908">R186/100000</f>
        <v>-3180.1109646965574</v>
      </c>
      <c r="T186">
        <f t="shared" ref="T186" si="909">S186/1000</f>
        <v>-3.1801109646965573</v>
      </c>
    </row>
    <row r="187" spans="1:20" x14ac:dyDescent="0.25">
      <c r="A187" s="5">
        <v>44406</v>
      </c>
      <c r="B187">
        <v>1.1257999999999999</v>
      </c>
      <c r="C187">
        <v>1.194</v>
      </c>
      <c r="D187">
        <v>1.1039000000000001</v>
      </c>
      <c r="E187">
        <v>1.1248</v>
      </c>
      <c r="F187">
        <v>5762483.8600000003</v>
      </c>
      <c r="G187">
        <v>1.1248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-0.53607103218646046</v>
      </c>
      <c r="Q187">
        <f t="shared" ref="Q187" si="911">F187*P187</f>
        <v>-3089100.670788019</v>
      </c>
      <c r="R187">
        <f t="shared" ref="R187" si="912">R188+Q187</f>
        <v>-321386752.3594625</v>
      </c>
      <c r="S187">
        <f t="shared" ref="S187" si="913">R187/100000</f>
        <v>-3213.8675235946248</v>
      </c>
      <c r="T187">
        <f t="shared" ref="T187" si="914">S187/1000</f>
        <v>-3.213867523594625</v>
      </c>
    </row>
    <row r="188" spans="1:20" x14ac:dyDescent="0.25">
      <c r="A188" s="5">
        <v>44405</v>
      </c>
      <c r="B188">
        <v>1.2052</v>
      </c>
      <c r="C188">
        <v>1.22</v>
      </c>
      <c r="D188">
        <v>1.097</v>
      </c>
      <c r="E188">
        <v>1.1264000000000001</v>
      </c>
      <c r="F188">
        <v>8242504.4500000002</v>
      </c>
      <c r="G188">
        <v>1.1264000000000001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-0.52195121951219359</v>
      </c>
      <c r="Q188">
        <f t="shared" ref="Q188" si="916">F188*P188</f>
        <v>-4302185.2495121825</v>
      </c>
      <c r="R188">
        <f t="shared" ref="R188" si="917">R189+Q188</f>
        <v>-318297651.68867451</v>
      </c>
      <c r="S188">
        <f t="shared" ref="S188" si="918">R188/100000</f>
        <v>-3182.9765168867452</v>
      </c>
      <c r="T188">
        <f t="shared" ref="T188" si="919">S188/1000</f>
        <v>-3.1829765168867454</v>
      </c>
    </row>
    <row r="189" spans="1:20" x14ac:dyDescent="0.25">
      <c r="A189" s="5">
        <v>44404</v>
      </c>
      <c r="B189">
        <v>1.1202000000000001</v>
      </c>
      <c r="C189">
        <v>1.2432000000000001</v>
      </c>
      <c r="D189">
        <v>1.0468</v>
      </c>
      <c r="E189">
        <v>1.2073</v>
      </c>
      <c r="F189">
        <v>11961569.210000001</v>
      </c>
      <c r="G189">
        <v>1.2073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0.63441955193482669</v>
      </c>
      <c r="Q189">
        <f t="shared" ref="Q189" si="921">F189*P189</f>
        <v>7588653.3786456194</v>
      </c>
      <c r="R189">
        <f t="shared" ref="R189" si="922">R190+Q189</f>
        <v>-313995466.43916231</v>
      </c>
      <c r="S189">
        <f t="shared" ref="S189" si="923">R189/100000</f>
        <v>-3139.9546643916233</v>
      </c>
      <c r="T189">
        <f t="shared" ref="T189" si="924">S189/1000</f>
        <v>-3.1399546643916234</v>
      </c>
    </row>
    <row r="190" spans="1:20" x14ac:dyDescent="0.25">
      <c r="A190" s="5">
        <v>44403</v>
      </c>
      <c r="B190">
        <v>1.2524</v>
      </c>
      <c r="C190">
        <v>1.3341000000000001</v>
      </c>
      <c r="D190">
        <v>1.1000000000000001</v>
      </c>
      <c r="E190">
        <v>1.1204000000000001</v>
      </c>
      <c r="F190">
        <v>17834872.420000002</v>
      </c>
      <c r="G190">
        <v>1.1204000000000001</v>
      </c>
      <c r="L190" t="s">
        <v>8</v>
      </c>
      <c r="M190" t="s">
        <v>7</v>
      </c>
      <c r="N190" t="s">
        <v>8</v>
      </c>
      <c r="P190">
        <f t="shared" ref="P190" si="925">IF(C190=D190,0,((E190-D190)-(C190-E190))/(C190-D190))</f>
        <v>-0.82571550619393441</v>
      </c>
      <c r="Q190">
        <f t="shared" ref="Q190" si="926">F190*P190</f>
        <v>-14726530.708184542</v>
      </c>
      <c r="R190">
        <f t="shared" ref="R190" si="927">R191+Q190</f>
        <v>-321584119.81780791</v>
      </c>
      <c r="S190">
        <f t="shared" ref="S190" si="928">R190/100000</f>
        <v>-3215.8411981780791</v>
      </c>
      <c r="T190">
        <f t="shared" ref="T190" si="929">S190/1000</f>
        <v>-3.215841198178079</v>
      </c>
    </row>
    <row r="191" spans="1:20" x14ac:dyDescent="0.25">
      <c r="A191" s="5">
        <v>44402</v>
      </c>
      <c r="B191">
        <v>1.1104000000000001</v>
      </c>
      <c r="C191">
        <v>1.2999000000000001</v>
      </c>
      <c r="D191">
        <v>1.0399</v>
      </c>
      <c r="E191">
        <v>1.2523</v>
      </c>
      <c r="F191">
        <v>27313713.539999999</v>
      </c>
      <c r="G191">
        <v>1.2523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0.63384615384615317</v>
      </c>
      <c r="Q191">
        <f t="shared" ref="Q191" si="931">F191*P191</f>
        <v>17312692.274584595</v>
      </c>
      <c r="R191">
        <f t="shared" ref="R191" si="932">R192+Q191</f>
        <v>-306857589.10962337</v>
      </c>
      <c r="S191">
        <f t="shared" ref="S191" si="933">R191/100000</f>
        <v>-3068.5758910962336</v>
      </c>
      <c r="T191">
        <f t="shared" ref="T191:T197" si="934">S191/1000</f>
        <v>-3.0685758910962337</v>
      </c>
    </row>
    <row r="192" spans="1:20" x14ac:dyDescent="0.25">
      <c r="A192" s="5">
        <v>44401</v>
      </c>
      <c r="B192">
        <v>1.0275000000000001</v>
      </c>
      <c r="C192">
        <v>1.2676000000000001</v>
      </c>
      <c r="D192">
        <v>0.998</v>
      </c>
      <c r="E192">
        <v>1.1100000000000001</v>
      </c>
      <c r="F192">
        <v>33726885.43</v>
      </c>
      <c r="G192">
        <v>1.1100000000000001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-0.16913946587537038</v>
      </c>
      <c r="Q192">
        <f t="shared" ref="Q192" si="936">F192*P192</f>
        <v>-5704547.387270011</v>
      </c>
      <c r="R192">
        <f t="shared" ref="R192" si="937">R193+Q192</f>
        <v>-324170281.38420796</v>
      </c>
      <c r="S192">
        <f t="shared" ref="S192" si="938">R192/100000</f>
        <v>-3241.7028138420796</v>
      </c>
      <c r="T192">
        <f t="shared" si="934"/>
        <v>-3.2417028138420796</v>
      </c>
    </row>
    <row r="193" spans="1:20" x14ac:dyDescent="0.25">
      <c r="A193" s="5">
        <v>44400</v>
      </c>
      <c r="B193">
        <v>0.94879999999999998</v>
      </c>
      <c r="C193">
        <v>1.03</v>
      </c>
      <c r="D193">
        <v>0.8921</v>
      </c>
      <c r="E193">
        <v>1.0274000000000001</v>
      </c>
      <c r="F193">
        <v>18113439.800000001</v>
      </c>
      <c r="G193">
        <v>1.0274000000000001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0.96229151559100889</v>
      </c>
      <c r="Q193">
        <f t="shared" ref="Q193" si="940">F193*P193</f>
        <v>17430409.437708501</v>
      </c>
      <c r="R193">
        <f t="shared" ref="R193" si="941">R194+Q193</f>
        <v>-318465733.99693793</v>
      </c>
      <c r="S193">
        <f t="shared" ref="S193" si="942">R193/100000</f>
        <v>-3184.6573399693793</v>
      </c>
      <c r="T193">
        <f t="shared" si="934"/>
        <v>-3.1846573399693794</v>
      </c>
    </row>
    <row r="194" spans="1:20" x14ac:dyDescent="0.25">
      <c r="A194" s="5">
        <v>44399</v>
      </c>
      <c r="B194">
        <v>0.92569999999999997</v>
      </c>
      <c r="C194">
        <v>1.0304</v>
      </c>
      <c r="D194">
        <v>0.8952</v>
      </c>
      <c r="E194">
        <v>0.9476</v>
      </c>
      <c r="F194">
        <v>18480720.359999999</v>
      </c>
      <c r="G194">
        <v>0.9476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-0.22485207100591706</v>
      </c>
      <c r="Q194">
        <f t="shared" ref="Q194" si="944">F194*P194</f>
        <v>-4155428.2466272172</v>
      </c>
      <c r="R194">
        <f t="shared" ref="R194" si="945">R195+Q194</f>
        <v>-335896143.43464643</v>
      </c>
      <c r="S194">
        <f t="shared" ref="S194" si="946">R194/100000</f>
        <v>-3358.9614343464641</v>
      </c>
      <c r="T194">
        <f t="shared" si="934"/>
        <v>-3.358961434346464</v>
      </c>
    </row>
    <row r="195" spans="1:20" x14ac:dyDescent="0.25">
      <c r="A195" s="5">
        <v>44398</v>
      </c>
      <c r="B195">
        <v>0.82679999999999998</v>
      </c>
      <c r="C195">
        <v>0.97440000000000004</v>
      </c>
      <c r="D195">
        <v>0.80820000000000003</v>
      </c>
      <c r="E195">
        <v>0.92700000000000005</v>
      </c>
      <c r="F195">
        <v>9250633.8800000008</v>
      </c>
      <c r="G195">
        <v>0.92700000000000005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0.42960288808664265</v>
      </c>
      <c r="Q195">
        <f t="shared" ref="Q195" si="948">F195*P195</f>
        <v>3974099.0314801452</v>
      </c>
      <c r="R195">
        <f t="shared" ref="R195" si="949">R196+Q195</f>
        <v>-331740715.18801922</v>
      </c>
      <c r="S195">
        <f t="shared" ref="S195" si="950">R195/100000</f>
        <v>-3317.407151880192</v>
      </c>
      <c r="T195">
        <f t="shared" si="934"/>
        <v>-3.3174071518801922</v>
      </c>
    </row>
    <row r="196" spans="1:20" x14ac:dyDescent="0.25">
      <c r="A196" s="5">
        <v>44397</v>
      </c>
      <c r="B196">
        <v>0.89</v>
      </c>
      <c r="C196">
        <v>0.91849999999999998</v>
      </c>
      <c r="D196">
        <v>0.79</v>
      </c>
      <c r="E196">
        <v>0.82689999999999997</v>
      </c>
      <c r="F196">
        <v>8492936.1899999995</v>
      </c>
      <c r="G196">
        <v>0.82689999999999997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-0.4256809338521409</v>
      </c>
      <c r="Q196">
        <f t="shared" ref="Q196" si="952">F196*P196</f>
        <v>-3615281.0085058431</v>
      </c>
      <c r="R196">
        <f t="shared" ref="R196" si="953">R197+Q196</f>
        <v>-335714814.21949935</v>
      </c>
      <c r="S196">
        <f t="shared" ref="S196" si="954">R196/100000</f>
        <v>-3357.1481421949934</v>
      </c>
      <c r="T196">
        <f t="shared" si="934"/>
        <v>-3.3571481421949936</v>
      </c>
    </row>
    <row r="197" spans="1:20" x14ac:dyDescent="0.25">
      <c r="A197" s="5">
        <v>44396</v>
      </c>
      <c r="B197">
        <v>1.0447</v>
      </c>
      <c r="C197">
        <v>1.0618000000000001</v>
      </c>
      <c r="D197">
        <v>0.88660000000000005</v>
      </c>
      <c r="E197">
        <v>0.88959999999999995</v>
      </c>
      <c r="F197">
        <v>10774182.75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-0.96575342465753544</v>
      </c>
      <c r="Q197">
        <f t="shared" ref="Q197" si="956">F197*P197</f>
        <v>-10405203.888698643</v>
      </c>
      <c r="R197">
        <f t="shared" ref="R197" si="957">R198+Q197</f>
        <v>-332099533.21099353</v>
      </c>
      <c r="S197">
        <f t="shared" ref="S197" si="958">R197/100000</f>
        <v>-3320.9953321099351</v>
      </c>
      <c r="T197">
        <f t="shared" si="934"/>
        <v>-3.320995332109935</v>
      </c>
    </row>
    <row r="198" spans="1:20" x14ac:dyDescent="0.25">
      <c r="A198" s="5">
        <v>44395</v>
      </c>
      <c r="B198">
        <v>0.90780000000000005</v>
      </c>
      <c r="C198">
        <v>1.1698</v>
      </c>
      <c r="D198">
        <v>0.90580000000000005</v>
      </c>
      <c r="E198">
        <v>1.0448999999999999</v>
      </c>
      <c r="F198">
        <v>22223190.559999999</v>
      </c>
      <c r="G198">
        <v>0</v>
      </c>
      <c r="L198" t="s">
        <v>8</v>
      </c>
      <c r="M198" t="s">
        <v>8</v>
      </c>
      <c r="N198" t="s">
        <v>7</v>
      </c>
      <c r="P198">
        <f t="shared" ref="P198:P261" si="959">IF(C198=D198,0,((E198-D198)-(C198-E198))/(C198-D198))</f>
        <v>5.378787878787835E-2</v>
      </c>
      <c r="Q198">
        <f t="shared" ref="Q198:Q261" si="960">F198*P198</f>
        <v>1195338.2801212023</v>
      </c>
      <c r="R198">
        <f t="shared" ref="R198:R261" si="961">R199+Q198</f>
        <v>-321694329.32229489</v>
      </c>
      <c r="S198">
        <f t="shared" ref="S198:S261" si="962">R198/100000</f>
        <v>-3216.9432932229488</v>
      </c>
      <c r="T198">
        <f t="shared" ref="T198:T261" si="963">S198/1000</f>
        <v>-3.2169432932229487</v>
      </c>
    </row>
    <row r="199" spans="1:20" x14ac:dyDescent="0.25">
      <c r="A199" s="5">
        <v>44394</v>
      </c>
      <c r="B199">
        <v>0.96260000000000001</v>
      </c>
      <c r="C199">
        <v>0.97840000000000005</v>
      </c>
      <c r="D199">
        <v>0.9</v>
      </c>
      <c r="E199">
        <v>0.90769999999999995</v>
      </c>
      <c r="F199">
        <v>7635873.3600000003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-0.80357142857143049</v>
      </c>
      <c r="Q199">
        <f t="shared" si="960"/>
        <v>-6135969.6642857296</v>
      </c>
      <c r="R199">
        <f t="shared" si="961"/>
        <v>-322889667.6024161</v>
      </c>
      <c r="S199">
        <f t="shared" si="962"/>
        <v>-3228.896676024161</v>
      </c>
      <c r="T199">
        <f t="shared" si="963"/>
        <v>-3.2288966760241609</v>
      </c>
    </row>
    <row r="200" spans="1:20" x14ac:dyDescent="0.25">
      <c r="A200" s="5">
        <v>44393</v>
      </c>
      <c r="B200">
        <v>1.1411</v>
      </c>
      <c r="C200">
        <v>1.159</v>
      </c>
      <c r="D200">
        <v>0.9546</v>
      </c>
      <c r="E200">
        <v>0.96279999999999999</v>
      </c>
      <c r="F200">
        <v>18473863.690000001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-0.91976516634050898</v>
      </c>
      <c r="Q200">
        <f t="shared" si="960"/>
        <v>-16991616.30978474</v>
      </c>
      <c r="R200">
        <f t="shared" si="961"/>
        <v>-316753697.93813038</v>
      </c>
      <c r="S200">
        <f t="shared" si="962"/>
        <v>-3167.5369793813038</v>
      </c>
      <c r="T200">
        <f t="shared" si="963"/>
        <v>-3.1675369793813037</v>
      </c>
    </row>
    <row r="201" spans="1:20" x14ac:dyDescent="0.25">
      <c r="A201" s="5">
        <v>44392</v>
      </c>
      <c r="B201">
        <v>1.2795000000000001</v>
      </c>
      <c r="C201">
        <v>1.34</v>
      </c>
      <c r="D201">
        <v>1.0885</v>
      </c>
      <c r="E201">
        <v>1.1408</v>
      </c>
      <c r="F201">
        <v>22035739.920000002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-0.58409542743538767</v>
      </c>
      <c r="Q201">
        <f t="shared" si="960"/>
        <v>-12870974.927427437</v>
      </c>
      <c r="R201">
        <f t="shared" si="961"/>
        <v>-299762081.62834561</v>
      </c>
      <c r="S201">
        <f t="shared" si="962"/>
        <v>-2997.620816283456</v>
      </c>
      <c r="T201">
        <f t="shared" si="963"/>
        <v>-2.9976208162834559</v>
      </c>
    </row>
    <row r="202" spans="1:20" x14ac:dyDescent="0.25">
      <c r="A202" s="5">
        <v>44391</v>
      </c>
      <c r="B202">
        <v>1.2663</v>
      </c>
      <c r="C202">
        <v>1.4075</v>
      </c>
      <c r="D202">
        <v>1.0921000000000001</v>
      </c>
      <c r="E202">
        <v>1.2813000000000001</v>
      </c>
      <c r="F202">
        <v>38556980.350000001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0.19974635383639883</v>
      </c>
      <c r="Q202">
        <f t="shared" si="960"/>
        <v>7701616.2398541765</v>
      </c>
      <c r="R202">
        <f t="shared" si="961"/>
        <v>-286891106.7009182</v>
      </c>
      <c r="S202">
        <f t="shared" si="962"/>
        <v>-2868.9110670091818</v>
      </c>
      <c r="T202">
        <f t="shared" si="963"/>
        <v>-2.868911067009182</v>
      </c>
    </row>
    <row r="203" spans="1:20" x14ac:dyDescent="0.25">
      <c r="A203" s="5">
        <v>44390</v>
      </c>
      <c r="B203">
        <v>0.92820000000000003</v>
      </c>
      <c r="C203">
        <v>1.4121999999999999</v>
      </c>
      <c r="D203">
        <v>0.91</v>
      </c>
      <c r="E203">
        <v>1.2665</v>
      </c>
      <c r="F203">
        <v>42621320.960000001</v>
      </c>
      <c r="G203">
        <v>0</v>
      </c>
      <c r="L203" t="s">
        <v>8</v>
      </c>
      <c r="M203" t="s">
        <v>8</v>
      </c>
      <c r="N203" t="s">
        <v>8</v>
      </c>
      <c r="P203">
        <f t="shared" si="959"/>
        <v>0.41975308641975317</v>
      </c>
      <c r="Q203">
        <f t="shared" si="960"/>
        <v>17890431.020246919</v>
      </c>
      <c r="R203">
        <f t="shared" si="961"/>
        <v>-294592722.94077235</v>
      </c>
      <c r="S203">
        <f t="shared" si="962"/>
        <v>-2945.9272294077236</v>
      </c>
      <c r="T203">
        <f t="shared" si="963"/>
        <v>-2.9459272294077237</v>
      </c>
    </row>
    <row r="204" spans="1:20" x14ac:dyDescent="0.25">
      <c r="A204" s="5">
        <v>44389</v>
      </c>
      <c r="B204">
        <v>1.0054000000000001</v>
      </c>
      <c r="C204">
        <v>1.0442</v>
      </c>
      <c r="D204">
        <v>0.90859999999999996</v>
      </c>
      <c r="E204">
        <v>0.92820000000000003</v>
      </c>
      <c r="F204">
        <v>13309186.15</v>
      </c>
      <c r="G204">
        <v>0</v>
      </c>
      <c r="L204" t="s">
        <v>7</v>
      </c>
      <c r="M204" t="s">
        <v>8</v>
      </c>
      <c r="N204" t="s">
        <v>8</v>
      </c>
      <c r="P204">
        <f t="shared" si="959"/>
        <v>-0.71091445427728539</v>
      </c>
      <c r="Q204">
        <f t="shared" si="960"/>
        <v>-9461692.8087020554</v>
      </c>
      <c r="R204">
        <f t="shared" si="961"/>
        <v>-312483153.96101928</v>
      </c>
      <c r="S204">
        <f t="shared" si="962"/>
        <v>-3124.831539610193</v>
      </c>
      <c r="T204">
        <f t="shared" si="963"/>
        <v>-3.1248315396101929</v>
      </c>
    </row>
    <row r="205" spans="1:20" x14ac:dyDescent="0.25">
      <c r="A205" s="5">
        <v>44388</v>
      </c>
      <c r="B205">
        <v>0.82340000000000002</v>
      </c>
      <c r="C205">
        <v>1.0833999999999999</v>
      </c>
      <c r="D205">
        <v>0.81079999999999997</v>
      </c>
      <c r="E205">
        <v>1.004</v>
      </c>
      <c r="F205">
        <v>25645251.5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0.41746148202494548</v>
      </c>
      <c r="Q205">
        <f t="shared" si="960"/>
        <v>10705904.698092457</v>
      </c>
      <c r="R205">
        <f t="shared" si="961"/>
        <v>-303021461.15231723</v>
      </c>
      <c r="S205">
        <f t="shared" si="962"/>
        <v>-3030.2146115231722</v>
      </c>
      <c r="T205">
        <f t="shared" si="963"/>
        <v>-3.0302146115231721</v>
      </c>
    </row>
    <row r="206" spans="1:20" x14ac:dyDescent="0.25">
      <c r="A206" s="5">
        <v>44387</v>
      </c>
      <c r="B206">
        <v>0.85089999999999999</v>
      </c>
      <c r="C206">
        <v>0.86660000000000004</v>
      </c>
      <c r="D206">
        <v>0.80049999999999999</v>
      </c>
      <c r="E206">
        <v>0.82269999999999999</v>
      </c>
      <c r="F206">
        <v>12735542.58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-0.32829046898638481</v>
      </c>
      <c r="Q206">
        <f t="shared" si="960"/>
        <v>-4180957.2463842733</v>
      </c>
      <c r="R206">
        <f t="shared" si="961"/>
        <v>-313727365.85040969</v>
      </c>
      <c r="S206">
        <f t="shared" si="962"/>
        <v>-3137.2736585040971</v>
      </c>
      <c r="T206">
        <f t="shared" si="963"/>
        <v>-3.137273658504097</v>
      </c>
    </row>
    <row r="207" spans="1:20" x14ac:dyDescent="0.25">
      <c r="A207" s="5">
        <v>44386</v>
      </c>
      <c r="B207">
        <v>0.82889999999999997</v>
      </c>
      <c r="C207">
        <v>0.86519999999999997</v>
      </c>
      <c r="D207">
        <v>0.78590000000000004</v>
      </c>
      <c r="E207">
        <v>0.84899999999999998</v>
      </c>
      <c r="F207">
        <v>9293002.7300000004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0.5914249684741486</v>
      </c>
      <c r="Q207">
        <f t="shared" si="960"/>
        <v>5496113.8466204274</v>
      </c>
      <c r="R207">
        <f t="shared" si="961"/>
        <v>-309546408.60402542</v>
      </c>
      <c r="S207">
        <f t="shared" si="962"/>
        <v>-3095.4640860402542</v>
      </c>
      <c r="T207">
        <f t="shared" si="963"/>
        <v>-3.0954640860402542</v>
      </c>
    </row>
    <row r="208" spans="1:20" x14ac:dyDescent="0.25">
      <c r="A208" s="5">
        <v>44385</v>
      </c>
      <c r="B208">
        <v>0.9143</v>
      </c>
      <c r="C208">
        <v>0.92779999999999996</v>
      </c>
      <c r="D208">
        <v>0.81</v>
      </c>
      <c r="E208">
        <v>0.82920000000000005</v>
      </c>
      <c r="F208">
        <v>15222391.68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-0.67402376910016959</v>
      </c>
      <c r="Q208">
        <f t="shared" si="960"/>
        <v>-10260253.814872662</v>
      </c>
      <c r="R208">
        <f t="shared" si="961"/>
        <v>-315042522.45064586</v>
      </c>
      <c r="S208">
        <f t="shared" si="962"/>
        <v>-3150.4252245064586</v>
      </c>
      <c r="T208">
        <f t="shared" si="963"/>
        <v>-3.1504252245064586</v>
      </c>
    </row>
    <row r="209" spans="1:20" x14ac:dyDescent="0.25">
      <c r="A209" s="5">
        <v>44384</v>
      </c>
      <c r="B209">
        <v>0.85189999999999999</v>
      </c>
      <c r="C209">
        <v>1.06</v>
      </c>
      <c r="D209">
        <v>0.83189999999999997</v>
      </c>
      <c r="E209">
        <v>0.91210000000000002</v>
      </c>
      <c r="F209">
        <v>17280850.719999999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-0.29679964927663288</v>
      </c>
      <c r="Q209">
        <f t="shared" si="960"/>
        <v>-5128950.4328978481</v>
      </c>
      <c r="R209">
        <f t="shared" si="961"/>
        <v>-304782268.63577318</v>
      </c>
      <c r="S209">
        <f t="shared" si="962"/>
        <v>-3047.822686357732</v>
      </c>
      <c r="T209">
        <f t="shared" si="963"/>
        <v>-3.047822686357732</v>
      </c>
    </row>
    <row r="210" spans="1:20" x14ac:dyDescent="0.25">
      <c r="A210" s="5">
        <v>44383</v>
      </c>
      <c r="B210">
        <v>0.78900000000000003</v>
      </c>
      <c r="C210">
        <v>0.85209999999999997</v>
      </c>
      <c r="D210">
        <v>0.78610000000000002</v>
      </c>
      <c r="E210">
        <v>0.85060000000000002</v>
      </c>
      <c r="F210">
        <v>8354060.9400000004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0.95454545454545614</v>
      </c>
      <c r="Q210">
        <f t="shared" si="960"/>
        <v>7974330.8972727414</v>
      </c>
      <c r="R210">
        <f t="shared" si="961"/>
        <v>-299653318.20287532</v>
      </c>
      <c r="S210">
        <f t="shared" si="962"/>
        <v>-2996.5331820287533</v>
      </c>
      <c r="T210">
        <f t="shared" si="963"/>
        <v>-2.9965331820287533</v>
      </c>
    </row>
    <row r="211" spans="1:20" x14ac:dyDescent="0.25">
      <c r="A211" s="5">
        <v>44382</v>
      </c>
      <c r="B211">
        <v>0.84840000000000004</v>
      </c>
      <c r="C211">
        <v>0.85950000000000004</v>
      </c>
      <c r="D211">
        <v>0.78149999999999997</v>
      </c>
      <c r="E211">
        <v>0.78900000000000003</v>
      </c>
      <c r="F211">
        <v>10409447.060000001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-0.80769230769230627</v>
      </c>
      <c r="Q211">
        <f t="shared" si="960"/>
        <v>-8407630.3176922929</v>
      </c>
      <c r="R211">
        <f t="shared" si="961"/>
        <v>-307627649.10014808</v>
      </c>
      <c r="S211">
        <f t="shared" si="962"/>
        <v>-3076.2764910014807</v>
      </c>
      <c r="T211">
        <f t="shared" si="963"/>
        <v>-3.0762764910014808</v>
      </c>
    </row>
    <row r="212" spans="1:20" x14ac:dyDescent="0.25">
      <c r="A212" s="5">
        <v>44381</v>
      </c>
      <c r="B212">
        <v>0.86809999999999998</v>
      </c>
      <c r="C212">
        <v>0.89880000000000004</v>
      </c>
      <c r="D212">
        <v>0.84179999999999999</v>
      </c>
      <c r="E212">
        <v>0.84889999999999999</v>
      </c>
      <c r="F212">
        <v>4857694.6399999997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-0.75087719298245648</v>
      </c>
      <c r="Q212">
        <f t="shared" si="960"/>
        <v>-3647532.1156491241</v>
      </c>
      <c r="R212">
        <f t="shared" si="961"/>
        <v>-299220018.7824558</v>
      </c>
      <c r="S212">
        <f t="shared" si="962"/>
        <v>-2992.2001878245578</v>
      </c>
      <c r="T212">
        <f t="shared" si="963"/>
        <v>-2.9922001878245577</v>
      </c>
    </row>
    <row r="213" spans="1:20" x14ac:dyDescent="0.25">
      <c r="A213" s="5">
        <v>44380</v>
      </c>
      <c r="B213">
        <v>0.8246</v>
      </c>
      <c r="C213">
        <v>0.88360000000000005</v>
      </c>
      <c r="D213">
        <v>0.81840000000000002</v>
      </c>
      <c r="E213">
        <v>0.86819999999999997</v>
      </c>
      <c r="F213">
        <v>9208581.2699999996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0.52760736196318803</v>
      </c>
      <c r="Q213">
        <f t="shared" si="960"/>
        <v>4858515.2712883232</v>
      </c>
      <c r="R213">
        <f t="shared" si="961"/>
        <v>-295572486.6668067</v>
      </c>
      <c r="S213">
        <f t="shared" si="962"/>
        <v>-2955.7248666680671</v>
      </c>
      <c r="T213">
        <f t="shared" si="963"/>
        <v>-2.9557248666680671</v>
      </c>
    </row>
    <row r="214" spans="1:20" x14ac:dyDescent="0.25">
      <c r="A214" s="5">
        <v>44379</v>
      </c>
      <c r="B214">
        <v>0.75780000000000003</v>
      </c>
      <c r="C214">
        <v>0.85370000000000001</v>
      </c>
      <c r="D214">
        <v>0.75119999999999998</v>
      </c>
      <c r="E214">
        <v>0.82450000000000001</v>
      </c>
      <c r="F214">
        <v>6357776.0599999996</v>
      </c>
      <c r="G214">
        <v>0</v>
      </c>
      <c r="L214" t="s">
        <v>8</v>
      </c>
      <c r="M214" t="s">
        <v>7</v>
      </c>
      <c r="N214" t="s">
        <v>8</v>
      </c>
      <c r="P214">
        <f t="shared" si="959"/>
        <v>0.43024390243902449</v>
      </c>
      <c r="Q214">
        <f t="shared" si="960"/>
        <v>2735394.3828878053</v>
      </c>
      <c r="R214">
        <f t="shared" si="961"/>
        <v>-300431001.93809503</v>
      </c>
      <c r="S214">
        <f t="shared" si="962"/>
        <v>-3004.3100193809505</v>
      </c>
      <c r="T214">
        <f t="shared" si="963"/>
        <v>-3.0043100193809504</v>
      </c>
    </row>
    <row r="215" spans="1:20" x14ac:dyDescent="0.25">
      <c r="A215" s="5">
        <v>44378</v>
      </c>
      <c r="B215">
        <v>0.78459999999999996</v>
      </c>
      <c r="C215">
        <v>0.80830000000000002</v>
      </c>
      <c r="D215">
        <v>0.73440000000000005</v>
      </c>
      <c r="E215">
        <v>0.75829999999999997</v>
      </c>
      <c r="F215">
        <v>5884158.4100000001</v>
      </c>
      <c r="G215">
        <v>0</v>
      </c>
      <c r="L215" t="s">
        <v>8</v>
      </c>
      <c r="M215" t="s">
        <v>7</v>
      </c>
      <c r="N215" t="s">
        <v>8</v>
      </c>
      <c r="P215">
        <f t="shared" si="959"/>
        <v>-0.35317997293640235</v>
      </c>
      <c r="Q215">
        <f t="shared" si="960"/>
        <v>-2078166.9079973043</v>
      </c>
      <c r="R215">
        <f t="shared" si="961"/>
        <v>-303166396.32098281</v>
      </c>
      <c r="S215">
        <f t="shared" si="962"/>
        <v>-3031.6639632098281</v>
      </c>
      <c r="T215">
        <f t="shared" si="963"/>
        <v>-3.0316639632098283</v>
      </c>
    </row>
    <row r="216" spans="1:20" x14ac:dyDescent="0.25">
      <c r="A216" s="5">
        <v>44377</v>
      </c>
      <c r="B216">
        <v>0.79890000000000005</v>
      </c>
      <c r="C216">
        <v>0.81369999999999998</v>
      </c>
      <c r="D216">
        <v>0.73829999999999996</v>
      </c>
      <c r="E216">
        <v>0.78480000000000005</v>
      </c>
      <c r="F216">
        <v>4610392.78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0.23342175066313217</v>
      </c>
      <c r="Q216">
        <f t="shared" si="960"/>
        <v>1076165.9539522647</v>
      </c>
      <c r="R216">
        <f t="shared" si="961"/>
        <v>-301088229.4129855</v>
      </c>
      <c r="S216">
        <f t="shared" si="962"/>
        <v>-3010.8822941298549</v>
      </c>
      <c r="T216">
        <f t="shared" si="963"/>
        <v>-3.0108822941298548</v>
      </c>
    </row>
    <row r="217" spans="1:20" x14ac:dyDescent="0.25">
      <c r="A217" s="5">
        <v>44376</v>
      </c>
      <c r="B217">
        <v>0.76859999999999995</v>
      </c>
      <c r="C217">
        <v>0.84260000000000002</v>
      </c>
      <c r="D217">
        <v>0.76300000000000001</v>
      </c>
      <c r="E217">
        <v>0.79830000000000001</v>
      </c>
      <c r="F217">
        <v>6032399.5</v>
      </c>
      <c r="G217">
        <v>0</v>
      </c>
      <c r="L217" t="s">
        <v>7</v>
      </c>
      <c r="M217" t="s">
        <v>8</v>
      </c>
      <c r="N217" t="s">
        <v>8</v>
      </c>
      <c r="P217">
        <f t="shared" si="959"/>
        <v>-0.11306532663316593</v>
      </c>
      <c r="Q217">
        <f t="shared" si="960"/>
        <v>-682055.21984924679</v>
      </c>
      <c r="R217">
        <f t="shared" si="961"/>
        <v>-302164395.36693776</v>
      </c>
      <c r="S217">
        <f t="shared" si="962"/>
        <v>-3021.6439536693774</v>
      </c>
      <c r="T217">
        <f t="shared" si="963"/>
        <v>-3.0216439536693773</v>
      </c>
    </row>
    <row r="218" spans="1:20" x14ac:dyDescent="0.25">
      <c r="A218" s="5">
        <v>44375</v>
      </c>
      <c r="B218">
        <v>0.74670000000000003</v>
      </c>
      <c r="C218">
        <v>0.86939999999999995</v>
      </c>
      <c r="D218">
        <v>0.73199999999999998</v>
      </c>
      <c r="E218">
        <v>0.76819999999999999</v>
      </c>
      <c r="F218">
        <v>9163117.5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-0.47307132459970863</v>
      </c>
      <c r="Q218">
        <f t="shared" si="960"/>
        <v>-4334808.1331877708</v>
      </c>
      <c r="R218">
        <f t="shared" si="961"/>
        <v>-301482340.14708853</v>
      </c>
      <c r="S218">
        <f t="shared" si="962"/>
        <v>-3014.8234014708851</v>
      </c>
      <c r="T218">
        <f t="shared" si="963"/>
        <v>-3.0148234014708852</v>
      </c>
    </row>
    <row r="219" spans="1:20" x14ac:dyDescent="0.25">
      <c r="A219" s="5">
        <v>44374</v>
      </c>
      <c r="B219">
        <v>0.70879999999999999</v>
      </c>
      <c r="C219">
        <v>0.76090000000000002</v>
      </c>
      <c r="D219">
        <v>0.66469999999999996</v>
      </c>
      <c r="E219">
        <v>0.74560000000000004</v>
      </c>
      <c r="F219">
        <v>5664000.8399999999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0.68191268191268251</v>
      </c>
      <c r="Q219">
        <f t="shared" si="960"/>
        <v>3862354.0031600865</v>
      </c>
      <c r="R219">
        <f t="shared" si="961"/>
        <v>-297147532.01390076</v>
      </c>
      <c r="S219">
        <f t="shared" si="962"/>
        <v>-2971.4753201390076</v>
      </c>
      <c r="T219">
        <f t="shared" si="963"/>
        <v>-2.9714753201390076</v>
      </c>
    </row>
    <row r="220" spans="1:20" x14ac:dyDescent="0.25">
      <c r="A220" s="5">
        <v>44373</v>
      </c>
      <c r="B220">
        <v>0.65869999999999995</v>
      </c>
      <c r="C220">
        <v>0.73450000000000004</v>
      </c>
      <c r="D220">
        <v>0.63729999999999998</v>
      </c>
      <c r="E220">
        <v>0.70930000000000004</v>
      </c>
      <c r="F220">
        <v>4772807.57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0.48148148148148184</v>
      </c>
      <c r="Q220">
        <f t="shared" si="960"/>
        <v>2298018.4596296316</v>
      </c>
      <c r="R220">
        <f t="shared" si="961"/>
        <v>-301009886.01706082</v>
      </c>
      <c r="S220">
        <f t="shared" si="962"/>
        <v>-3010.0988601706081</v>
      </c>
      <c r="T220">
        <f t="shared" si="963"/>
        <v>-3.0100988601706082</v>
      </c>
    </row>
    <row r="221" spans="1:20" x14ac:dyDescent="0.25">
      <c r="A221" s="5">
        <v>44372</v>
      </c>
      <c r="B221">
        <v>0.73070000000000002</v>
      </c>
      <c r="C221">
        <v>0.74470000000000003</v>
      </c>
      <c r="D221">
        <v>0.65159999999999996</v>
      </c>
      <c r="E221">
        <v>0.6583</v>
      </c>
      <c r="F221">
        <v>3295729.23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-0.85606874328678761</v>
      </c>
      <c r="Q221">
        <f t="shared" si="960"/>
        <v>-2821370.7801396321</v>
      </c>
      <c r="R221">
        <f t="shared" si="961"/>
        <v>-303307904.47669047</v>
      </c>
      <c r="S221">
        <f t="shared" si="962"/>
        <v>-3033.0790447669046</v>
      </c>
      <c r="T221">
        <f t="shared" si="963"/>
        <v>-3.0330790447669047</v>
      </c>
    </row>
    <row r="222" spans="1:20" x14ac:dyDescent="0.25">
      <c r="A222" s="5">
        <v>44371</v>
      </c>
      <c r="B222">
        <v>0.72899999999999998</v>
      </c>
      <c r="C222">
        <v>0.74750000000000005</v>
      </c>
      <c r="D222">
        <v>0.70009999999999994</v>
      </c>
      <c r="E222">
        <v>0.72919999999999996</v>
      </c>
      <c r="F222">
        <v>3013239.22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0.22784810126582059</v>
      </c>
      <c r="Q222">
        <f t="shared" si="960"/>
        <v>686560.83493670227</v>
      </c>
      <c r="R222">
        <f t="shared" si="961"/>
        <v>-300486533.69655085</v>
      </c>
      <c r="S222">
        <f t="shared" si="962"/>
        <v>-3004.8653369655085</v>
      </c>
      <c r="T222">
        <f t="shared" si="963"/>
        <v>-3.0048653369655085</v>
      </c>
    </row>
    <row r="223" spans="1:20" x14ac:dyDescent="0.25">
      <c r="A223" s="5">
        <v>44370</v>
      </c>
      <c r="B223">
        <v>0.66379999999999995</v>
      </c>
      <c r="C223">
        <v>0.78</v>
      </c>
      <c r="D223">
        <v>0.64849999999999997</v>
      </c>
      <c r="E223">
        <v>0.72799999999999998</v>
      </c>
      <c r="F223">
        <v>5283443.93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0.20912547528517078</v>
      </c>
      <c r="Q223">
        <f t="shared" si="960"/>
        <v>1104902.7230038005</v>
      </c>
      <c r="R223">
        <f t="shared" si="961"/>
        <v>-301173094.53148752</v>
      </c>
      <c r="S223">
        <f t="shared" si="962"/>
        <v>-3011.730945314875</v>
      </c>
      <c r="T223">
        <f t="shared" si="963"/>
        <v>-3.0117309453148748</v>
      </c>
    </row>
    <row r="224" spans="1:20" x14ac:dyDescent="0.25">
      <c r="A224" s="5">
        <v>44369</v>
      </c>
      <c r="B224">
        <v>0.74480000000000002</v>
      </c>
      <c r="C224">
        <v>0.79890000000000005</v>
      </c>
      <c r="D224">
        <v>0.59</v>
      </c>
      <c r="E224">
        <v>0.66400000000000003</v>
      </c>
      <c r="F224">
        <v>10478060.630000001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-0.29152704643369998</v>
      </c>
      <c r="Q224">
        <f t="shared" si="960"/>
        <v>-3054638.0678171339</v>
      </c>
      <c r="R224">
        <f t="shared" si="961"/>
        <v>-302277997.25449133</v>
      </c>
      <c r="S224">
        <f t="shared" si="962"/>
        <v>-3022.7799725449131</v>
      </c>
      <c r="T224">
        <f t="shared" si="963"/>
        <v>-3.0227799725449129</v>
      </c>
    </row>
    <row r="225" spans="1:20" x14ac:dyDescent="0.25">
      <c r="A225" s="5">
        <v>44368</v>
      </c>
      <c r="B225">
        <v>0.89200000000000002</v>
      </c>
      <c r="C225">
        <v>0.90249999999999997</v>
      </c>
      <c r="D225">
        <v>0.74</v>
      </c>
      <c r="E225">
        <v>0.74409999999999998</v>
      </c>
      <c r="F225">
        <v>4573433.84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-0.94953846153846166</v>
      </c>
      <c r="Q225">
        <f t="shared" si="960"/>
        <v>-4342651.332381539</v>
      </c>
      <c r="R225">
        <f t="shared" si="961"/>
        <v>-299223359.18667418</v>
      </c>
      <c r="S225">
        <f t="shared" si="962"/>
        <v>-2992.2335918667418</v>
      </c>
      <c r="T225">
        <f t="shared" si="963"/>
        <v>-2.992233591866742</v>
      </c>
    </row>
    <row r="226" spans="1:20" x14ac:dyDescent="0.25">
      <c r="A226" s="5">
        <v>44367</v>
      </c>
      <c r="B226">
        <v>0.88800000000000001</v>
      </c>
      <c r="C226">
        <v>0.90980000000000005</v>
      </c>
      <c r="D226">
        <v>0.81489999999999996</v>
      </c>
      <c r="E226">
        <v>0.89290000000000003</v>
      </c>
      <c r="F226">
        <v>3317885.85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0.64383561643835596</v>
      </c>
      <c r="Q226">
        <f t="shared" si="960"/>
        <v>2136173.0815068488</v>
      </c>
      <c r="R226">
        <f t="shared" si="961"/>
        <v>-294880707.85429263</v>
      </c>
      <c r="S226">
        <f t="shared" si="962"/>
        <v>-2948.8070785429263</v>
      </c>
      <c r="T226">
        <f t="shared" si="963"/>
        <v>-2.9488070785429263</v>
      </c>
    </row>
    <row r="227" spans="1:20" x14ac:dyDescent="0.25">
      <c r="A227" s="5">
        <v>44366</v>
      </c>
      <c r="B227">
        <v>0.91359999999999997</v>
      </c>
      <c r="C227">
        <v>0.94179999999999997</v>
      </c>
      <c r="D227">
        <v>0.88759999999999994</v>
      </c>
      <c r="E227">
        <v>0.88870000000000005</v>
      </c>
      <c r="F227">
        <v>2782958.37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-0.95940959409593729</v>
      </c>
      <c r="Q227">
        <f t="shared" si="960"/>
        <v>-2669996.9601475913</v>
      </c>
      <c r="R227">
        <f t="shared" si="961"/>
        <v>-297016880.93579948</v>
      </c>
      <c r="S227">
        <f t="shared" si="962"/>
        <v>-2970.1688093579946</v>
      </c>
      <c r="T227">
        <f t="shared" si="963"/>
        <v>-2.9701688093579945</v>
      </c>
    </row>
    <row r="228" spans="1:20" x14ac:dyDescent="0.25">
      <c r="A228" s="5">
        <v>44365</v>
      </c>
      <c r="B228">
        <v>1.0192000000000001</v>
      </c>
      <c r="C228">
        <v>1.0449999999999999</v>
      </c>
      <c r="D228">
        <v>0.8821</v>
      </c>
      <c r="E228">
        <v>0.9133</v>
      </c>
      <c r="F228">
        <v>4500659.2699999996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-0.61694290976058908</v>
      </c>
      <c r="Q228">
        <f t="shared" si="960"/>
        <v>-2776649.8258747682</v>
      </c>
      <c r="R228">
        <f t="shared" si="961"/>
        <v>-294346883.97565186</v>
      </c>
      <c r="S228">
        <f t="shared" si="962"/>
        <v>-2943.4688397565187</v>
      </c>
      <c r="T228">
        <f t="shared" si="963"/>
        <v>-2.9434688397565187</v>
      </c>
    </row>
    <row r="229" spans="1:20" x14ac:dyDescent="0.25">
      <c r="A229" s="5">
        <v>44364</v>
      </c>
      <c r="B229">
        <v>1.0173000000000001</v>
      </c>
      <c r="C229">
        <v>1.0851</v>
      </c>
      <c r="D229">
        <v>0.96660000000000001</v>
      </c>
      <c r="E229">
        <v>1.0198</v>
      </c>
      <c r="F229">
        <v>4224638.07</v>
      </c>
      <c r="G229">
        <v>0</v>
      </c>
      <c r="L229" t="s">
        <v>7</v>
      </c>
      <c r="M229" t="s">
        <v>7</v>
      </c>
      <c r="N229" t="s">
        <v>8</v>
      </c>
      <c r="P229">
        <f t="shared" si="959"/>
        <v>-0.10210970464134933</v>
      </c>
      <c r="Q229">
        <f t="shared" si="960"/>
        <v>-431376.54554430011</v>
      </c>
      <c r="R229">
        <f t="shared" si="961"/>
        <v>-291570234.14977711</v>
      </c>
      <c r="S229">
        <f t="shared" si="962"/>
        <v>-2915.7023414977712</v>
      </c>
      <c r="T229">
        <f t="shared" si="963"/>
        <v>-2.915702341497771</v>
      </c>
    </row>
    <row r="230" spans="1:20" x14ac:dyDescent="0.25">
      <c r="A230" s="5">
        <v>44363</v>
      </c>
      <c r="B230">
        <v>1.0731999999999999</v>
      </c>
      <c r="C230">
        <v>1.1342000000000001</v>
      </c>
      <c r="D230">
        <v>1.0112000000000001</v>
      </c>
      <c r="E230">
        <v>1.0173000000000001</v>
      </c>
      <c r="F230">
        <v>4603014.58</v>
      </c>
      <c r="G230">
        <v>0</v>
      </c>
      <c r="L230" t="s">
        <v>7</v>
      </c>
      <c r="M230" t="s">
        <v>7</v>
      </c>
      <c r="N230" t="s">
        <v>8</v>
      </c>
      <c r="P230">
        <f t="shared" si="959"/>
        <v>-0.90081300813008136</v>
      </c>
      <c r="Q230">
        <f t="shared" si="960"/>
        <v>-4146455.4102764232</v>
      </c>
      <c r="R230">
        <f t="shared" si="961"/>
        <v>-291138857.60423279</v>
      </c>
      <c r="S230">
        <f t="shared" si="962"/>
        <v>-2911.3885760423277</v>
      </c>
      <c r="T230">
        <f t="shared" si="963"/>
        <v>-2.9113885760423277</v>
      </c>
    </row>
    <row r="231" spans="1:20" x14ac:dyDescent="0.25">
      <c r="A231" s="5">
        <v>44362</v>
      </c>
      <c r="B231">
        <v>1.1181000000000001</v>
      </c>
      <c r="C231">
        <v>1.1294999999999999</v>
      </c>
      <c r="D231">
        <v>1.0634999999999999</v>
      </c>
      <c r="E231">
        <v>1.0731999999999999</v>
      </c>
      <c r="F231">
        <v>5837598.2400000002</v>
      </c>
      <c r="G231">
        <v>0</v>
      </c>
      <c r="L231" t="s">
        <v>7</v>
      </c>
      <c r="M231" t="s">
        <v>8</v>
      </c>
      <c r="N231" t="s">
        <v>8</v>
      </c>
      <c r="P231">
        <f t="shared" si="959"/>
        <v>-0.70606060606060506</v>
      </c>
      <c r="Q231">
        <f t="shared" si="960"/>
        <v>-4121698.1512727216</v>
      </c>
      <c r="R231">
        <f t="shared" si="961"/>
        <v>-286992402.19395638</v>
      </c>
      <c r="S231">
        <f t="shared" si="962"/>
        <v>-2869.9240219395638</v>
      </c>
      <c r="T231">
        <f t="shared" si="963"/>
        <v>-2.8699240219395636</v>
      </c>
    </row>
    <row r="232" spans="1:20" x14ac:dyDescent="0.25">
      <c r="A232" s="5">
        <v>44361</v>
      </c>
      <c r="B232">
        <v>1.0296000000000001</v>
      </c>
      <c r="C232">
        <v>1.2170000000000001</v>
      </c>
      <c r="D232">
        <v>1.0212000000000001</v>
      </c>
      <c r="E232">
        <v>1.1181000000000001</v>
      </c>
      <c r="F232">
        <v>11367787.67</v>
      </c>
      <c r="G232">
        <v>0</v>
      </c>
      <c r="L232" t="s">
        <v>8</v>
      </c>
      <c r="M232" t="s">
        <v>8</v>
      </c>
      <c r="N232" t="s">
        <v>8</v>
      </c>
      <c r="P232">
        <f t="shared" si="959"/>
        <v>-1.0214504596527079E-2</v>
      </c>
      <c r="Q232">
        <f t="shared" si="960"/>
        <v>-116116.31940755885</v>
      </c>
      <c r="R232">
        <f t="shared" si="961"/>
        <v>-282870704.04268366</v>
      </c>
      <c r="S232">
        <f t="shared" si="962"/>
        <v>-2828.7070404268366</v>
      </c>
      <c r="T232">
        <f t="shared" si="963"/>
        <v>-2.8287070404268366</v>
      </c>
    </row>
    <row r="233" spans="1:20" x14ac:dyDescent="0.25">
      <c r="A233" s="5">
        <v>44360</v>
      </c>
      <c r="B233">
        <v>0.98599999999999999</v>
      </c>
      <c r="C233">
        <v>1.0397000000000001</v>
      </c>
      <c r="D233">
        <v>0.96699999999999997</v>
      </c>
      <c r="E233">
        <v>1.0296000000000001</v>
      </c>
      <c r="F233">
        <v>4568588.0599999996</v>
      </c>
      <c r="G233">
        <v>0</v>
      </c>
      <c r="L233" t="s">
        <v>7</v>
      </c>
      <c r="M233" t="s">
        <v>7</v>
      </c>
      <c r="N233" t="s">
        <v>8</v>
      </c>
      <c r="P233">
        <f t="shared" si="959"/>
        <v>0.72214580467675427</v>
      </c>
      <c r="Q233">
        <f t="shared" si="960"/>
        <v>3299186.7008253112</v>
      </c>
      <c r="R233">
        <f t="shared" si="961"/>
        <v>-282754587.72327608</v>
      </c>
      <c r="S233">
        <f t="shared" si="962"/>
        <v>-2827.5458772327606</v>
      </c>
      <c r="T233">
        <f t="shared" si="963"/>
        <v>-2.8275458772327609</v>
      </c>
    </row>
    <row r="234" spans="1:20" x14ac:dyDescent="0.25">
      <c r="A234" s="5">
        <v>44359</v>
      </c>
      <c r="B234">
        <v>1.0336000000000001</v>
      </c>
      <c r="C234">
        <v>1.06</v>
      </c>
      <c r="D234">
        <v>0.96179999999999999</v>
      </c>
      <c r="E234">
        <v>0.98509999999999998</v>
      </c>
      <c r="F234">
        <v>6204891.0800000001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-0.52545824847250566</v>
      </c>
      <c r="Q234">
        <f t="shared" si="960"/>
        <v>-3260411.1988594742</v>
      </c>
      <c r="R234">
        <f t="shared" si="961"/>
        <v>-286053774.42410141</v>
      </c>
      <c r="S234">
        <f t="shared" si="962"/>
        <v>-2860.537744241014</v>
      </c>
      <c r="T234">
        <f t="shared" si="963"/>
        <v>-2.860537744241014</v>
      </c>
    </row>
    <row r="235" spans="1:20" x14ac:dyDescent="0.25">
      <c r="A235" s="5">
        <v>44358</v>
      </c>
      <c r="B235">
        <v>0.99839999999999995</v>
      </c>
      <c r="C235">
        <v>1.2366999999999999</v>
      </c>
      <c r="D235">
        <v>0.97340000000000004</v>
      </c>
      <c r="E235">
        <v>1.0337000000000001</v>
      </c>
      <c r="F235">
        <v>10998235.220000001</v>
      </c>
      <c r="G235">
        <v>0</v>
      </c>
      <c r="L235" t="s">
        <v>8</v>
      </c>
      <c r="M235" t="s">
        <v>8</v>
      </c>
      <c r="N235" t="s">
        <v>8</v>
      </c>
      <c r="P235">
        <f t="shared" si="959"/>
        <v>-0.54196733763767524</v>
      </c>
      <c r="Q235">
        <f t="shared" si="960"/>
        <v>-5960684.2608963121</v>
      </c>
      <c r="R235">
        <f t="shared" si="961"/>
        <v>-282793363.22524196</v>
      </c>
      <c r="S235">
        <f t="shared" si="962"/>
        <v>-2827.9336322524196</v>
      </c>
      <c r="T235">
        <f t="shared" si="963"/>
        <v>-2.8279336322524196</v>
      </c>
    </row>
    <row r="236" spans="1:20" x14ac:dyDescent="0.25">
      <c r="A236" s="5">
        <v>44357</v>
      </c>
      <c r="B236">
        <v>1.0538000000000001</v>
      </c>
      <c r="C236">
        <v>1.0642</v>
      </c>
      <c r="D236">
        <v>0.97929999999999995</v>
      </c>
      <c r="E236">
        <v>0.99709999999999999</v>
      </c>
      <c r="F236">
        <v>3879080.2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-0.58068315665488768</v>
      </c>
      <c r="Q236">
        <f t="shared" si="960"/>
        <v>-2252516.5354534732</v>
      </c>
      <c r="R236">
        <f t="shared" si="961"/>
        <v>-276832678.96434563</v>
      </c>
      <c r="S236">
        <f t="shared" si="962"/>
        <v>-2768.3267896434563</v>
      </c>
      <c r="T236">
        <f t="shared" si="963"/>
        <v>-2.7683267896434565</v>
      </c>
    </row>
    <row r="237" spans="1:20" x14ac:dyDescent="0.25">
      <c r="A237" s="5">
        <v>44356</v>
      </c>
      <c r="B237">
        <v>0.99719999999999998</v>
      </c>
      <c r="C237">
        <v>1.0621</v>
      </c>
      <c r="D237">
        <v>0.96360000000000001</v>
      </c>
      <c r="E237">
        <v>1.0538000000000001</v>
      </c>
      <c r="F237">
        <v>5706874.7199999997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0.83147208121827465</v>
      </c>
      <c r="Q237">
        <f t="shared" si="960"/>
        <v>4745107.0006903578</v>
      </c>
      <c r="R237">
        <f t="shared" si="961"/>
        <v>-274580162.42889214</v>
      </c>
      <c r="S237">
        <f t="shared" si="962"/>
        <v>-2745.8016242889212</v>
      </c>
      <c r="T237">
        <f t="shared" si="963"/>
        <v>-2.7458016242889212</v>
      </c>
    </row>
    <row r="238" spans="1:20" x14ac:dyDescent="0.25">
      <c r="A238" s="5">
        <v>44355</v>
      </c>
      <c r="B238">
        <v>0.99750000000000005</v>
      </c>
      <c r="C238">
        <v>1.093</v>
      </c>
      <c r="D238">
        <v>0.90780000000000005</v>
      </c>
      <c r="E238">
        <v>0.99719999999999998</v>
      </c>
      <c r="F238">
        <v>9502099.6600000001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-3.4557235421166711E-2</v>
      </c>
      <c r="Q238">
        <f t="shared" si="960"/>
        <v>-328366.29494600819</v>
      </c>
      <c r="R238">
        <f t="shared" si="961"/>
        <v>-279325269.42958248</v>
      </c>
      <c r="S238">
        <f t="shared" si="962"/>
        <v>-2793.2526942958248</v>
      </c>
      <c r="T238">
        <f t="shared" si="963"/>
        <v>-2.7932526942958247</v>
      </c>
    </row>
    <row r="239" spans="1:20" x14ac:dyDescent="0.25">
      <c r="A239" s="5">
        <v>44354</v>
      </c>
      <c r="B239">
        <v>1.0921000000000001</v>
      </c>
      <c r="C239">
        <v>1.1322000000000001</v>
      </c>
      <c r="D239">
        <v>0.9909</v>
      </c>
      <c r="E239">
        <v>0.99829999999999997</v>
      </c>
      <c r="F239">
        <v>4602399.7</v>
      </c>
      <c r="G239">
        <v>0</v>
      </c>
      <c r="L239" t="s">
        <v>8</v>
      </c>
      <c r="M239" t="s">
        <v>7</v>
      </c>
      <c r="N239" t="s">
        <v>8</v>
      </c>
      <c r="P239">
        <f t="shared" si="959"/>
        <v>-0.89525831564048186</v>
      </c>
      <c r="Q239">
        <f t="shared" si="960"/>
        <v>-4120336.6033262592</v>
      </c>
      <c r="R239">
        <f t="shared" si="961"/>
        <v>-278996903.13463646</v>
      </c>
      <c r="S239">
        <f t="shared" si="962"/>
        <v>-2789.9690313463648</v>
      </c>
      <c r="T239">
        <f t="shared" si="963"/>
        <v>-2.7899690313463648</v>
      </c>
    </row>
    <row r="240" spans="1:20" x14ac:dyDescent="0.25">
      <c r="A240" s="5">
        <v>44353</v>
      </c>
      <c r="B240">
        <v>1.0391999999999999</v>
      </c>
      <c r="C240">
        <v>1.1001000000000001</v>
      </c>
      <c r="D240">
        <v>1.0322</v>
      </c>
      <c r="E240">
        <v>1.0900000000000001</v>
      </c>
      <c r="F240">
        <v>2896586.43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0.70250368188512557</v>
      </c>
      <c r="Q240">
        <f t="shared" si="960"/>
        <v>2034862.6319734917</v>
      </c>
      <c r="R240">
        <f t="shared" si="961"/>
        <v>-274876566.5313102</v>
      </c>
      <c r="S240">
        <f t="shared" si="962"/>
        <v>-2748.7656653131021</v>
      </c>
      <c r="T240">
        <f t="shared" si="963"/>
        <v>-2.7487656653131021</v>
      </c>
    </row>
    <row r="241" spans="1:20" x14ac:dyDescent="0.25">
      <c r="A241" s="5">
        <v>44352</v>
      </c>
      <c r="B241">
        <v>1.0784</v>
      </c>
      <c r="C241">
        <v>1.1334</v>
      </c>
      <c r="D241">
        <v>1.0147999999999999</v>
      </c>
      <c r="E241">
        <v>1.0391999999999999</v>
      </c>
      <c r="F241">
        <v>3701359.58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-0.58853288364249634</v>
      </c>
      <c r="Q241">
        <f t="shared" si="960"/>
        <v>-2178371.8270151792</v>
      </c>
      <c r="R241">
        <f t="shared" si="961"/>
        <v>-276911429.16328371</v>
      </c>
      <c r="S241">
        <f t="shared" si="962"/>
        <v>-2769.1142916328372</v>
      </c>
      <c r="T241">
        <f t="shared" si="963"/>
        <v>-2.7691142916328371</v>
      </c>
    </row>
    <row r="242" spans="1:20" x14ac:dyDescent="0.25">
      <c r="A242" s="5">
        <v>44351</v>
      </c>
      <c r="B242">
        <v>1.1741999999999999</v>
      </c>
      <c r="C242">
        <v>1.1848000000000001</v>
      </c>
      <c r="D242">
        <v>1.0390999999999999</v>
      </c>
      <c r="E242">
        <v>1.0772999999999999</v>
      </c>
      <c r="F242">
        <v>6274047.4699999997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-0.47563486616334977</v>
      </c>
      <c r="Q242">
        <f t="shared" si="960"/>
        <v>-2984155.7286959533</v>
      </c>
      <c r="R242">
        <f t="shared" si="961"/>
        <v>-274733057.33626854</v>
      </c>
      <c r="S242">
        <f t="shared" si="962"/>
        <v>-2747.3305733626853</v>
      </c>
      <c r="T242">
        <f t="shared" si="963"/>
        <v>-2.7473305733626852</v>
      </c>
    </row>
    <row r="243" spans="1:20" x14ac:dyDescent="0.25">
      <c r="A243" s="5">
        <v>44350</v>
      </c>
      <c r="B243">
        <v>1.1727000000000001</v>
      </c>
      <c r="C243">
        <v>1.27</v>
      </c>
      <c r="D243">
        <v>1.1456</v>
      </c>
      <c r="E243">
        <v>1.1742999999999999</v>
      </c>
      <c r="F243">
        <v>7608561.3799999999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-0.53858520900321649</v>
      </c>
      <c r="Q243">
        <f t="shared" si="960"/>
        <v>-4097858.6210611011</v>
      </c>
      <c r="R243">
        <f t="shared" si="961"/>
        <v>-271748901.60757262</v>
      </c>
      <c r="S243">
        <f t="shared" si="962"/>
        <v>-2717.4890160757263</v>
      </c>
      <c r="T243">
        <f t="shared" si="963"/>
        <v>-2.7174890160757261</v>
      </c>
    </row>
    <row r="244" spans="1:20" x14ac:dyDescent="0.25">
      <c r="A244" s="5">
        <v>44349</v>
      </c>
      <c r="B244">
        <v>1.1084000000000001</v>
      </c>
      <c r="C244">
        <v>1.1879999999999999</v>
      </c>
      <c r="D244">
        <v>1.0928</v>
      </c>
      <c r="E244">
        <v>1.1725000000000001</v>
      </c>
      <c r="F244">
        <v>6731481.8799999999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0.67436974789916271</v>
      </c>
      <c r="Q244">
        <f t="shared" si="960"/>
        <v>4539507.7384033818</v>
      </c>
      <c r="R244">
        <f t="shared" si="961"/>
        <v>-267651042.98651153</v>
      </c>
      <c r="S244">
        <f t="shared" si="962"/>
        <v>-2676.5104298651154</v>
      </c>
      <c r="T244">
        <f t="shared" si="963"/>
        <v>-2.6765104298651154</v>
      </c>
    </row>
    <row r="245" spans="1:20" x14ac:dyDescent="0.25">
      <c r="A245" s="5">
        <v>44348</v>
      </c>
      <c r="B245">
        <v>1.0664</v>
      </c>
      <c r="C245">
        <v>1.2</v>
      </c>
      <c r="D245">
        <v>1.0245</v>
      </c>
      <c r="E245">
        <v>1.1085</v>
      </c>
      <c r="F245">
        <v>14788407.15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-4.2735042735041827E-2</v>
      </c>
      <c r="Q245">
        <f t="shared" si="960"/>
        <v>-631983.21153844811</v>
      </c>
      <c r="R245">
        <f t="shared" si="961"/>
        <v>-272190550.72491491</v>
      </c>
      <c r="S245">
        <f t="shared" si="962"/>
        <v>-2721.9055072491492</v>
      </c>
      <c r="T245">
        <f t="shared" si="963"/>
        <v>-2.7219055072491494</v>
      </c>
    </row>
    <row r="246" spans="1:20" x14ac:dyDescent="0.25">
      <c r="A246" s="5">
        <v>44347</v>
      </c>
      <c r="B246">
        <v>1.0033000000000001</v>
      </c>
      <c r="C246">
        <v>1.079</v>
      </c>
      <c r="D246">
        <v>0.94299999999999995</v>
      </c>
      <c r="E246">
        <v>1.0685</v>
      </c>
      <c r="F246">
        <v>5585331.9900000002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0.84558823529411831</v>
      </c>
      <c r="Q246">
        <f t="shared" si="960"/>
        <v>4722891.0209558867</v>
      </c>
      <c r="R246">
        <f t="shared" si="961"/>
        <v>-271558567.51337647</v>
      </c>
      <c r="S246">
        <f t="shared" si="962"/>
        <v>-2715.5856751337647</v>
      </c>
      <c r="T246">
        <f t="shared" si="963"/>
        <v>-2.7155856751337648</v>
      </c>
    </row>
    <row r="247" spans="1:20" x14ac:dyDescent="0.25">
      <c r="A247" s="5">
        <v>44346</v>
      </c>
      <c r="B247">
        <v>0.95979999999999999</v>
      </c>
      <c r="C247">
        <v>1.093</v>
      </c>
      <c r="D247">
        <v>0.90200000000000002</v>
      </c>
      <c r="E247">
        <v>1.0033000000000001</v>
      </c>
      <c r="F247">
        <v>7366502.7999999998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6.0732984293194604E-2</v>
      </c>
      <c r="Q247">
        <f t="shared" si="960"/>
        <v>447389.69884817407</v>
      </c>
      <c r="R247">
        <f t="shared" si="961"/>
        <v>-276281458.53433233</v>
      </c>
      <c r="S247">
        <f t="shared" si="962"/>
        <v>-2762.8145853433234</v>
      </c>
      <c r="T247">
        <f t="shared" si="963"/>
        <v>-2.7628145853433232</v>
      </c>
    </row>
    <row r="248" spans="1:20" x14ac:dyDescent="0.25">
      <c r="A248" s="5">
        <v>44345</v>
      </c>
      <c r="B248">
        <v>1.0530999999999999</v>
      </c>
      <c r="C248">
        <v>1.0985</v>
      </c>
      <c r="D248">
        <v>0.92210000000000003</v>
      </c>
      <c r="E248">
        <v>0.96109999999999995</v>
      </c>
      <c r="F248">
        <v>5592491.5899999999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-0.55782312925170152</v>
      </c>
      <c r="Q248">
        <f t="shared" si="960"/>
        <v>-3119621.1590476236</v>
      </c>
      <c r="R248">
        <f t="shared" si="961"/>
        <v>-276728848.23318052</v>
      </c>
      <c r="S248">
        <f t="shared" si="962"/>
        <v>-2767.2884823318054</v>
      </c>
      <c r="T248">
        <f t="shared" si="963"/>
        <v>-2.7672884823318054</v>
      </c>
    </row>
    <row r="249" spans="1:20" x14ac:dyDescent="0.25">
      <c r="A249" s="5">
        <v>44344</v>
      </c>
      <c r="B249">
        <v>1.2269000000000001</v>
      </c>
      <c r="C249">
        <v>1.2349000000000001</v>
      </c>
      <c r="D249">
        <v>1.0235000000000001</v>
      </c>
      <c r="E249">
        <v>1.0552999999999999</v>
      </c>
      <c r="F249">
        <v>6035016.5800000001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-0.69914853358562135</v>
      </c>
      <c r="Q249">
        <f t="shared" si="960"/>
        <v>-4219372.9920719117</v>
      </c>
      <c r="R249">
        <f t="shared" si="961"/>
        <v>-273609227.07413292</v>
      </c>
      <c r="S249">
        <f t="shared" si="962"/>
        <v>-2736.0922707413292</v>
      </c>
      <c r="T249">
        <f t="shared" si="963"/>
        <v>-2.7360922707413291</v>
      </c>
    </row>
    <row r="250" spans="1:20" x14ac:dyDescent="0.25">
      <c r="A250" s="5">
        <v>44343</v>
      </c>
      <c r="B250">
        <v>1.2681</v>
      </c>
      <c r="C250">
        <v>1.359</v>
      </c>
      <c r="D250">
        <v>1.1518999999999999</v>
      </c>
      <c r="E250">
        <v>1.2269000000000001</v>
      </c>
      <c r="F250">
        <v>7407117.9100000001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-0.27571221632061654</v>
      </c>
      <c r="Q250">
        <f t="shared" si="960"/>
        <v>-2042232.895514233</v>
      </c>
      <c r="R250">
        <f t="shared" si="961"/>
        <v>-269389854.08206099</v>
      </c>
      <c r="S250">
        <f t="shared" si="962"/>
        <v>-2693.8985408206099</v>
      </c>
      <c r="T250">
        <f t="shared" si="963"/>
        <v>-2.69389854082061</v>
      </c>
    </row>
    <row r="251" spans="1:20" x14ac:dyDescent="0.25">
      <c r="A251" s="5">
        <v>44342</v>
      </c>
      <c r="B251">
        <v>1.1754</v>
      </c>
      <c r="C251">
        <v>1.2926</v>
      </c>
      <c r="D251">
        <v>1.1418999999999999</v>
      </c>
      <c r="E251">
        <v>1.2682</v>
      </c>
      <c r="F251">
        <v>6836250.1200000001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0.67617783676177878</v>
      </c>
      <c r="Q251">
        <f t="shared" si="960"/>
        <v>4622520.8177040508</v>
      </c>
      <c r="R251">
        <f t="shared" si="961"/>
        <v>-267347621.18654677</v>
      </c>
      <c r="S251">
        <f t="shared" si="962"/>
        <v>-2673.4762118654676</v>
      </c>
      <c r="T251">
        <f t="shared" si="963"/>
        <v>-2.6734762118654674</v>
      </c>
    </row>
    <row r="252" spans="1:20" x14ac:dyDescent="0.25">
      <c r="A252" s="5">
        <v>44341</v>
      </c>
      <c r="B252">
        <v>1.1618999999999999</v>
      </c>
      <c r="C252">
        <v>1.1964999999999999</v>
      </c>
      <c r="D252">
        <v>1.0177</v>
      </c>
      <c r="E252">
        <v>1.1748000000000001</v>
      </c>
      <c r="F252">
        <v>8439536.5099999998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0.75727069351230591</v>
      </c>
      <c r="Q252">
        <f t="shared" si="960"/>
        <v>6391013.6658501262</v>
      </c>
      <c r="R252">
        <f t="shared" si="961"/>
        <v>-271970142.00425082</v>
      </c>
      <c r="S252">
        <f t="shared" si="962"/>
        <v>-2719.7014200425083</v>
      </c>
      <c r="T252">
        <f t="shared" si="963"/>
        <v>-2.7197014200425085</v>
      </c>
    </row>
    <row r="253" spans="1:20" x14ac:dyDescent="0.25">
      <c r="A253" s="5">
        <v>44340</v>
      </c>
      <c r="B253">
        <v>0.91539999999999999</v>
      </c>
      <c r="C253">
        <v>1.17</v>
      </c>
      <c r="D253">
        <v>0.88539999999999996</v>
      </c>
      <c r="E253">
        <v>1.1618999999999999</v>
      </c>
      <c r="F253">
        <v>8531262.1600000001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0.94307800421644417</v>
      </c>
      <c r="Q253">
        <f t="shared" si="960"/>
        <v>8045645.6913000708</v>
      </c>
      <c r="R253">
        <f t="shared" si="961"/>
        <v>-278361155.67010093</v>
      </c>
      <c r="S253">
        <f t="shared" si="962"/>
        <v>-2783.6115567010092</v>
      </c>
      <c r="T253">
        <f t="shared" si="963"/>
        <v>-2.7836115567010093</v>
      </c>
    </row>
    <row r="254" spans="1:20" x14ac:dyDescent="0.25">
      <c r="A254" s="5">
        <v>44339</v>
      </c>
      <c r="B254">
        <v>1.0935999999999999</v>
      </c>
      <c r="C254">
        <v>1.1363000000000001</v>
      </c>
      <c r="D254">
        <v>0.73199999999999998</v>
      </c>
      <c r="E254">
        <v>0.91559999999999997</v>
      </c>
      <c r="F254">
        <v>10685347.27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-9.1763541924313935E-2</v>
      </c>
      <c r="Q254">
        <f t="shared" si="960"/>
        <v>-980525.31218649843</v>
      </c>
      <c r="R254">
        <f t="shared" si="961"/>
        <v>-286406801.36140102</v>
      </c>
      <c r="S254">
        <f t="shared" si="962"/>
        <v>-2864.0680136140104</v>
      </c>
      <c r="T254">
        <f t="shared" si="963"/>
        <v>-2.8640680136140104</v>
      </c>
    </row>
    <row r="255" spans="1:20" x14ac:dyDescent="0.25">
      <c r="A255" s="5">
        <v>44338</v>
      </c>
      <c r="B255">
        <v>1.2118</v>
      </c>
      <c r="C255">
        <v>1.2351000000000001</v>
      </c>
      <c r="D255">
        <v>1.0640000000000001</v>
      </c>
      <c r="E255">
        <v>1.0945</v>
      </c>
      <c r="F255">
        <v>4724909.13</v>
      </c>
      <c r="G255">
        <v>0</v>
      </c>
      <c r="L255" t="s">
        <v>8</v>
      </c>
      <c r="M255" t="s">
        <v>7</v>
      </c>
      <c r="N255" t="s">
        <v>7</v>
      </c>
      <c r="P255">
        <f t="shared" si="959"/>
        <v>-0.64348334307422594</v>
      </c>
      <c r="Q255">
        <f t="shared" si="960"/>
        <v>-3040400.3226943323</v>
      </c>
      <c r="R255">
        <f t="shared" si="961"/>
        <v>-285426276.04921454</v>
      </c>
      <c r="S255">
        <f t="shared" si="962"/>
        <v>-2854.2627604921454</v>
      </c>
      <c r="T255">
        <f t="shared" si="963"/>
        <v>-2.8542627604921456</v>
      </c>
    </row>
    <row r="256" spans="1:20" x14ac:dyDescent="0.25">
      <c r="A256" s="5">
        <v>44337</v>
      </c>
      <c r="B256">
        <v>1.4118999999999999</v>
      </c>
      <c r="C256">
        <v>1.4971000000000001</v>
      </c>
      <c r="D256">
        <v>1.0771999999999999</v>
      </c>
      <c r="E256">
        <v>1.2117</v>
      </c>
      <c r="F256">
        <v>6529615.5199999996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-0.35937127887592279</v>
      </c>
      <c r="Q256">
        <f t="shared" si="960"/>
        <v>-2346556.2799904733</v>
      </c>
      <c r="R256">
        <f t="shared" si="961"/>
        <v>-282385875.72652018</v>
      </c>
      <c r="S256">
        <f t="shared" si="962"/>
        <v>-2823.8587572652018</v>
      </c>
      <c r="T256">
        <f t="shared" si="963"/>
        <v>-2.8238587572652016</v>
      </c>
    </row>
    <row r="257" spans="1:20" x14ac:dyDescent="0.25">
      <c r="A257" s="5">
        <v>44336</v>
      </c>
      <c r="B257">
        <v>1.2566999999999999</v>
      </c>
      <c r="C257">
        <v>1.5019</v>
      </c>
      <c r="D257">
        <v>1.1599999999999999</v>
      </c>
      <c r="E257">
        <v>1.4137999999999999</v>
      </c>
      <c r="F257">
        <v>8590484.1699999999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0.48464463293360605</v>
      </c>
      <c r="Q257">
        <f t="shared" si="960"/>
        <v>4163332.0472916034</v>
      </c>
      <c r="R257">
        <f t="shared" si="961"/>
        <v>-280039319.44652969</v>
      </c>
      <c r="S257">
        <f t="shared" si="962"/>
        <v>-2800.3931944652968</v>
      </c>
      <c r="T257">
        <f t="shared" si="963"/>
        <v>-2.8003931944652969</v>
      </c>
    </row>
    <row r="258" spans="1:20" x14ac:dyDescent="0.25">
      <c r="A258" s="5">
        <v>44335</v>
      </c>
      <c r="B258">
        <v>2.0032000000000001</v>
      </c>
      <c r="C258">
        <v>2.0577999999999999</v>
      </c>
      <c r="D258">
        <v>0.98</v>
      </c>
      <c r="E258">
        <v>1.2567999999999999</v>
      </c>
      <c r="F258">
        <v>18537396.050000001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-0.48636110595657828</v>
      </c>
      <c r="Q258">
        <f t="shared" si="960"/>
        <v>-9015868.4444331061</v>
      </c>
      <c r="R258">
        <f t="shared" si="961"/>
        <v>-284202651.49382126</v>
      </c>
      <c r="S258">
        <f t="shared" si="962"/>
        <v>-2842.0265149382126</v>
      </c>
      <c r="T258">
        <f t="shared" si="963"/>
        <v>-2.8420265149382127</v>
      </c>
    </row>
    <row r="259" spans="1:20" x14ac:dyDescent="0.25">
      <c r="A259" s="5">
        <v>44334</v>
      </c>
      <c r="B259">
        <v>2.0568</v>
      </c>
      <c r="C259">
        <v>2.3191000000000002</v>
      </c>
      <c r="D259">
        <v>1.9500999999999999</v>
      </c>
      <c r="E259">
        <v>1.9992000000000001</v>
      </c>
      <c r="F259">
        <v>12802162.119999999</v>
      </c>
      <c r="G259">
        <v>0</v>
      </c>
      <c r="L259" t="s">
        <v>7</v>
      </c>
      <c r="M259" t="s">
        <v>7</v>
      </c>
      <c r="N259" t="s">
        <v>8</v>
      </c>
      <c r="P259">
        <f t="shared" si="959"/>
        <v>-0.73387533875338695</v>
      </c>
      <c r="Q259">
        <f t="shared" si="960"/>
        <v>-9395191.0625907779</v>
      </c>
      <c r="R259">
        <f t="shared" si="961"/>
        <v>-275186783.04938817</v>
      </c>
      <c r="S259">
        <f t="shared" si="962"/>
        <v>-2751.8678304938817</v>
      </c>
      <c r="T259">
        <f t="shared" si="963"/>
        <v>-2.7518678304938815</v>
      </c>
    </row>
    <row r="260" spans="1:20" x14ac:dyDescent="0.25">
      <c r="A260" s="5">
        <v>44333</v>
      </c>
      <c r="B260">
        <v>1.8461000000000001</v>
      </c>
      <c r="C260">
        <v>2.3675000000000002</v>
      </c>
      <c r="D260">
        <v>1.7129000000000001</v>
      </c>
      <c r="E260">
        <v>2.0558999999999998</v>
      </c>
      <c r="F260">
        <v>26226781.190000001</v>
      </c>
      <c r="G260">
        <v>0</v>
      </c>
      <c r="L260" t="s">
        <v>8</v>
      </c>
      <c r="M260" t="s">
        <v>8</v>
      </c>
      <c r="N260" t="s">
        <v>8</v>
      </c>
      <c r="P260">
        <f t="shared" si="959"/>
        <v>4.7968224870148832E-2</v>
      </c>
      <c r="Q260">
        <f t="shared" si="960"/>
        <v>1258052.1377421096</v>
      </c>
      <c r="R260">
        <f t="shared" si="961"/>
        <v>-265791591.98679739</v>
      </c>
      <c r="S260">
        <f t="shared" si="962"/>
        <v>-2657.915919867974</v>
      </c>
      <c r="T260">
        <f t="shared" si="963"/>
        <v>-2.6579159198679738</v>
      </c>
    </row>
    <row r="261" spans="1:20" x14ac:dyDescent="0.25">
      <c r="A261" s="5">
        <v>44332</v>
      </c>
      <c r="B261">
        <v>1.8002</v>
      </c>
      <c r="C261">
        <v>1.9278999999999999</v>
      </c>
      <c r="D261">
        <v>1.6189</v>
      </c>
      <c r="E261">
        <v>1.8462000000000001</v>
      </c>
      <c r="F261">
        <v>5819829.8700000001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0.47119741100323692</v>
      </c>
      <c r="Q261">
        <f t="shared" si="960"/>
        <v>2742288.7672233051</v>
      </c>
      <c r="R261">
        <f t="shared" si="961"/>
        <v>-267049644.12453949</v>
      </c>
      <c r="S261">
        <f t="shared" si="962"/>
        <v>-2670.4964412453951</v>
      </c>
      <c r="T261">
        <f t="shared" si="963"/>
        <v>-2.6704964412453949</v>
      </c>
    </row>
    <row r="262" spans="1:20" x14ac:dyDescent="0.25">
      <c r="A262" s="5">
        <v>44331</v>
      </c>
      <c r="B262">
        <v>1.9974000000000001</v>
      </c>
      <c r="C262">
        <v>2.0207999999999999</v>
      </c>
      <c r="D262">
        <v>1.7564</v>
      </c>
      <c r="E262">
        <v>1.7985</v>
      </c>
      <c r="F262">
        <v>4390439.51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-0.68154311649016619</v>
      </c>
      <c r="Q262">
        <f t="shared" ref="Q262:Q325" si="965">F262*P262</f>
        <v>-2992273.826406958</v>
      </c>
      <c r="R262">
        <f t="shared" ref="R262:R325" si="966">R263+Q262</f>
        <v>-269791932.89176279</v>
      </c>
      <c r="S262">
        <f t="shared" ref="S262:S325" si="967">R262/100000</f>
        <v>-2697.9193289176278</v>
      </c>
      <c r="T262">
        <f t="shared" ref="T262:T325" si="968">S262/1000</f>
        <v>-2.697919328917628</v>
      </c>
    </row>
    <row r="263" spans="1:20" x14ac:dyDescent="0.25">
      <c r="A263" s="5">
        <v>44330</v>
      </c>
      <c r="B263">
        <v>1.81</v>
      </c>
      <c r="C263">
        <v>2.1036999999999999</v>
      </c>
      <c r="D263">
        <v>1.8</v>
      </c>
      <c r="E263">
        <v>1.996</v>
      </c>
      <c r="F263">
        <v>5032286.5199999996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0.29074744813961173</v>
      </c>
      <c r="Q263">
        <f t="shared" si="965"/>
        <v>1463124.4639973671</v>
      </c>
      <c r="R263">
        <f t="shared" si="966"/>
        <v>-266799659.06535581</v>
      </c>
      <c r="S263">
        <f t="shared" si="967"/>
        <v>-2667.9965906535581</v>
      </c>
      <c r="T263">
        <f t="shared" si="968"/>
        <v>-2.6679965906535581</v>
      </c>
    </row>
    <row r="264" spans="1:20" x14ac:dyDescent="0.25">
      <c r="A264" s="5">
        <v>44329</v>
      </c>
      <c r="B264">
        <v>1.7786999999999999</v>
      </c>
      <c r="C264">
        <v>1.9483999999999999</v>
      </c>
      <c r="D264">
        <v>1.7</v>
      </c>
      <c r="E264">
        <v>1.8129</v>
      </c>
      <c r="F264">
        <v>5846249.0199999996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-9.0982286634460383E-2</v>
      </c>
      <c r="Q264">
        <f t="shared" si="965"/>
        <v>-531905.10407407302</v>
      </c>
      <c r="R264">
        <f t="shared" si="966"/>
        <v>-268262783.52935317</v>
      </c>
      <c r="S264">
        <f t="shared" si="967"/>
        <v>-2682.6278352935319</v>
      </c>
      <c r="T264">
        <f t="shared" si="968"/>
        <v>-2.6826278352935318</v>
      </c>
    </row>
    <row r="265" spans="1:20" x14ac:dyDescent="0.25">
      <c r="A265" s="5">
        <v>44328</v>
      </c>
      <c r="B265">
        <v>2.1474000000000002</v>
      </c>
      <c r="C265">
        <v>2.1856</v>
      </c>
      <c r="D265">
        <v>1.77</v>
      </c>
      <c r="E265">
        <v>1.7787999999999999</v>
      </c>
      <c r="F265">
        <v>5305802.32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-0.95765158806544792</v>
      </c>
      <c r="Q265">
        <f t="shared" si="965"/>
        <v>-5081110.0177093381</v>
      </c>
      <c r="R265">
        <f t="shared" si="966"/>
        <v>-267730878.42527911</v>
      </c>
      <c r="S265">
        <f t="shared" si="967"/>
        <v>-2677.3087842527912</v>
      </c>
      <c r="T265">
        <f t="shared" si="968"/>
        <v>-2.6773087842527912</v>
      </c>
    </row>
    <row r="266" spans="1:20" x14ac:dyDescent="0.25">
      <c r="A266" s="5">
        <v>44327</v>
      </c>
      <c r="B266">
        <v>2.0756999999999999</v>
      </c>
      <c r="C266">
        <v>2.1705999999999999</v>
      </c>
      <c r="D266">
        <v>1.9655</v>
      </c>
      <c r="E266">
        <v>2.1454</v>
      </c>
      <c r="F266">
        <v>6208512.5199999996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0.75426621160409646</v>
      </c>
      <c r="Q266">
        <f t="shared" si="965"/>
        <v>4682871.2181570018</v>
      </c>
      <c r="R266">
        <f t="shared" si="966"/>
        <v>-262649768.40756977</v>
      </c>
      <c r="S266">
        <f t="shared" si="967"/>
        <v>-2626.4976840756976</v>
      </c>
      <c r="T266">
        <f t="shared" si="968"/>
        <v>-2.6264976840756975</v>
      </c>
    </row>
    <row r="267" spans="1:20" x14ac:dyDescent="0.25">
      <c r="A267" s="5">
        <v>44326</v>
      </c>
      <c r="B267">
        <v>2.1520999999999999</v>
      </c>
      <c r="C267">
        <v>2.5630999999999999</v>
      </c>
      <c r="D267">
        <v>1.9912000000000001</v>
      </c>
      <c r="E267">
        <v>2.0785999999999998</v>
      </c>
      <c r="F267">
        <v>12118136.050000001</v>
      </c>
      <c r="G267">
        <v>0</v>
      </c>
      <c r="L267" t="s">
        <v>7</v>
      </c>
      <c r="M267" t="s">
        <v>8</v>
      </c>
      <c r="N267" t="s">
        <v>7</v>
      </c>
      <c r="P267">
        <f t="shared" si="964"/>
        <v>-0.69435215946843953</v>
      </c>
      <c r="Q267">
        <f t="shared" si="965"/>
        <v>-8414253.9350498468</v>
      </c>
      <c r="R267">
        <f t="shared" si="966"/>
        <v>-267332639.62572676</v>
      </c>
      <c r="S267">
        <f t="shared" si="967"/>
        <v>-2673.3263962572678</v>
      </c>
      <c r="T267">
        <f t="shared" si="968"/>
        <v>-2.6733263962572678</v>
      </c>
    </row>
    <row r="268" spans="1:20" x14ac:dyDescent="0.25">
      <c r="A268" s="5">
        <v>44325</v>
      </c>
      <c r="B268">
        <v>2.2261000000000002</v>
      </c>
      <c r="C268">
        <v>2.323</v>
      </c>
      <c r="D268">
        <v>2.0516999999999999</v>
      </c>
      <c r="E268">
        <v>2.1516999999999999</v>
      </c>
      <c r="F268">
        <v>5313413.34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-0.26280869885735308</v>
      </c>
      <c r="Q268">
        <f t="shared" si="965"/>
        <v>-1396411.2463767026</v>
      </c>
      <c r="R268">
        <f t="shared" si="966"/>
        <v>-258918385.69067693</v>
      </c>
      <c r="S268">
        <f t="shared" si="967"/>
        <v>-2589.1838569067691</v>
      </c>
      <c r="T268">
        <f t="shared" si="968"/>
        <v>-2.5891838569067689</v>
      </c>
    </row>
    <row r="269" spans="1:20" x14ac:dyDescent="0.25">
      <c r="A269" s="5">
        <v>44324</v>
      </c>
      <c r="B269">
        <v>2.2827000000000002</v>
      </c>
      <c r="C269">
        <v>2.38</v>
      </c>
      <c r="D269">
        <v>2.1688999999999998</v>
      </c>
      <c r="E269">
        <v>2.2279</v>
      </c>
      <c r="F269">
        <v>6055080.0599999996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-0.44102321174798537</v>
      </c>
      <c r="Q269">
        <f t="shared" si="965"/>
        <v>-2670430.8554523839</v>
      </c>
      <c r="R269">
        <f t="shared" si="966"/>
        <v>-257521974.44430023</v>
      </c>
      <c r="S269">
        <f t="shared" si="967"/>
        <v>-2575.2197444430021</v>
      </c>
      <c r="T269">
        <f t="shared" si="968"/>
        <v>-2.5752197444430021</v>
      </c>
    </row>
    <row r="270" spans="1:20" x14ac:dyDescent="0.25">
      <c r="A270" s="5">
        <v>44323</v>
      </c>
      <c r="B270">
        <v>2.3456999999999999</v>
      </c>
      <c r="C270">
        <v>2.3975</v>
      </c>
      <c r="D270">
        <v>2.2259000000000002</v>
      </c>
      <c r="E270">
        <v>2.2829000000000002</v>
      </c>
      <c r="F270">
        <v>6258210.4100000001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-0.3356643356643354</v>
      </c>
      <c r="Q270">
        <f t="shared" si="965"/>
        <v>-2100658.0397202782</v>
      </c>
      <c r="R270">
        <f t="shared" si="966"/>
        <v>-254851543.58884785</v>
      </c>
      <c r="S270">
        <f t="shared" si="967"/>
        <v>-2548.5154358884784</v>
      </c>
      <c r="T270">
        <f t="shared" si="968"/>
        <v>-2.5485154358884783</v>
      </c>
    </row>
    <row r="271" spans="1:20" x14ac:dyDescent="0.25">
      <c r="A271" s="5">
        <v>44322</v>
      </c>
      <c r="B271">
        <v>2.4304000000000001</v>
      </c>
      <c r="C271">
        <v>2.5499999999999998</v>
      </c>
      <c r="D271">
        <v>2.2999999999999998</v>
      </c>
      <c r="E271">
        <v>2.3450000000000002</v>
      </c>
      <c r="F271">
        <v>7935078.9900000002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-0.63999999999999702</v>
      </c>
      <c r="Q271">
        <f t="shared" si="965"/>
        <v>-5078450.553599976</v>
      </c>
      <c r="R271">
        <f t="shared" si="966"/>
        <v>-252750885.54912758</v>
      </c>
      <c r="S271">
        <f t="shared" si="967"/>
        <v>-2527.5088554912759</v>
      </c>
      <c r="T271">
        <f t="shared" si="968"/>
        <v>-2.5275088554912757</v>
      </c>
    </row>
    <row r="272" spans="1:20" x14ac:dyDescent="0.25">
      <c r="A272" s="5">
        <v>44321</v>
      </c>
      <c r="B272">
        <v>2.2679999999999998</v>
      </c>
      <c r="C272">
        <v>2.4615999999999998</v>
      </c>
      <c r="D272">
        <v>2.2290000000000001</v>
      </c>
      <c r="E272">
        <v>2.4279999999999999</v>
      </c>
      <c r="F272">
        <v>7189263.3300000001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0.71109200343938184</v>
      </c>
      <c r="Q272">
        <f t="shared" si="965"/>
        <v>5112227.6645829817</v>
      </c>
      <c r="R272">
        <f t="shared" si="966"/>
        <v>-247672434.9955276</v>
      </c>
      <c r="S272">
        <f t="shared" si="967"/>
        <v>-2476.724349955276</v>
      </c>
      <c r="T272">
        <f t="shared" si="968"/>
        <v>-2.4767243499552758</v>
      </c>
    </row>
    <row r="273" spans="1:20" x14ac:dyDescent="0.25">
      <c r="A273" s="5">
        <v>44320</v>
      </c>
      <c r="B273">
        <v>2.6292</v>
      </c>
      <c r="C273">
        <v>2.6341999999999999</v>
      </c>
      <c r="D273">
        <v>2.1970999999999998</v>
      </c>
      <c r="E273">
        <v>2.2685</v>
      </c>
      <c r="F273">
        <v>9869892.0099999998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-0.67330130404941602</v>
      </c>
      <c r="Q273">
        <f t="shared" si="965"/>
        <v>-6645411.1611599112</v>
      </c>
      <c r="R273">
        <f t="shared" si="966"/>
        <v>-252784662.66011056</v>
      </c>
      <c r="S273">
        <f t="shared" si="967"/>
        <v>-2527.8466266011055</v>
      </c>
      <c r="T273">
        <f t="shared" si="968"/>
        <v>-2.5278466266011055</v>
      </c>
    </row>
    <row r="274" spans="1:20" x14ac:dyDescent="0.25">
      <c r="A274" s="5">
        <v>44319</v>
      </c>
      <c r="B274">
        <v>2.6836000000000002</v>
      </c>
      <c r="C274">
        <v>2.8698000000000001</v>
      </c>
      <c r="D274">
        <v>2.5583</v>
      </c>
      <c r="E274">
        <v>2.6328</v>
      </c>
      <c r="F274">
        <v>11031807.560000001</v>
      </c>
      <c r="G274">
        <v>0</v>
      </c>
      <c r="L274" t="s">
        <v>7</v>
      </c>
      <c r="M274" t="s">
        <v>7</v>
      </c>
      <c r="N274" t="s">
        <v>8</v>
      </c>
      <c r="P274">
        <f t="shared" si="964"/>
        <v>-0.52166934189406111</v>
      </c>
      <c r="Q274">
        <f t="shared" si="965"/>
        <v>-5754955.7897271281</v>
      </c>
      <c r="R274">
        <f t="shared" si="966"/>
        <v>-246139251.49895066</v>
      </c>
      <c r="S274">
        <f t="shared" si="967"/>
        <v>-2461.3925149895067</v>
      </c>
      <c r="T274">
        <f t="shared" si="968"/>
        <v>-2.4613925149895066</v>
      </c>
    </row>
    <row r="275" spans="1:20" x14ac:dyDescent="0.25">
      <c r="A275" s="5">
        <v>44318</v>
      </c>
      <c r="B275">
        <v>2.6692</v>
      </c>
      <c r="C275">
        <v>3.0926999999999998</v>
      </c>
      <c r="D275">
        <v>2.4923999999999999</v>
      </c>
      <c r="E275">
        <v>2.6836000000000002</v>
      </c>
      <c r="F275">
        <v>26568892.050000001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-0.36298517407962583</v>
      </c>
      <c r="Q275">
        <f t="shared" si="965"/>
        <v>-9644113.9058720376</v>
      </c>
      <c r="R275">
        <f t="shared" si="966"/>
        <v>-240384295.70922354</v>
      </c>
      <c r="S275">
        <f t="shared" si="967"/>
        <v>-2403.8429570922353</v>
      </c>
      <c r="T275">
        <f t="shared" si="968"/>
        <v>-2.4038429570922353</v>
      </c>
    </row>
    <row r="276" spans="1:20" x14ac:dyDescent="0.25">
      <c r="A276" s="5">
        <v>44317</v>
      </c>
      <c r="B276">
        <v>2.2726999999999999</v>
      </c>
      <c r="C276">
        <v>2.85</v>
      </c>
      <c r="D276">
        <v>2.2288999999999999</v>
      </c>
      <c r="E276">
        <v>2.6688000000000001</v>
      </c>
      <c r="F276">
        <v>21404911.350000001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0.41651907905329266</v>
      </c>
      <c r="Q276">
        <f t="shared" si="965"/>
        <v>8915553.9627193715</v>
      </c>
      <c r="R276">
        <f t="shared" si="966"/>
        <v>-230740181.80335149</v>
      </c>
      <c r="S276">
        <f t="shared" si="967"/>
        <v>-2307.4018180335147</v>
      </c>
      <c r="T276">
        <f t="shared" si="968"/>
        <v>-2.3074018180335147</v>
      </c>
    </row>
    <row r="277" spans="1:20" x14ac:dyDescent="0.25">
      <c r="A277" s="5">
        <v>44316</v>
      </c>
      <c r="B277">
        <v>2.2162999999999999</v>
      </c>
      <c r="C277">
        <v>2.3971</v>
      </c>
      <c r="D277">
        <v>2.1682999999999999</v>
      </c>
      <c r="E277">
        <v>2.2719</v>
      </c>
      <c r="F277">
        <v>6332410.5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-9.4405594405593665E-2</v>
      </c>
      <c r="Q277">
        <f t="shared" si="965"/>
        <v>-597814.97727272264</v>
      </c>
      <c r="R277">
        <f t="shared" si="966"/>
        <v>-239655735.76607087</v>
      </c>
      <c r="S277">
        <f t="shared" si="967"/>
        <v>-2396.5573576607089</v>
      </c>
      <c r="T277">
        <f t="shared" si="968"/>
        <v>-2.3965573576607091</v>
      </c>
    </row>
    <row r="278" spans="1:20" x14ac:dyDescent="0.25">
      <c r="A278" s="5">
        <v>44315</v>
      </c>
      <c r="B278">
        <v>2.2635000000000001</v>
      </c>
      <c r="C278">
        <v>2.3942999999999999</v>
      </c>
      <c r="D278">
        <v>2.1143000000000001</v>
      </c>
      <c r="E278">
        <v>2.2189000000000001</v>
      </c>
      <c r="F278">
        <v>7136883.5899999999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-0.25285714285714217</v>
      </c>
      <c r="Q278">
        <f t="shared" si="965"/>
        <v>-1804611.9934714236</v>
      </c>
      <c r="R278">
        <f t="shared" si="966"/>
        <v>-239057920.78879815</v>
      </c>
      <c r="S278">
        <f t="shared" si="967"/>
        <v>-2390.5792078879817</v>
      </c>
      <c r="T278">
        <f t="shared" si="968"/>
        <v>-2.3905792078879817</v>
      </c>
    </row>
    <row r="279" spans="1:20" x14ac:dyDescent="0.25">
      <c r="A279" s="5">
        <v>44314</v>
      </c>
      <c r="B279">
        <v>2.4426999999999999</v>
      </c>
      <c r="C279">
        <v>2.4653</v>
      </c>
      <c r="D279">
        <v>2.1051000000000002</v>
      </c>
      <c r="E279">
        <v>2.2660999999999998</v>
      </c>
      <c r="F279">
        <v>10022992.99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-0.10605219322598748</v>
      </c>
      <c r="Q279">
        <f t="shared" si="965"/>
        <v>-1062960.3892781981</v>
      </c>
      <c r="R279">
        <f t="shared" si="966"/>
        <v>-237253308.79532674</v>
      </c>
      <c r="S279">
        <f t="shared" si="967"/>
        <v>-2372.5330879532676</v>
      </c>
      <c r="T279">
        <f t="shared" si="968"/>
        <v>-2.3725330879532676</v>
      </c>
    </row>
    <row r="280" spans="1:20" x14ac:dyDescent="0.25">
      <c r="A280" s="5">
        <v>44313</v>
      </c>
      <c r="B280">
        <v>2.2719999999999998</v>
      </c>
      <c r="C280">
        <v>2.4857999999999998</v>
      </c>
      <c r="D280">
        <v>2.1629</v>
      </c>
      <c r="E280">
        <v>2.4386000000000001</v>
      </c>
      <c r="F280">
        <v>13971950.970000001</v>
      </c>
      <c r="G280">
        <v>0</v>
      </c>
      <c r="L280" t="s">
        <v>7</v>
      </c>
      <c r="M280" t="s">
        <v>8</v>
      </c>
      <c r="N280" t="s">
        <v>8</v>
      </c>
      <c r="P280">
        <f t="shared" si="964"/>
        <v>0.70764942706720513</v>
      </c>
      <c r="Q280">
        <f t="shared" si="965"/>
        <v>9887243.0989315808</v>
      </c>
      <c r="R280">
        <f t="shared" si="966"/>
        <v>-236190348.40604854</v>
      </c>
      <c r="S280">
        <f t="shared" si="967"/>
        <v>-2361.9034840604854</v>
      </c>
      <c r="T280">
        <f t="shared" si="968"/>
        <v>-2.3619034840604853</v>
      </c>
    </row>
    <row r="281" spans="1:20" x14ac:dyDescent="0.25">
      <c r="A281" s="5">
        <v>44312</v>
      </c>
      <c r="B281">
        <v>1.9395</v>
      </c>
      <c r="C281">
        <v>2.5</v>
      </c>
      <c r="D281">
        <v>1.9179999999999999</v>
      </c>
      <c r="E281">
        <v>2.2738999999999998</v>
      </c>
      <c r="F281">
        <v>21838167.079999998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0.22302405498281733</v>
      </c>
      <c r="Q281">
        <f t="shared" si="965"/>
        <v>4870436.5755738709</v>
      </c>
      <c r="R281">
        <f t="shared" si="966"/>
        <v>-246077591.50498012</v>
      </c>
      <c r="S281">
        <f t="shared" si="967"/>
        <v>-2460.7759150498014</v>
      </c>
      <c r="T281">
        <f t="shared" si="968"/>
        <v>-2.4607759150498012</v>
      </c>
    </row>
    <row r="282" spans="1:20" x14ac:dyDescent="0.25">
      <c r="A282" s="5">
        <v>44311</v>
      </c>
      <c r="B282">
        <v>1.93601</v>
      </c>
      <c r="C282">
        <v>2.27</v>
      </c>
      <c r="D282">
        <v>1.76406</v>
      </c>
      <c r="E282">
        <v>1.9395</v>
      </c>
      <c r="F282">
        <v>26898486.129999999</v>
      </c>
      <c r="G282">
        <v>0</v>
      </c>
      <c r="L282" t="s">
        <v>8</v>
      </c>
      <c r="M282" t="s">
        <v>8</v>
      </c>
      <c r="N282" t="s">
        <v>8</v>
      </c>
      <c r="P282">
        <f t="shared" si="964"/>
        <v>-0.3064790291338893</v>
      </c>
      <c r="Q282">
        <f t="shared" si="965"/>
        <v>-8243821.9142937874</v>
      </c>
      <c r="R282">
        <f t="shared" si="966"/>
        <v>-250948028.08055398</v>
      </c>
      <c r="S282">
        <f t="shared" si="967"/>
        <v>-2509.4802808055397</v>
      </c>
      <c r="T282">
        <f t="shared" si="968"/>
        <v>-2.5094802808055396</v>
      </c>
    </row>
    <row r="283" spans="1:20" x14ac:dyDescent="0.25">
      <c r="A283" s="5">
        <v>44310</v>
      </c>
      <c r="B283">
        <v>1.60425</v>
      </c>
      <c r="C283">
        <v>2.0998899999999998</v>
      </c>
      <c r="D283">
        <v>1.52789</v>
      </c>
      <c r="E283">
        <v>1.93662</v>
      </c>
      <c r="F283">
        <v>21229574.899999999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0.42912587412587466</v>
      </c>
      <c r="Q283">
        <f t="shared" si="965"/>
        <v>9110159.8862832282</v>
      </c>
      <c r="R283">
        <f t="shared" si="966"/>
        <v>-242704206.16626018</v>
      </c>
      <c r="S283">
        <f t="shared" si="967"/>
        <v>-2427.042061662602</v>
      </c>
      <c r="T283">
        <f t="shared" si="968"/>
        <v>-2.4270420616626018</v>
      </c>
    </row>
    <row r="284" spans="1:20" x14ac:dyDescent="0.25">
      <c r="A284" s="5">
        <v>44309</v>
      </c>
      <c r="B284">
        <v>1.7004699999999999</v>
      </c>
      <c r="C284">
        <v>1.7471699999999999</v>
      </c>
      <c r="D284">
        <v>1.42</v>
      </c>
      <c r="E284">
        <v>1.60358</v>
      </c>
      <c r="F284">
        <v>12904718.4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0.12223003331601369</v>
      </c>
      <c r="Q284">
        <f t="shared" si="965"/>
        <v>1577344.159965775</v>
      </c>
      <c r="R284">
        <f t="shared" si="966"/>
        <v>-251814366.0525434</v>
      </c>
      <c r="S284">
        <f t="shared" si="967"/>
        <v>-2518.1436605254339</v>
      </c>
      <c r="T284">
        <f t="shared" si="968"/>
        <v>-2.5181436605254337</v>
      </c>
    </row>
    <row r="285" spans="1:20" x14ac:dyDescent="0.25">
      <c r="A285" s="5">
        <v>44308</v>
      </c>
      <c r="B285">
        <v>1.7516099999999999</v>
      </c>
      <c r="C285">
        <v>2.13</v>
      </c>
      <c r="D285">
        <v>1.6722600000000001</v>
      </c>
      <c r="E285">
        <v>1.702</v>
      </c>
      <c r="F285">
        <v>16434357.199999999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-0.87005723773321142</v>
      </c>
      <c r="Q285">
        <f t="shared" si="965"/>
        <v>-14298831.429352915</v>
      </c>
      <c r="R285">
        <f t="shared" si="966"/>
        <v>-253391710.21250919</v>
      </c>
      <c r="S285">
        <f t="shared" si="967"/>
        <v>-2533.9171021250918</v>
      </c>
      <c r="T285">
        <f t="shared" si="968"/>
        <v>-2.5339171021250917</v>
      </c>
    </row>
    <row r="286" spans="1:20" x14ac:dyDescent="0.25">
      <c r="A286" s="5">
        <v>44307</v>
      </c>
      <c r="B286">
        <v>1.8982399999999999</v>
      </c>
      <c r="C286">
        <v>1.98065</v>
      </c>
      <c r="D286">
        <v>1.73831</v>
      </c>
      <c r="E286">
        <v>1.7533300000000001</v>
      </c>
      <c r="F286">
        <v>9293175.1999999993</v>
      </c>
      <c r="G286">
        <v>0</v>
      </c>
      <c r="L286" t="s">
        <v>7</v>
      </c>
      <c r="M286" t="s">
        <v>7</v>
      </c>
      <c r="N286" t="s">
        <v>7</v>
      </c>
      <c r="P286">
        <f t="shared" si="964"/>
        <v>-0.87604192456878738</v>
      </c>
      <c r="Q286">
        <f t="shared" si="965"/>
        <v>-8141211.0875629252</v>
      </c>
      <c r="R286">
        <f t="shared" si="966"/>
        <v>-239092878.78315628</v>
      </c>
      <c r="S286">
        <f t="shared" si="967"/>
        <v>-2390.9287878315627</v>
      </c>
      <c r="T286">
        <f t="shared" si="968"/>
        <v>-2.3909287878315628</v>
      </c>
    </row>
    <row r="287" spans="1:20" x14ac:dyDescent="0.25">
      <c r="A287" s="5">
        <v>44306</v>
      </c>
      <c r="B287">
        <v>1.92225</v>
      </c>
      <c r="C287">
        <v>2.0499999999999998</v>
      </c>
      <c r="D287">
        <v>1.76</v>
      </c>
      <c r="E287">
        <v>1.89411</v>
      </c>
      <c r="F287">
        <v>8061281.2000000002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-7.5103448275861809E-2</v>
      </c>
      <c r="Q287">
        <f t="shared" si="965"/>
        <v>-605430.01564137719</v>
      </c>
      <c r="R287">
        <f t="shared" si="966"/>
        <v>-230951667.69559336</v>
      </c>
      <c r="S287">
        <f t="shared" si="967"/>
        <v>-2309.5166769559337</v>
      </c>
      <c r="T287">
        <f t="shared" si="968"/>
        <v>-2.3095166769559339</v>
      </c>
    </row>
    <row r="288" spans="1:20" x14ac:dyDescent="0.25">
      <c r="A288" s="5">
        <v>44305</v>
      </c>
      <c r="B288">
        <v>2.1619999999999999</v>
      </c>
      <c r="C288">
        <v>2.2886700000000002</v>
      </c>
      <c r="D288">
        <v>1.92113</v>
      </c>
      <c r="E288">
        <v>1.92438</v>
      </c>
      <c r="F288">
        <v>7083544.7999999998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-0.98231485008434472</v>
      </c>
      <c r="Q288">
        <f t="shared" si="965"/>
        <v>-6958271.2482777396</v>
      </c>
      <c r="R288">
        <f t="shared" si="966"/>
        <v>-230346237.67995197</v>
      </c>
      <c r="S288">
        <f t="shared" si="967"/>
        <v>-2303.4623767995195</v>
      </c>
      <c r="T288">
        <f t="shared" si="968"/>
        <v>-2.3034623767995193</v>
      </c>
    </row>
    <row r="289" spans="1:20" x14ac:dyDescent="0.25">
      <c r="A289" s="5">
        <v>44304</v>
      </c>
      <c r="B289">
        <v>2.3654199999999999</v>
      </c>
      <c r="C289">
        <v>2.383</v>
      </c>
      <c r="D289">
        <v>1.9962500000000001</v>
      </c>
      <c r="E289">
        <v>2.1613500000000001</v>
      </c>
      <c r="F289">
        <v>9487678.9000000004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-0.14621848739495769</v>
      </c>
      <c r="Q289">
        <f t="shared" si="965"/>
        <v>-1387274.0576470559</v>
      </c>
      <c r="R289">
        <f t="shared" si="966"/>
        <v>-223387966.43167421</v>
      </c>
      <c r="S289">
        <f t="shared" si="967"/>
        <v>-2233.879664316742</v>
      </c>
      <c r="T289">
        <f t="shared" si="968"/>
        <v>-2.233879664316742</v>
      </c>
    </row>
    <row r="290" spans="1:20" x14ac:dyDescent="0.25">
      <c r="A290" s="5">
        <v>44303</v>
      </c>
      <c r="B290">
        <v>2.4760300000000002</v>
      </c>
      <c r="C290">
        <v>2.5042</v>
      </c>
      <c r="D290">
        <v>2.3612000000000002</v>
      </c>
      <c r="E290">
        <v>2.3643299999999998</v>
      </c>
      <c r="F290">
        <v>5868269.9000000004</v>
      </c>
      <c r="G290">
        <v>0</v>
      </c>
      <c r="L290" t="s">
        <v>7</v>
      </c>
      <c r="M290" t="s">
        <v>7</v>
      </c>
      <c r="N290" t="s">
        <v>7</v>
      </c>
      <c r="P290">
        <f t="shared" si="964"/>
        <v>-0.9562237762237813</v>
      </c>
      <c r="Q290">
        <f t="shared" si="965"/>
        <v>-5611379.2036783518</v>
      </c>
      <c r="R290">
        <f t="shared" si="966"/>
        <v>-222000692.37402716</v>
      </c>
      <c r="S290">
        <f t="shared" si="967"/>
        <v>-2220.0069237402718</v>
      </c>
      <c r="T290">
        <f t="shared" si="968"/>
        <v>-2.220006923740272</v>
      </c>
    </row>
    <row r="291" spans="1:20" x14ac:dyDescent="0.25">
      <c r="A291" s="5">
        <v>44302</v>
      </c>
      <c r="B291">
        <v>2.59904</v>
      </c>
      <c r="C291">
        <v>2.63</v>
      </c>
      <c r="D291">
        <v>2.34354</v>
      </c>
      <c r="E291">
        <v>2.4771899999999998</v>
      </c>
      <c r="F291">
        <v>6983034.7999999998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-6.6885429030232119E-2</v>
      </c>
      <c r="Q291">
        <f t="shared" si="965"/>
        <v>-467063.27853104111</v>
      </c>
      <c r="R291">
        <f t="shared" si="966"/>
        <v>-216389313.17034882</v>
      </c>
      <c r="S291">
        <f t="shared" si="967"/>
        <v>-2163.8931317034881</v>
      </c>
      <c r="T291">
        <f t="shared" si="968"/>
        <v>-2.163893131703488</v>
      </c>
    </row>
    <row r="292" spans="1:20" x14ac:dyDescent="0.25">
      <c r="A292" s="5">
        <v>44301</v>
      </c>
      <c r="B292">
        <v>2.5030600000000001</v>
      </c>
      <c r="C292">
        <v>2.69</v>
      </c>
      <c r="D292">
        <v>2.4355000000000002</v>
      </c>
      <c r="E292">
        <v>2.59904</v>
      </c>
      <c r="F292">
        <v>7576981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0.28518664047151254</v>
      </c>
      <c r="Q292">
        <f t="shared" si="965"/>
        <v>2160853.7563064815</v>
      </c>
      <c r="R292">
        <f t="shared" si="966"/>
        <v>-215922249.89181778</v>
      </c>
      <c r="S292">
        <f t="shared" si="967"/>
        <v>-2159.2224989181777</v>
      </c>
      <c r="T292">
        <f t="shared" si="968"/>
        <v>-2.1592224989181776</v>
      </c>
    </row>
    <row r="293" spans="1:20" x14ac:dyDescent="0.25">
      <c r="A293" s="5">
        <v>44300</v>
      </c>
      <c r="B293">
        <v>2.61327</v>
      </c>
      <c r="C293">
        <v>2.6979899999999999</v>
      </c>
      <c r="D293">
        <v>2.3700100000000002</v>
      </c>
      <c r="E293">
        <v>2.5039500000000001</v>
      </c>
      <c r="F293">
        <v>9690649.5999999996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-0.1832428806634547</v>
      </c>
      <c r="Q293">
        <f t="shared" si="965"/>
        <v>-1775742.5482041549</v>
      </c>
      <c r="R293">
        <f t="shared" si="966"/>
        <v>-218083103.64812425</v>
      </c>
      <c r="S293">
        <f t="shared" si="967"/>
        <v>-2180.8310364812423</v>
      </c>
      <c r="T293">
        <f t="shared" si="968"/>
        <v>-2.1808310364812424</v>
      </c>
    </row>
    <row r="294" spans="1:20" x14ac:dyDescent="0.25">
      <c r="A294" s="5">
        <v>44299</v>
      </c>
      <c r="B294">
        <v>2.6305999999999998</v>
      </c>
      <c r="C294">
        <v>2.8489599999999999</v>
      </c>
      <c r="D294">
        <v>2.44781</v>
      </c>
      <c r="E294">
        <v>2.6123599999999998</v>
      </c>
      <c r="F294">
        <v>16251952.800000001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-0.17960862520254373</v>
      </c>
      <c r="Q294">
        <f t="shared" si="965"/>
        <v>-2918990.8992646313</v>
      </c>
      <c r="R294">
        <f t="shared" si="966"/>
        <v>-216307361.09992009</v>
      </c>
      <c r="S294">
        <f t="shared" si="967"/>
        <v>-2163.0736109992008</v>
      </c>
      <c r="T294">
        <f t="shared" si="968"/>
        <v>-2.1630736109992008</v>
      </c>
    </row>
    <row r="295" spans="1:20" x14ac:dyDescent="0.25">
      <c r="A295" s="5">
        <v>44298</v>
      </c>
      <c r="B295">
        <v>2.2649699999999999</v>
      </c>
      <c r="C295">
        <v>3.1859999999999999</v>
      </c>
      <c r="D295">
        <v>2.2360600000000002</v>
      </c>
      <c r="E295">
        <v>2.6267999999999998</v>
      </c>
      <c r="F295">
        <v>49869284.899999999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-0.17733751605364606</v>
      </c>
      <c r="Q295">
        <f t="shared" si="965"/>
        <v>-8843695.1115375981</v>
      </c>
      <c r="R295">
        <f t="shared" si="966"/>
        <v>-213388370.20065546</v>
      </c>
      <c r="S295">
        <f t="shared" si="967"/>
        <v>-2133.8837020065548</v>
      </c>
      <c r="T295">
        <f t="shared" si="968"/>
        <v>-2.1338837020065546</v>
      </c>
    </row>
    <row r="296" spans="1:20" x14ac:dyDescent="0.25">
      <c r="A296" s="5">
        <v>44297</v>
      </c>
      <c r="B296">
        <v>2.3483499999999999</v>
      </c>
      <c r="C296">
        <v>2.3675999999999999</v>
      </c>
      <c r="D296">
        <v>2.1779999999999999</v>
      </c>
      <c r="E296">
        <v>2.2640099999999999</v>
      </c>
      <c r="F296">
        <v>6659634.7999999998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-9.2721518987342572E-2</v>
      </c>
      <c r="Q296">
        <f t="shared" si="965"/>
        <v>-617491.45455696736</v>
      </c>
      <c r="R296">
        <f t="shared" si="966"/>
        <v>-204544675.08911785</v>
      </c>
      <c r="S296">
        <f t="shared" si="967"/>
        <v>-2045.4467508911785</v>
      </c>
      <c r="T296">
        <f t="shared" si="968"/>
        <v>-2.0454467508911787</v>
      </c>
    </row>
    <row r="297" spans="1:20" x14ac:dyDescent="0.25">
      <c r="A297" s="5">
        <v>44296</v>
      </c>
      <c r="B297">
        <v>2.3906000000000001</v>
      </c>
      <c r="C297">
        <v>2.5503900000000002</v>
      </c>
      <c r="D297">
        <v>2.27</v>
      </c>
      <c r="E297">
        <v>2.3518699999999999</v>
      </c>
      <c r="F297">
        <v>7615570.4000000004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-0.41602767573736693</v>
      </c>
      <c r="Q297">
        <f t="shared" si="965"/>
        <v>-3168288.0529262898</v>
      </c>
      <c r="R297">
        <f t="shared" si="966"/>
        <v>-203927183.63456088</v>
      </c>
      <c r="S297">
        <f t="shared" si="967"/>
        <v>-2039.2718363456088</v>
      </c>
      <c r="T297">
        <f t="shared" si="968"/>
        <v>-2.0392718363456086</v>
      </c>
    </row>
    <row r="298" spans="1:20" x14ac:dyDescent="0.25">
      <c r="A298" s="5">
        <v>44295</v>
      </c>
      <c r="B298">
        <v>2.4281999999999999</v>
      </c>
      <c r="C298">
        <v>2.6</v>
      </c>
      <c r="D298">
        <v>2.3519399999999999</v>
      </c>
      <c r="E298">
        <v>2.3893</v>
      </c>
      <c r="F298">
        <v>9365204.0999999996</v>
      </c>
      <c r="G298">
        <v>0</v>
      </c>
      <c r="L298" t="s">
        <v>7</v>
      </c>
      <c r="M298" t="s">
        <v>8</v>
      </c>
      <c r="N298" t="s">
        <v>7</v>
      </c>
      <c r="P298">
        <f t="shared" si="964"/>
        <v>-0.69878255260823963</v>
      </c>
      <c r="Q298">
        <f t="shared" si="965"/>
        <v>-6544241.2266951511</v>
      </c>
      <c r="R298">
        <f t="shared" si="966"/>
        <v>-200758895.58163458</v>
      </c>
      <c r="S298">
        <f t="shared" si="967"/>
        <v>-2007.5889558163458</v>
      </c>
      <c r="T298">
        <f t="shared" si="968"/>
        <v>-2.0075889558163458</v>
      </c>
    </row>
    <row r="299" spans="1:20" x14ac:dyDescent="0.25">
      <c r="A299" s="5">
        <v>44294</v>
      </c>
      <c r="B299">
        <v>2.46624</v>
      </c>
      <c r="C299">
        <v>2.7666400000000002</v>
      </c>
      <c r="D299">
        <v>2.23</v>
      </c>
      <c r="E299">
        <v>2.4281999999999999</v>
      </c>
      <c r="F299">
        <v>15192599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-0.26132975551580262</v>
      </c>
      <c r="Q299">
        <f t="shared" si="965"/>
        <v>-3970278.1823196271</v>
      </c>
      <c r="R299">
        <f t="shared" si="966"/>
        <v>-194214654.35493943</v>
      </c>
      <c r="S299">
        <f t="shared" si="967"/>
        <v>-1942.1465435493942</v>
      </c>
      <c r="T299">
        <f t="shared" si="968"/>
        <v>-1.9421465435493943</v>
      </c>
    </row>
    <row r="300" spans="1:20" x14ac:dyDescent="0.25">
      <c r="A300" s="5">
        <v>44293</v>
      </c>
      <c r="B300">
        <v>2.3961600000000001</v>
      </c>
      <c r="C300">
        <v>2.6955</v>
      </c>
      <c r="D300">
        <v>2.1190099999999998</v>
      </c>
      <c r="E300">
        <v>2.46624</v>
      </c>
      <c r="F300">
        <v>17010135.100000001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0.2046349459661054</v>
      </c>
      <c r="Q300">
        <f t="shared" si="965"/>
        <v>3480868.0770646534</v>
      </c>
      <c r="R300">
        <f t="shared" si="966"/>
        <v>-190244376.17261979</v>
      </c>
      <c r="S300">
        <f t="shared" si="967"/>
        <v>-1902.4437617261979</v>
      </c>
      <c r="T300">
        <f t="shared" si="968"/>
        <v>-1.9024437617261978</v>
      </c>
    </row>
    <row r="301" spans="1:20" x14ac:dyDescent="0.25">
      <c r="A301" s="5">
        <v>44292</v>
      </c>
      <c r="B301">
        <v>2.7557399999999999</v>
      </c>
      <c r="C301">
        <v>2.77</v>
      </c>
      <c r="D301">
        <v>2.3801999999999999</v>
      </c>
      <c r="E301">
        <v>2.3957700000000002</v>
      </c>
      <c r="F301">
        <v>12060674.300000001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-0.92011287839917755</v>
      </c>
      <c r="Q301">
        <f t="shared" si="965"/>
        <v>-11097181.745607987</v>
      </c>
      <c r="R301">
        <f t="shared" si="966"/>
        <v>-193725244.24968445</v>
      </c>
      <c r="S301">
        <f t="shared" si="967"/>
        <v>-1937.2524424968444</v>
      </c>
      <c r="T301">
        <f t="shared" si="968"/>
        <v>-1.9372524424968445</v>
      </c>
    </row>
    <row r="302" spans="1:20" x14ac:dyDescent="0.25">
      <c r="A302" s="5">
        <v>44291</v>
      </c>
      <c r="B302">
        <v>3.0499900000000002</v>
      </c>
      <c r="C302">
        <v>3.0750000000000002</v>
      </c>
      <c r="D302">
        <v>2.73001</v>
      </c>
      <c r="E302">
        <v>2.7555200000000002</v>
      </c>
      <c r="F302">
        <v>13201378.800000001</v>
      </c>
      <c r="G302">
        <v>0</v>
      </c>
      <c r="L302" t="s">
        <v>7</v>
      </c>
      <c r="M302" t="s">
        <v>7</v>
      </c>
      <c r="N302" t="s">
        <v>7</v>
      </c>
      <c r="P302">
        <f t="shared" si="964"/>
        <v>-0.85211165541030098</v>
      </c>
      <c r="Q302">
        <f t="shared" si="965"/>
        <v>-11249048.742966453</v>
      </c>
      <c r="R302">
        <f t="shared" si="966"/>
        <v>-182628062.50407645</v>
      </c>
      <c r="S302">
        <f t="shared" si="967"/>
        <v>-1826.2806250407646</v>
      </c>
      <c r="T302">
        <f t="shared" si="968"/>
        <v>-1.8262806250407646</v>
      </c>
    </row>
    <row r="303" spans="1:20" x14ac:dyDescent="0.25">
      <c r="A303" s="5">
        <v>44290</v>
      </c>
      <c r="B303">
        <v>3.0840000000000001</v>
      </c>
      <c r="C303">
        <v>3.1915100000000001</v>
      </c>
      <c r="D303">
        <v>3.02732</v>
      </c>
      <c r="E303">
        <v>3.0489999999999999</v>
      </c>
      <c r="F303">
        <v>7695369.5999999996</v>
      </c>
      <c r="G303">
        <v>0</v>
      </c>
      <c r="L303" t="s">
        <v>7</v>
      </c>
      <c r="M303" t="s">
        <v>7</v>
      </c>
      <c r="N303" t="s">
        <v>7</v>
      </c>
      <c r="P303">
        <f t="shared" si="964"/>
        <v>-0.73591570741214551</v>
      </c>
      <c r="Q303">
        <f t="shared" si="965"/>
        <v>-5663143.3629819192</v>
      </c>
      <c r="R303">
        <f t="shared" si="966"/>
        <v>-171379013.76111001</v>
      </c>
      <c r="S303">
        <f t="shared" si="967"/>
        <v>-1713.7901376111001</v>
      </c>
      <c r="T303">
        <f t="shared" si="968"/>
        <v>-1.7137901376111002</v>
      </c>
    </row>
    <row r="304" spans="1:20" x14ac:dyDescent="0.25">
      <c r="A304" s="5">
        <v>44289</v>
      </c>
      <c r="B304">
        <v>3.18513</v>
      </c>
      <c r="C304">
        <v>3.43</v>
      </c>
      <c r="D304">
        <v>3.0063200000000001</v>
      </c>
      <c r="E304">
        <v>3.0847199999999999</v>
      </c>
      <c r="F304">
        <v>12363499</v>
      </c>
      <c r="G304">
        <v>0</v>
      </c>
      <c r="L304" t="s">
        <v>8</v>
      </c>
      <c r="M304" t="s">
        <v>7</v>
      </c>
      <c r="N304" t="s">
        <v>7</v>
      </c>
      <c r="P304">
        <f t="shared" si="964"/>
        <v>-0.62990936555891341</v>
      </c>
      <c r="Q304">
        <f t="shared" si="965"/>
        <v>-7787883.8111782605</v>
      </c>
      <c r="R304">
        <f t="shared" si="966"/>
        <v>-165715870.39812809</v>
      </c>
      <c r="S304">
        <f t="shared" si="967"/>
        <v>-1657.158703981281</v>
      </c>
      <c r="T304">
        <f t="shared" si="968"/>
        <v>-1.657158703981281</v>
      </c>
    </row>
    <row r="305" spans="1:20" x14ac:dyDescent="0.25">
      <c r="A305" s="5">
        <v>44288</v>
      </c>
      <c r="B305">
        <v>3.1278800000000002</v>
      </c>
      <c r="C305">
        <v>3.4359000000000002</v>
      </c>
      <c r="D305">
        <v>3.0311400000000002</v>
      </c>
      <c r="E305">
        <v>3.18512</v>
      </c>
      <c r="F305">
        <v>13436810.1</v>
      </c>
      <c r="G305">
        <v>0</v>
      </c>
      <c r="L305" t="s">
        <v>7</v>
      </c>
      <c r="M305" t="s">
        <v>7</v>
      </c>
      <c r="N305" t="s">
        <v>7</v>
      </c>
      <c r="P305">
        <f t="shared" si="964"/>
        <v>-0.23915406660737334</v>
      </c>
      <c r="Q305">
        <f t="shared" si="965"/>
        <v>-3213467.7776460266</v>
      </c>
      <c r="R305">
        <f t="shared" si="966"/>
        <v>-157927986.58694983</v>
      </c>
      <c r="S305">
        <f t="shared" si="967"/>
        <v>-1579.2798658694983</v>
      </c>
      <c r="T305">
        <f t="shared" si="968"/>
        <v>-1.5792798658694982</v>
      </c>
    </row>
    <row r="306" spans="1:20" x14ac:dyDescent="0.25">
      <c r="A306" s="5">
        <v>44287</v>
      </c>
      <c r="B306">
        <v>3.1659999999999999</v>
      </c>
      <c r="C306">
        <v>3.4599000000000002</v>
      </c>
      <c r="D306">
        <v>3.01342</v>
      </c>
      <c r="E306">
        <v>3.1276899999999999</v>
      </c>
      <c r="F306">
        <v>15501111.300000001</v>
      </c>
      <c r="G306">
        <v>0</v>
      </c>
      <c r="L306" t="s">
        <v>8</v>
      </c>
      <c r="M306" t="s">
        <v>7</v>
      </c>
      <c r="N306" t="s">
        <v>7</v>
      </c>
      <c r="P306">
        <f t="shared" si="964"/>
        <v>-0.4881293674968652</v>
      </c>
      <c r="Q306">
        <f t="shared" si="965"/>
        <v>-7566547.6543675102</v>
      </c>
      <c r="R306">
        <f t="shared" si="966"/>
        <v>-154714518.80930379</v>
      </c>
      <c r="S306">
        <f t="shared" si="967"/>
        <v>-1547.1451880930379</v>
      </c>
      <c r="T306">
        <f t="shared" si="968"/>
        <v>-1.5471451880930378</v>
      </c>
    </row>
    <row r="307" spans="1:20" x14ac:dyDescent="0.25">
      <c r="A307" s="5">
        <v>44286</v>
      </c>
      <c r="B307">
        <v>3.4239799999999998</v>
      </c>
      <c r="C307">
        <v>3.47</v>
      </c>
      <c r="D307">
        <v>2.99241</v>
      </c>
      <c r="E307">
        <v>3.1618400000000002</v>
      </c>
      <c r="F307">
        <v>13755219.4</v>
      </c>
      <c r="G307">
        <v>0</v>
      </c>
      <c r="L307" t="s">
        <v>7</v>
      </c>
      <c r="M307" t="s">
        <v>7</v>
      </c>
      <c r="N307" t="s">
        <v>7</v>
      </c>
      <c r="P307">
        <f t="shared" si="964"/>
        <v>-0.29047928139198842</v>
      </c>
      <c r="Q307">
        <f t="shared" si="965"/>
        <v>-3995606.2467011381</v>
      </c>
      <c r="R307">
        <f t="shared" si="966"/>
        <v>-147147971.15493628</v>
      </c>
      <c r="S307">
        <f t="shared" si="967"/>
        <v>-1471.4797115493629</v>
      </c>
      <c r="T307">
        <f t="shared" si="968"/>
        <v>-1.471479711549363</v>
      </c>
    </row>
    <row r="308" spans="1:20" x14ac:dyDescent="0.25">
      <c r="A308" s="5">
        <v>44285</v>
      </c>
      <c r="B308">
        <v>3.3187099999999998</v>
      </c>
      <c r="C308">
        <v>3.641</v>
      </c>
      <c r="D308">
        <v>3.1400100000000002</v>
      </c>
      <c r="E308">
        <v>3.4241700000000002</v>
      </c>
      <c r="F308">
        <v>22703885.399999999</v>
      </c>
      <c r="G308">
        <v>0</v>
      </c>
      <c r="L308" t="s">
        <v>7</v>
      </c>
      <c r="M308" t="s">
        <v>7</v>
      </c>
      <c r="N308" t="s">
        <v>7</v>
      </c>
      <c r="P308">
        <f t="shared" si="964"/>
        <v>0.13439390007784613</v>
      </c>
      <c r="Q308">
        <f t="shared" si="965"/>
        <v>3051263.7058264692</v>
      </c>
      <c r="R308">
        <f t="shared" si="966"/>
        <v>-143152364.90823513</v>
      </c>
      <c r="S308">
        <f t="shared" si="967"/>
        <v>-1431.5236490823513</v>
      </c>
      <c r="T308">
        <f t="shared" si="968"/>
        <v>-1.4315236490823513</v>
      </c>
    </row>
    <row r="309" spans="1:20" x14ac:dyDescent="0.25">
      <c r="A309" s="5">
        <v>44284</v>
      </c>
      <c r="B309">
        <v>3.6777500000000001</v>
      </c>
      <c r="C309">
        <v>3.77</v>
      </c>
      <c r="D309">
        <v>3.2414200000000002</v>
      </c>
      <c r="E309">
        <v>3.3258899999999998</v>
      </c>
      <c r="F309">
        <v>18635061.100000001</v>
      </c>
      <c r="G309">
        <v>0</v>
      </c>
      <c r="L309" t="s">
        <v>7</v>
      </c>
      <c r="M309" t="s">
        <v>7</v>
      </c>
      <c r="N309" t="s">
        <v>7</v>
      </c>
      <c r="P309">
        <f t="shared" si="964"/>
        <v>-0.68038896666540682</v>
      </c>
      <c r="Q309">
        <f t="shared" si="965"/>
        <v>-12679089.965575721</v>
      </c>
      <c r="R309">
        <f t="shared" si="966"/>
        <v>-146203628.61406159</v>
      </c>
      <c r="S309">
        <f t="shared" si="967"/>
        <v>-1462.0362861406159</v>
      </c>
      <c r="T309">
        <f t="shared" si="968"/>
        <v>-1.4620362861406158</v>
      </c>
    </row>
    <row r="310" spans="1:20" x14ac:dyDescent="0.25">
      <c r="A310" s="5">
        <v>44283</v>
      </c>
      <c r="B310">
        <v>4.0298600000000002</v>
      </c>
      <c r="C310">
        <v>4.21204</v>
      </c>
      <c r="D310">
        <v>3.40333</v>
      </c>
      <c r="E310">
        <v>3.67509</v>
      </c>
      <c r="F310">
        <v>38418169.700000003</v>
      </c>
      <c r="G310">
        <v>0</v>
      </c>
      <c r="L310" t="s">
        <v>7</v>
      </c>
      <c r="M310" t="s">
        <v>7</v>
      </c>
      <c r="N310" t="s">
        <v>7</v>
      </c>
      <c r="P310">
        <f t="shared" si="964"/>
        <v>-0.3279173003919823</v>
      </c>
      <c r="Q310">
        <f t="shared" si="965"/>
        <v>-12597982.494025053</v>
      </c>
      <c r="R310">
        <f t="shared" si="966"/>
        <v>-133524538.64848587</v>
      </c>
      <c r="S310">
        <f t="shared" si="967"/>
        <v>-1335.2453864848587</v>
      </c>
      <c r="T310">
        <f t="shared" si="968"/>
        <v>-1.3352453864848588</v>
      </c>
    </row>
    <row r="311" spans="1:20" x14ac:dyDescent="0.25">
      <c r="A311" s="5">
        <v>44282</v>
      </c>
      <c r="B311">
        <v>2.9920499999999999</v>
      </c>
      <c r="C311">
        <v>4.99</v>
      </c>
      <c r="D311">
        <v>2.9172500000000001</v>
      </c>
      <c r="E311">
        <v>4.03</v>
      </c>
      <c r="F311">
        <v>89654200.5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7.3694367386322596E-2</v>
      </c>
      <c r="Q311">
        <f t="shared" si="965"/>
        <v>6607009.5893740272</v>
      </c>
      <c r="R311">
        <f t="shared" si="966"/>
        <v>-120926556.15446082</v>
      </c>
      <c r="S311">
        <f t="shared" si="967"/>
        <v>-1209.2655615446081</v>
      </c>
      <c r="T311">
        <f t="shared" si="968"/>
        <v>-1.2092655615446082</v>
      </c>
    </row>
    <row r="312" spans="1:20" x14ac:dyDescent="0.25">
      <c r="A312" s="5">
        <v>44281</v>
      </c>
      <c r="B312">
        <v>2.3962300000000001</v>
      </c>
      <c r="C312">
        <v>3.4750000000000001</v>
      </c>
      <c r="D312">
        <v>2.3263199999999999</v>
      </c>
      <c r="E312">
        <v>2.99688</v>
      </c>
      <c r="F312">
        <v>45689850.600000001</v>
      </c>
      <c r="G312">
        <v>0</v>
      </c>
      <c r="L312" t="s">
        <v>8</v>
      </c>
      <c r="M312" t="s">
        <v>8</v>
      </c>
      <c r="N312" t="s">
        <v>8</v>
      </c>
      <c r="P312">
        <f t="shared" si="964"/>
        <v>0.1675314273775115</v>
      </c>
      <c r="Q312">
        <f t="shared" si="965"/>
        <v>7654485.8876832509</v>
      </c>
      <c r="R312">
        <f t="shared" si="966"/>
        <v>-127533565.74383484</v>
      </c>
      <c r="S312">
        <f t="shared" si="967"/>
        <v>-1275.3356574383483</v>
      </c>
      <c r="T312">
        <f t="shared" si="968"/>
        <v>-1.2753356574383483</v>
      </c>
    </row>
    <row r="313" spans="1:20" x14ac:dyDescent="0.25">
      <c r="A313" s="5">
        <v>44280</v>
      </c>
      <c r="B313">
        <v>2.0520100000000001</v>
      </c>
      <c r="C313">
        <v>2.5499900000000002</v>
      </c>
      <c r="D313">
        <v>1.8500099999999999</v>
      </c>
      <c r="E313">
        <v>2.39974</v>
      </c>
      <c r="F313">
        <v>28507174.300000001</v>
      </c>
      <c r="G313">
        <v>0</v>
      </c>
      <c r="L313" t="s">
        <v>8</v>
      </c>
      <c r="M313" t="s">
        <v>8</v>
      </c>
      <c r="N313" t="s">
        <v>8</v>
      </c>
      <c r="P313">
        <f t="shared" si="964"/>
        <v>0.57070202005771553</v>
      </c>
      <c r="Q313">
        <f t="shared" si="965"/>
        <v>16269101.959147394</v>
      </c>
      <c r="R313">
        <f t="shared" si="966"/>
        <v>-135188051.6315181</v>
      </c>
      <c r="S313">
        <f t="shared" si="967"/>
        <v>-1351.880516315181</v>
      </c>
      <c r="T313">
        <f t="shared" si="968"/>
        <v>-1.351880516315181</v>
      </c>
    </row>
    <row r="314" spans="1:20" x14ac:dyDescent="0.25">
      <c r="A314" s="5">
        <v>44279</v>
      </c>
      <c r="B314">
        <v>1.8730800000000001</v>
      </c>
      <c r="C314">
        <v>2.4576799999999999</v>
      </c>
      <c r="D314">
        <v>1.7171400000000001</v>
      </c>
      <c r="E314">
        <v>2.0520100000000001</v>
      </c>
      <c r="F314">
        <v>32857494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-9.560590920139328E-2</v>
      </c>
      <c r="Q314">
        <f t="shared" si="965"/>
        <v>-3141370.5879493244</v>
      </c>
      <c r="R314">
        <f t="shared" si="966"/>
        <v>-151457153.59066549</v>
      </c>
      <c r="S314">
        <f t="shared" si="967"/>
        <v>-1514.5715359066548</v>
      </c>
      <c r="T314">
        <f t="shared" si="968"/>
        <v>-1.5145715359066549</v>
      </c>
    </row>
    <row r="315" spans="1:20" x14ac:dyDescent="0.25">
      <c r="A315" s="5">
        <v>44278</v>
      </c>
      <c r="B315">
        <v>1.7581899999999999</v>
      </c>
      <c r="C315">
        <v>1.89</v>
      </c>
      <c r="D315">
        <v>1.63863</v>
      </c>
      <c r="E315">
        <v>1.8730500000000001</v>
      </c>
      <c r="F315">
        <v>10733030.5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0.86513903807137038</v>
      </c>
      <c r="Q315">
        <f t="shared" si="965"/>
        <v>9285563.6823606789</v>
      </c>
      <c r="R315">
        <f t="shared" si="966"/>
        <v>-148315783.00271615</v>
      </c>
      <c r="S315">
        <f t="shared" si="967"/>
        <v>-1483.1578300271615</v>
      </c>
      <c r="T315">
        <f t="shared" si="968"/>
        <v>-1.4831578300271615</v>
      </c>
    </row>
    <row r="316" spans="1:20" x14ac:dyDescent="0.25">
      <c r="A316" s="5">
        <v>44277</v>
      </c>
      <c r="B316">
        <v>1.55864</v>
      </c>
      <c r="C316">
        <v>1.9879800000000001</v>
      </c>
      <c r="D316">
        <v>1.5396700000000001</v>
      </c>
      <c r="E316">
        <v>1.7582</v>
      </c>
      <c r="F316">
        <v>32785546.899999999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-2.5094242823047008E-2</v>
      </c>
      <c r="Q316">
        <f t="shared" si="965"/>
        <v>-822728.4749949961</v>
      </c>
      <c r="R316">
        <f t="shared" si="966"/>
        <v>-157601346.68507683</v>
      </c>
      <c r="S316">
        <f t="shared" si="967"/>
        <v>-1576.0134668507683</v>
      </c>
      <c r="T316">
        <f t="shared" si="968"/>
        <v>-1.5760134668507684</v>
      </c>
    </row>
    <row r="317" spans="1:20" x14ac:dyDescent="0.25">
      <c r="A317" s="5">
        <v>44276</v>
      </c>
      <c r="B317">
        <v>1.3988</v>
      </c>
      <c r="C317">
        <v>1.5609999999999999</v>
      </c>
      <c r="D317">
        <v>1.28827</v>
      </c>
      <c r="E317">
        <v>1.55491</v>
      </c>
      <c r="F317">
        <v>9248857.0999999996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0.95534044659553452</v>
      </c>
      <c r="Q317">
        <f t="shared" si="965"/>
        <v>8835807.2724122796</v>
      </c>
      <c r="R317">
        <f t="shared" si="966"/>
        <v>-156778618.21008185</v>
      </c>
      <c r="S317">
        <f t="shared" si="967"/>
        <v>-1567.7861821008185</v>
      </c>
      <c r="T317">
        <f t="shared" si="968"/>
        <v>-1.5677861821008185</v>
      </c>
    </row>
    <row r="318" spans="1:20" x14ac:dyDescent="0.25">
      <c r="A318" s="5">
        <v>44275</v>
      </c>
      <c r="B318">
        <v>1.536</v>
      </c>
      <c r="C318">
        <v>1.61</v>
      </c>
      <c r="D318">
        <v>1.395</v>
      </c>
      <c r="E318">
        <v>1.3994</v>
      </c>
      <c r="F318">
        <v>7303170.5999999996</v>
      </c>
      <c r="G318">
        <v>0</v>
      </c>
      <c r="L318" t="s">
        <v>7</v>
      </c>
      <c r="M318" t="s">
        <v>7</v>
      </c>
      <c r="N318" t="s">
        <v>7</v>
      </c>
      <c r="P318">
        <f t="shared" si="964"/>
        <v>-0.9590697674418609</v>
      </c>
      <c r="Q318">
        <f t="shared" si="965"/>
        <v>-7004250.1289302353</v>
      </c>
      <c r="R318">
        <f t="shared" si="966"/>
        <v>-165614425.48249412</v>
      </c>
      <c r="S318">
        <f t="shared" si="967"/>
        <v>-1656.1442548249411</v>
      </c>
      <c r="T318">
        <f t="shared" si="968"/>
        <v>-1.656144254824941</v>
      </c>
    </row>
    <row r="319" spans="1:20" x14ac:dyDescent="0.25">
      <c r="A319" s="5">
        <v>44274</v>
      </c>
      <c r="B319">
        <v>1.5049999999999999</v>
      </c>
      <c r="C319">
        <v>1.61778</v>
      </c>
      <c r="D319">
        <v>1.46733</v>
      </c>
      <c r="E319">
        <v>1.5360199999999999</v>
      </c>
      <c r="F319">
        <v>8029531.7000000002</v>
      </c>
      <c r="G319">
        <v>0</v>
      </c>
      <c r="L319" t="s">
        <v>7</v>
      </c>
      <c r="M319" t="s">
        <v>7</v>
      </c>
      <c r="N319" t="s">
        <v>7</v>
      </c>
      <c r="P319">
        <f t="shared" si="964"/>
        <v>-8.6872715187770955E-2</v>
      </c>
      <c r="Q319">
        <f t="shared" si="965"/>
        <v>-697547.22046527837</v>
      </c>
      <c r="R319">
        <f t="shared" si="966"/>
        <v>-158610175.35356387</v>
      </c>
      <c r="S319">
        <f t="shared" si="967"/>
        <v>-1586.1017535356386</v>
      </c>
      <c r="T319">
        <f t="shared" si="968"/>
        <v>-1.5861017535356385</v>
      </c>
    </row>
    <row r="320" spans="1:20" x14ac:dyDescent="0.25">
      <c r="A320" s="5">
        <v>44273</v>
      </c>
      <c r="B320">
        <v>1.6319900000000001</v>
      </c>
      <c r="C320">
        <v>1.7749999999999999</v>
      </c>
      <c r="D320">
        <v>1.4774700000000001</v>
      </c>
      <c r="E320">
        <v>1.5049999999999999</v>
      </c>
      <c r="F320">
        <v>8484083.0999999996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-0.81494303095486276</v>
      </c>
      <c r="Q320">
        <f t="shared" si="965"/>
        <v>-6914044.3963869279</v>
      </c>
      <c r="R320">
        <f t="shared" si="966"/>
        <v>-157912628.1330986</v>
      </c>
      <c r="S320">
        <f t="shared" si="967"/>
        <v>-1579.1262813309861</v>
      </c>
      <c r="T320">
        <f t="shared" si="968"/>
        <v>-1.5791262813309861</v>
      </c>
    </row>
    <row r="321" spans="1:20" x14ac:dyDescent="0.25">
      <c r="A321" s="5">
        <v>44272</v>
      </c>
      <c r="B321">
        <v>1.7380800000000001</v>
      </c>
      <c r="C321">
        <v>1.74969</v>
      </c>
      <c r="D321">
        <v>1.42794</v>
      </c>
      <c r="E321">
        <v>1.631</v>
      </c>
      <c r="F321">
        <v>16319910.4</v>
      </c>
      <c r="G321">
        <v>0</v>
      </c>
      <c r="L321" t="s">
        <v>7</v>
      </c>
      <c r="M321" t="s">
        <v>7</v>
      </c>
      <c r="N321" t="s">
        <v>7</v>
      </c>
      <c r="P321">
        <f t="shared" si="964"/>
        <v>0.26222222222222241</v>
      </c>
      <c r="Q321">
        <f t="shared" si="965"/>
        <v>4279443.1715555592</v>
      </c>
      <c r="R321">
        <f t="shared" si="966"/>
        <v>-150998583.73671168</v>
      </c>
      <c r="S321">
        <f t="shared" si="967"/>
        <v>-1509.9858373671168</v>
      </c>
      <c r="T321">
        <f t="shared" si="968"/>
        <v>-1.5099858373671169</v>
      </c>
    </row>
    <row r="322" spans="1:20" x14ac:dyDescent="0.25">
      <c r="A322" s="5">
        <v>44271</v>
      </c>
      <c r="B322">
        <v>1.7673300000000001</v>
      </c>
      <c r="C322">
        <v>2.0567199999999999</v>
      </c>
      <c r="D322">
        <v>1.6</v>
      </c>
      <c r="E322">
        <v>1.74</v>
      </c>
      <c r="F322">
        <v>50003399.100000001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-0.38693291294447379</v>
      </c>
      <c r="Q322">
        <f t="shared" si="965"/>
        <v>-19347960.87088808</v>
      </c>
      <c r="R322">
        <f t="shared" si="966"/>
        <v>-155278026.90826723</v>
      </c>
      <c r="S322">
        <f t="shared" si="967"/>
        <v>-1552.7802690826722</v>
      </c>
      <c r="T322">
        <f t="shared" si="968"/>
        <v>-1.5527802690826722</v>
      </c>
    </row>
    <row r="323" spans="1:20" x14ac:dyDescent="0.25">
      <c r="A323" s="5">
        <v>44270</v>
      </c>
      <c r="B323">
        <v>1.40622</v>
      </c>
      <c r="C323">
        <v>1.9040299999999999</v>
      </c>
      <c r="D323">
        <v>1.18</v>
      </c>
      <c r="E323">
        <v>1.7643</v>
      </c>
      <c r="F323">
        <v>30715985.600000001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0.61402151844536856</v>
      </c>
      <c r="Q323">
        <f t="shared" si="965"/>
        <v>18860276.118658077</v>
      </c>
      <c r="R323">
        <f t="shared" si="966"/>
        <v>-135930066.03737915</v>
      </c>
      <c r="S323">
        <f t="shared" si="967"/>
        <v>-1359.3006603737915</v>
      </c>
      <c r="T323">
        <f t="shared" si="968"/>
        <v>-1.3593006603737916</v>
      </c>
    </row>
    <row r="324" spans="1:20" x14ac:dyDescent="0.25">
      <c r="A324" s="5">
        <v>44269</v>
      </c>
      <c r="B324">
        <v>1.4688699999999999</v>
      </c>
      <c r="C324">
        <v>1.5357099999999999</v>
      </c>
      <c r="D324">
        <v>1.3033600000000001</v>
      </c>
      <c r="E324">
        <v>1.40622</v>
      </c>
      <c r="F324">
        <v>18348802.100000001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-0.11461157736173855</v>
      </c>
      <c r="Q324">
        <f t="shared" si="965"/>
        <v>-2102985.1513793808</v>
      </c>
      <c r="R324">
        <f t="shared" si="966"/>
        <v>-154790342.15603721</v>
      </c>
      <c r="S324">
        <f t="shared" si="967"/>
        <v>-1547.9034215603722</v>
      </c>
      <c r="T324">
        <f t="shared" si="968"/>
        <v>-1.5479034215603722</v>
      </c>
    </row>
    <row r="325" spans="1:20" x14ac:dyDescent="0.25">
      <c r="A325" s="5">
        <v>44268</v>
      </c>
      <c r="B325">
        <v>1.0101500000000001</v>
      </c>
      <c r="C325">
        <v>1.5979000000000001</v>
      </c>
      <c r="D325">
        <v>0.97633999999999999</v>
      </c>
      <c r="E325">
        <v>1.4688699999999999</v>
      </c>
      <c r="F325">
        <v>35622868.399999999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0.58481884291138364</v>
      </c>
      <c r="Q325">
        <f t="shared" si="965"/>
        <v>20832924.678872492</v>
      </c>
      <c r="R325">
        <f t="shared" si="966"/>
        <v>-152687357.00465783</v>
      </c>
      <c r="S325">
        <f t="shared" si="967"/>
        <v>-1526.8735700465784</v>
      </c>
      <c r="T325">
        <f t="shared" si="968"/>
        <v>-1.5268735700465783</v>
      </c>
    </row>
    <row r="326" spans="1:20" x14ac:dyDescent="0.25">
      <c r="A326" s="5">
        <v>44267</v>
      </c>
      <c r="B326">
        <v>1.07718</v>
      </c>
      <c r="C326">
        <v>1.137</v>
      </c>
      <c r="D326">
        <v>0.95464000000000004</v>
      </c>
      <c r="E326">
        <v>1.00766</v>
      </c>
      <c r="F326">
        <v>22670587.300000001</v>
      </c>
      <c r="G326">
        <v>0</v>
      </c>
      <c r="L326" t="s">
        <v>7</v>
      </c>
      <c r="M326" t="s">
        <v>8</v>
      </c>
      <c r="N326" t="s">
        <v>7</v>
      </c>
      <c r="P326">
        <f t="shared" ref="P326:P389" si="969">IF(C326=D326,0,((E326-D326)-(C326-E326))/(C326-D326))</f>
        <v>-0.41851283176135157</v>
      </c>
      <c r="Q326">
        <f t="shared" ref="Q326:Q389" si="970">F326*P326</f>
        <v>-9487931.6886159331</v>
      </c>
      <c r="R326">
        <f t="shared" ref="R326:R389" si="971">R327+Q326</f>
        <v>-173520281.68353033</v>
      </c>
      <c r="S326">
        <f t="shared" ref="S326:S389" si="972">R326/100000</f>
        <v>-1735.2028168353033</v>
      </c>
      <c r="T326">
        <f t="shared" ref="T326:T389" si="973">S326/1000</f>
        <v>-1.7352028168353033</v>
      </c>
    </row>
    <row r="327" spans="1:20" x14ac:dyDescent="0.25">
      <c r="A327" s="5">
        <v>44266</v>
      </c>
      <c r="B327">
        <v>1.01288</v>
      </c>
      <c r="C327">
        <v>1.1288</v>
      </c>
      <c r="D327">
        <v>0.93623999999999996</v>
      </c>
      <c r="E327">
        <v>1.07785</v>
      </c>
      <c r="F327">
        <v>16504553</v>
      </c>
      <c r="G327">
        <v>0</v>
      </c>
      <c r="L327" t="s">
        <v>8</v>
      </c>
      <c r="M327" t="s">
        <v>8</v>
      </c>
      <c r="N327" t="s">
        <v>7</v>
      </c>
      <c r="P327">
        <f t="shared" si="969"/>
        <v>0.47081429164935568</v>
      </c>
      <c r="Q327">
        <f t="shared" si="970"/>
        <v>7770579.4296842478</v>
      </c>
      <c r="R327">
        <f t="shared" si="971"/>
        <v>-164032349.99491438</v>
      </c>
      <c r="S327">
        <f t="shared" si="972"/>
        <v>-1640.3234999491438</v>
      </c>
      <c r="T327">
        <f t="shared" si="973"/>
        <v>-1.6403234999491438</v>
      </c>
    </row>
    <row r="328" spans="1:20" x14ac:dyDescent="0.25">
      <c r="A328" s="5">
        <v>44265</v>
      </c>
      <c r="B328">
        <v>1.0855999999999999</v>
      </c>
      <c r="C328">
        <v>1.1536200000000001</v>
      </c>
      <c r="D328">
        <v>0.94055999999999995</v>
      </c>
      <c r="E328">
        <v>1.01179</v>
      </c>
      <c r="F328">
        <v>17035113.399999999</v>
      </c>
      <c r="G328">
        <v>0</v>
      </c>
      <c r="L328" t="s">
        <v>7</v>
      </c>
      <c r="M328" t="s">
        <v>7</v>
      </c>
      <c r="N328" t="s">
        <v>7</v>
      </c>
      <c r="P328">
        <f t="shared" si="969"/>
        <v>-0.33136205763634685</v>
      </c>
      <c r="Q328">
        <f t="shared" si="970"/>
        <v>-5644790.2282925043</v>
      </c>
      <c r="R328">
        <f t="shared" si="971"/>
        <v>-171802929.42459863</v>
      </c>
      <c r="S328">
        <f t="shared" si="972"/>
        <v>-1718.0292942459864</v>
      </c>
      <c r="T328">
        <f t="shared" si="973"/>
        <v>-1.7180292942459865</v>
      </c>
    </row>
    <row r="329" spans="1:20" x14ac:dyDescent="0.25">
      <c r="A329" s="5">
        <v>44264</v>
      </c>
      <c r="B329">
        <v>0.94291999999999998</v>
      </c>
      <c r="C329">
        <v>1.3727499999999999</v>
      </c>
      <c r="D329">
        <v>0.91520999999999997</v>
      </c>
      <c r="E329">
        <v>1.0833999999999999</v>
      </c>
      <c r="F329">
        <v>45342136.100000001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-0.26480744852909049</v>
      </c>
      <c r="Q329">
        <f t="shared" si="970"/>
        <v>-12006935.371499766</v>
      </c>
      <c r="R329">
        <f t="shared" si="971"/>
        <v>-166158139.19630614</v>
      </c>
      <c r="S329">
        <f t="shared" si="972"/>
        <v>-1661.5813919630614</v>
      </c>
      <c r="T329">
        <f t="shared" si="973"/>
        <v>-1.6615813919630613</v>
      </c>
    </row>
    <row r="330" spans="1:20" x14ac:dyDescent="0.25">
      <c r="A330" s="5">
        <v>44263</v>
      </c>
      <c r="B330">
        <v>0.88122</v>
      </c>
      <c r="C330">
        <v>0.96299999999999997</v>
      </c>
      <c r="D330">
        <v>0.86665999999999999</v>
      </c>
      <c r="E330">
        <v>0.94498000000000004</v>
      </c>
      <c r="F330">
        <v>14573796.5</v>
      </c>
      <c r="G330">
        <v>0</v>
      </c>
      <c r="L330" t="s">
        <v>8</v>
      </c>
      <c r="M330" t="s">
        <v>7</v>
      </c>
      <c r="N330" t="s">
        <v>7</v>
      </c>
      <c r="P330">
        <f t="shared" si="969"/>
        <v>0.62590824164417835</v>
      </c>
      <c r="Q330">
        <f t="shared" si="970"/>
        <v>9121859.3413950801</v>
      </c>
      <c r="R330">
        <f t="shared" si="971"/>
        <v>-154151203.82480636</v>
      </c>
      <c r="S330">
        <f t="shared" si="972"/>
        <v>-1541.5120382480636</v>
      </c>
      <c r="T330">
        <f t="shared" si="973"/>
        <v>-1.5415120382480636</v>
      </c>
    </row>
    <row r="331" spans="1:20" x14ac:dyDescent="0.25">
      <c r="A331" s="5">
        <v>44262</v>
      </c>
      <c r="B331">
        <v>1.0142899999999999</v>
      </c>
      <c r="C331">
        <v>1.0287900000000001</v>
      </c>
      <c r="D331">
        <v>0.84508000000000005</v>
      </c>
      <c r="E331">
        <v>0.88122</v>
      </c>
      <c r="F331">
        <v>37377404.899999999</v>
      </c>
      <c r="G331">
        <v>0</v>
      </c>
      <c r="L331" t="s">
        <v>7</v>
      </c>
      <c r="M331" t="s">
        <v>7</v>
      </c>
      <c r="N331" t="s">
        <v>7</v>
      </c>
      <c r="P331">
        <f t="shared" si="969"/>
        <v>-0.60655380763159394</v>
      </c>
      <c r="Q331">
        <f t="shared" si="970"/>
        <v>-22671407.261482798</v>
      </c>
      <c r="R331">
        <f t="shared" si="971"/>
        <v>-163273063.16620144</v>
      </c>
      <c r="S331">
        <f t="shared" si="972"/>
        <v>-1632.7306316620145</v>
      </c>
      <c r="T331">
        <f t="shared" si="973"/>
        <v>-1.6327306316620145</v>
      </c>
    </row>
    <row r="332" spans="1:20" x14ac:dyDescent="0.25">
      <c r="A332" s="5">
        <v>44261</v>
      </c>
      <c r="B332">
        <v>0.59970000000000001</v>
      </c>
      <c r="C332">
        <v>1.2589999999999999</v>
      </c>
      <c r="D332">
        <v>0.59809999999999997</v>
      </c>
      <c r="E332">
        <v>1.0142800000000001</v>
      </c>
      <c r="F332">
        <v>140366245.59999999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0.25943410500832242</v>
      </c>
      <c r="Q332">
        <f t="shared" si="970"/>
        <v>36415791.300614372</v>
      </c>
      <c r="R332">
        <f t="shared" si="971"/>
        <v>-140601655.90471864</v>
      </c>
      <c r="S332">
        <f t="shared" si="972"/>
        <v>-1406.0165590471863</v>
      </c>
      <c r="T332">
        <f t="shared" si="973"/>
        <v>-1.4060165590471863</v>
      </c>
    </row>
    <row r="333" spans="1:20" x14ac:dyDescent="0.25">
      <c r="A333" s="5">
        <v>44260</v>
      </c>
      <c r="B333">
        <v>0.60845000000000005</v>
      </c>
      <c r="C333">
        <v>0.73</v>
      </c>
      <c r="D333">
        <v>0.54723999999999995</v>
      </c>
      <c r="E333">
        <v>0.59970000000000001</v>
      </c>
      <c r="F333">
        <v>29793961.5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-0.42591376668855274</v>
      </c>
      <c r="Q333">
        <f t="shared" si="970"/>
        <v>-12689658.367038723</v>
      </c>
      <c r="R333">
        <f t="shared" si="971"/>
        <v>-177017447.20533302</v>
      </c>
      <c r="S333">
        <f t="shared" si="972"/>
        <v>-1770.1744720533302</v>
      </c>
      <c r="T333">
        <f t="shared" si="973"/>
        <v>-1.7701744720533301</v>
      </c>
    </row>
    <row r="334" spans="1:20" x14ac:dyDescent="0.25">
      <c r="A334" s="5">
        <v>44259</v>
      </c>
      <c r="B334">
        <v>0.49807000000000001</v>
      </c>
      <c r="C334">
        <v>0.79</v>
      </c>
      <c r="D334">
        <v>0.45679999999999998</v>
      </c>
      <c r="E334">
        <v>0.60867000000000004</v>
      </c>
      <c r="F334">
        <v>36899434.899999999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-8.8415366146458368E-2</v>
      </c>
      <c r="Q334">
        <f t="shared" si="970"/>
        <v>-3262477.0472809044</v>
      </c>
      <c r="R334">
        <f t="shared" si="971"/>
        <v>-164327788.8382943</v>
      </c>
      <c r="S334">
        <f t="shared" si="972"/>
        <v>-1643.277888382943</v>
      </c>
      <c r="T334">
        <f t="shared" si="973"/>
        <v>-1.6432778883829431</v>
      </c>
    </row>
    <row r="335" spans="1:20" x14ac:dyDescent="0.25">
      <c r="A335" s="5">
        <v>44258</v>
      </c>
      <c r="B335">
        <v>0.45661000000000002</v>
      </c>
      <c r="C335">
        <v>0.52678000000000003</v>
      </c>
      <c r="D335">
        <v>0.45578000000000002</v>
      </c>
      <c r="E335">
        <v>0.49807000000000001</v>
      </c>
      <c r="F335">
        <v>8208931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0.19126760563380252</v>
      </c>
      <c r="Q335">
        <f t="shared" si="970"/>
        <v>1570102.5771830962</v>
      </c>
      <c r="R335">
        <f t="shared" si="971"/>
        <v>-161065311.79101339</v>
      </c>
      <c r="S335">
        <f t="shared" si="972"/>
        <v>-1610.6531179101339</v>
      </c>
      <c r="T335">
        <f t="shared" si="973"/>
        <v>-1.610653117910134</v>
      </c>
    </row>
    <row r="336" spans="1:20" x14ac:dyDescent="0.25">
      <c r="A336" s="5">
        <v>44257</v>
      </c>
      <c r="B336">
        <v>0.40387000000000001</v>
      </c>
      <c r="C336">
        <v>0.45759</v>
      </c>
      <c r="D336">
        <v>0.40094999999999997</v>
      </c>
      <c r="E336">
        <v>0.45661000000000002</v>
      </c>
      <c r="F336">
        <v>5527191.0999999996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0.96539548022598942</v>
      </c>
      <c r="Q336">
        <f t="shared" si="970"/>
        <v>5335925.3062853143</v>
      </c>
      <c r="R336">
        <f t="shared" si="971"/>
        <v>-162635414.36819649</v>
      </c>
      <c r="S336">
        <f t="shared" si="972"/>
        <v>-1626.3541436819648</v>
      </c>
      <c r="T336">
        <f t="shared" si="973"/>
        <v>-1.6263541436819648</v>
      </c>
    </row>
    <row r="337" spans="1:20" x14ac:dyDescent="0.25">
      <c r="A337" s="5">
        <v>44256</v>
      </c>
      <c r="B337">
        <v>0.37964999999999999</v>
      </c>
      <c r="C337">
        <v>0.41997000000000001</v>
      </c>
      <c r="D337">
        <v>0.37498999999999999</v>
      </c>
      <c r="E337">
        <v>0.40267999999999998</v>
      </c>
      <c r="F337">
        <v>4147137.8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0.23121387283236905</v>
      </c>
      <c r="Q337">
        <f t="shared" si="970"/>
        <v>958875.79190751072</v>
      </c>
      <c r="R337">
        <f t="shared" si="971"/>
        <v>-167971339.67448181</v>
      </c>
      <c r="S337">
        <f t="shared" si="972"/>
        <v>-1679.7133967448181</v>
      </c>
      <c r="T337">
        <f t="shared" si="973"/>
        <v>-1.6797133967448181</v>
      </c>
    </row>
    <row r="338" spans="1:20" x14ac:dyDescent="0.25">
      <c r="A338" s="5">
        <v>44255</v>
      </c>
      <c r="B338">
        <v>0.40561000000000003</v>
      </c>
      <c r="C338">
        <v>0.40745999999999999</v>
      </c>
      <c r="D338">
        <v>0.34704000000000002</v>
      </c>
      <c r="E338">
        <v>0.37964999999999999</v>
      </c>
      <c r="F338">
        <v>5517031.9000000004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7.9443892750744344E-2</v>
      </c>
      <c r="Q338">
        <f t="shared" si="970"/>
        <v>438294.49056603533</v>
      </c>
      <c r="R338">
        <f t="shared" si="971"/>
        <v>-168930215.46638933</v>
      </c>
      <c r="S338">
        <f t="shared" si="972"/>
        <v>-1689.3021546638934</v>
      </c>
      <c r="T338">
        <f t="shared" si="973"/>
        <v>-1.6893021546638933</v>
      </c>
    </row>
    <row r="339" spans="1:20" x14ac:dyDescent="0.25">
      <c r="A339" s="5">
        <v>44254</v>
      </c>
      <c r="B339">
        <v>0.45734000000000002</v>
      </c>
      <c r="C339">
        <v>0.47187000000000001</v>
      </c>
      <c r="D339">
        <v>0.39130999999999999</v>
      </c>
      <c r="E339">
        <v>0.40561000000000003</v>
      </c>
      <c r="F339">
        <v>5265445</v>
      </c>
      <c r="G339">
        <v>0</v>
      </c>
      <c r="L339" t="s">
        <v>7</v>
      </c>
      <c r="M339" t="s">
        <v>7</v>
      </c>
      <c r="N339" t="s">
        <v>8</v>
      </c>
      <c r="P339">
        <f t="shared" si="969"/>
        <v>-0.64498510427010847</v>
      </c>
      <c r="Q339">
        <f t="shared" si="970"/>
        <v>-3396133.5923535214</v>
      </c>
      <c r="R339">
        <f t="shared" si="971"/>
        <v>-169368509.95695537</v>
      </c>
      <c r="S339">
        <f t="shared" si="972"/>
        <v>-1693.6850995695538</v>
      </c>
      <c r="T339">
        <f t="shared" si="973"/>
        <v>-1.6936850995695538</v>
      </c>
    </row>
    <row r="340" spans="1:20" x14ac:dyDescent="0.25">
      <c r="A340" s="5">
        <v>44253</v>
      </c>
      <c r="B340">
        <v>0.46423999999999999</v>
      </c>
      <c r="C340">
        <v>0.54</v>
      </c>
      <c r="D340">
        <v>0.44546999999999998</v>
      </c>
      <c r="E340">
        <v>0.45678999999999997</v>
      </c>
      <c r="F340">
        <v>18069167.100000001</v>
      </c>
      <c r="G340">
        <v>0</v>
      </c>
      <c r="L340" t="s">
        <v>8</v>
      </c>
      <c r="M340" t="s">
        <v>8</v>
      </c>
      <c r="N340" t="s">
        <v>8</v>
      </c>
      <c r="P340">
        <f t="shared" si="969"/>
        <v>-0.76049931238760204</v>
      </c>
      <c r="Q340">
        <f t="shared" si="970"/>
        <v>-13741589.154966682</v>
      </c>
      <c r="R340">
        <f t="shared" si="971"/>
        <v>-165972376.36460185</v>
      </c>
      <c r="S340">
        <f t="shared" si="972"/>
        <v>-1659.7237636460186</v>
      </c>
      <c r="T340">
        <f t="shared" si="973"/>
        <v>-1.6597237636460187</v>
      </c>
    </row>
    <row r="341" spans="1:20" x14ac:dyDescent="0.25">
      <c r="A341" s="5">
        <v>44252</v>
      </c>
      <c r="B341">
        <v>0.42563000000000001</v>
      </c>
      <c r="C341">
        <v>0.48799999999999999</v>
      </c>
      <c r="D341">
        <v>0.42433999999999999</v>
      </c>
      <c r="E341">
        <v>0.46434999999999998</v>
      </c>
      <c r="F341">
        <v>8623170.6999999993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0.25699026076028886</v>
      </c>
      <c r="Q341">
        <f t="shared" si="970"/>
        <v>2216070.8867734824</v>
      </c>
      <c r="R341">
        <f t="shared" si="971"/>
        <v>-152230787.20963517</v>
      </c>
      <c r="S341">
        <f t="shared" si="972"/>
        <v>-1522.3078720963517</v>
      </c>
      <c r="T341">
        <f t="shared" si="973"/>
        <v>-1.5223078720963517</v>
      </c>
    </row>
    <row r="342" spans="1:20" x14ac:dyDescent="0.25">
      <c r="A342" s="5">
        <v>44251</v>
      </c>
      <c r="B342">
        <v>0.38351000000000002</v>
      </c>
      <c r="C342">
        <v>0.42899999999999999</v>
      </c>
      <c r="D342">
        <v>0.37607000000000002</v>
      </c>
      <c r="E342">
        <v>0.42563000000000001</v>
      </c>
      <c r="F342">
        <v>4450587.5999999996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0.87266200642357883</v>
      </c>
      <c r="Q342">
        <f t="shared" si="970"/>
        <v>3883858.7047799001</v>
      </c>
      <c r="R342">
        <f t="shared" si="971"/>
        <v>-154446858.09640867</v>
      </c>
      <c r="S342">
        <f t="shared" si="972"/>
        <v>-1544.4685809640866</v>
      </c>
      <c r="T342">
        <f t="shared" si="973"/>
        <v>-1.5444685809640866</v>
      </c>
    </row>
    <row r="343" spans="1:20" x14ac:dyDescent="0.25">
      <c r="A343" s="5">
        <v>44250</v>
      </c>
      <c r="B343">
        <v>0.41310999999999998</v>
      </c>
      <c r="C343">
        <v>0.41539999999999999</v>
      </c>
      <c r="D343">
        <v>0.36071999999999999</v>
      </c>
      <c r="E343">
        <v>0.38434000000000001</v>
      </c>
      <c r="F343">
        <v>5826923.0999999996</v>
      </c>
      <c r="G343">
        <v>0</v>
      </c>
      <c r="L343" t="s">
        <v>8</v>
      </c>
      <c r="M343" t="s">
        <v>8</v>
      </c>
      <c r="N343" t="s">
        <v>7</v>
      </c>
      <c r="P343">
        <f t="shared" si="969"/>
        <v>-0.13606437454279344</v>
      </c>
      <c r="Q343">
        <f t="shared" si="970"/>
        <v>-792836.64711045497</v>
      </c>
      <c r="R343">
        <f t="shared" si="971"/>
        <v>-158330716.80118856</v>
      </c>
      <c r="S343">
        <f t="shared" si="972"/>
        <v>-1583.3071680118856</v>
      </c>
      <c r="T343">
        <f t="shared" si="973"/>
        <v>-1.5833071680118855</v>
      </c>
    </row>
    <row r="344" spans="1:20" x14ac:dyDescent="0.25">
      <c r="A344" s="5">
        <v>44249</v>
      </c>
      <c r="B344">
        <v>0.42299999999999999</v>
      </c>
      <c r="C344">
        <v>0.44925999999999999</v>
      </c>
      <c r="D344">
        <v>0.33950999999999998</v>
      </c>
      <c r="E344">
        <v>0.41299999999999998</v>
      </c>
      <c r="F344">
        <v>7153578.7999999998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0.33922551252847361</v>
      </c>
      <c r="Q344">
        <f t="shared" si="970"/>
        <v>2426676.4348428231</v>
      </c>
      <c r="R344">
        <f t="shared" si="971"/>
        <v>-157537880.1540781</v>
      </c>
      <c r="S344">
        <f t="shared" si="972"/>
        <v>-1575.3788015407811</v>
      </c>
      <c r="T344">
        <f t="shared" si="973"/>
        <v>-1.575378801540781</v>
      </c>
    </row>
    <row r="345" spans="1:20" x14ac:dyDescent="0.25">
      <c r="A345" s="5">
        <v>44248</v>
      </c>
      <c r="B345">
        <v>0.40867999999999999</v>
      </c>
      <c r="C345">
        <v>0.44528000000000001</v>
      </c>
      <c r="D345">
        <v>0.40676000000000001</v>
      </c>
      <c r="E345">
        <v>0.42270999999999997</v>
      </c>
      <c r="F345">
        <v>3596993.5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-0.17185877466251481</v>
      </c>
      <c r="Q345">
        <f t="shared" si="970"/>
        <v>-618174.89537903049</v>
      </c>
      <c r="R345">
        <f t="shared" si="971"/>
        <v>-159964556.58892092</v>
      </c>
      <c r="S345">
        <f t="shared" si="972"/>
        <v>-1599.6455658892091</v>
      </c>
      <c r="T345">
        <f t="shared" si="973"/>
        <v>-1.599645565889209</v>
      </c>
    </row>
    <row r="346" spans="1:20" x14ac:dyDescent="0.25">
      <c r="A346" s="5">
        <v>44247</v>
      </c>
      <c r="B346">
        <v>0.45593</v>
      </c>
      <c r="C346">
        <v>0.45733000000000001</v>
      </c>
      <c r="D346">
        <v>0.40110000000000001</v>
      </c>
      <c r="E346">
        <v>0.40895999999999999</v>
      </c>
      <c r="F346">
        <v>7150360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-0.72043393206473494</v>
      </c>
      <c r="Q346">
        <f t="shared" si="970"/>
        <v>-5151361.9704783978</v>
      </c>
      <c r="R346">
        <f t="shared" si="971"/>
        <v>-159346381.69354188</v>
      </c>
      <c r="S346">
        <f t="shared" si="972"/>
        <v>-1593.4638169354189</v>
      </c>
      <c r="T346">
        <f t="shared" si="973"/>
        <v>-1.5934638169354189</v>
      </c>
    </row>
    <row r="347" spans="1:20" x14ac:dyDescent="0.25">
      <c r="A347" s="5">
        <v>44246</v>
      </c>
      <c r="B347">
        <v>0.44647999999999999</v>
      </c>
      <c r="C347">
        <v>0.5</v>
      </c>
      <c r="D347">
        <v>0.42615999999999998</v>
      </c>
      <c r="E347">
        <v>0.45591999999999999</v>
      </c>
      <c r="F347">
        <v>15195532.800000001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-0.19393282773564458</v>
      </c>
      <c r="Q347">
        <f t="shared" si="970"/>
        <v>-2946912.6448537372</v>
      </c>
      <c r="R347">
        <f t="shared" si="971"/>
        <v>-154195019.7230635</v>
      </c>
      <c r="S347">
        <f t="shared" si="972"/>
        <v>-1541.950197230635</v>
      </c>
      <c r="T347">
        <f t="shared" si="973"/>
        <v>-1.5419501972306351</v>
      </c>
    </row>
    <row r="348" spans="1:20" x14ac:dyDescent="0.25">
      <c r="A348" s="5">
        <v>44245</v>
      </c>
      <c r="B348">
        <v>0.35704000000000002</v>
      </c>
      <c r="C348">
        <v>0.45362000000000002</v>
      </c>
      <c r="D348">
        <v>0.34</v>
      </c>
      <c r="E348">
        <v>0.44647999999999999</v>
      </c>
      <c r="F348">
        <v>12835243.800000001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0.8743179017778554</v>
      </c>
      <c r="Q348">
        <f t="shared" si="970"/>
        <v>11222083.428023228</v>
      </c>
      <c r="R348">
        <f t="shared" si="971"/>
        <v>-151248107.07820976</v>
      </c>
      <c r="S348">
        <f t="shared" si="972"/>
        <v>-1512.4810707820975</v>
      </c>
      <c r="T348">
        <f t="shared" si="973"/>
        <v>-1.5124810707820975</v>
      </c>
    </row>
    <row r="349" spans="1:20" x14ac:dyDescent="0.25">
      <c r="A349" s="5">
        <v>44244</v>
      </c>
      <c r="B349">
        <v>0.34637000000000001</v>
      </c>
      <c r="C349">
        <v>0.36418</v>
      </c>
      <c r="D349">
        <v>0.33750000000000002</v>
      </c>
      <c r="E349">
        <v>0.35536000000000001</v>
      </c>
      <c r="F349">
        <v>3836028.9</v>
      </c>
      <c r="G349">
        <v>0</v>
      </c>
      <c r="L349" t="s">
        <v>8</v>
      </c>
      <c r="M349" t="s">
        <v>7</v>
      </c>
      <c r="N349" t="s">
        <v>7</v>
      </c>
      <c r="P349">
        <f t="shared" si="969"/>
        <v>0.33883058470764615</v>
      </c>
      <c r="Q349">
        <f t="shared" si="970"/>
        <v>1299763.9151424286</v>
      </c>
      <c r="R349">
        <f t="shared" si="971"/>
        <v>-162470190.50623298</v>
      </c>
      <c r="S349">
        <f t="shared" si="972"/>
        <v>-1624.7019050623298</v>
      </c>
      <c r="T349">
        <f t="shared" si="973"/>
        <v>-1.6247019050623299</v>
      </c>
    </row>
    <row r="350" spans="1:20" x14ac:dyDescent="0.25">
      <c r="A350" s="5">
        <v>44243</v>
      </c>
      <c r="B350">
        <v>0.34982999999999997</v>
      </c>
      <c r="C350">
        <v>0.35677999999999999</v>
      </c>
      <c r="D350">
        <v>0.33896999999999999</v>
      </c>
      <c r="E350">
        <v>0.34636</v>
      </c>
      <c r="F350">
        <v>2633005.6</v>
      </c>
      <c r="G350">
        <v>0</v>
      </c>
      <c r="L350" t="s">
        <v>8</v>
      </c>
      <c r="M350" t="s">
        <v>7</v>
      </c>
      <c r="N350" t="s">
        <v>7</v>
      </c>
      <c r="P350">
        <f t="shared" si="969"/>
        <v>-0.17012914093205944</v>
      </c>
      <c r="Q350">
        <f t="shared" si="970"/>
        <v>-447950.98079730175</v>
      </c>
      <c r="R350">
        <f t="shared" si="971"/>
        <v>-163769954.42137539</v>
      </c>
      <c r="S350">
        <f t="shared" si="972"/>
        <v>-1637.6995442137541</v>
      </c>
      <c r="T350">
        <f t="shared" si="973"/>
        <v>-1.6376995442137541</v>
      </c>
    </row>
    <row r="351" spans="1:20" x14ac:dyDescent="0.25">
      <c r="A351" s="5">
        <v>44242</v>
      </c>
      <c r="B351">
        <v>0.35786000000000001</v>
      </c>
      <c r="C351">
        <v>0.36469000000000001</v>
      </c>
      <c r="D351">
        <v>0.31859999999999999</v>
      </c>
      <c r="E351">
        <v>0.34982999999999997</v>
      </c>
      <c r="F351">
        <v>5414608.5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0.35517465827728212</v>
      </c>
      <c r="Q351">
        <f t="shared" si="970"/>
        <v>1923131.7236927671</v>
      </c>
      <c r="R351">
        <f t="shared" si="971"/>
        <v>-163322003.4405781</v>
      </c>
      <c r="S351">
        <f t="shared" si="972"/>
        <v>-1633.220034405781</v>
      </c>
      <c r="T351">
        <f t="shared" si="973"/>
        <v>-1.633220034405781</v>
      </c>
    </row>
    <row r="352" spans="1:20" x14ac:dyDescent="0.25">
      <c r="A352" s="5">
        <v>44241</v>
      </c>
      <c r="B352">
        <v>0.40015000000000001</v>
      </c>
      <c r="C352">
        <v>0.40316999999999997</v>
      </c>
      <c r="D352">
        <v>0.35231000000000001</v>
      </c>
      <c r="E352">
        <v>0.35897000000000001</v>
      </c>
      <c r="F352">
        <v>7921366.2999999998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-0.73810460086511975</v>
      </c>
      <c r="Q352">
        <f t="shared" si="970"/>
        <v>-5846796.9111679103</v>
      </c>
      <c r="R352">
        <f t="shared" si="971"/>
        <v>-165245135.16427088</v>
      </c>
      <c r="S352">
        <f t="shared" si="972"/>
        <v>-1652.4513516427087</v>
      </c>
      <c r="T352">
        <f t="shared" si="973"/>
        <v>-1.6524513516427086</v>
      </c>
    </row>
    <row r="353" spans="1:20" x14ac:dyDescent="0.25">
      <c r="A353" s="5">
        <v>44240</v>
      </c>
      <c r="B353">
        <v>0.40039000000000002</v>
      </c>
      <c r="C353">
        <v>0.42534</v>
      </c>
      <c r="D353">
        <v>0.39223000000000002</v>
      </c>
      <c r="E353">
        <v>0.40015000000000001</v>
      </c>
      <c r="F353">
        <v>9370907.0999999996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-0.5215946843853827</v>
      </c>
      <c r="Q353">
        <f t="shared" si="970"/>
        <v>-4887815.3312292416</v>
      </c>
      <c r="R353">
        <f t="shared" si="971"/>
        <v>-159398338.25310296</v>
      </c>
      <c r="S353">
        <f t="shared" si="972"/>
        <v>-1593.9833825310295</v>
      </c>
      <c r="T353">
        <f t="shared" si="973"/>
        <v>-1.5939833825310294</v>
      </c>
    </row>
    <row r="354" spans="1:20" x14ac:dyDescent="0.25">
      <c r="A354" s="5">
        <v>44239</v>
      </c>
      <c r="B354">
        <v>0.39006000000000002</v>
      </c>
      <c r="C354">
        <v>0.40705000000000002</v>
      </c>
      <c r="D354">
        <v>0.36</v>
      </c>
      <c r="E354">
        <v>0.40027000000000001</v>
      </c>
      <c r="F354">
        <v>9278019.9000000004</v>
      </c>
      <c r="G354">
        <v>0</v>
      </c>
      <c r="L354" t="s">
        <v>7</v>
      </c>
      <c r="M354" t="s">
        <v>8</v>
      </c>
      <c r="N354" t="s">
        <v>8</v>
      </c>
      <c r="P354">
        <f t="shared" si="969"/>
        <v>0.71179596174282667</v>
      </c>
      <c r="Q354">
        <f t="shared" si="970"/>
        <v>6604057.0977895847</v>
      </c>
      <c r="R354">
        <f t="shared" si="971"/>
        <v>-154510522.92187372</v>
      </c>
      <c r="S354">
        <f t="shared" si="972"/>
        <v>-1545.1052292187371</v>
      </c>
      <c r="T354">
        <f t="shared" si="973"/>
        <v>-1.5451052292187371</v>
      </c>
    </row>
    <row r="355" spans="1:20" x14ac:dyDescent="0.25">
      <c r="A355" s="5">
        <v>44238</v>
      </c>
      <c r="B355">
        <v>0.38274999999999998</v>
      </c>
      <c r="C355">
        <v>0.40331</v>
      </c>
      <c r="D355">
        <v>0.37297000000000002</v>
      </c>
      <c r="E355">
        <v>0.39217999999999997</v>
      </c>
      <c r="F355">
        <v>10069107.199999999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0.26631509558338584</v>
      </c>
      <c r="Q355">
        <f t="shared" si="970"/>
        <v>2681555.2464073584</v>
      </c>
      <c r="R355">
        <f t="shared" si="971"/>
        <v>-161114580.0196633</v>
      </c>
      <c r="S355">
        <f t="shared" si="972"/>
        <v>-1611.145800196633</v>
      </c>
      <c r="T355">
        <f t="shared" si="973"/>
        <v>-1.611145800196633</v>
      </c>
    </row>
    <row r="356" spans="1:20" x14ac:dyDescent="0.25">
      <c r="A356" s="5">
        <v>44237</v>
      </c>
      <c r="B356">
        <v>0.32130999999999998</v>
      </c>
      <c r="C356">
        <v>0.4</v>
      </c>
      <c r="D356">
        <v>0.31503999999999999</v>
      </c>
      <c r="E356">
        <v>0.38274999999999998</v>
      </c>
      <c r="F356">
        <v>17686677.699999999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0.5939265536723155</v>
      </c>
      <c r="Q356">
        <f t="shared" si="970"/>
        <v>10504587.532273995</v>
      </c>
      <c r="R356">
        <f t="shared" si="971"/>
        <v>-163796135.26607066</v>
      </c>
      <c r="S356">
        <f t="shared" si="972"/>
        <v>-1637.9613526607066</v>
      </c>
      <c r="T356">
        <f t="shared" si="973"/>
        <v>-1.6379613526607066</v>
      </c>
    </row>
    <row r="357" spans="1:20" x14ac:dyDescent="0.25">
      <c r="A357" s="5">
        <v>44236</v>
      </c>
      <c r="B357">
        <v>0.29894999999999999</v>
      </c>
      <c r="C357">
        <v>0.34050999999999998</v>
      </c>
      <c r="D357">
        <v>0.29043999999999998</v>
      </c>
      <c r="E357">
        <v>0.32128000000000001</v>
      </c>
      <c r="F357">
        <v>15712967.9</v>
      </c>
      <c r="G357">
        <v>0</v>
      </c>
      <c r="L357" t="s">
        <v>7</v>
      </c>
      <c r="M357" t="s">
        <v>7</v>
      </c>
      <c r="N357" t="s">
        <v>8</v>
      </c>
      <c r="P357">
        <f t="shared" si="969"/>
        <v>0.23187537447573525</v>
      </c>
      <c r="Q357">
        <f t="shared" si="970"/>
        <v>3643450.3159377072</v>
      </c>
      <c r="R357">
        <f t="shared" si="971"/>
        <v>-174300722.79834467</v>
      </c>
      <c r="S357">
        <f t="shared" si="972"/>
        <v>-1743.0072279834467</v>
      </c>
      <c r="T357">
        <f t="shared" si="973"/>
        <v>-1.7430072279834468</v>
      </c>
    </row>
    <row r="358" spans="1:20" x14ac:dyDescent="0.25">
      <c r="A358" s="5">
        <v>44235</v>
      </c>
      <c r="B358">
        <v>0.29498999999999997</v>
      </c>
      <c r="C358">
        <v>0.35522999999999999</v>
      </c>
      <c r="D358">
        <v>0.28699999999999998</v>
      </c>
      <c r="E358">
        <v>0.29875000000000002</v>
      </c>
      <c r="F358">
        <v>27397881.199999999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-0.65557672578044746</v>
      </c>
      <c r="Q358">
        <f t="shared" si="970"/>
        <v>-17961413.250417676</v>
      </c>
      <c r="R358">
        <f t="shared" si="971"/>
        <v>-177944173.11428237</v>
      </c>
      <c r="S358">
        <f t="shared" si="972"/>
        <v>-1779.4417311428238</v>
      </c>
      <c r="T358">
        <f t="shared" si="973"/>
        <v>-1.7794417311428237</v>
      </c>
    </row>
    <row r="359" spans="1:20" x14ac:dyDescent="0.25">
      <c r="A359" s="5">
        <v>44234</v>
      </c>
      <c r="B359">
        <v>0.2492</v>
      </c>
      <c r="C359">
        <v>0.33284999999999998</v>
      </c>
      <c r="D359">
        <v>0.24732000000000001</v>
      </c>
      <c r="E359">
        <v>0.29554000000000002</v>
      </c>
      <c r="F359">
        <v>27519129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0.12755758213492416</v>
      </c>
      <c r="Q359">
        <f t="shared" si="970"/>
        <v>3510273.5576990731</v>
      </c>
      <c r="R359">
        <f t="shared" si="971"/>
        <v>-159982759.86386469</v>
      </c>
      <c r="S359">
        <f t="shared" si="972"/>
        <v>-1599.8275986386468</v>
      </c>
      <c r="T359">
        <f t="shared" si="973"/>
        <v>-1.5998275986386468</v>
      </c>
    </row>
    <row r="360" spans="1:20" x14ac:dyDescent="0.25">
      <c r="A360" s="5">
        <v>44233</v>
      </c>
      <c r="B360">
        <v>0.27453</v>
      </c>
      <c r="C360">
        <v>0.27700000000000002</v>
      </c>
      <c r="D360">
        <v>0.24443999999999999</v>
      </c>
      <c r="E360">
        <v>0.24920999999999999</v>
      </c>
      <c r="F360">
        <v>10126240.199999999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-0.70700245700245756</v>
      </c>
      <c r="Q360">
        <f t="shared" si="970"/>
        <v>-7159276.7015970564</v>
      </c>
      <c r="R360">
        <f t="shared" si="971"/>
        <v>-163493033.42156377</v>
      </c>
      <c r="S360">
        <f t="shared" si="972"/>
        <v>-1634.9303342156377</v>
      </c>
      <c r="T360">
        <f t="shared" si="973"/>
        <v>-1.6349303342156376</v>
      </c>
    </row>
    <row r="361" spans="1:20" x14ac:dyDescent="0.25">
      <c r="A361" s="5">
        <v>44232</v>
      </c>
      <c r="B361">
        <v>0.24543999999999999</v>
      </c>
      <c r="C361">
        <v>0.28199000000000002</v>
      </c>
      <c r="D361">
        <v>0.24517</v>
      </c>
      <c r="E361">
        <v>0.27495000000000003</v>
      </c>
      <c r="F361">
        <v>15589928.9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0.61759913090711638</v>
      </c>
      <c r="Q361">
        <f t="shared" si="970"/>
        <v>9628326.5395437367</v>
      </c>
      <c r="R361">
        <f t="shared" si="971"/>
        <v>-156333756.71996671</v>
      </c>
      <c r="S361">
        <f t="shared" si="972"/>
        <v>-1563.3375671996671</v>
      </c>
      <c r="T361">
        <f t="shared" si="973"/>
        <v>-1.563337567199667</v>
      </c>
    </row>
    <row r="362" spans="1:20" x14ac:dyDescent="0.25">
      <c r="A362" s="5">
        <v>44231</v>
      </c>
      <c r="B362">
        <v>0.22638</v>
      </c>
      <c r="C362">
        <v>0.25686999999999999</v>
      </c>
      <c r="D362">
        <v>0.22004000000000001</v>
      </c>
      <c r="E362">
        <v>0.24589</v>
      </c>
      <c r="F362">
        <v>13174085.1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0.40374694542492545</v>
      </c>
      <c r="Q362">
        <f t="shared" si="970"/>
        <v>5318996.6178930234</v>
      </c>
      <c r="R362">
        <f t="shared" si="971"/>
        <v>-165962083.25951046</v>
      </c>
      <c r="S362">
        <f t="shared" si="972"/>
        <v>-1659.6208325951045</v>
      </c>
      <c r="T362">
        <f t="shared" si="973"/>
        <v>-1.6596208325951045</v>
      </c>
    </row>
    <row r="363" spans="1:20" x14ac:dyDescent="0.25">
      <c r="A363" s="5">
        <v>44230</v>
      </c>
      <c r="B363">
        <v>0.21439</v>
      </c>
      <c r="C363">
        <v>0.23499999999999999</v>
      </c>
      <c r="D363">
        <v>0.21110999999999999</v>
      </c>
      <c r="E363">
        <v>0.2263</v>
      </c>
      <c r="F363">
        <v>7109648.7999999998</v>
      </c>
      <c r="G363">
        <v>0</v>
      </c>
      <c r="L363" t="s">
        <v>8</v>
      </c>
      <c r="M363" t="s">
        <v>7</v>
      </c>
      <c r="N363" t="s">
        <v>8</v>
      </c>
      <c r="P363">
        <f t="shared" si="969"/>
        <v>0.2716617831728767</v>
      </c>
      <c r="Q363">
        <f t="shared" si="970"/>
        <v>1931419.8707409031</v>
      </c>
      <c r="R363">
        <f t="shared" si="971"/>
        <v>-171281079.87740347</v>
      </c>
      <c r="S363">
        <f t="shared" si="972"/>
        <v>-1712.8107987740348</v>
      </c>
      <c r="T363">
        <f t="shared" si="973"/>
        <v>-1.7128107987740349</v>
      </c>
    </row>
    <row r="364" spans="1:20" x14ac:dyDescent="0.25">
      <c r="A364" s="5">
        <v>44229</v>
      </c>
      <c r="B364">
        <v>0.21195</v>
      </c>
      <c r="C364">
        <v>0.21998000000000001</v>
      </c>
      <c r="D364">
        <v>0.20499999999999999</v>
      </c>
      <c r="E364">
        <v>0.21417</v>
      </c>
      <c r="F364">
        <v>4750003.0999999996</v>
      </c>
      <c r="G364">
        <v>0</v>
      </c>
      <c r="L364" t="s">
        <v>8</v>
      </c>
      <c r="M364" t="s">
        <v>7</v>
      </c>
      <c r="N364" t="s">
        <v>8</v>
      </c>
      <c r="P364">
        <f t="shared" si="969"/>
        <v>0.22429906542056055</v>
      </c>
      <c r="Q364">
        <f t="shared" si="970"/>
        <v>1065421.2560747652</v>
      </c>
      <c r="R364">
        <f t="shared" si="971"/>
        <v>-173212499.74814436</v>
      </c>
      <c r="S364">
        <f t="shared" si="972"/>
        <v>-1732.1249974814436</v>
      </c>
      <c r="T364">
        <f t="shared" si="973"/>
        <v>-1.7321249974814437</v>
      </c>
    </row>
    <row r="365" spans="1:20" x14ac:dyDescent="0.25">
      <c r="A365" s="5">
        <v>44228</v>
      </c>
      <c r="B365">
        <v>0.21253</v>
      </c>
      <c r="C365">
        <v>0.21714</v>
      </c>
      <c r="D365">
        <v>0.20488999999999999</v>
      </c>
      <c r="E365">
        <v>0.21195</v>
      </c>
      <c r="F365">
        <v>4645748.4000000004</v>
      </c>
      <c r="G365">
        <v>0</v>
      </c>
      <c r="L365" t="s">
        <v>7</v>
      </c>
      <c r="M365" t="s">
        <v>7</v>
      </c>
      <c r="N365" t="s">
        <v>8</v>
      </c>
      <c r="P365">
        <f t="shared" si="969"/>
        <v>0.15265306122449052</v>
      </c>
      <c r="Q365">
        <f t="shared" si="970"/>
        <v>709187.7149387789</v>
      </c>
      <c r="R365">
        <f t="shared" si="971"/>
        <v>-174277921.00421911</v>
      </c>
      <c r="S365">
        <f t="shared" si="972"/>
        <v>-1742.7792100421912</v>
      </c>
      <c r="T365">
        <f t="shared" si="973"/>
        <v>-1.7427792100421911</v>
      </c>
    </row>
    <row r="366" spans="1:20" x14ac:dyDescent="0.25">
      <c r="A366" s="5">
        <v>44227</v>
      </c>
      <c r="B366">
        <v>0.21410999999999999</v>
      </c>
      <c r="C366">
        <v>0.22900000000000001</v>
      </c>
      <c r="D366">
        <v>0.20730999999999999</v>
      </c>
      <c r="E366">
        <v>0.21354000000000001</v>
      </c>
      <c r="F366">
        <v>6761542.5999999996</v>
      </c>
      <c r="G366">
        <v>0</v>
      </c>
      <c r="L366" t="s">
        <v>8</v>
      </c>
      <c r="M366" t="s">
        <v>7</v>
      </c>
      <c r="N366" t="s">
        <v>8</v>
      </c>
      <c r="P366">
        <f t="shared" si="969"/>
        <v>-0.42554172429691017</v>
      </c>
      <c r="Q366">
        <f t="shared" si="970"/>
        <v>-2877318.496911013</v>
      </c>
      <c r="R366">
        <f t="shared" si="971"/>
        <v>-174987108.7191579</v>
      </c>
      <c r="S366">
        <f t="shared" si="972"/>
        <v>-1749.8710871915791</v>
      </c>
      <c r="T366">
        <f t="shared" si="973"/>
        <v>-1.7498710871915792</v>
      </c>
    </row>
    <row r="367" spans="1:20" x14ac:dyDescent="0.25">
      <c r="A367" s="5">
        <v>44226</v>
      </c>
      <c r="B367">
        <v>0.20906</v>
      </c>
      <c r="C367">
        <v>0.22</v>
      </c>
      <c r="D367">
        <v>0.20680999999999999</v>
      </c>
      <c r="E367">
        <v>0.21415999999999999</v>
      </c>
      <c r="F367">
        <v>5639500.4000000004</v>
      </c>
      <c r="G367">
        <v>0</v>
      </c>
      <c r="L367" t="s">
        <v>8</v>
      </c>
      <c r="M367" t="s">
        <v>7</v>
      </c>
      <c r="N367" t="s">
        <v>8</v>
      </c>
      <c r="P367">
        <f t="shared" si="969"/>
        <v>0.11448066717209877</v>
      </c>
      <c r="Q367">
        <f t="shared" si="970"/>
        <v>645613.76830931799</v>
      </c>
      <c r="R367">
        <f t="shared" si="971"/>
        <v>-172109790.22224689</v>
      </c>
      <c r="S367">
        <f t="shared" si="972"/>
        <v>-1721.0979022224687</v>
      </c>
      <c r="T367">
        <f t="shared" si="973"/>
        <v>-1.7210979022224688</v>
      </c>
    </row>
    <row r="368" spans="1:20" x14ac:dyDescent="0.25">
      <c r="A368" s="5">
        <v>44225</v>
      </c>
      <c r="B368">
        <v>0.22198999999999999</v>
      </c>
      <c r="C368">
        <v>0.22389000000000001</v>
      </c>
      <c r="D368">
        <v>0.20249</v>
      </c>
      <c r="E368">
        <v>0.20906</v>
      </c>
      <c r="F368">
        <v>11704206.199999999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-0.3859813084112157</v>
      </c>
      <c r="Q368">
        <f t="shared" si="970"/>
        <v>-4517604.8229906624</v>
      </c>
      <c r="R368">
        <f t="shared" si="971"/>
        <v>-172755403.99055621</v>
      </c>
      <c r="S368">
        <f t="shared" si="972"/>
        <v>-1727.5540399055621</v>
      </c>
      <c r="T368">
        <f t="shared" si="973"/>
        <v>-1.7275540399055622</v>
      </c>
    </row>
    <row r="369" spans="1:20" x14ac:dyDescent="0.25">
      <c r="A369" s="5">
        <v>44224</v>
      </c>
      <c r="B369">
        <v>0.2165</v>
      </c>
      <c r="C369">
        <v>0.24354000000000001</v>
      </c>
      <c r="D369">
        <v>0.20948</v>
      </c>
      <c r="E369">
        <v>0.22198000000000001</v>
      </c>
      <c r="F369">
        <v>14740908</v>
      </c>
      <c r="G369">
        <v>0</v>
      </c>
      <c r="L369" t="s">
        <v>7</v>
      </c>
      <c r="M369" t="s">
        <v>7</v>
      </c>
      <c r="N369" t="s">
        <v>8</v>
      </c>
      <c r="P369">
        <f t="shared" si="969"/>
        <v>-0.26600117439812049</v>
      </c>
      <c r="Q369">
        <f t="shared" si="970"/>
        <v>-3921098.8396946494</v>
      </c>
      <c r="R369">
        <f t="shared" si="971"/>
        <v>-168237799.16756555</v>
      </c>
      <c r="S369">
        <f t="shared" si="972"/>
        <v>-1682.3779916756555</v>
      </c>
      <c r="T369">
        <f t="shared" si="973"/>
        <v>-1.6823779916756556</v>
      </c>
    </row>
    <row r="370" spans="1:20" x14ac:dyDescent="0.25">
      <c r="A370" s="5">
        <v>44223</v>
      </c>
      <c r="B370">
        <v>0.2485</v>
      </c>
      <c r="C370">
        <v>0.28582999999999997</v>
      </c>
      <c r="D370">
        <v>0.21371999999999999</v>
      </c>
      <c r="E370">
        <v>0.2165</v>
      </c>
      <c r="F370">
        <v>30362472.600000001</v>
      </c>
      <c r="G370">
        <v>0</v>
      </c>
      <c r="L370" t="s">
        <v>8</v>
      </c>
      <c r="M370" t="s">
        <v>8</v>
      </c>
      <c r="N370" t="s">
        <v>8</v>
      </c>
      <c r="P370">
        <f t="shared" si="969"/>
        <v>-0.92289557620302298</v>
      </c>
      <c r="Q370">
        <f t="shared" si="970"/>
        <v>-28021391.645125497</v>
      </c>
      <c r="R370">
        <f t="shared" si="971"/>
        <v>-164316700.32787091</v>
      </c>
      <c r="S370">
        <f t="shared" si="972"/>
        <v>-1643.167003278709</v>
      </c>
      <c r="T370">
        <f t="shared" si="973"/>
        <v>-1.6431670032787089</v>
      </c>
    </row>
    <row r="371" spans="1:20" x14ac:dyDescent="0.25">
      <c r="A371" s="5">
        <v>44222</v>
      </c>
      <c r="B371">
        <v>0.19678000000000001</v>
      </c>
      <c r="C371">
        <v>0.25600000000000001</v>
      </c>
      <c r="D371">
        <v>0.189</v>
      </c>
      <c r="E371">
        <v>0.2485</v>
      </c>
      <c r="F371">
        <v>24601932.5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0.77611940298507442</v>
      </c>
      <c r="Q371">
        <f t="shared" si="970"/>
        <v>19094037.164179098</v>
      </c>
      <c r="R371">
        <f t="shared" si="971"/>
        <v>-136295308.6827454</v>
      </c>
      <c r="S371">
        <f t="shared" si="972"/>
        <v>-1362.9530868274539</v>
      </c>
      <c r="T371">
        <f t="shared" si="973"/>
        <v>-1.362953086827454</v>
      </c>
    </row>
    <row r="372" spans="1:20" x14ac:dyDescent="0.25">
      <c r="A372" s="5">
        <v>44221</v>
      </c>
      <c r="B372">
        <v>0.20635999999999999</v>
      </c>
      <c r="C372">
        <v>0.21</v>
      </c>
      <c r="D372">
        <v>0.19603000000000001</v>
      </c>
      <c r="E372">
        <v>0.19681000000000001</v>
      </c>
      <c r="F372">
        <v>5712704.2000000002</v>
      </c>
      <c r="G372">
        <v>0</v>
      </c>
      <c r="L372" t="s">
        <v>7</v>
      </c>
      <c r="M372" t="s">
        <v>7</v>
      </c>
      <c r="N372" t="s">
        <v>8</v>
      </c>
      <c r="P372">
        <f t="shared" si="969"/>
        <v>-0.88833214030064367</v>
      </c>
      <c r="Q372">
        <f t="shared" si="970"/>
        <v>-5074778.7488904763</v>
      </c>
      <c r="R372">
        <f t="shared" si="971"/>
        <v>-155389345.84692448</v>
      </c>
      <c r="S372">
        <f t="shared" si="972"/>
        <v>-1553.8934584692449</v>
      </c>
      <c r="T372">
        <f t="shared" si="973"/>
        <v>-1.553893458469245</v>
      </c>
    </row>
    <row r="373" spans="1:20" x14ac:dyDescent="0.25">
      <c r="A373" s="5">
        <v>44220</v>
      </c>
      <c r="B373">
        <v>0.20460999999999999</v>
      </c>
      <c r="C373">
        <v>0.21575</v>
      </c>
      <c r="D373">
        <v>0.19932</v>
      </c>
      <c r="E373">
        <v>0.20637</v>
      </c>
      <c r="F373">
        <v>9248674.1999999993</v>
      </c>
      <c r="G373">
        <v>0</v>
      </c>
      <c r="L373" t="s">
        <v>8</v>
      </c>
      <c r="M373" t="s">
        <v>7</v>
      </c>
      <c r="N373" t="s">
        <v>8</v>
      </c>
      <c r="P373">
        <f t="shared" si="969"/>
        <v>-0.14181375532562379</v>
      </c>
      <c r="Q373">
        <f t="shared" si="970"/>
        <v>-1311589.2200852092</v>
      </c>
      <c r="R373">
        <f t="shared" si="971"/>
        <v>-150314567.09803399</v>
      </c>
      <c r="S373">
        <f t="shared" si="972"/>
        <v>-1503.1456709803399</v>
      </c>
      <c r="T373">
        <f t="shared" si="973"/>
        <v>-1.5031456709803399</v>
      </c>
    </row>
    <row r="374" spans="1:20" x14ac:dyDescent="0.25">
      <c r="A374" s="5">
        <v>44219</v>
      </c>
      <c r="B374">
        <v>0.21504000000000001</v>
      </c>
      <c r="C374">
        <v>0.21892</v>
      </c>
      <c r="D374">
        <v>0.19933999999999999</v>
      </c>
      <c r="E374">
        <v>0.20458999999999999</v>
      </c>
      <c r="F374">
        <v>10925760.300000001</v>
      </c>
      <c r="G374">
        <v>0</v>
      </c>
      <c r="L374" t="s">
        <v>7</v>
      </c>
      <c r="M374" t="s">
        <v>7</v>
      </c>
      <c r="N374" t="s">
        <v>8</v>
      </c>
      <c r="P374">
        <f t="shared" si="969"/>
        <v>-0.4637385086823288</v>
      </c>
      <c r="Q374">
        <f t="shared" si="970"/>
        <v>-5066695.7877425933</v>
      </c>
      <c r="R374">
        <f t="shared" si="971"/>
        <v>-149002977.87794879</v>
      </c>
      <c r="S374">
        <f t="shared" si="972"/>
        <v>-1490.029778779488</v>
      </c>
      <c r="T374">
        <f t="shared" si="973"/>
        <v>-1.4900297787794881</v>
      </c>
    </row>
    <row r="375" spans="1:20" x14ac:dyDescent="0.25">
      <c r="A375" s="5">
        <v>44218</v>
      </c>
      <c r="B375">
        <v>0.20646</v>
      </c>
      <c r="C375">
        <v>0.24</v>
      </c>
      <c r="D375">
        <v>0.20100000000000001</v>
      </c>
      <c r="E375">
        <v>0.21503</v>
      </c>
      <c r="F375">
        <v>16610762</v>
      </c>
      <c r="G375">
        <v>0</v>
      </c>
      <c r="L375" t="s">
        <v>8</v>
      </c>
      <c r="M375" t="s">
        <v>8</v>
      </c>
      <c r="N375" t="s">
        <v>8</v>
      </c>
      <c r="P375">
        <f t="shared" si="969"/>
        <v>-0.28051282051282078</v>
      </c>
      <c r="Q375">
        <f t="shared" si="970"/>
        <v>-4659531.6994871842</v>
      </c>
      <c r="R375">
        <f t="shared" si="971"/>
        <v>-143936282.09020621</v>
      </c>
      <c r="S375">
        <f t="shared" si="972"/>
        <v>-1439.3628209020621</v>
      </c>
      <c r="T375">
        <f t="shared" si="973"/>
        <v>-1.4393628209020621</v>
      </c>
    </row>
    <row r="376" spans="1:20" x14ac:dyDescent="0.25">
      <c r="A376" s="5">
        <v>44217</v>
      </c>
      <c r="B376">
        <v>0.18709999999999999</v>
      </c>
      <c r="C376">
        <v>0.22</v>
      </c>
      <c r="D376">
        <v>0.18009</v>
      </c>
      <c r="E376">
        <v>0.20646999999999999</v>
      </c>
      <c r="F376">
        <v>16875544.300000001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0.32197444249561447</v>
      </c>
      <c r="Q376">
        <f t="shared" si="970"/>
        <v>5433493.9678025451</v>
      </c>
      <c r="R376">
        <f t="shared" si="971"/>
        <v>-139276750.39071903</v>
      </c>
      <c r="S376">
        <f t="shared" si="972"/>
        <v>-1392.7675039071903</v>
      </c>
      <c r="T376">
        <f t="shared" si="973"/>
        <v>-1.3927675039071903</v>
      </c>
    </row>
    <row r="377" spans="1:20" x14ac:dyDescent="0.25">
      <c r="A377" s="5">
        <v>44216</v>
      </c>
      <c r="B377">
        <v>0.19535</v>
      </c>
      <c r="C377">
        <v>0.19535</v>
      </c>
      <c r="D377">
        <v>0.17459</v>
      </c>
      <c r="E377">
        <v>0.18715000000000001</v>
      </c>
      <c r="F377">
        <v>6853126.2999999998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0.2100192678227375</v>
      </c>
      <c r="Q377">
        <f t="shared" si="970"/>
        <v>1439288.567822746</v>
      </c>
      <c r="R377">
        <f t="shared" si="971"/>
        <v>-144710244.35852158</v>
      </c>
      <c r="S377">
        <f t="shared" si="972"/>
        <v>-1447.1024435852157</v>
      </c>
      <c r="T377">
        <f t="shared" si="973"/>
        <v>-1.4471024435852158</v>
      </c>
    </row>
    <row r="378" spans="1:20" x14ac:dyDescent="0.25">
      <c r="A378" s="5">
        <v>44215</v>
      </c>
      <c r="B378">
        <v>0.20805000000000001</v>
      </c>
      <c r="C378">
        <v>0.21475</v>
      </c>
      <c r="D378">
        <v>0.187</v>
      </c>
      <c r="E378">
        <v>0.19536999999999999</v>
      </c>
      <c r="F378">
        <v>6135364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-0.39675675675675753</v>
      </c>
      <c r="Q378">
        <f t="shared" si="970"/>
        <v>-2434247.122162167</v>
      </c>
      <c r="R378">
        <f t="shared" si="971"/>
        <v>-146149532.92634434</v>
      </c>
      <c r="S378">
        <f t="shared" si="972"/>
        <v>-1461.4953292634434</v>
      </c>
      <c r="T378">
        <f t="shared" si="973"/>
        <v>-1.4614953292634434</v>
      </c>
    </row>
    <row r="379" spans="1:20" x14ac:dyDescent="0.25">
      <c r="A379" s="5">
        <v>44214</v>
      </c>
      <c r="B379">
        <v>0.18275</v>
      </c>
      <c r="C379">
        <v>0.215</v>
      </c>
      <c r="D379">
        <v>0.18043999999999999</v>
      </c>
      <c r="E379">
        <v>0.20805999999999999</v>
      </c>
      <c r="F379">
        <v>12732399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0.59837962962962965</v>
      </c>
      <c r="Q379">
        <f t="shared" si="970"/>
        <v>7618808.197916667</v>
      </c>
      <c r="R379">
        <f t="shared" si="971"/>
        <v>-143715285.80418217</v>
      </c>
      <c r="S379">
        <f t="shared" si="972"/>
        <v>-1437.1528580418217</v>
      </c>
      <c r="T379">
        <f t="shared" si="973"/>
        <v>-1.4371528580418216</v>
      </c>
    </row>
    <row r="380" spans="1:20" x14ac:dyDescent="0.25">
      <c r="A380" s="5">
        <v>44213</v>
      </c>
      <c r="B380">
        <v>0.18789</v>
      </c>
      <c r="C380">
        <v>0.19001000000000001</v>
      </c>
      <c r="D380">
        <v>0.16833999999999999</v>
      </c>
      <c r="E380">
        <v>0.18293000000000001</v>
      </c>
      <c r="F380">
        <v>5308719.8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0.34656206737425055</v>
      </c>
      <c r="Q380">
        <f t="shared" si="970"/>
        <v>1839800.9089986179</v>
      </c>
      <c r="R380">
        <f t="shared" si="971"/>
        <v>-151334094.00209883</v>
      </c>
      <c r="S380">
        <f t="shared" si="972"/>
        <v>-1513.3409400209882</v>
      </c>
      <c r="T380">
        <f t="shared" si="973"/>
        <v>-1.5133409400209883</v>
      </c>
    </row>
    <row r="381" spans="1:20" x14ac:dyDescent="0.25">
      <c r="A381" s="5">
        <v>44212</v>
      </c>
      <c r="B381">
        <v>0.18465999999999999</v>
      </c>
      <c r="C381">
        <v>0.2</v>
      </c>
      <c r="D381">
        <v>0.17801</v>
      </c>
      <c r="E381">
        <v>0.18787999999999999</v>
      </c>
      <c r="F381">
        <v>6896300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-0.10231923601637238</v>
      </c>
      <c r="Q381">
        <f t="shared" si="970"/>
        <v>-705624.14733970887</v>
      </c>
      <c r="R381">
        <f t="shared" si="971"/>
        <v>-153173894.91109744</v>
      </c>
      <c r="S381">
        <f t="shared" si="972"/>
        <v>-1531.7389491109743</v>
      </c>
      <c r="T381">
        <f t="shared" si="973"/>
        <v>-1.5317389491109743</v>
      </c>
    </row>
    <row r="382" spans="1:20" x14ac:dyDescent="0.25">
      <c r="A382" s="5">
        <v>44211</v>
      </c>
      <c r="B382">
        <v>0.17468</v>
      </c>
      <c r="C382">
        <v>0.18976000000000001</v>
      </c>
      <c r="D382">
        <v>0.1668</v>
      </c>
      <c r="E382">
        <v>0.18351999999999999</v>
      </c>
      <c r="F382">
        <v>5414556.5999999996</v>
      </c>
      <c r="G382">
        <v>0</v>
      </c>
      <c r="L382" t="s">
        <v>8</v>
      </c>
      <c r="M382" t="s">
        <v>7</v>
      </c>
      <c r="N382" t="s">
        <v>8</v>
      </c>
      <c r="P382">
        <f t="shared" si="969"/>
        <v>0.45644599303135702</v>
      </c>
      <c r="Q382">
        <f t="shared" si="970"/>
        <v>2471452.664111488</v>
      </c>
      <c r="R382">
        <f t="shared" si="971"/>
        <v>-152468270.76375774</v>
      </c>
      <c r="S382">
        <f t="shared" si="972"/>
        <v>-1524.6827076375773</v>
      </c>
      <c r="T382">
        <f t="shared" si="973"/>
        <v>-1.5246827076375773</v>
      </c>
    </row>
    <row r="383" spans="1:20" x14ac:dyDescent="0.25">
      <c r="A383" s="5">
        <v>44210</v>
      </c>
      <c r="B383">
        <v>0.17509</v>
      </c>
      <c r="C383">
        <v>0.18240999999999999</v>
      </c>
      <c r="D383">
        <v>0.1686</v>
      </c>
      <c r="E383">
        <v>0.17468</v>
      </c>
      <c r="F383">
        <v>3222154.8</v>
      </c>
      <c r="G383">
        <v>0</v>
      </c>
      <c r="L383" t="s">
        <v>8</v>
      </c>
      <c r="M383" t="s">
        <v>7</v>
      </c>
      <c r="N383" t="s">
        <v>8</v>
      </c>
      <c r="P383">
        <f t="shared" si="969"/>
        <v>-0.11947863866763114</v>
      </c>
      <c r="Q383">
        <f t="shared" si="970"/>
        <v>-384978.66908037325</v>
      </c>
      <c r="R383">
        <f t="shared" si="971"/>
        <v>-154939723.42786923</v>
      </c>
      <c r="S383">
        <f t="shared" si="972"/>
        <v>-1549.3972342786924</v>
      </c>
      <c r="T383">
        <f t="shared" si="973"/>
        <v>-1.5493972342786924</v>
      </c>
    </row>
    <row r="384" spans="1:20" x14ac:dyDescent="0.25">
      <c r="A384" s="5">
        <v>44209</v>
      </c>
      <c r="B384">
        <v>0.16846</v>
      </c>
      <c r="C384">
        <v>0.17799999999999999</v>
      </c>
      <c r="D384">
        <v>0.16261</v>
      </c>
      <c r="E384">
        <v>0.17405000000000001</v>
      </c>
      <c r="F384">
        <v>3990749.1</v>
      </c>
      <c r="G384">
        <v>0</v>
      </c>
      <c r="L384" t="s">
        <v>7</v>
      </c>
      <c r="M384" t="s">
        <v>7</v>
      </c>
      <c r="N384" t="s">
        <v>8</v>
      </c>
      <c r="P384">
        <f t="shared" si="969"/>
        <v>0.48667966211826058</v>
      </c>
      <c r="Q384">
        <f t="shared" si="970"/>
        <v>1942216.4235867525</v>
      </c>
      <c r="R384">
        <f t="shared" si="971"/>
        <v>-154554744.75878885</v>
      </c>
      <c r="S384">
        <f t="shared" si="972"/>
        <v>-1545.5474475878884</v>
      </c>
      <c r="T384">
        <f t="shared" si="973"/>
        <v>-1.5455474475878885</v>
      </c>
    </row>
    <row r="385" spans="1:20" x14ac:dyDescent="0.25">
      <c r="A385" s="5">
        <v>44208</v>
      </c>
      <c r="B385">
        <v>0.16761000000000001</v>
      </c>
      <c r="C385">
        <v>0.18098</v>
      </c>
      <c r="D385">
        <v>0.16578000000000001</v>
      </c>
      <c r="E385">
        <v>0.16918</v>
      </c>
      <c r="F385">
        <v>2051900.9</v>
      </c>
      <c r="G385">
        <v>0</v>
      </c>
      <c r="L385" t="s">
        <v>8</v>
      </c>
      <c r="M385" t="s">
        <v>7</v>
      </c>
      <c r="N385" t="s">
        <v>8</v>
      </c>
      <c r="P385">
        <f t="shared" si="969"/>
        <v>-0.55263157894736992</v>
      </c>
      <c r="Q385">
        <f t="shared" si="970"/>
        <v>-1133945.2342105294</v>
      </c>
      <c r="R385">
        <f t="shared" si="971"/>
        <v>-156496961.18237561</v>
      </c>
      <c r="S385">
        <f t="shared" si="972"/>
        <v>-1564.9696118237562</v>
      </c>
      <c r="T385">
        <f t="shared" si="973"/>
        <v>-1.5649696118237562</v>
      </c>
    </row>
    <row r="386" spans="1:20" x14ac:dyDescent="0.25">
      <c r="A386" s="5">
        <v>44207</v>
      </c>
      <c r="B386">
        <v>0.19314000000000001</v>
      </c>
      <c r="C386">
        <v>0.19520000000000001</v>
      </c>
      <c r="D386">
        <v>0.16105</v>
      </c>
      <c r="E386">
        <v>0.16788</v>
      </c>
      <c r="F386">
        <v>4684099.4000000004</v>
      </c>
      <c r="G386">
        <v>0</v>
      </c>
      <c r="L386" t="s">
        <v>7</v>
      </c>
      <c r="M386" t="s">
        <v>7</v>
      </c>
      <c r="N386" t="s">
        <v>8</v>
      </c>
      <c r="P386">
        <f t="shared" si="969"/>
        <v>-0.6</v>
      </c>
      <c r="Q386">
        <f t="shared" si="970"/>
        <v>-2810459.64</v>
      </c>
      <c r="R386">
        <f t="shared" si="971"/>
        <v>-155363015.94816509</v>
      </c>
      <c r="S386">
        <f t="shared" si="972"/>
        <v>-1553.6301594816509</v>
      </c>
      <c r="T386">
        <f t="shared" si="973"/>
        <v>-1.5536301594816508</v>
      </c>
    </row>
    <row r="387" spans="1:20" x14ac:dyDescent="0.25">
      <c r="A387" s="5">
        <v>44206</v>
      </c>
      <c r="B387">
        <v>0.18301000000000001</v>
      </c>
      <c r="C387">
        <v>0.20948</v>
      </c>
      <c r="D387">
        <v>0.18224000000000001</v>
      </c>
      <c r="E387">
        <v>0.19312000000000001</v>
      </c>
      <c r="F387">
        <v>11067177.5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-0.20117474302496283</v>
      </c>
      <c r="Q387">
        <f t="shared" si="970"/>
        <v>-2226436.5895741507</v>
      </c>
      <c r="R387">
        <f t="shared" si="971"/>
        <v>-152552556.3081651</v>
      </c>
      <c r="S387">
        <f t="shared" si="972"/>
        <v>-1525.5255630816509</v>
      </c>
      <c r="T387">
        <f t="shared" si="973"/>
        <v>-1.5255255630816509</v>
      </c>
    </row>
    <row r="388" spans="1:20" x14ac:dyDescent="0.25">
      <c r="A388" s="5">
        <v>44205</v>
      </c>
      <c r="B388">
        <v>0.19172</v>
      </c>
      <c r="C388">
        <v>0.19450000000000001</v>
      </c>
      <c r="D388">
        <v>0.1739</v>
      </c>
      <c r="E388">
        <v>0.18276000000000001</v>
      </c>
      <c r="F388">
        <v>3999435.7</v>
      </c>
      <c r="G388">
        <v>0</v>
      </c>
      <c r="L388" t="s">
        <v>7</v>
      </c>
      <c r="M388" t="s">
        <v>8</v>
      </c>
      <c r="N388" t="s">
        <v>7</v>
      </c>
      <c r="P388">
        <f t="shared" si="969"/>
        <v>-0.13980582524271809</v>
      </c>
      <c r="Q388">
        <f t="shared" si="970"/>
        <v>-559144.4085436879</v>
      </c>
      <c r="R388">
        <f t="shared" si="971"/>
        <v>-150326119.71859095</v>
      </c>
      <c r="S388">
        <f t="shared" si="972"/>
        <v>-1503.2611971859094</v>
      </c>
      <c r="T388">
        <f t="shared" si="973"/>
        <v>-1.5032611971859093</v>
      </c>
    </row>
    <row r="389" spans="1:20" x14ac:dyDescent="0.25">
      <c r="A389" s="5">
        <v>44204</v>
      </c>
      <c r="B389">
        <v>0.17760000000000001</v>
      </c>
      <c r="C389">
        <v>0.19519</v>
      </c>
      <c r="D389">
        <v>0.16617000000000001</v>
      </c>
      <c r="E389">
        <v>0.19166</v>
      </c>
      <c r="F389">
        <v>7261562.2999999998</v>
      </c>
      <c r="G389">
        <v>0</v>
      </c>
      <c r="L389" t="s">
        <v>8</v>
      </c>
      <c r="M389" t="s">
        <v>8</v>
      </c>
      <c r="N389" t="s">
        <v>7</v>
      </c>
      <c r="P389">
        <f t="shared" si="969"/>
        <v>0.75671950379048891</v>
      </c>
      <c r="Q389">
        <f t="shared" si="970"/>
        <v>5494965.8203997212</v>
      </c>
      <c r="R389">
        <f t="shared" si="971"/>
        <v>-149766975.31004727</v>
      </c>
      <c r="S389">
        <f t="shared" si="972"/>
        <v>-1497.6697531004727</v>
      </c>
      <c r="T389">
        <f t="shared" si="973"/>
        <v>-1.4976697531004728</v>
      </c>
    </row>
    <row r="390" spans="1:20" x14ac:dyDescent="0.25">
      <c r="A390" s="5">
        <v>44203</v>
      </c>
      <c r="B390">
        <v>0.16750999999999999</v>
      </c>
      <c r="C390">
        <v>0.1898</v>
      </c>
      <c r="D390">
        <v>0.16370000000000001</v>
      </c>
      <c r="E390">
        <v>0.17779</v>
      </c>
      <c r="F390">
        <v>8637605.8000000007</v>
      </c>
      <c r="G390">
        <v>0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7.9693486590038304E-2</v>
      </c>
      <c r="Q390">
        <f t="shared" ref="Q390:Q453" si="975">F390*P390</f>
        <v>688360.9219923371</v>
      </c>
      <c r="R390">
        <f t="shared" ref="R390:R453" si="976">R391+Q390</f>
        <v>-155261941.130447</v>
      </c>
      <c r="S390">
        <f t="shared" ref="S390:S453" si="977">R390/100000</f>
        <v>-1552.6194113044701</v>
      </c>
      <c r="T390">
        <f t="shared" ref="T390:T453" si="978">S390/1000</f>
        <v>-1.55261941130447</v>
      </c>
    </row>
    <row r="391" spans="1:20" x14ac:dyDescent="0.25">
      <c r="A391" s="5">
        <v>44202</v>
      </c>
      <c r="B391">
        <v>0.1565</v>
      </c>
      <c r="C391">
        <v>0.17615</v>
      </c>
      <c r="D391">
        <v>0.15448999999999999</v>
      </c>
      <c r="E391">
        <v>0.16758999999999999</v>
      </c>
      <c r="F391">
        <v>6058001.0999999996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0.20960295475530868</v>
      </c>
      <c r="Q391">
        <f t="shared" si="975"/>
        <v>1269774.9304709102</v>
      </c>
      <c r="R391">
        <f t="shared" si="976"/>
        <v>-155950302.05243933</v>
      </c>
      <c r="S391">
        <f t="shared" si="977"/>
        <v>-1559.5030205243934</v>
      </c>
      <c r="T391">
        <f t="shared" si="978"/>
        <v>-1.5595030205243934</v>
      </c>
    </row>
    <row r="392" spans="1:20" x14ac:dyDescent="0.25">
      <c r="A392" s="5">
        <v>44201</v>
      </c>
      <c r="B392">
        <v>0.15479999999999999</v>
      </c>
      <c r="C392">
        <v>0.16259000000000001</v>
      </c>
      <c r="D392">
        <v>0.14979000000000001</v>
      </c>
      <c r="E392">
        <v>0.15647</v>
      </c>
      <c r="F392">
        <v>4433660.9000000004</v>
      </c>
      <c r="G392">
        <v>0</v>
      </c>
      <c r="L392" t="s">
        <v>8</v>
      </c>
      <c r="M392" t="s">
        <v>7</v>
      </c>
      <c r="N392" t="s">
        <v>7</v>
      </c>
      <c r="P392">
        <f t="shared" si="974"/>
        <v>4.37499999999982E-2</v>
      </c>
      <c r="Q392">
        <f t="shared" si="975"/>
        <v>193972.66437499205</v>
      </c>
      <c r="R392">
        <f t="shared" si="976"/>
        <v>-157220076.98291025</v>
      </c>
      <c r="S392">
        <f t="shared" si="977"/>
        <v>-1572.2007698291025</v>
      </c>
      <c r="T392">
        <f t="shared" si="978"/>
        <v>-1.5722007698291025</v>
      </c>
    </row>
    <row r="393" spans="1:20" x14ac:dyDescent="0.25">
      <c r="A393" s="5">
        <v>44200</v>
      </c>
      <c r="B393">
        <v>0.1608</v>
      </c>
      <c r="C393">
        <v>0.16536999999999999</v>
      </c>
      <c r="D393">
        <v>0.14001</v>
      </c>
      <c r="E393">
        <v>0.15490999999999999</v>
      </c>
      <c r="F393">
        <v>6013141.0999999996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0.17507886435331232</v>
      </c>
      <c r="Q393">
        <f t="shared" si="975"/>
        <v>1052773.9149842272</v>
      </c>
      <c r="R393">
        <f t="shared" si="976"/>
        <v>-157414049.64728522</v>
      </c>
      <c r="S393">
        <f t="shared" si="977"/>
        <v>-1574.1404964728522</v>
      </c>
      <c r="T393">
        <f t="shared" si="978"/>
        <v>-1.5741404964728523</v>
      </c>
    </row>
    <row r="394" spans="1:20" x14ac:dyDescent="0.25">
      <c r="A394" s="5">
        <v>44199</v>
      </c>
      <c r="B394">
        <v>0.15637999999999999</v>
      </c>
      <c r="C394">
        <v>0.1699</v>
      </c>
      <c r="D394">
        <v>0.15056</v>
      </c>
      <c r="E394">
        <v>0.16089000000000001</v>
      </c>
      <c r="F394">
        <v>4754508</v>
      </c>
      <c r="G394">
        <v>0</v>
      </c>
      <c r="L394" t="s">
        <v>8</v>
      </c>
      <c r="M394" t="s">
        <v>7</v>
      </c>
      <c r="N394" t="s">
        <v>7</v>
      </c>
      <c r="P394">
        <f t="shared" si="974"/>
        <v>6.8252326783868458E-2</v>
      </c>
      <c r="Q394">
        <f t="shared" si="975"/>
        <v>324506.23371251684</v>
      </c>
      <c r="R394">
        <f t="shared" si="976"/>
        <v>-158466823.56226945</v>
      </c>
      <c r="S394">
        <f t="shared" si="977"/>
        <v>-1584.6682356226945</v>
      </c>
      <c r="T394">
        <f t="shared" si="978"/>
        <v>-1.5846682356226944</v>
      </c>
    </row>
    <row r="395" spans="1:20" x14ac:dyDescent="0.25">
      <c r="A395" s="5">
        <v>44198</v>
      </c>
      <c r="B395">
        <v>0.15969</v>
      </c>
      <c r="C395">
        <v>0.16184999999999999</v>
      </c>
      <c r="D395">
        <v>0.15175</v>
      </c>
      <c r="E395">
        <v>0.15637999999999999</v>
      </c>
      <c r="F395">
        <v>2212481.5</v>
      </c>
      <c r="G395">
        <v>0</v>
      </c>
      <c r="L395" t="s">
        <v>8</v>
      </c>
      <c r="M395" t="s">
        <v>7</v>
      </c>
      <c r="N395" t="s">
        <v>7</v>
      </c>
      <c r="P395">
        <f t="shared" si="974"/>
        <v>-8.3168316831683922E-2</v>
      </c>
      <c r="Q395">
        <f t="shared" si="975"/>
        <v>-184008.3623762393</v>
      </c>
      <c r="R395">
        <f t="shared" si="976"/>
        <v>-158791329.79598197</v>
      </c>
      <c r="S395">
        <f t="shared" si="977"/>
        <v>-1587.9132979598198</v>
      </c>
      <c r="T395">
        <f t="shared" si="978"/>
        <v>-1.5879132979598198</v>
      </c>
    </row>
    <row r="396" spans="1:20" x14ac:dyDescent="0.25">
      <c r="A396" s="5">
        <v>44197</v>
      </c>
      <c r="B396">
        <v>0.15295</v>
      </c>
      <c r="C396">
        <v>0.16145000000000001</v>
      </c>
      <c r="D396">
        <v>0.15229000000000001</v>
      </c>
      <c r="E396">
        <v>0.15925</v>
      </c>
      <c r="F396">
        <v>3174376.8</v>
      </c>
      <c r="G396">
        <v>0</v>
      </c>
      <c r="L396" t="s">
        <v>7</v>
      </c>
      <c r="M396" t="s">
        <v>7</v>
      </c>
      <c r="N396" t="s">
        <v>7</v>
      </c>
      <c r="P396">
        <f t="shared" si="974"/>
        <v>0.5196506550218325</v>
      </c>
      <c r="Q396">
        <f t="shared" si="975"/>
        <v>1649566.9834061086</v>
      </c>
      <c r="R396">
        <f t="shared" si="976"/>
        <v>-158607321.43360573</v>
      </c>
      <c r="S396">
        <f t="shared" si="977"/>
        <v>-1586.0732143360574</v>
      </c>
      <c r="T396">
        <f t="shared" si="978"/>
        <v>-1.5860732143360574</v>
      </c>
    </row>
    <row r="397" spans="1:20" x14ac:dyDescent="0.25">
      <c r="A397" s="5">
        <v>44196</v>
      </c>
      <c r="B397">
        <v>0.15071999999999999</v>
      </c>
      <c r="C397">
        <v>0.18606</v>
      </c>
      <c r="D397">
        <v>0.14649000000000001</v>
      </c>
      <c r="E397">
        <v>0.15310000000000001</v>
      </c>
      <c r="F397">
        <v>9632178.5</v>
      </c>
      <c r="G397">
        <v>0</v>
      </c>
      <c r="L397" t="s">
        <v>8</v>
      </c>
      <c r="M397" t="s">
        <v>8</v>
      </c>
      <c r="N397" t="s">
        <v>7</v>
      </c>
      <c r="P397">
        <f t="shared" si="974"/>
        <v>-0.66590851655294381</v>
      </c>
      <c r="Q397">
        <f t="shared" si="975"/>
        <v>-6414149.6961081596</v>
      </c>
      <c r="R397">
        <f t="shared" si="976"/>
        <v>-160256888.41701183</v>
      </c>
      <c r="S397">
        <f t="shared" si="977"/>
        <v>-1602.5688841701183</v>
      </c>
      <c r="T397">
        <f t="shared" si="978"/>
        <v>-1.6025688841701182</v>
      </c>
    </row>
    <row r="398" spans="1:20" x14ac:dyDescent="0.25">
      <c r="A398" s="5">
        <v>44195</v>
      </c>
      <c r="B398">
        <v>0.16239999999999999</v>
      </c>
      <c r="C398">
        <v>0.16603999999999999</v>
      </c>
      <c r="D398">
        <v>0.14412</v>
      </c>
      <c r="E398">
        <v>0.15060000000000001</v>
      </c>
      <c r="F398">
        <v>4635524.8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-0.40875912408758985</v>
      </c>
      <c r="Q398">
        <f t="shared" si="975"/>
        <v>-1894813.0569343001</v>
      </c>
      <c r="R398">
        <f t="shared" si="976"/>
        <v>-153842738.72090366</v>
      </c>
      <c r="S398">
        <f t="shared" si="977"/>
        <v>-1538.4273872090366</v>
      </c>
      <c r="T398">
        <f t="shared" si="978"/>
        <v>-1.5384273872090366</v>
      </c>
    </row>
    <row r="399" spans="1:20" x14ac:dyDescent="0.25">
      <c r="A399" s="5">
        <v>44194</v>
      </c>
      <c r="B399">
        <v>0.16814999999999999</v>
      </c>
      <c r="C399">
        <v>0.17860000000000001</v>
      </c>
      <c r="D399">
        <v>0.15536</v>
      </c>
      <c r="E399">
        <v>0.16245999999999999</v>
      </c>
      <c r="F399">
        <v>5592570.5999999996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-0.38898450946643787</v>
      </c>
      <c r="Q399">
        <f t="shared" si="975"/>
        <v>-2175423.331497422</v>
      </c>
      <c r="R399">
        <f t="shared" si="976"/>
        <v>-151947925.66396937</v>
      </c>
      <c r="S399">
        <f t="shared" si="977"/>
        <v>-1519.4792566396936</v>
      </c>
      <c r="T399">
        <f t="shared" si="978"/>
        <v>-1.5194792566396935</v>
      </c>
    </row>
    <row r="400" spans="1:20" x14ac:dyDescent="0.25">
      <c r="A400" s="5">
        <v>44193</v>
      </c>
      <c r="B400">
        <v>0.18529000000000001</v>
      </c>
      <c r="C400">
        <v>0.21535000000000001</v>
      </c>
      <c r="D400">
        <v>0.16494</v>
      </c>
      <c r="E400">
        <v>0.16814000000000001</v>
      </c>
      <c r="F400">
        <v>17086677.600000001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-0.87304106328109476</v>
      </c>
      <c r="Q400">
        <f t="shared" si="975"/>
        <v>-14917371.179845266</v>
      </c>
      <c r="R400">
        <f t="shared" si="976"/>
        <v>-149772502.33247194</v>
      </c>
      <c r="S400">
        <f t="shared" si="977"/>
        <v>-1497.7250233247194</v>
      </c>
      <c r="T400">
        <f t="shared" si="978"/>
        <v>-1.4977250233247195</v>
      </c>
    </row>
    <row r="401" spans="1:20" x14ac:dyDescent="0.25">
      <c r="A401" s="5">
        <v>44192</v>
      </c>
      <c r="B401">
        <v>0.14671999999999999</v>
      </c>
      <c r="C401">
        <v>0.20696000000000001</v>
      </c>
      <c r="D401">
        <v>0.14412</v>
      </c>
      <c r="E401">
        <v>0.18435000000000001</v>
      </c>
      <c r="F401">
        <v>14568455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0.28039465308720596</v>
      </c>
      <c r="Q401">
        <f t="shared" si="975"/>
        <v>4084916.885741571</v>
      </c>
      <c r="R401">
        <f t="shared" si="976"/>
        <v>-134855131.15262666</v>
      </c>
      <c r="S401">
        <f t="shared" si="977"/>
        <v>-1348.5513115262665</v>
      </c>
      <c r="T401">
        <f t="shared" si="978"/>
        <v>-1.3485513115262666</v>
      </c>
    </row>
    <row r="402" spans="1:20" x14ac:dyDescent="0.25">
      <c r="A402" s="5">
        <v>44191</v>
      </c>
      <c r="B402">
        <v>0.14637</v>
      </c>
      <c r="C402">
        <v>0.15132999999999999</v>
      </c>
      <c r="D402">
        <v>0.14348</v>
      </c>
      <c r="E402">
        <v>0.14668</v>
      </c>
      <c r="F402">
        <v>1997718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-0.18471337579617578</v>
      </c>
      <c r="Q402">
        <f t="shared" si="975"/>
        <v>-369005.23566878471</v>
      </c>
      <c r="R402">
        <f t="shared" si="976"/>
        <v>-138940048.03836823</v>
      </c>
      <c r="S402">
        <f t="shared" si="977"/>
        <v>-1389.4004803836822</v>
      </c>
      <c r="T402">
        <f t="shared" si="978"/>
        <v>-1.3894004803836821</v>
      </c>
    </row>
    <row r="403" spans="1:20" x14ac:dyDescent="0.25">
      <c r="A403" s="5">
        <v>44190</v>
      </c>
      <c r="B403">
        <v>0.15833</v>
      </c>
      <c r="C403">
        <v>0.16378999999999999</v>
      </c>
      <c r="D403">
        <v>0.14237</v>
      </c>
      <c r="E403">
        <v>0.14660999999999999</v>
      </c>
      <c r="F403">
        <v>2596671.2999999998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-0.60410830999066345</v>
      </c>
      <c r="Q403">
        <f t="shared" si="975"/>
        <v>-1568670.7106442589</v>
      </c>
      <c r="R403">
        <f t="shared" si="976"/>
        <v>-138571042.80269945</v>
      </c>
      <c r="S403">
        <f t="shared" si="977"/>
        <v>-1385.7104280269946</v>
      </c>
      <c r="T403">
        <f t="shared" si="978"/>
        <v>-1.3857104280269945</v>
      </c>
    </row>
    <row r="404" spans="1:20" x14ac:dyDescent="0.25">
      <c r="A404" s="5">
        <v>44189</v>
      </c>
      <c r="B404">
        <v>0.1545</v>
      </c>
      <c r="C404">
        <v>0.16367000000000001</v>
      </c>
      <c r="D404">
        <v>0.13850999999999999</v>
      </c>
      <c r="E404">
        <v>0.15833</v>
      </c>
      <c r="F404">
        <v>3209894.2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0.57551669316375131</v>
      </c>
      <c r="Q404">
        <f t="shared" si="975"/>
        <v>1847347.695389505</v>
      </c>
      <c r="R404">
        <f t="shared" si="976"/>
        <v>-137002372.0920552</v>
      </c>
      <c r="S404">
        <f t="shared" si="977"/>
        <v>-1370.023720920552</v>
      </c>
      <c r="T404">
        <f t="shared" si="978"/>
        <v>-1.3700237209205519</v>
      </c>
    </row>
    <row r="405" spans="1:20" x14ac:dyDescent="0.25">
      <c r="A405" s="5">
        <v>44188</v>
      </c>
      <c r="B405">
        <v>0.18447</v>
      </c>
      <c r="C405">
        <v>0.18532000000000001</v>
      </c>
      <c r="D405">
        <v>0.14768000000000001</v>
      </c>
      <c r="E405">
        <v>0.15465999999999999</v>
      </c>
      <c r="F405">
        <v>5585566.5999999996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-0.62911795961742911</v>
      </c>
      <c r="Q405">
        <f t="shared" si="975"/>
        <v>-3513980.2626992604</v>
      </c>
      <c r="R405">
        <f t="shared" si="976"/>
        <v>-138849719.78744471</v>
      </c>
      <c r="S405">
        <f t="shared" si="977"/>
        <v>-1388.497197874447</v>
      </c>
      <c r="T405">
        <f t="shared" si="978"/>
        <v>-1.3884971978744469</v>
      </c>
    </row>
    <row r="406" spans="1:20" x14ac:dyDescent="0.25">
      <c r="A406" s="5">
        <v>44187</v>
      </c>
      <c r="B406">
        <v>0.16966999999999999</v>
      </c>
      <c r="C406">
        <v>0.19524</v>
      </c>
      <c r="D406">
        <v>0.16247</v>
      </c>
      <c r="E406">
        <v>0.18487000000000001</v>
      </c>
      <c r="F406">
        <v>6495808.2999999998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0.36710405859017442</v>
      </c>
      <c r="Q406">
        <f t="shared" si="975"/>
        <v>2384637.5907537411</v>
      </c>
      <c r="R406">
        <f t="shared" si="976"/>
        <v>-135335739.52474546</v>
      </c>
      <c r="S406">
        <f t="shared" si="977"/>
        <v>-1353.3573952474546</v>
      </c>
      <c r="T406">
        <f t="shared" si="978"/>
        <v>-1.3533573952474547</v>
      </c>
    </row>
    <row r="407" spans="1:20" x14ac:dyDescent="0.25">
      <c r="A407" s="5">
        <v>44186</v>
      </c>
      <c r="B407">
        <v>0.18654999999999999</v>
      </c>
      <c r="C407">
        <v>0.18881999999999999</v>
      </c>
      <c r="D407">
        <v>0.16697000000000001</v>
      </c>
      <c r="E407">
        <v>0.16966000000000001</v>
      </c>
      <c r="F407">
        <v>7489585.2000000002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-0.75377574370709377</v>
      </c>
      <c r="Q407">
        <f t="shared" si="975"/>
        <v>-5645467.654187643</v>
      </c>
      <c r="R407">
        <f t="shared" si="976"/>
        <v>-137720377.1154992</v>
      </c>
      <c r="S407">
        <f t="shared" si="977"/>
        <v>-1377.203771154992</v>
      </c>
      <c r="T407">
        <f t="shared" si="978"/>
        <v>-1.377203771154992</v>
      </c>
    </row>
    <row r="408" spans="1:20" x14ac:dyDescent="0.25">
      <c r="A408" s="5">
        <v>44185</v>
      </c>
      <c r="B408">
        <v>0.2029</v>
      </c>
      <c r="C408">
        <v>0.20899999999999999</v>
      </c>
      <c r="D408">
        <v>0.18376000000000001</v>
      </c>
      <c r="E408">
        <v>0.18776000000000001</v>
      </c>
      <c r="F408">
        <v>5750873.2000000002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-0.68304278922345441</v>
      </c>
      <c r="Q408">
        <f t="shared" si="975"/>
        <v>-3928092.4709984129</v>
      </c>
      <c r="R408">
        <f t="shared" si="976"/>
        <v>-132074909.46131155</v>
      </c>
      <c r="S408">
        <f t="shared" si="977"/>
        <v>-1320.7490946131154</v>
      </c>
      <c r="T408">
        <f t="shared" si="978"/>
        <v>-1.3207490946131153</v>
      </c>
    </row>
    <row r="409" spans="1:20" x14ac:dyDescent="0.25">
      <c r="A409" s="5">
        <v>44184</v>
      </c>
      <c r="B409">
        <v>0.21506</v>
      </c>
      <c r="C409">
        <v>0.23347000000000001</v>
      </c>
      <c r="D409">
        <v>0.2</v>
      </c>
      <c r="E409">
        <v>0.2029</v>
      </c>
      <c r="F409">
        <v>7460321.5999999996</v>
      </c>
      <c r="G409">
        <v>0</v>
      </c>
      <c r="L409" t="s">
        <v>7</v>
      </c>
      <c r="M409" t="s">
        <v>7</v>
      </c>
      <c r="N409" t="s">
        <v>8</v>
      </c>
      <c r="P409">
        <f t="shared" si="974"/>
        <v>-0.82671048700328742</v>
      </c>
      <c r="Q409">
        <f t="shared" si="975"/>
        <v>-6167526.1031371439</v>
      </c>
      <c r="R409">
        <f t="shared" si="976"/>
        <v>-128146816.99031314</v>
      </c>
      <c r="S409">
        <f t="shared" si="977"/>
        <v>-1281.4681699031314</v>
      </c>
      <c r="T409">
        <f t="shared" si="978"/>
        <v>-1.2814681699031314</v>
      </c>
    </row>
    <row r="410" spans="1:20" x14ac:dyDescent="0.25">
      <c r="A410" s="5">
        <v>44183</v>
      </c>
      <c r="B410">
        <v>0.23197000000000001</v>
      </c>
      <c r="C410">
        <v>0.24822</v>
      </c>
      <c r="D410">
        <v>0.20871999999999999</v>
      </c>
      <c r="E410">
        <v>0.21503</v>
      </c>
      <c r="F410">
        <v>15466596.1</v>
      </c>
      <c r="G410">
        <v>0</v>
      </c>
      <c r="L410" t="s">
        <v>7</v>
      </c>
      <c r="M410" t="s">
        <v>7</v>
      </c>
      <c r="N410" t="s">
        <v>8</v>
      </c>
      <c r="P410">
        <f t="shared" si="974"/>
        <v>-0.68050632911392361</v>
      </c>
      <c r="Q410">
        <f t="shared" si="975"/>
        <v>-10525116.535898726</v>
      </c>
      <c r="R410">
        <f t="shared" si="976"/>
        <v>-121979290.88717599</v>
      </c>
      <c r="S410">
        <f t="shared" si="977"/>
        <v>-1219.7929088717599</v>
      </c>
      <c r="T410">
        <f t="shared" si="978"/>
        <v>-1.2197929088717598</v>
      </c>
    </row>
    <row r="411" spans="1:20" x14ac:dyDescent="0.25">
      <c r="A411" s="5">
        <v>44182</v>
      </c>
      <c r="B411">
        <v>0.20826</v>
      </c>
      <c r="C411">
        <v>0.27600000000000002</v>
      </c>
      <c r="D411">
        <v>0.20826</v>
      </c>
      <c r="E411">
        <v>0.23183000000000001</v>
      </c>
      <c r="F411">
        <v>40485863.399999999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-0.30410392677886033</v>
      </c>
      <c r="Q411">
        <f t="shared" si="975"/>
        <v>-12311910.038972542</v>
      </c>
      <c r="R411">
        <f t="shared" si="976"/>
        <v>-111454174.35127726</v>
      </c>
      <c r="S411">
        <f t="shared" si="977"/>
        <v>-1114.5417435127727</v>
      </c>
      <c r="T411">
        <f t="shared" si="978"/>
        <v>-1.1145417435127727</v>
      </c>
    </row>
    <row r="412" spans="1:20" x14ac:dyDescent="0.25">
      <c r="A412" s="5">
        <v>44181</v>
      </c>
      <c r="B412">
        <v>0.17326</v>
      </c>
      <c r="C412">
        <v>0.22</v>
      </c>
      <c r="D412">
        <v>0.17176</v>
      </c>
      <c r="E412">
        <v>0.20826</v>
      </c>
      <c r="F412">
        <v>16273425.5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0.51326699834162526</v>
      </c>
      <c r="Q412">
        <f t="shared" si="975"/>
        <v>8352612.2591210622</v>
      </c>
      <c r="R412">
        <f t="shared" si="976"/>
        <v>-99142264.31230472</v>
      </c>
      <c r="S412">
        <f t="shared" si="977"/>
        <v>-991.42264312304724</v>
      </c>
      <c r="T412">
        <f t="shared" si="978"/>
        <v>-0.99142264312304729</v>
      </c>
    </row>
    <row r="413" spans="1:20" x14ac:dyDescent="0.25">
      <c r="A413" s="5">
        <v>44180</v>
      </c>
      <c r="B413">
        <v>0.16975000000000001</v>
      </c>
      <c r="C413">
        <v>0.18687999999999999</v>
      </c>
      <c r="D413">
        <v>0.16621</v>
      </c>
      <c r="E413">
        <v>0.17326</v>
      </c>
      <c r="F413">
        <v>7137367.7000000002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-0.31785195936139304</v>
      </c>
      <c r="Q413">
        <f t="shared" si="975"/>
        <v>-2268626.3081277194</v>
      </c>
      <c r="R413">
        <f t="shared" si="976"/>
        <v>-107494876.57142578</v>
      </c>
      <c r="S413">
        <f t="shared" si="977"/>
        <v>-1074.9487657142579</v>
      </c>
      <c r="T413">
        <f t="shared" si="978"/>
        <v>-1.0749487657142578</v>
      </c>
    </row>
    <row r="414" spans="1:20" x14ac:dyDescent="0.25">
      <c r="A414" s="5">
        <v>44179</v>
      </c>
      <c r="B414">
        <v>0.17463999999999999</v>
      </c>
      <c r="C414">
        <v>0.1782</v>
      </c>
      <c r="D414">
        <v>0.15908</v>
      </c>
      <c r="E414">
        <v>0.16975000000000001</v>
      </c>
      <c r="F414">
        <v>4909144.7</v>
      </c>
      <c r="G414">
        <v>0</v>
      </c>
      <c r="L414" t="s">
        <v>7</v>
      </c>
      <c r="M414" t="s">
        <v>8</v>
      </c>
      <c r="N414" t="s">
        <v>7</v>
      </c>
      <c r="P414">
        <f t="shared" si="974"/>
        <v>0.11610878661088012</v>
      </c>
      <c r="Q414">
        <f t="shared" si="975"/>
        <v>569994.8344142331</v>
      </c>
      <c r="R414">
        <f t="shared" si="976"/>
        <v>-105226250.26329806</v>
      </c>
      <c r="S414">
        <f t="shared" si="977"/>
        <v>-1052.2625026329806</v>
      </c>
      <c r="T414">
        <f t="shared" si="978"/>
        <v>-1.0522625026329806</v>
      </c>
    </row>
    <row r="415" spans="1:20" x14ac:dyDescent="0.25">
      <c r="A415" s="5">
        <v>44178</v>
      </c>
      <c r="B415">
        <v>0.16556000000000001</v>
      </c>
      <c r="C415">
        <v>0.17951</v>
      </c>
      <c r="D415">
        <v>0.16302</v>
      </c>
      <c r="E415">
        <v>0.17493</v>
      </c>
      <c r="F415">
        <v>6088565</v>
      </c>
      <c r="G415">
        <v>0</v>
      </c>
      <c r="L415" t="s">
        <v>7</v>
      </c>
      <c r="M415" t="s">
        <v>8</v>
      </c>
      <c r="N415" t="s">
        <v>7</v>
      </c>
      <c r="P415">
        <f t="shared" si="974"/>
        <v>0.44451182534869627</v>
      </c>
      <c r="Q415">
        <f t="shared" si="975"/>
        <v>2706439.1419041851</v>
      </c>
      <c r="R415">
        <f t="shared" si="976"/>
        <v>-105796245.09771229</v>
      </c>
      <c r="S415">
        <f t="shared" si="977"/>
        <v>-1057.9624509771229</v>
      </c>
      <c r="T415">
        <f t="shared" si="978"/>
        <v>-1.0579624509771228</v>
      </c>
    </row>
    <row r="416" spans="1:20" x14ac:dyDescent="0.25">
      <c r="A416" s="5">
        <v>44177</v>
      </c>
      <c r="B416">
        <v>0.16372999999999999</v>
      </c>
      <c r="C416">
        <v>0.18565999999999999</v>
      </c>
      <c r="D416">
        <v>0.16286</v>
      </c>
      <c r="E416">
        <v>0.16647000000000001</v>
      </c>
      <c r="F416">
        <v>10376306.4</v>
      </c>
      <c r="G416">
        <v>0</v>
      </c>
      <c r="L416" t="s">
        <v>8</v>
      </c>
      <c r="M416" t="s">
        <v>8</v>
      </c>
      <c r="N416" t="s">
        <v>7</v>
      </c>
      <c r="P416">
        <f t="shared" si="974"/>
        <v>-0.68333333333333302</v>
      </c>
      <c r="Q416">
        <f t="shared" si="975"/>
        <v>-7090476.0399999972</v>
      </c>
      <c r="R416">
        <f t="shared" si="976"/>
        <v>-108502684.23961648</v>
      </c>
      <c r="S416">
        <f t="shared" si="977"/>
        <v>-1085.0268423961647</v>
      </c>
      <c r="T416">
        <f t="shared" si="978"/>
        <v>-1.0850268423961646</v>
      </c>
    </row>
    <row r="417" spans="1:20" x14ac:dyDescent="0.25">
      <c r="A417" s="5">
        <v>44176</v>
      </c>
      <c r="B417">
        <v>0.16408</v>
      </c>
      <c r="C417">
        <v>0.16547999999999999</v>
      </c>
      <c r="D417">
        <v>0.1479</v>
      </c>
      <c r="E417">
        <v>0.16417000000000001</v>
      </c>
      <c r="F417">
        <v>8020341.9000000004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0.85096700796359737</v>
      </c>
      <c r="Q417">
        <f t="shared" si="975"/>
        <v>6825046.349488074</v>
      </c>
      <c r="R417">
        <f t="shared" si="976"/>
        <v>-101412208.19961649</v>
      </c>
      <c r="S417">
        <f t="shared" si="977"/>
        <v>-1014.1220819961649</v>
      </c>
      <c r="T417">
        <f t="shared" si="978"/>
        <v>-1.0141220819961649</v>
      </c>
    </row>
    <row r="418" spans="1:20" x14ac:dyDescent="0.25">
      <c r="A418" s="5">
        <v>44175</v>
      </c>
      <c r="B418">
        <v>0.18562000000000001</v>
      </c>
      <c r="C418">
        <v>0.19051999999999999</v>
      </c>
      <c r="D418">
        <v>0.16306999999999999</v>
      </c>
      <c r="E418">
        <v>0.16408</v>
      </c>
      <c r="F418">
        <v>8976011.0999999996</v>
      </c>
      <c r="G418">
        <v>0</v>
      </c>
      <c r="L418" t="s">
        <v>8</v>
      </c>
      <c r="M418" t="s">
        <v>8</v>
      </c>
      <c r="N418" t="s">
        <v>7</v>
      </c>
      <c r="P418">
        <f t="shared" si="974"/>
        <v>-0.92641165755919774</v>
      </c>
      <c r="Q418">
        <f t="shared" si="975"/>
        <v>-8315481.3214207571</v>
      </c>
      <c r="R418">
        <f t="shared" si="976"/>
        <v>-108237254.54910457</v>
      </c>
      <c r="S418">
        <f t="shared" si="977"/>
        <v>-1082.3725454910457</v>
      </c>
      <c r="T418">
        <f t="shared" si="978"/>
        <v>-1.0823725454910458</v>
      </c>
    </row>
    <row r="419" spans="1:20" x14ac:dyDescent="0.25">
      <c r="A419" s="5">
        <v>44174</v>
      </c>
      <c r="B419">
        <v>0.19288</v>
      </c>
      <c r="C419">
        <v>0.20860999999999999</v>
      </c>
      <c r="D419">
        <v>0.16277</v>
      </c>
      <c r="E419">
        <v>0.18503</v>
      </c>
      <c r="F419">
        <v>29531613.699999999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-2.8795811518324346E-2</v>
      </c>
      <c r="Q419">
        <f t="shared" si="975"/>
        <v>-850386.78193716507</v>
      </c>
      <c r="R419">
        <f t="shared" si="976"/>
        <v>-99921773.227683812</v>
      </c>
      <c r="S419">
        <f t="shared" si="977"/>
        <v>-999.21773227683809</v>
      </c>
      <c r="T419">
        <f t="shared" si="978"/>
        <v>-0.99921773227683808</v>
      </c>
    </row>
    <row r="420" spans="1:20" x14ac:dyDescent="0.25">
      <c r="A420" s="5">
        <v>44173</v>
      </c>
      <c r="B420">
        <v>0.16442999999999999</v>
      </c>
      <c r="C420">
        <v>0.22800000000000001</v>
      </c>
      <c r="D420">
        <v>0.16064999999999999</v>
      </c>
      <c r="E420">
        <v>0.19291</v>
      </c>
      <c r="F420">
        <v>57002153.200000003</v>
      </c>
      <c r="G420">
        <v>0</v>
      </c>
      <c r="L420" t="s">
        <v>8</v>
      </c>
      <c r="M420" t="s">
        <v>8</v>
      </c>
      <c r="N420" t="s">
        <v>8</v>
      </c>
      <c r="P420">
        <f t="shared" si="974"/>
        <v>-4.2019302152932418E-2</v>
      </c>
      <c r="Q420">
        <f t="shared" si="975"/>
        <v>-2395190.6986785438</v>
      </c>
      <c r="R420">
        <f t="shared" si="976"/>
        <v>-99071386.445746645</v>
      </c>
      <c r="S420">
        <f t="shared" si="977"/>
        <v>-990.71386445746646</v>
      </c>
      <c r="T420">
        <f t="shared" si="978"/>
        <v>-0.99071386445746645</v>
      </c>
    </row>
    <row r="421" spans="1:20" x14ac:dyDescent="0.25">
      <c r="A421" s="5">
        <v>44172</v>
      </c>
      <c r="B421">
        <v>0.15662000000000001</v>
      </c>
      <c r="C421">
        <v>0.16783000000000001</v>
      </c>
      <c r="D421">
        <v>0.14779999999999999</v>
      </c>
      <c r="E421">
        <v>0.16449</v>
      </c>
      <c r="F421">
        <v>10817027.1</v>
      </c>
      <c r="G421">
        <v>0</v>
      </c>
      <c r="L421" t="s">
        <v>7</v>
      </c>
      <c r="M421" t="s">
        <v>7</v>
      </c>
      <c r="N421" t="s">
        <v>8</v>
      </c>
      <c r="P421">
        <f t="shared" si="974"/>
        <v>0.66650024962556098</v>
      </c>
      <c r="Q421">
        <f t="shared" si="975"/>
        <v>7209551.2623564573</v>
      </c>
      <c r="R421">
        <f t="shared" si="976"/>
        <v>-96676195.747068107</v>
      </c>
      <c r="S421">
        <f t="shared" si="977"/>
        <v>-966.76195747068107</v>
      </c>
      <c r="T421">
        <f t="shared" si="978"/>
        <v>-0.96676195747068105</v>
      </c>
    </row>
    <row r="422" spans="1:20" x14ac:dyDescent="0.25">
      <c r="A422" s="5">
        <v>44171</v>
      </c>
      <c r="B422">
        <v>0.15312999999999999</v>
      </c>
      <c r="C422">
        <v>0.17322000000000001</v>
      </c>
      <c r="D422">
        <v>0.153</v>
      </c>
      <c r="E422">
        <v>0.15661</v>
      </c>
      <c r="F422">
        <v>11008783.1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-0.64292779426310587</v>
      </c>
      <c r="Q422">
        <f t="shared" si="975"/>
        <v>-7077852.6360039562</v>
      </c>
      <c r="R422">
        <f t="shared" si="976"/>
        <v>-103885747.00942457</v>
      </c>
      <c r="S422">
        <f t="shared" si="977"/>
        <v>-1038.8574700942456</v>
      </c>
      <c r="T422">
        <f t="shared" si="978"/>
        <v>-1.0388574700942457</v>
      </c>
    </row>
    <row r="423" spans="1:20" x14ac:dyDescent="0.25">
      <c r="A423" s="5">
        <v>44170</v>
      </c>
      <c r="B423">
        <v>0.13370000000000001</v>
      </c>
      <c r="C423">
        <v>0.16950000000000001</v>
      </c>
      <c r="D423">
        <v>0.13220000000000001</v>
      </c>
      <c r="E423">
        <v>0.15373000000000001</v>
      </c>
      <c r="F423">
        <v>16874376.199999999</v>
      </c>
      <c r="G423">
        <v>0</v>
      </c>
      <c r="L423" t="s">
        <v>8</v>
      </c>
      <c r="M423" t="s">
        <v>8</v>
      </c>
      <c r="N423" t="s">
        <v>8</v>
      </c>
      <c r="P423">
        <f t="shared" si="974"/>
        <v>0.15442359249329726</v>
      </c>
      <c r="Q423">
        <f t="shared" si="975"/>
        <v>2605801.793887394</v>
      </c>
      <c r="R423">
        <f t="shared" si="976"/>
        <v>-96807894.373420611</v>
      </c>
      <c r="S423">
        <f t="shared" si="977"/>
        <v>-968.07894373420606</v>
      </c>
      <c r="T423">
        <f t="shared" si="978"/>
        <v>-0.96807894373420611</v>
      </c>
    </row>
    <row r="424" spans="1:20" x14ac:dyDescent="0.25">
      <c r="A424" s="5">
        <v>44169</v>
      </c>
      <c r="B424">
        <v>0.13944999999999999</v>
      </c>
      <c r="C424">
        <v>0.14899999999999999</v>
      </c>
      <c r="D424">
        <v>0.13200999999999999</v>
      </c>
      <c r="E424">
        <v>0.13370000000000001</v>
      </c>
      <c r="F424">
        <v>6787489.7999999998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-0.80105944673336971</v>
      </c>
      <c r="Q424">
        <f t="shared" si="975"/>
        <v>-5437182.8238963904</v>
      </c>
      <c r="R424">
        <f t="shared" si="976"/>
        <v>-99413696.167308003</v>
      </c>
      <c r="S424">
        <f t="shared" si="977"/>
        <v>-994.13696167308001</v>
      </c>
      <c r="T424">
        <f t="shared" si="978"/>
        <v>-0.99413696167307997</v>
      </c>
    </row>
    <row r="425" spans="1:20" x14ac:dyDescent="0.25">
      <c r="A425" s="5">
        <v>44168</v>
      </c>
      <c r="B425">
        <v>0.13661999999999999</v>
      </c>
      <c r="C425">
        <v>0.14491999999999999</v>
      </c>
      <c r="D425">
        <v>0.1308</v>
      </c>
      <c r="E425">
        <v>0.13944999999999999</v>
      </c>
      <c r="F425">
        <v>7089634.4000000004</v>
      </c>
      <c r="G425">
        <v>0</v>
      </c>
      <c r="L425" t="s">
        <v>7</v>
      </c>
      <c r="M425" t="s">
        <v>8</v>
      </c>
      <c r="N425" t="s">
        <v>8</v>
      </c>
      <c r="P425">
        <f t="shared" si="974"/>
        <v>0.22521246458923441</v>
      </c>
      <c r="Q425">
        <f t="shared" si="975"/>
        <v>1596674.0362606181</v>
      </c>
      <c r="R425">
        <f t="shared" si="976"/>
        <v>-93976513.34341161</v>
      </c>
      <c r="S425">
        <f t="shared" si="977"/>
        <v>-939.76513343411614</v>
      </c>
      <c r="T425">
        <f t="shared" si="978"/>
        <v>-0.93976513343411616</v>
      </c>
    </row>
    <row r="426" spans="1:20" x14ac:dyDescent="0.25">
      <c r="A426" s="5">
        <v>44167</v>
      </c>
      <c r="B426">
        <v>0.12381</v>
      </c>
      <c r="C426">
        <v>0.14849999999999999</v>
      </c>
      <c r="D426">
        <v>0.121</v>
      </c>
      <c r="E426">
        <v>0.13663</v>
      </c>
      <c r="F426">
        <v>11233324.699999999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0.13672727272727322</v>
      </c>
      <c r="Q426">
        <f t="shared" si="975"/>
        <v>1535901.8498909145</v>
      </c>
      <c r="R426">
        <f t="shared" si="976"/>
        <v>-95573187.379672229</v>
      </c>
      <c r="S426">
        <f t="shared" si="977"/>
        <v>-955.73187379672231</v>
      </c>
      <c r="T426">
        <f t="shared" si="978"/>
        <v>-0.95573187379672231</v>
      </c>
    </row>
    <row r="427" spans="1:20" x14ac:dyDescent="0.25">
      <c r="A427" s="5">
        <v>44166</v>
      </c>
      <c r="B427">
        <v>0.12595000000000001</v>
      </c>
      <c r="C427">
        <v>0.13063</v>
      </c>
      <c r="D427">
        <v>0.11673</v>
      </c>
      <c r="E427">
        <v>0.1245</v>
      </c>
      <c r="F427">
        <v>6188949</v>
      </c>
      <c r="G427">
        <v>0</v>
      </c>
      <c r="L427" t="s">
        <v>7</v>
      </c>
      <c r="M427" t="s">
        <v>7</v>
      </c>
      <c r="N427" t="s">
        <v>8</v>
      </c>
      <c r="P427">
        <f t="shared" si="974"/>
        <v>0.11798561151079159</v>
      </c>
      <c r="Q427">
        <f t="shared" si="975"/>
        <v>730206.93237410218</v>
      </c>
      <c r="R427">
        <f t="shared" si="976"/>
        <v>-97109089.229563147</v>
      </c>
      <c r="S427">
        <f t="shared" si="977"/>
        <v>-971.09089229563142</v>
      </c>
      <c r="T427">
        <f t="shared" si="978"/>
        <v>-0.97109089229563139</v>
      </c>
    </row>
    <row r="428" spans="1:20" x14ac:dyDescent="0.25">
      <c r="A428" s="5">
        <v>44165</v>
      </c>
      <c r="B428">
        <v>0.13000999999999999</v>
      </c>
      <c r="C428">
        <v>0.13339999999999999</v>
      </c>
      <c r="D428">
        <v>0.1226</v>
      </c>
      <c r="E428">
        <v>0.12508</v>
      </c>
      <c r="F428">
        <v>6371293.5</v>
      </c>
      <c r="G428">
        <v>0</v>
      </c>
      <c r="L428" t="s">
        <v>7</v>
      </c>
      <c r="M428" t="s">
        <v>7</v>
      </c>
      <c r="N428" t="s">
        <v>8</v>
      </c>
      <c r="P428">
        <f t="shared" si="974"/>
        <v>-0.54074074074074108</v>
      </c>
      <c r="Q428">
        <f t="shared" si="975"/>
        <v>-3445217.9666666687</v>
      </c>
      <c r="R428">
        <f t="shared" si="976"/>
        <v>-97839296.161937252</v>
      </c>
      <c r="S428">
        <f t="shared" si="977"/>
        <v>-978.3929616193725</v>
      </c>
      <c r="T428">
        <f t="shared" si="978"/>
        <v>-0.9783929616193725</v>
      </c>
    </row>
    <row r="429" spans="1:20" x14ac:dyDescent="0.25">
      <c r="A429" s="5">
        <v>44164</v>
      </c>
      <c r="B429">
        <v>0.13167000000000001</v>
      </c>
      <c r="C429">
        <v>0.14000000000000001</v>
      </c>
      <c r="D429">
        <v>0.12382</v>
      </c>
      <c r="E429">
        <v>0.13012000000000001</v>
      </c>
      <c r="F429">
        <v>7639616.7000000002</v>
      </c>
      <c r="G429">
        <v>0</v>
      </c>
      <c r="L429" t="s">
        <v>8</v>
      </c>
      <c r="M429" t="s">
        <v>7</v>
      </c>
      <c r="N429" t="s">
        <v>8</v>
      </c>
      <c r="P429">
        <f t="shared" si="974"/>
        <v>-0.22126081582200141</v>
      </c>
      <c r="Q429">
        <f t="shared" si="975"/>
        <v>-1690347.8236093863</v>
      </c>
      <c r="R429">
        <f t="shared" si="976"/>
        <v>-94394078.195270583</v>
      </c>
      <c r="S429">
        <f t="shared" si="977"/>
        <v>-943.94078195270583</v>
      </c>
      <c r="T429">
        <f t="shared" si="978"/>
        <v>-0.94394078195270581</v>
      </c>
    </row>
    <row r="430" spans="1:20" x14ac:dyDescent="0.25">
      <c r="A430" s="5">
        <v>44163</v>
      </c>
      <c r="B430">
        <v>0.1273</v>
      </c>
      <c r="C430">
        <v>0.13886000000000001</v>
      </c>
      <c r="D430">
        <v>0.11891</v>
      </c>
      <c r="E430">
        <v>0.13149</v>
      </c>
      <c r="F430">
        <v>15864898.9</v>
      </c>
      <c r="G430">
        <v>0</v>
      </c>
      <c r="L430" t="s">
        <v>7</v>
      </c>
      <c r="M430" t="s">
        <v>7</v>
      </c>
      <c r="N430" t="s">
        <v>8</v>
      </c>
      <c r="P430">
        <f t="shared" si="974"/>
        <v>0.26115288220551258</v>
      </c>
      <c r="Q430">
        <f t="shared" si="975"/>
        <v>4143164.0736340662</v>
      </c>
      <c r="R430">
        <f t="shared" si="976"/>
        <v>-92703730.371661201</v>
      </c>
      <c r="S430">
        <f t="shared" si="977"/>
        <v>-927.03730371661197</v>
      </c>
      <c r="T430">
        <f t="shared" si="978"/>
        <v>-0.92703730371661197</v>
      </c>
    </row>
    <row r="431" spans="1:20" x14ac:dyDescent="0.25">
      <c r="A431" s="5">
        <v>44162</v>
      </c>
      <c r="B431">
        <v>0.10076</v>
      </c>
      <c r="C431">
        <v>0.15848999999999999</v>
      </c>
      <c r="D431">
        <v>0.10032000000000001</v>
      </c>
      <c r="E431">
        <v>0.12736</v>
      </c>
      <c r="F431">
        <v>43027223.299999997</v>
      </c>
      <c r="G431">
        <v>0</v>
      </c>
      <c r="L431" t="s">
        <v>8</v>
      </c>
      <c r="M431" t="s">
        <v>8</v>
      </c>
      <c r="N431" t="s">
        <v>8</v>
      </c>
      <c r="P431">
        <f t="shared" si="974"/>
        <v>-7.0311156953756185E-2</v>
      </c>
      <c r="Q431">
        <f t="shared" si="975"/>
        <v>-3025293.8507306147</v>
      </c>
      <c r="R431">
        <f t="shared" si="976"/>
        <v>-96846894.445295274</v>
      </c>
      <c r="S431">
        <f t="shared" si="977"/>
        <v>-968.46894445295277</v>
      </c>
      <c r="T431">
        <f t="shared" si="978"/>
        <v>-0.96846894445295273</v>
      </c>
    </row>
    <row r="432" spans="1:20" x14ac:dyDescent="0.25">
      <c r="A432" s="5">
        <v>44161</v>
      </c>
      <c r="B432">
        <v>0.12002</v>
      </c>
      <c r="C432">
        <v>0.12107</v>
      </c>
      <c r="D432">
        <v>0.09</v>
      </c>
      <c r="E432">
        <v>9.987E-2</v>
      </c>
      <c r="F432">
        <v>7076857.5999999996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-0.36466044415835186</v>
      </c>
      <c r="Q432">
        <f t="shared" si="975"/>
        <v>-2580650.0356614077</v>
      </c>
      <c r="R432">
        <f t="shared" si="976"/>
        <v>-93821600.594564661</v>
      </c>
      <c r="S432">
        <f t="shared" si="977"/>
        <v>-938.21600594564666</v>
      </c>
      <c r="T432">
        <f t="shared" si="978"/>
        <v>-0.93821600594564669</v>
      </c>
    </row>
    <row r="433" spans="1:20" x14ac:dyDescent="0.25">
      <c r="A433" s="5">
        <v>44160</v>
      </c>
      <c r="B433">
        <v>0.12451</v>
      </c>
      <c r="C433">
        <v>0.12923999999999999</v>
      </c>
      <c r="D433">
        <v>0.1168</v>
      </c>
      <c r="E433">
        <v>0.12</v>
      </c>
      <c r="F433">
        <v>4684054.2</v>
      </c>
      <c r="G433">
        <v>0</v>
      </c>
      <c r="L433" t="s">
        <v>7</v>
      </c>
      <c r="M433" t="s">
        <v>7</v>
      </c>
      <c r="N433" t="s">
        <v>7</v>
      </c>
      <c r="P433">
        <f t="shared" si="974"/>
        <v>-0.4855305466237948</v>
      </c>
      <c r="Q433">
        <f t="shared" si="975"/>
        <v>-2274251.3961414821</v>
      </c>
      <c r="R433">
        <f t="shared" si="976"/>
        <v>-91240950.558903247</v>
      </c>
      <c r="S433">
        <f t="shared" si="977"/>
        <v>-912.40950558903251</v>
      </c>
      <c r="T433">
        <f t="shared" si="978"/>
        <v>-0.91240950558903255</v>
      </c>
    </row>
    <row r="434" spans="1:20" x14ac:dyDescent="0.25">
      <c r="A434" s="5">
        <v>44159</v>
      </c>
      <c r="B434">
        <v>0.13508000000000001</v>
      </c>
      <c r="C434">
        <v>0.13586999999999999</v>
      </c>
      <c r="D434">
        <v>0.1212</v>
      </c>
      <c r="E434">
        <v>0.12429999999999999</v>
      </c>
      <c r="F434">
        <v>5993493.7000000002</v>
      </c>
      <c r="G434">
        <v>0</v>
      </c>
      <c r="L434" t="s">
        <v>8</v>
      </c>
      <c r="M434" t="s">
        <v>7</v>
      </c>
      <c r="N434" t="s">
        <v>7</v>
      </c>
      <c r="P434">
        <f t="shared" si="974"/>
        <v>-0.57736877982276835</v>
      </c>
      <c r="Q434">
        <f t="shared" si="975"/>
        <v>-3460456.1444444493</v>
      </c>
      <c r="R434">
        <f t="shared" si="976"/>
        <v>-88966699.162761763</v>
      </c>
      <c r="S434">
        <f t="shared" si="977"/>
        <v>-889.66699162761768</v>
      </c>
      <c r="T434">
        <f t="shared" si="978"/>
        <v>-0.88966699162761764</v>
      </c>
    </row>
    <row r="435" spans="1:20" x14ac:dyDescent="0.25">
      <c r="A435" s="5">
        <v>44158</v>
      </c>
      <c r="B435">
        <v>0.12773000000000001</v>
      </c>
      <c r="C435">
        <v>0.13900000000000001</v>
      </c>
      <c r="D435">
        <v>0.122</v>
      </c>
      <c r="E435">
        <v>0.13602</v>
      </c>
      <c r="F435">
        <v>8148108.9000000004</v>
      </c>
      <c r="G435">
        <v>0</v>
      </c>
      <c r="L435" t="s">
        <v>7</v>
      </c>
      <c r="M435" t="s">
        <v>7</v>
      </c>
      <c r="N435" t="s">
        <v>7</v>
      </c>
      <c r="P435">
        <f t="shared" si="974"/>
        <v>0.64941176470588147</v>
      </c>
      <c r="Q435">
        <f t="shared" si="975"/>
        <v>5291477.7797646988</v>
      </c>
      <c r="R435">
        <f t="shared" si="976"/>
        <v>-85506243.018317312</v>
      </c>
      <c r="S435">
        <f t="shared" si="977"/>
        <v>-855.06243018317309</v>
      </c>
      <c r="T435">
        <f t="shared" si="978"/>
        <v>-0.85506243018317307</v>
      </c>
    </row>
    <row r="436" spans="1:20" x14ac:dyDescent="0.25">
      <c r="A436" s="5">
        <v>44157</v>
      </c>
      <c r="B436">
        <v>0.13528000000000001</v>
      </c>
      <c r="C436">
        <v>0.1429</v>
      </c>
      <c r="D436">
        <v>0.12642</v>
      </c>
      <c r="E436">
        <v>0.12741</v>
      </c>
      <c r="F436">
        <v>7306068.2000000002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-0.87985436893203994</v>
      </c>
      <c r="Q436">
        <f t="shared" si="975"/>
        <v>-6428276.0254854448</v>
      </c>
      <c r="R436">
        <f t="shared" si="976"/>
        <v>-90797720.798082009</v>
      </c>
      <c r="S436">
        <f t="shared" si="977"/>
        <v>-907.97720798082014</v>
      </c>
      <c r="T436">
        <f t="shared" si="978"/>
        <v>-0.90797720798082016</v>
      </c>
    </row>
    <row r="437" spans="1:20" x14ac:dyDescent="0.25">
      <c r="A437" s="5">
        <v>44156</v>
      </c>
      <c r="B437">
        <v>0.1371</v>
      </c>
      <c r="C437">
        <v>0.14016000000000001</v>
      </c>
      <c r="D437">
        <v>0.12878999999999999</v>
      </c>
      <c r="E437">
        <v>0.13494999999999999</v>
      </c>
      <c r="F437">
        <v>7465476.7000000002</v>
      </c>
      <c r="G437">
        <v>0</v>
      </c>
      <c r="L437" t="s">
        <v>7</v>
      </c>
      <c r="M437" t="s">
        <v>7</v>
      </c>
      <c r="N437" t="s">
        <v>7</v>
      </c>
      <c r="P437">
        <f t="shared" si="974"/>
        <v>8.3553210202284706E-2</v>
      </c>
      <c r="Q437">
        <f t="shared" si="975"/>
        <v>623764.54397535883</v>
      </c>
      <c r="R437">
        <f t="shared" si="976"/>
        <v>-84369444.772596568</v>
      </c>
      <c r="S437">
        <f t="shared" si="977"/>
        <v>-843.69444772596569</v>
      </c>
      <c r="T437">
        <f t="shared" si="978"/>
        <v>-0.84369444772596569</v>
      </c>
    </row>
    <row r="438" spans="1:20" x14ac:dyDescent="0.25">
      <c r="A438" s="5">
        <v>44155</v>
      </c>
      <c r="B438">
        <v>0.13983000000000001</v>
      </c>
      <c r="C438">
        <v>0.14929999999999999</v>
      </c>
      <c r="D438">
        <v>0.13580999999999999</v>
      </c>
      <c r="E438">
        <v>0.13805000000000001</v>
      </c>
      <c r="F438">
        <v>6061359.9000000004</v>
      </c>
      <c r="G438">
        <v>0</v>
      </c>
      <c r="L438" t="s">
        <v>7</v>
      </c>
      <c r="M438" t="s">
        <v>8</v>
      </c>
      <c r="N438" t="s">
        <v>8</v>
      </c>
      <c r="P438">
        <f t="shared" si="974"/>
        <v>-0.66790214974054563</v>
      </c>
      <c r="Q438">
        <f t="shared" si="975"/>
        <v>-4048395.3075611391</v>
      </c>
      <c r="R438">
        <f t="shared" si="976"/>
        <v>-84993209.316571921</v>
      </c>
      <c r="S438">
        <f t="shared" si="977"/>
        <v>-849.93209316571927</v>
      </c>
      <c r="T438">
        <f t="shared" si="978"/>
        <v>-0.84993209316571927</v>
      </c>
    </row>
    <row r="439" spans="1:20" x14ac:dyDescent="0.25">
      <c r="A439" s="5">
        <v>44154</v>
      </c>
      <c r="B439">
        <v>0.15068999999999999</v>
      </c>
      <c r="C439">
        <v>0.15725</v>
      </c>
      <c r="D439">
        <v>0.13721</v>
      </c>
      <c r="E439">
        <v>0.1399</v>
      </c>
      <c r="F439">
        <v>9583353.8000000007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-0.73153692614770482</v>
      </c>
      <c r="Q439">
        <f t="shared" si="975"/>
        <v>-7010577.181037927</v>
      </c>
      <c r="R439">
        <f t="shared" si="976"/>
        <v>-80944814.009010777</v>
      </c>
      <c r="S439">
        <f t="shared" si="977"/>
        <v>-809.44814009010781</v>
      </c>
      <c r="T439">
        <f t="shared" si="978"/>
        <v>-0.80944814009010779</v>
      </c>
    </row>
    <row r="440" spans="1:20" x14ac:dyDescent="0.25">
      <c r="A440" s="5">
        <v>44153</v>
      </c>
      <c r="B440">
        <v>0.18889</v>
      </c>
      <c r="C440">
        <v>0.19198999999999999</v>
      </c>
      <c r="D440">
        <v>0.13514999999999999</v>
      </c>
      <c r="E440">
        <v>0.1507</v>
      </c>
      <c r="F440">
        <v>17658912.899999999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-0.45285010555946487</v>
      </c>
      <c r="Q440">
        <f t="shared" si="975"/>
        <v>-7996840.5708303954</v>
      </c>
      <c r="R440">
        <f t="shared" si="976"/>
        <v>-73934236.827972844</v>
      </c>
      <c r="S440">
        <f t="shared" si="977"/>
        <v>-739.34236827972848</v>
      </c>
      <c r="T440">
        <f t="shared" si="978"/>
        <v>-0.73934236827972843</v>
      </c>
    </row>
    <row r="441" spans="1:20" x14ac:dyDescent="0.25">
      <c r="A441" s="5">
        <v>44152</v>
      </c>
      <c r="B441">
        <v>0.14233000000000001</v>
      </c>
      <c r="C441">
        <v>0.19400000000000001</v>
      </c>
      <c r="D441">
        <v>0.1411</v>
      </c>
      <c r="E441">
        <v>0.18931999999999999</v>
      </c>
      <c r="F441">
        <v>25645357.100000001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0.82306238185255132</v>
      </c>
      <c r="Q441">
        <f t="shared" si="975"/>
        <v>21107728.698185239</v>
      </c>
      <c r="R441">
        <f t="shared" si="976"/>
        <v>-65937396.257142454</v>
      </c>
      <c r="S441">
        <f t="shared" si="977"/>
        <v>-659.3739625714245</v>
      </c>
      <c r="T441">
        <f t="shared" si="978"/>
        <v>-0.65937396257142455</v>
      </c>
    </row>
    <row r="442" spans="1:20" x14ac:dyDescent="0.25">
      <c r="A442" s="5">
        <v>44151</v>
      </c>
      <c r="B442">
        <v>0.14729</v>
      </c>
      <c r="C442">
        <v>0.15483</v>
      </c>
      <c r="D442">
        <v>0.13593</v>
      </c>
      <c r="E442">
        <v>0.14180000000000001</v>
      </c>
      <c r="F442">
        <v>9178276.6999999993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-0.37883597883597736</v>
      </c>
      <c r="Q442">
        <f t="shared" si="975"/>
        <v>-3477061.437671944</v>
      </c>
      <c r="R442">
        <f t="shared" si="976"/>
        <v>-87045124.95532769</v>
      </c>
      <c r="S442">
        <f t="shared" si="977"/>
        <v>-870.45124955327685</v>
      </c>
      <c r="T442">
        <f t="shared" si="978"/>
        <v>-0.87045124955327691</v>
      </c>
    </row>
    <row r="443" spans="1:20" x14ac:dyDescent="0.25">
      <c r="A443" s="5">
        <v>44150</v>
      </c>
      <c r="B443">
        <v>0.12909000000000001</v>
      </c>
      <c r="C443">
        <v>0.14848</v>
      </c>
      <c r="D443">
        <v>0.12619</v>
      </c>
      <c r="E443">
        <v>0.14699999999999999</v>
      </c>
      <c r="F443">
        <v>11560736</v>
      </c>
      <c r="G443">
        <v>0</v>
      </c>
      <c r="L443" t="s">
        <v>8</v>
      </c>
      <c r="M443" t="s">
        <v>7</v>
      </c>
      <c r="N443" t="s">
        <v>8</v>
      </c>
      <c r="P443">
        <f t="shared" si="974"/>
        <v>0.86720502467474125</v>
      </c>
      <c r="Q443">
        <f t="shared" si="975"/>
        <v>10025528.34813817</v>
      </c>
      <c r="R443">
        <f t="shared" si="976"/>
        <v>-83568063.517655745</v>
      </c>
      <c r="S443">
        <f t="shared" si="977"/>
        <v>-835.68063517655742</v>
      </c>
      <c r="T443">
        <f t="shared" si="978"/>
        <v>-0.83568063517655744</v>
      </c>
    </row>
    <row r="444" spans="1:20" x14ac:dyDescent="0.25">
      <c r="A444" s="5">
        <v>44149</v>
      </c>
      <c r="B444">
        <v>0.15092</v>
      </c>
      <c r="C444">
        <v>0.15736</v>
      </c>
      <c r="D444">
        <v>0.12739</v>
      </c>
      <c r="E444">
        <v>0.12908</v>
      </c>
      <c r="F444">
        <v>9823933.8000000007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-0.88722055388722076</v>
      </c>
      <c r="Q444">
        <f t="shared" si="975"/>
        <v>-8715995.9873873908</v>
      </c>
      <c r="R444">
        <f t="shared" si="976"/>
        <v>-93593591.865793914</v>
      </c>
      <c r="S444">
        <f t="shared" si="977"/>
        <v>-935.93591865793917</v>
      </c>
      <c r="T444">
        <f t="shared" si="978"/>
        <v>-0.93593591865793913</v>
      </c>
    </row>
    <row r="445" spans="1:20" x14ac:dyDescent="0.25">
      <c r="A445" s="5">
        <v>44148</v>
      </c>
      <c r="B445">
        <v>0.15151000000000001</v>
      </c>
      <c r="C445">
        <v>0.17369999999999999</v>
      </c>
      <c r="D445">
        <v>0.14515</v>
      </c>
      <c r="E445">
        <v>0.15053</v>
      </c>
      <c r="F445">
        <v>11919564.4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-0.62311733800350277</v>
      </c>
      <c r="Q445">
        <f t="shared" si="975"/>
        <v>-7427287.2390893186</v>
      </c>
      <c r="R445">
        <f t="shared" si="976"/>
        <v>-84877595.878406525</v>
      </c>
      <c r="S445">
        <f t="shared" si="977"/>
        <v>-848.77595878406521</v>
      </c>
      <c r="T445">
        <f t="shared" si="978"/>
        <v>-0.8487759587840652</v>
      </c>
    </row>
    <row r="446" spans="1:20" x14ac:dyDescent="0.25">
      <c r="A446" s="5">
        <v>44147</v>
      </c>
      <c r="B446">
        <v>0.13142000000000001</v>
      </c>
      <c r="C446">
        <v>0.16431999999999999</v>
      </c>
      <c r="D446">
        <v>0.12859999999999999</v>
      </c>
      <c r="E446">
        <v>0.1515</v>
      </c>
      <c r="F446">
        <v>11004540.699999999</v>
      </c>
      <c r="G446">
        <v>0</v>
      </c>
      <c r="L446" t="s">
        <v>8</v>
      </c>
      <c r="M446" t="s">
        <v>8</v>
      </c>
      <c r="N446" t="s">
        <v>8</v>
      </c>
      <c r="P446">
        <f t="shared" si="974"/>
        <v>0.28219484882418827</v>
      </c>
      <c r="Q446">
        <f t="shared" si="975"/>
        <v>3105424.6992161269</v>
      </c>
      <c r="R446">
        <f t="shared" si="976"/>
        <v>-77450308.6393172</v>
      </c>
      <c r="S446">
        <f t="shared" si="977"/>
        <v>-774.503086393172</v>
      </c>
      <c r="T446">
        <f t="shared" si="978"/>
        <v>-0.774503086393172</v>
      </c>
    </row>
    <row r="447" spans="1:20" x14ac:dyDescent="0.25">
      <c r="A447" s="5">
        <v>44146</v>
      </c>
      <c r="B447">
        <v>0.13936000000000001</v>
      </c>
      <c r="C447">
        <v>0.15287999999999999</v>
      </c>
      <c r="D447">
        <v>0.12798000000000001</v>
      </c>
      <c r="E447">
        <v>0.13142000000000001</v>
      </c>
      <c r="F447">
        <v>7393923</v>
      </c>
      <c r="G447">
        <v>0</v>
      </c>
      <c r="L447" t="s">
        <v>7</v>
      </c>
      <c r="M447" t="s">
        <v>8</v>
      </c>
      <c r="N447" t="s">
        <v>8</v>
      </c>
      <c r="P447">
        <f t="shared" si="974"/>
        <v>-0.72369477911646574</v>
      </c>
      <c r="Q447">
        <f t="shared" si="975"/>
        <v>-5350943.4722891552</v>
      </c>
      <c r="R447">
        <f t="shared" si="976"/>
        <v>-80555733.338533327</v>
      </c>
      <c r="S447">
        <f t="shared" si="977"/>
        <v>-805.55733338533332</v>
      </c>
      <c r="T447">
        <f t="shared" si="978"/>
        <v>-0.80555733338533331</v>
      </c>
    </row>
    <row r="448" spans="1:20" x14ac:dyDescent="0.25">
      <c r="A448" s="5">
        <v>44145</v>
      </c>
      <c r="B448">
        <v>0.12443</v>
      </c>
      <c r="C448">
        <v>0.15287999999999999</v>
      </c>
      <c r="D448">
        <v>0.122</v>
      </c>
      <c r="E448">
        <v>0.13954</v>
      </c>
      <c r="F448">
        <v>9428817.6999999993</v>
      </c>
      <c r="G448">
        <v>0</v>
      </c>
      <c r="L448" t="s">
        <v>8</v>
      </c>
      <c r="M448" t="s">
        <v>7</v>
      </c>
      <c r="N448" t="s">
        <v>8</v>
      </c>
      <c r="P448">
        <f t="shared" si="974"/>
        <v>0.13601036269430086</v>
      </c>
      <c r="Q448">
        <f t="shared" si="975"/>
        <v>1282416.9151554436</v>
      </c>
      <c r="R448">
        <f t="shared" si="976"/>
        <v>-75204789.866244167</v>
      </c>
      <c r="S448">
        <f t="shared" si="977"/>
        <v>-752.04789866244164</v>
      </c>
      <c r="T448">
        <f t="shared" si="978"/>
        <v>-0.75204789866244159</v>
      </c>
    </row>
    <row r="449" spans="1:20" x14ac:dyDescent="0.25">
      <c r="A449" s="5">
        <v>44144</v>
      </c>
      <c r="B449">
        <v>0.12553</v>
      </c>
      <c r="C449">
        <v>0.15226000000000001</v>
      </c>
      <c r="D449">
        <v>0.11632000000000001</v>
      </c>
      <c r="E449">
        <v>0.12446</v>
      </c>
      <c r="F449">
        <v>18754378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-0.54702281580411827</v>
      </c>
      <c r="Q449">
        <f t="shared" si="975"/>
        <v>-10259072.662214808</v>
      </c>
      <c r="R449">
        <f t="shared" si="976"/>
        <v>-76487206.781399608</v>
      </c>
      <c r="S449">
        <f t="shared" si="977"/>
        <v>-764.87206781399607</v>
      </c>
      <c r="T449">
        <f t="shared" si="978"/>
        <v>-0.76487206781399608</v>
      </c>
    </row>
    <row r="450" spans="1:20" x14ac:dyDescent="0.25">
      <c r="A450" s="5">
        <v>44143</v>
      </c>
      <c r="B450">
        <v>0.10150000000000001</v>
      </c>
      <c r="C450">
        <v>0.12822</v>
      </c>
      <c r="D450">
        <v>9.8049999999999998E-2</v>
      </c>
      <c r="E450">
        <v>0.12553</v>
      </c>
      <c r="F450">
        <v>8523646.9000000004</v>
      </c>
      <c r="G450">
        <v>0</v>
      </c>
      <c r="L450" t="s">
        <v>8</v>
      </c>
      <c r="M450" t="s">
        <v>8</v>
      </c>
      <c r="N450" t="s">
        <v>8</v>
      </c>
      <c r="P450">
        <f t="shared" si="974"/>
        <v>0.82167716274444824</v>
      </c>
      <c r="Q450">
        <f t="shared" si="975"/>
        <v>7003686.0010275124</v>
      </c>
      <c r="R450">
        <f t="shared" si="976"/>
        <v>-66228134.119184807</v>
      </c>
      <c r="S450">
        <f t="shared" si="977"/>
        <v>-662.28134119184801</v>
      </c>
      <c r="T450">
        <f t="shared" si="978"/>
        <v>-0.66228134119184801</v>
      </c>
    </row>
    <row r="451" spans="1:20" x14ac:dyDescent="0.25">
      <c r="A451" s="5">
        <v>44142</v>
      </c>
      <c r="B451">
        <v>9.9269999999999997E-2</v>
      </c>
      <c r="C451">
        <v>0.11589000000000001</v>
      </c>
      <c r="D451">
        <v>9.4210000000000002E-2</v>
      </c>
      <c r="E451">
        <v>0.10150000000000001</v>
      </c>
      <c r="F451">
        <v>6779745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-0.32749077490774881</v>
      </c>
      <c r="Q451">
        <f t="shared" si="975"/>
        <v>-2220303.9437269354</v>
      </c>
      <c r="R451">
        <f t="shared" si="976"/>
        <v>-73231820.120212317</v>
      </c>
      <c r="S451">
        <f t="shared" si="977"/>
        <v>-732.31820120212319</v>
      </c>
      <c r="T451">
        <f t="shared" si="978"/>
        <v>-0.73231820120212321</v>
      </c>
    </row>
    <row r="452" spans="1:20" x14ac:dyDescent="0.25">
      <c r="A452" s="5">
        <v>44141</v>
      </c>
      <c r="B452">
        <v>9.2549999999999993E-2</v>
      </c>
      <c r="C452">
        <v>0.10193000000000001</v>
      </c>
      <c r="D452">
        <v>9.1550000000000006E-2</v>
      </c>
      <c r="E452">
        <v>9.8479999999999998E-2</v>
      </c>
      <c r="F452">
        <v>5072466.9000000004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0.33526011560693481</v>
      </c>
      <c r="Q452">
        <f t="shared" si="975"/>
        <v>1700595.8393063503</v>
      </c>
      <c r="R452">
        <f t="shared" si="976"/>
        <v>-71011516.176485375</v>
      </c>
      <c r="S452">
        <f t="shared" si="977"/>
        <v>-710.11516176485372</v>
      </c>
      <c r="T452">
        <f t="shared" si="978"/>
        <v>-0.71011516176485368</v>
      </c>
    </row>
    <row r="453" spans="1:20" x14ac:dyDescent="0.25">
      <c r="A453" s="5">
        <v>44140</v>
      </c>
      <c r="B453">
        <v>9.98E-2</v>
      </c>
      <c r="C453">
        <v>0.10481</v>
      </c>
      <c r="D453">
        <v>8.5999999999999993E-2</v>
      </c>
      <c r="E453">
        <v>9.2979999999999993E-2</v>
      </c>
      <c r="F453">
        <v>11010390.4</v>
      </c>
      <c r="G453">
        <v>0</v>
      </c>
      <c r="L453" t="s">
        <v>7</v>
      </c>
      <c r="M453" t="s">
        <v>7</v>
      </c>
      <c r="N453" t="s">
        <v>8</v>
      </c>
      <c r="P453">
        <f t="shared" si="974"/>
        <v>-0.25784157363104759</v>
      </c>
      <c r="Q453">
        <f t="shared" si="975"/>
        <v>-2838936.3870281796</v>
      </c>
      <c r="R453">
        <f t="shared" si="976"/>
        <v>-72712112.015791729</v>
      </c>
      <c r="S453">
        <f t="shared" si="977"/>
        <v>-727.12112015791729</v>
      </c>
      <c r="T453">
        <f t="shared" si="978"/>
        <v>-0.7271211201579173</v>
      </c>
    </row>
    <row r="454" spans="1:20" x14ac:dyDescent="0.25">
      <c r="A454" s="5">
        <v>44139</v>
      </c>
      <c r="B454">
        <v>8.201E-2</v>
      </c>
      <c r="C454">
        <v>0.11755</v>
      </c>
      <c r="D454">
        <v>8.0530000000000004E-2</v>
      </c>
      <c r="E454">
        <v>9.9779999999999994E-2</v>
      </c>
      <c r="F454">
        <v>24759550.800000001</v>
      </c>
      <c r="G454">
        <v>0</v>
      </c>
      <c r="L454" t="s">
        <v>8</v>
      </c>
      <c r="M454" t="s">
        <v>8</v>
      </c>
      <c r="N454" t="s">
        <v>8</v>
      </c>
      <c r="P454">
        <f t="shared" ref="P454:P517" si="979">IF(C454=D454,0,((E454-D454)-(C454-E454))/(C454-D454))</f>
        <v>3.9978390059426834E-2</v>
      </c>
      <c r="Q454">
        <f t="shared" ref="Q454:Q517" si="980">F454*P454</f>
        <v>989846.97957859375</v>
      </c>
      <c r="R454">
        <f t="shared" ref="R454:R517" si="981">R455+Q454</f>
        <v>-69873175.628763556</v>
      </c>
      <c r="S454">
        <f t="shared" ref="S454:S517" si="982">R454/100000</f>
        <v>-698.73175628763556</v>
      </c>
      <c r="T454">
        <f t="shared" ref="T454:T517" si="983">S454/1000</f>
        <v>-0.69873175628763551</v>
      </c>
    </row>
    <row r="455" spans="1:20" x14ac:dyDescent="0.25">
      <c r="A455" s="5">
        <v>44138</v>
      </c>
      <c r="B455">
        <v>9.3859999999999999E-2</v>
      </c>
      <c r="C455">
        <v>9.4869999999999996E-2</v>
      </c>
      <c r="D455">
        <v>7.6999999999999999E-2</v>
      </c>
      <c r="E455">
        <v>8.2309999999999994E-2</v>
      </c>
      <c r="F455">
        <v>8267809.5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-0.40570789031897075</v>
      </c>
      <c r="Q455">
        <f t="shared" si="980"/>
        <v>-3354315.5498041445</v>
      </c>
      <c r="R455">
        <f t="shared" si="981"/>
        <v>-70863022.608342156</v>
      </c>
      <c r="S455">
        <f t="shared" si="982"/>
        <v>-708.63022608342158</v>
      </c>
      <c r="T455">
        <f t="shared" si="983"/>
        <v>-0.70863022608342152</v>
      </c>
    </row>
    <row r="456" spans="1:20" x14ac:dyDescent="0.25">
      <c r="A456" s="5">
        <v>44137</v>
      </c>
      <c r="B456">
        <v>0.10092</v>
      </c>
      <c r="C456">
        <v>0.10224999999999999</v>
      </c>
      <c r="D456">
        <v>9.2999999999999999E-2</v>
      </c>
      <c r="E456">
        <v>9.3289999999999998E-2</v>
      </c>
      <c r="F456">
        <v>3065374.7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-0.9372972972972976</v>
      </c>
      <c r="Q456">
        <f t="shared" si="980"/>
        <v>-2873167.4215135146</v>
      </c>
      <c r="R456">
        <f t="shared" si="981"/>
        <v>-67508707.058538005</v>
      </c>
      <c r="S456">
        <f t="shared" si="982"/>
        <v>-675.08707058538005</v>
      </c>
      <c r="T456">
        <f t="shared" si="983"/>
        <v>-0.67508707058538009</v>
      </c>
    </row>
    <row r="457" spans="1:20" x14ac:dyDescent="0.25">
      <c r="A457" s="5">
        <v>44136</v>
      </c>
      <c r="B457">
        <v>0.11158999999999999</v>
      </c>
      <c r="C457">
        <v>0.11322</v>
      </c>
      <c r="D457">
        <v>9.9580000000000002E-2</v>
      </c>
      <c r="E457">
        <v>0.10093000000000001</v>
      </c>
      <c r="F457">
        <v>4693233.8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-0.80205278592375306</v>
      </c>
      <c r="Q457">
        <f t="shared" si="980"/>
        <v>-3764221.244281522</v>
      </c>
      <c r="R457">
        <f t="shared" si="981"/>
        <v>-64635539.637024485</v>
      </c>
      <c r="S457">
        <f t="shared" si="982"/>
        <v>-646.35539637024488</v>
      </c>
      <c r="T457">
        <f t="shared" si="983"/>
        <v>-0.64635539637024486</v>
      </c>
    </row>
    <row r="458" spans="1:20" x14ac:dyDescent="0.25">
      <c r="A458" s="5">
        <v>44135</v>
      </c>
      <c r="B458">
        <v>0.12119000000000001</v>
      </c>
      <c r="C458">
        <v>0.12336999999999999</v>
      </c>
      <c r="D458">
        <v>0.10503999999999999</v>
      </c>
      <c r="E458">
        <v>0.11158999999999999</v>
      </c>
      <c r="F458">
        <v>14157397.4</v>
      </c>
      <c r="G458">
        <v>0</v>
      </c>
      <c r="L458" t="s">
        <v>7</v>
      </c>
      <c r="M458" t="s">
        <v>7</v>
      </c>
      <c r="N458" t="s">
        <v>8</v>
      </c>
      <c r="P458">
        <f t="shared" si="979"/>
        <v>-0.28532460447354058</v>
      </c>
      <c r="Q458">
        <f t="shared" si="980"/>
        <v>-4039453.8135297317</v>
      </c>
      <c r="R458">
        <f t="shared" si="981"/>
        <v>-60871318.392742962</v>
      </c>
      <c r="S458">
        <f t="shared" si="982"/>
        <v>-608.71318392742967</v>
      </c>
      <c r="T458">
        <f t="shared" si="983"/>
        <v>-0.60871318392742968</v>
      </c>
    </row>
    <row r="459" spans="1:20" x14ac:dyDescent="0.25">
      <c r="A459" s="5">
        <v>44134</v>
      </c>
      <c r="B459">
        <v>0.10038</v>
      </c>
      <c r="C459">
        <v>0.14499999999999999</v>
      </c>
      <c r="D459">
        <v>9.6199999999999994E-2</v>
      </c>
      <c r="E459">
        <v>0.12119000000000001</v>
      </c>
      <c r="F459">
        <v>28534331.899999999</v>
      </c>
      <c r="G459">
        <v>0</v>
      </c>
      <c r="L459" t="s">
        <v>8</v>
      </c>
      <c r="M459" t="s">
        <v>8</v>
      </c>
      <c r="N459" t="s">
        <v>8</v>
      </c>
      <c r="P459">
        <f t="shared" si="979"/>
        <v>2.418032786885304E-2</v>
      </c>
      <c r="Q459">
        <f t="shared" si="980"/>
        <v>689969.50086067221</v>
      </c>
      <c r="R459">
        <f t="shared" si="981"/>
        <v>-56831864.579213232</v>
      </c>
      <c r="S459">
        <f t="shared" si="982"/>
        <v>-568.31864579213232</v>
      </c>
      <c r="T459">
        <f t="shared" si="983"/>
        <v>-0.56831864579213232</v>
      </c>
    </row>
    <row r="460" spans="1:20" x14ac:dyDescent="0.25">
      <c r="A460" s="5">
        <v>44133</v>
      </c>
      <c r="B460">
        <v>0.11559999999999999</v>
      </c>
      <c r="C460">
        <v>0.11747</v>
      </c>
      <c r="D460">
        <v>9.2499999999999999E-2</v>
      </c>
      <c r="E460">
        <v>0.10044</v>
      </c>
      <c r="F460">
        <v>6753447.5999999996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-0.3640368442130556</v>
      </c>
      <c r="Q460">
        <f t="shared" si="980"/>
        <v>-2458503.751862234</v>
      </c>
      <c r="R460">
        <f t="shared" si="981"/>
        <v>-57521834.080073901</v>
      </c>
      <c r="S460">
        <f t="shared" si="982"/>
        <v>-575.21834080073904</v>
      </c>
      <c r="T460">
        <f t="shared" si="983"/>
        <v>-0.57521834080073908</v>
      </c>
    </row>
    <row r="461" spans="1:20" x14ac:dyDescent="0.25">
      <c r="A461" s="5">
        <v>44132</v>
      </c>
      <c r="B461">
        <v>0.16</v>
      </c>
      <c r="C461">
        <v>0.16053999999999999</v>
      </c>
      <c r="D461">
        <v>0.11</v>
      </c>
      <c r="E461">
        <v>0.1153</v>
      </c>
      <c r="F461">
        <v>15904797.6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-0.79026513652552433</v>
      </c>
      <c r="Q461">
        <f t="shared" si="980"/>
        <v>-12569007.046774831</v>
      </c>
      <c r="R461">
        <f t="shared" si="981"/>
        <v>-55063330.328211665</v>
      </c>
      <c r="S461">
        <f t="shared" si="982"/>
        <v>-550.63330328211669</v>
      </c>
      <c r="T461">
        <f t="shared" si="983"/>
        <v>-0.55063330328211668</v>
      </c>
    </row>
    <row r="462" spans="1:20" x14ac:dyDescent="0.25">
      <c r="A462" s="5">
        <v>44131</v>
      </c>
      <c r="B462">
        <v>0.16588</v>
      </c>
      <c r="C462">
        <v>0.186</v>
      </c>
      <c r="D462">
        <v>0.155</v>
      </c>
      <c r="E462">
        <v>0.15998999999999999</v>
      </c>
      <c r="F462">
        <v>15180221.699999999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-0.67806451612903262</v>
      </c>
      <c r="Q462">
        <f t="shared" si="980"/>
        <v>-10293169.68174194</v>
      </c>
      <c r="R462">
        <f t="shared" si="981"/>
        <v>-42494323.281436838</v>
      </c>
      <c r="S462">
        <f t="shared" si="982"/>
        <v>-424.9432328143684</v>
      </c>
      <c r="T462">
        <f t="shared" si="983"/>
        <v>-0.42494323281436841</v>
      </c>
    </row>
    <row r="463" spans="1:20" x14ac:dyDescent="0.25">
      <c r="A463" s="5">
        <v>44130</v>
      </c>
      <c r="B463">
        <v>0.18509</v>
      </c>
      <c r="C463">
        <v>0.20549999999999999</v>
      </c>
      <c r="D463">
        <v>0.15952</v>
      </c>
      <c r="E463">
        <v>0.16585</v>
      </c>
      <c r="F463">
        <v>21474177.199999999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-0.7246628969117006</v>
      </c>
      <c r="Q463">
        <f t="shared" si="980"/>
        <v>-15561539.458547192</v>
      </c>
      <c r="R463">
        <f t="shared" si="981"/>
        <v>-32201153.5996949</v>
      </c>
      <c r="S463">
        <f t="shared" si="982"/>
        <v>-322.01153599694902</v>
      </c>
      <c r="T463">
        <f t="shared" si="983"/>
        <v>-0.32201153599694904</v>
      </c>
    </row>
    <row r="464" spans="1:20" x14ac:dyDescent="0.25">
      <c r="A464" s="5">
        <v>44129</v>
      </c>
      <c r="B464">
        <v>0.23823</v>
      </c>
      <c r="C464">
        <v>0.26399</v>
      </c>
      <c r="D464">
        <v>0.18101</v>
      </c>
      <c r="E464">
        <v>0.18507999999999999</v>
      </c>
      <c r="F464">
        <v>28174633.399999999</v>
      </c>
      <c r="G464">
        <v>0</v>
      </c>
      <c r="L464" t="s">
        <v>8</v>
      </c>
      <c r="M464" t="s">
        <v>8</v>
      </c>
      <c r="N464" t="s">
        <v>8</v>
      </c>
      <c r="P464">
        <f t="shared" si="979"/>
        <v>-0.90190407327066791</v>
      </c>
      <c r="Q464">
        <f t="shared" si="980"/>
        <v>-25410816.626367807</v>
      </c>
      <c r="R464">
        <f t="shared" si="981"/>
        <v>-16639614.141147709</v>
      </c>
      <c r="S464">
        <f t="shared" si="982"/>
        <v>-166.39614141147709</v>
      </c>
      <c r="T464">
        <f t="shared" si="983"/>
        <v>-0.1663961414114771</v>
      </c>
    </row>
    <row r="465" spans="1:20" x14ac:dyDescent="0.25">
      <c r="A465" s="5">
        <v>44128</v>
      </c>
      <c r="B465">
        <v>0.19078000000000001</v>
      </c>
      <c r="C465">
        <v>0.3</v>
      </c>
      <c r="D465">
        <v>0.14785999999999999</v>
      </c>
      <c r="E465">
        <v>0.23827000000000001</v>
      </c>
      <c r="F465">
        <v>93222275.200000003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0.18851058235835441</v>
      </c>
      <c r="Q465">
        <f t="shared" si="980"/>
        <v>17573385.386722781</v>
      </c>
      <c r="R465">
        <f t="shared" si="981"/>
        <v>8771202.4852200989</v>
      </c>
      <c r="S465">
        <f t="shared" si="982"/>
        <v>87.712024852200983</v>
      </c>
      <c r="T465">
        <f t="shared" si="983"/>
        <v>8.771202485220099E-2</v>
      </c>
    </row>
    <row r="466" spans="1:20" x14ac:dyDescent="0.25">
      <c r="A466" s="5">
        <v>44127</v>
      </c>
      <c r="B466">
        <v>0.02</v>
      </c>
      <c r="C466">
        <v>0.58499000000000001</v>
      </c>
      <c r="D466">
        <v>0.02</v>
      </c>
      <c r="E466">
        <v>0.19225999999999999</v>
      </c>
      <c r="F466">
        <v>22557016</v>
      </c>
      <c r="G466">
        <v>0</v>
      </c>
      <c r="P466">
        <f t="shared" si="979"/>
        <v>-0.39021929591674193</v>
      </c>
      <c r="Q466">
        <f t="shared" si="980"/>
        <v>-8802182.9015026819</v>
      </c>
      <c r="R466">
        <f t="shared" si="981"/>
        <v>-8802182.9015026819</v>
      </c>
      <c r="S466">
        <f t="shared" si="982"/>
        <v>-88.021829015026825</v>
      </c>
      <c r="T466">
        <f t="shared" si="983"/>
        <v>-8.8021829015026823E-2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V594" sqref="IV594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$A$593</v>
      </c>
      <c r="D111" s="1" t="str">
        <f>ADDRESS(C121-1,D121,1,1)</f>
        <v>$IV$593</v>
      </c>
      <c r="E111"/>
    </row>
    <row r="112" spans="1:5" x14ac:dyDescent="0.25">
      <c r="A112" s="7">
        <v>12164.144957890772</v>
      </c>
      <c r="C112" s="1" t="str">
        <f>ADDRESS(C121,1,1,1)</f>
        <v>$A$594</v>
      </c>
      <c r="D112" s="1" t="str">
        <f>ADDRESS(C121,D121-1,1,1)</f>
        <v>$IU$594</v>
      </c>
      <c r="E112"/>
    </row>
    <row r="113" spans="1:5" x14ac:dyDescent="0.25">
      <c r="A113" s="7">
        <v>11925.63231165762</v>
      </c>
      <c r="C113" s="1" t="str">
        <f>ADDRESS(C121+1,1,1,1)</f>
        <v>$A$595</v>
      </c>
      <c r="D113" s="1" t="str">
        <f>ADDRESS(C121-1,D121+1,1,1)</f>
        <v>$IW$593</v>
      </c>
    </row>
    <row r="114" spans="1:5" x14ac:dyDescent="0.25">
      <c r="A114" s="7">
        <v>11691.796383978059</v>
      </c>
      <c r="C114" s="1" t="str">
        <f>ADDRESS(C121,D121,1,1)</f>
        <v>$IV$594</v>
      </c>
      <c r="D114" s="1" t="str">
        <f>ADDRESS(C121+1,D121+1,1,1)</f>
        <v>$IW$595</v>
      </c>
    </row>
    <row r="115" spans="1:5" x14ac:dyDescent="0.25">
      <c r="A115" s="7">
        <v>11462.545474488292</v>
      </c>
      <c r="C115" s="1" t="str">
        <f>ADDRESS(C121+1,D121,1,1)</f>
        <v>$IV$595</v>
      </c>
    </row>
    <row r="116" spans="1:5" x14ac:dyDescent="0.25">
      <c r="A116" s="7">
        <v>11237.789680870874</v>
      </c>
      <c r="C116" s="1">
        <f>C117-1</f>
        <v>593</v>
      </c>
    </row>
    <row r="117" spans="1:5" x14ac:dyDescent="0.25">
      <c r="A117" s="7">
        <v>11017.440863598895</v>
      </c>
      <c r="C117" s="1">
        <f>C121</f>
        <v>594</v>
      </c>
      <c r="D117" s="1">
        <f>D121</f>
        <v>256</v>
      </c>
    </row>
    <row r="118" spans="1:5" x14ac:dyDescent="0.25">
      <c r="A118" s="7">
        <v>10801.412611371465</v>
      </c>
      <c r="C118" s="1">
        <f>C117+1</f>
        <v>595</v>
      </c>
      <c r="D118" s="1">
        <f>D117+1</f>
        <v>257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594</v>
      </c>
      <c r="D121" s="19">
        <v>256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R594</v>
      </c>
      <c r="D123" s="1" t="str">
        <f>"C"&amp;D121</f>
        <v>C256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0.87056017861391399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96" x14ac:dyDescent="0.25">
      <c r="A497" s="7">
        <v>5.9431331263054545</v>
      </c>
      <c r="B497"/>
      <c r="C497"/>
      <c r="D497"/>
      <c r="E497"/>
    </row>
    <row r="498" spans="1:96" x14ac:dyDescent="0.25">
      <c r="A498" s="7">
        <v>5.8266011042210337</v>
      </c>
      <c r="B498"/>
      <c r="C498"/>
      <c r="D498"/>
      <c r="E498"/>
    </row>
    <row r="499" spans="1:96" x14ac:dyDescent="0.25">
      <c r="A499" s="7">
        <v>5.7123540237461112</v>
      </c>
      <c r="B499"/>
      <c r="C499"/>
      <c r="D499"/>
      <c r="E499"/>
    </row>
    <row r="500" spans="1:96" x14ac:dyDescent="0.25">
      <c r="A500" s="7">
        <v>5.6003470821040304</v>
      </c>
      <c r="B500"/>
      <c r="C500"/>
      <c r="D500"/>
      <c r="E500"/>
    </row>
    <row r="501" spans="1:96" x14ac:dyDescent="0.25">
      <c r="A501" s="7">
        <v>5.4905363550039512</v>
      </c>
      <c r="B501"/>
      <c r="C501"/>
      <c r="D501"/>
      <c r="E501"/>
    </row>
    <row r="502" spans="1:96" x14ac:dyDescent="0.25">
      <c r="A502" s="7">
        <v>5.3828787794156385</v>
      </c>
      <c r="B502"/>
      <c r="C502"/>
      <c r="D502"/>
      <c r="E502"/>
    </row>
    <row r="503" spans="1:96" x14ac:dyDescent="0.25">
      <c r="A503" s="7">
        <v>5.2773321366819985</v>
      </c>
      <c r="B503"/>
      <c r="C503"/>
      <c r="D503"/>
      <c r="E503"/>
    </row>
    <row r="504" spans="1:96" x14ac:dyDescent="0.25">
      <c r="A504" s="7">
        <v>5.1738550359627435</v>
      </c>
      <c r="B504"/>
      <c r="C504"/>
      <c r="D504"/>
      <c r="E504"/>
    </row>
    <row r="505" spans="1:96" x14ac:dyDescent="0.25">
      <c r="A505" s="7">
        <v>5.07240689800269</v>
      </c>
      <c r="B505"/>
      <c r="C505"/>
      <c r="D505"/>
      <c r="E505"/>
    </row>
    <row r="506" spans="1:96" x14ac:dyDescent="0.25">
      <c r="A506" s="7">
        <v>4.9729479392183231</v>
      </c>
      <c r="B506"/>
      <c r="C506"/>
      <c r="D506"/>
      <c r="E506"/>
      <c r="CQ506" s="27" t="s">
        <v>8</v>
      </c>
    </row>
    <row r="507" spans="1:96" x14ac:dyDescent="0.25">
      <c r="A507" s="7">
        <v>4.8754391560963954</v>
      </c>
      <c r="B507"/>
      <c r="C507"/>
      <c r="D507"/>
      <c r="E507"/>
      <c r="CQ507" s="27" t="s">
        <v>8</v>
      </c>
      <c r="CR507" s="27" t="s">
        <v>7</v>
      </c>
    </row>
    <row r="508" spans="1:96" x14ac:dyDescent="0.25">
      <c r="A508" s="7">
        <v>4.7798423098984264</v>
      </c>
      <c r="B508"/>
      <c r="C508"/>
      <c r="D508"/>
      <c r="E508"/>
      <c r="CQ508" s="27" t="s">
        <v>8</v>
      </c>
      <c r="CR508" s="27" t="s">
        <v>7</v>
      </c>
    </row>
    <row r="509" spans="1:96" x14ac:dyDescent="0.25">
      <c r="A509" s="7">
        <v>4.6861199116651235</v>
      </c>
      <c r="B509"/>
      <c r="C509"/>
      <c r="D509"/>
      <c r="E509"/>
      <c r="CQ509" s="27" t="s">
        <v>8</v>
      </c>
      <c r="CR509" s="27" t="s">
        <v>7</v>
      </c>
    </row>
    <row r="510" spans="1:96" x14ac:dyDescent="0.25">
      <c r="A510" s="7">
        <v>4.5942352075148269</v>
      </c>
      <c r="B510"/>
      <c r="C510"/>
      <c r="D510"/>
      <c r="E510"/>
      <c r="CQ510" s="27" t="s">
        <v>8</v>
      </c>
      <c r="CR510" s="27" t="s">
        <v>7</v>
      </c>
    </row>
    <row r="511" spans="1:96" x14ac:dyDescent="0.25">
      <c r="A511" s="7">
        <v>4.5041521642302227</v>
      </c>
      <c r="B511"/>
      <c r="C511"/>
      <c r="D511"/>
      <c r="E511"/>
      <c r="CQ511" s="27" t="s">
        <v>8</v>
      </c>
      <c r="CR511" s="27" t="s">
        <v>7</v>
      </c>
    </row>
    <row r="512" spans="1:96" x14ac:dyDescent="0.25">
      <c r="A512" s="7">
        <v>4.4158354551276693</v>
      </c>
      <c r="B512"/>
      <c r="C512"/>
      <c r="D512"/>
      <c r="E512"/>
      <c r="CQ512" s="27" t="s">
        <v>8</v>
      </c>
      <c r="CR512" s="27" t="s">
        <v>7</v>
      </c>
    </row>
    <row r="513" spans="1:220" x14ac:dyDescent="0.25">
      <c r="A513" s="7">
        <v>4.3292504462035977</v>
      </c>
      <c r="B513"/>
      <c r="C513"/>
      <c r="D513"/>
      <c r="E513"/>
      <c r="CQ513" s="27" t="s">
        <v>8</v>
      </c>
      <c r="CR513" s="27" t="s">
        <v>7</v>
      </c>
    </row>
    <row r="514" spans="1:220" x14ac:dyDescent="0.25">
      <c r="A514" s="7">
        <v>4.2443631825525463</v>
      </c>
      <c r="B514"/>
      <c r="C514"/>
      <c r="D514"/>
      <c r="E514"/>
      <c r="CQ514" s="27" t="s">
        <v>8</v>
      </c>
      <c r="CR514" s="27" t="s">
        <v>7</v>
      </c>
    </row>
    <row r="515" spans="1:220" x14ac:dyDescent="0.25">
      <c r="A515" s="7">
        <v>4.1611403750515157</v>
      </c>
      <c r="B515"/>
      <c r="C515"/>
      <c r="D515"/>
      <c r="E515"/>
      <c r="CQ515" s="27" t="s">
        <v>8</v>
      </c>
      <c r="CR515" s="27" t="s">
        <v>7</v>
      </c>
    </row>
    <row r="516" spans="1:220" x14ac:dyDescent="0.25">
      <c r="A516" s="7">
        <v>4.0795493873054074</v>
      </c>
      <c r="B516"/>
      <c r="C516"/>
      <c r="D516"/>
      <c r="E516"/>
      <c r="CQ516" s="27" t="s">
        <v>8</v>
      </c>
      <c r="CR516" s="27" t="s">
        <v>7</v>
      </c>
      <c r="HK516" s="27" t="s">
        <v>8</v>
      </c>
    </row>
    <row r="517" spans="1:220" x14ac:dyDescent="0.25">
      <c r="A517" s="7">
        <v>3.9995582228484383</v>
      </c>
      <c r="B517"/>
      <c r="C517"/>
      <c r="D517"/>
      <c r="E517"/>
      <c r="CQ517" s="27" t="s">
        <v>8</v>
      </c>
      <c r="CR517" s="27" t="s">
        <v>7</v>
      </c>
      <c r="FM517" s="27" t="s">
        <v>8</v>
      </c>
      <c r="HK517" s="27" t="s">
        <v>8</v>
      </c>
      <c r="HL517" s="27" t="s">
        <v>7</v>
      </c>
    </row>
    <row r="518" spans="1:220" x14ac:dyDescent="0.25">
      <c r="A518" s="7">
        <v>3.9211355125965079</v>
      </c>
      <c r="B518"/>
      <c r="C518"/>
      <c r="D518"/>
      <c r="E518"/>
      <c r="CQ518" s="27" t="s">
        <v>8</v>
      </c>
      <c r="CR518" s="27" t="s">
        <v>7</v>
      </c>
      <c r="FM518" s="27" t="s">
        <v>8</v>
      </c>
      <c r="FN518" s="27" t="s">
        <v>7</v>
      </c>
      <c r="HK518" s="27" t="s">
        <v>8</v>
      </c>
      <c r="HL518" s="27" t="s">
        <v>7</v>
      </c>
    </row>
    <row r="519" spans="1:220" x14ac:dyDescent="0.25">
      <c r="A519" s="7">
        <v>3.844250502545596</v>
      </c>
      <c r="B519"/>
      <c r="C519"/>
      <c r="D519"/>
      <c r="E519"/>
      <c r="CQ519" s="27" t="s">
        <v>8</v>
      </c>
      <c r="CR519" s="27" t="s">
        <v>7</v>
      </c>
      <c r="FM519" s="27" t="s">
        <v>8</v>
      </c>
      <c r="FN519" s="27" t="s">
        <v>7</v>
      </c>
      <c r="HK519" s="27" t="s">
        <v>8</v>
      </c>
      <c r="HL519" s="27" t="s">
        <v>7</v>
      </c>
    </row>
    <row r="520" spans="1:220" x14ac:dyDescent="0.25">
      <c r="A520" s="7">
        <v>3.7688730417113687</v>
      </c>
      <c r="B520"/>
      <c r="C520"/>
      <c r="D520"/>
      <c r="E520"/>
      <c r="CQ520" s="27" t="s">
        <v>8</v>
      </c>
      <c r="CR520" s="27" t="s">
        <v>7</v>
      </c>
      <c r="FM520" s="27" t="s">
        <v>8</v>
      </c>
      <c r="FN520" s="27" t="s">
        <v>7</v>
      </c>
      <c r="HK520" s="27" t="s">
        <v>8</v>
      </c>
      <c r="HL520" s="27" t="s">
        <v>7</v>
      </c>
    </row>
    <row r="521" spans="1:220" x14ac:dyDescent="0.25">
      <c r="A521" s="7">
        <v>3.6949735703052635</v>
      </c>
      <c r="B521"/>
      <c r="C521"/>
      <c r="D521"/>
      <c r="E521"/>
      <c r="CQ521" s="27" t="s">
        <v>8</v>
      </c>
      <c r="CR521" s="27" t="s">
        <v>7</v>
      </c>
      <c r="FM521" s="27" t="s">
        <v>8</v>
      </c>
      <c r="FN521" s="27" t="s">
        <v>7</v>
      </c>
      <c r="HK521" s="27" t="s">
        <v>8</v>
      </c>
      <c r="HL521" s="27" t="s">
        <v>7</v>
      </c>
    </row>
    <row r="522" spans="1:220" x14ac:dyDescent="0.25">
      <c r="A522" s="7">
        <v>3.6225231081424152</v>
      </c>
      <c r="B522"/>
      <c r="C522"/>
      <c r="D522"/>
      <c r="E522"/>
      <c r="CQ522" s="27" t="s">
        <v>8</v>
      </c>
      <c r="CR522" s="27" t="s">
        <v>7</v>
      </c>
      <c r="FM522" s="27" t="s">
        <v>8</v>
      </c>
      <c r="FN522" s="27" t="s">
        <v>7</v>
      </c>
      <c r="FO522" s="27" t="s">
        <v>8</v>
      </c>
      <c r="HK522" s="27" t="s">
        <v>8</v>
      </c>
      <c r="HL522" s="27" t="s">
        <v>7</v>
      </c>
    </row>
    <row r="523" spans="1:220" x14ac:dyDescent="0.25">
      <c r="A523" s="7">
        <v>3.5514932432768775</v>
      </c>
      <c r="B523"/>
      <c r="C523"/>
      <c r="D523"/>
      <c r="E523"/>
      <c r="CQ523" s="27" t="s">
        <v>8</v>
      </c>
      <c r="CR523" s="27" t="s">
        <v>7</v>
      </c>
      <c r="FM523" s="27" t="s">
        <v>8</v>
      </c>
      <c r="FN523" s="27" t="s">
        <v>7</v>
      </c>
      <c r="FO523" s="27" t="s">
        <v>8</v>
      </c>
      <c r="FP523" s="27" t="s">
        <v>7</v>
      </c>
      <c r="HK523" s="27" t="s">
        <v>8</v>
      </c>
      <c r="HL523" s="27" t="s">
        <v>7</v>
      </c>
    </row>
    <row r="524" spans="1:220" x14ac:dyDescent="0.25">
      <c r="A524" s="7">
        <v>3.4818561208596837</v>
      </c>
      <c r="B524"/>
      <c r="C524"/>
      <c r="D524"/>
      <c r="E524"/>
      <c r="CQ524" s="27" t="s">
        <v>8</v>
      </c>
      <c r="CR524" s="27" t="s">
        <v>7</v>
      </c>
      <c r="FM524" s="27" t="s">
        <v>8</v>
      </c>
      <c r="FN524" s="27" t="s">
        <v>7</v>
      </c>
      <c r="FO524" s="27" t="s">
        <v>8</v>
      </c>
      <c r="FP524" s="27" t="s">
        <v>7</v>
      </c>
      <c r="HK524" s="27" t="s">
        <v>8</v>
      </c>
      <c r="HL524" s="27" t="s">
        <v>7</v>
      </c>
    </row>
    <row r="525" spans="1:220" x14ac:dyDescent="0.25">
      <c r="A525" s="7">
        <v>3.4135844322153761</v>
      </c>
      <c r="B525"/>
      <c r="C525"/>
      <c r="D525"/>
      <c r="E525"/>
      <c r="CQ525" s="27" t="s">
        <v>8</v>
      </c>
      <c r="CR525" s="27" t="s">
        <v>7</v>
      </c>
      <c r="CS525" s="27" t="s">
        <v>8</v>
      </c>
      <c r="CU525" s="27" t="s">
        <v>8</v>
      </c>
      <c r="FM525" s="27" t="s">
        <v>8</v>
      </c>
      <c r="FN525" s="27" t="s">
        <v>7</v>
      </c>
      <c r="FO525" s="27" t="s">
        <v>8</v>
      </c>
      <c r="FP525" s="27" t="s">
        <v>7</v>
      </c>
      <c r="HK525" s="27" t="s">
        <v>8</v>
      </c>
      <c r="HL525" s="27" t="s">
        <v>7</v>
      </c>
    </row>
    <row r="526" spans="1:220" x14ac:dyDescent="0.25">
      <c r="A526" s="7">
        <v>3.3466514041327216</v>
      </c>
      <c r="B526"/>
      <c r="C526"/>
      <c r="D526"/>
      <c r="E526"/>
      <c r="CQ526" s="27" t="s">
        <v>8</v>
      </c>
      <c r="CR526" s="27" t="s">
        <v>7</v>
      </c>
      <c r="CS526" s="27" t="s">
        <v>8</v>
      </c>
      <c r="CT526" s="27" t="s">
        <v>7</v>
      </c>
      <c r="CU526" s="27" t="s">
        <v>8</v>
      </c>
      <c r="CV526" s="27" t="s">
        <v>7</v>
      </c>
      <c r="FM526" s="27" t="s">
        <v>8</v>
      </c>
      <c r="FN526" s="27" t="s">
        <v>7</v>
      </c>
      <c r="FO526" s="27" t="s">
        <v>8</v>
      </c>
      <c r="FP526" s="27" t="s">
        <v>7</v>
      </c>
      <c r="HK526" s="27" t="s">
        <v>8</v>
      </c>
      <c r="HL526" s="27" t="s">
        <v>7</v>
      </c>
    </row>
    <row r="527" spans="1:220" x14ac:dyDescent="0.25">
      <c r="A527" s="7">
        <v>3.2810307883654133</v>
      </c>
      <c r="B527"/>
      <c r="C527"/>
      <c r="D527"/>
      <c r="E527"/>
      <c r="CQ527" s="27" t="s">
        <v>8</v>
      </c>
      <c r="CR527" s="27" t="s">
        <v>7</v>
      </c>
      <c r="CS527" s="27" t="s">
        <v>8</v>
      </c>
      <c r="CT527" s="27" t="s">
        <v>7</v>
      </c>
      <c r="CU527" s="27" t="s">
        <v>8</v>
      </c>
      <c r="CV527" s="27" t="s">
        <v>7</v>
      </c>
      <c r="FM527" s="27" t="s">
        <v>8</v>
      </c>
      <c r="FN527" s="27" t="s">
        <v>7</v>
      </c>
      <c r="FO527" s="27" t="s">
        <v>8</v>
      </c>
      <c r="FP527" s="27" t="s">
        <v>7</v>
      </c>
      <c r="HK527" s="27" t="s">
        <v>8</v>
      </c>
      <c r="HL527" s="27" t="s">
        <v>7</v>
      </c>
    </row>
    <row r="528" spans="1:220" x14ac:dyDescent="0.25">
      <c r="A528" s="7">
        <v>3.2166968513386403</v>
      </c>
      <c r="B528"/>
      <c r="C528"/>
      <c r="D528"/>
      <c r="E528"/>
      <c r="CQ528" s="27" t="s">
        <v>8</v>
      </c>
      <c r="CR528" s="27" t="s">
        <v>7</v>
      </c>
      <c r="CS528" s="27" t="s">
        <v>8</v>
      </c>
      <c r="CT528" s="27" t="s">
        <v>7</v>
      </c>
      <c r="CU528" s="27" t="s">
        <v>8</v>
      </c>
      <c r="CV528" s="27" t="s">
        <v>7</v>
      </c>
      <c r="FM528" s="27" t="s">
        <v>8</v>
      </c>
      <c r="FN528" s="27" t="s">
        <v>7</v>
      </c>
      <c r="FO528" s="27" t="s">
        <v>8</v>
      </c>
      <c r="FP528" s="27" t="s">
        <v>7</v>
      </c>
      <c r="HK528" s="27" t="s">
        <v>8</v>
      </c>
      <c r="HL528" s="27" t="s">
        <v>7</v>
      </c>
    </row>
    <row r="529" spans="1:230" x14ac:dyDescent="0.25">
      <c r="A529" s="7">
        <v>3.1536243640574906</v>
      </c>
      <c r="B529"/>
      <c r="C529"/>
      <c r="D529"/>
      <c r="E529"/>
      <c r="CQ529" s="27" t="s">
        <v>8</v>
      </c>
      <c r="CR529" s="27" t="s">
        <v>7</v>
      </c>
      <c r="CS529" s="27" t="s">
        <v>8</v>
      </c>
      <c r="CT529" s="27" t="s">
        <v>7</v>
      </c>
      <c r="CU529" s="27" t="s">
        <v>8</v>
      </c>
      <c r="CV529" s="27" t="s">
        <v>7</v>
      </c>
      <c r="CY529" s="27" t="s">
        <v>8</v>
      </c>
      <c r="FM529" s="27" t="s">
        <v>8</v>
      </c>
      <c r="FN529" s="27" t="s">
        <v>7</v>
      </c>
      <c r="FO529" s="27" t="s">
        <v>8</v>
      </c>
      <c r="FP529" s="27" t="s">
        <v>7</v>
      </c>
      <c r="GC529" s="27" t="s">
        <v>8</v>
      </c>
      <c r="HK529" s="27" t="s">
        <v>8</v>
      </c>
      <c r="HL529" s="27" t="s">
        <v>7</v>
      </c>
    </row>
    <row r="530" spans="1:230" x14ac:dyDescent="0.25">
      <c r="A530" s="7">
        <v>3.0917885922132262</v>
      </c>
      <c r="B530"/>
      <c r="C530"/>
      <c r="D530"/>
      <c r="E530"/>
      <c r="CQ530" s="27" t="s">
        <v>8</v>
      </c>
      <c r="CR530" s="27" t="s">
        <v>7</v>
      </c>
      <c r="CS530" s="27" t="s">
        <v>8</v>
      </c>
      <c r="CT530" s="27" t="s">
        <v>7</v>
      </c>
      <c r="CU530" s="27" t="s">
        <v>8</v>
      </c>
      <c r="CV530" s="27" t="s">
        <v>7</v>
      </c>
      <c r="CY530" s="27" t="s">
        <v>8</v>
      </c>
      <c r="CZ530" s="27" t="s">
        <v>7</v>
      </c>
      <c r="DG530" s="27" t="s">
        <v>8</v>
      </c>
      <c r="FM530" s="27" t="s">
        <v>8</v>
      </c>
      <c r="FN530" s="27" t="s">
        <v>7</v>
      </c>
      <c r="FO530" s="27" t="s">
        <v>8</v>
      </c>
      <c r="FP530" s="27" t="s">
        <v>7</v>
      </c>
      <c r="FQ530" s="27" t="s">
        <v>8</v>
      </c>
      <c r="GC530" s="27" t="s">
        <v>8</v>
      </c>
      <c r="GD530" s="27" t="s">
        <v>7</v>
      </c>
      <c r="GE530" s="27" t="s">
        <v>8</v>
      </c>
      <c r="HK530" s="27" t="s">
        <v>8</v>
      </c>
      <c r="HL530" s="27" t="s">
        <v>7</v>
      </c>
    </row>
    <row r="531" spans="1:230" x14ac:dyDescent="0.25">
      <c r="A531" s="7">
        <v>3.0311652864835552</v>
      </c>
      <c r="B531"/>
      <c r="C531"/>
      <c r="D531"/>
      <c r="E531"/>
      <c r="CQ531" s="27" t="s">
        <v>8</v>
      </c>
      <c r="CR531" s="27" t="s">
        <v>7</v>
      </c>
      <c r="CT531" s="27" t="s">
        <v>7</v>
      </c>
      <c r="CV531" s="27" t="s">
        <v>7</v>
      </c>
      <c r="CY531" s="27" t="s">
        <v>8</v>
      </c>
      <c r="CZ531" s="27" t="s">
        <v>7</v>
      </c>
      <c r="DG531" s="27" t="s">
        <v>8</v>
      </c>
      <c r="DH531" s="27" t="s">
        <v>7</v>
      </c>
      <c r="FM531" s="27" t="s">
        <v>8</v>
      </c>
      <c r="FN531" s="27" t="s">
        <v>7</v>
      </c>
      <c r="FO531" s="27" t="s">
        <v>8</v>
      </c>
      <c r="FP531" s="27" t="s">
        <v>7</v>
      </c>
      <c r="FQ531" s="27" t="s">
        <v>8</v>
      </c>
      <c r="FR531" s="27" t="s">
        <v>7</v>
      </c>
      <c r="FS531" s="27" t="s">
        <v>8</v>
      </c>
      <c r="GC531" s="27" t="s">
        <v>8</v>
      </c>
      <c r="GD531" s="27" t="s">
        <v>7</v>
      </c>
      <c r="GE531" s="27" t="s">
        <v>8</v>
      </c>
      <c r="GF531" s="27" t="s">
        <v>7</v>
      </c>
      <c r="HK531" s="27" t="s">
        <v>8</v>
      </c>
      <c r="HL531" s="27" t="s">
        <v>7</v>
      </c>
      <c r="HO531" s="27" t="s">
        <v>8</v>
      </c>
    </row>
    <row r="532" spans="1:230" x14ac:dyDescent="0.25">
      <c r="A532" s="7">
        <v>2.9717306730230932</v>
      </c>
      <c r="B532"/>
      <c r="C532"/>
      <c r="D532"/>
      <c r="E532"/>
      <c r="CQ532" s="27" t="s">
        <v>8</v>
      </c>
      <c r="CV532" s="27" t="s">
        <v>7</v>
      </c>
      <c r="CY532" s="27" t="s">
        <v>8</v>
      </c>
      <c r="CZ532" s="27" t="s">
        <v>7</v>
      </c>
      <c r="DG532" s="27" t="s">
        <v>8</v>
      </c>
      <c r="DH532" s="27" t="s">
        <v>7</v>
      </c>
      <c r="FM532" s="27" t="s">
        <v>8</v>
      </c>
      <c r="FN532" s="27" t="s">
        <v>7</v>
      </c>
      <c r="FO532" s="27" t="s">
        <v>8</v>
      </c>
      <c r="FP532" s="27" t="s">
        <v>7</v>
      </c>
      <c r="FQ532" s="27" t="s">
        <v>8</v>
      </c>
      <c r="FR532" s="27" t="s">
        <v>7</v>
      </c>
      <c r="FS532" s="27" t="s">
        <v>8</v>
      </c>
      <c r="FT532" s="27" t="s">
        <v>7</v>
      </c>
      <c r="FU532" s="27" t="s">
        <v>8</v>
      </c>
      <c r="GC532" s="27" t="s">
        <v>8</v>
      </c>
      <c r="GD532" s="27" t="s">
        <v>7</v>
      </c>
      <c r="GE532" s="27" t="s">
        <v>8</v>
      </c>
      <c r="GF532" s="27" t="s">
        <v>7</v>
      </c>
      <c r="HK532" s="27" t="s">
        <v>8</v>
      </c>
      <c r="HL532" s="27" t="s">
        <v>7</v>
      </c>
      <c r="HO532" s="27" t="s">
        <v>8</v>
      </c>
      <c r="HP532" s="27" t="s">
        <v>7</v>
      </c>
    </row>
    <row r="533" spans="1:230" x14ac:dyDescent="0.25">
      <c r="A533" s="7">
        <v>2.9134614441402875</v>
      </c>
      <c r="B533"/>
      <c r="C533"/>
      <c r="D533"/>
      <c r="E533"/>
      <c r="CQ533" s="27" t="s">
        <v>8</v>
      </c>
      <c r="CV533" s="27" t="s">
        <v>7</v>
      </c>
      <c r="CY533" s="27" t="s">
        <v>8</v>
      </c>
      <c r="CZ533" s="27" t="s">
        <v>7</v>
      </c>
      <c r="DG533" s="27" t="s">
        <v>8</v>
      </c>
      <c r="DH533" s="27" t="s">
        <v>7</v>
      </c>
      <c r="FM533" s="27" t="s">
        <v>8</v>
      </c>
      <c r="FN533" s="27" t="s">
        <v>7</v>
      </c>
      <c r="FO533" s="27" t="s">
        <v>8</v>
      </c>
      <c r="FP533" s="27" t="s">
        <v>7</v>
      </c>
      <c r="FQ533" s="27" t="s">
        <v>8</v>
      </c>
      <c r="FR533" s="27" t="s">
        <v>7</v>
      </c>
      <c r="FS533" s="27" t="s">
        <v>8</v>
      </c>
      <c r="FT533" s="27" t="s">
        <v>7</v>
      </c>
      <c r="FU533" s="27" t="s">
        <v>8</v>
      </c>
      <c r="FV533" s="27" t="s">
        <v>7</v>
      </c>
      <c r="GC533" s="27" t="s">
        <v>8</v>
      </c>
      <c r="GD533" s="27" t="s">
        <v>7</v>
      </c>
      <c r="GE533" s="27" t="s">
        <v>8</v>
      </c>
      <c r="GF533" s="27" t="s">
        <v>7</v>
      </c>
      <c r="HA533" s="27" t="s">
        <v>8</v>
      </c>
      <c r="HC533" s="27" t="s">
        <v>8</v>
      </c>
      <c r="HK533" s="27" t="s">
        <v>8</v>
      </c>
      <c r="HL533" s="27" t="s">
        <v>7</v>
      </c>
      <c r="HO533" s="27" t="s">
        <v>8</v>
      </c>
      <c r="HP533" s="27" t="s">
        <v>7</v>
      </c>
    </row>
    <row r="534" spans="1:230" x14ac:dyDescent="0.25">
      <c r="A534" s="7">
        <v>2.8563347491571447</v>
      </c>
      <c r="B534"/>
      <c r="C534"/>
      <c r="D534"/>
      <c r="E534"/>
      <c r="CQ534" s="27" t="s">
        <v>8</v>
      </c>
      <c r="CV534" s="27" t="s">
        <v>7</v>
      </c>
      <c r="CY534" s="27" t="s">
        <v>8</v>
      </c>
      <c r="CZ534" s="27" t="s">
        <v>7</v>
      </c>
      <c r="DG534" s="27" t="s">
        <v>8</v>
      </c>
      <c r="DH534" s="27" t="s">
        <v>7</v>
      </c>
      <c r="FM534" s="27" t="s">
        <v>8</v>
      </c>
      <c r="FN534" s="27" t="s">
        <v>7</v>
      </c>
      <c r="FO534" s="27" t="s">
        <v>8</v>
      </c>
      <c r="FP534" s="27" t="s">
        <v>7</v>
      </c>
      <c r="FQ534" s="27" t="s">
        <v>8</v>
      </c>
      <c r="FR534" s="27" t="s">
        <v>7</v>
      </c>
      <c r="FS534" s="27" t="s">
        <v>8</v>
      </c>
      <c r="FT534" s="27" t="s">
        <v>7</v>
      </c>
      <c r="FU534" s="27" t="s">
        <v>8</v>
      </c>
      <c r="FV534" s="27" t="s">
        <v>7</v>
      </c>
      <c r="GC534" s="27" t="s">
        <v>8</v>
      </c>
      <c r="GD534" s="27" t="s">
        <v>7</v>
      </c>
      <c r="GE534" s="27" t="s">
        <v>8</v>
      </c>
      <c r="GF534" s="27" t="s">
        <v>7</v>
      </c>
      <c r="HA534" s="27" t="s">
        <v>8</v>
      </c>
      <c r="HB534" s="27" t="s">
        <v>7</v>
      </c>
      <c r="HC534" s="27" t="s">
        <v>8</v>
      </c>
      <c r="HD534" s="27" t="s">
        <v>7</v>
      </c>
      <c r="HK534" s="27" t="s">
        <v>8</v>
      </c>
      <c r="HL534" s="27" t="s">
        <v>7</v>
      </c>
      <c r="HO534" s="27" t="s">
        <v>8</v>
      </c>
      <c r="HP534" s="27" t="s">
        <v>7</v>
      </c>
    </row>
    <row r="535" spans="1:230" x14ac:dyDescent="0.25">
      <c r="A535" s="7">
        <v>2.8003281854481812</v>
      </c>
      <c r="B535"/>
      <c r="C535"/>
      <c r="D535"/>
      <c r="E535"/>
      <c r="CQ535" s="27" t="s">
        <v>8</v>
      </c>
      <c r="CV535" s="27" t="s">
        <v>7</v>
      </c>
      <c r="CY535" s="27" t="s">
        <v>8</v>
      </c>
      <c r="CZ535" s="27" t="s">
        <v>7</v>
      </c>
      <c r="DG535" s="27" t="s">
        <v>8</v>
      </c>
      <c r="DH535" s="27" t="s">
        <v>7</v>
      </c>
      <c r="FM535" s="27" t="s">
        <v>8</v>
      </c>
      <c r="FN535" s="27" t="s">
        <v>7</v>
      </c>
      <c r="FO535" s="27" t="s">
        <v>8</v>
      </c>
      <c r="FP535" s="27" t="s">
        <v>7</v>
      </c>
      <c r="FQ535" s="27" t="s">
        <v>8</v>
      </c>
      <c r="FR535" s="27" t="s">
        <v>7</v>
      </c>
      <c r="FS535" s="27" t="s">
        <v>8</v>
      </c>
      <c r="FT535" s="27" t="s">
        <v>7</v>
      </c>
      <c r="FU535" s="27" t="s">
        <v>8</v>
      </c>
      <c r="FV535" s="27" t="s">
        <v>7</v>
      </c>
      <c r="GC535" s="27" t="s">
        <v>8</v>
      </c>
      <c r="GD535" s="27" t="s">
        <v>7</v>
      </c>
      <c r="GE535" s="27" t="s">
        <v>8</v>
      </c>
      <c r="GF535" s="27" t="s">
        <v>7</v>
      </c>
      <c r="HA535" s="27" t="s">
        <v>8</v>
      </c>
      <c r="HB535" s="27" t="s">
        <v>7</v>
      </c>
      <c r="HC535" s="27" t="s">
        <v>8</v>
      </c>
      <c r="HD535" s="27" t="s">
        <v>7</v>
      </c>
      <c r="HE535" s="27" t="s">
        <v>8</v>
      </c>
      <c r="HK535" s="27" t="s">
        <v>8</v>
      </c>
      <c r="HL535" s="27" t="s">
        <v>7</v>
      </c>
      <c r="HO535" s="27" t="s">
        <v>8</v>
      </c>
      <c r="HP535" s="27" t="s">
        <v>7</v>
      </c>
    </row>
    <row r="536" spans="1:230" x14ac:dyDescent="0.25">
      <c r="A536" s="7">
        <v>2.7454197896550796</v>
      </c>
      <c r="B536"/>
      <c r="C536"/>
      <c r="D536"/>
      <c r="E536"/>
      <c r="CQ536" s="27" t="s">
        <v>8</v>
      </c>
      <c r="CV536" s="27" t="s">
        <v>7</v>
      </c>
      <c r="CW536" s="27" t="s">
        <v>8</v>
      </c>
      <c r="CY536" s="27" t="s">
        <v>8</v>
      </c>
      <c r="CZ536" s="27" t="s">
        <v>7</v>
      </c>
      <c r="DG536" s="27" t="s">
        <v>8</v>
      </c>
      <c r="DH536" s="27" t="s">
        <v>7</v>
      </c>
      <c r="FM536" s="27" t="s">
        <v>8</v>
      </c>
      <c r="FN536" s="27" t="s">
        <v>7</v>
      </c>
      <c r="FO536" s="27" t="s">
        <v>8</v>
      </c>
      <c r="FP536" s="27" t="s">
        <v>7</v>
      </c>
      <c r="FQ536" s="27" t="s">
        <v>8</v>
      </c>
      <c r="FR536" s="27" t="s">
        <v>7</v>
      </c>
      <c r="FS536" s="27" t="s">
        <v>8</v>
      </c>
      <c r="FT536" s="27" t="s">
        <v>7</v>
      </c>
      <c r="FV536" s="27" t="s">
        <v>7</v>
      </c>
      <c r="GC536" s="27" t="s">
        <v>8</v>
      </c>
      <c r="GD536" s="27" t="s">
        <v>7</v>
      </c>
      <c r="GE536" s="27" t="s">
        <v>8</v>
      </c>
      <c r="GF536" s="27" t="s">
        <v>7</v>
      </c>
      <c r="HA536" s="27" t="s">
        <v>8</v>
      </c>
      <c r="HB536" s="27" t="s">
        <v>7</v>
      </c>
      <c r="HC536" s="27" t="s">
        <v>8</v>
      </c>
      <c r="HD536" s="27" t="s">
        <v>7</v>
      </c>
      <c r="HE536" s="27" t="s">
        <v>8</v>
      </c>
      <c r="HF536" s="27" t="s">
        <v>7</v>
      </c>
      <c r="HK536" s="27" t="s">
        <v>8</v>
      </c>
      <c r="HL536" s="27" t="s">
        <v>7</v>
      </c>
      <c r="HO536" s="27" t="s">
        <v>8</v>
      </c>
      <c r="HP536" s="27" t="s">
        <v>7</v>
      </c>
    </row>
    <row r="537" spans="1:230" x14ac:dyDescent="0.25">
      <c r="A537" s="7">
        <v>2.6915880290736074</v>
      </c>
      <c r="B537"/>
      <c r="C537"/>
      <c r="D537"/>
      <c r="E537"/>
      <c r="CQ537" s="27" t="s">
        <v>8</v>
      </c>
      <c r="CV537" s="27" t="s">
        <v>7</v>
      </c>
      <c r="CW537" s="27" t="s">
        <v>8</v>
      </c>
      <c r="CX537" s="27" t="s">
        <v>7</v>
      </c>
      <c r="CY537" s="27" t="s">
        <v>8</v>
      </c>
      <c r="CZ537" s="27" t="s">
        <v>7</v>
      </c>
      <c r="DG537" s="27" t="s">
        <v>8</v>
      </c>
      <c r="DH537" s="27" t="s">
        <v>7</v>
      </c>
      <c r="FM537" s="27" t="s">
        <v>8</v>
      </c>
      <c r="FN537" s="27" t="s">
        <v>7</v>
      </c>
      <c r="FO537" s="27" t="s">
        <v>8</v>
      </c>
      <c r="FP537" s="27" t="s">
        <v>7</v>
      </c>
      <c r="FQ537" s="27" t="s">
        <v>8</v>
      </c>
      <c r="FR537" s="27" t="s">
        <v>7</v>
      </c>
      <c r="FS537" s="27" t="s">
        <v>8</v>
      </c>
      <c r="FV537" s="27" t="s">
        <v>7</v>
      </c>
      <c r="GC537" s="27" t="s">
        <v>8</v>
      </c>
      <c r="GD537" s="27" t="s">
        <v>7</v>
      </c>
      <c r="GE537" s="27" t="s">
        <v>8</v>
      </c>
      <c r="GF537" s="27" t="s">
        <v>7</v>
      </c>
      <c r="GY537" s="27" t="s">
        <v>8</v>
      </c>
      <c r="HA537" s="27" t="s">
        <v>8</v>
      </c>
      <c r="HB537" s="27" t="s">
        <v>7</v>
      </c>
      <c r="HC537" s="27" t="s">
        <v>8</v>
      </c>
      <c r="HD537" s="27" t="s">
        <v>7</v>
      </c>
      <c r="HE537" s="27" t="s">
        <v>8</v>
      </c>
      <c r="HF537" s="27" t="s">
        <v>7</v>
      </c>
      <c r="HK537" s="27" t="s">
        <v>8</v>
      </c>
      <c r="HL537" s="27" t="s">
        <v>7</v>
      </c>
      <c r="HO537" s="27" t="s">
        <v>8</v>
      </c>
      <c r="HP537" s="27" t="s">
        <v>7</v>
      </c>
    </row>
    <row r="538" spans="1:230" x14ac:dyDescent="0.25">
      <c r="A538" s="7">
        <v>2.6388117932094191</v>
      </c>
      <c r="B538"/>
      <c r="C538"/>
      <c r="D538"/>
      <c r="E538"/>
      <c r="CQ538" s="27" t="s">
        <v>8</v>
      </c>
      <c r="CV538" s="27" t="s">
        <v>7</v>
      </c>
      <c r="CW538" s="27" t="s">
        <v>8</v>
      </c>
      <c r="CX538" s="27" t="s">
        <v>7</v>
      </c>
      <c r="CY538" s="27" t="s">
        <v>8</v>
      </c>
      <c r="CZ538" s="27" t="s">
        <v>7</v>
      </c>
      <c r="DA538" s="27" t="s">
        <v>8</v>
      </c>
      <c r="DG538" s="27" t="s">
        <v>8</v>
      </c>
      <c r="DH538" s="27" t="s">
        <v>7</v>
      </c>
      <c r="FM538" s="27" t="s">
        <v>8</v>
      </c>
      <c r="FN538" s="27" t="s">
        <v>7</v>
      </c>
      <c r="FP538" s="27" t="s">
        <v>7</v>
      </c>
      <c r="FQ538" s="27" t="s">
        <v>8</v>
      </c>
      <c r="FR538" s="27" t="s">
        <v>7</v>
      </c>
      <c r="FS538" s="27" t="s">
        <v>8</v>
      </c>
      <c r="FV538" s="27" t="s">
        <v>7</v>
      </c>
      <c r="GC538" s="27" t="s">
        <v>8</v>
      </c>
      <c r="GD538" s="27" t="s">
        <v>7</v>
      </c>
      <c r="GF538" s="27" t="s">
        <v>7</v>
      </c>
      <c r="GY538" s="27" t="s">
        <v>8</v>
      </c>
      <c r="GZ538" s="27" t="s">
        <v>7</v>
      </c>
      <c r="HA538" s="27" t="s">
        <v>8</v>
      </c>
      <c r="HB538" s="27" t="s">
        <v>7</v>
      </c>
      <c r="HC538" s="27" t="s">
        <v>8</v>
      </c>
      <c r="HD538" s="27" t="s">
        <v>7</v>
      </c>
      <c r="HE538" s="27" t="s">
        <v>8</v>
      </c>
      <c r="HF538" s="27" t="s">
        <v>7</v>
      </c>
      <c r="HK538" s="27" t="s">
        <v>8</v>
      </c>
      <c r="HL538" s="27" t="s">
        <v>7</v>
      </c>
      <c r="HO538" s="27" t="s">
        <v>8</v>
      </c>
      <c r="HP538" s="27" t="s">
        <v>7</v>
      </c>
    </row>
    <row r="539" spans="1:230" x14ac:dyDescent="0.25">
      <c r="A539" s="7">
        <v>2.5870703854994304</v>
      </c>
      <c r="B539"/>
      <c r="C539"/>
      <c r="D539"/>
      <c r="E539"/>
      <c r="CQ539" s="27" t="s">
        <v>8</v>
      </c>
      <c r="CV539" s="27" t="s">
        <v>7</v>
      </c>
      <c r="CW539" s="27" t="s">
        <v>8</v>
      </c>
      <c r="CX539" s="27" t="s">
        <v>7</v>
      </c>
      <c r="CY539" s="27" t="s">
        <v>8</v>
      </c>
      <c r="CZ539" s="27" t="s">
        <v>7</v>
      </c>
      <c r="DA539" s="27" t="s">
        <v>8</v>
      </c>
      <c r="DB539" s="27" t="s">
        <v>7</v>
      </c>
      <c r="DG539" s="27" t="s">
        <v>8</v>
      </c>
      <c r="DH539" s="27" t="s">
        <v>7</v>
      </c>
      <c r="FM539" s="27" t="s">
        <v>8</v>
      </c>
      <c r="FP539" s="27" t="s">
        <v>7</v>
      </c>
      <c r="FQ539" s="27" t="s">
        <v>8</v>
      </c>
      <c r="FR539" s="27" t="s">
        <v>7</v>
      </c>
      <c r="FS539" s="27" t="s">
        <v>8</v>
      </c>
      <c r="FV539" s="27" t="s">
        <v>7</v>
      </c>
      <c r="GC539" s="27" t="s">
        <v>8</v>
      </c>
      <c r="GF539" s="27" t="s">
        <v>7</v>
      </c>
      <c r="GY539" s="27" t="s">
        <v>8</v>
      </c>
      <c r="GZ539" s="27" t="s">
        <v>7</v>
      </c>
      <c r="HA539" s="27" t="s">
        <v>8</v>
      </c>
      <c r="HB539" s="27" t="s">
        <v>7</v>
      </c>
      <c r="HC539" s="27" t="s">
        <v>8</v>
      </c>
      <c r="HD539" s="27" t="s">
        <v>7</v>
      </c>
      <c r="HE539" s="27" t="s">
        <v>8</v>
      </c>
      <c r="HF539" s="27" t="s">
        <v>7</v>
      </c>
      <c r="HI539" s="27" t="s">
        <v>8</v>
      </c>
      <c r="HK539" s="27" t="s">
        <v>8</v>
      </c>
      <c r="HL539" s="27" t="s">
        <v>7</v>
      </c>
      <c r="HO539" s="27" t="s">
        <v>8</v>
      </c>
      <c r="HP539" s="27" t="s">
        <v>7</v>
      </c>
      <c r="HQ539" s="27" t="s">
        <v>8</v>
      </c>
    </row>
    <row r="540" spans="1:230" x14ac:dyDescent="0.25">
      <c r="A540" s="7">
        <v>2.53634351519552</v>
      </c>
      <c r="B540"/>
      <c r="C540"/>
      <c r="D540"/>
      <c r="E540"/>
      <c r="CQ540" s="27" t="s">
        <v>8</v>
      </c>
      <c r="CV540" s="27" t="s">
        <v>7</v>
      </c>
      <c r="CW540" s="27" t="s">
        <v>8</v>
      </c>
      <c r="CX540" s="27" t="s">
        <v>7</v>
      </c>
      <c r="CY540" s="27" t="s">
        <v>8</v>
      </c>
      <c r="CZ540" s="27" t="s">
        <v>7</v>
      </c>
      <c r="DA540" s="27" t="s">
        <v>8</v>
      </c>
      <c r="DB540" s="27" t="s">
        <v>7</v>
      </c>
      <c r="DG540" s="27" t="s">
        <v>8</v>
      </c>
      <c r="DH540" s="27" t="s">
        <v>7</v>
      </c>
      <c r="DI540" s="27" t="s">
        <v>8</v>
      </c>
      <c r="FM540" s="27" t="s">
        <v>8</v>
      </c>
      <c r="FP540" s="27" t="s">
        <v>7</v>
      </c>
      <c r="FQ540" s="27" t="s">
        <v>8</v>
      </c>
      <c r="FR540" s="27" t="s">
        <v>7</v>
      </c>
      <c r="FS540" s="27" t="s">
        <v>8</v>
      </c>
      <c r="FV540" s="27" t="s">
        <v>7</v>
      </c>
      <c r="FW540" s="27" t="s">
        <v>8</v>
      </c>
      <c r="GC540" s="27" t="s">
        <v>8</v>
      </c>
      <c r="GF540" s="27" t="s">
        <v>7</v>
      </c>
      <c r="GM540" s="27" t="s">
        <v>8</v>
      </c>
      <c r="GY540" s="27" t="s">
        <v>8</v>
      </c>
      <c r="GZ540" s="27" t="s">
        <v>7</v>
      </c>
      <c r="HA540" s="27" t="s">
        <v>8</v>
      </c>
      <c r="HB540" s="27" t="s">
        <v>7</v>
      </c>
      <c r="HC540" s="27" t="s">
        <v>8</v>
      </c>
      <c r="HD540" s="27" t="s">
        <v>7</v>
      </c>
      <c r="HE540" s="27" t="s">
        <v>8</v>
      </c>
      <c r="HF540" s="27" t="s">
        <v>7</v>
      </c>
      <c r="HI540" s="27" t="s">
        <v>8</v>
      </c>
      <c r="HJ540" s="27" t="s">
        <v>7</v>
      </c>
      <c r="HK540" s="27" t="s">
        <v>8</v>
      </c>
      <c r="HL540" s="27" t="s">
        <v>7</v>
      </c>
      <c r="HO540" s="27" t="s">
        <v>8</v>
      </c>
      <c r="HP540" s="27" t="s">
        <v>7</v>
      </c>
      <c r="HQ540" s="27" t="s">
        <v>8</v>
      </c>
      <c r="HR540" s="27" t="s">
        <v>7</v>
      </c>
      <c r="HS540" s="27" t="s">
        <v>8</v>
      </c>
      <c r="HU540" s="27" t="s">
        <v>8</v>
      </c>
    </row>
    <row r="541" spans="1:230" x14ac:dyDescent="0.25">
      <c r="A541" s="7">
        <v>2.4866112894073726</v>
      </c>
      <c r="B541"/>
      <c r="C541"/>
      <c r="D541"/>
      <c r="E541"/>
      <c r="CQ541" s="27" t="s">
        <v>8</v>
      </c>
      <c r="CV541" s="27" t="s">
        <v>7</v>
      </c>
      <c r="CW541" s="27" t="s">
        <v>8</v>
      </c>
      <c r="CX541" s="27" t="s">
        <v>7</v>
      </c>
      <c r="CY541" s="27" t="s">
        <v>8</v>
      </c>
      <c r="CZ541" s="27" t="s">
        <v>7</v>
      </c>
      <c r="DA541" s="27" t="s">
        <v>8</v>
      </c>
      <c r="DB541" s="27" t="s">
        <v>7</v>
      </c>
      <c r="DC541" s="27" t="s">
        <v>8</v>
      </c>
      <c r="DG541" s="27" t="s">
        <v>8</v>
      </c>
      <c r="DH541" s="27" t="s">
        <v>7</v>
      </c>
      <c r="DI541" s="27" t="s">
        <v>8</v>
      </c>
      <c r="DJ541" s="27" t="s">
        <v>7</v>
      </c>
      <c r="FM541" s="27" t="s">
        <v>8</v>
      </c>
      <c r="FP541" s="27" t="s">
        <v>7</v>
      </c>
      <c r="FQ541" s="27" t="s">
        <v>8</v>
      </c>
      <c r="FR541" s="27" t="s">
        <v>7</v>
      </c>
      <c r="FS541" s="27" t="s">
        <v>8</v>
      </c>
      <c r="FV541" s="27" t="s">
        <v>7</v>
      </c>
      <c r="FW541" s="27" t="s">
        <v>8</v>
      </c>
      <c r="FX541" s="27" t="s">
        <v>7</v>
      </c>
      <c r="GC541" s="27" t="s">
        <v>8</v>
      </c>
      <c r="GF541" s="27" t="s">
        <v>7</v>
      </c>
      <c r="GM541" s="27" t="s">
        <v>8</v>
      </c>
      <c r="GN541" s="27" t="s">
        <v>7</v>
      </c>
      <c r="GY541" s="27" t="s">
        <v>8</v>
      </c>
      <c r="GZ541" s="27" t="s">
        <v>7</v>
      </c>
      <c r="HA541" s="27" t="s">
        <v>8</v>
      </c>
      <c r="HB541" s="27" t="s">
        <v>7</v>
      </c>
      <c r="HD541" s="27" t="s">
        <v>7</v>
      </c>
      <c r="HF541" s="27" t="s">
        <v>7</v>
      </c>
      <c r="HI541" s="27" t="s">
        <v>8</v>
      </c>
      <c r="HJ541" s="27" t="s">
        <v>7</v>
      </c>
      <c r="HK541" s="27" t="s">
        <v>8</v>
      </c>
      <c r="HL541" s="27" t="s">
        <v>7</v>
      </c>
      <c r="HO541" s="27" t="s">
        <v>8</v>
      </c>
      <c r="HP541" s="27" t="s">
        <v>7</v>
      </c>
      <c r="HQ541" s="27" t="s">
        <v>8</v>
      </c>
      <c r="HR541" s="27" t="s">
        <v>7</v>
      </c>
      <c r="HS541" s="27" t="s">
        <v>8</v>
      </c>
      <c r="HT541" s="27" t="s">
        <v>7</v>
      </c>
      <c r="HU541" s="27" t="s">
        <v>8</v>
      </c>
      <c r="HV541" s="27" t="s">
        <v>7</v>
      </c>
    </row>
    <row r="542" spans="1:230" x14ac:dyDescent="0.25">
      <c r="A542" s="7">
        <v>2.4378542053013459</v>
      </c>
      <c r="B542"/>
      <c r="C542"/>
      <c r="D542"/>
      <c r="E542"/>
      <c r="CQ542" s="27" t="s">
        <v>8</v>
      </c>
      <c r="CV542" s="27" t="s">
        <v>7</v>
      </c>
      <c r="CW542" s="27" t="s">
        <v>8</v>
      </c>
      <c r="CX542" s="27" t="s">
        <v>7</v>
      </c>
      <c r="CY542" s="27" t="s">
        <v>8</v>
      </c>
      <c r="CZ542" s="27" t="s">
        <v>7</v>
      </c>
      <c r="DA542" s="27" t="s">
        <v>8</v>
      </c>
      <c r="DB542" s="27" t="s">
        <v>7</v>
      </c>
      <c r="DC542" s="27" t="s">
        <v>8</v>
      </c>
      <c r="DD542" s="27" t="s">
        <v>7</v>
      </c>
      <c r="DG542" s="27" t="s">
        <v>8</v>
      </c>
      <c r="DH542" s="27" t="s">
        <v>7</v>
      </c>
      <c r="DI542" s="27" t="s">
        <v>8</v>
      </c>
      <c r="DJ542" s="27" t="s">
        <v>7</v>
      </c>
      <c r="FM542" s="27" t="s">
        <v>8</v>
      </c>
      <c r="FP542" s="27" t="s">
        <v>7</v>
      </c>
      <c r="FQ542" s="27" t="s">
        <v>8</v>
      </c>
      <c r="FR542" s="27" t="s">
        <v>7</v>
      </c>
      <c r="FS542" s="27" t="s">
        <v>8</v>
      </c>
      <c r="FV542" s="27" t="s">
        <v>7</v>
      </c>
      <c r="FW542" s="27" t="s">
        <v>8</v>
      </c>
      <c r="FX542" s="27" t="s">
        <v>7</v>
      </c>
      <c r="GC542" s="27" t="s">
        <v>8</v>
      </c>
      <c r="GF542" s="27" t="s">
        <v>7</v>
      </c>
      <c r="GM542" s="27" t="s">
        <v>8</v>
      </c>
      <c r="GN542" s="27" t="s">
        <v>7</v>
      </c>
      <c r="GY542" s="27" t="s">
        <v>8</v>
      </c>
      <c r="GZ542" s="27" t="s">
        <v>7</v>
      </c>
      <c r="HA542" s="27" t="s">
        <v>8</v>
      </c>
      <c r="HF542" s="27" t="s">
        <v>7</v>
      </c>
      <c r="HI542" s="27" t="s">
        <v>8</v>
      </c>
      <c r="HJ542" s="27" t="s">
        <v>7</v>
      </c>
      <c r="HK542" s="27" t="s">
        <v>8</v>
      </c>
      <c r="HL542" s="27" t="s">
        <v>7</v>
      </c>
      <c r="HO542" s="27" t="s">
        <v>8</v>
      </c>
      <c r="HP542" s="27" t="s">
        <v>7</v>
      </c>
      <c r="HQ542" s="27" t="s">
        <v>8</v>
      </c>
      <c r="HR542" s="27" t="s">
        <v>7</v>
      </c>
      <c r="HS542" s="27" t="s">
        <v>8</v>
      </c>
      <c r="HT542" s="27" t="s">
        <v>7</v>
      </c>
      <c r="HU542" s="27" t="s">
        <v>8</v>
      </c>
      <c r="HV542" s="27" t="s">
        <v>7</v>
      </c>
    </row>
    <row r="543" spans="1:230" x14ac:dyDescent="0.25">
      <c r="A543" s="7">
        <v>2.3900531424522997</v>
      </c>
      <c r="B543"/>
      <c r="C543"/>
      <c r="D543"/>
      <c r="E543"/>
      <c r="CQ543" s="27" t="s">
        <v>8</v>
      </c>
      <c r="CV543" s="27" t="s">
        <v>7</v>
      </c>
      <c r="CW543" s="27" t="s">
        <v>8</v>
      </c>
      <c r="CX543" s="27" t="s">
        <v>7</v>
      </c>
      <c r="CY543" s="27" t="s">
        <v>8</v>
      </c>
      <c r="CZ543" s="27" t="s">
        <v>7</v>
      </c>
      <c r="DB543" s="27" t="s">
        <v>7</v>
      </c>
      <c r="DC543" s="27" t="s">
        <v>8</v>
      </c>
      <c r="DD543" s="27" t="s">
        <v>7</v>
      </c>
      <c r="DE543" s="27" t="s">
        <v>8</v>
      </c>
      <c r="DG543" s="27" t="s">
        <v>8</v>
      </c>
      <c r="DH543" s="27" t="s">
        <v>7</v>
      </c>
      <c r="DI543" s="27" t="s">
        <v>8</v>
      </c>
      <c r="DJ543" s="27" t="s">
        <v>7</v>
      </c>
      <c r="FM543" s="27" t="s">
        <v>8</v>
      </c>
      <c r="FP543" s="27" t="s">
        <v>7</v>
      </c>
      <c r="FQ543" s="27" t="s">
        <v>8</v>
      </c>
      <c r="FR543" s="27" t="s">
        <v>7</v>
      </c>
      <c r="FV543" s="27" t="s">
        <v>7</v>
      </c>
      <c r="FW543" s="27" t="s">
        <v>8</v>
      </c>
      <c r="FX543" s="27" t="s">
        <v>7</v>
      </c>
      <c r="FY543" s="27" t="s">
        <v>8</v>
      </c>
      <c r="GC543" s="27" t="s">
        <v>8</v>
      </c>
      <c r="GF543" s="27" t="s">
        <v>7</v>
      </c>
      <c r="GG543" s="27" t="s">
        <v>8</v>
      </c>
      <c r="GM543" s="27" t="s">
        <v>8</v>
      </c>
      <c r="GN543" s="27" t="s">
        <v>7</v>
      </c>
      <c r="GW543" s="27" t="s">
        <v>8</v>
      </c>
      <c r="GY543" s="27" t="s">
        <v>8</v>
      </c>
      <c r="GZ543" s="27" t="s">
        <v>7</v>
      </c>
      <c r="HA543" s="27" t="s">
        <v>8</v>
      </c>
      <c r="HF543" s="27" t="s">
        <v>7</v>
      </c>
      <c r="HG543" s="27" t="s">
        <v>8</v>
      </c>
      <c r="HI543" s="27" t="s">
        <v>8</v>
      </c>
      <c r="HJ543" s="27" t="s">
        <v>7</v>
      </c>
      <c r="HK543" s="27" t="s">
        <v>8</v>
      </c>
      <c r="HL543" s="27" t="s">
        <v>7</v>
      </c>
      <c r="HO543" s="27" t="s">
        <v>8</v>
      </c>
      <c r="HP543" s="27" t="s">
        <v>7</v>
      </c>
      <c r="HQ543" s="27" t="s">
        <v>8</v>
      </c>
      <c r="HR543" s="27" t="s">
        <v>7</v>
      </c>
      <c r="HS543" s="27" t="s">
        <v>8</v>
      </c>
      <c r="HT543" s="27" t="s">
        <v>7</v>
      </c>
      <c r="HU543" s="27" t="s">
        <v>8</v>
      </c>
      <c r="HV543" s="27" t="s">
        <v>7</v>
      </c>
    </row>
    <row r="544" spans="1:230" x14ac:dyDescent="0.25">
      <c r="A544" s="7">
        <v>2.343189355345392</v>
      </c>
      <c r="B544"/>
      <c r="C544"/>
      <c r="D544"/>
      <c r="E544"/>
      <c r="CQ544" s="27" t="s">
        <v>8</v>
      </c>
      <c r="CV544" s="27" t="s">
        <v>7</v>
      </c>
      <c r="CW544" s="27" t="s">
        <v>8</v>
      </c>
      <c r="CX544" s="27" t="s">
        <v>7</v>
      </c>
      <c r="CY544" s="27" t="s">
        <v>8</v>
      </c>
      <c r="DB544" s="27" t="s">
        <v>7</v>
      </c>
      <c r="DC544" s="27" t="s">
        <v>8</v>
      </c>
      <c r="DD544" s="27" t="s">
        <v>7</v>
      </c>
      <c r="DE544" s="27" t="s">
        <v>8</v>
      </c>
      <c r="DF544" s="27" t="s">
        <v>7</v>
      </c>
      <c r="DG544" s="27" t="s">
        <v>8</v>
      </c>
      <c r="DH544" s="27" t="s">
        <v>7</v>
      </c>
      <c r="DI544" s="27" t="s">
        <v>8</v>
      </c>
      <c r="DJ544" s="27" t="s">
        <v>7</v>
      </c>
      <c r="DO544" s="27" t="s">
        <v>8</v>
      </c>
      <c r="FM544" s="27" t="s">
        <v>8</v>
      </c>
      <c r="FP544" s="27" t="s">
        <v>7</v>
      </c>
      <c r="FQ544" s="27" t="s">
        <v>8</v>
      </c>
      <c r="FV544" s="27" t="s">
        <v>7</v>
      </c>
      <c r="FW544" s="27" t="s">
        <v>8</v>
      </c>
      <c r="FX544" s="27" t="s">
        <v>7</v>
      </c>
      <c r="FY544" s="27" t="s">
        <v>8</v>
      </c>
      <c r="FZ544" s="27" t="s">
        <v>7</v>
      </c>
      <c r="GC544" s="27" t="s">
        <v>8</v>
      </c>
      <c r="GF544" s="27" t="s">
        <v>7</v>
      </c>
      <c r="GG544" s="27" t="s">
        <v>8</v>
      </c>
      <c r="GH544" s="27" t="s">
        <v>7</v>
      </c>
      <c r="GM544" s="27" t="s">
        <v>8</v>
      </c>
      <c r="GN544" s="27" t="s">
        <v>7</v>
      </c>
      <c r="GW544" s="27" t="s">
        <v>8</v>
      </c>
      <c r="GX544" s="27" t="s">
        <v>7</v>
      </c>
      <c r="GY544" s="27" t="s">
        <v>8</v>
      </c>
      <c r="GZ544" s="27" t="s">
        <v>7</v>
      </c>
      <c r="HA544" s="27" t="s">
        <v>8</v>
      </c>
      <c r="HF544" s="27" t="s">
        <v>7</v>
      </c>
      <c r="HG544" s="27" t="s">
        <v>8</v>
      </c>
      <c r="HH544" s="27" t="s">
        <v>7</v>
      </c>
      <c r="HI544" s="27" t="s">
        <v>8</v>
      </c>
      <c r="HJ544" s="27" t="s">
        <v>7</v>
      </c>
      <c r="HK544" s="27" t="s">
        <v>8</v>
      </c>
      <c r="HL544" s="27" t="s">
        <v>7</v>
      </c>
      <c r="HM544" s="27" t="s">
        <v>8</v>
      </c>
      <c r="HO544" s="27" t="s">
        <v>8</v>
      </c>
      <c r="HP544" s="27" t="s">
        <v>7</v>
      </c>
      <c r="HQ544" s="27" t="s">
        <v>8</v>
      </c>
      <c r="HR544" s="27" t="s">
        <v>7</v>
      </c>
      <c r="HS544" s="27" t="s">
        <v>8</v>
      </c>
      <c r="HT544" s="27" t="s">
        <v>7</v>
      </c>
      <c r="HU544" s="27" t="s">
        <v>8</v>
      </c>
      <c r="HV544" s="27" t="s">
        <v>7</v>
      </c>
    </row>
    <row r="545" spans="1:244" x14ac:dyDescent="0.25">
      <c r="A545" s="7">
        <v>2.2972444660248938</v>
      </c>
      <c r="B545"/>
      <c r="C545"/>
      <c r="D545"/>
      <c r="E545"/>
      <c r="CQ545" s="27" t="s">
        <v>8</v>
      </c>
      <c r="CV545" s="27" t="s">
        <v>7</v>
      </c>
      <c r="CW545" s="27" t="s">
        <v>8</v>
      </c>
      <c r="CX545" s="27" t="s">
        <v>7</v>
      </c>
      <c r="CY545" s="27" t="s">
        <v>8</v>
      </c>
      <c r="DB545" s="27" t="s">
        <v>7</v>
      </c>
      <c r="DC545" s="27" t="s">
        <v>8</v>
      </c>
      <c r="DD545" s="27" t="s">
        <v>7</v>
      </c>
      <c r="DE545" s="27" t="s">
        <v>8</v>
      </c>
      <c r="DF545" s="27" t="s">
        <v>7</v>
      </c>
      <c r="DG545" s="27" t="s">
        <v>8</v>
      </c>
      <c r="DH545" s="27" t="s">
        <v>7</v>
      </c>
      <c r="DI545" s="27" t="s">
        <v>8</v>
      </c>
      <c r="DJ545" s="27" t="s">
        <v>7</v>
      </c>
      <c r="DO545" s="27" t="s">
        <v>8</v>
      </c>
      <c r="DP545" s="27" t="s">
        <v>7</v>
      </c>
      <c r="FM545" s="27" t="s">
        <v>8</v>
      </c>
      <c r="FP545" s="27" t="s">
        <v>7</v>
      </c>
      <c r="FQ545" s="27" t="s">
        <v>8</v>
      </c>
      <c r="FV545" s="27" t="s">
        <v>7</v>
      </c>
      <c r="FW545" s="27" t="s">
        <v>8</v>
      </c>
      <c r="FX545" s="27" t="s">
        <v>7</v>
      </c>
      <c r="FY545" s="27" t="s">
        <v>8</v>
      </c>
      <c r="FZ545" s="27" t="s">
        <v>7</v>
      </c>
      <c r="GC545" s="27" t="s">
        <v>8</v>
      </c>
      <c r="GF545" s="27" t="s">
        <v>7</v>
      </c>
      <c r="GG545" s="27" t="s">
        <v>8</v>
      </c>
      <c r="GH545" s="27" t="s">
        <v>7</v>
      </c>
      <c r="GM545" s="27" t="s">
        <v>8</v>
      </c>
      <c r="GN545" s="27" t="s">
        <v>7</v>
      </c>
      <c r="GW545" s="27" t="s">
        <v>8</v>
      </c>
      <c r="GX545" s="27" t="s">
        <v>7</v>
      </c>
      <c r="GY545" s="27" t="s">
        <v>8</v>
      </c>
      <c r="GZ545" s="27" t="s">
        <v>7</v>
      </c>
      <c r="HA545" s="27" t="s">
        <v>8</v>
      </c>
      <c r="HF545" s="27" t="s">
        <v>7</v>
      </c>
      <c r="HG545" s="27" t="s">
        <v>8</v>
      </c>
      <c r="HH545" s="27" t="s">
        <v>7</v>
      </c>
      <c r="HI545" s="27" t="s">
        <v>8</v>
      </c>
      <c r="HJ545" s="27" t="s">
        <v>7</v>
      </c>
      <c r="HK545" s="27" t="s">
        <v>8</v>
      </c>
      <c r="HL545" s="27" t="s">
        <v>7</v>
      </c>
      <c r="HM545" s="27" t="s">
        <v>8</v>
      </c>
      <c r="HN545" s="27" t="s">
        <v>7</v>
      </c>
      <c r="HO545" s="27" t="s">
        <v>8</v>
      </c>
      <c r="HP545" s="27" t="s">
        <v>7</v>
      </c>
      <c r="HQ545" s="27" t="s">
        <v>8</v>
      </c>
      <c r="HR545" s="27" t="s">
        <v>7</v>
      </c>
      <c r="HS545" s="27" t="s">
        <v>8</v>
      </c>
      <c r="HT545" s="27" t="s">
        <v>7</v>
      </c>
      <c r="HV545" s="27" t="s">
        <v>7</v>
      </c>
    </row>
    <row r="546" spans="1:244" x14ac:dyDescent="0.25">
      <c r="A546" s="7">
        <v>2.252200456887151</v>
      </c>
      <c r="B546"/>
      <c r="C546"/>
      <c r="D546"/>
      <c r="E546"/>
      <c r="CQ546" s="27" t="s">
        <v>8</v>
      </c>
      <c r="CV546" s="27" t="s">
        <v>7</v>
      </c>
      <c r="CW546" s="27" t="s">
        <v>8</v>
      </c>
      <c r="CX546" s="27" t="s">
        <v>7</v>
      </c>
      <c r="CY546" s="27" t="s">
        <v>8</v>
      </c>
      <c r="DB546" s="27" t="s">
        <v>7</v>
      </c>
      <c r="DC546" s="27" t="s">
        <v>8</v>
      </c>
      <c r="DD546" s="27" t="s">
        <v>7</v>
      </c>
      <c r="DE546" s="27" t="s">
        <v>8</v>
      </c>
      <c r="DF546" s="27" t="s">
        <v>7</v>
      </c>
      <c r="DG546" s="27" t="s">
        <v>8</v>
      </c>
      <c r="DH546" s="27" t="s">
        <v>7</v>
      </c>
      <c r="DI546" s="27" t="s">
        <v>8</v>
      </c>
      <c r="DJ546" s="27" t="s">
        <v>7</v>
      </c>
      <c r="DO546" s="27" t="s">
        <v>8</v>
      </c>
      <c r="DP546" s="27" t="s">
        <v>7</v>
      </c>
      <c r="FM546" s="27" t="s">
        <v>8</v>
      </c>
      <c r="FP546" s="27" t="s">
        <v>7</v>
      </c>
      <c r="FV546" s="27" t="s">
        <v>7</v>
      </c>
      <c r="FW546" s="27" t="s">
        <v>8</v>
      </c>
      <c r="FX546" s="27" t="s">
        <v>7</v>
      </c>
      <c r="FY546" s="27" t="s">
        <v>8</v>
      </c>
      <c r="FZ546" s="27" t="s">
        <v>7</v>
      </c>
      <c r="GA546" s="27" t="s">
        <v>8</v>
      </c>
      <c r="GC546" s="27" t="s">
        <v>8</v>
      </c>
      <c r="GF546" s="27" t="s">
        <v>7</v>
      </c>
      <c r="GG546" s="27" t="s">
        <v>8</v>
      </c>
      <c r="GH546" s="27" t="s">
        <v>7</v>
      </c>
      <c r="GM546" s="27" t="s">
        <v>8</v>
      </c>
      <c r="GN546" s="27" t="s">
        <v>7</v>
      </c>
      <c r="GW546" s="27" t="s">
        <v>8</v>
      </c>
      <c r="GX546" s="27" t="s">
        <v>7</v>
      </c>
      <c r="GY546" s="27" t="s">
        <v>8</v>
      </c>
      <c r="GZ546" s="27" t="s">
        <v>7</v>
      </c>
      <c r="HA546" s="27" t="s">
        <v>8</v>
      </c>
      <c r="HF546" s="27" t="s">
        <v>7</v>
      </c>
      <c r="HG546" s="27" t="s">
        <v>8</v>
      </c>
      <c r="HH546" s="27" t="s">
        <v>7</v>
      </c>
      <c r="HI546" s="27" t="s">
        <v>8</v>
      </c>
      <c r="HJ546" s="27" t="s">
        <v>7</v>
      </c>
      <c r="HK546" s="27" t="s">
        <v>8</v>
      </c>
      <c r="HL546" s="27" t="s">
        <v>7</v>
      </c>
      <c r="HM546" s="27" t="s">
        <v>8</v>
      </c>
      <c r="HN546" s="27" t="s">
        <v>7</v>
      </c>
      <c r="HO546" s="27" t="s">
        <v>8</v>
      </c>
      <c r="HP546" s="27" t="s">
        <v>7</v>
      </c>
      <c r="HQ546" s="27" t="s">
        <v>8</v>
      </c>
      <c r="HR546" s="27" t="s">
        <v>7</v>
      </c>
      <c r="HV546" s="27" t="s">
        <v>7</v>
      </c>
    </row>
    <row r="547" spans="1:244" x14ac:dyDescent="0.25">
      <c r="A547" s="7">
        <v>2.208039663614854</v>
      </c>
      <c r="B547"/>
      <c r="C547"/>
      <c r="D547"/>
      <c r="E547"/>
      <c r="CQ547" s="27" t="s">
        <v>8</v>
      </c>
      <c r="CV547" s="27" t="s">
        <v>7</v>
      </c>
      <c r="CW547" s="27" t="s">
        <v>8</v>
      </c>
      <c r="CX547" s="27" t="s">
        <v>7</v>
      </c>
      <c r="DB547" s="27" t="s">
        <v>7</v>
      </c>
      <c r="DC547" s="27" t="s">
        <v>8</v>
      </c>
      <c r="DD547" s="27" t="s">
        <v>7</v>
      </c>
      <c r="DE547" s="27" t="s">
        <v>8</v>
      </c>
      <c r="DF547" s="27" t="s">
        <v>7</v>
      </c>
      <c r="DH547" s="27" t="s">
        <v>7</v>
      </c>
      <c r="DJ547" s="27" t="s">
        <v>7</v>
      </c>
      <c r="DO547" s="27" t="s">
        <v>8</v>
      </c>
      <c r="DP547" s="27" t="s">
        <v>7</v>
      </c>
      <c r="FM547" s="27" t="s">
        <v>8</v>
      </c>
      <c r="FV547" s="27" t="s">
        <v>7</v>
      </c>
      <c r="FW547" s="27" t="s">
        <v>8</v>
      </c>
      <c r="FX547" s="27" t="s">
        <v>7</v>
      </c>
      <c r="FY547" s="27" t="s">
        <v>8</v>
      </c>
      <c r="FZ547" s="27" t="s">
        <v>7</v>
      </c>
      <c r="GA547" s="27" t="s">
        <v>8</v>
      </c>
      <c r="GB547" s="27" t="s">
        <v>7</v>
      </c>
      <c r="GC547" s="27" t="s">
        <v>8</v>
      </c>
      <c r="GF547" s="27" t="s">
        <v>7</v>
      </c>
      <c r="GG547" s="27" t="s">
        <v>8</v>
      </c>
      <c r="GH547" s="27" t="s">
        <v>7</v>
      </c>
      <c r="GM547" s="27" t="s">
        <v>8</v>
      </c>
      <c r="GN547" s="27" t="s">
        <v>7</v>
      </c>
      <c r="GO547" s="27" t="s">
        <v>8</v>
      </c>
      <c r="GW547" s="27" t="s">
        <v>8</v>
      </c>
      <c r="GX547" s="27" t="s">
        <v>7</v>
      </c>
      <c r="GY547" s="27" t="s">
        <v>8</v>
      </c>
      <c r="GZ547" s="27" t="s">
        <v>7</v>
      </c>
      <c r="HA547" s="27" t="s">
        <v>8</v>
      </c>
      <c r="HF547" s="27" t="s">
        <v>7</v>
      </c>
      <c r="HH547" s="27" t="s">
        <v>7</v>
      </c>
      <c r="HJ547" s="27" t="s">
        <v>7</v>
      </c>
      <c r="HK547" s="27" t="s">
        <v>8</v>
      </c>
      <c r="HL547" s="27" t="s">
        <v>7</v>
      </c>
      <c r="HM547" s="27" t="s">
        <v>8</v>
      </c>
      <c r="HN547" s="27" t="s">
        <v>7</v>
      </c>
      <c r="HO547" s="27" t="s">
        <v>8</v>
      </c>
      <c r="HP547" s="27" t="s">
        <v>7</v>
      </c>
      <c r="HQ547" s="27" t="s">
        <v>8</v>
      </c>
      <c r="HV547" s="27" t="s">
        <v>7</v>
      </c>
    </row>
    <row r="548" spans="1:244" x14ac:dyDescent="0.25">
      <c r="A548" s="7">
        <v>2.1647447682498568</v>
      </c>
      <c r="B548"/>
      <c r="C548"/>
      <c r="D548"/>
      <c r="E548"/>
      <c r="CQ548" s="27" t="s">
        <v>8</v>
      </c>
      <c r="CV548" s="27" t="s">
        <v>7</v>
      </c>
      <c r="CW548" s="27" t="s">
        <v>8</v>
      </c>
      <c r="DB548" s="27" t="s">
        <v>7</v>
      </c>
      <c r="DC548" s="27" t="s">
        <v>8</v>
      </c>
      <c r="DD548" s="27" t="s">
        <v>7</v>
      </c>
      <c r="DE548" s="27" t="s">
        <v>8</v>
      </c>
      <c r="DJ548" s="27" t="s">
        <v>7</v>
      </c>
      <c r="DK548" s="27" t="s">
        <v>8</v>
      </c>
      <c r="DO548" s="27" t="s">
        <v>8</v>
      </c>
      <c r="DP548" s="27" t="s">
        <v>7</v>
      </c>
      <c r="FM548" s="27" t="s">
        <v>8</v>
      </c>
      <c r="FV548" s="27" t="s">
        <v>7</v>
      </c>
      <c r="FW548" s="27" t="s">
        <v>8</v>
      </c>
      <c r="FX548" s="27" t="s">
        <v>7</v>
      </c>
      <c r="FZ548" s="27" t="s">
        <v>7</v>
      </c>
      <c r="GA548" s="27" t="s">
        <v>8</v>
      </c>
      <c r="GB548" s="27" t="s">
        <v>7</v>
      </c>
      <c r="GC548" s="27" t="s">
        <v>8</v>
      </c>
      <c r="GF548" s="27" t="s">
        <v>7</v>
      </c>
      <c r="GG548" s="27" t="s">
        <v>8</v>
      </c>
      <c r="GH548" s="27" t="s">
        <v>7</v>
      </c>
      <c r="GI548" s="27" t="s">
        <v>8</v>
      </c>
      <c r="GK548" s="27" t="s">
        <v>8</v>
      </c>
      <c r="GM548" s="27" t="s">
        <v>8</v>
      </c>
      <c r="GN548" s="27" t="s">
        <v>7</v>
      </c>
      <c r="GO548" s="27" t="s">
        <v>8</v>
      </c>
      <c r="GP548" s="27" t="s">
        <v>7</v>
      </c>
      <c r="GS548" s="27" t="s">
        <v>8</v>
      </c>
      <c r="GW548" s="27" t="s">
        <v>8</v>
      </c>
      <c r="GX548" s="27" t="s">
        <v>7</v>
      </c>
      <c r="GY548" s="27" t="s">
        <v>8</v>
      </c>
      <c r="GZ548" s="27" t="s">
        <v>7</v>
      </c>
      <c r="HA548" s="27" t="s">
        <v>8</v>
      </c>
      <c r="HJ548" s="27" t="s">
        <v>7</v>
      </c>
      <c r="HK548" s="27" t="s">
        <v>8</v>
      </c>
      <c r="HL548" s="27" t="s">
        <v>7</v>
      </c>
      <c r="HM548" s="27" t="s">
        <v>8</v>
      </c>
      <c r="HN548" s="27" t="s">
        <v>7</v>
      </c>
      <c r="HO548" s="27" t="s">
        <v>8</v>
      </c>
      <c r="HP548" s="27" t="s">
        <v>7</v>
      </c>
      <c r="HV548" s="27" t="s">
        <v>7</v>
      </c>
    </row>
    <row r="549" spans="1:244" x14ac:dyDescent="0.25">
      <c r="A549" s="7">
        <v>2.1222987924018204</v>
      </c>
      <c r="B549"/>
      <c r="C549"/>
      <c r="D549"/>
      <c r="E549"/>
      <c r="CQ549" s="27" t="s">
        <v>8</v>
      </c>
      <c r="CV549" s="27" t="s">
        <v>7</v>
      </c>
      <c r="DB549" s="27" t="s">
        <v>7</v>
      </c>
      <c r="DC549" s="27" t="s">
        <v>8</v>
      </c>
      <c r="DD549" s="27" t="s">
        <v>7</v>
      </c>
      <c r="DJ549" s="27" t="s">
        <v>7</v>
      </c>
      <c r="DK549" s="27" t="s">
        <v>8</v>
      </c>
      <c r="DL549" s="27" t="s">
        <v>7</v>
      </c>
      <c r="DO549" s="27" t="s">
        <v>8</v>
      </c>
      <c r="DP549" s="27" t="s">
        <v>7</v>
      </c>
      <c r="FM549" s="27" t="s">
        <v>8</v>
      </c>
      <c r="FV549" s="27" t="s">
        <v>7</v>
      </c>
      <c r="FW549" s="27" t="s">
        <v>8</v>
      </c>
      <c r="FZ549" s="27" t="s">
        <v>7</v>
      </c>
      <c r="GA549" s="27" t="s">
        <v>8</v>
      </c>
      <c r="GB549" s="27" t="s">
        <v>7</v>
      </c>
      <c r="GF549" s="27" t="s">
        <v>7</v>
      </c>
      <c r="GG549" s="27" t="s">
        <v>8</v>
      </c>
      <c r="GH549" s="27" t="s">
        <v>7</v>
      </c>
      <c r="GI549" s="27" t="s">
        <v>8</v>
      </c>
      <c r="GJ549" s="27" t="s">
        <v>7</v>
      </c>
      <c r="GK549" s="27" t="s">
        <v>8</v>
      </c>
      <c r="GL549" s="27" t="s">
        <v>7</v>
      </c>
      <c r="GM549" s="27" t="s">
        <v>8</v>
      </c>
      <c r="GN549" s="27" t="s">
        <v>7</v>
      </c>
      <c r="GO549" s="27" t="s">
        <v>8</v>
      </c>
      <c r="GP549" s="27" t="s">
        <v>7</v>
      </c>
      <c r="GQ549" s="27" t="s">
        <v>8</v>
      </c>
      <c r="GS549" s="27" t="s">
        <v>8</v>
      </c>
      <c r="GT549" s="27" t="s">
        <v>7</v>
      </c>
      <c r="GW549" s="27" t="s">
        <v>8</v>
      </c>
      <c r="GX549" s="27" t="s">
        <v>7</v>
      </c>
      <c r="GY549" s="27" t="s">
        <v>8</v>
      </c>
      <c r="GZ549" s="27" t="s">
        <v>7</v>
      </c>
      <c r="HJ549" s="27" t="s">
        <v>7</v>
      </c>
      <c r="HK549" s="27" t="s">
        <v>8</v>
      </c>
      <c r="HL549" s="27" t="s">
        <v>7</v>
      </c>
      <c r="HM549" s="27" t="s">
        <v>8</v>
      </c>
      <c r="HN549" s="27" t="s">
        <v>7</v>
      </c>
      <c r="HO549" s="27" t="s">
        <v>8</v>
      </c>
      <c r="HV549" s="27" t="s">
        <v>7</v>
      </c>
      <c r="II549" s="27" t="s">
        <v>8</v>
      </c>
    </row>
    <row r="550" spans="1:244" x14ac:dyDescent="0.25">
      <c r="A550" s="7">
        <v>2.0806850905900198</v>
      </c>
      <c r="B550"/>
      <c r="C550"/>
      <c r="D550"/>
      <c r="E550"/>
      <c r="CQ550" s="27" t="s">
        <v>8</v>
      </c>
      <c r="DB550" s="27" t="s">
        <v>7</v>
      </c>
      <c r="DC550" s="27" t="s">
        <v>8</v>
      </c>
      <c r="DJ550" s="27" t="s">
        <v>7</v>
      </c>
      <c r="DK550" s="27" t="s">
        <v>8</v>
      </c>
      <c r="DL550" s="27" t="s">
        <v>7</v>
      </c>
      <c r="DM550" s="27" t="s">
        <v>8</v>
      </c>
      <c r="DO550" s="27" t="s">
        <v>8</v>
      </c>
      <c r="DP550" s="27" t="s">
        <v>7</v>
      </c>
      <c r="FM550" s="27" t="s">
        <v>8</v>
      </c>
      <c r="FV550" s="27" t="s">
        <v>7</v>
      </c>
      <c r="FW550" s="27" t="s">
        <v>8</v>
      </c>
      <c r="FZ550" s="27" t="s">
        <v>7</v>
      </c>
      <c r="GA550" s="27" t="s">
        <v>8</v>
      </c>
      <c r="GF550" s="27" t="s">
        <v>7</v>
      </c>
      <c r="GG550" s="27" t="s">
        <v>8</v>
      </c>
      <c r="GH550" s="27" t="s">
        <v>7</v>
      </c>
      <c r="GI550" s="27" t="s">
        <v>8</v>
      </c>
      <c r="GJ550" s="27" t="s">
        <v>7</v>
      </c>
      <c r="GK550" s="27" t="s">
        <v>8</v>
      </c>
      <c r="GL550" s="27" t="s">
        <v>7</v>
      </c>
      <c r="GM550" s="27" t="s">
        <v>8</v>
      </c>
      <c r="GN550" s="27" t="s">
        <v>7</v>
      </c>
      <c r="GO550" s="27" t="s">
        <v>8</v>
      </c>
      <c r="GP550" s="27" t="s">
        <v>7</v>
      </c>
      <c r="GQ550" s="27" t="s">
        <v>8</v>
      </c>
      <c r="GR550" s="27" t="s">
        <v>7</v>
      </c>
      <c r="GS550" s="27" t="s">
        <v>8</v>
      </c>
      <c r="GT550" s="27" t="s">
        <v>7</v>
      </c>
      <c r="GU550" s="27" t="s">
        <v>8</v>
      </c>
      <c r="GW550" s="27" t="s">
        <v>8</v>
      </c>
      <c r="GX550" s="27" t="s">
        <v>7</v>
      </c>
      <c r="GY550" s="27" t="s">
        <v>8</v>
      </c>
      <c r="HJ550" s="27" t="s">
        <v>7</v>
      </c>
      <c r="HK550" s="27" t="s">
        <v>8</v>
      </c>
      <c r="HL550" s="27" t="s">
        <v>7</v>
      </c>
      <c r="HN550" s="27" t="s">
        <v>7</v>
      </c>
      <c r="HO550" s="27" t="s">
        <v>8</v>
      </c>
      <c r="HV550" s="27" t="s">
        <v>7</v>
      </c>
      <c r="II550" s="27" t="s">
        <v>8</v>
      </c>
      <c r="IJ550" s="27" t="s">
        <v>7</v>
      </c>
    </row>
    <row r="551" spans="1:244" x14ac:dyDescent="0.25">
      <c r="A551" s="7">
        <v>2.0398873437157055</v>
      </c>
      <c r="B551"/>
      <c r="C551"/>
      <c r="D551"/>
      <c r="E551"/>
      <c r="CK551" s="27" t="s">
        <v>8</v>
      </c>
      <c r="CQ551" s="27" t="s">
        <v>8</v>
      </c>
      <c r="DB551" s="27" t="s">
        <v>7</v>
      </c>
      <c r="DC551" s="27" t="s">
        <v>8</v>
      </c>
      <c r="DJ551" s="27" t="s">
        <v>7</v>
      </c>
      <c r="DK551" s="27" t="s">
        <v>8</v>
      </c>
      <c r="DL551" s="27" t="s">
        <v>7</v>
      </c>
      <c r="DM551" s="27" t="s">
        <v>8</v>
      </c>
      <c r="DN551" s="27" t="s">
        <v>7</v>
      </c>
      <c r="DO551" s="27" t="s">
        <v>8</v>
      </c>
      <c r="DP551" s="27" t="s">
        <v>7</v>
      </c>
      <c r="FM551" s="27" t="s">
        <v>8</v>
      </c>
      <c r="FV551" s="27" t="s">
        <v>7</v>
      </c>
      <c r="FW551" s="27" t="s">
        <v>8</v>
      </c>
      <c r="FZ551" s="27" t="s">
        <v>7</v>
      </c>
      <c r="GF551" s="27" t="s">
        <v>7</v>
      </c>
      <c r="GG551" s="27" t="s">
        <v>8</v>
      </c>
      <c r="GH551" s="27" t="s">
        <v>7</v>
      </c>
      <c r="GI551" s="27" t="s">
        <v>8</v>
      </c>
      <c r="GJ551" s="27" t="s">
        <v>7</v>
      </c>
      <c r="GK551" s="27" t="s">
        <v>8</v>
      </c>
      <c r="GL551" s="27" t="s">
        <v>7</v>
      </c>
      <c r="GM551" s="27" t="s">
        <v>8</v>
      </c>
      <c r="GN551" s="27" t="s">
        <v>7</v>
      </c>
      <c r="GP551" s="27" t="s">
        <v>7</v>
      </c>
      <c r="GQ551" s="27" t="s">
        <v>8</v>
      </c>
      <c r="GR551" s="27" t="s">
        <v>7</v>
      </c>
      <c r="GS551" s="27" t="s">
        <v>8</v>
      </c>
      <c r="GT551" s="27" t="s">
        <v>7</v>
      </c>
      <c r="GU551" s="27" t="s">
        <v>8</v>
      </c>
      <c r="GV551" s="27" t="s">
        <v>7</v>
      </c>
      <c r="GW551" s="27" t="s">
        <v>8</v>
      </c>
      <c r="GX551" s="27" t="s">
        <v>7</v>
      </c>
      <c r="GY551" s="27" t="s">
        <v>8</v>
      </c>
      <c r="HJ551" s="27" t="s">
        <v>7</v>
      </c>
      <c r="HN551" s="27" t="s">
        <v>7</v>
      </c>
      <c r="HV551" s="27" t="s">
        <v>7</v>
      </c>
      <c r="II551" s="27" t="s">
        <v>8</v>
      </c>
      <c r="IJ551" s="27" t="s">
        <v>7</v>
      </c>
    </row>
    <row r="552" spans="1:244" x14ac:dyDescent="0.25">
      <c r="A552" s="7">
        <v>1.9998895526624565</v>
      </c>
      <c r="B552"/>
      <c r="C552"/>
      <c r="D552"/>
      <c r="E552"/>
      <c r="CK552" s="27" t="s">
        <v>8</v>
      </c>
      <c r="CL552" s="27" t="s">
        <v>7</v>
      </c>
      <c r="CQ552" s="27" t="s">
        <v>8</v>
      </c>
      <c r="DB552" s="27" t="s">
        <v>7</v>
      </c>
      <c r="DC552" s="27" t="s">
        <v>8</v>
      </c>
      <c r="DJ552" s="27" t="s">
        <v>7</v>
      </c>
      <c r="DL552" s="27" t="s">
        <v>7</v>
      </c>
      <c r="DM552" s="27" t="s">
        <v>8</v>
      </c>
      <c r="DN552" s="27" t="s">
        <v>7</v>
      </c>
      <c r="DO552" s="27" t="s">
        <v>8</v>
      </c>
      <c r="DP552" s="27" t="s">
        <v>7</v>
      </c>
      <c r="FM552" s="27" t="s">
        <v>8</v>
      </c>
      <c r="FV552" s="27" t="s">
        <v>7</v>
      </c>
      <c r="FW552" s="27" t="s">
        <v>8</v>
      </c>
      <c r="GF552" s="27" t="s">
        <v>7</v>
      </c>
      <c r="GG552" s="27" t="s">
        <v>8</v>
      </c>
      <c r="GH552" s="27" t="s">
        <v>7</v>
      </c>
      <c r="GI552" s="27" t="s">
        <v>8</v>
      </c>
      <c r="GJ552" s="27" t="s">
        <v>7</v>
      </c>
      <c r="GK552" s="27" t="s">
        <v>8</v>
      </c>
      <c r="GL552" s="27" t="s">
        <v>7</v>
      </c>
      <c r="GM552" s="27" t="s">
        <v>8</v>
      </c>
      <c r="GP552" s="27" t="s">
        <v>7</v>
      </c>
      <c r="GQ552" s="27" t="s">
        <v>8</v>
      </c>
      <c r="GR552" s="27" t="s">
        <v>7</v>
      </c>
      <c r="GS552" s="27" t="s">
        <v>8</v>
      </c>
      <c r="GT552" s="27" t="s">
        <v>7</v>
      </c>
      <c r="GU552" s="27" t="s">
        <v>8</v>
      </c>
      <c r="GV552" s="27" t="s">
        <v>7</v>
      </c>
      <c r="GW552" s="27" t="s">
        <v>8</v>
      </c>
      <c r="GX552" s="27" t="s">
        <v>7</v>
      </c>
      <c r="GY552" s="27" t="s">
        <v>8</v>
      </c>
      <c r="HV552" s="27" t="s">
        <v>7</v>
      </c>
      <c r="HW552" s="27" t="s">
        <v>8</v>
      </c>
      <c r="II552" s="27" t="s">
        <v>8</v>
      </c>
      <c r="IJ552" s="27" t="s">
        <v>7</v>
      </c>
    </row>
    <row r="553" spans="1:244" x14ac:dyDescent="0.25">
      <c r="A553" s="7">
        <v>1.9606760320220162</v>
      </c>
      <c r="B553"/>
      <c r="C553"/>
      <c r="D553"/>
      <c r="E553"/>
      <c r="CK553" s="27" t="s">
        <v>8</v>
      </c>
      <c r="CL553" s="27" t="s">
        <v>7</v>
      </c>
      <c r="CO553" s="27" t="s">
        <v>8</v>
      </c>
      <c r="CQ553" s="27" t="s">
        <v>8</v>
      </c>
      <c r="DB553" s="27" t="s">
        <v>7</v>
      </c>
      <c r="DC553" s="27" t="s">
        <v>8</v>
      </c>
      <c r="DL553" s="27" t="s">
        <v>7</v>
      </c>
      <c r="DM553" s="27" t="s">
        <v>8</v>
      </c>
      <c r="DN553" s="27" t="s">
        <v>7</v>
      </c>
      <c r="DO553" s="27" t="s">
        <v>8</v>
      </c>
      <c r="DP553" s="27" t="s">
        <v>7</v>
      </c>
      <c r="FM553" s="27" t="s">
        <v>8</v>
      </c>
      <c r="FV553" s="27" t="s">
        <v>7</v>
      </c>
      <c r="FW553" s="27" t="s">
        <v>8</v>
      </c>
      <c r="GF553" s="27" t="s">
        <v>7</v>
      </c>
      <c r="GH553" s="27" t="s">
        <v>7</v>
      </c>
      <c r="GJ553" s="27" t="s">
        <v>7</v>
      </c>
      <c r="GK553" s="27" t="s">
        <v>8</v>
      </c>
      <c r="GL553" s="27" t="s">
        <v>7</v>
      </c>
      <c r="GM553" s="27" t="s">
        <v>8</v>
      </c>
      <c r="GP553" s="27" t="s">
        <v>7</v>
      </c>
      <c r="GQ553" s="27" t="s">
        <v>8</v>
      </c>
      <c r="GR553" s="27" t="s">
        <v>7</v>
      </c>
      <c r="GT553" s="27" t="s">
        <v>7</v>
      </c>
      <c r="GU553" s="27" t="s">
        <v>8</v>
      </c>
      <c r="GV553" s="27" t="s">
        <v>7</v>
      </c>
      <c r="GW553" s="27" t="s">
        <v>8</v>
      </c>
      <c r="GX553" s="27" t="s">
        <v>7</v>
      </c>
      <c r="GY553" s="27" t="s">
        <v>8</v>
      </c>
      <c r="HV553" s="27" t="s">
        <v>7</v>
      </c>
      <c r="HW553" s="27" t="s">
        <v>8</v>
      </c>
      <c r="HX553" s="27" t="s">
        <v>7</v>
      </c>
      <c r="II553" s="27" t="s">
        <v>8</v>
      </c>
      <c r="IJ553" s="27" t="s">
        <v>7</v>
      </c>
    </row>
    <row r="554" spans="1:244" x14ac:dyDescent="0.25">
      <c r="A554" s="7">
        <v>1.9222314039431532</v>
      </c>
      <c r="B554"/>
      <c r="C554"/>
      <c r="D554"/>
      <c r="E554"/>
      <c r="CK554" s="27" t="s">
        <v>8</v>
      </c>
      <c r="CL554" s="27" t="s">
        <v>7</v>
      </c>
      <c r="CO554" s="27" t="s">
        <v>8</v>
      </c>
      <c r="CP554" s="27" t="s">
        <v>7</v>
      </c>
      <c r="CQ554" s="27" t="s">
        <v>8</v>
      </c>
      <c r="DB554" s="27" t="s">
        <v>7</v>
      </c>
      <c r="DC554" s="27" t="s">
        <v>8</v>
      </c>
      <c r="DL554" s="27" t="s">
        <v>7</v>
      </c>
      <c r="DM554" s="27" t="s">
        <v>8</v>
      </c>
      <c r="DN554" s="27" t="s">
        <v>7</v>
      </c>
      <c r="DO554" s="27" t="s">
        <v>8</v>
      </c>
      <c r="DP554" s="27" t="s">
        <v>7</v>
      </c>
      <c r="FM554" s="27" t="s">
        <v>8</v>
      </c>
      <c r="FV554" s="27" t="s">
        <v>7</v>
      </c>
      <c r="FW554" s="27" t="s">
        <v>8</v>
      </c>
      <c r="GJ554" s="27" t="s">
        <v>7</v>
      </c>
      <c r="GL554" s="27" t="s">
        <v>7</v>
      </c>
      <c r="GP554" s="27" t="s">
        <v>7</v>
      </c>
      <c r="GQ554" s="27" t="s">
        <v>8</v>
      </c>
      <c r="GT554" s="27" t="s">
        <v>7</v>
      </c>
      <c r="GV554" s="27" t="s">
        <v>7</v>
      </c>
      <c r="GX554" s="27" t="s">
        <v>7</v>
      </c>
      <c r="GY554" s="27" t="s">
        <v>8</v>
      </c>
      <c r="HV554" s="27" t="s">
        <v>7</v>
      </c>
      <c r="HW554" s="27" t="s">
        <v>8</v>
      </c>
      <c r="HX554" s="27" t="s">
        <v>7</v>
      </c>
      <c r="II554" s="27" t="s">
        <v>8</v>
      </c>
      <c r="IJ554" s="27" t="s">
        <v>7</v>
      </c>
    </row>
    <row r="555" spans="1:244" x14ac:dyDescent="0.25">
      <c r="A555" s="7">
        <v>1.8845405921011305</v>
      </c>
      <c r="B555"/>
      <c r="C555"/>
      <c r="D555"/>
      <c r="E555"/>
      <c r="CK555" s="27" t="s">
        <v>8</v>
      </c>
      <c r="CL555" s="27" t="s">
        <v>7</v>
      </c>
      <c r="CO555" s="27" t="s">
        <v>8</v>
      </c>
      <c r="CP555" s="27" t="s">
        <v>7</v>
      </c>
      <c r="CQ555" s="27" t="s">
        <v>8</v>
      </c>
      <c r="DB555" s="27" t="s">
        <v>7</v>
      </c>
      <c r="DC555" s="27" t="s">
        <v>8</v>
      </c>
      <c r="DL555" s="27" t="s">
        <v>7</v>
      </c>
      <c r="DM555" s="27" t="s">
        <v>8</v>
      </c>
      <c r="DN555" s="27" t="s">
        <v>7</v>
      </c>
      <c r="DO555" s="27" t="s">
        <v>8</v>
      </c>
      <c r="DP555" s="27" t="s">
        <v>7</v>
      </c>
      <c r="FM555" s="27" t="s">
        <v>8</v>
      </c>
      <c r="FV555" s="27" t="s">
        <v>7</v>
      </c>
      <c r="FW555" s="27" t="s">
        <v>8</v>
      </c>
      <c r="GP555" s="27" t="s">
        <v>7</v>
      </c>
      <c r="GQ555" s="27" t="s">
        <v>8</v>
      </c>
      <c r="GX555" s="27" t="s">
        <v>7</v>
      </c>
      <c r="GY555" s="27" t="s">
        <v>8</v>
      </c>
      <c r="HV555" s="27" t="s">
        <v>7</v>
      </c>
      <c r="HW555" s="27" t="s">
        <v>8</v>
      </c>
      <c r="HX555" s="27" t="s">
        <v>7</v>
      </c>
      <c r="II555" s="27" t="s">
        <v>8</v>
      </c>
      <c r="IJ555" s="27" t="s">
        <v>7</v>
      </c>
    </row>
    <row r="556" spans="1:244" x14ac:dyDescent="0.25">
      <c r="A556" s="7">
        <v>1.8475888157854219</v>
      </c>
      <c r="B556"/>
      <c r="C556"/>
      <c r="D556"/>
      <c r="E556"/>
      <c r="CK556" s="27" t="s">
        <v>8</v>
      </c>
      <c r="CL556" s="27" t="s">
        <v>7</v>
      </c>
      <c r="CO556" s="27" t="s">
        <v>8</v>
      </c>
      <c r="CP556" s="27" t="s">
        <v>7</v>
      </c>
      <c r="CQ556" s="27" t="s">
        <v>8</v>
      </c>
      <c r="DB556" s="27" t="s">
        <v>7</v>
      </c>
      <c r="DC556" s="27" t="s">
        <v>8</v>
      </c>
      <c r="DL556" s="27" t="s">
        <v>7</v>
      </c>
      <c r="DM556" s="27" t="s">
        <v>8</v>
      </c>
      <c r="DN556" s="27" t="s">
        <v>7</v>
      </c>
      <c r="DO556" s="27" t="s">
        <v>8</v>
      </c>
      <c r="DP556" s="27" t="s">
        <v>7</v>
      </c>
      <c r="FM556" s="27" t="s">
        <v>8</v>
      </c>
      <c r="FV556" s="27" t="s">
        <v>7</v>
      </c>
      <c r="FW556" s="27" t="s">
        <v>8</v>
      </c>
      <c r="GP556" s="27" t="s">
        <v>7</v>
      </c>
      <c r="GX556" s="27" t="s">
        <v>7</v>
      </c>
      <c r="GY556" s="27" t="s">
        <v>8</v>
      </c>
      <c r="HV556" s="27" t="s">
        <v>7</v>
      </c>
      <c r="HW556" s="27" t="s">
        <v>8</v>
      </c>
      <c r="HX556" s="27" t="s">
        <v>7</v>
      </c>
      <c r="HY556" s="27" t="s">
        <v>8</v>
      </c>
      <c r="IG556" s="27" t="s">
        <v>8</v>
      </c>
      <c r="II556" s="27" t="s">
        <v>8</v>
      </c>
      <c r="IJ556" s="27" t="s">
        <v>7</v>
      </c>
    </row>
    <row r="557" spans="1:244" x14ac:dyDescent="0.25">
      <c r="A557" s="7">
        <v>1.8113615841033548</v>
      </c>
      <c r="B557"/>
      <c r="C557"/>
      <c r="D557"/>
      <c r="E557"/>
      <c r="CK557" s="27" t="s">
        <v>8</v>
      </c>
      <c r="CL557" s="27" t="s">
        <v>7</v>
      </c>
      <c r="CO557" s="27" t="s">
        <v>8</v>
      </c>
      <c r="CP557" s="27" t="s">
        <v>7</v>
      </c>
      <c r="CQ557" s="27" t="s">
        <v>8</v>
      </c>
      <c r="DB557" s="27" t="s">
        <v>7</v>
      </c>
      <c r="DC557" s="27" t="s">
        <v>8</v>
      </c>
      <c r="DL557" s="27" t="s">
        <v>7</v>
      </c>
      <c r="DM557" s="27" t="s">
        <v>8</v>
      </c>
      <c r="DN557" s="27" t="s">
        <v>7</v>
      </c>
      <c r="DO557" s="27" t="s">
        <v>8</v>
      </c>
      <c r="DP557" s="27" t="s">
        <v>7</v>
      </c>
      <c r="FM557" s="27" t="s">
        <v>8</v>
      </c>
      <c r="FV557" s="27" t="s">
        <v>7</v>
      </c>
      <c r="GX557" s="27" t="s">
        <v>7</v>
      </c>
      <c r="HV557" s="27" t="s">
        <v>7</v>
      </c>
      <c r="HW557" s="27" t="s">
        <v>8</v>
      </c>
      <c r="HX557" s="27" t="s">
        <v>7</v>
      </c>
      <c r="HY557" s="27" t="s">
        <v>8</v>
      </c>
      <c r="HZ557" s="27" t="s">
        <v>7</v>
      </c>
      <c r="IG557" s="27" t="s">
        <v>8</v>
      </c>
      <c r="IH557" s="27" t="s">
        <v>7</v>
      </c>
      <c r="II557" s="27" t="s">
        <v>8</v>
      </c>
      <c r="IJ557" s="27" t="s">
        <v>7</v>
      </c>
    </row>
    <row r="558" spans="1:244" x14ac:dyDescent="0.25">
      <c r="A558" s="7">
        <v>1.7758446902974065</v>
      </c>
      <c r="B558"/>
      <c r="C558"/>
      <c r="D558"/>
      <c r="E558"/>
      <c r="CK558" s="27" t="s">
        <v>8</v>
      </c>
      <c r="CL558" s="27" t="s">
        <v>7</v>
      </c>
      <c r="CO558" s="27" t="s">
        <v>8</v>
      </c>
      <c r="CP558" s="27" t="s">
        <v>7</v>
      </c>
      <c r="CQ558" s="27" t="s">
        <v>8</v>
      </c>
      <c r="DB558" s="27" t="s">
        <v>7</v>
      </c>
      <c r="DC558" s="27" t="s">
        <v>8</v>
      </c>
      <c r="DL558" s="27" t="s">
        <v>7</v>
      </c>
      <c r="DM558" s="27" t="s">
        <v>8</v>
      </c>
      <c r="DN558" s="27" t="s">
        <v>7</v>
      </c>
      <c r="DO558" s="27" t="s">
        <v>8</v>
      </c>
      <c r="DP558" s="27" t="s">
        <v>7</v>
      </c>
      <c r="FM558" s="27" t="s">
        <v>8</v>
      </c>
      <c r="HV558" s="27" t="s">
        <v>7</v>
      </c>
      <c r="HW558" s="27" t="s">
        <v>8</v>
      </c>
      <c r="HX558" s="27" t="s">
        <v>7</v>
      </c>
      <c r="HY558" s="27" t="s">
        <v>8</v>
      </c>
      <c r="HZ558" s="27" t="s">
        <v>7</v>
      </c>
      <c r="IG558" s="27" t="s">
        <v>8</v>
      </c>
      <c r="IH558" s="27" t="s">
        <v>7</v>
      </c>
      <c r="II558" s="27" t="s">
        <v>8</v>
      </c>
      <c r="IJ558" s="27" t="s">
        <v>7</v>
      </c>
    </row>
    <row r="559" spans="1:244" x14ac:dyDescent="0.25">
      <c r="A559" s="7">
        <v>1.7410242061739281</v>
      </c>
      <c r="B559"/>
      <c r="C559"/>
      <c r="D559"/>
      <c r="E559"/>
      <c r="CK559" s="27" t="s">
        <v>8</v>
      </c>
      <c r="CL559" s="27" t="s">
        <v>7</v>
      </c>
      <c r="CM559" s="27" t="s">
        <v>8</v>
      </c>
      <c r="CO559" s="27" t="s">
        <v>8</v>
      </c>
      <c r="CP559" s="27" t="s">
        <v>7</v>
      </c>
      <c r="CQ559" s="27" t="s">
        <v>8</v>
      </c>
      <c r="DB559" s="27" t="s">
        <v>7</v>
      </c>
      <c r="DC559" s="27" t="s">
        <v>8</v>
      </c>
      <c r="DL559" s="27" t="s">
        <v>7</v>
      </c>
      <c r="DM559" s="27" t="s">
        <v>8</v>
      </c>
      <c r="DN559" s="27" t="s">
        <v>7</v>
      </c>
      <c r="DO559" s="27" t="s">
        <v>8</v>
      </c>
      <c r="DP559" s="27" t="s">
        <v>7</v>
      </c>
      <c r="FI559" s="27" t="s">
        <v>8</v>
      </c>
      <c r="FK559" s="27" t="s">
        <v>8</v>
      </c>
      <c r="FM559" s="27" t="s">
        <v>8</v>
      </c>
      <c r="HV559" s="27" t="s">
        <v>7</v>
      </c>
      <c r="HW559" s="27" t="s">
        <v>8</v>
      </c>
      <c r="HX559" s="27" t="s">
        <v>7</v>
      </c>
      <c r="HY559" s="27" t="s">
        <v>8</v>
      </c>
      <c r="HZ559" s="27" t="s">
        <v>7</v>
      </c>
      <c r="IE559" s="27" t="s">
        <v>8</v>
      </c>
      <c r="IG559" s="27" t="s">
        <v>8</v>
      </c>
      <c r="IH559" s="27" t="s">
        <v>7</v>
      </c>
      <c r="IJ559" s="27" t="s">
        <v>7</v>
      </c>
    </row>
    <row r="560" spans="1:244" x14ac:dyDescent="0.25">
      <c r="A560" s="7">
        <v>1.7068864766411058</v>
      </c>
      <c r="B560"/>
      <c r="C560"/>
      <c r="D560"/>
      <c r="E560"/>
      <c r="CK560" s="27" t="s">
        <v>8</v>
      </c>
      <c r="CL560" s="27" t="s">
        <v>7</v>
      </c>
      <c r="CM560" s="27" t="s">
        <v>8</v>
      </c>
      <c r="CN560" s="27" t="s">
        <v>7</v>
      </c>
      <c r="CO560" s="27" t="s">
        <v>8</v>
      </c>
      <c r="CP560" s="27" t="s">
        <v>7</v>
      </c>
      <c r="CQ560" s="27" t="s">
        <v>8</v>
      </c>
      <c r="DB560" s="27" t="s">
        <v>7</v>
      </c>
      <c r="DC560" s="27" t="s">
        <v>8</v>
      </c>
      <c r="DL560" s="27" t="s">
        <v>7</v>
      </c>
      <c r="DN560" s="27" t="s">
        <v>7</v>
      </c>
      <c r="DO560" s="27" t="s">
        <v>8</v>
      </c>
      <c r="DP560" s="27" t="s">
        <v>7</v>
      </c>
      <c r="FI560" s="27" t="s">
        <v>8</v>
      </c>
      <c r="FJ560" s="27" t="s">
        <v>7</v>
      </c>
      <c r="FK560" s="27" t="s">
        <v>8</v>
      </c>
      <c r="FL560" s="27" t="s">
        <v>7</v>
      </c>
      <c r="FM560" s="27" t="s">
        <v>8</v>
      </c>
      <c r="HV560" s="27" t="s">
        <v>7</v>
      </c>
      <c r="HW560" s="27" t="s">
        <v>8</v>
      </c>
      <c r="HX560" s="27" t="s">
        <v>7</v>
      </c>
      <c r="HY560" s="27" t="s">
        <v>8</v>
      </c>
      <c r="HZ560" s="27" t="s">
        <v>7</v>
      </c>
      <c r="IE560" s="27" t="s">
        <v>8</v>
      </c>
      <c r="IF560" s="27" t="s">
        <v>7</v>
      </c>
      <c r="IG560" s="27" t="s">
        <v>8</v>
      </c>
      <c r="IJ560" s="27" t="s">
        <v>7</v>
      </c>
    </row>
    <row r="561" spans="1:252" x14ac:dyDescent="0.25">
      <c r="A561" s="7">
        <v>1.6734181143540252</v>
      </c>
      <c r="B561"/>
      <c r="C561"/>
      <c r="D561"/>
      <c r="E561"/>
      <c r="CK561" s="27" t="s">
        <v>8</v>
      </c>
      <c r="CL561" s="27" t="s">
        <v>7</v>
      </c>
      <c r="CM561" s="27" t="s">
        <v>8</v>
      </c>
      <c r="CN561" s="27" t="s">
        <v>7</v>
      </c>
      <c r="CO561" s="27" t="s">
        <v>8</v>
      </c>
      <c r="CP561" s="27" t="s">
        <v>7</v>
      </c>
      <c r="CQ561" s="27" t="s">
        <v>8</v>
      </c>
      <c r="DB561" s="27" t="s">
        <v>7</v>
      </c>
      <c r="DC561" s="27" t="s">
        <v>8</v>
      </c>
      <c r="DN561" s="27" t="s">
        <v>7</v>
      </c>
      <c r="DO561" s="27" t="s">
        <v>8</v>
      </c>
      <c r="DP561" s="27" t="s">
        <v>7</v>
      </c>
      <c r="FI561" s="27" t="s">
        <v>8</v>
      </c>
      <c r="FJ561" s="27" t="s">
        <v>7</v>
      </c>
      <c r="FK561" s="27" t="s">
        <v>8</v>
      </c>
      <c r="FL561" s="27" t="s">
        <v>7</v>
      </c>
      <c r="FM561" s="27" t="s">
        <v>8</v>
      </c>
      <c r="HV561" s="27" t="s">
        <v>7</v>
      </c>
      <c r="HW561" s="27" t="s">
        <v>8</v>
      </c>
      <c r="HX561" s="27" t="s">
        <v>7</v>
      </c>
      <c r="HY561" s="27" t="s">
        <v>8</v>
      </c>
      <c r="HZ561" s="27" t="s">
        <v>7</v>
      </c>
      <c r="IE561" s="27" t="s">
        <v>8</v>
      </c>
      <c r="IF561" s="27" t="s">
        <v>7</v>
      </c>
      <c r="IG561" s="27" t="s">
        <v>8</v>
      </c>
      <c r="IJ561" s="27" t="s">
        <v>7</v>
      </c>
      <c r="IK561" s="27" t="s">
        <v>8</v>
      </c>
    </row>
    <row r="562" spans="1:252" x14ac:dyDescent="0.25">
      <c r="A562" s="7">
        <v>1.6406059944647307</v>
      </c>
      <c r="B562"/>
      <c r="C562"/>
      <c r="D562"/>
      <c r="E562"/>
      <c r="CK562" s="27" t="s">
        <v>8</v>
      </c>
      <c r="CL562" s="27" t="s">
        <v>7</v>
      </c>
      <c r="CM562" s="27" t="s">
        <v>8</v>
      </c>
      <c r="CN562" s="27" t="s">
        <v>7</v>
      </c>
      <c r="CO562" s="27" t="s">
        <v>8</v>
      </c>
      <c r="CP562" s="27" t="s">
        <v>7</v>
      </c>
      <c r="DB562" s="27" t="s">
        <v>7</v>
      </c>
      <c r="DC562" s="27" t="s">
        <v>8</v>
      </c>
      <c r="DN562" s="27" t="s">
        <v>7</v>
      </c>
      <c r="DP562" s="27" t="s">
        <v>7</v>
      </c>
      <c r="FI562" s="27" t="s">
        <v>8</v>
      </c>
      <c r="FJ562" s="27" t="s">
        <v>7</v>
      </c>
      <c r="FK562" s="27" t="s">
        <v>8</v>
      </c>
      <c r="FL562" s="27" t="s">
        <v>7</v>
      </c>
      <c r="FM562" s="27" t="s">
        <v>8</v>
      </c>
      <c r="HV562" s="27" t="s">
        <v>7</v>
      </c>
      <c r="HW562" s="27" t="s">
        <v>8</v>
      </c>
      <c r="HX562" s="27" t="s">
        <v>7</v>
      </c>
      <c r="HY562" s="27" t="s">
        <v>8</v>
      </c>
      <c r="HZ562" s="27" t="s">
        <v>7</v>
      </c>
      <c r="IA562" s="27" t="s">
        <v>8</v>
      </c>
      <c r="IE562" s="27" t="s">
        <v>8</v>
      </c>
      <c r="IF562" s="27" t="s">
        <v>7</v>
      </c>
      <c r="IG562" s="27" t="s">
        <v>8</v>
      </c>
      <c r="IJ562" s="27" t="s">
        <v>7</v>
      </c>
      <c r="IK562" s="27" t="s">
        <v>8</v>
      </c>
      <c r="IL562" s="27" t="s">
        <v>7</v>
      </c>
    </row>
    <row r="563" spans="1:252" x14ac:dyDescent="0.25">
      <c r="A563" s="7">
        <v>1.6084372494752261</v>
      </c>
      <c r="B563"/>
      <c r="C563"/>
      <c r="D563"/>
      <c r="E563"/>
      <c r="CK563" s="27" t="s">
        <v>8</v>
      </c>
      <c r="CL563" s="27" t="s">
        <v>7</v>
      </c>
      <c r="CM563" s="27" t="s">
        <v>8</v>
      </c>
      <c r="CN563" s="27" t="s">
        <v>7</v>
      </c>
      <c r="CO563" s="27" t="s">
        <v>8</v>
      </c>
      <c r="DB563" s="27" t="s">
        <v>7</v>
      </c>
      <c r="DC563" s="27" t="s">
        <v>8</v>
      </c>
      <c r="DP563" s="27" t="s">
        <v>7</v>
      </c>
      <c r="FI563" s="27" t="s">
        <v>8</v>
      </c>
      <c r="FJ563" s="27" t="s">
        <v>7</v>
      </c>
      <c r="FK563" s="27" t="s">
        <v>8</v>
      </c>
      <c r="FL563" s="27" t="s">
        <v>7</v>
      </c>
      <c r="FM563" s="27" t="s">
        <v>8</v>
      </c>
      <c r="HV563" s="27" t="s">
        <v>7</v>
      </c>
      <c r="HW563" s="27" t="s">
        <v>8</v>
      </c>
      <c r="HX563" s="27" t="s">
        <v>7</v>
      </c>
      <c r="HZ563" s="27" t="s">
        <v>7</v>
      </c>
      <c r="IA563" s="27" t="s">
        <v>8</v>
      </c>
      <c r="IB563" s="27" t="s">
        <v>7</v>
      </c>
      <c r="IE563" s="27" t="s">
        <v>8</v>
      </c>
      <c r="IF563" s="27" t="s">
        <v>7</v>
      </c>
      <c r="IG563" s="27" t="s">
        <v>8</v>
      </c>
      <c r="IJ563" s="27" t="s">
        <v>7</v>
      </c>
      <c r="IK563" s="27" t="s">
        <v>8</v>
      </c>
      <c r="IL563" s="27" t="s">
        <v>7</v>
      </c>
    </row>
    <row r="564" spans="1:252" x14ac:dyDescent="0.25">
      <c r="A564" s="7">
        <v>1.5768992641913981</v>
      </c>
      <c r="B564"/>
      <c r="C564"/>
      <c r="D564"/>
      <c r="E564"/>
      <c r="CI564" s="27" t="s">
        <v>8</v>
      </c>
      <c r="CK564" s="27" t="s">
        <v>8</v>
      </c>
      <c r="CL564" s="27" t="s">
        <v>7</v>
      </c>
      <c r="CM564" s="27" t="s">
        <v>8</v>
      </c>
      <c r="CN564" s="27" t="s">
        <v>7</v>
      </c>
      <c r="CO564" s="27" t="s">
        <v>8</v>
      </c>
      <c r="DB564" s="27" t="s">
        <v>7</v>
      </c>
      <c r="DC564" s="27" t="s">
        <v>8</v>
      </c>
      <c r="DP564" s="27" t="s">
        <v>7</v>
      </c>
      <c r="FI564" s="27" t="s">
        <v>8</v>
      </c>
      <c r="FJ564" s="27" t="s">
        <v>7</v>
      </c>
      <c r="FK564" s="27" t="s">
        <v>8</v>
      </c>
      <c r="FL564" s="27" t="s">
        <v>7</v>
      </c>
      <c r="FM564" s="27" t="s">
        <v>8</v>
      </c>
      <c r="HV564" s="27" t="s">
        <v>7</v>
      </c>
      <c r="HW564" s="27" t="s">
        <v>8</v>
      </c>
      <c r="HZ564" s="27" t="s">
        <v>7</v>
      </c>
      <c r="IA564" s="27" t="s">
        <v>8</v>
      </c>
      <c r="IB564" s="27" t="s">
        <v>7</v>
      </c>
      <c r="IE564" s="27" t="s">
        <v>8</v>
      </c>
      <c r="IF564" s="27" t="s">
        <v>7</v>
      </c>
      <c r="IG564" s="27" t="s">
        <v>8</v>
      </c>
      <c r="IJ564" s="27" t="s">
        <v>7</v>
      </c>
      <c r="IL564" s="27" t="s">
        <v>7</v>
      </c>
    </row>
    <row r="565" spans="1:252" x14ac:dyDescent="0.25">
      <c r="A565" s="7">
        <v>1.5459796707758806</v>
      </c>
      <c r="B565"/>
      <c r="C565"/>
      <c r="D565"/>
      <c r="E565"/>
      <c r="CI565" s="27" t="s">
        <v>8</v>
      </c>
      <c r="CJ565" s="27" t="s">
        <v>7</v>
      </c>
      <c r="CK565" s="27" t="s">
        <v>8</v>
      </c>
      <c r="CL565" s="27" t="s">
        <v>7</v>
      </c>
      <c r="CM565" s="27" t="s">
        <v>8</v>
      </c>
      <c r="CN565" s="27" t="s">
        <v>7</v>
      </c>
      <c r="CO565" s="27" t="s">
        <v>8</v>
      </c>
      <c r="DB565" s="27" t="s">
        <v>7</v>
      </c>
      <c r="DC565" s="27" t="s">
        <v>8</v>
      </c>
      <c r="DP565" s="27" t="s">
        <v>7</v>
      </c>
      <c r="FI565" s="27" t="s">
        <v>8</v>
      </c>
      <c r="FJ565" s="27" t="s">
        <v>7</v>
      </c>
      <c r="FK565" s="27" t="s">
        <v>8</v>
      </c>
      <c r="FL565" s="27" t="s">
        <v>7</v>
      </c>
      <c r="FM565" s="27" t="s">
        <v>8</v>
      </c>
      <c r="HV565" s="27" t="s">
        <v>7</v>
      </c>
      <c r="HW565" s="27" t="s">
        <v>8</v>
      </c>
      <c r="HZ565" s="27" t="s">
        <v>7</v>
      </c>
      <c r="IB565" s="27" t="s">
        <v>7</v>
      </c>
      <c r="IC565" s="27" t="s">
        <v>8</v>
      </c>
      <c r="IE565" s="27" t="s">
        <v>8</v>
      </c>
      <c r="IF565" s="27" t="s">
        <v>7</v>
      </c>
      <c r="IG565" s="27" t="s">
        <v>8</v>
      </c>
      <c r="IL565" s="27" t="s">
        <v>7</v>
      </c>
    </row>
    <row r="566" spans="1:252" x14ac:dyDescent="0.25">
      <c r="A566" s="7">
        <v>1.5156663438979221</v>
      </c>
      <c r="B566"/>
      <c r="C566"/>
      <c r="D566"/>
      <c r="E566"/>
      <c r="CI566" s="27" t="s">
        <v>8</v>
      </c>
      <c r="CJ566" s="27" t="s">
        <v>7</v>
      </c>
      <c r="CK566" s="27" t="s">
        <v>8</v>
      </c>
      <c r="CL566" s="27" t="s">
        <v>7</v>
      </c>
      <c r="CM566" s="27" t="s">
        <v>8</v>
      </c>
      <c r="CN566" s="27" t="s">
        <v>7</v>
      </c>
      <c r="CO566" s="27" t="s">
        <v>8</v>
      </c>
      <c r="DB566" s="27" t="s">
        <v>7</v>
      </c>
      <c r="DC566" s="27" t="s">
        <v>8</v>
      </c>
      <c r="DP566" s="27" t="s">
        <v>7</v>
      </c>
      <c r="FI566" s="27" t="s">
        <v>8</v>
      </c>
      <c r="FJ566" s="27" t="s">
        <v>7</v>
      </c>
      <c r="FK566" s="27" t="s">
        <v>8</v>
      </c>
      <c r="FL566" s="27" t="s">
        <v>7</v>
      </c>
      <c r="HV566" s="27" t="s">
        <v>7</v>
      </c>
      <c r="HW566" s="27" t="s">
        <v>8</v>
      </c>
      <c r="IB566" s="27" t="s">
        <v>7</v>
      </c>
      <c r="IC566" s="27" t="s">
        <v>8</v>
      </c>
      <c r="ID566" s="27" t="s">
        <v>7</v>
      </c>
      <c r="IE566" s="27" t="s">
        <v>8</v>
      </c>
      <c r="IF566" s="27" t="s">
        <v>7</v>
      </c>
      <c r="IG566" s="27" t="s">
        <v>8</v>
      </c>
      <c r="IL566" s="27" t="s">
        <v>7</v>
      </c>
      <c r="IO566" s="27" t="s">
        <v>8</v>
      </c>
    </row>
    <row r="567" spans="1:252" x14ac:dyDescent="0.25">
      <c r="A567" s="7">
        <v>1.4859473959783549</v>
      </c>
      <c r="B567"/>
      <c r="C567"/>
      <c r="D567"/>
      <c r="E567"/>
      <c r="CI567" s="27" t="s">
        <v>8</v>
      </c>
      <c r="CJ567" s="27" t="s">
        <v>7</v>
      </c>
      <c r="CK567" s="27" t="s">
        <v>8</v>
      </c>
      <c r="CL567" s="27" t="s">
        <v>7</v>
      </c>
      <c r="CM567" s="27" t="s">
        <v>8</v>
      </c>
      <c r="CN567" s="27" t="s">
        <v>7</v>
      </c>
      <c r="CO567" s="27" t="s">
        <v>8</v>
      </c>
      <c r="DB567" s="27" t="s">
        <v>7</v>
      </c>
      <c r="DC567" s="27" t="s">
        <v>8</v>
      </c>
      <c r="DP567" s="27" t="s">
        <v>7</v>
      </c>
      <c r="DQ567" s="27" t="s">
        <v>8</v>
      </c>
      <c r="FI567" s="27" t="s">
        <v>8</v>
      </c>
      <c r="FJ567" s="27" t="s">
        <v>7</v>
      </c>
      <c r="FK567" s="27" t="s">
        <v>8</v>
      </c>
      <c r="HV567" s="27" t="s">
        <v>7</v>
      </c>
      <c r="HW567" s="27" t="s">
        <v>8</v>
      </c>
      <c r="IB567" s="27" t="s">
        <v>7</v>
      </c>
      <c r="IC567" s="27" t="s">
        <v>8</v>
      </c>
      <c r="ID567" s="27" t="s">
        <v>7</v>
      </c>
      <c r="IE567" s="27" t="s">
        <v>8</v>
      </c>
      <c r="IF567" s="27" t="s">
        <v>7</v>
      </c>
      <c r="IG567" s="27" t="s">
        <v>8</v>
      </c>
      <c r="IL567" s="27" t="s">
        <v>7</v>
      </c>
      <c r="IO567" s="27" t="s">
        <v>8</v>
      </c>
      <c r="IP567" s="27" t="s">
        <v>7</v>
      </c>
      <c r="IQ567" s="27" t="s">
        <v>8</v>
      </c>
    </row>
    <row r="568" spans="1:252" x14ac:dyDescent="0.25">
      <c r="A568" s="7">
        <v>1.4568111725277988</v>
      </c>
      <c r="B568"/>
      <c r="C568"/>
      <c r="D568"/>
      <c r="E568"/>
      <c r="CI568" s="27" t="s">
        <v>8</v>
      </c>
      <c r="CJ568" s="27" t="s">
        <v>7</v>
      </c>
      <c r="CK568" s="27" t="s">
        <v>8</v>
      </c>
      <c r="CL568" s="27" t="s">
        <v>7</v>
      </c>
      <c r="CM568" s="27" t="s">
        <v>8</v>
      </c>
      <c r="CN568" s="27" t="s">
        <v>7</v>
      </c>
      <c r="CO568" s="27" t="s">
        <v>8</v>
      </c>
      <c r="DB568" s="27" t="s">
        <v>7</v>
      </c>
      <c r="DC568" s="27" t="s">
        <v>8</v>
      </c>
      <c r="DP568" s="27" t="s">
        <v>7</v>
      </c>
      <c r="DQ568" s="27" t="s">
        <v>8</v>
      </c>
      <c r="DR568" s="27" t="s">
        <v>7</v>
      </c>
      <c r="FI568" s="27" t="s">
        <v>8</v>
      </c>
      <c r="FJ568" s="27" t="s">
        <v>7</v>
      </c>
      <c r="FK568" s="27" t="s">
        <v>8</v>
      </c>
      <c r="HV568" s="27" t="s">
        <v>7</v>
      </c>
      <c r="HW568" s="27" t="s">
        <v>8</v>
      </c>
      <c r="IB568" s="27" t="s">
        <v>7</v>
      </c>
      <c r="IC568" s="27" t="s">
        <v>8</v>
      </c>
      <c r="ID568" s="27" t="s">
        <v>7</v>
      </c>
      <c r="IE568" s="27" t="s">
        <v>8</v>
      </c>
      <c r="IF568" s="27" t="s">
        <v>7</v>
      </c>
      <c r="IG568" s="27" t="s">
        <v>8</v>
      </c>
      <c r="IL568" s="27" t="s">
        <v>7</v>
      </c>
      <c r="IM568" s="27" t="s">
        <v>8</v>
      </c>
      <c r="IO568" s="27" t="s">
        <v>8</v>
      </c>
      <c r="IP568" s="27" t="s">
        <v>7</v>
      </c>
      <c r="IQ568" s="27" t="s">
        <v>8</v>
      </c>
      <c r="IR568" s="27" t="s">
        <v>7</v>
      </c>
    </row>
    <row r="569" spans="1:252" x14ac:dyDescent="0.25">
      <c r="A569" s="7">
        <v>1.4282462475762734</v>
      </c>
      <c r="B569"/>
      <c r="C569"/>
      <c r="D569"/>
      <c r="E569"/>
      <c r="CI569" s="27" t="s">
        <v>8</v>
      </c>
      <c r="CJ569" s="27" t="s">
        <v>7</v>
      </c>
      <c r="CK569" s="27" t="s">
        <v>8</v>
      </c>
      <c r="CL569" s="27" t="s">
        <v>7</v>
      </c>
      <c r="CN569" s="27" t="s">
        <v>7</v>
      </c>
      <c r="CO569" s="27" t="s">
        <v>8</v>
      </c>
      <c r="DB569" s="27" t="s">
        <v>7</v>
      </c>
      <c r="DP569" s="27" t="s">
        <v>7</v>
      </c>
      <c r="DQ569" s="27" t="s">
        <v>8</v>
      </c>
      <c r="DR569" s="27" t="s">
        <v>7</v>
      </c>
      <c r="FG569" s="27" t="s">
        <v>8</v>
      </c>
      <c r="FI569" s="27" t="s">
        <v>8</v>
      </c>
      <c r="FJ569" s="27" t="s">
        <v>7</v>
      </c>
      <c r="HV569" s="27" t="s">
        <v>7</v>
      </c>
      <c r="IB569" s="27" t="s">
        <v>7</v>
      </c>
      <c r="IC569" s="27" t="s">
        <v>8</v>
      </c>
      <c r="ID569" s="27" t="s">
        <v>7</v>
      </c>
      <c r="IE569" s="27" t="s">
        <v>8</v>
      </c>
      <c r="IF569" s="27" t="s">
        <v>7</v>
      </c>
      <c r="IG569" s="27" t="s">
        <v>8</v>
      </c>
      <c r="IL569" s="27" t="s">
        <v>7</v>
      </c>
      <c r="IM569" s="27" t="s">
        <v>8</v>
      </c>
      <c r="IN569" s="27" t="s">
        <v>7</v>
      </c>
      <c r="IO569" s="27" t="s">
        <v>8</v>
      </c>
      <c r="IP569" s="27" t="s">
        <v>7</v>
      </c>
      <c r="IQ569" s="27" t="s">
        <v>8</v>
      </c>
      <c r="IR569" s="27" t="s">
        <v>7</v>
      </c>
    </row>
    <row r="570" spans="1:252" x14ac:dyDescent="0.25">
      <c r="A570" s="7">
        <v>1.4002414191924248</v>
      </c>
      <c r="B570"/>
      <c r="C570"/>
      <c r="D570"/>
      <c r="E570"/>
      <c r="CI570" s="27" t="s">
        <v>8</v>
      </c>
      <c r="CJ570" s="27" t="s">
        <v>7</v>
      </c>
      <c r="CK570" s="27" t="s">
        <v>8</v>
      </c>
      <c r="CN570" s="27" t="s">
        <v>7</v>
      </c>
      <c r="CO570" s="27" t="s">
        <v>8</v>
      </c>
      <c r="DP570" s="27" t="s">
        <v>7</v>
      </c>
      <c r="DQ570" s="27" t="s">
        <v>8</v>
      </c>
      <c r="DR570" s="27" t="s">
        <v>7</v>
      </c>
      <c r="ES570" s="27" t="s">
        <v>8</v>
      </c>
      <c r="FG570" s="27" t="s">
        <v>8</v>
      </c>
      <c r="FH570" s="27" t="s">
        <v>7</v>
      </c>
      <c r="FI570" s="27" t="s">
        <v>8</v>
      </c>
      <c r="IB570" s="27" t="s">
        <v>7</v>
      </c>
      <c r="IC570" s="27" t="s">
        <v>8</v>
      </c>
      <c r="ID570" s="27" t="s">
        <v>7</v>
      </c>
      <c r="IE570" s="27" t="s">
        <v>8</v>
      </c>
      <c r="IF570" s="27" t="s">
        <v>7</v>
      </c>
      <c r="IG570" s="27" t="s">
        <v>8</v>
      </c>
      <c r="IL570" s="27" t="s">
        <v>7</v>
      </c>
      <c r="IM570" s="27" t="s">
        <v>8</v>
      </c>
      <c r="IN570" s="27" t="s">
        <v>7</v>
      </c>
      <c r="IO570" s="27" t="s">
        <v>8</v>
      </c>
      <c r="IP570" s="27" t="s">
        <v>7</v>
      </c>
      <c r="IQ570" s="27" t="s">
        <v>8</v>
      </c>
      <c r="IR570" s="27" t="s">
        <v>7</v>
      </c>
    </row>
    <row r="571" spans="1:252" x14ac:dyDescent="0.25">
      <c r="A571" s="7">
        <v>1.3727857050906125</v>
      </c>
      <c r="B571"/>
      <c r="C571"/>
      <c r="D571"/>
      <c r="E571"/>
      <c r="CI571" s="27" t="s">
        <v>8</v>
      </c>
      <c r="CJ571" s="27" t="s">
        <v>7</v>
      </c>
      <c r="CK571" s="27" t="s">
        <v>8</v>
      </c>
      <c r="CN571" s="27" t="s">
        <v>7</v>
      </c>
      <c r="CO571" s="27" t="s">
        <v>8</v>
      </c>
      <c r="DP571" s="27" t="s">
        <v>7</v>
      </c>
      <c r="DQ571" s="27" t="s">
        <v>8</v>
      </c>
      <c r="DR571" s="27" t="s">
        <v>7</v>
      </c>
      <c r="ES571" s="27" t="s">
        <v>8</v>
      </c>
      <c r="ET571" s="27" t="s">
        <v>7</v>
      </c>
      <c r="FG571" s="27" t="s">
        <v>8</v>
      </c>
      <c r="FH571" s="27" t="s">
        <v>7</v>
      </c>
      <c r="FI571" s="27" t="s">
        <v>8</v>
      </c>
      <c r="IB571" s="27" t="s">
        <v>7</v>
      </c>
      <c r="IC571" s="27" t="s">
        <v>8</v>
      </c>
      <c r="ID571" s="27" t="s">
        <v>7</v>
      </c>
      <c r="IF571" s="27" t="s">
        <v>7</v>
      </c>
      <c r="IL571" s="27" t="s">
        <v>7</v>
      </c>
      <c r="IN571" s="27" t="s">
        <v>7</v>
      </c>
      <c r="IO571" s="27" t="s">
        <v>8</v>
      </c>
      <c r="IP571" s="27" t="s">
        <v>7</v>
      </c>
      <c r="IR571" s="27" t="s">
        <v>7</v>
      </c>
    </row>
    <row r="572" spans="1:252" x14ac:dyDescent="0.25">
      <c r="A572" s="7">
        <v>1.3458683383241299</v>
      </c>
      <c r="B572"/>
      <c r="C572"/>
      <c r="D572"/>
      <c r="E572"/>
      <c r="CE572" s="27" t="s">
        <v>8</v>
      </c>
      <c r="CI572" s="27" t="s">
        <v>8</v>
      </c>
      <c r="CJ572" s="27" t="s">
        <v>7</v>
      </c>
      <c r="CK572" s="27" t="s">
        <v>8</v>
      </c>
      <c r="CN572" s="27" t="s">
        <v>7</v>
      </c>
      <c r="CO572" s="27" t="s">
        <v>8</v>
      </c>
      <c r="DP572" s="27" t="s">
        <v>7</v>
      </c>
      <c r="DQ572" s="27" t="s">
        <v>8</v>
      </c>
      <c r="DR572" s="27" t="s">
        <v>7</v>
      </c>
      <c r="DU572" s="27" t="s">
        <v>8</v>
      </c>
      <c r="ES572" s="27" t="s">
        <v>8</v>
      </c>
      <c r="ET572" s="27" t="s">
        <v>7</v>
      </c>
      <c r="FG572" s="27" t="s">
        <v>8</v>
      </c>
      <c r="FH572" s="27" t="s">
        <v>7</v>
      </c>
      <c r="FI572" s="27" t="s">
        <v>8</v>
      </c>
      <c r="IB572" s="27" t="s">
        <v>7</v>
      </c>
      <c r="IN572" s="27" t="s">
        <v>7</v>
      </c>
      <c r="IO572" s="27" t="s">
        <v>8</v>
      </c>
      <c r="IR572" s="27" t="s">
        <v>7</v>
      </c>
    </row>
    <row r="573" spans="1:252" x14ac:dyDescent="0.25">
      <c r="A573" s="7">
        <v>1.3194787630628724</v>
      </c>
      <c r="B573"/>
      <c r="C573"/>
      <c r="D573"/>
      <c r="E573"/>
      <c r="CE573" s="27" t="s">
        <v>8</v>
      </c>
      <c r="CF573" s="27" t="s">
        <v>7</v>
      </c>
      <c r="CI573" s="27" t="s">
        <v>8</v>
      </c>
      <c r="CJ573" s="27" t="s">
        <v>7</v>
      </c>
      <c r="CK573" s="27" t="s">
        <v>8</v>
      </c>
      <c r="CN573" s="27" t="s">
        <v>7</v>
      </c>
      <c r="CO573" s="27" t="s">
        <v>8</v>
      </c>
      <c r="DP573" s="27" t="s">
        <v>7</v>
      </c>
      <c r="DQ573" s="27" t="s">
        <v>8</v>
      </c>
      <c r="DR573" s="27" t="s">
        <v>7</v>
      </c>
      <c r="DU573" s="27" t="s">
        <v>8</v>
      </c>
      <c r="DV573" s="27" t="s">
        <v>7</v>
      </c>
      <c r="ES573" s="27" t="s">
        <v>8</v>
      </c>
      <c r="ET573" s="27" t="s">
        <v>7</v>
      </c>
      <c r="EU573" s="27" t="s">
        <v>8</v>
      </c>
      <c r="FA573" s="27" t="s">
        <v>8</v>
      </c>
      <c r="FG573" s="27" t="s">
        <v>8</v>
      </c>
      <c r="FH573" s="27" t="s">
        <v>7</v>
      </c>
      <c r="FI573" s="27" t="s">
        <v>8</v>
      </c>
      <c r="IN573" s="27" t="s">
        <v>7</v>
      </c>
      <c r="IO573" s="27" t="s">
        <v>8</v>
      </c>
      <c r="IR573" s="27" t="s">
        <v>7</v>
      </c>
    </row>
    <row r="574" spans="1:252" x14ac:dyDescent="0.25">
      <c r="A574" s="7">
        <v>1.2936066304537963</v>
      </c>
      <c r="B574"/>
      <c r="C574"/>
      <c r="D574"/>
      <c r="E574"/>
      <c r="CE574" s="27" t="s">
        <v>8</v>
      </c>
      <c r="CF574" s="27" t="s">
        <v>7</v>
      </c>
      <c r="CI574" s="27" t="s">
        <v>8</v>
      </c>
      <c r="CJ574" s="27" t="s">
        <v>7</v>
      </c>
      <c r="CK574" s="27" t="s">
        <v>8</v>
      </c>
      <c r="CN574" s="27" t="s">
        <v>7</v>
      </c>
      <c r="DP574" s="27" t="s">
        <v>7</v>
      </c>
      <c r="DQ574" s="27" t="s">
        <v>8</v>
      </c>
      <c r="DR574" s="27" t="s">
        <v>7</v>
      </c>
      <c r="DU574" s="27" t="s">
        <v>8</v>
      </c>
      <c r="DV574" s="27" t="s">
        <v>7</v>
      </c>
      <c r="ES574" s="27" t="s">
        <v>8</v>
      </c>
      <c r="ET574" s="27" t="s">
        <v>7</v>
      </c>
      <c r="EU574" s="27" t="s">
        <v>8</v>
      </c>
      <c r="EV574" s="27" t="s">
        <v>7</v>
      </c>
      <c r="FA574" s="27" t="s">
        <v>8</v>
      </c>
      <c r="FB574" s="27" t="s">
        <v>7</v>
      </c>
      <c r="FG574" s="27" t="s">
        <v>8</v>
      </c>
      <c r="FH574" s="27" t="s">
        <v>7</v>
      </c>
      <c r="FI574" s="27" t="s">
        <v>8</v>
      </c>
      <c r="IN574" s="27" t="s">
        <v>7</v>
      </c>
      <c r="IO574" s="27" t="s">
        <v>8</v>
      </c>
      <c r="IR574" s="27" t="s">
        <v>7</v>
      </c>
    </row>
    <row r="575" spans="1:252" x14ac:dyDescent="0.25">
      <c r="A575" s="7">
        <v>1.2682417945625455</v>
      </c>
      <c r="B575"/>
      <c r="C575"/>
      <c r="D575"/>
      <c r="E575"/>
      <c r="CE575" s="27" t="s">
        <v>8</v>
      </c>
      <c r="CF575" s="27" t="s">
        <v>7</v>
      </c>
      <c r="CI575" s="27" t="s">
        <v>8</v>
      </c>
      <c r="CJ575" s="27" t="s">
        <v>7</v>
      </c>
      <c r="CK575" s="27" t="s">
        <v>8</v>
      </c>
      <c r="DP575" s="27" t="s">
        <v>7</v>
      </c>
      <c r="DQ575" s="27" t="s">
        <v>8</v>
      </c>
      <c r="DR575" s="27" t="s">
        <v>7</v>
      </c>
      <c r="DU575" s="27" t="s">
        <v>8</v>
      </c>
      <c r="DV575" s="27" t="s">
        <v>7</v>
      </c>
      <c r="DY575" s="27" t="s">
        <v>8</v>
      </c>
      <c r="ES575" s="27" t="s">
        <v>8</v>
      </c>
      <c r="ET575" s="27" t="s">
        <v>7</v>
      </c>
      <c r="EU575" s="27" t="s">
        <v>8</v>
      </c>
      <c r="EV575" s="27" t="s">
        <v>7</v>
      </c>
      <c r="FA575" s="27" t="s">
        <v>8</v>
      </c>
      <c r="FB575" s="27" t="s">
        <v>7</v>
      </c>
      <c r="FG575" s="27" t="s">
        <v>8</v>
      </c>
      <c r="FH575" s="27" t="s">
        <v>7</v>
      </c>
      <c r="FI575" s="27" t="s">
        <v>8</v>
      </c>
      <c r="IN575" s="27" t="s">
        <v>7</v>
      </c>
      <c r="IO575" s="27" t="s">
        <v>8</v>
      </c>
      <c r="IR575" s="27" t="s">
        <v>7</v>
      </c>
    </row>
    <row r="576" spans="1:252" x14ac:dyDescent="0.25">
      <c r="A576" s="7">
        <v>1.2433743083946525</v>
      </c>
      <c r="B576"/>
      <c r="C576"/>
      <c r="D576"/>
      <c r="E576"/>
      <c r="CC576" s="27" t="s">
        <v>8</v>
      </c>
      <c r="CE576" s="27" t="s">
        <v>8</v>
      </c>
      <c r="CF576" s="27" t="s">
        <v>7</v>
      </c>
      <c r="CI576" s="27" t="s">
        <v>8</v>
      </c>
      <c r="CJ576" s="27" t="s">
        <v>7</v>
      </c>
      <c r="CK576" s="27" t="s">
        <v>8</v>
      </c>
      <c r="DP576" s="27" t="s">
        <v>7</v>
      </c>
      <c r="DQ576" s="27" t="s">
        <v>8</v>
      </c>
      <c r="DR576" s="27" t="s">
        <v>7</v>
      </c>
      <c r="DU576" s="27" t="s">
        <v>8</v>
      </c>
      <c r="DV576" s="27" t="s">
        <v>7</v>
      </c>
      <c r="DY576" s="27" t="s">
        <v>8</v>
      </c>
      <c r="DZ576" s="27" t="s">
        <v>7</v>
      </c>
      <c r="ES576" s="27" t="s">
        <v>8</v>
      </c>
      <c r="ET576" s="27" t="s">
        <v>7</v>
      </c>
      <c r="EU576" s="27" t="s">
        <v>8</v>
      </c>
      <c r="EV576" s="27" t="s">
        <v>7</v>
      </c>
      <c r="FA576" s="27" t="s">
        <v>8</v>
      </c>
      <c r="FB576" s="27" t="s">
        <v>7</v>
      </c>
      <c r="FG576" s="27" t="s">
        <v>8</v>
      </c>
      <c r="FH576" s="27" t="s">
        <v>7</v>
      </c>
      <c r="FI576" s="27" t="s">
        <v>8</v>
      </c>
      <c r="IN576" s="27" t="s">
        <v>7</v>
      </c>
      <c r="IO576" s="27" t="s">
        <v>8</v>
      </c>
      <c r="IR576" s="27" t="s">
        <v>7</v>
      </c>
    </row>
    <row r="577" spans="1:256" x14ac:dyDescent="0.25">
      <c r="A577" s="7">
        <v>1.2189944199947573</v>
      </c>
      <c r="B577"/>
      <c r="C577"/>
      <c r="D577"/>
      <c r="E577"/>
      <c r="CC577" s="27" t="s">
        <v>8</v>
      </c>
      <c r="CD577" s="27" t="s">
        <v>7</v>
      </c>
      <c r="CE577" s="27" t="s">
        <v>8</v>
      </c>
      <c r="CF577" s="27" t="s">
        <v>7</v>
      </c>
      <c r="CI577" s="27" t="s">
        <v>8</v>
      </c>
      <c r="CJ577" s="27" t="s">
        <v>7</v>
      </c>
      <c r="CK577" s="27" t="s">
        <v>8</v>
      </c>
      <c r="DP577" s="27" t="s">
        <v>7</v>
      </c>
      <c r="DQ577" s="27" t="s">
        <v>8</v>
      </c>
      <c r="DR577" s="27" t="s">
        <v>7</v>
      </c>
      <c r="DS577" s="27" t="s">
        <v>8</v>
      </c>
      <c r="DU577" s="27" t="s">
        <v>8</v>
      </c>
      <c r="DV577" s="27" t="s">
        <v>7</v>
      </c>
      <c r="DY577" s="27" t="s">
        <v>8</v>
      </c>
      <c r="DZ577" s="27" t="s">
        <v>7</v>
      </c>
      <c r="EE577" s="27" t="s">
        <v>8</v>
      </c>
      <c r="ES577" s="27" t="s">
        <v>8</v>
      </c>
      <c r="ET577" s="27" t="s">
        <v>7</v>
      </c>
      <c r="EU577" s="27" t="s">
        <v>8</v>
      </c>
      <c r="EV577" s="27" t="s">
        <v>7</v>
      </c>
      <c r="FA577" s="27" t="s">
        <v>8</v>
      </c>
      <c r="FB577" s="27" t="s">
        <v>7</v>
      </c>
      <c r="FC577" s="27" t="s">
        <v>8</v>
      </c>
      <c r="FG577" s="27" t="s">
        <v>8</v>
      </c>
      <c r="FH577" s="27" t="s">
        <v>7</v>
      </c>
      <c r="IN577" s="27" t="s">
        <v>7</v>
      </c>
      <c r="IR577" s="27" t="s">
        <v>7</v>
      </c>
    </row>
    <row r="578" spans="1:256" x14ac:dyDescent="0.25">
      <c r="A578" s="7">
        <v>1.1950925686223111</v>
      </c>
      <c r="B578"/>
      <c r="C578"/>
      <c r="D578"/>
      <c r="E578"/>
      <c r="CC578" s="27" t="s">
        <v>8</v>
      </c>
      <c r="CD578" s="27" t="s">
        <v>7</v>
      </c>
      <c r="CE578" s="27" t="s">
        <v>8</v>
      </c>
      <c r="CF578" s="27" t="s">
        <v>7</v>
      </c>
      <c r="CI578" s="27" t="s">
        <v>8</v>
      </c>
      <c r="CJ578" s="27" t="s">
        <v>7</v>
      </c>
      <c r="DP578" s="27" t="s">
        <v>7</v>
      </c>
      <c r="DQ578" s="27" t="s">
        <v>8</v>
      </c>
      <c r="DR578" s="27" t="s">
        <v>7</v>
      </c>
      <c r="DS578" s="27" t="s">
        <v>8</v>
      </c>
      <c r="DT578" s="27" t="s">
        <v>7</v>
      </c>
      <c r="DU578" s="27" t="s">
        <v>8</v>
      </c>
      <c r="DV578" s="27" t="s">
        <v>7</v>
      </c>
      <c r="DW578" s="27" t="s">
        <v>8</v>
      </c>
      <c r="DY578" s="27" t="s">
        <v>8</v>
      </c>
      <c r="DZ578" s="27" t="s">
        <v>7</v>
      </c>
      <c r="EE578" s="27" t="s">
        <v>8</v>
      </c>
      <c r="EF578" s="27" t="s">
        <v>7</v>
      </c>
      <c r="EG578" s="27" t="s">
        <v>8</v>
      </c>
      <c r="ES578" s="27" t="s">
        <v>8</v>
      </c>
      <c r="ET578" s="27" t="s">
        <v>7</v>
      </c>
      <c r="EU578" s="27" t="s">
        <v>8</v>
      </c>
      <c r="EV578" s="27" t="s">
        <v>7</v>
      </c>
      <c r="FA578" s="27" t="s">
        <v>8</v>
      </c>
      <c r="FB578" s="27" t="s">
        <v>7</v>
      </c>
      <c r="FC578" s="27" t="s">
        <v>8</v>
      </c>
      <c r="FD578" s="27" t="s">
        <v>7</v>
      </c>
      <c r="FE578" s="27" t="s">
        <v>8</v>
      </c>
      <c r="FG578" s="27" t="s">
        <v>8</v>
      </c>
      <c r="IR578" s="27" t="s">
        <v>7</v>
      </c>
    </row>
    <row r="579" spans="1:256" x14ac:dyDescent="0.25">
      <c r="A579" s="7">
        <v>1.1716593810022657</v>
      </c>
      <c r="B579"/>
      <c r="C579"/>
      <c r="D579"/>
      <c r="E579"/>
      <c r="CC579" s="27" t="s">
        <v>8</v>
      </c>
      <c r="CD579" s="27" t="s">
        <v>7</v>
      </c>
      <c r="CE579" s="27" t="s">
        <v>8</v>
      </c>
      <c r="CF579" s="27" t="s">
        <v>7</v>
      </c>
      <c r="CI579" s="27" t="s">
        <v>8</v>
      </c>
      <c r="DP579" s="27" t="s">
        <v>7</v>
      </c>
      <c r="DQ579" s="27" t="s">
        <v>8</v>
      </c>
      <c r="DR579" s="27" t="s">
        <v>7</v>
      </c>
      <c r="DS579" s="27" t="s">
        <v>8</v>
      </c>
      <c r="DT579" s="27" t="s">
        <v>7</v>
      </c>
      <c r="DU579" s="27" t="s">
        <v>8</v>
      </c>
      <c r="DV579" s="27" t="s">
        <v>7</v>
      </c>
      <c r="DW579" s="27" t="s">
        <v>8</v>
      </c>
      <c r="DX579" s="27" t="s">
        <v>7</v>
      </c>
      <c r="DY579" s="27" t="s">
        <v>8</v>
      </c>
      <c r="DZ579" s="27" t="s">
        <v>7</v>
      </c>
      <c r="EE579" s="27" t="s">
        <v>8</v>
      </c>
      <c r="EF579" s="27" t="s">
        <v>7</v>
      </c>
      <c r="EG579" s="27" t="s">
        <v>8</v>
      </c>
      <c r="EH579" s="27" t="s">
        <v>7</v>
      </c>
      <c r="ES579" s="27" t="s">
        <v>8</v>
      </c>
      <c r="ET579" s="27" t="s">
        <v>7</v>
      </c>
      <c r="EU579" s="27" t="s">
        <v>8</v>
      </c>
      <c r="EV579" s="27" t="s">
        <v>7</v>
      </c>
      <c r="FA579" s="27" t="s">
        <v>8</v>
      </c>
      <c r="FB579" s="27" t="s">
        <v>7</v>
      </c>
      <c r="FC579" s="27" t="s">
        <v>8</v>
      </c>
      <c r="FD579" s="27" t="s">
        <v>7</v>
      </c>
      <c r="FE579" s="27" t="s">
        <v>8</v>
      </c>
      <c r="FF579" s="27" t="s">
        <v>7</v>
      </c>
      <c r="FG579" s="27" t="s">
        <v>8</v>
      </c>
      <c r="IR579" s="27" t="s">
        <v>7</v>
      </c>
    </row>
    <row r="580" spans="1:256" x14ac:dyDescent="0.25">
      <c r="A580" s="7">
        <v>1.14868566764928</v>
      </c>
      <c r="B580"/>
      <c r="C580"/>
      <c r="D580"/>
      <c r="E580"/>
      <c r="CC580" s="27" t="s">
        <v>8</v>
      </c>
      <c r="CD580" s="27" t="s">
        <v>7</v>
      </c>
      <c r="CE580" s="27" t="s">
        <v>8</v>
      </c>
      <c r="CF580" s="27" t="s">
        <v>7</v>
      </c>
      <c r="CI580" s="27" t="s">
        <v>8</v>
      </c>
      <c r="DP580" s="27" t="s">
        <v>7</v>
      </c>
      <c r="DQ580" s="27" t="s">
        <v>8</v>
      </c>
      <c r="DR580" s="27" t="s">
        <v>7</v>
      </c>
      <c r="DS580" s="27" t="s">
        <v>8</v>
      </c>
      <c r="DT580" s="27" t="s">
        <v>7</v>
      </c>
      <c r="DU580" s="27" t="s">
        <v>8</v>
      </c>
      <c r="DV580" s="27" t="s">
        <v>7</v>
      </c>
      <c r="DW580" s="27" t="s">
        <v>8</v>
      </c>
      <c r="DX580" s="27" t="s">
        <v>7</v>
      </c>
      <c r="DY580" s="27" t="s">
        <v>8</v>
      </c>
      <c r="DZ580" s="27" t="s">
        <v>7</v>
      </c>
      <c r="EE580" s="27" t="s">
        <v>8</v>
      </c>
      <c r="EF580" s="27" t="s">
        <v>7</v>
      </c>
      <c r="EG580" s="27" t="s">
        <v>8</v>
      </c>
      <c r="EH580" s="27" t="s">
        <v>7</v>
      </c>
      <c r="ES580" s="27" t="s">
        <v>8</v>
      </c>
      <c r="ET580" s="27" t="s">
        <v>7</v>
      </c>
      <c r="EU580" s="27" t="s">
        <v>8</v>
      </c>
      <c r="EV580" s="27" t="s">
        <v>7</v>
      </c>
      <c r="EW580" s="27" t="s">
        <v>8</v>
      </c>
      <c r="FA580" s="27" t="s">
        <v>8</v>
      </c>
      <c r="FB580" s="27" t="s">
        <v>7</v>
      </c>
      <c r="FC580" s="27" t="s">
        <v>8</v>
      </c>
      <c r="FD580" s="27" t="s">
        <v>7</v>
      </c>
      <c r="FE580" s="27" t="s">
        <v>8</v>
      </c>
      <c r="FF580" s="27" t="s">
        <v>7</v>
      </c>
      <c r="FG580" s="27" t="s">
        <v>8</v>
      </c>
      <c r="IR580" s="27" t="s">
        <v>7</v>
      </c>
    </row>
    <row r="581" spans="1:256" x14ac:dyDescent="0.25">
      <c r="A581" s="7">
        <v>1.1261624192640001</v>
      </c>
      <c r="B581"/>
      <c r="C581"/>
      <c r="D581"/>
      <c r="E581"/>
      <c r="CC581" s="27" t="s">
        <v>8</v>
      </c>
      <c r="CD581" s="27" t="s">
        <v>7</v>
      </c>
      <c r="CE581" s="27" t="s">
        <v>8</v>
      </c>
      <c r="CF581" s="27" t="s">
        <v>7</v>
      </c>
      <c r="CG581" s="27" t="s">
        <v>8</v>
      </c>
      <c r="CI581" s="27" t="s">
        <v>8</v>
      </c>
      <c r="DP581" s="27" t="s">
        <v>7</v>
      </c>
      <c r="DQ581" s="27" t="s">
        <v>8</v>
      </c>
      <c r="DR581" s="27" t="s">
        <v>7</v>
      </c>
      <c r="DS581" s="27" t="s">
        <v>8</v>
      </c>
      <c r="DT581" s="27" t="s">
        <v>7</v>
      </c>
      <c r="DU581" s="27" t="s">
        <v>8</v>
      </c>
      <c r="DV581" s="27" t="s">
        <v>7</v>
      </c>
      <c r="DW581" s="27" t="s">
        <v>8</v>
      </c>
      <c r="DX581" s="27" t="s">
        <v>7</v>
      </c>
      <c r="DY581" s="27" t="s">
        <v>8</v>
      </c>
      <c r="DZ581" s="27" t="s">
        <v>7</v>
      </c>
      <c r="EA581" s="27" t="s">
        <v>8</v>
      </c>
      <c r="EE581" s="27" t="s">
        <v>8</v>
      </c>
      <c r="EF581" s="27" t="s">
        <v>7</v>
      </c>
      <c r="EG581" s="27" t="s">
        <v>8</v>
      </c>
      <c r="EH581" s="27" t="s">
        <v>7</v>
      </c>
      <c r="ES581" s="27" t="s">
        <v>8</v>
      </c>
      <c r="ET581" s="27" t="s">
        <v>7</v>
      </c>
      <c r="EU581" s="27" t="s">
        <v>8</v>
      </c>
      <c r="EV581" s="27" t="s">
        <v>7</v>
      </c>
      <c r="EW581" s="27" t="s">
        <v>8</v>
      </c>
      <c r="EX581" s="27" t="s">
        <v>7</v>
      </c>
      <c r="FA581" s="27" t="s">
        <v>8</v>
      </c>
      <c r="FB581" s="27" t="s">
        <v>7</v>
      </c>
      <c r="FC581" s="27" t="s">
        <v>8</v>
      </c>
      <c r="FD581" s="27" t="s">
        <v>7</v>
      </c>
      <c r="FE581" s="27" t="s">
        <v>8</v>
      </c>
      <c r="FF581" s="27" t="s">
        <v>7</v>
      </c>
      <c r="FG581" s="27" t="s">
        <v>8</v>
      </c>
      <c r="IR581" s="27" t="s">
        <v>7</v>
      </c>
    </row>
    <row r="582" spans="1:256" x14ac:dyDescent="0.25">
      <c r="A582" s="7">
        <v>1.1040808032</v>
      </c>
      <c r="B582"/>
      <c r="C582"/>
      <c r="D582"/>
      <c r="E582"/>
      <c r="CC582" s="27" t="s">
        <v>8</v>
      </c>
      <c r="CD582" s="27" t="s">
        <v>7</v>
      </c>
      <c r="CE582" s="27" t="s">
        <v>8</v>
      </c>
      <c r="CF582" s="27" t="s">
        <v>7</v>
      </c>
      <c r="CG582" s="27" t="s">
        <v>8</v>
      </c>
      <c r="CH582" s="27" t="s">
        <v>7</v>
      </c>
      <c r="CI582" s="27" t="s">
        <v>8</v>
      </c>
      <c r="DP582" s="27" t="s">
        <v>7</v>
      </c>
      <c r="DQ582" s="27" t="s">
        <v>8</v>
      </c>
      <c r="DR582" s="27" t="s">
        <v>7</v>
      </c>
      <c r="DS582" s="27" t="s">
        <v>8</v>
      </c>
      <c r="DT582" s="27" t="s">
        <v>7</v>
      </c>
      <c r="DU582" s="27" t="s">
        <v>8</v>
      </c>
      <c r="DV582" s="27" t="s">
        <v>7</v>
      </c>
      <c r="DW582" s="27" t="s">
        <v>8</v>
      </c>
      <c r="DX582" s="27" t="s">
        <v>7</v>
      </c>
      <c r="DZ582" s="27" t="s">
        <v>7</v>
      </c>
      <c r="EA582" s="27" t="s">
        <v>8</v>
      </c>
      <c r="EB582" s="27" t="s">
        <v>7</v>
      </c>
      <c r="EE582" s="27" t="s">
        <v>8</v>
      </c>
      <c r="EF582" s="27" t="s">
        <v>7</v>
      </c>
      <c r="EG582" s="27" t="s">
        <v>8</v>
      </c>
      <c r="EH582" s="27" t="s">
        <v>7</v>
      </c>
      <c r="ES582" s="27" t="s">
        <v>8</v>
      </c>
      <c r="ET582" s="27" t="s">
        <v>7</v>
      </c>
      <c r="EV582" s="27" t="s">
        <v>7</v>
      </c>
      <c r="EW582" s="27" t="s">
        <v>8</v>
      </c>
      <c r="EX582" s="27" t="s">
        <v>7</v>
      </c>
      <c r="FA582" s="27" t="s">
        <v>8</v>
      </c>
      <c r="FB582" s="27" t="s">
        <v>7</v>
      </c>
      <c r="FC582" s="27" t="s">
        <v>8</v>
      </c>
      <c r="FD582" s="27" t="s">
        <v>7</v>
      </c>
      <c r="FE582" s="27" t="s">
        <v>8</v>
      </c>
      <c r="FF582" s="27" t="s">
        <v>7</v>
      </c>
      <c r="FG582" s="27" t="s">
        <v>8</v>
      </c>
      <c r="IR582" s="27" t="s">
        <v>7</v>
      </c>
    </row>
    <row r="583" spans="1:256" x14ac:dyDescent="0.25">
      <c r="A583" s="7">
        <v>1.08243216</v>
      </c>
      <c r="B583"/>
      <c r="C583"/>
      <c r="D583"/>
      <c r="E583"/>
      <c r="CC583" s="27" t="s">
        <v>8</v>
      </c>
      <c r="CD583" s="27" t="s">
        <v>7</v>
      </c>
      <c r="CE583" s="27" t="s">
        <v>8</v>
      </c>
      <c r="CF583" s="27" t="s">
        <v>7</v>
      </c>
      <c r="CG583" s="27" t="s">
        <v>8</v>
      </c>
      <c r="CH583" s="27" t="s">
        <v>7</v>
      </c>
      <c r="CI583" s="27" t="s">
        <v>8</v>
      </c>
      <c r="DP583" s="27" t="s">
        <v>7</v>
      </c>
      <c r="DQ583" s="27" t="s">
        <v>8</v>
      </c>
      <c r="DR583" s="27" t="s">
        <v>7</v>
      </c>
      <c r="DT583" s="27" t="s">
        <v>7</v>
      </c>
      <c r="DU583" s="27" t="s">
        <v>8</v>
      </c>
      <c r="DV583" s="27" t="s">
        <v>7</v>
      </c>
      <c r="DW583" s="27" t="s">
        <v>8</v>
      </c>
      <c r="DZ583" s="27" t="s">
        <v>7</v>
      </c>
      <c r="EA583" s="27" t="s">
        <v>8</v>
      </c>
      <c r="EB583" s="27" t="s">
        <v>7</v>
      </c>
      <c r="EE583" s="27" t="s">
        <v>8</v>
      </c>
      <c r="EF583" s="27" t="s">
        <v>7</v>
      </c>
      <c r="EG583" s="27" t="s">
        <v>8</v>
      </c>
      <c r="EH583" s="27" t="s">
        <v>7</v>
      </c>
      <c r="EQ583" s="27" t="s">
        <v>8</v>
      </c>
      <c r="ES583" s="27" t="s">
        <v>8</v>
      </c>
      <c r="EV583" s="27" t="s">
        <v>7</v>
      </c>
      <c r="EW583" s="27" t="s">
        <v>8</v>
      </c>
      <c r="EX583" s="27" t="s">
        <v>7</v>
      </c>
      <c r="FA583" s="27" t="s">
        <v>8</v>
      </c>
      <c r="FB583" s="27" t="s">
        <v>7</v>
      </c>
      <c r="FC583" s="27" t="s">
        <v>8</v>
      </c>
      <c r="FD583" s="27" t="s">
        <v>7</v>
      </c>
      <c r="FE583" s="27" t="s">
        <v>8</v>
      </c>
      <c r="FF583" s="27" t="s">
        <v>7</v>
      </c>
      <c r="FG583" s="27" t="s">
        <v>8</v>
      </c>
      <c r="IR583" s="27" t="s">
        <v>7</v>
      </c>
    </row>
    <row r="584" spans="1:256" x14ac:dyDescent="0.25">
      <c r="A584" s="7">
        <v>1.0612079999999999</v>
      </c>
      <c r="B584"/>
      <c r="C584"/>
      <c r="D584"/>
      <c r="E584"/>
      <c r="CC584" s="27" t="s">
        <v>8</v>
      </c>
      <c r="CD584" s="27" t="s">
        <v>7</v>
      </c>
      <c r="CE584" s="27" t="s">
        <v>8</v>
      </c>
      <c r="CF584" s="27" t="s">
        <v>7</v>
      </c>
      <c r="CG584" s="27" t="s">
        <v>8</v>
      </c>
      <c r="CH584" s="27" t="s">
        <v>7</v>
      </c>
      <c r="CI584" s="27" t="s">
        <v>8</v>
      </c>
      <c r="DP584" s="27" t="s">
        <v>7</v>
      </c>
      <c r="DQ584" s="27" t="s">
        <v>8</v>
      </c>
      <c r="DT584" s="27" t="s">
        <v>7</v>
      </c>
      <c r="DU584" s="27" t="s">
        <v>8</v>
      </c>
      <c r="DV584" s="27" t="s">
        <v>7</v>
      </c>
      <c r="DW584" s="27" t="s">
        <v>8</v>
      </c>
      <c r="DZ584" s="27" t="s">
        <v>7</v>
      </c>
      <c r="EA584" s="27" t="s">
        <v>8</v>
      </c>
      <c r="EB584" s="27" t="s">
        <v>7</v>
      </c>
      <c r="EC584" s="27" t="s">
        <v>8</v>
      </c>
      <c r="EE584" s="27" t="s">
        <v>8</v>
      </c>
      <c r="EF584" s="27" t="s">
        <v>7</v>
      </c>
      <c r="EG584" s="27" t="s">
        <v>8</v>
      </c>
      <c r="EH584" s="27" t="s">
        <v>7</v>
      </c>
      <c r="EQ584" s="27" t="s">
        <v>8</v>
      </c>
      <c r="ER584" s="27" t="s">
        <v>7</v>
      </c>
      <c r="ES584" s="27" t="s">
        <v>8</v>
      </c>
      <c r="EV584" s="27" t="s">
        <v>7</v>
      </c>
      <c r="EW584" s="27" t="s">
        <v>8</v>
      </c>
      <c r="EX584" s="27" t="s">
        <v>7</v>
      </c>
      <c r="FA584" s="27" t="s">
        <v>8</v>
      </c>
      <c r="FB584" s="27" t="s">
        <v>7</v>
      </c>
      <c r="FD584" s="27" t="s">
        <v>7</v>
      </c>
      <c r="FF584" s="27" t="s">
        <v>7</v>
      </c>
      <c r="IR584" s="27" t="s">
        <v>7</v>
      </c>
    </row>
    <row r="585" spans="1:256" x14ac:dyDescent="0.25">
      <c r="A585" s="7">
        <v>1.0404</v>
      </c>
      <c r="B585"/>
      <c r="C585"/>
      <c r="D585"/>
      <c r="E585"/>
      <c r="CC585" s="27" t="s">
        <v>8</v>
      </c>
      <c r="CD585" s="27" t="s">
        <v>7</v>
      </c>
      <c r="CE585" s="27" t="s">
        <v>8</v>
      </c>
      <c r="CF585" s="27" t="s">
        <v>7</v>
      </c>
      <c r="CG585" s="27" t="s">
        <v>8</v>
      </c>
      <c r="CH585" s="27" t="s">
        <v>7</v>
      </c>
      <c r="CI585" s="27" t="s">
        <v>8</v>
      </c>
      <c r="DP585" s="27" t="s">
        <v>7</v>
      </c>
      <c r="DQ585" s="27" t="s">
        <v>8</v>
      </c>
      <c r="DT585" s="27" t="s">
        <v>7</v>
      </c>
      <c r="DU585" s="27" t="s">
        <v>8</v>
      </c>
      <c r="DV585" s="27" t="s">
        <v>7</v>
      </c>
      <c r="DW585" s="27" t="s">
        <v>8</v>
      </c>
      <c r="DZ585" s="27" t="s">
        <v>7</v>
      </c>
      <c r="EA585" s="27" t="s">
        <v>8</v>
      </c>
      <c r="EB585" s="27" t="s">
        <v>7</v>
      </c>
      <c r="EC585" s="27" t="s">
        <v>8</v>
      </c>
      <c r="ED585" s="27" t="s">
        <v>7</v>
      </c>
      <c r="EE585" s="27" t="s">
        <v>8</v>
      </c>
      <c r="EF585" s="27" t="s">
        <v>7</v>
      </c>
      <c r="EG585" s="27" t="s">
        <v>8</v>
      </c>
      <c r="EH585" s="27" t="s">
        <v>7</v>
      </c>
      <c r="EO585" s="27" t="s">
        <v>8</v>
      </c>
      <c r="EQ585" s="27" t="s">
        <v>8</v>
      </c>
      <c r="ER585" s="27" t="s">
        <v>7</v>
      </c>
      <c r="ES585" s="27" t="s">
        <v>8</v>
      </c>
      <c r="EV585" s="27" t="s">
        <v>7</v>
      </c>
      <c r="EW585" s="27" t="s">
        <v>8</v>
      </c>
      <c r="EX585" s="27" t="s">
        <v>7</v>
      </c>
      <c r="FA585" s="27" t="s">
        <v>8</v>
      </c>
      <c r="IR585" s="27" t="s">
        <v>7</v>
      </c>
    </row>
    <row r="586" spans="1:256" x14ac:dyDescent="0.25">
      <c r="A586" s="7">
        <v>1.02</v>
      </c>
      <c r="B586"/>
      <c r="C586"/>
      <c r="D586"/>
      <c r="E586"/>
      <c r="CC586" s="27" t="s">
        <v>8</v>
      </c>
      <c r="CD586" s="27" t="s">
        <v>7</v>
      </c>
      <c r="CE586" s="27" t="s">
        <v>8</v>
      </c>
      <c r="CF586" s="27" t="s">
        <v>7</v>
      </c>
      <c r="CG586" s="27" t="s">
        <v>8</v>
      </c>
      <c r="CH586" s="27" t="s">
        <v>7</v>
      </c>
      <c r="CI586" s="27" t="s">
        <v>8</v>
      </c>
      <c r="DP586" s="27" t="s">
        <v>7</v>
      </c>
      <c r="DQ586" s="27" t="s">
        <v>8</v>
      </c>
      <c r="DT586" s="27" t="s">
        <v>7</v>
      </c>
      <c r="DU586" s="27" t="s">
        <v>8</v>
      </c>
      <c r="DV586" s="27" t="s">
        <v>7</v>
      </c>
      <c r="DW586" s="27" t="s">
        <v>8</v>
      </c>
      <c r="DZ586" s="27" t="s">
        <v>7</v>
      </c>
      <c r="EB586" s="27" t="s">
        <v>7</v>
      </c>
      <c r="EC586" s="27" t="s">
        <v>8</v>
      </c>
      <c r="ED586" s="27" t="s">
        <v>7</v>
      </c>
      <c r="EE586" s="27" t="s">
        <v>8</v>
      </c>
      <c r="EF586" s="27" t="s">
        <v>7</v>
      </c>
      <c r="EG586" s="27" t="s">
        <v>8</v>
      </c>
      <c r="EH586" s="27" t="s">
        <v>7</v>
      </c>
      <c r="EO586" s="27" t="s">
        <v>8</v>
      </c>
      <c r="EP586" s="27" t="s">
        <v>7</v>
      </c>
      <c r="EQ586" s="27" t="s">
        <v>8</v>
      </c>
      <c r="ER586" s="27" t="s">
        <v>7</v>
      </c>
      <c r="ES586" s="27" t="s">
        <v>8</v>
      </c>
      <c r="EV586" s="27" t="s">
        <v>7</v>
      </c>
      <c r="EW586" s="27" t="s">
        <v>8</v>
      </c>
      <c r="EX586" s="27" t="s">
        <v>7</v>
      </c>
      <c r="EY586" s="27" t="s">
        <v>8</v>
      </c>
      <c r="FA586" s="27" t="s">
        <v>8</v>
      </c>
      <c r="IR586" s="27" t="s">
        <v>7</v>
      </c>
    </row>
    <row r="587" spans="1:256" x14ac:dyDescent="0.25">
      <c r="A587" s="7">
        <v>1</v>
      </c>
      <c r="B587"/>
      <c r="C587"/>
      <c r="D587"/>
      <c r="E587" s="29" t="s">
        <v>8</v>
      </c>
      <c r="CC587" s="27" t="s">
        <v>8</v>
      </c>
      <c r="CD587" s="27" t="s">
        <v>7</v>
      </c>
      <c r="CE587" s="27" t="s">
        <v>8</v>
      </c>
      <c r="CF587" s="27" t="s">
        <v>7</v>
      </c>
      <c r="CG587" s="27" t="s">
        <v>8</v>
      </c>
      <c r="CH587" s="27" t="s">
        <v>7</v>
      </c>
      <c r="CI587" s="27" t="s">
        <v>8</v>
      </c>
      <c r="DP587" s="27" t="s">
        <v>7</v>
      </c>
      <c r="DQ587" s="27" t="s">
        <v>8</v>
      </c>
      <c r="DT587" s="27" t="s">
        <v>7</v>
      </c>
      <c r="DU587" s="27" t="s">
        <v>8</v>
      </c>
      <c r="DV587" s="27" t="s">
        <v>7</v>
      </c>
      <c r="DW587" s="27" t="s">
        <v>8</v>
      </c>
      <c r="EB587" s="27" t="s">
        <v>7</v>
      </c>
      <c r="EC587" s="27" t="s">
        <v>8</v>
      </c>
      <c r="ED587" s="27" t="s">
        <v>7</v>
      </c>
      <c r="EE587" s="27" t="s">
        <v>8</v>
      </c>
      <c r="EF587" s="27" t="s">
        <v>7</v>
      </c>
      <c r="EG587" s="27" t="s">
        <v>8</v>
      </c>
      <c r="EH587" s="27" t="s">
        <v>7</v>
      </c>
      <c r="EO587" s="27" t="s">
        <v>8</v>
      </c>
      <c r="EP587" s="27" t="s">
        <v>7</v>
      </c>
      <c r="EQ587" s="27" t="s">
        <v>8</v>
      </c>
      <c r="ER587" s="27" t="s">
        <v>7</v>
      </c>
      <c r="ES587" s="27" t="s">
        <v>8</v>
      </c>
      <c r="EV587" s="27" t="s">
        <v>7</v>
      </c>
      <c r="EW587" s="27" t="s">
        <v>8</v>
      </c>
      <c r="EX587" s="27" t="s">
        <v>7</v>
      </c>
      <c r="EY587" s="27" t="s">
        <v>8</v>
      </c>
      <c r="EZ587" s="27" t="s">
        <v>7</v>
      </c>
      <c r="FA587" s="27" t="s">
        <v>8</v>
      </c>
      <c r="IR587" s="27" t="s">
        <v>7</v>
      </c>
    </row>
    <row r="588" spans="1:256" x14ac:dyDescent="0.25">
      <c r="A588" s="7">
        <v>0.98039215686274506</v>
      </c>
      <c r="B588"/>
      <c r="C588"/>
      <c r="D588"/>
      <c r="E588"/>
      <c r="F588" s="27" t="s">
        <v>7</v>
      </c>
      <c r="CC588" s="27" t="s">
        <v>8</v>
      </c>
      <c r="CD588" s="27" t="s">
        <v>7</v>
      </c>
      <c r="CE588" s="27" t="s">
        <v>8</v>
      </c>
      <c r="CF588" s="27" t="s">
        <v>7</v>
      </c>
      <c r="CG588" s="27" t="s">
        <v>8</v>
      </c>
      <c r="CH588" s="27" t="s">
        <v>7</v>
      </c>
      <c r="CI588" s="27" t="s">
        <v>8</v>
      </c>
      <c r="DP588" s="27" t="s">
        <v>7</v>
      </c>
      <c r="DT588" s="27" t="s">
        <v>7</v>
      </c>
      <c r="DU588" s="27" t="s">
        <v>8</v>
      </c>
      <c r="DV588" s="27" t="s">
        <v>7</v>
      </c>
      <c r="DW588" s="27" t="s">
        <v>8</v>
      </c>
      <c r="EB588" s="27" t="s">
        <v>7</v>
      </c>
      <c r="EC588" s="27" t="s">
        <v>8</v>
      </c>
      <c r="ED588" s="27" t="s">
        <v>7</v>
      </c>
      <c r="EF588" s="27" t="s">
        <v>7</v>
      </c>
      <c r="EH588" s="27" t="s">
        <v>7</v>
      </c>
      <c r="EO588" s="27" t="s">
        <v>8</v>
      </c>
      <c r="EP588" s="27" t="s">
        <v>7</v>
      </c>
      <c r="EQ588" s="27" t="s">
        <v>8</v>
      </c>
      <c r="ER588" s="27" t="s">
        <v>7</v>
      </c>
      <c r="ES588" s="27" t="s">
        <v>8</v>
      </c>
      <c r="EV588" s="27" t="s">
        <v>7</v>
      </c>
      <c r="EW588" s="27" t="s">
        <v>8</v>
      </c>
      <c r="EX588" s="27" t="s">
        <v>7</v>
      </c>
      <c r="EY588" s="27" t="s">
        <v>8</v>
      </c>
      <c r="EZ588" s="27" t="s">
        <v>7</v>
      </c>
      <c r="FA588" s="27" t="s">
        <v>8</v>
      </c>
      <c r="IR588" s="27" t="s">
        <v>7</v>
      </c>
    </row>
    <row r="589" spans="1:256" x14ac:dyDescent="0.25">
      <c r="A589" s="7">
        <v>0.96116878123798544</v>
      </c>
      <c r="B589"/>
      <c r="C589"/>
      <c r="D589"/>
      <c r="E589"/>
      <c r="F589" s="27" t="s">
        <v>7</v>
      </c>
      <c r="CC589" s="27" t="s">
        <v>8</v>
      </c>
      <c r="CD589" s="27" t="s">
        <v>7</v>
      </c>
      <c r="CE589" s="27" t="s">
        <v>8</v>
      </c>
      <c r="CF589" s="27" t="s">
        <v>7</v>
      </c>
      <c r="CG589" s="27" t="s">
        <v>8</v>
      </c>
      <c r="CH589" s="27" t="s">
        <v>7</v>
      </c>
      <c r="DT589" s="27" t="s">
        <v>7</v>
      </c>
      <c r="DU589" s="27" t="s">
        <v>8</v>
      </c>
      <c r="DV589" s="27" t="s">
        <v>7</v>
      </c>
      <c r="DW589" s="27" t="s">
        <v>8</v>
      </c>
      <c r="EB589" s="27" t="s">
        <v>7</v>
      </c>
      <c r="EC589" s="27" t="s">
        <v>8</v>
      </c>
      <c r="EH589" s="27" t="s">
        <v>7</v>
      </c>
      <c r="EO589" s="27" t="s">
        <v>8</v>
      </c>
      <c r="EP589" s="27" t="s">
        <v>7</v>
      </c>
      <c r="EQ589" s="27" t="s">
        <v>8</v>
      </c>
      <c r="ER589" s="27" t="s">
        <v>7</v>
      </c>
      <c r="ES589" s="27" t="s">
        <v>8</v>
      </c>
      <c r="EV589" s="27" t="s">
        <v>7</v>
      </c>
      <c r="EW589" s="27" t="s">
        <v>8</v>
      </c>
      <c r="EX589" s="27" t="s">
        <v>7</v>
      </c>
      <c r="EY589" s="27" t="s">
        <v>8</v>
      </c>
      <c r="EZ589" s="27" t="s">
        <v>7</v>
      </c>
      <c r="FA589" s="27" t="s">
        <v>8</v>
      </c>
      <c r="IR589" s="27" t="s">
        <v>7</v>
      </c>
      <c r="IS589" s="27" t="s">
        <v>8</v>
      </c>
      <c r="IU589" s="27" t="s">
        <v>8</v>
      </c>
    </row>
    <row r="590" spans="1:256" x14ac:dyDescent="0.25">
      <c r="A590" s="7">
        <v>0.94232233454704462</v>
      </c>
      <c r="B590"/>
      <c r="C590"/>
      <c r="D590"/>
      <c r="E590"/>
      <c r="F590" s="27" t="s">
        <v>7</v>
      </c>
      <c r="CC590" s="27" t="s">
        <v>8</v>
      </c>
      <c r="CD590" s="27" t="s">
        <v>7</v>
      </c>
      <c r="CE590" s="27" t="s">
        <v>8</v>
      </c>
      <c r="CF590" s="27" t="s">
        <v>7</v>
      </c>
      <c r="DT590" s="27" t="s">
        <v>7</v>
      </c>
      <c r="DU590" s="27" t="s">
        <v>8</v>
      </c>
      <c r="DV590" s="27" t="s">
        <v>7</v>
      </c>
      <c r="DW590" s="27" t="s">
        <v>8</v>
      </c>
      <c r="EB590" s="27" t="s">
        <v>7</v>
      </c>
      <c r="EC590" s="27" t="s">
        <v>8</v>
      </c>
      <c r="EH590" s="27" t="s">
        <v>7</v>
      </c>
      <c r="EO590" s="27" t="s">
        <v>8</v>
      </c>
      <c r="EP590" s="27" t="s">
        <v>7</v>
      </c>
      <c r="EQ590" s="27" t="s">
        <v>8</v>
      </c>
      <c r="ER590" s="27" t="s">
        <v>7</v>
      </c>
      <c r="ES590" s="27" t="s">
        <v>8</v>
      </c>
      <c r="EV590" s="27" t="s">
        <v>7</v>
      </c>
      <c r="EW590" s="27" t="s">
        <v>8</v>
      </c>
      <c r="EX590" s="27" t="s">
        <v>7</v>
      </c>
      <c r="EY590" s="27" t="s">
        <v>8</v>
      </c>
      <c r="EZ590" s="27" t="s">
        <v>7</v>
      </c>
      <c r="FA590" s="27" t="s">
        <v>8</v>
      </c>
      <c r="IR590" s="27" t="s">
        <v>7</v>
      </c>
      <c r="IS590" s="27" t="s">
        <v>8</v>
      </c>
      <c r="IT590" s="27" t="s">
        <v>7</v>
      </c>
      <c r="IU590" s="27" t="s">
        <v>8</v>
      </c>
      <c r="IV590" s="27" t="s">
        <v>7</v>
      </c>
    </row>
    <row r="591" spans="1:256" x14ac:dyDescent="0.25">
      <c r="A591" s="7">
        <v>0.92384542602651432</v>
      </c>
      <c r="B591"/>
      <c r="C591"/>
      <c r="D591"/>
      <c r="E591"/>
      <c r="F591" s="27" t="s">
        <v>7</v>
      </c>
      <c r="CC591" s="27" t="s">
        <v>8</v>
      </c>
      <c r="CD591" s="27" t="s">
        <v>7</v>
      </c>
      <c r="CE591" s="27" t="s">
        <v>8</v>
      </c>
      <c r="DT591" s="27" t="s">
        <v>7</v>
      </c>
      <c r="DU591" s="27" t="s">
        <v>8</v>
      </c>
      <c r="DV591" s="27" t="s">
        <v>7</v>
      </c>
      <c r="DW591" s="27" t="s">
        <v>8</v>
      </c>
      <c r="EB591" s="27" t="s">
        <v>7</v>
      </c>
      <c r="EH591" s="27" t="s">
        <v>7</v>
      </c>
      <c r="EO591" s="27" t="s">
        <v>8</v>
      </c>
      <c r="EP591" s="27" t="s">
        <v>7</v>
      </c>
      <c r="EQ591" s="27" t="s">
        <v>8</v>
      </c>
      <c r="ER591" s="27" t="s">
        <v>7</v>
      </c>
      <c r="EV591" s="27" t="s">
        <v>7</v>
      </c>
      <c r="EW591" s="27" t="s">
        <v>8</v>
      </c>
      <c r="EX591" s="27" t="s">
        <v>7</v>
      </c>
      <c r="EY591" s="27" t="s">
        <v>8</v>
      </c>
      <c r="EZ591" s="27" t="s">
        <v>7</v>
      </c>
      <c r="FA591" s="27" t="s">
        <v>8</v>
      </c>
      <c r="IR591" s="27" t="s">
        <v>7</v>
      </c>
      <c r="IS591" s="27" t="s">
        <v>8</v>
      </c>
      <c r="IT591" s="27" t="s">
        <v>7</v>
      </c>
      <c r="IU591" s="27" t="s">
        <v>8</v>
      </c>
      <c r="IV591" s="27" t="s">
        <v>7</v>
      </c>
    </row>
    <row r="592" spans="1:256" x14ac:dyDescent="0.25">
      <c r="A592" s="7">
        <v>0.90573080982991594</v>
      </c>
      <c r="B592"/>
      <c r="C592"/>
      <c r="D592"/>
      <c r="E592"/>
      <c r="F592" s="27" t="s">
        <v>7</v>
      </c>
      <c r="CC592" s="27" t="s">
        <v>8</v>
      </c>
      <c r="CD592" s="27" t="s">
        <v>7</v>
      </c>
      <c r="CE592" s="27" t="s">
        <v>8</v>
      </c>
      <c r="DT592" s="27" t="s">
        <v>7</v>
      </c>
      <c r="DU592" s="27" t="s">
        <v>8</v>
      </c>
      <c r="DV592" s="27" t="s">
        <v>7</v>
      </c>
      <c r="EH592" s="27" t="s">
        <v>7</v>
      </c>
      <c r="EO592" s="27" t="s">
        <v>8</v>
      </c>
      <c r="EP592" s="27" t="s">
        <v>7</v>
      </c>
      <c r="EQ592" s="27" t="s">
        <v>8</v>
      </c>
      <c r="EV592" s="27" t="s">
        <v>7</v>
      </c>
      <c r="EX592" s="27" t="s">
        <v>7</v>
      </c>
      <c r="EY592" s="27" t="s">
        <v>8</v>
      </c>
      <c r="EZ592" s="27" t="s">
        <v>7</v>
      </c>
      <c r="IR592" s="27" t="s">
        <v>7</v>
      </c>
      <c r="IS592" s="27" t="s">
        <v>8</v>
      </c>
      <c r="IT592" s="27" t="s">
        <v>7</v>
      </c>
      <c r="IU592" s="27" t="s">
        <v>8</v>
      </c>
      <c r="IV592" s="27" t="s">
        <v>7</v>
      </c>
    </row>
    <row r="593" spans="1:256" x14ac:dyDescent="0.25">
      <c r="A593" s="7">
        <v>0.8879713821861922</v>
      </c>
      <c r="B593"/>
      <c r="C593"/>
      <c r="D593"/>
      <c r="E593"/>
      <c r="F593" s="27" t="s">
        <v>7</v>
      </c>
      <c r="CC593" s="27" t="s">
        <v>8</v>
      </c>
      <c r="CD593" s="27" t="s">
        <v>7</v>
      </c>
      <c r="CE593" s="27" t="s">
        <v>8</v>
      </c>
      <c r="DT593" s="27" t="s">
        <v>7</v>
      </c>
      <c r="DU593" s="27" t="s">
        <v>8</v>
      </c>
      <c r="EH593" s="27" t="s">
        <v>7</v>
      </c>
      <c r="EM593" s="27" t="s">
        <v>8</v>
      </c>
      <c r="EO593" s="27" t="s">
        <v>8</v>
      </c>
      <c r="EP593" s="27" t="s">
        <v>7</v>
      </c>
      <c r="EQ593" s="27" t="s">
        <v>8</v>
      </c>
      <c r="EX593" s="18" t="s">
        <v>7</v>
      </c>
      <c r="EY593" s="27" t="s">
        <v>8</v>
      </c>
      <c r="IR593" s="27" t="s">
        <v>7</v>
      </c>
      <c r="IS593" s="27" t="s">
        <v>8</v>
      </c>
      <c r="IT593" s="27" t="s">
        <v>7</v>
      </c>
      <c r="IU593" s="27" t="s">
        <v>8</v>
      </c>
      <c r="IV593" s="27" t="s">
        <v>7</v>
      </c>
    </row>
    <row r="594" spans="1:256" x14ac:dyDescent="0.25">
      <c r="A594" s="7">
        <v>0.87056017861391399</v>
      </c>
      <c r="B594"/>
      <c r="C594"/>
      <c r="D594"/>
      <c r="E594"/>
      <c r="F594" s="27" t="s">
        <v>7</v>
      </c>
      <c r="CC594" s="27" t="s">
        <v>8</v>
      </c>
      <c r="CD594" s="27" t="s">
        <v>7</v>
      </c>
      <c r="CE594" s="27" t="s">
        <v>8</v>
      </c>
      <c r="DT594" s="27" t="s">
        <v>7</v>
      </c>
      <c r="DU594" s="27" t="s">
        <v>8</v>
      </c>
      <c r="EH594" s="27" t="s">
        <v>7</v>
      </c>
      <c r="EM594" s="27" t="s">
        <v>8</v>
      </c>
      <c r="EN594" s="27" t="s">
        <v>7</v>
      </c>
      <c r="EO594" s="27" t="s">
        <v>8</v>
      </c>
      <c r="EP594" s="27" t="s">
        <v>7</v>
      </c>
      <c r="EQ594" s="27" t="s">
        <v>8</v>
      </c>
      <c r="EX594" s="27" t="s">
        <v>7</v>
      </c>
      <c r="EY594" s="27" t="s">
        <v>8</v>
      </c>
      <c r="IR594" s="27" t="s">
        <v>7</v>
      </c>
      <c r="IS594" s="27" t="s">
        <v>8</v>
      </c>
      <c r="IT594" s="27" t="s">
        <v>7</v>
      </c>
      <c r="IU594" s="27" t="s">
        <v>8</v>
      </c>
      <c r="IV594" s="27" t="s">
        <v>7</v>
      </c>
    </row>
    <row r="595" spans="1:256" x14ac:dyDescent="0.25">
      <c r="A595" s="7">
        <v>0.85349037119011173</v>
      </c>
      <c r="B595"/>
      <c r="C595"/>
      <c r="D595"/>
      <c r="E595"/>
      <c r="F595" s="27" t="s">
        <v>7</v>
      </c>
      <c r="CC595" s="27" t="s">
        <v>8</v>
      </c>
      <c r="CD595" s="27" t="s">
        <v>7</v>
      </c>
      <c r="DT595" s="27" t="s">
        <v>7</v>
      </c>
      <c r="DU595" s="27" t="s">
        <v>8</v>
      </c>
      <c r="EH595" s="27" t="s">
        <v>7</v>
      </c>
      <c r="EK595" s="27" t="s">
        <v>8</v>
      </c>
      <c r="EM595" s="27" t="s">
        <v>8</v>
      </c>
      <c r="EN595" s="27" t="s">
        <v>7</v>
      </c>
      <c r="EO595" s="27" t="s">
        <v>8</v>
      </c>
      <c r="EP595" s="27" t="s">
        <v>7</v>
      </c>
      <c r="EQ595" s="27" t="s">
        <v>8</v>
      </c>
      <c r="EX595" s="27" t="s">
        <v>7</v>
      </c>
      <c r="EY595" s="27" t="s">
        <v>8</v>
      </c>
      <c r="IR595" s="27" t="s">
        <v>7</v>
      </c>
      <c r="IS595" s="27" t="s">
        <v>8</v>
      </c>
      <c r="IT595" s="27" t="s">
        <v>7</v>
      </c>
      <c r="IU595" s="27" t="s">
        <v>8</v>
      </c>
    </row>
    <row r="596" spans="1:256" x14ac:dyDescent="0.25">
      <c r="A596" s="7">
        <v>0.83675526587265858</v>
      </c>
      <c r="B596"/>
      <c r="C596"/>
      <c r="D596"/>
      <c r="E596"/>
      <c r="F596" s="27" t="s">
        <v>7</v>
      </c>
      <c r="CC596" s="27" t="s">
        <v>8</v>
      </c>
      <c r="DT596" s="27" t="s">
        <v>7</v>
      </c>
      <c r="DU596" s="27" t="s">
        <v>8</v>
      </c>
      <c r="EH596" s="27" t="s">
        <v>7</v>
      </c>
      <c r="EK596" s="27" t="s">
        <v>8</v>
      </c>
      <c r="EL596" s="27" t="s">
        <v>7</v>
      </c>
      <c r="EM596" s="27" t="s">
        <v>8</v>
      </c>
      <c r="EN596" s="27" t="s">
        <v>7</v>
      </c>
      <c r="EO596" s="27" t="s">
        <v>8</v>
      </c>
      <c r="EP596" s="27" t="s">
        <v>7</v>
      </c>
      <c r="EQ596" s="27" t="s">
        <v>8</v>
      </c>
      <c r="EX596" s="27" t="s">
        <v>7</v>
      </c>
      <c r="EY596" s="27" t="s">
        <v>8</v>
      </c>
      <c r="IR596" s="27" t="s">
        <v>7</v>
      </c>
      <c r="IS596" s="27" t="s">
        <v>8</v>
      </c>
      <c r="IT596" s="27" t="s">
        <v>7</v>
      </c>
      <c r="IU596" s="27" t="s">
        <v>8</v>
      </c>
    </row>
    <row r="597" spans="1:256" x14ac:dyDescent="0.25">
      <c r="A597" s="7">
        <v>0.82034829987515545</v>
      </c>
      <c r="B597"/>
      <c r="C597"/>
      <c r="D597"/>
      <c r="E597"/>
      <c r="F597" s="27" t="s">
        <v>7</v>
      </c>
      <c r="CC597" s="27" t="s">
        <v>8</v>
      </c>
      <c r="DT597" s="27" t="s">
        <v>7</v>
      </c>
      <c r="DU597" s="27" t="s">
        <v>8</v>
      </c>
      <c r="EH597" s="27" t="s">
        <v>7</v>
      </c>
      <c r="EK597" s="27" t="s">
        <v>8</v>
      </c>
      <c r="EL597" s="27" t="s">
        <v>7</v>
      </c>
      <c r="EM597" s="27" t="s">
        <v>8</v>
      </c>
      <c r="EN597" s="27" t="s">
        <v>7</v>
      </c>
      <c r="EO597" s="27" t="s">
        <v>8</v>
      </c>
      <c r="EP597" s="27" t="s">
        <v>7</v>
      </c>
      <c r="EQ597" s="27" t="s">
        <v>8</v>
      </c>
      <c r="EX597" s="27" t="s">
        <v>7</v>
      </c>
      <c r="EY597" s="27" t="s">
        <v>8</v>
      </c>
      <c r="IR597" s="27" t="s">
        <v>7</v>
      </c>
      <c r="IT597" s="27" t="s">
        <v>7</v>
      </c>
      <c r="IU597" s="27" t="s">
        <v>8</v>
      </c>
    </row>
    <row r="598" spans="1:256" x14ac:dyDescent="0.25">
      <c r="A598" s="7">
        <v>0.80426303909328967</v>
      </c>
      <c r="B598"/>
      <c r="C598"/>
      <c r="D598"/>
      <c r="E598"/>
      <c r="F598" s="27" t="s">
        <v>7</v>
      </c>
      <c r="CC598" s="27" t="s">
        <v>8</v>
      </c>
      <c r="DT598" s="27" t="s">
        <v>7</v>
      </c>
      <c r="DU598" s="27" t="s">
        <v>8</v>
      </c>
      <c r="EH598" s="27" t="s">
        <v>7</v>
      </c>
      <c r="EK598" s="27" t="s">
        <v>8</v>
      </c>
      <c r="EL598" s="27" t="s">
        <v>7</v>
      </c>
      <c r="EM598" s="27" t="s">
        <v>8</v>
      </c>
      <c r="EN598" s="27" t="s">
        <v>7</v>
      </c>
      <c r="EO598" s="27" t="s">
        <v>8</v>
      </c>
      <c r="EP598" s="27" t="s">
        <v>7</v>
      </c>
      <c r="EQ598" s="27" t="s">
        <v>8</v>
      </c>
      <c r="EX598" s="27" t="s">
        <v>7</v>
      </c>
      <c r="IT598" s="27" t="s">
        <v>7</v>
      </c>
      <c r="IU598" s="27" t="s">
        <v>8</v>
      </c>
    </row>
    <row r="599" spans="1:256" x14ac:dyDescent="0.25">
      <c r="A599" s="7">
        <v>0.78849317558165644</v>
      </c>
      <c r="B599"/>
      <c r="C599"/>
      <c r="D599"/>
      <c r="E599"/>
      <c r="F599" s="27" t="s">
        <v>7</v>
      </c>
      <c r="CA599" s="27" t="s">
        <v>8</v>
      </c>
      <c r="CC599" s="27" t="s">
        <v>8</v>
      </c>
      <c r="DT599" s="27" t="s">
        <v>7</v>
      </c>
      <c r="DU599" s="27" t="s">
        <v>8</v>
      </c>
      <c r="EH599" s="27" t="s">
        <v>7</v>
      </c>
      <c r="EK599" s="27" t="s">
        <v>8</v>
      </c>
      <c r="EL599" s="27" t="s">
        <v>7</v>
      </c>
      <c r="EM599" s="27" t="s">
        <v>8</v>
      </c>
      <c r="EN599" s="27" t="s">
        <v>7</v>
      </c>
      <c r="EP599" s="27" t="s">
        <v>7</v>
      </c>
      <c r="IT599" s="27" t="s">
        <v>7</v>
      </c>
      <c r="IU599" s="27" t="s">
        <v>8</v>
      </c>
    </row>
    <row r="600" spans="1:256" x14ac:dyDescent="0.25">
      <c r="A600" s="7">
        <v>0.77303252508005538</v>
      </c>
      <c r="B600"/>
      <c r="C600"/>
      <c r="D600"/>
      <c r="E600"/>
      <c r="F600" s="27" t="s">
        <v>7</v>
      </c>
      <c r="CA600" s="27" t="s">
        <v>8</v>
      </c>
      <c r="CB600" s="27" t="s">
        <v>7</v>
      </c>
      <c r="CC600" s="27" t="s">
        <v>8</v>
      </c>
      <c r="DT600" s="27" t="s">
        <v>7</v>
      </c>
      <c r="DU600" s="27" t="s">
        <v>8</v>
      </c>
      <c r="EH600" s="27" t="s">
        <v>7</v>
      </c>
      <c r="EI600" s="27" t="s">
        <v>8</v>
      </c>
      <c r="EK600" s="27" t="s">
        <v>8</v>
      </c>
      <c r="EL600" s="27" t="s">
        <v>7</v>
      </c>
      <c r="EM600" s="27" t="s">
        <v>8</v>
      </c>
      <c r="IT600" s="27" t="s">
        <v>7</v>
      </c>
    </row>
    <row r="601" spans="1:256" x14ac:dyDescent="0.25">
      <c r="A601" s="7">
        <v>0.75787502458828959</v>
      </c>
      <c r="B601"/>
      <c r="C601"/>
      <c r="D601"/>
      <c r="E601"/>
      <c r="F601" s="27" t="s">
        <v>7</v>
      </c>
      <c r="CA601" s="27" t="s">
        <v>8</v>
      </c>
      <c r="CB601" s="27" t="s">
        <v>7</v>
      </c>
      <c r="CC601" s="27" t="s">
        <v>8</v>
      </c>
      <c r="DT601" s="27" t="s">
        <v>7</v>
      </c>
      <c r="DU601" s="27" t="s">
        <v>8</v>
      </c>
      <c r="EH601" s="27" t="s">
        <v>7</v>
      </c>
      <c r="EI601" s="27" t="s">
        <v>8</v>
      </c>
      <c r="EJ601" s="27" t="s">
        <v>7</v>
      </c>
      <c r="EK601" s="27" t="s">
        <v>8</v>
      </c>
      <c r="EL601" s="27" t="s">
        <v>7</v>
      </c>
      <c r="EM601" s="27" t="s">
        <v>8</v>
      </c>
    </row>
    <row r="602" spans="1:256" x14ac:dyDescent="0.25">
      <c r="A602" s="7">
        <v>0.74301472998851925</v>
      </c>
      <c r="B602"/>
      <c r="C602"/>
      <c r="D602"/>
      <c r="E602"/>
      <c r="F602" s="27" t="s">
        <v>7</v>
      </c>
      <c r="CA602" s="27" t="s">
        <v>8</v>
      </c>
      <c r="CB602" s="27" t="s">
        <v>7</v>
      </c>
      <c r="CC602" s="27" t="s">
        <v>8</v>
      </c>
      <c r="DT602" s="27" t="s">
        <v>7</v>
      </c>
      <c r="EH602" s="27" t="s">
        <v>7</v>
      </c>
      <c r="EI602" s="27" t="s">
        <v>8</v>
      </c>
      <c r="EJ602" s="27" t="s">
        <v>7</v>
      </c>
      <c r="EK602" s="27" t="s">
        <v>8</v>
      </c>
      <c r="EL602" s="27" t="s">
        <v>7</v>
      </c>
    </row>
    <row r="603" spans="1:256" x14ac:dyDescent="0.25">
      <c r="A603" s="7">
        <v>0.72844581371423456</v>
      </c>
      <c r="B603"/>
      <c r="C603"/>
      <c r="D603"/>
      <c r="E603"/>
      <c r="F603" s="27" t="s">
        <v>7</v>
      </c>
      <c r="CA603" s="27" t="s">
        <v>8</v>
      </c>
      <c r="CB603" s="27" t="s">
        <v>7</v>
      </c>
      <c r="CC603" s="27" t="s">
        <v>8</v>
      </c>
      <c r="EH603" s="27" t="s">
        <v>7</v>
      </c>
      <c r="EI603" s="27" t="s">
        <v>8</v>
      </c>
      <c r="EJ603" s="27" t="s">
        <v>7</v>
      </c>
      <c r="EK603" s="27" t="s">
        <v>8</v>
      </c>
    </row>
    <row r="604" spans="1:256" x14ac:dyDescent="0.25">
      <c r="A604" s="7">
        <v>0.71416256246493581</v>
      </c>
      <c r="B604"/>
      <c r="C604"/>
      <c r="D604"/>
      <c r="E604"/>
      <c r="F604" s="27" t="s">
        <v>7</v>
      </c>
      <c r="CA604" s="27" t="s">
        <v>8</v>
      </c>
      <c r="CB604" s="27" t="s">
        <v>7</v>
      </c>
      <c r="CC604" s="27" t="s">
        <v>8</v>
      </c>
      <c r="EH604" s="27" t="s">
        <v>7</v>
      </c>
      <c r="EI604" s="27" t="s">
        <v>8</v>
      </c>
      <c r="EJ604" s="27" t="s">
        <v>7</v>
      </c>
      <c r="EK604" s="27" t="s">
        <v>8</v>
      </c>
    </row>
    <row r="605" spans="1:256" x14ac:dyDescent="0.25">
      <c r="A605" s="7">
        <v>0.7001593749656233</v>
      </c>
      <c r="B605"/>
      <c r="C605"/>
      <c r="D605"/>
      <c r="E605"/>
      <c r="F605" s="27" t="s">
        <v>7</v>
      </c>
      <c r="CA605" s="27" t="s">
        <v>8</v>
      </c>
      <c r="CB605" s="27" t="s">
        <v>7</v>
      </c>
      <c r="CC605" s="27" t="s">
        <v>8</v>
      </c>
      <c r="EH605" s="27" t="s">
        <v>7</v>
      </c>
      <c r="EI605" s="27" t="s">
        <v>8</v>
      </c>
      <c r="EJ605" s="27" t="s">
        <v>7</v>
      </c>
      <c r="EK605" s="27" t="s">
        <v>8</v>
      </c>
    </row>
    <row r="606" spans="1:256" x14ac:dyDescent="0.25">
      <c r="A606" s="7">
        <v>0.68643075977021883</v>
      </c>
      <c r="B606"/>
      <c r="C606"/>
      <c r="D606"/>
      <c r="E606"/>
      <c r="F606" s="27" t="s">
        <v>7</v>
      </c>
      <c r="CA606" s="27" t="s">
        <v>8</v>
      </c>
      <c r="CB606" s="27" t="s">
        <v>7</v>
      </c>
      <c r="CC606" s="27" t="s">
        <v>8</v>
      </c>
      <c r="EH606" s="27" t="s">
        <v>7</v>
      </c>
      <c r="EI606" s="27" t="s">
        <v>8</v>
      </c>
      <c r="EJ606" s="27" t="s">
        <v>7</v>
      </c>
      <c r="EK606" s="27" t="s">
        <v>8</v>
      </c>
    </row>
    <row r="607" spans="1:256" x14ac:dyDescent="0.25">
      <c r="A607" s="7">
        <v>0.67297133310805768</v>
      </c>
      <c r="B607"/>
      <c r="C607"/>
      <c r="D607"/>
      <c r="E607"/>
      <c r="F607" s="27" t="s">
        <v>7</v>
      </c>
      <c r="CA607" s="27" t="s">
        <v>8</v>
      </c>
      <c r="CB607" s="27" t="s">
        <v>7</v>
      </c>
      <c r="CC607" s="27" t="s">
        <v>8</v>
      </c>
      <c r="EH607" s="27" t="s">
        <v>7</v>
      </c>
      <c r="EI607" s="27" t="s">
        <v>8</v>
      </c>
      <c r="EJ607" s="27" t="s">
        <v>7</v>
      </c>
      <c r="EK607" s="27" t="s">
        <v>8</v>
      </c>
    </row>
    <row r="608" spans="1:256" x14ac:dyDescent="0.25">
      <c r="A608" s="7">
        <v>0.65977581677260566</v>
      </c>
      <c r="B608"/>
      <c r="C608"/>
      <c r="D608"/>
      <c r="E608"/>
      <c r="F608" s="27" t="s">
        <v>7</v>
      </c>
      <c r="CA608" s="27" t="s">
        <v>8</v>
      </c>
      <c r="CB608" s="27" t="s">
        <v>7</v>
      </c>
      <c r="CC608" s="27" t="s">
        <v>8</v>
      </c>
      <c r="EH608" s="27" t="s">
        <v>7</v>
      </c>
      <c r="EI608" s="27" t="s">
        <v>8</v>
      </c>
      <c r="EJ608" s="27" t="s">
        <v>7</v>
      </c>
      <c r="EK608" s="27" t="s">
        <v>8</v>
      </c>
    </row>
    <row r="609" spans="1:140" x14ac:dyDescent="0.25">
      <c r="A609" s="7">
        <v>0.64683903605157422</v>
      </c>
      <c r="B609"/>
      <c r="C609"/>
      <c r="D609"/>
      <c r="E609"/>
      <c r="F609" s="27" t="s">
        <v>7</v>
      </c>
      <c r="CA609" s="27" t="s">
        <v>8</v>
      </c>
      <c r="CB609" s="27" t="s">
        <v>7</v>
      </c>
      <c r="CC609" s="27" t="s">
        <v>8</v>
      </c>
      <c r="EH609" s="27" t="s">
        <v>7</v>
      </c>
      <c r="EI609" s="27" t="s">
        <v>8</v>
      </c>
      <c r="EJ609" s="27" t="s">
        <v>7</v>
      </c>
    </row>
    <row r="610" spans="1:140" x14ac:dyDescent="0.25">
      <c r="A610" s="7">
        <v>0.63415591769762181</v>
      </c>
      <c r="B610"/>
      <c r="C610"/>
      <c r="D610"/>
      <c r="E610"/>
      <c r="F610" s="27" t="s">
        <v>7</v>
      </c>
      <c r="CA610" s="27" t="s">
        <v>8</v>
      </c>
      <c r="CB610" s="27" t="s">
        <v>7</v>
      </c>
      <c r="CC610" s="27" t="s">
        <v>8</v>
      </c>
      <c r="EH610" s="27" t="s">
        <v>7</v>
      </c>
      <c r="EI610" s="27" t="s">
        <v>8</v>
      </c>
    </row>
    <row r="611" spans="1:140" x14ac:dyDescent="0.25">
      <c r="A611" s="7">
        <v>0.62172148793884496</v>
      </c>
      <c r="B611"/>
      <c r="C611"/>
      <c r="D611"/>
      <c r="E611"/>
      <c r="F611" s="27" t="s">
        <v>7</v>
      </c>
      <c r="CA611" s="27" t="s">
        <v>8</v>
      </c>
      <c r="CB611" s="27" t="s">
        <v>7</v>
      </c>
      <c r="CC611" s="27" t="s">
        <v>8</v>
      </c>
      <c r="EH611" s="27" t="s">
        <v>7</v>
      </c>
      <c r="EI611" s="27" t="s">
        <v>8</v>
      </c>
    </row>
    <row r="612" spans="1:140" x14ac:dyDescent="0.25">
      <c r="A612" s="7">
        <v>0.60953087052827937</v>
      </c>
      <c r="B612"/>
      <c r="C612"/>
      <c r="D612"/>
      <c r="E612"/>
      <c r="F612" s="27" t="s">
        <v>7</v>
      </c>
      <c r="CA612" s="27" t="s">
        <v>8</v>
      </c>
      <c r="CB612" s="27" t="s">
        <v>7</v>
      </c>
      <c r="CC612" s="27" t="s">
        <v>8</v>
      </c>
      <c r="EH612" s="27" t="s">
        <v>7</v>
      </c>
      <c r="EI612" s="27" t="s">
        <v>8</v>
      </c>
    </row>
    <row r="613" spans="1:140" x14ac:dyDescent="0.25">
      <c r="A613" s="7">
        <v>0.59757928483164646</v>
      </c>
      <c r="B613"/>
      <c r="C613"/>
      <c r="D613"/>
      <c r="E613"/>
      <c r="F613" s="27" t="s">
        <v>7</v>
      </c>
      <c r="CA613" s="27" t="s">
        <v>8</v>
      </c>
      <c r="CB613" s="27" t="s">
        <v>7</v>
      </c>
      <c r="CC613" s="27" t="s">
        <v>8</v>
      </c>
      <c r="EH613" s="27" t="s">
        <v>7</v>
      </c>
    </row>
    <row r="614" spans="1:140" x14ac:dyDescent="0.25">
      <c r="A614" s="7">
        <v>0.58586204395259456</v>
      </c>
      <c r="B614"/>
      <c r="C614"/>
      <c r="D614"/>
      <c r="E614"/>
      <c r="F614" s="27" t="s">
        <v>7</v>
      </c>
      <c r="CA614" s="27" t="s">
        <v>8</v>
      </c>
      <c r="CB614" s="27" t="s">
        <v>7</v>
      </c>
      <c r="CC614" s="27" t="s">
        <v>8</v>
      </c>
    </row>
    <row r="615" spans="1:140" x14ac:dyDescent="0.25">
      <c r="A615" s="7">
        <v>0.57437455289470052</v>
      </c>
      <c r="B615"/>
      <c r="C615"/>
      <c r="D615"/>
      <c r="E615"/>
      <c r="F615" s="27" t="s">
        <v>7</v>
      </c>
      <c r="CA615" s="27" t="s">
        <v>8</v>
      </c>
      <c r="CB615" s="27" t="s">
        <v>7</v>
      </c>
      <c r="CC615" s="27" t="s">
        <v>8</v>
      </c>
    </row>
    <row r="616" spans="1:140" x14ac:dyDescent="0.25">
      <c r="A616" s="7">
        <v>0.56311230675951029</v>
      </c>
      <c r="B616"/>
      <c r="C616"/>
      <c r="D616"/>
      <c r="E616"/>
      <c r="F616" s="27" t="s">
        <v>7</v>
      </c>
      <c r="CA616" s="27" t="s">
        <v>8</v>
      </c>
      <c r="CB616" s="27" t="s">
        <v>7</v>
      </c>
      <c r="CC616" s="27" t="s">
        <v>8</v>
      </c>
    </row>
    <row r="617" spans="1:140" x14ac:dyDescent="0.25">
      <c r="A617" s="7">
        <v>0.55207088897991208</v>
      </c>
      <c r="B617"/>
      <c r="C617"/>
      <c r="D617"/>
      <c r="E617"/>
      <c r="F617" s="27" t="s">
        <v>7</v>
      </c>
      <c r="CA617" s="27" t="s">
        <v>8</v>
      </c>
      <c r="CB617" s="27" t="s">
        <v>7</v>
      </c>
    </row>
    <row r="618" spans="1:140" x14ac:dyDescent="0.25">
      <c r="A618" s="7">
        <v>0.54124596958814908</v>
      </c>
      <c r="B618"/>
      <c r="C618"/>
      <c r="D618"/>
      <c r="E618"/>
      <c r="F618" s="27" t="s">
        <v>7</v>
      </c>
      <c r="CA618" s="27" t="s">
        <v>8</v>
      </c>
    </row>
    <row r="619" spans="1:140" x14ac:dyDescent="0.25">
      <c r="A619" s="7">
        <v>0.53063330351779314</v>
      </c>
      <c r="B619"/>
      <c r="C619"/>
      <c r="D619"/>
      <c r="E619"/>
      <c r="F619" s="27" t="s">
        <v>7</v>
      </c>
      <c r="BY619" s="27" t="s">
        <v>8</v>
      </c>
      <c r="CA619" s="27" t="s">
        <v>8</v>
      </c>
    </row>
    <row r="620" spans="1:140" x14ac:dyDescent="0.25">
      <c r="A620" s="7">
        <v>0.52022872893901284</v>
      </c>
      <c r="B620"/>
      <c r="C620"/>
      <c r="D620"/>
      <c r="E620"/>
      <c r="F620" s="27" t="s">
        <v>7</v>
      </c>
      <c r="BY620" s="27" t="s">
        <v>8</v>
      </c>
      <c r="BZ620" s="27" t="s">
        <v>7</v>
      </c>
      <c r="CA620" s="27" t="s">
        <v>8</v>
      </c>
    </row>
    <row r="621" spans="1:140" x14ac:dyDescent="0.25">
      <c r="A621" s="7">
        <v>0.51002816562648323</v>
      </c>
      <c r="B621"/>
      <c r="C621"/>
      <c r="D621"/>
      <c r="E621"/>
      <c r="F621" s="27" t="s">
        <v>7</v>
      </c>
      <c r="BY621" s="27" t="s">
        <v>8</v>
      </c>
      <c r="BZ621" s="27" t="s">
        <v>7</v>
      </c>
      <c r="CA621" s="27" t="s">
        <v>8</v>
      </c>
    </row>
    <row r="622" spans="1:140" x14ac:dyDescent="0.25">
      <c r="A622" s="7">
        <v>0.50002761335929735</v>
      </c>
      <c r="B622"/>
      <c r="C622"/>
      <c r="D622"/>
      <c r="E622"/>
      <c r="F622" s="27" t="s">
        <v>7</v>
      </c>
      <c r="BY622" s="27" t="s">
        <v>8</v>
      </c>
      <c r="BZ622" s="27" t="s">
        <v>7</v>
      </c>
      <c r="CA622" s="27" t="s">
        <v>8</v>
      </c>
    </row>
    <row r="623" spans="1:140" x14ac:dyDescent="0.25">
      <c r="A623" s="7">
        <v>0.49022315035225228</v>
      </c>
      <c r="B623"/>
      <c r="C623"/>
      <c r="D623"/>
      <c r="E623"/>
      <c r="F623" s="27" t="s">
        <v>7</v>
      </c>
      <c r="BU623" s="27" t="s">
        <v>8</v>
      </c>
      <c r="BY623" s="27" t="s">
        <v>8</v>
      </c>
      <c r="BZ623" s="27" t="s">
        <v>7</v>
      </c>
      <c r="CA623" s="27" t="s">
        <v>8</v>
      </c>
    </row>
    <row r="624" spans="1:140" x14ac:dyDescent="0.25">
      <c r="A624" s="7">
        <v>0.48061093171789437</v>
      </c>
      <c r="B624"/>
      <c r="C624"/>
      <c r="D624"/>
      <c r="E624"/>
      <c r="F624" s="27" t="s">
        <v>7</v>
      </c>
      <c r="BU624" s="27" t="s">
        <v>8</v>
      </c>
      <c r="BV624" s="27" t="s">
        <v>7</v>
      </c>
      <c r="BY624" s="27" t="s">
        <v>8</v>
      </c>
      <c r="BZ624" s="27" t="s">
        <v>7</v>
      </c>
      <c r="CA624" s="27" t="s">
        <v>8</v>
      </c>
    </row>
    <row r="625" spans="1:79" x14ac:dyDescent="0.25">
      <c r="A625" s="7">
        <v>0.47118718795871994</v>
      </c>
      <c r="B625"/>
      <c r="C625"/>
      <c r="D625"/>
      <c r="E625"/>
      <c r="F625" s="27" t="s">
        <v>7</v>
      </c>
      <c r="BU625" s="27" t="s">
        <v>8</v>
      </c>
      <c r="BV625" s="27" t="s">
        <v>7</v>
      </c>
      <c r="BY625" s="27" t="s">
        <v>8</v>
      </c>
      <c r="BZ625" s="27" t="s">
        <v>7</v>
      </c>
      <c r="CA625" s="27" t="s">
        <v>8</v>
      </c>
    </row>
    <row r="626" spans="1:79" x14ac:dyDescent="0.25">
      <c r="A626" s="7">
        <v>0.46194822348894116</v>
      </c>
      <c r="B626"/>
      <c r="C626"/>
      <c r="D626"/>
      <c r="E626"/>
      <c r="F626" s="27" t="s">
        <v>7</v>
      </c>
      <c r="BU626" s="27" t="s">
        <v>8</v>
      </c>
      <c r="BV626" s="27" t="s">
        <v>7</v>
      </c>
      <c r="BY626" s="27" t="s">
        <v>8</v>
      </c>
      <c r="BZ626" s="27" t="s">
        <v>7</v>
      </c>
      <c r="CA626" s="27" t="s">
        <v>8</v>
      </c>
    </row>
    <row r="627" spans="1:79" x14ac:dyDescent="0.25">
      <c r="A627" s="7">
        <v>0.45289041518523643</v>
      </c>
      <c r="B627"/>
      <c r="C627"/>
      <c r="D627"/>
      <c r="E627"/>
      <c r="F627" s="27" t="s">
        <v>7</v>
      </c>
      <c r="BU627" s="27" t="s">
        <v>8</v>
      </c>
      <c r="BV627" s="27" t="s">
        <v>7</v>
      </c>
      <c r="BY627" s="27" t="s">
        <v>8</v>
      </c>
      <c r="BZ627" s="27" t="s">
        <v>7</v>
      </c>
      <c r="CA627" s="27" t="s">
        <v>8</v>
      </c>
    </row>
    <row r="628" spans="1:79" x14ac:dyDescent="0.25">
      <c r="A628" s="7">
        <v>0.44401021096591808</v>
      </c>
      <c r="B628"/>
      <c r="C628"/>
      <c r="D628"/>
      <c r="E628"/>
      <c r="F628" s="27" t="s">
        <v>7</v>
      </c>
      <c r="BU628" s="27" t="s">
        <v>8</v>
      </c>
      <c r="BV628" s="27" t="s">
        <v>7</v>
      </c>
      <c r="BW628" s="27" t="s">
        <v>8</v>
      </c>
      <c r="BY628" s="27" t="s">
        <v>8</v>
      </c>
      <c r="BZ628" s="27" t="s">
        <v>7</v>
      </c>
      <c r="CA628" s="27" t="s">
        <v>8</v>
      </c>
    </row>
    <row r="629" spans="1:79" x14ac:dyDescent="0.25">
      <c r="A629" s="7">
        <v>0.4353041283979589</v>
      </c>
      <c r="B629"/>
      <c r="C629"/>
      <c r="D629"/>
      <c r="E629"/>
      <c r="F629" s="27" t="s">
        <v>7</v>
      </c>
      <c r="BU629" s="27" t="s">
        <v>8</v>
      </c>
      <c r="BV629" s="27" t="s">
        <v>7</v>
      </c>
      <c r="BW629" s="27" t="s">
        <v>8</v>
      </c>
      <c r="BX629" s="27" t="s">
        <v>7</v>
      </c>
      <c r="BY629" s="27" t="s">
        <v>8</v>
      </c>
      <c r="BZ629" s="27" t="s">
        <v>7</v>
      </c>
      <c r="CA629" s="27" t="s">
        <v>8</v>
      </c>
    </row>
    <row r="630" spans="1:79" x14ac:dyDescent="0.25">
      <c r="A630" s="7">
        <v>0.4267687533313323</v>
      </c>
      <c r="B630"/>
      <c r="C630"/>
      <c r="D630"/>
      <c r="E630"/>
      <c r="F630" s="27" t="s">
        <v>7</v>
      </c>
      <c r="BU630" s="27" t="s">
        <v>8</v>
      </c>
      <c r="BV630" s="27" t="s">
        <v>7</v>
      </c>
      <c r="BW630" s="27" t="s">
        <v>8</v>
      </c>
      <c r="BX630" s="27" t="s">
        <v>7</v>
      </c>
      <c r="BY630" s="27" t="s">
        <v>8</v>
      </c>
      <c r="BZ630" s="27" t="s">
        <v>7</v>
      </c>
      <c r="CA630" s="27" t="s">
        <v>8</v>
      </c>
    </row>
    <row r="631" spans="1:79" x14ac:dyDescent="0.25">
      <c r="A631" s="7">
        <v>0.41840073856012971</v>
      </c>
      <c r="B631"/>
      <c r="C631"/>
      <c r="D631"/>
      <c r="E631"/>
      <c r="F631" s="27" t="s">
        <v>7</v>
      </c>
      <c r="BS631" s="27" t="s">
        <v>8</v>
      </c>
      <c r="BU631" s="27" t="s">
        <v>8</v>
      </c>
      <c r="BV631" s="27" t="s">
        <v>7</v>
      </c>
      <c r="BW631" s="27" t="s">
        <v>8</v>
      </c>
      <c r="BX631" s="27" t="s">
        <v>7</v>
      </c>
      <c r="BY631" s="27" t="s">
        <v>8</v>
      </c>
      <c r="BZ631" s="27" t="s">
        <v>7</v>
      </c>
      <c r="CA631" s="27" t="s">
        <v>8</v>
      </c>
    </row>
    <row r="632" spans="1:79" x14ac:dyDescent="0.25">
      <c r="A632" s="7">
        <v>0.41019680250993112</v>
      </c>
      <c r="B632"/>
      <c r="C632"/>
      <c r="D632"/>
      <c r="E632"/>
      <c r="F632" s="27" t="s">
        <v>7</v>
      </c>
      <c r="BS632" s="27" t="s">
        <v>8</v>
      </c>
      <c r="BT632" s="27" t="s">
        <v>7</v>
      </c>
      <c r="BU632" s="27" t="s">
        <v>8</v>
      </c>
      <c r="BV632" s="27" t="s">
        <v>7</v>
      </c>
      <c r="BW632" s="27" t="s">
        <v>8</v>
      </c>
      <c r="BX632" s="27" t="s">
        <v>7</v>
      </c>
      <c r="BY632" s="27" t="s">
        <v>8</v>
      </c>
      <c r="BZ632" s="27" t="s">
        <v>7</v>
      </c>
      <c r="CA632" s="27" t="s">
        <v>8</v>
      </c>
    </row>
    <row r="633" spans="1:79" x14ac:dyDescent="0.25">
      <c r="A633" s="7">
        <v>0.40215372795091286</v>
      </c>
      <c r="B633"/>
      <c r="C633"/>
      <c r="D633"/>
      <c r="E633"/>
      <c r="F633" s="27" t="s">
        <v>7</v>
      </c>
      <c r="BQ633" s="27" t="s">
        <v>8</v>
      </c>
      <c r="BS633" s="27" t="s">
        <v>8</v>
      </c>
      <c r="BT633" s="27" t="s">
        <v>7</v>
      </c>
      <c r="BU633" s="27" t="s">
        <v>8</v>
      </c>
      <c r="BV633" s="27" t="s">
        <v>7</v>
      </c>
      <c r="BX633" s="27" t="s">
        <v>7</v>
      </c>
      <c r="BY633" s="27" t="s">
        <v>8</v>
      </c>
      <c r="BZ633" s="27" t="s">
        <v>7</v>
      </c>
      <c r="CA633" s="27" t="s">
        <v>8</v>
      </c>
    </row>
    <row r="634" spans="1:79" x14ac:dyDescent="0.25">
      <c r="A634" s="7">
        <v>0.39426836073618904</v>
      </c>
      <c r="B634"/>
      <c r="C634"/>
      <c r="D634"/>
      <c r="E634"/>
      <c r="F634" s="27" t="s">
        <v>7</v>
      </c>
      <c r="BQ634" s="27" t="s">
        <v>8</v>
      </c>
      <c r="BR634" s="27" t="s">
        <v>7</v>
      </c>
      <c r="BS634" s="27" t="s">
        <v>8</v>
      </c>
      <c r="BT634" s="27" t="s">
        <v>7</v>
      </c>
      <c r="BU634" s="27" t="s">
        <v>8</v>
      </c>
      <c r="BX634" s="27" t="s">
        <v>7</v>
      </c>
      <c r="BY634" s="27" t="s">
        <v>8</v>
      </c>
      <c r="BZ634" s="27" t="s">
        <v>7</v>
      </c>
      <c r="CA634" s="27" t="s">
        <v>8</v>
      </c>
    </row>
    <row r="635" spans="1:79" x14ac:dyDescent="0.25">
      <c r="A635" s="7">
        <v>0.38653760856489122</v>
      </c>
      <c r="B635"/>
      <c r="C635"/>
      <c r="D635"/>
      <c r="E635"/>
      <c r="F635" s="27" t="s">
        <v>7</v>
      </c>
      <c r="BQ635" s="27" t="s">
        <v>8</v>
      </c>
      <c r="BR635" s="27" t="s">
        <v>7</v>
      </c>
      <c r="BS635" s="27" t="s">
        <v>8</v>
      </c>
      <c r="BT635" s="27" t="s">
        <v>7</v>
      </c>
      <c r="BU635" s="27" t="s">
        <v>8</v>
      </c>
      <c r="BX635" s="27" t="s">
        <v>7</v>
      </c>
      <c r="BY635" s="27" t="s">
        <v>8</v>
      </c>
      <c r="BZ635" s="27" t="s">
        <v>7</v>
      </c>
      <c r="CA635" s="27" t="s">
        <v>8</v>
      </c>
    </row>
    <row r="636" spans="1:79" x14ac:dyDescent="0.25">
      <c r="A636" s="7">
        <v>0.37895843976950117</v>
      </c>
      <c r="B636"/>
      <c r="C636"/>
      <c r="D636"/>
      <c r="E636"/>
      <c r="F636" s="27" t="s">
        <v>7</v>
      </c>
      <c r="BQ636" s="27" t="s">
        <v>8</v>
      </c>
      <c r="BR636" s="27" t="s">
        <v>7</v>
      </c>
      <c r="BS636" s="27" t="s">
        <v>8</v>
      </c>
      <c r="BT636" s="27" t="s">
        <v>7</v>
      </c>
      <c r="BU636" s="27" t="s">
        <v>8</v>
      </c>
      <c r="BX636" s="27" t="s">
        <v>7</v>
      </c>
      <c r="BY636" s="27" t="s">
        <v>8</v>
      </c>
      <c r="BZ636" s="27" t="s">
        <v>7</v>
      </c>
      <c r="CA636" s="27" t="s">
        <v>8</v>
      </c>
    </row>
    <row r="637" spans="1:79" x14ac:dyDescent="0.25">
      <c r="A637" s="7">
        <v>0.37152788212696197</v>
      </c>
      <c r="B637"/>
      <c r="C637"/>
      <c r="D637"/>
      <c r="E637"/>
      <c r="F637" s="27" t="s">
        <v>7</v>
      </c>
      <c r="BQ637" s="27" t="s">
        <v>8</v>
      </c>
      <c r="BR637" s="27" t="s">
        <v>7</v>
      </c>
      <c r="BS637" s="27" t="s">
        <v>8</v>
      </c>
      <c r="BT637" s="27" t="s">
        <v>7</v>
      </c>
      <c r="BU637" s="27" t="s">
        <v>8</v>
      </c>
      <c r="BX637" s="27" t="s">
        <v>7</v>
      </c>
      <c r="BY637" s="27" t="s">
        <v>8</v>
      </c>
      <c r="BZ637" s="27" t="s">
        <v>7</v>
      </c>
      <c r="CA637" s="27" t="s">
        <v>8</v>
      </c>
    </row>
    <row r="638" spans="1:79" x14ac:dyDescent="0.25">
      <c r="A638" s="7">
        <v>0.36424302169310002</v>
      </c>
      <c r="B638"/>
      <c r="C638"/>
      <c r="D638"/>
      <c r="E638"/>
      <c r="F638" s="27" t="s">
        <v>7</v>
      </c>
      <c r="BQ638" s="27" t="s">
        <v>8</v>
      </c>
      <c r="BR638" s="27" t="s">
        <v>7</v>
      </c>
      <c r="BT638" s="27" t="s">
        <v>7</v>
      </c>
      <c r="BU638" s="27" t="s">
        <v>8</v>
      </c>
      <c r="BX638" s="27" t="s">
        <v>7</v>
      </c>
      <c r="BY638" s="27" t="s">
        <v>8</v>
      </c>
      <c r="BZ638" s="27" t="s">
        <v>7</v>
      </c>
      <c r="CA638" s="27" t="s">
        <v>8</v>
      </c>
    </row>
    <row r="639" spans="1:79" x14ac:dyDescent="0.25">
      <c r="A639" s="7">
        <v>0.35710100165990194</v>
      </c>
      <c r="B639"/>
      <c r="C639"/>
      <c r="D639"/>
      <c r="E639"/>
      <c r="F639" s="27" t="s">
        <v>7</v>
      </c>
      <c r="BQ639" s="27" t="s">
        <v>8</v>
      </c>
      <c r="BT639" s="27" t="s">
        <v>7</v>
      </c>
      <c r="BU639" s="27" t="s">
        <v>8</v>
      </c>
      <c r="BX639" s="27" t="s">
        <v>7</v>
      </c>
      <c r="BY639" s="27" t="s">
        <v>8</v>
      </c>
      <c r="BZ639" s="27" t="s">
        <v>7</v>
      </c>
      <c r="CA639" s="27" t="s">
        <v>8</v>
      </c>
    </row>
    <row r="640" spans="1:79" x14ac:dyDescent="0.25">
      <c r="A640" s="7">
        <v>0.35009902123519804</v>
      </c>
      <c r="B640"/>
      <c r="C640"/>
      <c r="D640"/>
      <c r="E640"/>
      <c r="F640" s="27" t="s">
        <v>7</v>
      </c>
      <c r="BO640" s="27" t="s">
        <v>8</v>
      </c>
      <c r="BQ640" s="27" t="s">
        <v>8</v>
      </c>
      <c r="BT640" s="27" t="s">
        <v>7</v>
      </c>
      <c r="BU640" s="27" t="s">
        <v>8</v>
      </c>
      <c r="BX640" s="27" t="s">
        <v>7</v>
      </c>
      <c r="BY640" s="27" t="s">
        <v>8</v>
      </c>
      <c r="BZ640" s="27" t="s">
        <v>7</v>
      </c>
    </row>
    <row r="641" spans="1:76" x14ac:dyDescent="0.25">
      <c r="A641" s="7">
        <v>0.34323433454431179</v>
      </c>
      <c r="B641"/>
      <c r="C641"/>
      <c r="D641"/>
      <c r="E641"/>
      <c r="F641" s="27" t="s">
        <v>7</v>
      </c>
      <c r="BO641" s="27" t="s">
        <v>8</v>
      </c>
      <c r="BP641" s="27" t="s">
        <v>7</v>
      </c>
      <c r="BQ641" s="27" t="s">
        <v>8</v>
      </c>
      <c r="BT641" s="27" t="s">
        <v>7</v>
      </c>
      <c r="BU641" s="27" t="s">
        <v>8</v>
      </c>
      <c r="BX641" s="27" t="s">
        <v>7</v>
      </c>
    </row>
    <row r="642" spans="1:76" x14ac:dyDescent="0.25">
      <c r="A642" s="7">
        <v>0.33650424955324681</v>
      </c>
      <c r="B642"/>
      <c r="C642"/>
      <c r="D642"/>
      <c r="E642"/>
      <c r="F642" s="27" t="s">
        <v>7</v>
      </c>
      <c r="BO642" s="27" t="s">
        <v>8</v>
      </c>
      <c r="BP642" s="27" t="s">
        <v>7</v>
      </c>
      <c r="BQ642" s="27" t="s">
        <v>8</v>
      </c>
      <c r="BT642" s="27" t="s">
        <v>7</v>
      </c>
      <c r="BU642" s="27" t="s">
        <v>8</v>
      </c>
    </row>
    <row r="643" spans="1:76" x14ac:dyDescent="0.25">
      <c r="A643" s="7">
        <v>0.3299061270129871</v>
      </c>
      <c r="B643"/>
      <c r="C643"/>
      <c r="D643"/>
      <c r="E643"/>
      <c r="F643" s="27" t="s">
        <v>7</v>
      </c>
      <c r="BO643" s="27" t="s">
        <v>8</v>
      </c>
      <c r="BP643" s="27" t="s">
        <v>7</v>
      </c>
      <c r="BQ643" s="27" t="s">
        <v>8</v>
      </c>
      <c r="BT643" s="27" t="s">
        <v>7</v>
      </c>
      <c r="BU643" s="27" t="s">
        <v>8</v>
      </c>
    </row>
    <row r="644" spans="1:76" x14ac:dyDescent="0.25">
      <c r="A644" s="7">
        <v>0.32343737942449713</v>
      </c>
      <c r="B644"/>
      <c r="C644"/>
      <c r="D644"/>
      <c r="E644"/>
      <c r="F644" s="27" t="s">
        <v>7</v>
      </c>
      <c r="BO644" s="27" t="s">
        <v>8</v>
      </c>
      <c r="BP644" s="27" t="s">
        <v>7</v>
      </c>
      <c r="BQ644" s="27" t="s">
        <v>8</v>
      </c>
      <c r="BT644" s="27" t="s">
        <v>7</v>
      </c>
    </row>
    <row r="645" spans="1:76" x14ac:dyDescent="0.25">
      <c r="A645" s="7">
        <v>0.31709547002401678</v>
      </c>
      <c r="B645"/>
      <c r="C645"/>
      <c r="D645"/>
      <c r="E645"/>
      <c r="F645" s="27" t="s">
        <v>7</v>
      </c>
      <c r="BO645" s="27" t="s">
        <v>8</v>
      </c>
      <c r="BP645" s="27" t="s">
        <v>7</v>
      </c>
      <c r="BQ645" s="27" t="s">
        <v>8</v>
      </c>
    </row>
    <row r="646" spans="1:76" x14ac:dyDescent="0.25">
      <c r="A646" s="7">
        <v>0.31087791178825175</v>
      </c>
      <c r="B646"/>
      <c r="C646"/>
      <c r="D646"/>
      <c r="E646"/>
      <c r="F646" s="27" t="s">
        <v>7</v>
      </c>
      <c r="BO646" s="27" t="s">
        <v>8</v>
      </c>
      <c r="BP646" s="27" t="s">
        <v>7</v>
      </c>
      <c r="BQ646" s="27" t="s">
        <v>8</v>
      </c>
    </row>
    <row r="647" spans="1:76" x14ac:dyDescent="0.25">
      <c r="A647" s="7">
        <v>0.30478226645907036</v>
      </c>
      <c r="B647"/>
      <c r="C647"/>
      <c r="D647"/>
      <c r="E647"/>
      <c r="F647" s="27" t="s">
        <v>7</v>
      </c>
      <c r="BO647" s="27" t="s">
        <v>8</v>
      </c>
      <c r="BP647" s="27" t="s">
        <v>7</v>
      </c>
      <c r="BQ647" s="27" t="s">
        <v>8</v>
      </c>
    </row>
    <row r="648" spans="1:76" x14ac:dyDescent="0.25">
      <c r="A648" s="7">
        <v>0.29880614358732388</v>
      </c>
      <c r="B648"/>
      <c r="C648"/>
      <c r="D648"/>
      <c r="E648"/>
      <c r="F648" s="27" t="s">
        <v>7</v>
      </c>
      <c r="BO648" s="27" t="s">
        <v>8</v>
      </c>
      <c r="BP648" s="27" t="s">
        <v>7</v>
      </c>
      <c r="BQ648" s="27" t="s">
        <v>8</v>
      </c>
    </row>
    <row r="649" spans="1:76" x14ac:dyDescent="0.25">
      <c r="A649" s="7">
        <v>0.2929471995954156</v>
      </c>
      <c r="B649"/>
      <c r="C649"/>
      <c r="D649"/>
      <c r="E649"/>
      <c r="F649" s="27" t="s">
        <v>7</v>
      </c>
      <c r="BO649" s="27" t="s">
        <v>8</v>
      </c>
      <c r="BP649" s="27" t="s">
        <v>7</v>
      </c>
    </row>
    <row r="650" spans="1:76" x14ac:dyDescent="0.25">
      <c r="A650" s="7">
        <v>0.28720313685825055</v>
      </c>
      <c r="B650"/>
      <c r="C650"/>
      <c r="D650"/>
      <c r="E650"/>
      <c r="F650" s="27" t="s">
        <v>7</v>
      </c>
      <c r="BO650" s="27" t="s">
        <v>8</v>
      </c>
    </row>
    <row r="651" spans="1:76" x14ac:dyDescent="0.25">
      <c r="A651" s="7">
        <v>0.28157170280220645</v>
      </c>
      <c r="B651"/>
      <c r="C651"/>
      <c r="D651"/>
      <c r="E651"/>
      <c r="F651" s="27" t="s">
        <v>7</v>
      </c>
      <c r="BI651" s="27" t="s">
        <v>8</v>
      </c>
      <c r="BM651" s="27" t="s">
        <v>8</v>
      </c>
      <c r="BO651" s="27" t="s">
        <v>8</v>
      </c>
    </row>
    <row r="652" spans="1:76" x14ac:dyDescent="0.25">
      <c r="A652" s="7">
        <v>0.27605068902177105</v>
      </c>
      <c r="B652"/>
      <c r="C652"/>
      <c r="D652"/>
      <c r="E652"/>
      <c r="F652" s="27" t="s">
        <v>7</v>
      </c>
      <c r="BI652" s="27" t="s">
        <v>8</v>
      </c>
      <c r="BJ652" s="27" t="s">
        <v>7</v>
      </c>
      <c r="BM652" s="27" t="s">
        <v>8</v>
      </c>
      <c r="BN652" s="27" t="s">
        <v>7</v>
      </c>
      <c r="BO652" s="27" t="s">
        <v>8</v>
      </c>
    </row>
    <row r="653" spans="1:76" x14ac:dyDescent="0.25">
      <c r="A653" s="7">
        <v>0.27063793041350104</v>
      </c>
      <c r="B653"/>
      <c r="C653"/>
      <c r="D653"/>
      <c r="E653"/>
      <c r="F653" s="27" t="s">
        <v>7</v>
      </c>
      <c r="AK653" s="27" t="s">
        <v>8</v>
      </c>
      <c r="BI653" s="27" t="s">
        <v>8</v>
      </c>
      <c r="BJ653" s="27" t="s">
        <v>7</v>
      </c>
      <c r="BM653" s="27" t="s">
        <v>8</v>
      </c>
      <c r="BN653" s="27" t="s">
        <v>7</v>
      </c>
      <c r="BO653" s="27" t="s">
        <v>8</v>
      </c>
    </row>
    <row r="654" spans="1:76" x14ac:dyDescent="0.25">
      <c r="A654" s="7">
        <v>0.26533130432696184</v>
      </c>
      <c r="B654"/>
      <c r="C654"/>
      <c r="D654"/>
      <c r="E654"/>
      <c r="F654" s="27" t="s">
        <v>7</v>
      </c>
      <c r="AK654" s="27" t="s">
        <v>8</v>
      </c>
      <c r="AL654" s="27" t="s">
        <v>7</v>
      </c>
      <c r="BI654" s="27" t="s">
        <v>8</v>
      </c>
      <c r="BJ654" s="27" t="s">
        <v>7</v>
      </c>
      <c r="BM654" s="27" t="s">
        <v>8</v>
      </c>
      <c r="BN654" s="27" t="s">
        <v>7</v>
      </c>
      <c r="BO654" s="27" t="s">
        <v>8</v>
      </c>
    </row>
    <row r="655" spans="1:76" x14ac:dyDescent="0.25">
      <c r="A655" s="7">
        <v>0.26012872973231554</v>
      </c>
      <c r="B655"/>
      <c r="C655"/>
      <c r="D655"/>
      <c r="E655"/>
      <c r="F655" s="27" t="s">
        <v>7</v>
      </c>
      <c r="G655" s="27" t="s">
        <v>8</v>
      </c>
      <c r="AK655" s="27" t="s">
        <v>8</v>
      </c>
      <c r="AL655" s="27" t="s">
        <v>7</v>
      </c>
      <c r="BI655" s="27" t="s">
        <v>8</v>
      </c>
      <c r="BJ655" s="27" t="s">
        <v>7</v>
      </c>
      <c r="BM655" s="27" t="s">
        <v>8</v>
      </c>
      <c r="BN655" s="27" t="s">
        <v>7</v>
      </c>
      <c r="BO655" s="27" t="s">
        <v>8</v>
      </c>
    </row>
    <row r="656" spans="1:76" x14ac:dyDescent="0.25">
      <c r="A656" s="7">
        <v>0.25502816640423093</v>
      </c>
      <c r="B656"/>
      <c r="C656"/>
      <c r="D656"/>
      <c r="E656"/>
      <c r="F656" s="27" t="s">
        <v>7</v>
      </c>
      <c r="G656" s="27" t="s">
        <v>8</v>
      </c>
      <c r="H656" s="27" t="s">
        <v>7</v>
      </c>
      <c r="AK656" s="27" t="s">
        <v>8</v>
      </c>
      <c r="AL656" s="27" t="s">
        <v>7</v>
      </c>
      <c r="BI656" s="27" t="s">
        <v>8</v>
      </c>
      <c r="BJ656" s="27" t="s">
        <v>7</v>
      </c>
      <c r="BM656" s="27" t="s">
        <v>8</v>
      </c>
      <c r="BN656" s="27" t="s">
        <v>7</v>
      </c>
      <c r="BO656" s="27" t="s">
        <v>8</v>
      </c>
    </row>
    <row r="657" spans="1:67" x14ac:dyDescent="0.25">
      <c r="A657" s="7">
        <v>0.25002761412179503</v>
      </c>
      <c r="B657"/>
      <c r="C657"/>
      <c r="D657"/>
      <c r="E657"/>
      <c r="F657" s="27" t="s">
        <v>7</v>
      </c>
      <c r="G657" s="27" t="s">
        <v>8</v>
      </c>
      <c r="H657" s="27" t="s">
        <v>7</v>
      </c>
      <c r="AK657" s="27" t="s">
        <v>8</v>
      </c>
      <c r="AL657" s="27" t="s">
        <v>7</v>
      </c>
      <c r="BI657" s="27" t="s">
        <v>8</v>
      </c>
      <c r="BJ657" s="27" t="s">
        <v>7</v>
      </c>
      <c r="BM657" s="27" t="s">
        <v>8</v>
      </c>
      <c r="BN657" s="27" t="s">
        <v>7</v>
      </c>
      <c r="BO657" s="27" t="s">
        <v>8</v>
      </c>
    </row>
    <row r="658" spans="1:67" x14ac:dyDescent="0.25">
      <c r="A658" s="7">
        <v>0.24512511188411276</v>
      </c>
      <c r="B658"/>
      <c r="C658"/>
      <c r="D658"/>
      <c r="E658"/>
      <c r="F658" s="27" t="s">
        <v>7</v>
      </c>
      <c r="G658" s="27" t="s">
        <v>8</v>
      </c>
      <c r="H658" s="27" t="s">
        <v>7</v>
      </c>
      <c r="AK658" s="27" t="s">
        <v>8</v>
      </c>
      <c r="AL658" s="27" t="s">
        <v>7</v>
      </c>
      <c r="BI658" s="27" t="s">
        <v>8</v>
      </c>
      <c r="BJ658" s="27" t="s">
        <v>7</v>
      </c>
      <c r="BM658" s="27" t="s">
        <v>8</v>
      </c>
      <c r="BN658" s="27" t="s">
        <v>7</v>
      </c>
    </row>
    <row r="659" spans="1:67" x14ac:dyDescent="0.25">
      <c r="A659" s="7">
        <v>0.24031873714128701</v>
      </c>
      <c r="B659"/>
      <c r="C659"/>
      <c r="D659"/>
      <c r="E659"/>
      <c r="F659" s="27" t="s">
        <v>7</v>
      </c>
      <c r="G659" s="27" t="s">
        <v>8</v>
      </c>
      <c r="H659" s="27" t="s">
        <v>7</v>
      </c>
      <c r="AK659" s="27" t="s">
        <v>8</v>
      </c>
      <c r="AL659" s="27" t="s">
        <v>7</v>
      </c>
      <c r="BI659" s="27" t="s">
        <v>8</v>
      </c>
      <c r="BJ659" s="27" t="s">
        <v>7</v>
      </c>
      <c r="BM659" s="27" t="s">
        <v>8</v>
      </c>
    </row>
    <row r="660" spans="1:67" x14ac:dyDescent="0.25">
      <c r="A660" s="7">
        <v>0.23560660504047748</v>
      </c>
      <c r="B660"/>
      <c r="C660"/>
      <c r="D660"/>
      <c r="E660"/>
      <c r="F660" s="27" t="s">
        <v>7</v>
      </c>
      <c r="G660" s="27" t="s">
        <v>8</v>
      </c>
      <c r="H660" s="27" t="s">
        <v>7</v>
      </c>
      <c r="AK660" s="27" t="s">
        <v>8</v>
      </c>
      <c r="AL660" s="27" t="s">
        <v>7</v>
      </c>
      <c r="BE660" s="27" t="s">
        <v>8</v>
      </c>
      <c r="BI660" s="27" t="s">
        <v>8</v>
      </c>
      <c r="BJ660" s="27" t="s">
        <v>7</v>
      </c>
      <c r="BM660" s="27" t="s">
        <v>8</v>
      </c>
    </row>
    <row r="661" spans="1:67" x14ac:dyDescent="0.25">
      <c r="A661" s="7">
        <v>0.23098686768674265</v>
      </c>
      <c r="B661"/>
      <c r="C661"/>
      <c r="D661"/>
      <c r="E661"/>
      <c r="F661" s="27" t="s">
        <v>7</v>
      </c>
      <c r="G661" s="27" t="s">
        <v>8</v>
      </c>
      <c r="H661" s="27" t="s">
        <v>7</v>
      </c>
      <c r="AK661" s="27" t="s">
        <v>8</v>
      </c>
      <c r="AL661" s="27" t="s">
        <v>7</v>
      </c>
      <c r="BE661" s="27" t="s">
        <v>8</v>
      </c>
      <c r="BF661" s="27" t="s">
        <v>7</v>
      </c>
      <c r="BI661" s="27" t="s">
        <v>8</v>
      </c>
      <c r="BJ661" s="27" t="s">
        <v>7</v>
      </c>
      <c r="BM661" s="27" t="s">
        <v>8</v>
      </c>
    </row>
    <row r="662" spans="1:67" x14ac:dyDescent="0.25">
      <c r="A662" s="7">
        <v>0.22645771341837515</v>
      </c>
      <c r="B662"/>
      <c r="C662"/>
      <c r="D662"/>
      <c r="E662"/>
      <c r="F662" s="27" t="s">
        <v>7</v>
      </c>
      <c r="G662" s="27" t="s">
        <v>8</v>
      </c>
      <c r="H662" s="27" t="s">
        <v>7</v>
      </c>
      <c r="AE662" s="27" t="s">
        <v>8</v>
      </c>
      <c r="AK662" s="27" t="s">
        <v>8</v>
      </c>
      <c r="AL662" s="27" t="s">
        <v>7</v>
      </c>
      <c r="BE662" s="27" t="s">
        <v>8</v>
      </c>
      <c r="BF662" s="27" t="s">
        <v>7</v>
      </c>
      <c r="BI662" s="27" t="s">
        <v>8</v>
      </c>
      <c r="BJ662" s="27" t="s">
        <v>7</v>
      </c>
      <c r="BK662" s="27" t="s">
        <v>8</v>
      </c>
      <c r="BM662" s="27" t="s">
        <v>8</v>
      </c>
    </row>
    <row r="663" spans="1:67" x14ac:dyDescent="0.25">
      <c r="A663" s="7">
        <v>0.22201736609644623</v>
      </c>
      <c r="B663"/>
      <c r="C663"/>
      <c r="D663"/>
      <c r="E663"/>
      <c r="F663" s="27" t="s">
        <v>7</v>
      </c>
      <c r="G663" s="27" t="s">
        <v>8</v>
      </c>
      <c r="H663" s="27" t="s">
        <v>7</v>
      </c>
      <c r="AE663" s="27" t="s">
        <v>8</v>
      </c>
      <c r="AF663" s="27" t="s">
        <v>7</v>
      </c>
      <c r="AK663" s="27" t="s">
        <v>8</v>
      </c>
      <c r="AL663" s="27" t="s">
        <v>7</v>
      </c>
      <c r="BE663" s="27" t="s">
        <v>8</v>
      </c>
      <c r="BF663" s="27" t="s">
        <v>7</v>
      </c>
      <c r="BI663" s="27" t="s">
        <v>8</v>
      </c>
      <c r="BJ663" s="27" t="s">
        <v>7</v>
      </c>
      <c r="BK663" s="27" t="s">
        <v>8</v>
      </c>
      <c r="BL663" s="27" t="s">
        <v>7</v>
      </c>
      <c r="BM663" s="27" t="s">
        <v>8</v>
      </c>
    </row>
    <row r="664" spans="1:67" x14ac:dyDescent="0.25">
      <c r="A664" s="7">
        <v>0.21766408440828061</v>
      </c>
      <c r="B664"/>
      <c r="C664"/>
      <c r="D664"/>
      <c r="E664"/>
      <c r="F664" s="27" t="s">
        <v>7</v>
      </c>
      <c r="G664" s="27" t="s">
        <v>8</v>
      </c>
      <c r="H664" s="27" t="s">
        <v>7</v>
      </c>
      <c r="AE664" s="27" t="s">
        <v>8</v>
      </c>
      <c r="AF664" s="27" t="s">
        <v>7</v>
      </c>
      <c r="AK664" s="27" t="s">
        <v>8</v>
      </c>
      <c r="AL664" s="27" t="s">
        <v>7</v>
      </c>
      <c r="BE664" s="27" t="s">
        <v>8</v>
      </c>
      <c r="BF664" s="27" t="s">
        <v>7</v>
      </c>
      <c r="BI664" s="27" t="s">
        <v>8</v>
      </c>
      <c r="BJ664" s="27" t="s">
        <v>7</v>
      </c>
      <c r="BK664" s="27" t="s">
        <v>8</v>
      </c>
      <c r="BL664" s="27" t="s">
        <v>7</v>
      </c>
      <c r="BM664" s="27" t="s">
        <v>8</v>
      </c>
    </row>
    <row r="665" spans="1:67" x14ac:dyDescent="0.25">
      <c r="A665" s="7">
        <v>0.21339616118458882</v>
      </c>
      <c r="B665"/>
      <c r="C665"/>
      <c r="D665"/>
      <c r="E665"/>
      <c r="F665" s="27" t="s">
        <v>7</v>
      </c>
      <c r="G665" s="27" t="s">
        <v>8</v>
      </c>
      <c r="H665" s="27" t="s">
        <v>7</v>
      </c>
      <c r="AE665" s="27" t="s">
        <v>8</v>
      </c>
      <c r="AF665" s="27" t="s">
        <v>7</v>
      </c>
      <c r="AK665" s="27" t="s">
        <v>8</v>
      </c>
      <c r="AL665" s="27" t="s">
        <v>7</v>
      </c>
      <c r="AO665" s="27" t="s">
        <v>8</v>
      </c>
      <c r="BC665" s="27" t="s">
        <v>8</v>
      </c>
      <c r="BE665" s="27" t="s">
        <v>8</v>
      </c>
      <c r="BF665" s="27" t="s">
        <v>7</v>
      </c>
      <c r="BG665" s="27" t="s">
        <v>8</v>
      </c>
      <c r="BI665" s="27" t="s">
        <v>8</v>
      </c>
      <c r="BJ665" s="27" t="s">
        <v>7</v>
      </c>
      <c r="BK665" s="27" t="s">
        <v>8</v>
      </c>
      <c r="BL665" s="27" t="s">
        <v>7</v>
      </c>
      <c r="BM665" s="27" t="s">
        <v>8</v>
      </c>
    </row>
    <row r="666" spans="1:67" x14ac:dyDescent="0.25">
      <c r="A666" s="7">
        <v>0.20921192272998904</v>
      </c>
      <c r="B666"/>
      <c r="C666"/>
      <c r="D666"/>
      <c r="E666"/>
      <c r="F666" s="27" t="s">
        <v>7</v>
      </c>
      <c r="G666" s="27" t="s">
        <v>8</v>
      </c>
      <c r="H666" s="27" t="s">
        <v>7</v>
      </c>
      <c r="AE666" s="27" t="s">
        <v>8</v>
      </c>
      <c r="AF666" s="27" t="s">
        <v>7</v>
      </c>
      <c r="AK666" s="27" t="s">
        <v>8</v>
      </c>
      <c r="AL666" s="27" t="s">
        <v>7</v>
      </c>
      <c r="AO666" s="27" t="s">
        <v>8</v>
      </c>
      <c r="AP666" s="27" t="s">
        <v>7</v>
      </c>
      <c r="AW666" s="27" t="s">
        <v>8</v>
      </c>
      <c r="BC666" s="27" t="s">
        <v>8</v>
      </c>
      <c r="BD666" s="27" t="s">
        <v>7</v>
      </c>
      <c r="BE666" s="27" t="s">
        <v>8</v>
      </c>
      <c r="BF666" s="27" t="s">
        <v>7</v>
      </c>
      <c r="BG666" s="27" t="s">
        <v>8</v>
      </c>
      <c r="BH666" s="27" t="s">
        <v>7</v>
      </c>
      <c r="BI666" s="27" t="s">
        <v>8</v>
      </c>
      <c r="BJ666" s="27" t="s">
        <v>7</v>
      </c>
      <c r="BK666" s="27" t="s">
        <v>8</v>
      </c>
      <c r="BL666" s="27" t="s">
        <v>7</v>
      </c>
      <c r="BM666" s="27" t="s">
        <v>8</v>
      </c>
    </row>
    <row r="667" spans="1:67" x14ac:dyDescent="0.25">
      <c r="A667" s="7">
        <v>0.20510972816665593</v>
      </c>
      <c r="B667"/>
      <c r="C667"/>
      <c r="D667"/>
      <c r="E667"/>
      <c r="F667" s="27" t="s">
        <v>7</v>
      </c>
      <c r="G667" s="27" t="s">
        <v>8</v>
      </c>
      <c r="H667" s="27" t="s">
        <v>7</v>
      </c>
      <c r="AE667" s="27" t="s">
        <v>8</v>
      </c>
      <c r="AF667" s="27" t="s">
        <v>7</v>
      </c>
      <c r="AK667" s="27" t="s">
        <v>8</v>
      </c>
      <c r="AL667" s="27" t="s">
        <v>7</v>
      </c>
      <c r="AO667" s="27" t="s">
        <v>8</v>
      </c>
      <c r="AP667" s="27" t="s">
        <v>7</v>
      </c>
      <c r="AW667" s="27" t="s">
        <v>8</v>
      </c>
      <c r="AX667" s="27" t="s">
        <v>7</v>
      </c>
      <c r="BC667" s="27" t="s">
        <v>8</v>
      </c>
      <c r="BD667" s="27" t="s">
        <v>7</v>
      </c>
      <c r="BE667" s="27" t="s">
        <v>8</v>
      </c>
      <c r="BF667" s="27" t="s">
        <v>7</v>
      </c>
      <c r="BG667" s="27" t="s">
        <v>8</v>
      </c>
      <c r="BH667" s="27" t="s">
        <v>7</v>
      </c>
      <c r="BI667" s="27" t="s">
        <v>8</v>
      </c>
      <c r="BJ667" s="27" t="s">
        <v>7</v>
      </c>
      <c r="BL667" s="27" t="s">
        <v>7</v>
      </c>
    </row>
    <row r="668" spans="1:67" x14ac:dyDescent="0.25">
      <c r="A668" s="7">
        <v>0.20108796879083912</v>
      </c>
      <c r="B668"/>
      <c r="C668"/>
      <c r="D668"/>
      <c r="E668"/>
      <c r="F668" s="27" t="s">
        <v>7</v>
      </c>
      <c r="G668" s="27" t="s">
        <v>8</v>
      </c>
      <c r="H668" s="27" t="s">
        <v>7</v>
      </c>
      <c r="AE668" s="27" t="s">
        <v>8</v>
      </c>
      <c r="AF668" s="27" t="s">
        <v>7</v>
      </c>
      <c r="AK668" s="27" t="s">
        <v>8</v>
      </c>
      <c r="AL668" s="27" t="s">
        <v>7</v>
      </c>
      <c r="AO668" s="27" t="s">
        <v>8</v>
      </c>
      <c r="AP668" s="27" t="s">
        <v>7</v>
      </c>
      <c r="AW668" s="27" t="s">
        <v>8</v>
      </c>
      <c r="AX668" s="27" t="s">
        <v>7</v>
      </c>
      <c r="BC668" s="27" t="s">
        <v>8</v>
      </c>
      <c r="BD668" s="27" t="s">
        <v>7</v>
      </c>
      <c r="BE668" s="27" t="s">
        <v>8</v>
      </c>
      <c r="BF668" s="27" t="s">
        <v>7</v>
      </c>
      <c r="BH668" s="27" t="s">
        <v>7</v>
      </c>
      <c r="BI668" s="27" t="s">
        <v>8</v>
      </c>
    </row>
    <row r="669" spans="1:67" x14ac:dyDescent="0.25">
      <c r="A669" s="7">
        <v>0.19714506744199917</v>
      </c>
      <c r="B669"/>
      <c r="C669"/>
      <c r="D669"/>
      <c r="E669"/>
      <c r="F669" s="27" t="s">
        <v>7</v>
      </c>
      <c r="G669" s="27" t="s">
        <v>8</v>
      </c>
      <c r="H669" s="27" t="s">
        <v>7</v>
      </c>
      <c r="AE669" s="27" t="s">
        <v>8</v>
      </c>
      <c r="AF669" s="27" t="s">
        <v>7</v>
      </c>
      <c r="AK669" s="27" t="s">
        <v>8</v>
      </c>
      <c r="AL669" s="27" t="s">
        <v>7</v>
      </c>
      <c r="AO669" s="27" t="s">
        <v>8</v>
      </c>
      <c r="AP669" s="27" t="s">
        <v>7</v>
      </c>
      <c r="AW669" s="27" t="s">
        <v>8</v>
      </c>
      <c r="AX669" s="27" t="s">
        <v>7</v>
      </c>
      <c r="BA669" s="27" t="s">
        <v>8</v>
      </c>
      <c r="BC669" s="27" t="s">
        <v>8</v>
      </c>
      <c r="BD669" s="27" t="s">
        <v>7</v>
      </c>
      <c r="BE669" s="27" t="s">
        <v>8</v>
      </c>
      <c r="BH669" s="27" t="s">
        <v>7</v>
      </c>
      <c r="BI669" s="27" t="s">
        <v>8</v>
      </c>
    </row>
    <row r="670" spans="1:67" x14ac:dyDescent="0.25">
      <c r="A670" s="7">
        <v>0.19327947788431293</v>
      </c>
      <c r="B670"/>
      <c r="C670"/>
      <c r="D670"/>
      <c r="E670"/>
      <c r="F670" s="27" t="s">
        <v>7</v>
      </c>
      <c r="G670" s="27" t="s">
        <v>8</v>
      </c>
      <c r="H670" s="27" t="s">
        <v>7</v>
      </c>
      <c r="Q670" s="27" t="s">
        <v>8</v>
      </c>
      <c r="AE670" s="27" t="s">
        <v>8</v>
      </c>
      <c r="AF670" s="27" t="s">
        <v>7</v>
      </c>
      <c r="AK670" s="27" t="s">
        <v>8</v>
      </c>
      <c r="AL670" s="27" t="s">
        <v>7</v>
      </c>
      <c r="AO670" s="27" t="s">
        <v>8</v>
      </c>
      <c r="AP670" s="27" t="s">
        <v>7</v>
      </c>
      <c r="AU670" s="27" t="s">
        <v>8</v>
      </c>
      <c r="AW670" s="27" t="s">
        <v>8</v>
      </c>
      <c r="AX670" s="27" t="s">
        <v>7</v>
      </c>
      <c r="BA670" s="27" t="s">
        <v>8</v>
      </c>
      <c r="BB670" s="27" t="s">
        <v>7</v>
      </c>
      <c r="BC670" s="27" t="s">
        <v>8</v>
      </c>
      <c r="BD670" s="27" t="s">
        <v>7</v>
      </c>
      <c r="BE670" s="27" t="s">
        <v>8</v>
      </c>
      <c r="BH670" s="27" t="s">
        <v>7</v>
      </c>
      <c r="BI670" s="27" t="s">
        <v>8</v>
      </c>
    </row>
    <row r="671" spans="1:67" x14ac:dyDescent="0.25">
      <c r="A671" s="7">
        <v>0.18948968420030682</v>
      </c>
      <c r="B671"/>
      <c r="C671"/>
      <c r="D671"/>
      <c r="E671"/>
      <c r="F671" s="27" t="s">
        <v>7</v>
      </c>
      <c r="G671" s="27" t="s">
        <v>8</v>
      </c>
      <c r="H671" s="27" t="s">
        <v>7</v>
      </c>
      <c r="Q671" s="27" t="s">
        <v>8</v>
      </c>
      <c r="R671" s="27" t="s">
        <v>7</v>
      </c>
      <c r="AE671" s="27" t="s">
        <v>8</v>
      </c>
      <c r="AF671" s="27" t="s">
        <v>7</v>
      </c>
      <c r="AG671" s="27" t="s">
        <v>8</v>
      </c>
      <c r="AK671" s="27" t="s">
        <v>8</v>
      </c>
      <c r="AL671" s="27" t="s">
        <v>7</v>
      </c>
      <c r="AO671" s="27" t="s">
        <v>8</v>
      </c>
      <c r="AP671" s="27" t="s">
        <v>7</v>
      </c>
      <c r="AU671" s="27" t="s">
        <v>8</v>
      </c>
      <c r="AV671" s="27" t="s">
        <v>7</v>
      </c>
      <c r="AW671" s="27" t="s">
        <v>8</v>
      </c>
      <c r="AX671" s="27" t="s">
        <v>7</v>
      </c>
      <c r="BA671" s="27" t="s">
        <v>8</v>
      </c>
      <c r="BB671" s="27" t="s">
        <v>7</v>
      </c>
      <c r="BC671" s="27" t="s">
        <v>8</v>
      </c>
      <c r="BD671" s="27" t="s">
        <v>7</v>
      </c>
      <c r="BE671" s="27" t="s">
        <v>8</v>
      </c>
      <c r="BH671" s="27" t="s">
        <v>7</v>
      </c>
    </row>
    <row r="672" spans="1:67" x14ac:dyDescent="0.25">
      <c r="A672" s="7">
        <v>0.18577420019637925</v>
      </c>
      <c r="B672"/>
      <c r="C672"/>
      <c r="D672"/>
      <c r="E672"/>
      <c r="F672" s="27" t="s">
        <v>7</v>
      </c>
      <c r="G672" s="27" t="s">
        <v>8</v>
      </c>
      <c r="H672" s="27" t="s">
        <v>7</v>
      </c>
      <c r="Q672" s="27" t="s">
        <v>8</v>
      </c>
      <c r="R672" s="27" t="s">
        <v>7</v>
      </c>
      <c r="AE672" s="27" t="s">
        <v>8</v>
      </c>
      <c r="AF672" s="27" t="s">
        <v>7</v>
      </c>
      <c r="AG672" s="27" t="s">
        <v>8</v>
      </c>
      <c r="AH672" s="27" t="s">
        <v>7</v>
      </c>
      <c r="AK672" s="27" t="s">
        <v>8</v>
      </c>
      <c r="AL672" s="27" t="s">
        <v>7</v>
      </c>
      <c r="AO672" s="27" t="s">
        <v>8</v>
      </c>
      <c r="AP672" s="27" t="s">
        <v>7</v>
      </c>
      <c r="AQ672" s="27" t="s">
        <v>8</v>
      </c>
      <c r="AU672" s="27" t="s">
        <v>8</v>
      </c>
      <c r="AV672" s="27" t="s">
        <v>7</v>
      </c>
      <c r="AW672" s="27" t="s">
        <v>8</v>
      </c>
      <c r="AX672" s="27" t="s">
        <v>7</v>
      </c>
      <c r="BA672" s="27" t="s">
        <v>8</v>
      </c>
      <c r="BB672" s="27" t="s">
        <v>7</v>
      </c>
      <c r="BC672" s="27" t="s">
        <v>8</v>
      </c>
      <c r="BD672" s="27" t="s">
        <v>7</v>
      </c>
      <c r="BE672" s="27" t="s">
        <v>8</v>
      </c>
    </row>
    <row r="673" spans="1:57" x14ac:dyDescent="0.25">
      <c r="A673" s="7">
        <v>0.18213156881997963</v>
      </c>
      <c r="B673"/>
      <c r="C673"/>
      <c r="D673"/>
      <c r="E673"/>
      <c r="F673" s="27" t="s">
        <v>7</v>
      </c>
      <c r="G673" s="27" t="s">
        <v>8</v>
      </c>
      <c r="H673" s="27" t="s">
        <v>7</v>
      </c>
      <c r="Q673" s="27" t="s">
        <v>8</v>
      </c>
      <c r="R673" s="27" t="s">
        <v>7</v>
      </c>
      <c r="AE673" s="27" t="s">
        <v>8</v>
      </c>
      <c r="AF673" s="27" t="s">
        <v>7</v>
      </c>
      <c r="AG673" s="27" t="s">
        <v>8</v>
      </c>
      <c r="AH673" s="27" t="s">
        <v>7</v>
      </c>
      <c r="AI673" s="27" t="s">
        <v>8</v>
      </c>
      <c r="AK673" s="27" t="s">
        <v>8</v>
      </c>
      <c r="AL673" s="27" t="s">
        <v>7</v>
      </c>
      <c r="AO673" s="27" t="s">
        <v>8</v>
      </c>
      <c r="AP673" s="27" t="s">
        <v>7</v>
      </c>
      <c r="AQ673" s="27" t="s">
        <v>8</v>
      </c>
      <c r="AR673" s="27" t="s">
        <v>7</v>
      </c>
      <c r="AU673" s="27" t="s">
        <v>8</v>
      </c>
      <c r="AV673" s="27" t="s">
        <v>7</v>
      </c>
      <c r="AW673" s="27" t="s">
        <v>8</v>
      </c>
      <c r="AX673" s="27" t="s">
        <v>7</v>
      </c>
      <c r="BA673" s="27" t="s">
        <v>8</v>
      </c>
      <c r="BB673" s="27" t="s">
        <v>7</v>
      </c>
      <c r="BC673" s="27" t="s">
        <v>8</v>
      </c>
      <c r="BD673" s="27" t="s">
        <v>7</v>
      </c>
      <c r="BE673" s="27" t="s">
        <v>8</v>
      </c>
    </row>
    <row r="674" spans="1:57" x14ac:dyDescent="0.25">
      <c r="A674" s="7">
        <v>0.17856036158821534</v>
      </c>
      <c r="B674"/>
      <c r="C674"/>
      <c r="D674"/>
      <c r="E674"/>
      <c r="F674" s="27" t="s">
        <v>7</v>
      </c>
      <c r="G674" s="27" t="s">
        <v>8</v>
      </c>
      <c r="H674" s="27" t="s">
        <v>7</v>
      </c>
      <c r="Q674" s="27" t="s">
        <v>8</v>
      </c>
      <c r="R674" s="27" t="s">
        <v>7</v>
      </c>
      <c r="AE674" s="27" t="s">
        <v>8</v>
      </c>
      <c r="AF674" s="27" t="s">
        <v>7</v>
      </c>
      <c r="AG674" s="27" t="s">
        <v>8</v>
      </c>
      <c r="AH674" s="27" t="s">
        <v>7</v>
      </c>
      <c r="AI674" s="27" t="s">
        <v>8</v>
      </c>
      <c r="AJ674" s="27" t="s">
        <v>7</v>
      </c>
      <c r="AK674" s="27" t="s">
        <v>8</v>
      </c>
      <c r="AL674" s="27" t="s">
        <v>7</v>
      </c>
      <c r="AO674" s="27" t="s">
        <v>8</v>
      </c>
      <c r="AP674" s="27" t="s">
        <v>7</v>
      </c>
      <c r="AQ674" s="27" t="s">
        <v>8</v>
      </c>
      <c r="AR674" s="27" t="s">
        <v>7</v>
      </c>
      <c r="AU674" s="27" t="s">
        <v>8</v>
      </c>
      <c r="AV674" s="27" t="s">
        <v>7</v>
      </c>
      <c r="AW674" s="27" t="s">
        <v>8</v>
      </c>
      <c r="AX674" s="27" t="s">
        <v>7</v>
      </c>
      <c r="AY674" s="27" t="s">
        <v>8</v>
      </c>
      <c r="BA674" s="27" t="s">
        <v>8</v>
      </c>
      <c r="BB674" s="27" t="s">
        <v>7</v>
      </c>
      <c r="BC674" s="27" t="s">
        <v>8</v>
      </c>
      <c r="BD674" s="27" t="s">
        <v>7</v>
      </c>
      <c r="BE674" s="27" t="s">
        <v>8</v>
      </c>
    </row>
    <row r="675" spans="1:57" x14ac:dyDescent="0.25">
      <c r="A675" s="7">
        <v>0.17505917802766208</v>
      </c>
      <c r="B675"/>
      <c r="C675"/>
      <c r="D675"/>
      <c r="E675"/>
      <c r="F675" s="27" t="s">
        <v>7</v>
      </c>
      <c r="G675" s="27" t="s">
        <v>8</v>
      </c>
      <c r="H675" s="27" t="s">
        <v>7</v>
      </c>
      <c r="Q675" s="27" t="s">
        <v>8</v>
      </c>
      <c r="R675" s="27" t="s">
        <v>7</v>
      </c>
      <c r="AE675" s="27" t="s">
        <v>8</v>
      </c>
      <c r="AF675" s="27" t="s">
        <v>7</v>
      </c>
      <c r="AG675" s="27" t="s">
        <v>8</v>
      </c>
      <c r="AH675" s="27" t="s">
        <v>7</v>
      </c>
      <c r="AI675" s="27" t="s">
        <v>8</v>
      </c>
      <c r="AJ675" s="27" t="s">
        <v>7</v>
      </c>
      <c r="AK675" s="27" t="s">
        <v>8</v>
      </c>
      <c r="AL675" s="27" t="s">
        <v>7</v>
      </c>
      <c r="AO675" s="27" t="s">
        <v>8</v>
      </c>
      <c r="AP675" s="27" t="s">
        <v>7</v>
      </c>
      <c r="AQ675" s="27" t="s">
        <v>8</v>
      </c>
      <c r="AR675" s="27" t="s">
        <v>7</v>
      </c>
      <c r="AU675" s="27" t="s">
        <v>8</v>
      </c>
      <c r="AV675" s="27" t="s">
        <v>7</v>
      </c>
      <c r="AX675" s="27" t="s">
        <v>7</v>
      </c>
      <c r="AY675" s="27" t="s">
        <v>8</v>
      </c>
      <c r="AZ675" s="27" t="s">
        <v>7</v>
      </c>
      <c r="BA675" s="27" t="s">
        <v>8</v>
      </c>
      <c r="BB675" s="27" t="s">
        <v>7</v>
      </c>
      <c r="BC675" s="27" t="s">
        <v>8</v>
      </c>
      <c r="BD675" s="27" t="s">
        <v>7</v>
      </c>
    </row>
    <row r="676" spans="1:57" x14ac:dyDescent="0.25">
      <c r="A676" s="7">
        <v>0.17162664512515888</v>
      </c>
      <c r="B676"/>
      <c r="C676"/>
      <c r="D676"/>
      <c r="E676"/>
      <c r="F676" s="27" t="s">
        <v>7</v>
      </c>
      <c r="G676" s="27" t="s">
        <v>8</v>
      </c>
      <c r="H676" s="27" t="s">
        <v>7</v>
      </c>
      <c r="O676" s="27" t="s">
        <v>8</v>
      </c>
      <c r="Q676" s="27" t="s">
        <v>8</v>
      </c>
      <c r="R676" s="27" t="s">
        <v>7</v>
      </c>
      <c r="AC676" s="27" t="s">
        <v>8</v>
      </c>
      <c r="AE676" s="27" t="s">
        <v>8</v>
      </c>
      <c r="AF676" s="27" t="s">
        <v>7</v>
      </c>
      <c r="AG676" s="27" t="s">
        <v>8</v>
      </c>
      <c r="AH676" s="27" t="s">
        <v>7</v>
      </c>
      <c r="AI676" s="27" t="s">
        <v>8</v>
      </c>
      <c r="AJ676" s="27" t="s">
        <v>7</v>
      </c>
      <c r="AK676" s="27" t="s">
        <v>8</v>
      </c>
      <c r="AL676" s="27" t="s">
        <v>7</v>
      </c>
      <c r="AO676" s="27" t="s">
        <v>8</v>
      </c>
      <c r="AP676" s="27" t="s">
        <v>7</v>
      </c>
      <c r="AQ676" s="27" t="s">
        <v>8</v>
      </c>
      <c r="AR676" s="27" t="s">
        <v>7</v>
      </c>
      <c r="AU676" s="27" t="s">
        <v>8</v>
      </c>
      <c r="AX676" s="27" t="s">
        <v>7</v>
      </c>
      <c r="AY676" s="27" t="s">
        <v>8</v>
      </c>
      <c r="AZ676" s="27" t="s">
        <v>7</v>
      </c>
      <c r="BA676" s="27" t="s">
        <v>8</v>
      </c>
      <c r="BB676" s="27" t="s">
        <v>7</v>
      </c>
    </row>
    <row r="677" spans="1:57" x14ac:dyDescent="0.25">
      <c r="A677" s="7">
        <v>0.16826141678937145</v>
      </c>
      <c r="B677"/>
      <c r="C677"/>
      <c r="D677"/>
      <c r="E677"/>
      <c r="F677" s="27" t="s">
        <v>7</v>
      </c>
      <c r="G677" s="27" t="s">
        <v>8</v>
      </c>
      <c r="H677" s="27" t="s">
        <v>7</v>
      </c>
      <c r="O677" s="27" t="s">
        <v>8</v>
      </c>
      <c r="P677" s="27" t="s">
        <v>7</v>
      </c>
      <c r="Q677" s="27" t="s">
        <v>8</v>
      </c>
      <c r="R677" s="27" t="s">
        <v>7</v>
      </c>
      <c r="AC677" s="27" t="s">
        <v>8</v>
      </c>
      <c r="AD677" s="27" t="s">
        <v>7</v>
      </c>
      <c r="AE677" s="27" t="s">
        <v>8</v>
      </c>
      <c r="AF677" s="27" t="s">
        <v>7</v>
      </c>
      <c r="AG677" s="27" t="s">
        <v>8</v>
      </c>
      <c r="AH677" s="27" t="s">
        <v>7</v>
      </c>
      <c r="AI677" s="27" t="s">
        <v>8</v>
      </c>
      <c r="AJ677" s="27" t="s">
        <v>7</v>
      </c>
      <c r="AK677" s="27" t="s">
        <v>8</v>
      </c>
      <c r="AL677" s="27" t="s">
        <v>7</v>
      </c>
      <c r="AO677" s="27" t="s">
        <v>8</v>
      </c>
      <c r="AP677" s="27" t="s">
        <v>7</v>
      </c>
      <c r="AQ677" s="27" t="s">
        <v>8</v>
      </c>
      <c r="AR677" s="27" t="s">
        <v>7</v>
      </c>
      <c r="AS677" s="27" t="s">
        <v>8</v>
      </c>
      <c r="AU677" s="27" t="s">
        <v>8</v>
      </c>
      <c r="AX677" s="27" t="s">
        <v>7</v>
      </c>
      <c r="AY677" s="27" t="s">
        <v>8</v>
      </c>
      <c r="AZ677" s="27" t="s">
        <v>7</v>
      </c>
      <c r="BA677" s="27" t="s">
        <v>8</v>
      </c>
    </row>
    <row r="678" spans="1:57" x14ac:dyDescent="0.25">
      <c r="A678" s="7">
        <v>0.16496217332291319</v>
      </c>
      <c r="B678"/>
      <c r="C678"/>
      <c r="D678"/>
      <c r="E678"/>
      <c r="F678" s="27" t="s">
        <v>7</v>
      </c>
      <c r="G678" s="27" t="s">
        <v>8</v>
      </c>
      <c r="H678" s="27" t="s">
        <v>7</v>
      </c>
      <c r="O678" s="27" t="s">
        <v>8</v>
      </c>
      <c r="P678" s="27" t="s">
        <v>7</v>
      </c>
      <c r="Q678" s="27" t="s">
        <v>8</v>
      </c>
      <c r="R678" s="27" t="s">
        <v>7</v>
      </c>
      <c r="AC678" s="27" t="s">
        <v>8</v>
      </c>
      <c r="AD678" s="27" t="s">
        <v>7</v>
      </c>
      <c r="AE678" s="27" t="s">
        <v>8</v>
      </c>
      <c r="AF678" s="27" t="s">
        <v>7</v>
      </c>
      <c r="AH678" s="27" t="s">
        <v>7</v>
      </c>
      <c r="AI678" s="27" t="s">
        <v>8</v>
      </c>
      <c r="AJ678" s="27" t="s">
        <v>7</v>
      </c>
      <c r="AK678" s="27" t="s">
        <v>8</v>
      </c>
      <c r="AL678" s="27" t="s">
        <v>7</v>
      </c>
      <c r="AO678" s="27" t="s">
        <v>8</v>
      </c>
      <c r="AP678" s="27" t="s">
        <v>7</v>
      </c>
      <c r="AQ678" s="27" t="s">
        <v>8</v>
      </c>
      <c r="AR678" s="27" t="s">
        <v>7</v>
      </c>
      <c r="AS678" s="27" t="s">
        <v>8</v>
      </c>
      <c r="AT678" s="27" t="s">
        <v>7</v>
      </c>
      <c r="AU678" s="27" t="s">
        <v>8</v>
      </c>
      <c r="AX678" s="27" t="s">
        <v>7</v>
      </c>
      <c r="AY678" s="27" t="s">
        <v>8</v>
      </c>
      <c r="AZ678" s="27" t="s">
        <v>7</v>
      </c>
    </row>
    <row r="679" spans="1:57" x14ac:dyDescent="0.25">
      <c r="A679" s="7">
        <v>0.16172762090481685</v>
      </c>
      <c r="B679"/>
      <c r="C679"/>
      <c r="D679"/>
      <c r="E679"/>
      <c r="F679" s="27" t="s">
        <v>7</v>
      </c>
      <c r="G679" s="27" t="s">
        <v>8</v>
      </c>
      <c r="H679" s="27" t="s">
        <v>7</v>
      </c>
      <c r="O679" s="27" t="s">
        <v>8</v>
      </c>
      <c r="P679" s="27" t="s">
        <v>7</v>
      </c>
      <c r="Q679" s="27" t="s">
        <v>8</v>
      </c>
      <c r="R679" s="27" t="s">
        <v>7</v>
      </c>
      <c r="AC679" s="27" t="s">
        <v>8</v>
      </c>
      <c r="AD679" s="27" t="s">
        <v>7</v>
      </c>
      <c r="AE679" s="27" t="s">
        <v>8</v>
      </c>
      <c r="AH679" s="27" t="s">
        <v>7</v>
      </c>
      <c r="AI679" s="27" t="s">
        <v>8</v>
      </c>
      <c r="AJ679" s="27" t="s">
        <v>7</v>
      </c>
      <c r="AL679" s="27" t="s">
        <v>7</v>
      </c>
      <c r="AM679" s="27" t="s">
        <v>8</v>
      </c>
      <c r="AO679" s="27" t="s">
        <v>8</v>
      </c>
      <c r="AP679" s="27" t="s">
        <v>7</v>
      </c>
      <c r="AQ679" s="27" t="s">
        <v>8</v>
      </c>
      <c r="AR679" s="27" t="s">
        <v>7</v>
      </c>
      <c r="AS679" s="27" t="s">
        <v>8</v>
      </c>
      <c r="AT679" s="27" t="s">
        <v>7</v>
      </c>
      <c r="AU679" s="27" t="s">
        <v>8</v>
      </c>
      <c r="AX679" s="27" t="s">
        <v>7</v>
      </c>
    </row>
    <row r="680" spans="1:57" x14ac:dyDescent="0.25">
      <c r="A680" s="7">
        <v>0.15855649108315376</v>
      </c>
      <c r="B680"/>
      <c r="C680"/>
      <c r="D680"/>
      <c r="E680"/>
      <c r="F680" s="27" t="s">
        <v>7</v>
      </c>
      <c r="G680" s="27" t="s">
        <v>8</v>
      </c>
      <c r="H680" s="27" t="s">
        <v>7</v>
      </c>
      <c r="O680" s="27" t="s">
        <v>8</v>
      </c>
      <c r="P680" s="27" t="s">
        <v>7</v>
      </c>
      <c r="Q680" s="27" t="s">
        <v>8</v>
      </c>
      <c r="R680" s="27" t="s">
        <v>7</v>
      </c>
      <c r="AC680" s="27" t="s">
        <v>8</v>
      </c>
      <c r="AD680" s="27" t="s">
        <v>7</v>
      </c>
      <c r="AE680" s="27" t="s">
        <v>8</v>
      </c>
      <c r="AH680" s="27" t="s">
        <v>7</v>
      </c>
      <c r="AI680" s="27" t="s">
        <v>8</v>
      </c>
      <c r="AL680" s="27" t="s">
        <v>7</v>
      </c>
      <c r="AM680" s="27" t="s">
        <v>8</v>
      </c>
      <c r="AN680" s="27" t="s">
        <v>7</v>
      </c>
      <c r="AO680" s="27" t="s">
        <v>8</v>
      </c>
      <c r="AP680" s="27" t="s">
        <v>7</v>
      </c>
      <c r="AQ680" s="27" t="s">
        <v>8</v>
      </c>
      <c r="AR680" s="27" t="s">
        <v>7</v>
      </c>
      <c r="AS680" s="27" t="s">
        <v>8</v>
      </c>
      <c r="AT680" s="27" t="s">
        <v>7</v>
      </c>
      <c r="AU680" s="27" t="s">
        <v>8</v>
      </c>
    </row>
    <row r="681" spans="1:57" x14ac:dyDescent="0.25">
      <c r="A681" s="7">
        <v>0.15544754027760171</v>
      </c>
      <c r="B681"/>
      <c r="C681"/>
      <c r="D681"/>
      <c r="E681"/>
      <c r="F681" s="27" t="s">
        <v>7</v>
      </c>
      <c r="G681" s="27" t="s">
        <v>8</v>
      </c>
      <c r="H681" s="27" t="s">
        <v>7</v>
      </c>
      <c r="O681" s="27" t="s">
        <v>8</v>
      </c>
      <c r="P681" s="27" t="s">
        <v>7</v>
      </c>
      <c r="Q681" s="27" t="s">
        <v>8</v>
      </c>
      <c r="R681" s="27" t="s">
        <v>7</v>
      </c>
      <c r="S681" s="27" t="s">
        <v>8</v>
      </c>
      <c r="W681" s="27" t="s">
        <v>8</v>
      </c>
      <c r="AC681" s="27" t="s">
        <v>8</v>
      </c>
      <c r="AD681" s="27" t="s">
        <v>7</v>
      </c>
      <c r="AE681" s="27" t="s">
        <v>8</v>
      </c>
      <c r="AH681" s="27" t="s">
        <v>7</v>
      </c>
      <c r="AI681" s="27" t="s">
        <v>8</v>
      </c>
      <c r="AL681" s="27" t="s">
        <v>7</v>
      </c>
      <c r="AM681" s="27" t="s">
        <v>8</v>
      </c>
      <c r="AN681" s="27" t="s">
        <v>7</v>
      </c>
      <c r="AO681" s="27" t="s">
        <v>8</v>
      </c>
      <c r="AP681" s="27" t="s">
        <v>7</v>
      </c>
      <c r="AQ681" s="27" t="s">
        <v>8</v>
      </c>
      <c r="AR681" s="27" t="s">
        <v>7</v>
      </c>
      <c r="AS681" s="27" t="s">
        <v>8</v>
      </c>
      <c r="AT681" s="27" t="s">
        <v>7</v>
      </c>
      <c r="AU681" s="27" t="s">
        <v>8</v>
      </c>
    </row>
    <row r="682" spans="1:57" x14ac:dyDescent="0.25">
      <c r="A682" s="7">
        <v>0.15239954929176638</v>
      </c>
      <c r="B682"/>
      <c r="C682"/>
      <c r="D682"/>
      <c r="E682"/>
      <c r="F682" s="27" t="s">
        <v>7</v>
      </c>
      <c r="G682" s="27" t="s">
        <v>8</v>
      </c>
      <c r="H682" s="27" t="s">
        <v>7</v>
      </c>
      <c r="M682" s="27" t="s">
        <v>8</v>
      </c>
      <c r="O682" s="27" t="s">
        <v>8</v>
      </c>
      <c r="P682" s="27" t="s">
        <v>7</v>
      </c>
      <c r="Q682" s="27" t="s">
        <v>8</v>
      </c>
      <c r="R682" s="27" t="s">
        <v>7</v>
      </c>
      <c r="S682" s="27" t="s">
        <v>8</v>
      </c>
      <c r="T682" s="27" t="s">
        <v>7</v>
      </c>
      <c r="W682" s="27" t="s">
        <v>8</v>
      </c>
      <c r="X682" s="27" t="s">
        <v>7</v>
      </c>
      <c r="AC682" s="27" t="s">
        <v>8</v>
      </c>
      <c r="AD682" s="27" t="s">
        <v>7</v>
      </c>
      <c r="AE682" s="27" t="s">
        <v>8</v>
      </c>
      <c r="AH682" s="27" t="s">
        <v>7</v>
      </c>
      <c r="AI682" s="27" t="s">
        <v>8</v>
      </c>
      <c r="AL682" s="27" t="s">
        <v>7</v>
      </c>
      <c r="AM682" s="27" t="s">
        <v>8</v>
      </c>
      <c r="AN682" s="27" t="s">
        <v>7</v>
      </c>
      <c r="AO682" s="27" t="s">
        <v>8</v>
      </c>
      <c r="AP682" s="27" t="s">
        <v>7</v>
      </c>
      <c r="AQ682" s="27" t="s">
        <v>8</v>
      </c>
      <c r="AR682" s="27" t="s">
        <v>7</v>
      </c>
      <c r="AT682" s="27" t="s">
        <v>7</v>
      </c>
      <c r="AU682" s="27" t="s">
        <v>8</v>
      </c>
    </row>
    <row r="683" spans="1:57" x14ac:dyDescent="0.25">
      <c r="A683" s="7">
        <v>0.14941132283506509</v>
      </c>
      <c r="B683"/>
      <c r="C683"/>
      <c r="D683"/>
      <c r="E683"/>
      <c r="F683" s="27" t="s">
        <v>7</v>
      </c>
      <c r="H683" s="27" t="s">
        <v>7</v>
      </c>
      <c r="M683" s="27" t="s">
        <v>8</v>
      </c>
      <c r="N683" s="27" t="s">
        <v>7</v>
      </c>
      <c r="O683" s="27" t="s">
        <v>8</v>
      </c>
      <c r="P683" s="27" t="s">
        <v>7</v>
      </c>
      <c r="Q683" s="27" t="s">
        <v>8</v>
      </c>
      <c r="R683" s="27" t="s">
        <v>7</v>
      </c>
      <c r="S683" s="27" t="s">
        <v>8</v>
      </c>
      <c r="T683" s="27" t="s">
        <v>7</v>
      </c>
      <c r="W683" s="27" t="s">
        <v>8</v>
      </c>
      <c r="X683" s="27" t="s">
        <v>7</v>
      </c>
      <c r="AC683" s="27" t="s">
        <v>8</v>
      </c>
      <c r="AD683" s="27" t="s">
        <v>7</v>
      </c>
      <c r="AH683" s="27" t="s">
        <v>7</v>
      </c>
      <c r="AL683" s="27" t="s">
        <v>7</v>
      </c>
      <c r="AM683" s="27" t="s">
        <v>8</v>
      </c>
      <c r="AN683" s="27" t="s">
        <v>7</v>
      </c>
      <c r="AO683" s="27" t="s">
        <v>8</v>
      </c>
      <c r="AP683" s="27" t="s">
        <v>7</v>
      </c>
      <c r="AQ683" s="27" t="s">
        <v>8</v>
      </c>
      <c r="AT683" s="27" t="s">
        <v>7</v>
      </c>
      <c r="AU683" s="27" t="s">
        <v>8</v>
      </c>
    </row>
    <row r="684" spans="1:57" x14ac:dyDescent="0.25">
      <c r="A684" s="7">
        <v>0.14648168905398537</v>
      </c>
      <c r="B684"/>
      <c r="C684"/>
      <c r="D684"/>
      <c r="E684"/>
      <c r="H684" s="27" t="s">
        <v>7</v>
      </c>
      <c r="M684" s="27" t="s">
        <v>8</v>
      </c>
      <c r="N684" s="27" t="s">
        <v>7</v>
      </c>
      <c r="O684" s="27" t="s">
        <v>8</v>
      </c>
      <c r="P684" s="27" t="s">
        <v>7</v>
      </c>
      <c r="Q684" s="27" t="s">
        <v>8</v>
      </c>
      <c r="R684" s="27" t="s">
        <v>7</v>
      </c>
      <c r="S684" s="27" t="s">
        <v>8</v>
      </c>
      <c r="T684" s="27" t="s">
        <v>7</v>
      </c>
      <c r="W684" s="27" t="s">
        <v>8</v>
      </c>
      <c r="X684" s="27" t="s">
        <v>7</v>
      </c>
      <c r="AA684" s="27" t="s">
        <v>8</v>
      </c>
      <c r="AC684" s="27" t="s">
        <v>8</v>
      </c>
      <c r="AL684" s="27" t="s">
        <v>7</v>
      </c>
      <c r="AM684" s="27" t="s">
        <v>8</v>
      </c>
      <c r="AN684" s="27" t="s">
        <v>7</v>
      </c>
      <c r="AO684" s="27" t="s">
        <v>8</v>
      </c>
      <c r="AP684" s="27" t="s">
        <v>7</v>
      </c>
      <c r="AT684" s="27" t="s">
        <v>7</v>
      </c>
      <c r="AU684" s="27" t="s">
        <v>8</v>
      </c>
    </row>
    <row r="685" spans="1:57" x14ac:dyDescent="0.25">
      <c r="A685" s="7">
        <v>0.14360949907253467</v>
      </c>
      <c r="B685"/>
      <c r="C685"/>
      <c r="D685"/>
      <c r="E685"/>
      <c r="H685" s="27" t="s">
        <v>7</v>
      </c>
      <c r="I685" s="27" t="s">
        <v>8</v>
      </c>
      <c r="M685" s="27" t="s">
        <v>8</v>
      </c>
      <c r="N685" s="27" t="s">
        <v>7</v>
      </c>
      <c r="O685" s="27" t="s">
        <v>8</v>
      </c>
      <c r="P685" s="27" t="s">
        <v>7</v>
      </c>
      <c r="Q685" s="27" t="s">
        <v>8</v>
      </c>
      <c r="R685" s="27" t="s">
        <v>7</v>
      </c>
      <c r="S685" s="27" t="s">
        <v>8</v>
      </c>
      <c r="T685" s="27" t="s">
        <v>7</v>
      </c>
      <c r="W685" s="27" t="s">
        <v>8</v>
      </c>
      <c r="X685" s="27" t="s">
        <v>7</v>
      </c>
      <c r="AA685" s="27" t="s">
        <v>8</v>
      </c>
      <c r="AB685" s="27" t="s">
        <v>7</v>
      </c>
      <c r="AC685" s="27" t="s">
        <v>8</v>
      </c>
      <c r="AL685" s="27" t="s">
        <v>7</v>
      </c>
      <c r="AM685" s="27" t="s">
        <v>8</v>
      </c>
      <c r="AN685" s="27" t="s">
        <v>7</v>
      </c>
      <c r="AT685" s="27" t="s">
        <v>7</v>
      </c>
      <c r="AU685" s="27" t="s">
        <v>8</v>
      </c>
    </row>
    <row r="686" spans="1:57" x14ac:dyDescent="0.25">
      <c r="A686" s="7">
        <v>0.14079362654170066</v>
      </c>
      <c r="B686"/>
      <c r="C686"/>
      <c r="D686"/>
      <c r="E686"/>
      <c r="H686" s="27" t="s">
        <v>7</v>
      </c>
      <c r="I686" s="27" t="s">
        <v>8</v>
      </c>
      <c r="J686" s="27" t="s">
        <v>7</v>
      </c>
      <c r="M686" s="27" t="s">
        <v>8</v>
      </c>
      <c r="N686" s="27" t="s">
        <v>7</v>
      </c>
      <c r="O686" s="27" t="s">
        <v>8</v>
      </c>
      <c r="P686" s="27" t="s">
        <v>7</v>
      </c>
      <c r="Q686" s="27" t="s">
        <v>8</v>
      </c>
      <c r="R686" s="27" t="s">
        <v>7</v>
      </c>
      <c r="S686" s="27" t="s">
        <v>8</v>
      </c>
      <c r="T686" s="27" t="s">
        <v>7</v>
      </c>
      <c r="W686" s="27" t="s">
        <v>8</v>
      </c>
      <c r="X686" s="27" t="s">
        <v>7</v>
      </c>
      <c r="AA686" s="27" t="s">
        <v>8</v>
      </c>
      <c r="AB686" s="27" t="s">
        <v>7</v>
      </c>
      <c r="AC686" s="27" t="s">
        <v>8</v>
      </c>
      <c r="AL686" s="27" t="s">
        <v>7</v>
      </c>
      <c r="AT686" s="27" t="s">
        <v>7</v>
      </c>
    </row>
    <row r="687" spans="1:57" x14ac:dyDescent="0.25">
      <c r="A687" s="7">
        <v>0.13803296719774574</v>
      </c>
      <c r="B687"/>
      <c r="C687"/>
      <c r="D687"/>
      <c r="E687"/>
      <c r="H687" s="27" t="s">
        <v>7</v>
      </c>
      <c r="I687" s="27" t="s">
        <v>8</v>
      </c>
      <c r="J687" s="27" t="s">
        <v>7</v>
      </c>
      <c r="M687" s="27" t="s">
        <v>8</v>
      </c>
      <c r="N687" s="27" t="s">
        <v>7</v>
      </c>
      <c r="O687" s="27" t="s">
        <v>8</v>
      </c>
      <c r="P687" s="27" t="s">
        <v>7</v>
      </c>
      <c r="Q687" s="27" t="s">
        <v>8</v>
      </c>
      <c r="R687" s="27" t="s">
        <v>7</v>
      </c>
      <c r="S687" s="27" t="s">
        <v>8</v>
      </c>
      <c r="T687" s="27" t="s">
        <v>7</v>
      </c>
      <c r="W687" s="27" t="s">
        <v>8</v>
      </c>
      <c r="X687" s="27" t="s">
        <v>7</v>
      </c>
      <c r="Y687" s="27" t="s">
        <v>8</v>
      </c>
      <c r="AA687" s="27" t="s">
        <v>8</v>
      </c>
      <c r="AB687" s="27" t="s">
        <v>7</v>
      </c>
      <c r="AC687" s="27" t="s">
        <v>8</v>
      </c>
    </row>
    <row r="688" spans="1:57" x14ac:dyDescent="0.25">
      <c r="A688" s="7">
        <v>0.1353264384291625</v>
      </c>
      <c r="B688"/>
      <c r="C688"/>
      <c r="D688"/>
      <c r="E688"/>
      <c r="H688" s="27" t="s">
        <v>7</v>
      </c>
      <c r="I688" s="27" t="s">
        <v>8</v>
      </c>
      <c r="J688" s="27" t="s">
        <v>7</v>
      </c>
      <c r="M688" s="27" t="s">
        <v>8</v>
      </c>
      <c r="N688" s="27" t="s">
        <v>7</v>
      </c>
      <c r="O688" s="27" t="s">
        <v>8</v>
      </c>
      <c r="P688" s="27" t="s">
        <v>7</v>
      </c>
      <c r="Q688" s="27" t="s">
        <v>8</v>
      </c>
      <c r="R688" s="27" t="s">
        <v>7</v>
      </c>
      <c r="T688" s="27" t="s">
        <v>7</v>
      </c>
      <c r="U688" s="27" t="s">
        <v>8</v>
      </c>
      <c r="W688" s="27" t="s">
        <v>8</v>
      </c>
      <c r="X688" s="27" t="s">
        <v>7</v>
      </c>
      <c r="Y688" s="27" t="s">
        <v>8</v>
      </c>
      <c r="Z688" s="27" t="s">
        <v>7</v>
      </c>
      <c r="AA688" s="27" t="s">
        <v>8</v>
      </c>
      <c r="AB688" s="27" t="s">
        <v>7</v>
      </c>
      <c r="AC688" s="27" t="s">
        <v>8</v>
      </c>
    </row>
    <row r="689" spans="1:28" x14ac:dyDescent="0.25">
      <c r="A689" s="7">
        <v>0.13267297885212009</v>
      </c>
      <c r="B689"/>
      <c r="C689"/>
      <c r="D689"/>
      <c r="E689"/>
      <c r="H689" s="27" t="s">
        <v>7</v>
      </c>
      <c r="I689" s="27" t="s">
        <v>8</v>
      </c>
      <c r="J689" s="27" t="s">
        <v>7</v>
      </c>
      <c r="M689" s="27" t="s">
        <v>8</v>
      </c>
      <c r="N689" s="27" t="s">
        <v>7</v>
      </c>
      <c r="O689" s="27" t="s">
        <v>8</v>
      </c>
      <c r="P689" s="27" t="s">
        <v>7</v>
      </c>
      <c r="Q689" s="27" t="s">
        <v>8</v>
      </c>
      <c r="T689" s="27" t="s">
        <v>7</v>
      </c>
      <c r="U689" s="27" t="s">
        <v>8</v>
      </c>
      <c r="V689" s="27" t="s">
        <v>7</v>
      </c>
      <c r="W689" s="27" t="s">
        <v>8</v>
      </c>
      <c r="X689" s="27" t="s">
        <v>7</v>
      </c>
      <c r="Y689" s="27" t="s">
        <v>8</v>
      </c>
      <c r="Z689" s="27" t="s">
        <v>7</v>
      </c>
      <c r="AA689" s="27" t="s">
        <v>8</v>
      </c>
      <c r="AB689" s="27" t="s">
        <v>7</v>
      </c>
    </row>
    <row r="690" spans="1:28" x14ac:dyDescent="0.25">
      <c r="A690" s="7">
        <v>0.13007154789423539</v>
      </c>
      <c r="B690"/>
      <c r="C690"/>
      <c r="D690"/>
      <c r="E690"/>
      <c r="H690" s="27" t="s">
        <v>7</v>
      </c>
      <c r="I690" s="27" t="s">
        <v>8</v>
      </c>
      <c r="J690" s="27" t="s">
        <v>7</v>
      </c>
      <c r="M690" s="27" t="s">
        <v>8</v>
      </c>
      <c r="N690" s="27" t="s">
        <v>7</v>
      </c>
      <c r="P690" s="27" t="s">
        <v>7</v>
      </c>
      <c r="Q690" s="27" t="s">
        <v>8</v>
      </c>
      <c r="T690" s="27" t="s">
        <v>7</v>
      </c>
      <c r="U690" s="27" t="s">
        <v>8</v>
      </c>
      <c r="V690" s="27" t="s">
        <v>7</v>
      </c>
      <c r="W690" s="27" t="s">
        <v>8</v>
      </c>
      <c r="X690" s="27" t="s">
        <v>7</v>
      </c>
      <c r="Y690" s="27" t="s">
        <v>8</v>
      </c>
      <c r="Z690" s="27" t="s">
        <v>7</v>
      </c>
      <c r="AA690" s="27" t="s">
        <v>8</v>
      </c>
    </row>
    <row r="691" spans="1:28" x14ac:dyDescent="0.25">
      <c r="A691" s="7">
        <v>0.12752112538650529</v>
      </c>
      <c r="B691"/>
      <c r="C691"/>
      <c r="D691"/>
      <c r="E691"/>
      <c r="H691" s="27" t="s">
        <v>7</v>
      </c>
      <c r="I691" s="27" t="s">
        <v>8</v>
      </c>
      <c r="J691" s="27" t="s">
        <v>7</v>
      </c>
      <c r="M691" s="27" t="s">
        <v>8</v>
      </c>
      <c r="P691" s="27" t="s">
        <v>7</v>
      </c>
      <c r="T691" s="27" t="s">
        <v>7</v>
      </c>
      <c r="U691" s="27" t="s">
        <v>8</v>
      </c>
      <c r="V691" s="27" t="s">
        <v>7</v>
      </c>
      <c r="W691" s="27" t="s">
        <v>8</v>
      </c>
      <c r="X691" s="27" t="s">
        <v>7</v>
      </c>
      <c r="Y691" s="27" t="s">
        <v>8</v>
      </c>
      <c r="Z691" s="27" t="s">
        <v>7</v>
      </c>
      <c r="AA691" s="27" t="s">
        <v>8</v>
      </c>
    </row>
    <row r="692" spans="1:28" x14ac:dyDescent="0.25">
      <c r="A692" s="7">
        <v>0.12502071116324048</v>
      </c>
      <c r="B692"/>
      <c r="C692"/>
      <c r="D692"/>
      <c r="E692"/>
      <c r="H692" s="27" t="s">
        <v>7</v>
      </c>
      <c r="I692" s="27" t="s">
        <v>8</v>
      </c>
      <c r="J692" s="27" t="s">
        <v>7</v>
      </c>
      <c r="M692" s="27" t="s">
        <v>8</v>
      </c>
      <c r="T692" s="27" t="s">
        <v>7</v>
      </c>
      <c r="U692" s="27" t="s">
        <v>8</v>
      </c>
      <c r="V692" s="27" t="s">
        <v>7</v>
      </c>
      <c r="W692" s="27" t="s">
        <v>8</v>
      </c>
      <c r="X692" s="27" t="s">
        <v>7</v>
      </c>
      <c r="Y692" s="27" t="s">
        <v>8</v>
      </c>
      <c r="Z692" s="27" t="s">
        <v>7</v>
      </c>
      <c r="AA692" s="27" t="s">
        <v>8</v>
      </c>
    </row>
    <row r="693" spans="1:28" x14ac:dyDescent="0.25">
      <c r="A693" s="7">
        <v>0.1225693246698436</v>
      </c>
      <c r="B693"/>
      <c r="C693"/>
      <c r="D693"/>
      <c r="E693"/>
      <c r="H693" s="27" t="s">
        <v>7</v>
      </c>
      <c r="I693" s="27" t="s">
        <v>8</v>
      </c>
      <c r="J693" s="27" t="s">
        <v>7</v>
      </c>
      <c r="M693" s="27" t="s">
        <v>8</v>
      </c>
      <c r="T693" s="27" t="s">
        <v>7</v>
      </c>
      <c r="V693" s="27" t="s">
        <v>7</v>
      </c>
      <c r="W693" s="27" t="s">
        <v>8</v>
      </c>
      <c r="X693" s="27" t="s">
        <v>7</v>
      </c>
      <c r="Y693" s="27" t="s">
        <v>8</v>
      </c>
      <c r="Z693" s="27" t="s">
        <v>7</v>
      </c>
      <c r="AA693" s="27" t="s">
        <v>8</v>
      </c>
    </row>
    <row r="694" spans="1:28" x14ac:dyDescent="0.25">
      <c r="A694" s="7">
        <v>0.12016600457827803</v>
      </c>
      <c r="B694"/>
      <c r="C694"/>
      <c r="D694"/>
      <c r="E694"/>
      <c r="H694" s="27" t="s">
        <v>7</v>
      </c>
      <c r="I694" s="27" t="s">
        <v>8</v>
      </c>
      <c r="J694" s="27" t="s">
        <v>7</v>
      </c>
      <c r="M694" s="27" t="s">
        <v>8</v>
      </c>
      <c r="V694" s="27" t="s">
        <v>7</v>
      </c>
      <c r="W694" s="27" t="s">
        <v>8</v>
      </c>
      <c r="X694" s="27" t="s">
        <v>7</v>
      </c>
      <c r="Z694" s="27" t="s">
        <v>7</v>
      </c>
      <c r="AA694" s="27" t="s">
        <v>8</v>
      </c>
    </row>
    <row r="695" spans="1:28" x14ac:dyDescent="0.25">
      <c r="A695" s="7">
        <v>0.1178098084100765</v>
      </c>
      <c r="B695"/>
      <c r="C695"/>
      <c r="D695"/>
      <c r="E695"/>
      <c r="H695" s="27" t="s">
        <v>7</v>
      </c>
      <c r="I695" s="27" t="s">
        <v>8</v>
      </c>
      <c r="J695" s="27" t="s">
        <v>7</v>
      </c>
      <c r="M695" s="27" t="s">
        <v>8</v>
      </c>
      <c r="V695" s="27" t="s">
        <v>7</v>
      </c>
      <c r="W695" s="27" t="s">
        <v>8</v>
      </c>
      <c r="Z695" s="27" t="s">
        <v>7</v>
      </c>
    </row>
    <row r="696" spans="1:28" x14ac:dyDescent="0.25">
      <c r="A696" s="7">
        <v>0.11549981216674166</v>
      </c>
      <c r="B696"/>
      <c r="C696"/>
      <c r="D696"/>
      <c r="E696"/>
      <c r="H696" s="27" t="s">
        <v>7</v>
      </c>
      <c r="I696" s="27" t="s">
        <v>8</v>
      </c>
      <c r="J696" s="27" t="s">
        <v>7</v>
      </c>
      <c r="K696" s="27" t="s">
        <v>8</v>
      </c>
      <c r="M696" s="27" t="s">
        <v>8</v>
      </c>
      <c r="V696" s="27" t="s">
        <v>7</v>
      </c>
      <c r="W696" s="27" t="s">
        <v>8</v>
      </c>
    </row>
    <row r="697" spans="1:28" x14ac:dyDescent="0.25">
      <c r="A697" s="7">
        <v>0.11323510996739378</v>
      </c>
      <c r="B697"/>
      <c r="C697"/>
      <c r="D697"/>
      <c r="E697"/>
      <c r="H697" s="27" t="s">
        <v>7</v>
      </c>
      <c r="I697" s="27" t="s">
        <v>8</v>
      </c>
      <c r="J697" s="27" t="s">
        <v>7</v>
      </c>
      <c r="K697" s="27" t="s">
        <v>8</v>
      </c>
      <c r="L697" s="27" t="s">
        <v>7</v>
      </c>
      <c r="M697" s="27" t="s">
        <v>8</v>
      </c>
      <c r="V697" s="27" t="s">
        <v>7</v>
      </c>
      <c r="W697" s="27" t="s">
        <v>8</v>
      </c>
    </row>
    <row r="698" spans="1:28" x14ac:dyDescent="0.25">
      <c r="A698" s="7">
        <v>0.11101481369352331</v>
      </c>
      <c r="B698"/>
      <c r="C698"/>
      <c r="D698"/>
      <c r="E698"/>
      <c r="H698" s="27" t="s">
        <v>7</v>
      </c>
      <c r="I698" s="27" t="s">
        <v>8</v>
      </c>
      <c r="J698" s="27" t="s">
        <v>7</v>
      </c>
      <c r="K698" s="27" t="s">
        <v>8</v>
      </c>
      <c r="L698" s="27" t="s">
        <v>7</v>
      </c>
      <c r="M698" s="27" t="s">
        <v>8</v>
      </c>
      <c r="V698" s="27" t="s">
        <v>7</v>
      </c>
      <c r="W698" s="27" t="s">
        <v>8</v>
      </c>
    </row>
    <row r="699" spans="1:28" x14ac:dyDescent="0.25">
      <c r="A699" s="7">
        <v>0.10883805264070913</v>
      </c>
      <c r="B699"/>
      <c r="C699"/>
      <c r="D699"/>
      <c r="E699"/>
      <c r="H699" s="27" t="s">
        <v>7</v>
      </c>
      <c r="I699" s="27" t="s">
        <v>8</v>
      </c>
      <c r="J699" s="27" t="s">
        <v>7</v>
      </c>
      <c r="K699" s="27" t="s">
        <v>8</v>
      </c>
      <c r="L699" s="27" t="s">
        <v>7</v>
      </c>
      <c r="M699" s="27" t="s">
        <v>8</v>
      </c>
      <c r="V699" s="27" t="s">
        <v>7</v>
      </c>
      <c r="W699" s="27" t="s">
        <v>8</v>
      </c>
    </row>
    <row r="700" spans="1:28" x14ac:dyDescent="0.25">
      <c r="A700" s="7">
        <v>0.10670397317716582</v>
      </c>
      <c r="B700"/>
      <c r="C700"/>
      <c r="D700"/>
      <c r="E700"/>
      <c r="H700" s="27" t="s">
        <v>7</v>
      </c>
      <c r="I700" s="27" t="s">
        <v>8</v>
      </c>
      <c r="J700" s="27" t="s">
        <v>7</v>
      </c>
      <c r="K700" s="27" t="s">
        <v>8</v>
      </c>
      <c r="L700" s="27" t="s">
        <v>7</v>
      </c>
      <c r="M700" s="27" t="s">
        <v>8</v>
      </c>
      <c r="V700" s="27" t="s">
        <v>7</v>
      </c>
      <c r="W700" s="27" t="s">
        <v>8</v>
      </c>
    </row>
    <row r="701" spans="1:28" x14ac:dyDescent="0.25">
      <c r="A701" s="7">
        <v>0.1046117384089861</v>
      </c>
      <c r="B701"/>
      <c r="C701"/>
      <c r="D701"/>
      <c r="E701"/>
      <c r="H701" s="27" t="s">
        <v>7</v>
      </c>
      <c r="I701" s="27" t="s">
        <v>8</v>
      </c>
      <c r="J701" s="27" t="s">
        <v>7</v>
      </c>
      <c r="K701" s="27" t="s">
        <v>8</v>
      </c>
      <c r="L701" s="27" t="s">
        <v>7</v>
      </c>
      <c r="M701" s="27" t="s">
        <v>8</v>
      </c>
      <c r="V701" s="27" t="s">
        <v>7</v>
      </c>
      <c r="W701" s="27" t="s">
        <v>8</v>
      </c>
    </row>
    <row r="702" spans="1:28" x14ac:dyDescent="0.25">
      <c r="A702" s="7">
        <v>0.10256052785194716</v>
      </c>
      <c r="B702"/>
      <c r="C702"/>
      <c r="D702"/>
      <c r="E702"/>
      <c r="H702" s="27" t="s">
        <v>7</v>
      </c>
      <c r="I702" s="27" t="s">
        <v>8</v>
      </c>
      <c r="J702" s="27" t="s">
        <v>7</v>
      </c>
      <c r="K702" s="27" t="s">
        <v>8</v>
      </c>
      <c r="L702" s="27" t="s">
        <v>7</v>
      </c>
      <c r="M702" s="27" t="s">
        <v>8</v>
      </c>
      <c r="V702" s="27" t="s">
        <v>7</v>
      </c>
      <c r="W702" s="27" t="s">
        <v>8</v>
      </c>
    </row>
    <row r="703" spans="1:28" x14ac:dyDescent="0.25">
      <c r="A703" s="7">
        <v>0.10054953710975212</v>
      </c>
      <c r="B703"/>
      <c r="C703"/>
      <c r="D703"/>
      <c r="E703"/>
      <c r="H703" s="27" t="s">
        <v>7</v>
      </c>
      <c r="I703" s="27" t="s">
        <v>8</v>
      </c>
      <c r="J703" s="27" t="s">
        <v>7</v>
      </c>
      <c r="K703" s="27" t="s">
        <v>8</v>
      </c>
      <c r="L703" s="27" t="s">
        <v>7</v>
      </c>
      <c r="M703" s="27" t="s">
        <v>8</v>
      </c>
      <c r="V703" s="27" t="s">
        <v>7</v>
      </c>
      <c r="W703" s="27" t="s">
        <v>8</v>
      </c>
    </row>
    <row r="704" spans="1:28" x14ac:dyDescent="0.25">
      <c r="A704" s="7">
        <v>9.8577977558580512E-2</v>
      </c>
      <c r="B704"/>
      <c r="C704"/>
      <c r="D704"/>
      <c r="E704"/>
      <c r="H704" s="27" t="s">
        <v>7</v>
      </c>
      <c r="I704" s="27" t="s">
        <v>8</v>
      </c>
      <c r="J704" s="27" t="s">
        <v>7</v>
      </c>
      <c r="K704" s="27" t="s">
        <v>8</v>
      </c>
      <c r="L704" s="27" t="s">
        <v>7</v>
      </c>
      <c r="M704" s="27" t="s">
        <v>8</v>
      </c>
      <c r="V704" s="27" t="s">
        <v>7</v>
      </c>
      <c r="W704" s="27" t="s">
        <v>8</v>
      </c>
    </row>
    <row r="705" spans="1:23" x14ac:dyDescent="0.25">
      <c r="A705" s="7">
        <v>9.6645076037824032E-2</v>
      </c>
      <c r="B705"/>
      <c r="C705"/>
      <c r="D705"/>
      <c r="E705"/>
      <c r="H705" s="27" t="s">
        <v>7</v>
      </c>
      <c r="I705" s="27" t="s">
        <v>8</v>
      </c>
      <c r="J705" s="27" t="s">
        <v>7</v>
      </c>
      <c r="K705" s="27" t="s">
        <v>8</v>
      </c>
      <c r="L705" s="27" t="s">
        <v>7</v>
      </c>
      <c r="M705" s="27" t="s">
        <v>8</v>
      </c>
      <c r="V705" s="27" t="s">
        <v>7</v>
      </c>
      <c r="W705" s="27" t="s">
        <v>8</v>
      </c>
    </row>
    <row r="706" spans="1:23" x14ac:dyDescent="0.25">
      <c r="A706" s="7">
        <v>9.4750074546886304E-2</v>
      </c>
      <c r="B706"/>
      <c r="C706"/>
      <c r="D706"/>
      <c r="E706"/>
      <c r="H706" s="27" t="s">
        <v>7</v>
      </c>
      <c r="I706" s="27" t="s">
        <v>8</v>
      </c>
      <c r="J706" s="27" t="s">
        <v>7</v>
      </c>
      <c r="K706" s="27" t="s">
        <v>8</v>
      </c>
      <c r="L706" s="27" t="s">
        <v>7</v>
      </c>
      <c r="M706" s="27" t="s">
        <v>8</v>
      </c>
      <c r="V706" s="27" t="s">
        <v>7</v>
      </c>
      <c r="W706" s="27" t="s">
        <v>8</v>
      </c>
    </row>
    <row r="707" spans="1:23" x14ac:dyDescent="0.25">
      <c r="A707" s="7">
        <v>9.2892229947927743E-2</v>
      </c>
      <c r="B707"/>
      <c r="C707"/>
      <c r="D707"/>
      <c r="E707"/>
      <c r="H707" s="27" t="s">
        <v>7</v>
      </c>
      <c r="J707" s="27" t="s">
        <v>7</v>
      </c>
      <c r="K707" s="27" t="s">
        <v>8</v>
      </c>
      <c r="L707" s="27" t="s">
        <v>7</v>
      </c>
      <c r="M707" s="27" t="s">
        <v>8</v>
      </c>
      <c r="V707" s="27" t="s">
        <v>7</v>
      </c>
      <c r="W707" s="27" t="s">
        <v>8</v>
      </c>
    </row>
    <row r="708" spans="1:23" x14ac:dyDescent="0.25">
      <c r="A708" s="7">
        <v>9.1070813674438963E-2</v>
      </c>
      <c r="B708"/>
      <c r="C708"/>
      <c r="D708"/>
      <c r="E708"/>
      <c r="J708" s="27" t="s">
        <v>7</v>
      </c>
      <c r="K708" s="27" t="s">
        <v>8</v>
      </c>
      <c r="L708" s="27" t="s">
        <v>7</v>
      </c>
      <c r="M708" s="27" t="s">
        <v>8</v>
      </c>
      <c r="V708" s="27" t="s">
        <v>7</v>
      </c>
    </row>
    <row r="709" spans="1:23" x14ac:dyDescent="0.25">
      <c r="A709" s="7">
        <v>8.9285111445528392E-2</v>
      </c>
      <c r="B709"/>
      <c r="C709"/>
      <c r="D709"/>
      <c r="E709"/>
      <c r="J709" s="27" t="s">
        <v>7</v>
      </c>
      <c r="K709" s="27" t="s">
        <v>8</v>
      </c>
      <c r="L709" s="27" t="s">
        <v>7</v>
      </c>
      <c r="M709" s="27" t="s">
        <v>8</v>
      </c>
    </row>
    <row r="710" spans="1:23" x14ac:dyDescent="0.25">
      <c r="A710" s="7">
        <v>8.7534422985812155E-2</v>
      </c>
      <c r="B710"/>
      <c r="C710"/>
      <c r="D710"/>
      <c r="E710"/>
      <c r="J710" s="27" t="s">
        <v>7</v>
      </c>
      <c r="K710" s="27" t="s">
        <v>8</v>
      </c>
      <c r="L710" s="27" t="s">
        <v>7</v>
      </c>
    </row>
    <row r="711" spans="1:23" x14ac:dyDescent="0.25">
      <c r="A711" s="7">
        <v>8.5818061750796232E-2</v>
      </c>
      <c r="B711"/>
      <c r="C711"/>
      <c r="D711"/>
      <c r="E711"/>
      <c r="J711" s="27" t="s">
        <v>7</v>
      </c>
      <c r="K711" s="27" t="s">
        <v>8</v>
      </c>
    </row>
    <row r="712" spans="1:23" x14ac:dyDescent="0.25">
      <c r="A712" s="7">
        <v>8.4135354657643366E-2</v>
      </c>
      <c r="B712"/>
      <c r="C712"/>
      <c r="D712"/>
      <c r="E712"/>
      <c r="J712" s="27" t="s">
        <v>7</v>
      </c>
      <c r="K712" s="27" t="s">
        <v>8</v>
      </c>
    </row>
    <row r="713" spans="1:23" x14ac:dyDescent="0.25">
      <c r="A713" s="7">
        <v>8.248564182121898E-2</v>
      </c>
      <c r="B713"/>
      <c r="C713"/>
      <c r="D713"/>
      <c r="E713"/>
      <c r="J713" s="27" t="s">
        <v>7</v>
      </c>
      <c r="K713" s="27" t="s">
        <v>8</v>
      </c>
    </row>
    <row r="714" spans="1:23" x14ac:dyDescent="0.25">
      <c r="A714" s="7">
        <v>8.0868276295312735E-2</v>
      </c>
      <c r="B714"/>
      <c r="C714"/>
      <c r="D714"/>
      <c r="E714"/>
      <c r="J714" s="27" t="s">
        <v>7</v>
      </c>
      <c r="K714" s="27" t="s">
        <v>8</v>
      </c>
    </row>
    <row r="715" spans="1:23" x14ac:dyDescent="0.25">
      <c r="A715" s="7">
        <v>7.9282623818934056E-2</v>
      </c>
      <c r="B715"/>
      <c r="C715"/>
      <c r="D715"/>
      <c r="E715"/>
      <c r="J715" s="27" t="s">
        <v>7</v>
      </c>
      <c r="K715" s="27" t="s">
        <v>8</v>
      </c>
    </row>
    <row r="716" spans="1:23" x14ac:dyDescent="0.25">
      <c r="A716" s="7">
        <v>7.7728062567582412E-2</v>
      </c>
      <c r="B716"/>
      <c r="C716"/>
      <c r="D716"/>
      <c r="E716"/>
      <c r="J716" s="27" t="s">
        <v>7</v>
      </c>
    </row>
    <row r="717" spans="1:23" x14ac:dyDescent="0.25">
      <c r="A717" s="7">
        <v>7.6203982909394521E-2</v>
      </c>
      <c r="B717"/>
      <c r="C717"/>
      <c r="D717"/>
      <c r="E717"/>
    </row>
    <row r="718" spans="1:23" x14ac:dyDescent="0.25">
      <c r="A718" s="7">
        <v>7.4709787166073058E-2</v>
      </c>
      <c r="B718"/>
      <c r="C718"/>
      <c r="D718"/>
      <c r="E718"/>
    </row>
    <row r="719" spans="1:23" x14ac:dyDescent="0.25">
      <c r="A719" s="7">
        <v>7.3244889378503E-2</v>
      </c>
      <c r="B719"/>
      <c r="C719"/>
      <c r="D719"/>
      <c r="E719"/>
    </row>
    <row r="720" spans="1:23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67" operator="equal">
      <formula>$U$1</formula>
    </cfRule>
    <cfRule type="cellIs" dxfId="89" priority="868" operator="equal">
      <formula>$S$1</formula>
    </cfRule>
  </conditionalFormatting>
  <conditionalFormatting sqref="D27">
    <cfRule type="cellIs" dxfId="88" priority="865" operator="equal">
      <formula>$S$1</formula>
    </cfRule>
    <cfRule type="cellIs" dxfId="87" priority="866" operator="equal">
      <formula>$U$1</formula>
    </cfRule>
  </conditionalFormatting>
  <conditionalFormatting sqref="C164">
    <cfRule type="cellIs" dxfId="86" priority="863" operator="equal">
      <formula>$U$1</formula>
    </cfRule>
    <cfRule type="cellIs" dxfId="85" priority="864" operator="equal">
      <formula>$S$1</formula>
    </cfRule>
  </conditionalFormatting>
  <conditionalFormatting sqref="D164">
    <cfRule type="cellIs" dxfId="84" priority="861" operator="equal">
      <formula>$S$1</formula>
    </cfRule>
    <cfRule type="cellIs" dxfId="83" priority="862" operator="equal">
      <formula>$U$1</formula>
    </cfRule>
  </conditionalFormatting>
  <conditionalFormatting sqref="C55">
    <cfRule type="cellIs" dxfId="82" priority="859" operator="equal">
      <formula>$U$1</formula>
    </cfRule>
    <cfRule type="cellIs" dxfId="81" priority="860" operator="equal">
      <formula>$S$1</formula>
    </cfRule>
  </conditionalFormatting>
  <conditionalFormatting sqref="D55">
    <cfRule type="cellIs" dxfId="80" priority="857" operator="equal">
      <formula>$S$1</formula>
    </cfRule>
    <cfRule type="cellIs" dxfId="79" priority="858" operator="equal">
      <formula>$U$1</formula>
    </cfRule>
  </conditionalFormatting>
  <conditionalFormatting sqref="C89">
    <cfRule type="cellIs" dxfId="78" priority="855" operator="equal">
      <formula>$U$1</formula>
    </cfRule>
    <cfRule type="cellIs" dxfId="77" priority="856" operator="equal">
      <formula>$S$1</formula>
    </cfRule>
  </conditionalFormatting>
  <conditionalFormatting sqref="D89">
    <cfRule type="cellIs" dxfId="76" priority="853" operator="equal">
      <formula>$S$1</formula>
    </cfRule>
    <cfRule type="cellIs" dxfId="75" priority="854" operator="equal">
      <formula>$U$1</formula>
    </cfRule>
  </conditionalFormatting>
  <conditionalFormatting sqref="C136">
    <cfRule type="cellIs" dxfId="74" priority="851" operator="equal">
      <formula>$U$1</formula>
    </cfRule>
    <cfRule type="cellIs" dxfId="73" priority="852" operator="equal">
      <formula>$S$1</formula>
    </cfRule>
  </conditionalFormatting>
  <conditionalFormatting sqref="D136">
    <cfRule type="cellIs" dxfId="72" priority="849" operator="equal">
      <formula>$S$1</formula>
    </cfRule>
    <cfRule type="cellIs" dxfId="71" priority="850" operator="equal">
      <formula>$U$1</formula>
    </cfRule>
  </conditionalFormatting>
  <conditionalFormatting sqref="C1">
    <cfRule type="cellIs" dxfId="70" priority="848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11" zoomScale="90" zoomScaleNormal="90" workbookViewId="0">
      <pane xSplit="4" topLeftCell="BZ1" activePane="topRight" state="frozen"/>
      <selection activeCell="A109" sqref="A109"/>
      <selection pane="topRight" activeCell="EU241" sqref="EU241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$A$240</v>
      </c>
      <c r="D111" s="1" t="str">
        <f>ADDRESS(C121-1,D121,1,1)</f>
        <v>$EU$240</v>
      </c>
      <c r="E111"/>
    </row>
    <row r="112" spans="1:5" x14ac:dyDescent="0.25">
      <c r="A112" s="30">
        <v>515.50191262726139</v>
      </c>
      <c r="C112" s="1" t="str">
        <f>ADDRESS(C121,1,1,1)</f>
        <v>$A$241</v>
      </c>
      <c r="D112" s="1" t="str">
        <f>ADDRESS(C121,D121-1,1,1)</f>
        <v>$ET$241</v>
      </c>
      <c r="E112"/>
    </row>
    <row r="113" spans="1:5" x14ac:dyDescent="0.25">
      <c r="A113" s="30">
        <v>490.95420250215363</v>
      </c>
      <c r="C113" s="1" t="str">
        <f>ADDRESS(C121+1,1,1,1)</f>
        <v>$A$242</v>
      </c>
      <c r="D113" s="1" t="str">
        <f>ADDRESS(C121-1,D121+1,1,1)</f>
        <v>$EV$240</v>
      </c>
    </row>
    <row r="114" spans="1:5" x14ac:dyDescent="0.25">
      <c r="A114" s="30">
        <v>467.57543095443202</v>
      </c>
      <c r="C114" s="1" t="str">
        <f>ADDRESS(C121,D121,1,1)</f>
        <v>$EU$241</v>
      </c>
      <c r="D114" s="1" t="str">
        <f>ADDRESS(C121+1,D121+1,1,1)</f>
        <v>$EV$242</v>
      </c>
    </row>
    <row r="115" spans="1:5" x14ac:dyDescent="0.25">
      <c r="A115" s="30">
        <v>445.30993424231622</v>
      </c>
      <c r="C115" s="1" t="str">
        <f>ADDRESS(C121+1,D121,1,1)</f>
        <v>$EU$242</v>
      </c>
    </row>
    <row r="116" spans="1:5" x14ac:dyDescent="0.25">
      <c r="A116" s="30">
        <v>424.10469927839637</v>
      </c>
      <c r="C116" s="1">
        <f>C117-1</f>
        <v>240</v>
      </c>
    </row>
    <row r="117" spans="1:5" x14ac:dyDescent="0.25">
      <c r="A117" s="30">
        <v>403.9092374079965</v>
      </c>
      <c r="C117" s="1">
        <f>C121</f>
        <v>241</v>
      </c>
      <c r="D117" s="1">
        <f>D121</f>
        <v>151</v>
      </c>
    </row>
    <row r="118" spans="1:5" x14ac:dyDescent="0.25">
      <c r="A118" s="30">
        <v>384.6754641980919</v>
      </c>
      <c r="C118" s="1">
        <f>C117+1</f>
        <v>242</v>
      </c>
      <c r="D118" s="1">
        <f>D117+1</f>
        <v>152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241</v>
      </c>
      <c r="D121" s="19">
        <v>151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R241</v>
      </c>
      <c r="D123" s="1" t="str">
        <f>"C"&amp;D121</f>
        <v>C151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0.952380952380952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67" x14ac:dyDescent="0.25">
      <c r="A193" s="30">
        <v>9.9059710923258422</v>
      </c>
      <c r="E193"/>
    </row>
    <row r="194" spans="1:67" x14ac:dyDescent="0.25">
      <c r="A194" s="30">
        <v>9.4342581831674686</v>
      </c>
      <c r="E194"/>
    </row>
    <row r="195" spans="1:67" x14ac:dyDescent="0.25">
      <c r="A195" s="30">
        <v>8.9850077934928265</v>
      </c>
      <c r="E195"/>
    </row>
    <row r="196" spans="1:67" x14ac:dyDescent="0.25">
      <c r="A196" s="30">
        <v>8.5571502795169767</v>
      </c>
      <c r="E196"/>
    </row>
    <row r="197" spans="1:67" x14ac:dyDescent="0.25">
      <c r="A197" s="30">
        <v>8.1496669328733109</v>
      </c>
      <c r="E197"/>
    </row>
    <row r="198" spans="1:67" x14ac:dyDescent="0.25">
      <c r="A198" s="30">
        <v>7.7615875551174378</v>
      </c>
      <c r="E198"/>
    </row>
    <row r="199" spans="1:67" x14ac:dyDescent="0.25">
      <c r="A199" s="30">
        <v>7.3919881477308929</v>
      </c>
      <c r="E199"/>
    </row>
    <row r="200" spans="1:67" x14ac:dyDescent="0.25">
      <c r="A200" s="30">
        <v>7.0399887121246598</v>
      </c>
      <c r="E200"/>
    </row>
    <row r="201" spans="1:67" x14ac:dyDescent="0.25">
      <c r="A201" s="30">
        <v>6.7047511544044376</v>
      </c>
      <c r="E201"/>
    </row>
    <row r="202" spans="1:67" x14ac:dyDescent="0.25">
      <c r="A202" s="30">
        <v>6.3854772899089882</v>
      </c>
      <c r="E202"/>
    </row>
    <row r="203" spans="1:67" x14ac:dyDescent="0.25">
      <c r="A203" s="30">
        <v>6.0814069427704647</v>
      </c>
      <c r="C203" s="7"/>
      <c r="D203"/>
      <c r="E203"/>
    </row>
    <row r="204" spans="1:67" x14ac:dyDescent="0.25">
      <c r="A204" s="30">
        <v>5.7918161359718709</v>
      </c>
      <c r="E204"/>
    </row>
    <row r="205" spans="1:67" x14ac:dyDescent="0.25">
      <c r="A205" s="30">
        <v>5.5160153675922574</v>
      </c>
      <c r="E205"/>
    </row>
    <row r="206" spans="1:67" x14ac:dyDescent="0.25">
      <c r="A206" s="30">
        <v>5.2533479691354827</v>
      </c>
      <c r="C206"/>
      <c r="D206"/>
      <c r="E206"/>
    </row>
    <row r="207" spans="1:67" x14ac:dyDescent="0.25">
      <c r="A207" s="30">
        <v>5.0031885420337927</v>
      </c>
      <c r="E207"/>
    </row>
    <row r="208" spans="1:67" x14ac:dyDescent="0.25">
      <c r="A208" s="30">
        <v>4.7649414686036122</v>
      </c>
      <c r="E208"/>
      <c r="BO208" s="31" t="s">
        <v>8</v>
      </c>
    </row>
    <row r="209" spans="1:140" x14ac:dyDescent="0.25">
      <c r="A209" s="30">
        <v>4.5380394939082018</v>
      </c>
      <c r="E209"/>
      <c r="BO209" s="27" t="s">
        <v>8</v>
      </c>
      <c r="BP209" s="31" t="s">
        <v>7</v>
      </c>
    </row>
    <row r="210" spans="1:140" x14ac:dyDescent="0.25">
      <c r="A210" s="30">
        <v>4.3219423751506678</v>
      </c>
      <c r="C210"/>
      <c r="E210"/>
      <c r="BO210" s="27" t="s">
        <v>8</v>
      </c>
      <c r="BP210" s="27" t="s">
        <v>7</v>
      </c>
      <c r="BQ210" s="31"/>
    </row>
    <row r="211" spans="1:140" x14ac:dyDescent="0.25">
      <c r="A211" s="30">
        <v>4.1161355953815884</v>
      </c>
      <c r="E211"/>
      <c r="BO211" s="27" t="s">
        <v>8</v>
      </c>
      <c r="BP211" s="27" t="s">
        <v>7</v>
      </c>
      <c r="BR211" s="31"/>
      <c r="EE211" s="27" t="s">
        <v>8</v>
      </c>
    </row>
    <row r="212" spans="1:140" x14ac:dyDescent="0.25">
      <c r="A212" s="30">
        <v>3.9201291384586554</v>
      </c>
      <c r="E212"/>
      <c r="BO212" s="27" t="s">
        <v>8</v>
      </c>
      <c r="BP212" s="27" t="s">
        <v>7</v>
      </c>
      <c r="BS212" s="31"/>
      <c r="DE212" s="27" t="s">
        <v>8</v>
      </c>
      <c r="EE212" s="27" t="s">
        <v>8</v>
      </c>
      <c r="EF212" s="27" t="s">
        <v>7</v>
      </c>
    </row>
    <row r="213" spans="1:140" x14ac:dyDescent="0.25">
      <c r="A213" s="30">
        <v>3.7334563223415764</v>
      </c>
      <c r="E213"/>
      <c r="BO213" s="27" t="s">
        <v>8</v>
      </c>
      <c r="BP213" s="27" t="s">
        <v>7</v>
      </c>
      <c r="BT213" s="31"/>
      <c r="DE213" s="27" t="s">
        <v>8</v>
      </c>
      <c r="DF213" s="27" t="s">
        <v>7</v>
      </c>
      <c r="EE213" s="27" t="s">
        <v>8</v>
      </c>
      <c r="EF213" s="27" t="s">
        <v>7</v>
      </c>
    </row>
    <row r="214" spans="1:140" x14ac:dyDescent="0.25">
      <c r="A214" s="30">
        <v>3.5556726879443583</v>
      </c>
      <c r="E214"/>
      <c r="BO214" s="27" t="s">
        <v>8</v>
      </c>
      <c r="BP214" s="27" t="s">
        <v>7</v>
      </c>
      <c r="BU214" s="31"/>
      <c r="DE214" s="27" t="s">
        <v>8</v>
      </c>
      <c r="DF214" s="27" t="s">
        <v>7</v>
      </c>
      <c r="DG214" s="27" t="s">
        <v>8</v>
      </c>
      <c r="EE214" s="27" t="s">
        <v>8</v>
      </c>
      <c r="EF214" s="27" t="s">
        <v>7</v>
      </c>
    </row>
    <row r="215" spans="1:140" x14ac:dyDescent="0.25">
      <c r="A215" s="30">
        <v>3.3863549408993889</v>
      </c>
      <c r="E215"/>
      <c r="BO215" s="27" t="s">
        <v>8</v>
      </c>
      <c r="BP215" s="27" t="s">
        <v>7</v>
      </c>
      <c r="BV215" s="31"/>
      <c r="DE215" s="27" t="s">
        <v>8</v>
      </c>
      <c r="DF215" s="27" t="s">
        <v>7</v>
      </c>
      <c r="DG215" s="27" t="s">
        <v>8</v>
      </c>
      <c r="DH215" s="27" t="s">
        <v>7</v>
      </c>
      <c r="EE215" s="27" t="s">
        <v>8</v>
      </c>
      <c r="EF215" s="27" t="s">
        <v>7</v>
      </c>
    </row>
    <row r="216" spans="1:140" x14ac:dyDescent="0.25">
      <c r="A216" s="30">
        <v>3.2250999437137038</v>
      </c>
      <c r="E216"/>
      <c r="BO216" s="27" t="s">
        <v>8</v>
      </c>
      <c r="BP216" s="27" t="s">
        <v>7</v>
      </c>
      <c r="BW216" s="31"/>
      <c r="DE216" s="27" t="s">
        <v>8</v>
      </c>
      <c r="DF216" s="27" t="s">
        <v>7</v>
      </c>
      <c r="DG216" s="27" t="s">
        <v>8</v>
      </c>
      <c r="DH216" s="27" t="s">
        <v>7</v>
      </c>
      <c r="EE216" s="27" t="s">
        <v>8</v>
      </c>
      <c r="EF216" s="27" t="s">
        <v>7</v>
      </c>
    </row>
    <row r="217" spans="1:140" x14ac:dyDescent="0.25">
      <c r="A217" s="30">
        <v>3.0715237559178128</v>
      </c>
      <c r="E217"/>
      <c r="BO217" s="27" t="s">
        <v>8</v>
      </c>
      <c r="BP217" s="27" t="s">
        <v>7</v>
      </c>
      <c r="BS217" s="27" t="s">
        <v>8</v>
      </c>
      <c r="BU217" s="27" t="s">
        <v>8</v>
      </c>
      <c r="BX217" s="31"/>
      <c r="DE217" s="27" t="s">
        <v>8</v>
      </c>
      <c r="DF217" s="27" t="s">
        <v>7</v>
      </c>
      <c r="DG217" s="27" t="s">
        <v>8</v>
      </c>
      <c r="DH217" s="27" t="s">
        <v>7</v>
      </c>
      <c r="DI217" s="27" t="s">
        <v>8</v>
      </c>
      <c r="DK217" s="27" t="s">
        <v>8</v>
      </c>
      <c r="DO217" s="27" t="s">
        <v>8</v>
      </c>
      <c r="DQ217" s="27" t="s">
        <v>8</v>
      </c>
      <c r="EE217" s="27" t="s">
        <v>8</v>
      </c>
      <c r="EF217" s="27" t="s">
        <v>7</v>
      </c>
      <c r="EG217" s="27" t="s">
        <v>8</v>
      </c>
    </row>
    <row r="218" spans="1:140" x14ac:dyDescent="0.25">
      <c r="A218" s="30">
        <v>2.9252607199217264</v>
      </c>
      <c r="E218"/>
      <c r="BO218" s="27" t="s">
        <v>8</v>
      </c>
      <c r="BP218" s="27" t="s">
        <v>7</v>
      </c>
      <c r="BS218" s="27" t="s">
        <v>8</v>
      </c>
      <c r="BT218" s="27" t="s">
        <v>7</v>
      </c>
      <c r="BU218" s="27" t="s">
        <v>8</v>
      </c>
      <c r="BV218" s="27" t="s">
        <v>7</v>
      </c>
      <c r="BY218" s="31"/>
      <c r="DE218" s="27" t="s">
        <v>8</v>
      </c>
      <c r="DF218" s="27" t="s">
        <v>7</v>
      </c>
      <c r="DG218" s="27" t="s">
        <v>8</v>
      </c>
      <c r="DH218" s="27" t="s">
        <v>7</v>
      </c>
      <c r="DI218" s="27" t="s">
        <v>8</v>
      </c>
      <c r="DJ218" s="27" t="s">
        <v>7</v>
      </c>
      <c r="DK218" s="27" t="s">
        <v>8</v>
      </c>
      <c r="DL218" s="27" t="s">
        <v>7</v>
      </c>
      <c r="DO218" s="27" t="s">
        <v>8</v>
      </c>
      <c r="DP218" s="27" t="s">
        <v>7</v>
      </c>
      <c r="DQ218" s="27" t="s">
        <v>8</v>
      </c>
      <c r="DR218" s="27" t="s">
        <v>7</v>
      </c>
      <c r="EA218" s="27" t="s">
        <v>8</v>
      </c>
      <c r="EE218" s="27" t="s">
        <v>8</v>
      </c>
      <c r="EF218" s="27" t="s">
        <v>7</v>
      </c>
      <c r="EG218" s="27" t="s">
        <v>8</v>
      </c>
      <c r="EH218" s="27" t="s">
        <v>7</v>
      </c>
    </row>
    <row r="219" spans="1:140" x14ac:dyDescent="0.25">
      <c r="A219" s="30">
        <v>2.7859625904016441</v>
      </c>
      <c r="E219"/>
      <c r="BO219" s="27" t="s">
        <v>8</v>
      </c>
      <c r="BP219" s="27" t="s">
        <v>7</v>
      </c>
      <c r="BS219" s="27" t="s">
        <v>8</v>
      </c>
      <c r="BT219" s="27" t="s">
        <v>7</v>
      </c>
      <c r="BU219" s="27" t="s">
        <v>8</v>
      </c>
      <c r="BV219" s="27" t="s">
        <v>7</v>
      </c>
      <c r="BZ219" s="31"/>
      <c r="DE219" s="27" t="s">
        <v>8</v>
      </c>
      <c r="DF219" s="27" t="s">
        <v>7</v>
      </c>
      <c r="DG219" s="27" t="s">
        <v>8</v>
      </c>
      <c r="DH219" s="27" t="s">
        <v>7</v>
      </c>
      <c r="DI219" s="27" t="s">
        <v>8</v>
      </c>
      <c r="DJ219" s="27" t="s">
        <v>7</v>
      </c>
      <c r="DK219" s="27" t="s">
        <v>8</v>
      </c>
      <c r="DL219" s="27" t="s">
        <v>7</v>
      </c>
      <c r="DO219" s="27" t="s">
        <v>8</v>
      </c>
      <c r="DP219" s="27" t="s">
        <v>7</v>
      </c>
      <c r="DQ219" s="27" t="s">
        <v>8</v>
      </c>
      <c r="DR219" s="27" t="s">
        <v>7</v>
      </c>
      <c r="EA219" s="27" t="s">
        <v>8</v>
      </c>
      <c r="EB219" s="27" t="s">
        <v>7</v>
      </c>
      <c r="EE219" s="27" t="s">
        <v>8</v>
      </c>
      <c r="EF219" s="27" t="s">
        <v>7</v>
      </c>
      <c r="EG219" s="27" t="s">
        <v>8</v>
      </c>
      <c r="EH219" s="27" t="s">
        <v>7</v>
      </c>
    </row>
    <row r="220" spans="1:140" x14ac:dyDescent="0.25">
      <c r="A220" s="30">
        <v>2.6532977051444226</v>
      </c>
      <c r="E220"/>
      <c r="BO220" s="27" t="s">
        <v>8</v>
      </c>
      <c r="BP220" s="27" t="s">
        <v>7</v>
      </c>
      <c r="BQ220" s="27" t="s">
        <v>8</v>
      </c>
      <c r="BS220" s="27" t="s">
        <v>8</v>
      </c>
      <c r="BT220" s="27" t="s">
        <v>7</v>
      </c>
      <c r="BU220" s="27" t="s">
        <v>8</v>
      </c>
      <c r="BV220" s="27" t="s">
        <v>7</v>
      </c>
      <c r="CA220" s="31"/>
      <c r="DE220" s="27" t="s">
        <v>8</v>
      </c>
      <c r="DF220" s="27" t="s">
        <v>7</v>
      </c>
      <c r="DH220" s="27" t="s">
        <v>7</v>
      </c>
      <c r="DI220" s="27" t="s">
        <v>8</v>
      </c>
      <c r="DJ220" s="27" t="s">
        <v>7</v>
      </c>
      <c r="DK220" s="27" t="s">
        <v>8</v>
      </c>
      <c r="DL220" s="27" t="s">
        <v>7</v>
      </c>
      <c r="DO220" s="27" t="s">
        <v>8</v>
      </c>
      <c r="DP220" s="27" t="s">
        <v>7</v>
      </c>
      <c r="DR220" s="27" t="s">
        <v>7</v>
      </c>
      <c r="DY220" s="27" t="s">
        <v>8</v>
      </c>
      <c r="EA220" s="27" t="s">
        <v>8</v>
      </c>
      <c r="EB220" s="27" t="s">
        <v>7</v>
      </c>
      <c r="EE220" s="27" t="s">
        <v>8</v>
      </c>
      <c r="EF220" s="27" t="s">
        <v>7</v>
      </c>
      <c r="EG220" s="27" t="s">
        <v>8</v>
      </c>
      <c r="EH220" s="27" t="s">
        <v>7</v>
      </c>
    </row>
    <row r="221" spans="1:140" x14ac:dyDescent="0.25">
      <c r="A221" s="30">
        <v>2.5269501953756404</v>
      </c>
      <c r="E221"/>
      <c r="BO221" s="27" t="s">
        <v>8</v>
      </c>
      <c r="BP221" s="27" t="s">
        <v>7</v>
      </c>
      <c r="BQ221" s="27" t="s">
        <v>8</v>
      </c>
      <c r="BR221" s="27" t="s">
        <v>7</v>
      </c>
      <c r="BS221" s="27" t="s">
        <v>8</v>
      </c>
      <c r="BT221" s="27" t="s">
        <v>7</v>
      </c>
      <c r="BU221" s="27" t="s">
        <v>8</v>
      </c>
      <c r="BV221" s="27" t="s">
        <v>7</v>
      </c>
      <c r="BW221" s="27" t="s">
        <v>8</v>
      </c>
      <c r="CB221" s="31"/>
      <c r="DE221" s="27" t="s">
        <v>8</v>
      </c>
      <c r="DH221" s="27" t="s">
        <v>7</v>
      </c>
      <c r="DI221" s="27" t="s">
        <v>8</v>
      </c>
      <c r="DJ221" s="27" t="s">
        <v>7</v>
      </c>
      <c r="DK221" s="27" t="s">
        <v>8</v>
      </c>
      <c r="DL221" s="27" t="s">
        <v>7</v>
      </c>
      <c r="DM221" s="27" t="s">
        <v>8</v>
      </c>
      <c r="DO221" s="27" t="s">
        <v>8</v>
      </c>
      <c r="DR221" s="27" t="s">
        <v>7</v>
      </c>
      <c r="DU221" s="27" t="s">
        <v>8</v>
      </c>
      <c r="DY221" s="27" t="s">
        <v>8</v>
      </c>
      <c r="DZ221" s="27" t="s">
        <v>7</v>
      </c>
      <c r="EA221" s="27" t="s">
        <v>8</v>
      </c>
      <c r="EB221" s="27" t="s">
        <v>7</v>
      </c>
      <c r="EC221" s="27" t="s">
        <v>8</v>
      </c>
      <c r="EE221" s="27" t="s">
        <v>8</v>
      </c>
      <c r="EF221" s="27" t="s">
        <v>7</v>
      </c>
      <c r="EG221" s="27" t="s">
        <v>8</v>
      </c>
      <c r="EH221" s="27" t="s">
        <v>7</v>
      </c>
      <c r="EI221" s="27" t="s">
        <v>8</v>
      </c>
    </row>
    <row r="222" spans="1:140" x14ac:dyDescent="0.25">
      <c r="A222" s="30">
        <v>2.4066192336910861</v>
      </c>
      <c r="E222"/>
      <c r="BO222" s="27" t="s">
        <v>8</v>
      </c>
      <c r="BP222" s="27" t="s">
        <v>7</v>
      </c>
      <c r="BQ222" s="27" t="s">
        <v>8</v>
      </c>
      <c r="BR222" s="27" t="s">
        <v>7</v>
      </c>
      <c r="BS222" s="27" t="s">
        <v>8</v>
      </c>
      <c r="BT222" s="27" t="s">
        <v>7</v>
      </c>
      <c r="BU222" s="27" t="s">
        <v>8</v>
      </c>
      <c r="BV222" s="27" t="s">
        <v>7</v>
      </c>
      <c r="BW222" s="27" t="s">
        <v>8</v>
      </c>
      <c r="BX222" s="27" t="s">
        <v>7</v>
      </c>
      <c r="CC222" s="31"/>
      <c r="DE222" s="27" t="s">
        <v>8</v>
      </c>
      <c r="DH222" s="27" t="s">
        <v>7</v>
      </c>
      <c r="DI222" s="27" t="s">
        <v>8</v>
      </c>
      <c r="DJ222" s="27" t="s">
        <v>7</v>
      </c>
      <c r="DL222" s="27" t="s">
        <v>7</v>
      </c>
      <c r="DM222" s="27" t="s">
        <v>8</v>
      </c>
      <c r="DN222" s="27" t="s">
        <v>7</v>
      </c>
      <c r="DO222" s="27" t="s">
        <v>8</v>
      </c>
      <c r="DR222" s="27" t="s">
        <v>7</v>
      </c>
      <c r="DS222" s="27" t="s">
        <v>8</v>
      </c>
      <c r="DU222" s="27" t="s">
        <v>8</v>
      </c>
      <c r="DV222" s="27" t="s">
        <v>7</v>
      </c>
      <c r="DW222" s="27" t="s">
        <v>8</v>
      </c>
      <c r="DY222" s="27" t="s">
        <v>8</v>
      </c>
      <c r="DZ222" s="27" t="s">
        <v>7</v>
      </c>
      <c r="EA222" s="27" t="s">
        <v>8</v>
      </c>
      <c r="EB222" s="27" t="s">
        <v>7</v>
      </c>
      <c r="EC222" s="27" t="s">
        <v>8</v>
      </c>
      <c r="ED222" s="27" t="s">
        <v>7</v>
      </c>
      <c r="EE222" s="27" t="s">
        <v>8</v>
      </c>
      <c r="EF222" s="27" t="s">
        <v>7</v>
      </c>
      <c r="EG222" s="27" t="s">
        <v>8</v>
      </c>
      <c r="EH222" s="27" t="s">
        <v>7</v>
      </c>
      <c r="EI222" s="27" t="s">
        <v>8</v>
      </c>
      <c r="EJ222" s="27" t="s">
        <v>7</v>
      </c>
    </row>
    <row r="223" spans="1:140" x14ac:dyDescent="0.25">
      <c r="A223" s="30">
        <v>2.2920183178010345</v>
      </c>
      <c r="E223"/>
      <c r="BO223" s="27" t="s">
        <v>8</v>
      </c>
      <c r="BP223" s="27" t="s">
        <v>7</v>
      </c>
      <c r="BQ223" s="27" t="s">
        <v>8</v>
      </c>
      <c r="BR223" s="27" t="s">
        <v>7</v>
      </c>
      <c r="BS223" s="27" t="s">
        <v>8</v>
      </c>
      <c r="BT223" s="27" t="s">
        <v>7</v>
      </c>
      <c r="BU223" s="27" t="s">
        <v>8</v>
      </c>
      <c r="BV223" s="27" t="s">
        <v>7</v>
      </c>
      <c r="BW223" s="27" t="s">
        <v>8</v>
      </c>
      <c r="BX223" s="27" t="s">
        <v>7</v>
      </c>
      <c r="CA223" s="27" t="s">
        <v>8</v>
      </c>
      <c r="CD223" s="31"/>
      <c r="DE223" s="27" t="s">
        <v>8</v>
      </c>
      <c r="DH223" s="27" t="s">
        <v>7</v>
      </c>
      <c r="DL223" s="27" t="s">
        <v>7</v>
      </c>
      <c r="DM223" s="27" t="s">
        <v>8</v>
      </c>
      <c r="DN223" s="27" t="s">
        <v>7</v>
      </c>
      <c r="DO223" s="27" t="s">
        <v>8</v>
      </c>
      <c r="DR223" s="27" t="s">
        <v>7</v>
      </c>
      <c r="DS223" s="27" t="s">
        <v>8</v>
      </c>
      <c r="DT223" s="27" t="s">
        <v>7</v>
      </c>
      <c r="DU223" s="27" t="s">
        <v>8</v>
      </c>
      <c r="DV223" s="27" t="s">
        <v>7</v>
      </c>
      <c r="DW223" s="27" t="s">
        <v>8</v>
      </c>
      <c r="DX223" s="27" t="s">
        <v>7</v>
      </c>
      <c r="DY223" s="27" t="s">
        <v>8</v>
      </c>
      <c r="DZ223" s="27" t="s">
        <v>7</v>
      </c>
      <c r="EA223" s="27" t="s">
        <v>8</v>
      </c>
      <c r="EB223" s="27" t="s">
        <v>7</v>
      </c>
      <c r="EC223" s="27" t="s">
        <v>8</v>
      </c>
      <c r="ED223" s="27" t="s">
        <v>7</v>
      </c>
      <c r="EE223" s="27" t="s">
        <v>8</v>
      </c>
      <c r="EF223" s="27" t="s">
        <v>7</v>
      </c>
      <c r="EG223" s="27" t="s">
        <v>8</v>
      </c>
      <c r="EH223" s="27" t="s">
        <v>7</v>
      </c>
      <c r="EI223" s="27" t="s">
        <v>8</v>
      </c>
      <c r="EJ223" s="27" t="s">
        <v>7</v>
      </c>
    </row>
    <row r="224" spans="1:140" x14ac:dyDescent="0.25">
      <c r="A224" s="30">
        <v>2.1828745883819374</v>
      </c>
      <c r="E224"/>
      <c r="BO224" s="27" t="s">
        <v>8</v>
      </c>
      <c r="BP224" s="27" t="s">
        <v>7</v>
      </c>
      <c r="BR224" s="27" t="s">
        <v>7</v>
      </c>
      <c r="BT224" s="27" t="s">
        <v>7</v>
      </c>
      <c r="BU224" s="27" t="s">
        <v>8</v>
      </c>
      <c r="BV224" s="27" t="s">
        <v>7</v>
      </c>
      <c r="BW224" s="27" t="s">
        <v>8</v>
      </c>
      <c r="BX224" s="27" t="s">
        <v>7</v>
      </c>
      <c r="CA224" s="27" t="s">
        <v>8</v>
      </c>
      <c r="CB224" s="27" t="s">
        <v>7</v>
      </c>
      <c r="CE224" s="31"/>
      <c r="DE224" s="27" t="s">
        <v>8</v>
      </c>
      <c r="DL224" s="27" t="s">
        <v>7</v>
      </c>
      <c r="DM224" s="27" t="s">
        <v>8</v>
      </c>
      <c r="DN224" s="27" t="s">
        <v>7</v>
      </c>
      <c r="DO224" s="27" t="s">
        <v>8</v>
      </c>
      <c r="DR224" s="27" t="s">
        <v>7</v>
      </c>
      <c r="DS224" s="27" t="s">
        <v>8</v>
      </c>
      <c r="DT224" s="27" t="s">
        <v>7</v>
      </c>
      <c r="DU224" s="27" t="s">
        <v>8</v>
      </c>
      <c r="DV224" s="27" t="s">
        <v>7</v>
      </c>
      <c r="DW224" s="27" t="s">
        <v>8</v>
      </c>
      <c r="DX224" s="27" t="s">
        <v>7</v>
      </c>
      <c r="DY224" s="27" t="s">
        <v>8</v>
      </c>
      <c r="DZ224" s="27" t="s">
        <v>7</v>
      </c>
      <c r="EB224" s="27" t="s">
        <v>7</v>
      </c>
      <c r="ED224" s="27" t="s">
        <v>7</v>
      </c>
      <c r="EE224" s="27" t="s">
        <v>8</v>
      </c>
      <c r="EF224" s="27" t="s">
        <v>7</v>
      </c>
      <c r="EG224" s="27" t="s">
        <v>8</v>
      </c>
      <c r="EH224" s="27" t="s">
        <v>7</v>
      </c>
      <c r="EJ224" s="27" t="s">
        <v>7</v>
      </c>
    </row>
    <row r="225" spans="1:148" x14ac:dyDescent="0.25">
      <c r="A225" s="30">
        <v>2.0789281794113688</v>
      </c>
      <c r="E225"/>
      <c r="BO225" s="27" t="s">
        <v>8</v>
      </c>
      <c r="BT225" s="27" t="s">
        <v>7</v>
      </c>
      <c r="BU225" s="27" t="s">
        <v>8</v>
      </c>
      <c r="BV225" s="27" t="s">
        <v>7</v>
      </c>
      <c r="BX225" s="27" t="s">
        <v>7</v>
      </c>
      <c r="BY225" s="27" t="s">
        <v>8</v>
      </c>
      <c r="CA225" s="27" t="s">
        <v>8</v>
      </c>
      <c r="CB225" s="27" t="s">
        <v>7</v>
      </c>
      <c r="CF225" s="31"/>
      <c r="DE225" s="27" t="s">
        <v>8</v>
      </c>
      <c r="DL225" s="27" t="s">
        <v>7</v>
      </c>
      <c r="DM225" s="27" t="s">
        <v>8</v>
      </c>
      <c r="DN225" s="27" t="s">
        <v>7</v>
      </c>
      <c r="DR225" s="27" t="s">
        <v>7</v>
      </c>
      <c r="DS225" s="27" t="s">
        <v>8</v>
      </c>
      <c r="DT225" s="27" t="s">
        <v>7</v>
      </c>
      <c r="DU225" s="27" t="s">
        <v>8</v>
      </c>
      <c r="DV225" s="27" t="s">
        <v>7</v>
      </c>
      <c r="DW225" s="27" t="s">
        <v>8</v>
      </c>
      <c r="DX225" s="27" t="s">
        <v>7</v>
      </c>
      <c r="DY225" s="27" t="s">
        <v>8</v>
      </c>
      <c r="ED225" s="27" t="s">
        <v>7</v>
      </c>
      <c r="EF225" s="27" t="s">
        <v>7</v>
      </c>
      <c r="EJ225" s="27" t="s">
        <v>7</v>
      </c>
      <c r="EO225" s="27" t="s">
        <v>8</v>
      </c>
    </row>
    <row r="226" spans="1:148" x14ac:dyDescent="0.25">
      <c r="A226" s="30">
        <v>1.9799315994393987</v>
      </c>
      <c r="E226"/>
      <c r="BI226" s="27" t="s">
        <v>8</v>
      </c>
      <c r="BM226" s="27" t="s">
        <v>8</v>
      </c>
      <c r="BO226" s="27" t="s">
        <v>8</v>
      </c>
      <c r="BT226" s="27" t="s">
        <v>7</v>
      </c>
      <c r="BU226" s="27" t="s">
        <v>8</v>
      </c>
      <c r="BX226" s="27" t="s">
        <v>7</v>
      </c>
      <c r="BY226" s="27" t="s">
        <v>8</v>
      </c>
      <c r="BZ226" s="27" t="s">
        <v>7</v>
      </c>
      <c r="CA226" s="27" t="s">
        <v>8</v>
      </c>
      <c r="CB226" s="27" t="s">
        <v>7</v>
      </c>
      <c r="CG226" s="31"/>
      <c r="DE226" s="27" t="s">
        <v>8</v>
      </c>
      <c r="DL226" s="27" t="s">
        <v>7</v>
      </c>
      <c r="DM226" s="27" t="s">
        <v>8</v>
      </c>
      <c r="DR226" s="27" t="s">
        <v>7</v>
      </c>
      <c r="DT226" s="27" t="s">
        <v>7</v>
      </c>
      <c r="DV226" s="27" t="s">
        <v>7</v>
      </c>
      <c r="DW226" s="27" t="s">
        <v>8</v>
      </c>
      <c r="DX226" s="27" t="s">
        <v>7</v>
      </c>
      <c r="DY226" s="27" t="s">
        <v>8</v>
      </c>
      <c r="EJ226" s="27" t="s">
        <v>7</v>
      </c>
      <c r="EK226" s="27" t="s">
        <v>8</v>
      </c>
      <c r="EO226" s="27" t="s">
        <v>8</v>
      </c>
      <c r="EP226" s="27" t="s">
        <v>7</v>
      </c>
    </row>
    <row r="227" spans="1:148" x14ac:dyDescent="0.25">
      <c r="A227" s="30">
        <v>1.8856491423232367</v>
      </c>
      <c r="E227"/>
      <c r="BI227" s="27" t="s">
        <v>8</v>
      </c>
      <c r="BJ227" s="27" t="s">
        <v>7</v>
      </c>
      <c r="BM227" s="27" t="s">
        <v>8</v>
      </c>
      <c r="BN227" s="27" t="s">
        <v>7</v>
      </c>
      <c r="BO227" s="27" t="s">
        <v>8</v>
      </c>
      <c r="BT227" s="27" t="s">
        <v>7</v>
      </c>
      <c r="BU227" s="27" t="s">
        <v>8</v>
      </c>
      <c r="BX227" s="27" t="s">
        <v>7</v>
      </c>
      <c r="BY227" s="27" t="s">
        <v>8</v>
      </c>
      <c r="BZ227" s="27" t="s">
        <v>7</v>
      </c>
      <c r="CA227" s="27" t="s">
        <v>8</v>
      </c>
      <c r="CB227" s="27" t="s">
        <v>7</v>
      </c>
      <c r="CH227" s="31"/>
      <c r="DE227" s="27" t="s">
        <v>8</v>
      </c>
      <c r="DL227" s="27" t="s">
        <v>7</v>
      </c>
      <c r="DO227" s="31"/>
      <c r="DV227" s="27" t="s">
        <v>7</v>
      </c>
      <c r="DX227" s="27" t="s">
        <v>7</v>
      </c>
      <c r="EJ227" s="27" t="s">
        <v>7</v>
      </c>
      <c r="EK227" s="27" t="s">
        <v>8</v>
      </c>
      <c r="EL227" s="27" t="s">
        <v>7</v>
      </c>
      <c r="EO227" s="27" t="s">
        <v>8</v>
      </c>
      <c r="EP227" s="27" t="s">
        <v>7</v>
      </c>
    </row>
    <row r="228" spans="1:148" x14ac:dyDescent="0.25">
      <c r="A228" s="30">
        <v>1.7958563260221301</v>
      </c>
      <c r="C228" s="7"/>
      <c r="D228"/>
      <c r="E228"/>
      <c r="BI228" s="27" t="s">
        <v>8</v>
      </c>
      <c r="BJ228" s="27" t="s">
        <v>7</v>
      </c>
      <c r="BM228" s="27" t="s">
        <v>8</v>
      </c>
      <c r="BN228" s="27" t="s">
        <v>7</v>
      </c>
      <c r="BO228" s="27" t="s">
        <v>8</v>
      </c>
      <c r="BT228" s="27" t="s">
        <v>7</v>
      </c>
      <c r="BU228" s="27" t="s">
        <v>8</v>
      </c>
      <c r="BX228" s="27" t="s">
        <v>7</v>
      </c>
      <c r="BY228" s="27" t="s">
        <v>8</v>
      </c>
      <c r="BZ228" s="27" t="s">
        <v>7</v>
      </c>
      <c r="CA228" s="27" t="s">
        <v>8</v>
      </c>
      <c r="CB228" s="27" t="s">
        <v>7</v>
      </c>
      <c r="CI228" s="31"/>
      <c r="DE228" s="27" t="s">
        <v>8</v>
      </c>
      <c r="DN228" s="31"/>
      <c r="EJ228" s="27" t="s">
        <v>7</v>
      </c>
      <c r="EK228" s="27" t="s">
        <v>8</v>
      </c>
      <c r="EL228" s="27" t="s">
        <v>7</v>
      </c>
      <c r="EO228" s="27" t="s">
        <v>8</v>
      </c>
      <c r="EP228" s="27" t="s">
        <v>7</v>
      </c>
    </row>
    <row r="229" spans="1:148" x14ac:dyDescent="0.25">
      <c r="A229" s="30">
        <v>1.7103393581163142</v>
      </c>
      <c r="E229"/>
      <c r="BI229" s="27" t="s">
        <v>8</v>
      </c>
      <c r="BJ229" s="27" t="s">
        <v>7</v>
      </c>
      <c r="BK229" s="27" t="s">
        <v>8</v>
      </c>
      <c r="BM229" s="27" t="s">
        <v>8</v>
      </c>
      <c r="BN229" s="27" t="s">
        <v>7</v>
      </c>
      <c r="BT229" s="27" t="s">
        <v>7</v>
      </c>
      <c r="BU229" s="27" t="s">
        <v>8</v>
      </c>
      <c r="BX229" s="27" t="s">
        <v>7</v>
      </c>
      <c r="BZ229" s="27" t="s">
        <v>7</v>
      </c>
      <c r="CA229" s="27" t="s">
        <v>8</v>
      </c>
      <c r="CB229" s="27" t="s">
        <v>7</v>
      </c>
      <c r="CJ229" s="31"/>
      <c r="DC229" s="27" t="s">
        <v>8</v>
      </c>
      <c r="DE229" s="27" t="s">
        <v>8</v>
      </c>
      <c r="DM229" s="31"/>
      <c r="EJ229" s="27" t="s">
        <v>7</v>
      </c>
      <c r="EK229" s="27" t="s">
        <v>8</v>
      </c>
      <c r="EL229" s="27" t="s">
        <v>7</v>
      </c>
      <c r="EM229" s="27" t="s">
        <v>8</v>
      </c>
      <c r="EO229" s="27" t="s">
        <v>8</v>
      </c>
      <c r="EP229" s="27" t="s">
        <v>7</v>
      </c>
    </row>
    <row r="230" spans="1:148" x14ac:dyDescent="0.25">
      <c r="A230" s="30">
        <v>1.628894626777442</v>
      </c>
      <c r="E230"/>
      <c r="BI230" s="27" t="s">
        <v>8</v>
      </c>
      <c r="BJ230" s="27" t="s">
        <v>7</v>
      </c>
      <c r="BK230" s="27" t="s">
        <v>8</v>
      </c>
      <c r="BL230" s="27" t="s">
        <v>7</v>
      </c>
      <c r="BM230" s="27" t="s">
        <v>8</v>
      </c>
      <c r="BT230" s="27" t="s">
        <v>7</v>
      </c>
      <c r="BU230" s="27" t="s">
        <v>8</v>
      </c>
      <c r="BZ230" s="27" t="s">
        <v>7</v>
      </c>
      <c r="CB230" s="27" t="s">
        <v>7</v>
      </c>
      <c r="CK230" s="31"/>
      <c r="DC230" s="27" t="s">
        <v>8</v>
      </c>
      <c r="DD230" s="27" t="s">
        <v>7</v>
      </c>
      <c r="DE230" s="27" t="s">
        <v>8</v>
      </c>
      <c r="DL230" s="31"/>
      <c r="EJ230" s="27" t="s">
        <v>7</v>
      </c>
      <c r="EK230" s="27" t="s">
        <v>8</v>
      </c>
      <c r="EL230" s="27" t="s">
        <v>7</v>
      </c>
      <c r="EM230" s="27" t="s">
        <v>8</v>
      </c>
      <c r="EN230" s="27" t="s">
        <v>7</v>
      </c>
      <c r="EO230" s="27" t="s">
        <v>8</v>
      </c>
      <c r="EP230" s="27" t="s">
        <v>7</v>
      </c>
    </row>
    <row r="231" spans="1:148" x14ac:dyDescent="0.25">
      <c r="A231" s="30">
        <v>1.5513282159785162</v>
      </c>
      <c r="C231"/>
      <c r="D231"/>
      <c r="E231"/>
      <c r="BG231" s="27" t="s">
        <v>8</v>
      </c>
      <c r="BI231" s="27" t="s">
        <v>8</v>
      </c>
      <c r="BJ231" s="27" t="s">
        <v>7</v>
      </c>
      <c r="BK231" s="27" t="s">
        <v>8</v>
      </c>
      <c r="BL231" s="27" t="s">
        <v>7</v>
      </c>
      <c r="BM231" s="27" t="s">
        <v>8</v>
      </c>
      <c r="BT231" s="27" t="s">
        <v>7</v>
      </c>
      <c r="BU231" s="27" t="s">
        <v>8</v>
      </c>
      <c r="CB231" s="27" t="s">
        <v>7</v>
      </c>
      <c r="CL231" s="31"/>
      <c r="DC231" s="27" t="s">
        <v>8</v>
      </c>
      <c r="DD231" s="27" t="s">
        <v>7</v>
      </c>
      <c r="DE231" s="27" t="s">
        <v>8</v>
      </c>
      <c r="DK231" s="31"/>
      <c r="EJ231" s="27" t="s">
        <v>7</v>
      </c>
      <c r="EK231" s="27" t="s">
        <v>8</v>
      </c>
      <c r="EL231" s="27" t="s">
        <v>7</v>
      </c>
      <c r="EM231" s="27" t="s">
        <v>8</v>
      </c>
      <c r="EN231" s="27" t="s">
        <v>7</v>
      </c>
      <c r="EO231" s="27" t="s">
        <v>8</v>
      </c>
      <c r="EP231" s="27" t="s">
        <v>7</v>
      </c>
    </row>
    <row r="232" spans="1:148" x14ac:dyDescent="0.25">
      <c r="A232" s="30">
        <v>1.477455443789063</v>
      </c>
      <c r="E232"/>
      <c r="BG232" s="27" t="s">
        <v>8</v>
      </c>
      <c r="BH232" s="27" t="s">
        <v>7</v>
      </c>
      <c r="BI232" s="27" t="s">
        <v>8</v>
      </c>
      <c r="BJ232" s="27" t="s">
        <v>7</v>
      </c>
      <c r="BL232" s="27" t="s">
        <v>7</v>
      </c>
      <c r="BM232" s="27" t="s">
        <v>8</v>
      </c>
      <c r="BT232" s="27" t="s">
        <v>7</v>
      </c>
      <c r="CB232" s="27" t="s">
        <v>7</v>
      </c>
      <c r="CC232" s="27" t="s">
        <v>8</v>
      </c>
      <c r="CM232" s="31"/>
      <c r="DC232" s="27" t="s">
        <v>8</v>
      </c>
      <c r="DD232" s="27" t="s">
        <v>7</v>
      </c>
      <c r="DJ232" s="31"/>
      <c r="EJ232" s="27" t="s">
        <v>7</v>
      </c>
      <c r="EL232" s="27" t="s">
        <v>7</v>
      </c>
      <c r="EM232" s="27" t="s">
        <v>8</v>
      </c>
      <c r="EN232" s="27" t="s">
        <v>7</v>
      </c>
      <c r="EO232" s="27" t="s">
        <v>8</v>
      </c>
      <c r="EP232" s="27" t="s">
        <v>7</v>
      </c>
      <c r="EQ232" s="27" t="s">
        <v>8</v>
      </c>
    </row>
    <row r="233" spans="1:148" x14ac:dyDescent="0.25">
      <c r="A233" s="30">
        <v>1.4071004226562505</v>
      </c>
      <c r="E233"/>
      <c r="BG233" s="27" t="s">
        <v>8</v>
      </c>
      <c r="BH233" s="27" t="s">
        <v>7</v>
      </c>
      <c r="BI233" s="27" t="s">
        <v>8</v>
      </c>
      <c r="BL233" s="27" t="s">
        <v>7</v>
      </c>
      <c r="BM233" s="27" t="s">
        <v>8</v>
      </c>
      <c r="CB233" s="27" t="s">
        <v>7</v>
      </c>
      <c r="CC233" s="27" t="s">
        <v>8</v>
      </c>
      <c r="CD233" s="27" t="s">
        <v>7</v>
      </c>
      <c r="CN233" s="31"/>
      <c r="CS233" s="27" t="s">
        <v>8</v>
      </c>
      <c r="DA233" s="27" t="s">
        <v>8</v>
      </c>
      <c r="DC233" s="27" t="s">
        <v>8</v>
      </c>
      <c r="DI233" s="31"/>
      <c r="EL233" s="27" t="s">
        <v>7</v>
      </c>
      <c r="EM233" s="27" t="s">
        <v>8</v>
      </c>
      <c r="EN233" s="27" t="s">
        <v>7</v>
      </c>
      <c r="EP233" s="27" t="s">
        <v>7</v>
      </c>
      <c r="EQ233" s="27" t="s">
        <v>8</v>
      </c>
      <c r="ER233" s="27" t="s">
        <v>7</v>
      </c>
    </row>
    <row r="234" spans="1:148" x14ac:dyDescent="0.25">
      <c r="A234" s="30">
        <v>1.3400956406250004</v>
      </c>
      <c r="E234"/>
      <c r="BE234" s="27" t="s">
        <v>8</v>
      </c>
      <c r="BG234" s="27" t="s">
        <v>8</v>
      </c>
      <c r="BH234" s="27" t="s">
        <v>7</v>
      </c>
      <c r="BI234" s="27" t="s">
        <v>8</v>
      </c>
      <c r="BL234" s="27" t="s">
        <v>7</v>
      </c>
      <c r="CB234" s="27" t="s">
        <v>7</v>
      </c>
      <c r="CC234" s="27" t="s">
        <v>8</v>
      </c>
      <c r="CD234" s="27" t="s">
        <v>7</v>
      </c>
      <c r="CE234" s="27" t="s">
        <v>8</v>
      </c>
      <c r="CO234" s="31"/>
      <c r="CS234" s="27" t="s">
        <v>8</v>
      </c>
      <c r="CT234" s="27" t="s">
        <v>7</v>
      </c>
      <c r="DA234" s="27" t="s">
        <v>8</v>
      </c>
      <c r="DB234" s="27" t="s">
        <v>7</v>
      </c>
      <c r="DC234" s="27" t="s">
        <v>8</v>
      </c>
      <c r="DH234" s="31"/>
      <c r="EL234" s="27" t="s">
        <v>7</v>
      </c>
      <c r="EP234" s="27" t="s">
        <v>7</v>
      </c>
      <c r="EQ234" s="27" t="s">
        <v>8</v>
      </c>
      <c r="ER234" s="27" t="s">
        <v>7</v>
      </c>
    </row>
    <row r="235" spans="1:148" x14ac:dyDescent="0.25">
      <c r="A235" s="30">
        <v>1.2762815625000004</v>
      </c>
      <c r="C235"/>
      <c r="E235"/>
      <c r="BE235" s="27" t="s">
        <v>8</v>
      </c>
      <c r="BF235" s="27" t="s">
        <v>7</v>
      </c>
      <c r="BG235" s="27" t="s">
        <v>8</v>
      </c>
      <c r="BH235" s="27" t="s">
        <v>7</v>
      </c>
      <c r="BI235" s="27" t="s">
        <v>8</v>
      </c>
      <c r="CB235" s="27" t="s">
        <v>7</v>
      </c>
      <c r="CC235" s="27" t="s">
        <v>8</v>
      </c>
      <c r="CD235" s="27" t="s">
        <v>7</v>
      </c>
      <c r="CE235" s="27" t="s">
        <v>8</v>
      </c>
      <c r="CF235" s="27" t="s">
        <v>7</v>
      </c>
      <c r="CP235" s="31"/>
      <c r="CS235" s="27" t="s">
        <v>8</v>
      </c>
      <c r="CT235" s="27" t="s">
        <v>7</v>
      </c>
      <c r="CU235" s="27" t="s">
        <v>8</v>
      </c>
      <c r="CY235" s="27" t="s">
        <v>8</v>
      </c>
      <c r="DA235" s="27" t="s">
        <v>8</v>
      </c>
      <c r="DB235" s="27" t="s">
        <v>7</v>
      </c>
      <c r="DC235" s="27" t="s">
        <v>8</v>
      </c>
      <c r="DG235" s="31"/>
      <c r="EP235" s="27" t="s">
        <v>7</v>
      </c>
      <c r="EQ235" s="27" t="s">
        <v>8</v>
      </c>
      <c r="ER235" s="27" t="s">
        <v>7</v>
      </c>
    </row>
    <row r="236" spans="1:148" x14ac:dyDescent="0.25">
      <c r="A236" s="30">
        <v>1.2155062500000002</v>
      </c>
      <c r="E236"/>
      <c r="BC236" s="27" t="s">
        <v>8</v>
      </c>
      <c r="BE236" s="27" t="s">
        <v>8</v>
      </c>
      <c r="BF236" s="27" t="s">
        <v>7</v>
      </c>
      <c r="BG236" s="27" t="s">
        <v>8</v>
      </c>
      <c r="BH236" s="27" t="s">
        <v>7</v>
      </c>
      <c r="CB236" s="27" t="s">
        <v>7</v>
      </c>
      <c r="CC236" s="27" t="s">
        <v>8</v>
      </c>
      <c r="CD236" s="27" t="s">
        <v>7</v>
      </c>
      <c r="CE236" s="27" t="s">
        <v>8</v>
      </c>
      <c r="CF236" s="27" t="s">
        <v>7</v>
      </c>
      <c r="CG236" s="27" t="s">
        <v>8</v>
      </c>
      <c r="CI236" s="27" t="s">
        <v>8</v>
      </c>
      <c r="CK236" s="27" t="s">
        <v>8</v>
      </c>
      <c r="CQ236" s="31"/>
      <c r="CS236" s="27" t="s">
        <v>8</v>
      </c>
      <c r="CT236" s="27" t="s">
        <v>7</v>
      </c>
      <c r="CU236" s="27" t="s">
        <v>8</v>
      </c>
      <c r="CV236" s="27" t="s">
        <v>7</v>
      </c>
      <c r="CY236" s="33" t="s">
        <v>8</v>
      </c>
      <c r="CZ236" s="27" t="s">
        <v>7</v>
      </c>
      <c r="DA236" s="27" t="s">
        <v>8</v>
      </c>
      <c r="DB236" s="27" t="s">
        <v>7</v>
      </c>
      <c r="DF236" s="31"/>
      <c r="EP236" s="27" t="s">
        <v>7</v>
      </c>
      <c r="ER236" s="27" t="s">
        <v>7</v>
      </c>
    </row>
    <row r="237" spans="1:148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BC237" s="27" t="s">
        <v>8</v>
      </c>
      <c r="BD237" s="27" t="s">
        <v>7</v>
      </c>
      <c r="BE237" s="27" t="s">
        <v>8</v>
      </c>
      <c r="BF237" s="27" t="s">
        <v>7</v>
      </c>
      <c r="BG237" s="27" t="s">
        <v>8</v>
      </c>
      <c r="CB237" s="27" t="s">
        <v>7</v>
      </c>
      <c r="CC237" s="27" t="s">
        <v>8</v>
      </c>
      <c r="CD237" s="27" t="s">
        <v>7</v>
      </c>
      <c r="CE237" s="27" t="s">
        <v>8</v>
      </c>
      <c r="CF237" s="27" t="s">
        <v>7</v>
      </c>
      <c r="CG237" s="27" t="s">
        <v>8</v>
      </c>
      <c r="CH237" s="27" t="s">
        <v>7</v>
      </c>
      <c r="CI237" s="27" t="s">
        <v>8</v>
      </c>
      <c r="CJ237" s="27" t="s">
        <v>7</v>
      </c>
      <c r="CK237" s="27" t="s">
        <v>8</v>
      </c>
      <c r="CL237" s="27" t="s">
        <v>7</v>
      </c>
      <c r="CR237" s="31"/>
      <c r="CS237" s="27" t="s">
        <v>8</v>
      </c>
      <c r="CT237" s="27" t="s">
        <v>7</v>
      </c>
      <c r="CU237" s="27" t="s">
        <v>8</v>
      </c>
      <c r="CV237" s="27" t="s">
        <v>7</v>
      </c>
      <c r="CW237" s="27" t="s">
        <v>8</v>
      </c>
      <c r="CY237" s="27" t="s">
        <v>8</v>
      </c>
      <c r="CZ237" s="27" t="s">
        <v>7</v>
      </c>
      <c r="DA237" s="27" t="s">
        <v>8</v>
      </c>
      <c r="DE237" s="31"/>
      <c r="ER237" s="27" t="s">
        <v>7</v>
      </c>
    </row>
    <row r="238" spans="1:148" x14ac:dyDescent="0.25">
      <c r="A238" s="30">
        <v>1.1025</v>
      </c>
      <c r="E238"/>
      <c r="BC238" s="27" t="s">
        <v>8</v>
      </c>
      <c r="BD238" s="27" t="s">
        <v>7</v>
      </c>
      <c r="BE238" s="27" t="s">
        <v>8</v>
      </c>
      <c r="BF238" s="27" t="s">
        <v>7</v>
      </c>
      <c r="BG238" s="27" t="s">
        <v>8</v>
      </c>
      <c r="CB238" s="27" t="s">
        <v>7</v>
      </c>
      <c r="CC238" s="27" t="s">
        <v>8</v>
      </c>
      <c r="CD238" s="27" t="s">
        <v>7</v>
      </c>
      <c r="CE238" s="27" t="s">
        <v>8</v>
      </c>
      <c r="CF238" s="27" t="s">
        <v>7</v>
      </c>
      <c r="CG238" s="27" t="s">
        <v>8</v>
      </c>
      <c r="CH238" s="27" t="s">
        <v>7</v>
      </c>
      <c r="CI238" s="27" t="s">
        <v>8</v>
      </c>
      <c r="CJ238" s="27" t="s">
        <v>7</v>
      </c>
      <c r="CK238" s="27" t="s">
        <v>8</v>
      </c>
      <c r="CL238" s="27" t="s">
        <v>7</v>
      </c>
      <c r="CS238" s="31" t="s">
        <v>8</v>
      </c>
      <c r="CT238" s="27" t="s">
        <v>7</v>
      </c>
      <c r="CV238" s="27" t="s">
        <v>7</v>
      </c>
      <c r="CW238" s="27" t="s">
        <v>8</v>
      </c>
      <c r="CX238" s="27" t="s">
        <v>7</v>
      </c>
      <c r="CY238" s="27" t="s">
        <v>8</v>
      </c>
      <c r="CZ238" s="27" t="s">
        <v>7</v>
      </c>
      <c r="DA238" s="27" t="s">
        <v>8</v>
      </c>
      <c r="DD238" s="31"/>
      <c r="ER238" s="27" t="s">
        <v>7</v>
      </c>
    </row>
    <row r="239" spans="1:148" x14ac:dyDescent="0.25">
      <c r="A239" s="30">
        <v>1.05</v>
      </c>
      <c r="E239"/>
      <c r="BC239" s="27" t="s">
        <v>8</v>
      </c>
      <c r="BD239" s="27" t="s">
        <v>7</v>
      </c>
      <c r="BE239" s="27" t="s">
        <v>8</v>
      </c>
      <c r="BF239" s="27" t="s">
        <v>7</v>
      </c>
      <c r="BG239" s="27" t="s">
        <v>8</v>
      </c>
      <c r="CB239" s="27" t="s">
        <v>7</v>
      </c>
      <c r="CC239" s="27" t="s">
        <v>8</v>
      </c>
      <c r="CD239" s="27" t="s">
        <v>7</v>
      </c>
      <c r="CE239" s="27" t="s">
        <v>8</v>
      </c>
      <c r="CF239" s="27" t="s">
        <v>7</v>
      </c>
      <c r="CG239" s="27" t="s">
        <v>8</v>
      </c>
      <c r="CH239" s="27" t="s">
        <v>7</v>
      </c>
      <c r="CI239" s="27" t="s">
        <v>8</v>
      </c>
      <c r="CJ239" s="27" t="s">
        <v>7</v>
      </c>
      <c r="CK239" s="27" t="s">
        <v>8</v>
      </c>
      <c r="CL239" s="27" t="s">
        <v>7</v>
      </c>
      <c r="CQ239" s="27" t="s">
        <v>8</v>
      </c>
      <c r="CS239" s="27" t="s">
        <v>8</v>
      </c>
      <c r="CV239" s="32" t="s">
        <v>7</v>
      </c>
      <c r="CW239" s="27" t="s">
        <v>8</v>
      </c>
      <c r="CX239" s="27" t="s">
        <v>7</v>
      </c>
      <c r="CY239" s="27" t="s">
        <v>8</v>
      </c>
      <c r="CZ239" s="27" t="s">
        <v>7</v>
      </c>
      <c r="DC239" s="31"/>
      <c r="ER239" s="27" t="s">
        <v>7</v>
      </c>
    </row>
    <row r="240" spans="1:148" x14ac:dyDescent="0.25">
      <c r="A240" s="30">
        <v>1</v>
      </c>
      <c r="E240" s="29" t="s">
        <v>8</v>
      </c>
      <c r="BC240" s="27" t="s">
        <v>8</v>
      </c>
      <c r="BD240" s="27" t="s">
        <v>7</v>
      </c>
      <c r="BE240" s="27" t="s">
        <v>8</v>
      </c>
      <c r="BF240" s="27" t="s">
        <v>7</v>
      </c>
      <c r="BG240" s="27" t="s">
        <v>8</v>
      </c>
      <c r="CB240" s="27" t="s">
        <v>7</v>
      </c>
      <c r="CD240" s="27" t="s">
        <v>7</v>
      </c>
      <c r="CE240" s="27" t="s">
        <v>8</v>
      </c>
      <c r="CF240" s="27" t="s">
        <v>7</v>
      </c>
      <c r="CG240" s="27" t="s">
        <v>8</v>
      </c>
      <c r="CH240" s="27" t="s">
        <v>7</v>
      </c>
      <c r="CI240" s="27" t="s">
        <v>8</v>
      </c>
      <c r="CJ240" s="27" t="s">
        <v>7</v>
      </c>
      <c r="CL240" s="27" t="s">
        <v>7</v>
      </c>
      <c r="CQ240" s="27" t="s">
        <v>8</v>
      </c>
      <c r="CR240" s="27" t="s">
        <v>7</v>
      </c>
      <c r="CS240" s="27" t="s">
        <v>8</v>
      </c>
      <c r="CV240" s="27" t="s">
        <v>7</v>
      </c>
      <c r="CW240" s="27" t="s">
        <v>8</v>
      </c>
      <c r="CX240" s="27" t="s">
        <v>7</v>
      </c>
      <c r="CY240" s="27" t="s">
        <v>8</v>
      </c>
      <c r="DB240" s="31"/>
      <c r="ER240" s="27" t="s">
        <v>7</v>
      </c>
    </row>
    <row r="241" spans="1:151" x14ac:dyDescent="0.25">
      <c r="A241" s="30">
        <v>0.952380952380952</v>
      </c>
      <c r="B241"/>
      <c r="C241"/>
      <c r="D241"/>
      <c r="E241"/>
      <c r="F241" s="27" t="s">
        <v>7</v>
      </c>
      <c r="BC241" s="27" t="s">
        <v>8</v>
      </c>
      <c r="BD241" s="27" t="s">
        <v>7</v>
      </c>
      <c r="BE241" s="27" t="s">
        <v>8</v>
      </c>
      <c r="BF241" s="27" t="s">
        <v>7</v>
      </c>
      <c r="CD241" s="27" t="s">
        <v>7</v>
      </c>
      <c r="CE241" s="27" t="s">
        <v>8</v>
      </c>
      <c r="CF241" s="27" t="s">
        <v>7</v>
      </c>
      <c r="CG241" s="27" t="s">
        <v>8</v>
      </c>
      <c r="CH241" s="27" t="s">
        <v>7</v>
      </c>
      <c r="CL241" s="32" t="s">
        <v>7</v>
      </c>
      <c r="CQ241" s="27" t="s">
        <v>8</v>
      </c>
      <c r="CR241" s="27" t="s">
        <v>7</v>
      </c>
      <c r="CS241" s="27" t="s">
        <v>8</v>
      </c>
      <c r="CV241" s="31" t="s">
        <v>7</v>
      </c>
      <c r="CW241" s="27" t="s">
        <v>8</v>
      </c>
      <c r="CX241" s="27" t="s">
        <v>7</v>
      </c>
      <c r="CY241" s="27" t="s">
        <v>8</v>
      </c>
      <c r="DA241" s="31"/>
      <c r="ER241" s="27" t="s">
        <v>7</v>
      </c>
      <c r="ES241" s="27" t="s">
        <v>8</v>
      </c>
      <c r="EU241" s="27" t="s">
        <v>8</v>
      </c>
    </row>
    <row r="242" spans="1:151" x14ac:dyDescent="0.25">
      <c r="A242" s="30">
        <v>0.90702947845804915</v>
      </c>
      <c r="B242"/>
      <c r="C242"/>
      <c r="D242"/>
      <c r="E242"/>
      <c r="F242" s="27" t="s">
        <v>7</v>
      </c>
      <c r="BC242" s="27" t="s">
        <v>8</v>
      </c>
      <c r="BD242" s="27" t="s">
        <v>7</v>
      </c>
      <c r="BE242" s="27" t="s">
        <v>8</v>
      </c>
      <c r="CD242" s="27" t="s">
        <v>7</v>
      </c>
      <c r="CE242" s="27" t="s">
        <v>8</v>
      </c>
      <c r="CF242" s="27" t="s">
        <v>7</v>
      </c>
      <c r="CL242" s="27" t="s">
        <v>7</v>
      </c>
      <c r="CQ242" s="27" t="s">
        <v>8</v>
      </c>
      <c r="CR242" s="27" t="s">
        <v>7</v>
      </c>
      <c r="CS242" s="27" t="s">
        <v>8</v>
      </c>
      <c r="CU242" s="31"/>
      <c r="CV242" s="27" t="s">
        <v>7</v>
      </c>
      <c r="CX242" s="18" t="s">
        <v>7</v>
      </c>
      <c r="CY242" s="27" t="s">
        <v>8</v>
      </c>
      <c r="CZ242" s="31"/>
      <c r="ER242" s="27" t="s">
        <v>7</v>
      </c>
      <c r="ES242" s="27" t="s">
        <v>8</v>
      </c>
      <c r="ET242" s="27" t="s">
        <v>7</v>
      </c>
      <c r="EU242" s="27" t="s">
        <v>8</v>
      </c>
    </row>
    <row r="243" spans="1:151" x14ac:dyDescent="0.25">
      <c r="A243" s="30">
        <v>0.86383759853147501</v>
      </c>
      <c r="B243"/>
      <c r="C243"/>
      <c r="D243"/>
      <c r="E243"/>
      <c r="F243" s="27" t="s">
        <v>7</v>
      </c>
      <c r="BC243" s="27" t="s">
        <v>8</v>
      </c>
      <c r="BD243" s="27" t="s">
        <v>7</v>
      </c>
      <c r="CD243" s="27" t="s">
        <v>7</v>
      </c>
      <c r="CE243" s="27" t="s">
        <v>8</v>
      </c>
      <c r="CL243" s="27" t="s">
        <v>7</v>
      </c>
      <c r="CO243" s="27" t="s">
        <v>8</v>
      </c>
      <c r="CQ243" s="27" t="s">
        <v>8</v>
      </c>
      <c r="CR243" s="27" t="s">
        <v>7</v>
      </c>
      <c r="CS243" s="27" t="s">
        <v>8</v>
      </c>
      <c r="CT243" s="31"/>
      <c r="CX243" s="27" t="s">
        <v>7</v>
      </c>
      <c r="CY243" s="31" t="s">
        <v>8</v>
      </c>
      <c r="ER243" s="27" t="s">
        <v>7</v>
      </c>
      <c r="ES243" s="27" t="s">
        <v>8</v>
      </c>
      <c r="ET243" s="27" t="s">
        <v>7</v>
      </c>
      <c r="EU243" s="27" t="s">
        <v>8</v>
      </c>
    </row>
    <row r="244" spans="1:151" x14ac:dyDescent="0.25">
      <c r="A244" s="30">
        <v>0.82270247479188063</v>
      </c>
      <c r="B244"/>
      <c r="C244"/>
      <c r="D244"/>
      <c r="E244"/>
      <c r="F244" s="27" t="s">
        <v>7</v>
      </c>
      <c r="BC244" s="27" t="s">
        <v>8</v>
      </c>
      <c r="CD244" s="27" t="s">
        <v>7</v>
      </c>
      <c r="CE244" s="27" t="s">
        <v>8</v>
      </c>
      <c r="CL244" s="27" t="s">
        <v>7</v>
      </c>
      <c r="CO244" s="27" t="s">
        <v>8</v>
      </c>
      <c r="CP244" s="27" t="s">
        <v>7</v>
      </c>
      <c r="CQ244" s="27" t="s">
        <v>8</v>
      </c>
      <c r="CR244" s="27" t="s">
        <v>7</v>
      </c>
      <c r="CS244" s="31"/>
      <c r="CX244" s="31" t="s">
        <v>7</v>
      </c>
      <c r="ER244" s="27" t="s">
        <v>7</v>
      </c>
      <c r="ET244" s="27" t="s">
        <v>7</v>
      </c>
      <c r="EU244" s="27" t="s">
        <v>8</v>
      </c>
    </row>
    <row r="245" spans="1:151" x14ac:dyDescent="0.25">
      <c r="A245" s="30">
        <v>0.78352616646845741</v>
      </c>
      <c r="B245"/>
      <c r="C245"/>
      <c r="D245"/>
      <c r="E245"/>
      <c r="F245" s="27" t="s">
        <v>7</v>
      </c>
      <c r="BA245" s="27" t="s">
        <v>8</v>
      </c>
      <c r="BC245" s="27" t="s">
        <v>8</v>
      </c>
      <c r="CD245" s="27" t="s">
        <v>7</v>
      </c>
      <c r="CE245" s="27" t="s">
        <v>8</v>
      </c>
      <c r="CL245" s="27" t="s">
        <v>7</v>
      </c>
      <c r="CO245" s="33" t="s">
        <v>8</v>
      </c>
      <c r="CP245" s="27" t="s">
        <v>7</v>
      </c>
      <c r="CQ245" s="27" t="s">
        <v>8</v>
      </c>
      <c r="CR245" s="31"/>
      <c r="ET245" s="27" t="s">
        <v>7</v>
      </c>
    </row>
    <row r="246" spans="1:151" x14ac:dyDescent="0.25">
      <c r="A246" s="30">
        <v>0.74621539663662584</v>
      </c>
      <c r="B246"/>
      <c r="C246"/>
      <c r="D246"/>
      <c r="E246"/>
      <c r="F246" s="27" t="s">
        <v>7</v>
      </c>
      <c r="BA246" s="27" t="s">
        <v>8</v>
      </c>
      <c r="BB246" s="27" t="s">
        <v>7</v>
      </c>
      <c r="BC246" s="27" t="s">
        <v>8</v>
      </c>
      <c r="CD246" s="27" t="s">
        <v>7</v>
      </c>
      <c r="CL246" s="27" t="s">
        <v>7</v>
      </c>
      <c r="CM246" s="27" t="s">
        <v>8</v>
      </c>
      <c r="CO246" s="27" t="s">
        <v>8</v>
      </c>
      <c r="CP246" s="27" t="s">
        <v>7</v>
      </c>
      <c r="CQ246" s="31"/>
    </row>
    <row r="247" spans="1:151" x14ac:dyDescent="0.25">
      <c r="A247" s="30">
        <v>0.71068133013011958</v>
      </c>
      <c r="B247"/>
      <c r="C247"/>
      <c r="D247"/>
      <c r="E247"/>
      <c r="F247" s="27" t="s">
        <v>7</v>
      </c>
      <c r="BA247" s="27" t="s">
        <v>8</v>
      </c>
      <c r="BB247" s="27" t="s">
        <v>7</v>
      </c>
      <c r="BC247" s="27" t="s">
        <v>8</v>
      </c>
      <c r="CL247" s="27" t="s">
        <v>7</v>
      </c>
      <c r="CM247" s="27" t="s">
        <v>8</v>
      </c>
      <c r="CN247" s="27" t="s">
        <v>7</v>
      </c>
      <c r="CO247" s="27" t="s">
        <v>8</v>
      </c>
      <c r="CP247" s="31"/>
    </row>
    <row r="248" spans="1:151" x14ac:dyDescent="0.25">
      <c r="A248" s="30">
        <v>0.676839362028685</v>
      </c>
      <c r="B248"/>
      <c r="C248"/>
      <c r="D248"/>
      <c r="E248"/>
      <c r="F248" s="27" t="s">
        <v>7</v>
      </c>
      <c r="BA248" s="27" t="s">
        <v>8</v>
      </c>
      <c r="BB248" s="27" t="s">
        <v>7</v>
      </c>
      <c r="BC248" s="27" t="s">
        <v>8</v>
      </c>
      <c r="CL248" s="27" t="s">
        <v>7</v>
      </c>
      <c r="CM248" s="27" t="s">
        <v>8</v>
      </c>
      <c r="CN248" s="27" t="s">
        <v>7</v>
      </c>
      <c r="CO248" s="31" t="s">
        <v>8</v>
      </c>
    </row>
    <row r="249" spans="1:151" x14ac:dyDescent="0.25">
      <c r="A249" s="30">
        <v>0.64460891621779492</v>
      </c>
      <c r="B249"/>
      <c r="C249"/>
      <c r="D249"/>
      <c r="E249"/>
      <c r="F249" s="27" t="s">
        <v>7</v>
      </c>
      <c r="BA249" s="27" t="s">
        <v>8</v>
      </c>
      <c r="BB249" s="27" t="s">
        <v>7</v>
      </c>
      <c r="BC249" s="27" t="s">
        <v>8</v>
      </c>
      <c r="CL249" s="27" t="s">
        <v>7</v>
      </c>
      <c r="CM249" s="27" t="s">
        <v>8</v>
      </c>
      <c r="CN249" s="31" t="s">
        <v>7</v>
      </c>
    </row>
    <row r="250" spans="1:151" x14ac:dyDescent="0.25">
      <c r="A250" s="30">
        <v>0.61391325354075688</v>
      </c>
      <c r="B250"/>
      <c r="C250"/>
      <c r="D250"/>
      <c r="E250"/>
      <c r="F250" s="27" t="s">
        <v>7</v>
      </c>
      <c r="BA250" s="27" t="s">
        <v>8</v>
      </c>
      <c r="BB250" s="27" t="s">
        <v>7</v>
      </c>
      <c r="BC250" s="27" t="s">
        <v>8</v>
      </c>
      <c r="CL250" s="27" t="s">
        <v>7</v>
      </c>
    </row>
    <row r="251" spans="1:151" x14ac:dyDescent="0.25">
      <c r="A251" s="30">
        <v>0.58467928908643485</v>
      </c>
      <c r="B251"/>
      <c r="C251"/>
      <c r="D251"/>
      <c r="E251"/>
      <c r="F251" s="27" t="s">
        <v>7</v>
      </c>
      <c r="BA251" s="27" t="s">
        <v>8</v>
      </c>
      <c r="BB251" s="27" t="s">
        <v>7</v>
      </c>
      <c r="BC251" s="27" t="s">
        <v>8</v>
      </c>
    </row>
    <row r="252" spans="1:151" x14ac:dyDescent="0.25">
      <c r="A252" s="30">
        <v>0.55683741817755672</v>
      </c>
      <c r="B252"/>
      <c r="C252"/>
      <c r="D252"/>
      <c r="E252"/>
      <c r="F252" s="27" t="s">
        <v>7</v>
      </c>
      <c r="BA252" s="27" t="s">
        <v>8</v>
      </c>
      <c r="BB252" s="27" t="s">
        <v>7</v>
      </c>
    </row>
    <row r="253" spans="1:151" x14ac:dyDescent="0.25">
      <c r="A253" s="30">
        <v>0.53032135064529184</v>
      </c>
      <c r="B253"/>
      <c r="C253"/>
      <c r="D253"/>
      <c r="E253"/>
      <c r="F253" s="27" t="s">
        <v>7</v>
      </c>
      <c r="AY253" s="27" t="s">
        <v>8</v>
      </c>
      <c r="BA253" s="27" t="s">
        <v>8</v>
      </c>
    </row>
    <row r="254" spans="1:151" x14ac:dyDescent="0.25">
      <c r="A254" s="30">
        <v>0.50506795299551588</v>
      </c>
      <c r="B254"/>
      <c r="C254"/>
      <c r="D254"/>
      <c r="E254"/>
      <c r="F254" s="27" t="s">
        <v>7</v>
      </c>
      <c r="AY254" s="27" t="s">
        <v>8</v>
      </c>
      <c r="AZ254" s="27" t="s">
        <v>7</v>
      </c>
      <c r="BA254" s="27" t="s">
        <v>8</v>
      </c>
    </row>
    <row r="255" spans="1:151" x14ac:dyDescent="0.25">
      <c r="A255" s="30">
        <v>0.48101709809096732</v>
      </c>
      <c r="E255"/>
      <c r="F255" s="27" t="s">
        <v>7</v>
      </c>
      <c r="AW255" s="27" t="s">
        <v>8</v>
      </c>
      <c r="AY255" s="27" t="s">
        <v>8</v>
      </c>
      <c r="AZ255" s="27" t="s">
        <v>7</v>
      </c>
      <c r="BA255" s="27" t="s">
        <v>8</v>
      </c>
    </row>
    <row r="256" spans="1:151" x14ac:dyDescent="0.25">
      <c r="A256" s="30">
        <v>0.45811152199139726</v>
      </c>
      <c r="E256"/>
      <c r="F256" s="27" t="s">
        <v>7</v>
      </c>
      <c r="AW256" s="27" t="s">
        <v>8</v>
      </c>
      <c r="AX256" s="27" t="s">
        <v>7</v>
      </c>
      <c r="AY256" s="27" t="s">
        <v>8</v>
      </c>
      <c r="AZ256" s="27" t="s">
        <v>7</v>
      </c>
      <c r="BA256" s="27" t="s">
        <v>8</v>
      </c>
    </row>
    <row r="257" spans="1:53" x14ac:dyDescent="0.25">
      <c r="A257" s="30">
        <v>0.43629668761085438</v>
      </c>
      <c r="B257"/>
      <c r="C257"/>
      <c r="D257"/>
      <c r="E257"/>
      <c r="F257" s="27" t="s">
        <v>7</v>
      </c>
      <c r="AW257" s="27" t="s">
        <v>8</v>
      </c>
      <c r="AX257" s="27" t="s">
        <v>7</v>
      </c>
      <c r="AY257" s="27" t="s">
        <v>8</v>
      </c>
      <c r="AZ257" s="27" t="s">
        <v>7</v>
      </c>
      <c r="BA257" s="27" t="s">
        <v>8</v>
      </c>
    </row>
    <row r="258" spans="1:53" x14ac:dyDescent="0.25">
      <c r="A258" s="30">
        <v>0.41552065486748019</v>
      </c>
      <c r="B258"/>
      <c r="C258"/>
      <c r="D258"/>
      <c r="E258"/>
      <c r="F258" s="27" t="s">
        <v>7</v>
      </c>
      <c r="AU258" s="27" t="s">
        <v>8</v>
      </c>
      <c r="AW258" s="27" t="s">
        <v>8</v>
      </c>
      <c r="AX258" s="27" t="s">
        <v>7</v>
      </c>
      <c r="AY258" s="27" t="s">
        <v>8</v>
      </c>
      <c r="AZ258" s="27" t="s">
        <v>7</v>
      </c>
      <c r="BA258" s="27" t="s">
        <v>8</v>
      </c>
    </row>
    <row r="259" spans="1:53" x14ac:dyDescent="0.25">
      <c r="A259" s="30">
        <v>0.39573395701664765</v>
      </c>
      <c r="B259"/>
      <c r="C259"/>
      <c r="D259"/>
      <c r="E259"/>
      <c r="F259" s="27" t="s">
        <v>7</v>
      </c>
      <c r="AU259" s="27" t="s">
        <v>8</v>
      </c>
      <c r="AV259" s="27" t="s">
        <v>7</v>
      </c>
      <c r="AW259" s="27" t="s">
        <v>8</v>
      </c>
      <c r="AX259" s="27" t="s">
        <v>7</v>
      </c>
      <c r="AY259" s="27" t="s">
        <v>8</v>
      </c>
      <c r="AZ259" s="27" t="s">
        <v>7</v>
      </c>
      <c r="BA259" s="27" t="s">
        <v>8</v>
      </c>
    </row>
    <row r="260" spans="1:53" x14ac:dyDescent="0.25">
      <c r="A260" s="30">
        <v>0.37688948287299762</v>
      </c>
      <c r="B260"/>
      <c r="C260"/>
      <c r="D260"/>
      <c r="E260"/>
      <c r="F260" s="27" t="s">
        <v>7</v>
      </c>
      <c r="AU260" s="27" t="s">
        <v>8</v>
      </c>
      <c r="AV260" s="27" t="s">
        <v>7</v>
      </c>
      <c r="AW260" s="27" t="s">
        <v>8</v>
      </c>
      <c r="AX260" s="27" t="s">
        <v>7</v>
      </c>
      <c r="AY260" s="27" t="s">
        <v>8</v>
      </c>
      <c r="AZ260" s="27" t="s">
        <v>7</v>
      </c>
      <c r="BA260" s="27" t="s">
        <v>8</v>
      </c>
    </row>
    <row r="261" spans="1:53" x14ac:dyDescent="0.25">
      <c r="A261" s="30">
        <v>0.35894236464094997</v>
      </c>
      <c r="B261"/>
      <c r="C261"/>
      <c r="D261"/>
      <c r="E261"/>
      <c r="F261" s="27" t="s">
        <v>7</v>
      </c>
      <c r="AU261" s="27" t="s">
        <v>8</v>
      </c>
      <c r="AV261" s="27" t="s">
        <v>7</v>
      </c>
      <c r="AW261" s="27" t="s">
        <v>8</v>
      </c>
      <c r="AX261" s="27" t="s">
        <v>7</v>
      </c>
      <c r="AY261" s="27" t="s">
        <v>8</v>
      </c>
      <c r="AZ261" s="27" t="s">
        <v>7</v>
      </c>
    </row>
    <row r="262" spans="1:53" x14ac:dyDescent="0.25">
      <c r="A262" s="30">
        <v>0.34184987108661891</v>
      </c>
      <c r="B262"/>
      <c r="C262"/>
      <c r="D262"/>
      <c r="E262"/>
      <c r="F262" s="27" t="s">
        <v>7</v>
      </c>
      <c r="AS262" s="27" t="s">
        <v>8</v>
      </c>
      <c r="AU262" s="27" t="s">
        <v>8</v>
      </c>
      <c r="AV262" s="27" t="s">
        <v>7</v>
      </c>
      <c r="AW262" s="27" t="s">
        <v>8</v>
      </c>
      <c r="AX262" s="27" t="s">
        <v>7</v>
      </c>
    </row>
    <row r="263" spans="1:53" x14ac:dyDescent="0.25">
      <c r="A263" s="30">
        <v>0.32557130579677979</v>
      </c>
      <c r="B263"/>
      <c r="C263"/>
      <c r="D263"/>
      <c r="E263"/>
      <c r="F263" s="27" t="s">
        <v>7</v>
      </c>
      <c r="AS263" s="27" t="s">
        <v>8</v>
      </c>
      <c r="AT263" s="27" t="s">
        <v>7</v>
      </c>
      <c r="AU263" s="27" t="s">
        <v>8</v>
      </c>
      <c r="AV263" s="27" t="s">
        <v>7</v>
      </c>
    </row>
    <row r="264" spans="1:53" x14ac:dyDescent="0.25">
      <c r="A264" s="30">
        <v>0.3100679102826473</v>
      </c>
      <c r="B264"/>
      <c r="C264"/>
      <c r="D264"/>
      <c r="E264"/>
      <c r="F264" s="27" t="s">
        <v>7</v>
      </c>
      <c r="AS264" s="27" t="s">
        <v>8</v>
      </c>
      <c r="AT264" s="27" t="s">
        <v>7</v>
      </c>
      <c r="AU264" s="27" t="s">
        <v>8</v>
      </c>
    </row>
    <row r="265" spans="1:53" x14ac:dyDescent="0.25">
      <c r="A265" s="30">
        <v>0.2953027716977592</v>
      </c>
      <c r="B265"/>
      <c r="C265"/>
      <c r="D265"/>
      <c r="E265"/>
      <c r="F265" s="27" t="s">
        <v>7</v>
      </c>
      <c r="AS265" s="27" t="s">
        <v>8</v>
      </c>
      <c r="AT265" s="27" t="s">
        <v>7</v>
      </c>
    </row>
    <row r="266" spans="1:53" x14ac:dyDescent="0.25">
      <c r="A266" s="30">
        <v>0.28124073495024676</v>
      </c>
      <c r="B266"/>
      <c r="C266"/>
      <c r="D266"/>
      <c r="E266"/>
      <c r="F266" s="27" t="s">
        <v>7</v>
      </c>
      <c r="AQ266" s="27" t="s">
        <v>8</v>
      </c>
      <c r="AS266" s="27" t="s">
        <v>8</v>
      </c>
    </row>
    <row r="267" spans="1:53" x14ac:dyDescent="0.25">
      <c r="A267" s="30">
        <v>0.26784831900023492</v>
      </c>
      <c r="B267"/>
      <c r="C267"/>
      <c r="D267"/>
      <c r="E267"/>
      <c r="F267" s="27" t="s">
        <v>7</v>
      </c>
      <c r="AC267" s="27" t="s">
        <v>8</v>
      </c>
      <c r="AQ267" s="27" t="s">
        <v>8</v>
      </c>
      <c r="AR267" s="27" t="s">
        <v>7</v>
      </c>
      <c r="AS267" s="27" t="s">
        <v>8</v>
      </c>
    </row>
    <row r="268" spans="1:53" x14ac:dyDescent="0.25">
      <c r="A268" s="30">
        <v>0.25509363714308075</v>
      </c>
      <c r="B268"/>
      <c r="C268"/>
      <c r="D268"/>
      <c r="E268"/>
      <c r="F268" s="27" t="s">
        <v>7</v>
      </c>
      <c r="G268" s="27" t="s">
        <v>8</v>
      </c>
      <c r="AC268" s="27" t="s">
        <v>8</v>
      </c>
      <c r="AD268" s="27" t="s">
        <v>7</v>
      </c>
      <c r="AQ268" s="27" t="s">
        <v>8</v>
      </c>
      <c r="AR268" s="27" t="s">
        <v>7</v>
      </c>
      <c r="AS268" s="27" t="s">
        <v>8</v>
      </c>
    </row>
    <row r="269" spans="1:53" x14ac:dyDescent="0.25">
      <c r="A269" s="30">
        <v>0.24294632108864825</v>
      </c>
      <c r="B269"/>
      <c r="C269"/>
      <c r="D269"/>
      <c r="E269"/>
      <c r="F269" s="27" t="s">
        <v>7</v>
      </c>
      <c r="G269" s="27" t="s">
        <v>8</v>
      </c>
      <c r="H269" s="27" t="s">
        <v>7</v>
      </c>
      <c r="AC269" s="27" t="s">
        <v>8</v>
      </c>
      <c r="AD269" s="27" t="s">
        <v>7</v>
      </c>
      <c r="AQ269" s="27" t="s">
        <v>8</v>
      </c>
      <c r="AR269" s="27" t="s">
        <v>7</v>
      </c>
      <c r="AS269" s="27" t="s">
        <v>8</v>
      </c>
    </row>
    <row r="270" spans="1:53" x14ac:dyDescent="0.25">
      <c r="A270" s="30">
        <v>0.23137744865585538</v>
      </c>
      <c r="B270"/>
      <c r="C270"/>
      <c r="D270"/>
      <c r="E270"/>
      <c r="F270" s="27" t="s">
        <v>7</v>
      </c>
      <c r="G270" s="27" t="s">
        <v>8</v>
      </c>
      <c r="H270" s="27" t="s">
        <v>7</v>
      </c>
      <c r="AC270" s="27" t="s">
        <v>8</v>
      </c>
      <c r="AD270" s="27" t="s">
        <v>7</v>
      </c>
      <c r="AO270" s="27" t="s">
        <v>8</v>
      </c>
      <c r="AQ270" s="27" t="s">
        <v>8</v>
      </c>
      <c r="AR270" s="27" t="s">
        <v>7</v>
      </c>
      <c r="AS270" s="27" t="s">
        <v>8</v>
      </c>
    </row>
    <row r="271" spans="1:53" x14ac:dyDescent="0.25">
      <c r="A271" s="30">
        <v>0.22035947491033836</v>
      </c>
      <c r="B271"/>
      <c r="C271"/>
      <c r="D271"/>
      <c r="E271"/>
      <c r="F271" s="27" t="s">
        <v>7</v>
      </c>
      <c r="G271" s="27" t="s">
        <v>8</v>
      </c>
      <c r="H271" s="27" t="s">
        <v>7</v>
      </c>
      <c r="Y271" s="27" t="s">
        <v>8</v>
      </c>
      <c r="AC271" s="27" t="s">
        <v>8</v>
      </c>
      <c r="AD271" s="27" t="s">
        <v>7</v>
      </c>
      <c r="AO271" s="27" t="s">
        <v>8</v>
      </c>
      <c r="AP271" s="27" t="s">
        <v>7</v>
      </c>
      <c r="AQ271" s="27" t="s">
        <v>8</v>
      </c>
      <c r="AR271" s="27" t="s">
        <v>7</v>
      </c>
      <c r="AS271" s="27" t="s">
        <v>8</v>
      </c>
    </row>
    <row r="272" spans="1:53" x14ac:dyDescent="0.25">
      <c r="A272" s="30">
        <v>0.20986616658127455</v>
      </c>
      <c r="B272"/>
      <c r="C272"/>
      <c r="D272"/>
      <c r="E272"/>
      <c r="F272" s="27" t="s">
        <v>7</v>
      </c>
      <c r="G272" s="27" t="s">
        <v>8</v>
      </c>
      <c r="H272" s="27" t="s">
        <v>7</v>
      </c>
      <c r="Y272" s="27" t="s">
        <v>8</v>
      </c>
      <c r="Z272" s="27" t="s">
        <v>7</v>
      </c>
      <c r="AC272" s="27" t="s">
        <v>8</v>
      </c>
      <c r="AD272" s="27" t="s">
        <v>7</v>
      </c>
      <c r="AE272" s="27" t="s">
        <v>8</v>
      </c>
      <c r="AM272" s="27" t="s">
        <v>8</v>
      </c>
      <c r="AO272" s="27" t="s">
        <v>8</v>
      </c>
      <c r="AP272" s="27" t="s">
        <v>7</v>
      </c>
      <c r="AQ272" s="27" t="s">
        <v>8</v>
      </c>
      <c r="AR272" s="27" t="s">
        <v>7</v>
      </c>
    </row>
    <row r="273" spans="1:43" x14ac:dyDescent="0.25">
      <c r="A273" s="30">
        <v>0.19987253960121379</v>
      </c>
      <c r="B273"/>
      <c r="C273"/>
      <c r="D273"/>
      <c r="E273"/>
      <c r="F273" s="27" t="s">
        <v>7</v>
      </c>
      <c r="G273" s="27" t="s">
        <v>8</v>
      </c>
      <c r="H273" s="27" t="s">
        <v>7</v>
      </c>
      <c r="Y273" s="27" t="s">
        <v>8</v>
      </c>
      <c r="Z273" s="27" t="s">
        <v>7</v>
      </c>
      <c r="AC273" s="27" t="s">
        <v>8</v>
      </c>
      <c r="AD273" s="27" t="s">
        <v>7</v>
      </c>
      <c r="AE273" s="27" t="s">
        <v>8</v>
      </c>
      <c r="AF273" s="27" t="s">
        <v>7</v>
      </c>
      <c r="AI273" s="27" t="s">
        <v>8</v>
      </c>
      <c r="AK273" s="27" t="s">
        <v>8</v>
      </c>
      <c r="AM273" s="27" t="s">
        <v>8</v>
      </c>
      <c r="AN273" s="27" t="s">
        <v>7</v>
      </c>
      <c r="AO273" s="27" t="s">
        <v>8</v>
      </c>
      <c r="AP273" s="27" t="s">
        <v>7</v>
      </c>
      <c r="AQ273" s="27" t="s">
        <v>8</v>
      </c>
    </row>
    <row r="274" spans="1:43" x14ac:dyDescent="0.25">
      <c r="A274" s="30">
        <v>0.19035479962020352</v>
      </c>
      <c r="B274"/>
      <c r="C274"/>
      <c r="D274"/>
      <c r="E274"/>
      <c r="F274" s="27" t="s">
        <v>7</v>
      </c>
      <c r="G274" s="27" t="s">
        <v>8</v>
      </c>
      <c r="H274" s="27" t="s">
        <v>7</v>
      </c>
      <c r="Q274" s="27" t="s">
        <v>8</v>
      </c>
      <c r="Y274" s="27" t="s">
        <v>8</v>
      </c>
      <c r="Z274" s="27" t="s">
        <v>7</v>
      </c>
      <c r="AA274" s="27" t="s">
        <v>8</v>
      </c>
      <c r="AC274" s="27" t="s">
        <v>8</v>
      </c>
      <c r="AD274" s="27" t="s">
        <v>7</v>
      </c>
      <c r="AE274" s="27" t="s">
        <v>8</v>
      </c>
      <c r="AF274" s="27" t="s">
        <v>7</v>
      </c>
      <c r="AI274" s="27" t="s">
        <v>8</v>
      </c>
      <c r="AJ274" s="27" t="s">
        <v>7</v>
      </c>
      <c r="AK274" s="27" t="s">
        <v>8</v>
      </c>
      <c r="AL274" s="27" t="s">
        <v>7</v>
      </c>
      <c r="AM274" s="27" t="s">
        <v>8</v>
      </c>
      <c r="AN274" s="27" t="s">
        <v>7</v>
      </c>
      <c r="AO274" s="27" t="s">
        <v>8</v>
      </c>
      <c r="AP274" s="27" t="s">
        <v>7</v>
      </c>
    </row>
    <row r="275" spans="1:43" x14ac:dyDescent="0.25">
      <c r="A275" s="30">
        <v>0.18129028535257471</v>
      </c>
      <c r="B275"/>
      <c r="C275"/>
      <c r="D275"/>
      <c r="E275"/>
      <c r="F275" s="27" t="s">
        <v>7</v>
      </c>
      <c r="G275" s="27" t="s">
        <v>8</v>
      </c>
      <c r="H275" s="27" t="s">
        <v>7</v>
      </c>
      <c r="Q275" s="27" t="s">
        <v>8</v>
      </c>
      <c r="R275" s="27" t="s">
        <v>7</v>
      </c>
      <c r="Y275" s="27" t="s">
        <v>8</v>
      </c>
      <c r="Z275" s="27" t="s">
        <v>7</v>
      </c>
      <c r="AA275" s="27" t="s">
        <v>8</v>
      </c>
      <c r="AB275" s="27" t="s">
        <v>7</v>
      </c>
      <c r="AC275" s="27" t="s">
        <v>8</v>
      </c>
      <c r="AD275" s="27" t="s">
        <v>7</v>
      </c>
      <c r="AE275" s="27" t="s">
        <v>8</v>
      </c>
      <c r="AF275" s="27" t="s">
        <v>7</v>
      </c>
      <c r="AG275" s="27" t="s">
        <v>8</v>
      </c>
      <c r="AI275" s="27" t="s">
        <v>8</v>
      </c>
      <c r="AJ275" s="27" t="s">
        <v>7</v>
      </c>
      <c r="AK275" s="27" t="s">
        <v>8</v>
      </c>
      <c r="AL275" s="27" t="s">
        <v>7</v>
      </c>
      <c r="AM275" s="27" t="s">
        <v>8</v>
      </c>
      <c r="AN275" s="27" t="s">
        <v>7</v>
      </c>
    </row>
    <row r="276" spans="1:43" x14ac:dyDescent="0.25">
      <c r="A276" s="30">
        <v>0.17265741462149967</v>
      </c>
      <c r="B276"/>
      <c r="C276"/>
      <c r="D276"/>
      <c r="E276"/>
      <c r="F276" s="27" t="s">
        <v>7</v>
      </c>
      <c r="G276" s="27" t="s">
        <v>8</v>
      </c>
      <c r="H276" s="27" t="s">
        <v>7</v>
      </c>
      <c r="O276" s="27" t="s">
        <v>8</v>
      </c>
      <c r="Q276" s="27" t="s">
        <v>8</v>
      </c>
      <c r="R276" s="27" t="s">
        <v>7</v>
      </c>
      <c r="W276" s="27" t="s">
        <v>8</v>
      </c>
      <c r="Y276" s="27" t="s">
        <v>8</v>
      </c>
      <c r="Z276" s="27" t="s">
        <v>7</v>
      </c>
      <c r="AA276" s="27" t="s">
        <v>8</v>
      </c>
      <c r="AB276" s="27" t="s">
        <v>7</v>
      </c>
      <c r="AC276" s="27" t="s">
        <v>8</v>
      </c>
      <c r="AD276" s="27" t="s">
        <v>7</v>
      </c>
      <c r="AE276" s="27" t="s">
        <v>8</v>
      </c>
      <c r="AF276" s="27" t="s">
        <v>7</v>
      </c>
      <c r="AG276" s="27" t="s">
        <v>8</v>
      </c>
      <c r="AH276" s="27" t="s">
        <v>7</v>
      </c>
      <c r="AI276" s="27" t="s">
        <v>8</v>
      </c>
      <c r="AJ276" s="27" t="s">
        <v>7</v>
      </c>
      <c r="AK276" s="27" t="s">
        <v>8</v>
      </c>
      <c r="AL276" s="27" t="s">
        <v>7</v>
      </c>
    </row>
    <row r="277" spans="1:43" x14ac:dyDescent="0.25">
      <c r="A277" s="30">
        <v>0.16443563297285677</v>
      </c>
      <c r="B277"/>
      <c r="C277"/>
      <c r="D277"/>
      <c r="E277"/>
      <c r="F277" s="27" t="s">
        <v>7</v>
      </c>
      <c r="G277" s="27" t="s">
        <v>8</v>
      </c>
      <c r="H277" s="27" t="s">
        <v>7</v>
      </c>
      <c r="O277" s="27" t="s">
        <v>8</v>
      </c>
      <c r="P277" s="27" t="s">
        <v>7</v>
      </c>
      <c r="Q277" s="27" t="s">
        <v>8</v>
      </c>
      <c r="R277" s="27" t="s">
        <v>7</v>
      </c>
      <c r="W277" s="27" t="s">
        <v>8</v>
      </c>
      <c r="X277" s="27" t="s">
        <v>7</v>
      </c>
      <c r="Y277" s="27" t="s">
        <v>8</v>
      </c>
      <c r="Z277" s="27" t="s">
        <v>7</v>
      </c>
      <c r="AB277" s="27" t="s">
        <v>7</v>
      </c>
      <c r="AC277" s="27" t="s">
        <v>8</v>
      </c>
      <c r="AD277" s="27" t="s">
        <v>7</v>
      </c>
      <c r="AE277" s="27" t="s">
        <v>8</v>
      </c>
      <c r="AF277" s="27" t="s">
        <v>7</v>
      </c>
      <c r="AG277" s="27" t="s">
        <v>8</v>
      </c>
      <c r="AH277" s="27" t="s">
        <v>7</v>
      </c>
      <c r="AI277" s="27" t="s">
        <v>8</v>
      </c>
      <c r="AJ277" s="27" t="s">
        <v>7</v>
      </c>
    </row>
    <row r="278" spans="1:43" x14ac:dyDescent="0.25">
      <c r="A278" s="30">
        <v>0.15660536473605399</v>
      </c>
      <c r="B278"/>
      <c r="C278"/>
      <c r="D278"/>
      <c r="E278"/>
      <c r="F278" s="27" t="s">
        <v>7</v>
      </c>
      <c r="G278" s="27" t="s">
        <v>8</v>
      </c>
      <c r="H278" s="27" t="s">
        <v>7</v>
      </c>
      <c r="O278" s="27" t="s">
        <v>8</v>
      </c>
      <c r="P278" s="27" t="s">
        <v>7</v>
      </c>
      <c r="Q278" s="27" t="s">
        <v>8</v>
      </c>
      <c r="R278" s="27" t="s">
        <v>7</v>
      </c>
      <c r="S278" s="27" t="s">
        <v>8</v>
      </c>
      <c r="U278" s="27" t="s">
        <v>8</v>
      </c>
      <c r="W278" s="27" t="s">
        <v>8</v>
      </c>
      <c r="X278" s="27" t="s">
        <v>7</v>
      </c>
      <c r="Y278" s="27" t="s">
        <v>8</v>
      </c>
      <c r="AB278" s="27" t="s">
        <v>7</v>
      </c>
      <c r="AC278" s="27" t="s">
        <v>8</v>
      </c>
      <c r="AD278" s="27" t="s">
        <v>7</v>
      </c>
      <c r="AE278" s="27" t="s">
        <v>8</v>
      </c>
      <c r="AF278" s="27" t="s">
        <v>7</v>
      </c>
      <c r="AG278" s="27" t="s">
        <v>8</v>
      </c>
      <c r="AH278" s="27" t="s">
        <v>7</v>
      </c>
      <c r="AI278" s="27" t="s">
        <v>8</v>
      </c>
    </row>
    <row r="279" spans="1:43" x14ac:dyDescent="0.25">
      <c r="A279" s="30">
        <v>0.14914796641528946</v>
      </c>
      <c r="B279"/>
      <c r="C279"/>
      <c r="D279"/>
      <c r="E279"/>
      <c r="F279" s="27" t="s">
        <v>7</v>
      </c>
      <c r="H279" s="27" t="s">
        <v>7</v>
      </c>
      <c r="M279" s="27" t="s">
        <v>8</v>
      </c>
      <c r="O279" s="27" t="s">
        <v>8</v>
      </c>
      <c r="P279" s="27" t="s">
        <v>7</v>
      </c>
      <c r="Q279" s="27" t="s">
        <v>8</v>
      </c>
      <c r="R279" s="27" t="s">
        <v>7</v>
      </c>
      <c r="S279" s="27" t="s">
        <v>8</v>
      </c>
      <c r="T279" s="27" t="s">
        <v>7</v>
      </c>
      <c r="U279" s="27" t="s">
        <v>8</v>
      </c>
      <c r="V279" s="27" t="s">
        <v>7</v>
      </c>
      <c r="W279" s="27" t="s">
        <v>8</v>
      </c>
      <c r="X279" s="27" t="s">
        <v>7</v>
      </c>
      <c r="AB279" s="27" t="s">
        <v>7</v>
      </c>
      <c r="AD279" s="27" t="s">
        <v>7</v>
      </c>
      <c r="AE279" s="27" t="s">
        <v>8</v>
      </c>
      <c r="AF279" s="27" t="s">
        <v>7</v>
      </c>
      <c r="AH279" s="27" t="s">
        <v>7</v>
      </c>
      <c r="AI279" s="27" t="s">
        <v>8</v>
      </c>
    </row>
    <row r="280" spans="1:43" x14ac:dyDescent="0.25">
      <c r="A280" s="30">
        <v>0.14204568230027562</v>
      </c>
      <c r="B280"/>
      <c r="C280"/>
      <c r="D280"/>
      <c r="E280"/>
      <c r="H280" s="27" t="s">
        <v>7</v>
      </c>
      <c r="I280" s="27" t="s">
        <v>8</v>
      </c>
      <c r="M280" s="27" t="s">
        <v>8</v>
      </c>
      <c r="N280" s="27" t="s">
        <v>7</v>
      </c>
      <c r="O280" s="27" t="s">
        <v>8</v>
      </c>
      <c r="P280" s="27" t="s">
        <v>7</v>
      </c>
      <c r="Q280" s="27" t="s">
        <v>8</v>
      </c>
      <c r="R280" s="27" t="s">
        <v>7</v>
      </c>
      <c r="S280" s="27" t="s">
        <v>8</v>
      </c>
      <c r="T280" s="27" t="s">
        <v>7</v>
      </c>
      <c r="U280" s="27" t="s">
        <v>8</v>
      </c>
      <c r="V280" s="27" t="s">
        <v>7</v>
      </c>
      <c r="W280" s="27" t="s">
        <v>8</v>
      </c>
      <c r="AD280" s="27" t="s">
        <v>7</v>
      </c>
      <c r="AH280" s="27" t="s">
        <v>7</v>
      </c>
    </row>
    <row r="281" spans="1:43" x14ac:dyDescent="0.25">
      <c r="A281" s="30">
        <v>0.13528160219073862</v>
      </c>
      <c r="B281"/>
      <c r="C281"/>
      <c r="D281"/>
      <c r="E281"/>
      <c r="H281" s="27" t="s">
        <v>7</v>
      </c>
      <c r="I281" s="27" t="s">
        <v>8</v>
      </c>
      <c r="J281" s="27" t="s">
        <v>7</v>
      </c>
      <c r="M281" s="27" t="s">
        <v>8</v>
      </c>
      <c r="N281" s="27" t="s">
        <v>7</v>
      </c>
      <c r="O281" s="27" t="s">
        <v>8</v>
      </c>
      <c r="P281" s="27" t="s">
        <v>7</v>
      </c>
      <c r="Q281" s="27" t="s">
        <v>8</v>
      </c>
      <c r="R281" s="27" t="s">
        <v>7</v>
      </c>
      <c r="T281" s="27" t="s">
        <v>7</v>
      </c>
      <c r="U281" s="27" t="s">
        <v>8</v>
      </c>
      <c r="V281" s="27" t="s">
        <v>7</v>
      </c>
      <c r="W281" s="27" t="s">
        <v>8</v>
      </c>
    </row>
    <row r="282" spans="1:43" x14ac:dyDescent="0.25">
      <c r="A282" s="30">
        <v>0.12883962113403674</v>
      </c>
      <c r="B282"/>
      <c r="C282"/>
      <c r="D282"/>
      <c r="E282"/>
      <c r="H282" s="27" t="s">
        <v>7</v>
      </c>
      <c r="I282" s="27" t="s">
        <v>8</v>
      </c>
      <c r="J282" s="27" t="s">
        <v>7</v>
      </c>
      <c r="M282" s="27" t="s">
        <v>8</v>
      </c>
      <c r="N282" s="27" t="s">
        <v>7</v>
      </c>
      <c r="O282" s="27" t="s">
        <v>8</v>
      </c>
      <c r="P282" s="27" t="s">
        <v>7</v>
      </c>
      <c r="T282" s="27" t="s">
        <v>7</v>
      </c>
      <c r="U282" s="27" t="s">
        <v>8</v>
      </c>
      <c r="V282" s="27" t="s">
        <v>7</v>
      </c>
      <c r="W282" s="27" t="s">
        <v>8</v>
      </c>
    </row>
    <row r="283" spans="1:43" x14ac:dyDescent="0.25">
      <c r="A283" s="30">
        <v>0.12270440108003494</v>
      </c>
      <c r="B283"/>
      <c r="C283"/>
      <c r="D283"/>
      <c r="E283"/>
      <c r="H283" s="27" t="s">
        <v>7</v>
      </c>
      <c r="I283" s="27" t="s">
        <v>8</v>
      </c>
      <c r="J283" s="27" t="s">
        <v>7</v>
      </c>
      <c r="M283" s="27" t="s">
        <v>8</v>
      </c>
      <c r="N283" s="27" t="s">
        <v>7</v>
      </c>
      <c r="T283" s="27" t="s">
        <v>7</v>
      </c>
      <c r="U283" s="27" t="s">
        <v>8</v>
      </c>
      <c r="V283" s="27" t="s">
        <v>7</v>
      </c>
      <c r="W283" s="27" t="s">
        <v>8</v>
      </c>
    </row>
    <row r="284" spans="1:43" x14ac:dyDescent="0.25">
      <c r="A284" s="30">
        <v>0.11686133436193799</v>
      </c>
      <c r="B284"/>
      <c r="C284"/>
      <c r="D284"/>
      <c r="E284"/>
      <c r="H284" s="27" t="s">
        <v>7</v>
      </c>
      <c r="I284" s="27" t="s">
        <v>8</v>
      </c>
      <c r="J284" s="27" t="s">
        <v>7</v>
      </c>
      <c r="K284" s="27" t="s">
        <v>8</v>
      </c>
      <c r="M284" s="27" t="s">
        <v>8</v>
      </c>
      <c r="T284" s="27" t="s">
        <v>7</v>
      </c>
      <c r="U284" s="27" t="s">
        <v>8</v>
      </c>
      <c r="V284" s="27" t="s">
        <v>7</v>
      </c>
    </row>
    <row r="285" spans="1:43" x14ac:dyDescent="0.25">
      <c r="A285" s="30">
        <v>0.11129650891613138</v>
      </c>
      <c r="B285"/>
      <c r="C285"/>
      <c r="D285"/>
      <c r="E285"/>
      <c r="H285" s="27" t="s">
        <v>7</v>
      </c>
      <c r="I285" s="27" t="s">
        <v>8</v>
      </c>
      <c r="J285" s="27" t="s">
        <v>7</v>
      </c>
      <c r="K285" s="27" t="s">
        <v>8</v>
      </c>
      <c r="L285" s="27" t="s">
        <v>7</v>
      </c>
      <c r="M285" s="27" t="s">
        <v>8</v>
      </c>
      <c r="T285" s="27" t="s">
        <v>7</v>
      </c>
      <c r="U285" s="27" t="s">
        <v>8</v>
      </c>
    </row>
    <row r="286" spans="1:43" x14ac:dyDescent="0.25">
      <c r="A286" s="30">
        <v>0.10599667515822032</v>
      </c>
      <c r="B286"/>
      <c r="C286"/>
      <c r="D286"/>
      <c r="E286"/>
      <c r="H286" s="27" t="s">
        <v>7</v>
      </c>
      <c r="I286" s="27" t="s">
        <v>8</v>
      </c>
      <c r="J286" s="27" t="s">
        <v>7</v>
      </c>
      <c r="K286" s="27" t="s">
        <v>8</v>
      </c>
      <c r="L286" s="27" t="s">
        <v>7</v>
      </c>
      <c r="M286" s="27" t="s">
        <v>8</v>
      </c>
      <c r="T286" s="27" t="s">
        <v>7</v>
      </c>
      <c r="U286" s="27" t="s">
        <v>8</v>
      </c>
    </row>
    <row r="287" spans="1:43" x14ac:dyDescent="0.25">
      <c r="A287" s="30">
        <v>0.10094921443640027</v>
      </c>
      <c r="B287"/>
      <c r="C287"/>
      <c r="D287"/>
      <c r="E287"/>
      <c r="H287" s="27" t="s">
        <v>7</v>
      </c>
      <c r="I287" s="27" t="s">
        <v>8</v>
      </c>
      <c r="J287" s="27" t="s">
        <v>7</v>
      </c>
      <c r="K287" s="27" t="s">
        <v>8</v>
      </c>
      <c r="L287" s="27" t="s">
        <v>7</v>
      </c>
      <c r="M287" s="27" t="s">
        <v>8</v>
      </c>
      <c r="T287" s="27" t="s">
        <v>7</v>
      </c>
      <c r="U287" s="27" t="s">
        <v>8</v>
      </c>
    </row>
    <row r="288" spans="1:43" x14ac:dyDescent="0.25">
      <c r="A288" s="30">
        <v>9.6142108987047836E-2</v>
      </c>
      <c r="B288"/>
      <c r="C288"/>
      <c r="D288"/>
      <c r="E288"/>
      <c r="H288" s="27" t="s">
        <v>7</v>
      </c>
      <c r="J288" s="27" t="s">
        <v>7</v>
      </c>
      <c r="K288" s="27" t="s">
        <v>8</v>
      </c>
      <c r="L288" s="27" t="s">
        <v>7</v>
      </c>
      <c r="M288" s="27" t="s">
        <v>8</v>
      </c>
      <c r="T288" s="27" t="s">
        <v>7</v>
      </c>
      <c r="U288" s="27" t="s">
        <v>8</v>
      </c>
    </row>
    <row r="289" spans="1:20" x14ac:dyDescent="0.25">
      <c r="A289" s="30">
        <v>9.1563913320997906E-2</v>
      </c>
      <c r="B289"/>
      <c r="C289"/>
      <c r="D289"/>
      <c r="E289"/>
      <c r="J289" s="27" t="s">
        <v>7</v>
      </c>
      <c r="K289" s="27" t="s">
        <v>8</v>
      </c>
      <c r="L289" s="27" t="s">
        <v>7</v>
      </c>
      <c r="M289" s="27" t="s">
        <v>8</v>
      </c>
      <c r="T289" s="27" t="s">
        <v>7</v>
      </c>
    </row>
    <row r="290" spans="1:20" x14ac:dyDescent="0.25">
      <c r="A290" s="30">
        <v>8.7203726972378923E-2</v>
      </c>
      <c r="B290"/>
      <c r="C290"/>
      <c r="D290"/>
      <c r="E290"/>
      <c r="J290" s="27" t="s">
        <v>7</v>
      </c>
      <c r="K290" s="27" t="s">
        <v>8</v>
      </c>
      <c r="L290" s="27" t="s">
        <v>7</v>
      </c>
    </row>
    <row r="291" spans="1:20" x14ac:dyDescent="0.25">
      <c r="A291" s="30">
        <v>8.3051168545122747E-2</v>
      </c>
      <c r="B291"/>
      <c r="C291"/>
      <c r="D291"/>
      <c r="E291"/>
      <c r="J291" s="27" t="s">
        <v>7</v>
      </c>
      <c r="K291" s="27" t="s">
        <v>8</v>
      </c>
    </row>
    <row r="292" spans="1:20" x14ac:dyDescent="0.25">
      <c r="A292" s="30">
        <v>7.9096350995354961E-2</v>
      </c>
      <c r="B292"/>
      <c r="C292"/>
      <c r="D292"/>
      <c r="E292"/>
      <c r="J292" s="27" t="s">
        <v>7</v>
      </c>
    </row>
    <row r="293" spans="1:20" x14ac:dyDescent="0.25">
      <c r="A293" s="30">
        <v>7.5329858090814217E-2</v>
      </c>
      <c r="B293"/>
      <c r="C293"/>
      <c r="D293"/>
      <c r="E293"/>
    </row>
    <row r="294" spans="1:20" x14ac:dyDescent="0.25">
      <c r="A294" s="30">
        <v>7.1742721991251604E-2</v>
      </c>
      <c r="B294"/>
      <c r="C294"/>
      <c r="D294"/>
      <c r="E294"/>
    </row>
    <row r="295" spans="1:20" x14ac:dyDescent="0.25">
      <c r="A295" s="30">
        <v>6.8326401896430078E-2</v>
      </c>
      <c r="B295"/>
      <c r="C295"/>
      <c r="D295"/>
      <c r="E295"/>
    </row>
    <row r="296" spans="1:20" x14ac:dyDescent="0.25">
      <c r="A296" s="30">
        <v>6.5072763710885759E-2</v>
      </c>
      <c r="B296"/>
      <c r="C296"/>
      <c r="D296"/>
      <c r="E296"/>
    </row>
    <row r="297" spans="1:20" x14ac:dyDescent="0.25">
      <c r="A297" s="30">
        <v>6.197406067703403E-2</v>
      </c>
      <c r="B297"/>
      <c r="C297"/>
      <c r="D297"/>
      <c r="E297"/>
    </row>
    <row r="298" spans="1:20" x14ac:dyDescent="0.25">
      <c r="A298" s="30">
        <v>5.9022914930508576E-2</v>
      </c>
      <c r="B298"/>
      <c r="C298"/>
      <c r="D298"/>
      <c r="E298"/>
    </row>
    <row r="299" spans="1:20" x14ac:dyDescent="0.25">
      <c r="A299" s="30">
        <v>5.6212299933817669E-2</v>
      </c>
      <c r="B299"/>
      <c r="C299"/>
      <c r="D299"/>
      <c r="E299"/>
    </row>
    <row r="300" spans="1:20" x14ac:dyDescent="0.25">
      <c r="A300" s="30">
        <v>5.3535523746492994E-2</v>
      </c>
      <c r="B300"/>
      <c r="C300"/>
      <c r="D300"/>
      <c r="E300"/>
    </row>
    <row r="301" spans="1:20" x14ac:dyDescent="0.25">
      <c r="A301" s="30">
        <v>5.0986213091898068E-2</v>
      </c>
      <c r="B301"/>
      <c r="C301"/>
      <c r="D301"/>
      <c r="E301"/>
    </row>
    <row r="302" spans="1:20" x14ac:dyDescent="0.25">
      <c r="A302" s="30">
        <v>4.8558298182760043E-2</v>
      </c>
      <c r="B302"/>
      <c r="C302"/>
      <c r="D302"/>
      <c r="E302"/>
    </row>
    <row r="303" spans="1:20" x14ac:dyDescent="0.25">
      <c r="A303" s="30">
        <v>4.6245998269295263E-2</v>
      </c>
      <c r="B303"/>
      <c r="C303"/>
      <c r="D303"/>
      <c r="E303"/>
    </row>
    <row r="304" spans="1:20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82" operator="equal">
      <formula>$U$1</formula>
    </cfRule>
    <cfRule type="cellIs" dxfId="67" priority="883" operator="equal">
      <formula>$S$1</formula>
    </cfRule>
  </conditionalFormatting>
  <conditionalFormatting sqref="D136">
    <cfRule type="cellIs" dxfId="66" priority="880" operator="equal">
      <formula>$S$1</formula>
    </cfRule>
    <cfRule type="cellIs" dxfId="65" priority="881" operator="equal">
      <formula>$U$1</formula>
    </cfRule>
  </conditionalFormatting>
  <conditionalFormatting sqref="C162">
    <cfRule type="cellIs" dxfId="64" priority="878" operator="equal">
      <formula>$U$1</formula>
    </cfRule>
    <cfRule type="cellIs" dxfId="63" priority="879" operator="equal">
      <formula>$S$1</formula>
    </cfRule>
  </conditionalFormatting>
  <conditionalFormatting sqref="D162">
    <cfRule type="cellIs" dxfId="62" priority="876" operator="equal">
      <formula>$S$1</formula>
    </cfRule>
    <cfRule type="cellIs" dxfId="61" priority="877" operator="equal">
      <formula>$U$1</formula>
    </cfRule>
  </conditionalFormatting>
  <conditionalFormatting sqref="C187">
    <cfRule type="cellIs" dxfId="60" priority="874" operator="equal">
      <formula>$U$1</formula>
    </cfRule>
    <cfRule type="cellIs" dxfId="59" priority="875" operator="equal">
      <formula>$S$1</formula>
    </cfRule>
  </conditionalFormatting>
  <conditionalFormatting sqref="D187">
    <cfRule type="cellIs" dxfId="58" priority="872" operator="equal">
      <formula>$S$1</formula>
    </cfRule>
    <cfRule type="cellIs" dxfId="57" priority="873" operator="equal">
      <formula>$U$1</formula>
    </cfRule>
  </conditionalFormatting>
  <conditionalFormatting sqref="C212">
    <cfRule type="cellIs" dxfId="56" priority="870" operator="equal">
      <formula>$U$1</formula>
    </cfRule>
    <cfRule type="cellIs" dxfId="55" priority="871" operator="equal">
      <formula>$S$1</formula>
    </cfRule>
  </conditionalFormatting>
  <conditionalFormatting sqref="D212">
    <cfRule type="cellIs" dxfId="54" priority="868" operator="equal">
      <formula>$S$1</formula>
    </cfRule>
    <cfRule type="cellIs" dxfId="53" priority="869" operator="equal">
      <formula>$U$1</formula>
    </cfRule>
  </conditionalFormatting>
  <conditionalFormatting sqref="C237">
    <cfRule type="cellIs" dxfId="52" priority="866" operator="equal">
      <formula>$U$1</formula>
    </cfRule>
    <cfRule type="cellIs" dxfId="51" priority="867" operator="equal">
      <formula>$S$1</formula>
    </cfRule>
  </conditionalFormatting>
  <conditionalFormatting sqref="D237">
    <cfRule type="cellIs" dxfId="50" priority="864" operator="equal">
      <formula>$S$1</formula>
    </cfRule>
    <cfRule type="cellIs" dxfId="49" priority="865" operator="equal">
      <formula>$U$1</formula>
    </cfRule>
  </conditionalFormatting>
  <conditionalFormatting sqref="C106">
    <cfRule type="cellIs" dxfId="48" priority="862" operator="equal">
      <formula>$U$1</formula>
    </cfRule>
    <cfRule type="cellIs" dxfId="47" priority="863" operator="equal">
      <formula>$S$1</formula>
    </cfRule>
  </conditionalFormatting>
  <conditionalFormatting sqref="D106">
    <cfRule type="cellIs" dxfId="46" priority="860" operator="equal">
      <formula>$S$1</formula>
    </cfRule>
    <cfRule type="cellIs" dxfId="45" priority="861" operator="equal">
      <formula>$U$1</formula>
    </cfRule>
  </conditionalFormatting>
  <conditionalFormatting sqref="C81">
    <cfRule type="cellIs" dxfId="44" priority="858" operator="equal">
      <formula>$U$1</formula>
    </cfRule>
    <cfRule type="cellIs" dxfId="43" priority="859" operator="equal">
      <formula>$S$1</formula>
    </cfRule>
  </conditionalFormatting>
  <conditionalFormatting sqref="D81">
    <cfRule type="cellIs" dxfId="42" priority="856" operator="equal">
      <formula>$S$1</formula>
    </cfRule>
    <cfRule type="cellIs" dxfId="41" priority="857" operator="equal">
      <formula>$U$1</formula>
    </cfRule>
  </conditionalFormatting>
  <conditionalFormatting sqref="C56">
    <cfRule type="cellIs" dxfId="40" priority="854" operator="equal">
      <formula>$U$1</formula>
    </cfRule>
    <cfRule type="cellIs" dxfId="39" priority="855" operator="equal">
      <formula>$S$1</formula>
    </cfRule>
  </conditionalFormatting>
  <conditionalFormatting sqref="D56">
    <cfRule type="cellIs" dxfId="38" priority="852" operator="equal">
      <formula>$S$1</formula>
    </cfRule>
    <cfRule type="cellIs" dxfId="37" priority="853" operator="equal">
      <formula>$U$1</formula>
    </cfRule>
  </conditionalFormatting>
  <conditionalFormatting sqref="C31">
    <cfRule type="cellIs" dxfId="36" priority="850" operator="equal">
      <formula>$U$1</formula>
    </cfRule>
    <cfRule type="cellIs" dxfId="35" priority="851" operator="equal">
      <formula>$S$1</formula>
    </cfRule>
  </conditionalFormatting>
  <conditionalFormatting sqref="D31">
    <cfRule type="cellIs" dxfId="34" priority="848" operator="equal">
      <formula>$S$1</formula>
    </cfRule>
    <cfRule type="cellIs" dxfId="33" priority="849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04" zoomScale="90" zoomScaleNormal="90" workbookViewId="0">
      <pane xSplit="4" topLeftCell="G1" activePane="topRight" state="frozen"/>
      <selection activeCell="A109" sqref="A109"/>
      <selection pane="topRight" activeCell="BN123" sqref="BN123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62" x14ac:dyDescent="0.25">
      <c r="A97" s="30">
        <v>9.849732675807628</v>
      </c>
      <c r="E97"/>
    </row>
    <row r="98" spans="1:62" x14ac:dyDescent="0.25">
      <c r="A98" s="30">
        <v>8.9543024325523888</v>
      </c>
      <c r="C98" s="1" t="s">
        <v>13</v>
      </c>
      <c r="E98"/>
    </row>
    <row r="99" spans="1:62" x14ac:dyDescent="0.25">
      <c r="A99" s="30">
        <v>8.140274938683989</v>
      </c>
      <c r="C99" s="1">
        <f>C88</f>
        <v>0</v>
      </c>
      <c r="E99"/>
    </row>
    <row r="100" spans="1:62" x14ac:dyDescent="0.25">
      <c r="A100" s="30">
        <v>7.4002499442581717</v>
      </c>
      <c r="C100"/>
      <c r="D100"/>
      <c r="E100"/>
    </row>
    <row r="101" spans="1:62" x14ac:dyDescent="0.25">
      <c r="A101" s="30">
        <v>6.72749994932561</v>
      </c>
      <c r="C101" s="1" t="s">
        <v>14</v>
      </c>
      <c r="E101"/>
    </row>
    <row r="102" spans="1:62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62" x14ac:dyDescent="0.25">
      <c r="A103" s="30">
        <v>5.5599173134922388</v>
      </c>
      <c r="E103"/>
    </row>
    <row r="104" spans="1:62" x14ac:dyDescent="0.25">
      <c r="A104" s="30">
        <v>5.0544702849929442</v>
      </c>
      <c r="E104"/>
    </row>
    <row r="105" spans="1:62" x14ac:dyDescent="0.25">
      <c r="A105" s="30">
        <v>4.594972986357222</v>
      </c>
      <c r="E105"/>
      <c r="AG105" s="31" t="s">
        <v>8</v>
      </c>
    </row>
    <row r="106" spans="1:62" x14ac:dyDescent="0.25">
      <c r="A106" s="30">
        <v>4.1772481694156562</v>
      </c>
      <c r="E106"/>
      <c r="AG106" s="27" t="s">
        <v>8</v>
      </c>
      <c r="AH106" s="31" t="s">
        <v>7</v>
      </c>
    </row>
    <row r="107" spans="1:62" x14ac:dyDescent="0.25">
      <c r="A107" s="30">
        <v>3.7974983358324148</v>
      </c>
      <c r="E107"/>
      <c r="AG107" s="27" t="s">
        <v>8</v>
      </c>
      <c r="AH107" s="27" t="s">
        <v>7</v>
      </c>
      <c r="AI107" s="31"/>
      <c r="AY107" s="27" t="s">
        <v>8</v>
      </c>
      <c r="BG107" s="27" t="s">
        <v>8</v>
      </c>
    </row>
    <row r="108" spans="1:62" x14ac:dyDescent="0.25">
      <c r="A108" s="30">
        <v>3.4522712143931042</v>
      </c>
      <c r="E108"/>
      <c r="AG108" s="27" t="s">
        <v>8</v>
      </c>
      <c r="AH108" s="27" t="s">
        <v>7</v>
      </c>
      <c r="AJ108" s="31"/>
      <c r="AY108" s="27" t="s">
        <v>8</v>
      </c>
      <c r="AZ108" s="27" t="s">
        <v>7</v>
      </c>
      <c r="BG108" s="27" t="s">
        <v>8</v>
      </c>
      <c r="BH108" s="27" t="s">
        <v>7</v>
      </c>
    </row>
    <row r="109" spans="1:62" x14ac:dyDescent="0.25">
      <c r="A109" s="30">
        <v>3.1384283767210035</v>
      </c>
      <c r="E109"/>
      <c r="AG109" s="27" t="s">
        <v>8</v>
      </c>
      <c r="AH109" s="27" t="s">
        <v>7</v>
      </c>
      <c r="AI109" s="27" t="s">
        <v>8</v>
      </c>
      <c r="AK109" s="31"/>
      <c r="AY109" s="27" t="s">
        <v>8</v>
      </c>
      <c r="AZ109" s="27" t="s">
        <v>7</v>
      </c>
      <c r="BA109" s="27" t="s">
        <v>8</v>
      </c>
      <c r="BC109" s="27" t="s">
        <v>8</v>
      </c>
      <c r="BG109" s="27" t="s">
        <v>8</v>
      </c>
      <c r="BH109" s="27" t="s">
        <v>7</v>
      </c>
    </row>
    <row r="110" spans="1:62" x14ac:dyDescent="0.25">
      <c r="A110" s="30">
        <v>2.8531167061100029</v>
      </c>
      <c r="E110"/>
      <c r="AG110" s="27" t="s">
        <v>8</v>
      </c>
      <c r="AH110" s="27" t="s">
        <v>7</v>
      </c>
      <c r="AI110" s="27" t="s">
        <v>8</v>
      </c>
      <c r="AJ110" s="27" t="s">
        <v>7</v>
      </c>
      <c r="AK110" s="27" t="s">
        <v>8</v>
      </c>
      <c r="AL110" s="31"/>
      <c r="AY110" s="27" t="s">
        <v>8</v>
      </c>
      <c r="AZ110" s="27" t="s">
        <v>7</v>
      </c>
      <c r="BA110" s="27" t="s">
        <v>8</v>
      </c>
      <c r="BB110" s="27" t="s">
        <v>7</v>
      </c>
      <c r="BC110" s="27" t="s">
        <v>8</v>
      </c>
      <c r="BD110" s="27" t="s">
        <v>7</v>
      </c>
      <c r="BE110" s="27" t="s">
        <v>8</v>
      </c>
      <c r="BG110" s="27" t="s">
        <v>8</v>
      </c>
      <c r="BH110" s="27" t="s">
        <v>7</v>
      </c>
      <c r="BI110" s="27" t="s">
        <v>8</v>
      </c>
    </row>
    <row r="111" spans="1:62" x14ac:dyDescent="0.25">
      <c r="A111" s="30">
        <v>2.5937424601000023</v>
      </c>
      <c r="C111" s="1" t="str">
        <f>ADDRESS(C121-1,1,1,1)</f>
        <v>$A$122</v>
      </c>
      <c r="D111" s="1" t="str">
        <f>ADDRESS(C121-1,D121,1,1)</f>
        <v>$BN$122</v>
      </c>
      <c r="E111"/>
      <c r="AG111" s="27" t="s">
        <v>8</v>
      </c>
      <c r="AH111" s="27" t="s">
        <v>7</v>
      </c>
      <c r="AI111" s="27" t="s">
        <v>8</v>
      </c>
      <c r="AJ111" s="27" t="s">
        <v>7</v>
      </c>
      <c r="AK111" s="27" t="s">
        <v>8</v>
      </c>
      <c r="AL111" s="27" t="s">
        <v>7</v>
      </c>
      <c r="AM111" s="31"/>
      <c r="AY111" s="27" t="s">
        <v>8</v>
      </c>
      <c r="AZ111" s="27" t="s">
        <v>7</v>
      </c>
      <c r="BA111" s="27" t="s">
        <v>8</v>
      </c>
      <c r="BB111" s="27" t="s">
        <v>7</v>
      </c>
      <c r="BC111" s="27" t="s">
        <v>8</v>
      </c>
      <c r="BD111" s="27" t="s">
        <v>7</v>
      </c>
      <c r="BE111" s="27" t="s">
        <v>8</v>
      </c>
      <c r="BF111" s="27" t="s">
        <v>7</v>
      </c>
      <c r="BG111" s="27" t="s">
        <v>8</v>
      </c>
      <c r="BH111" s="27" t="s">
        <v>7</v>
      </c>
      <c r="BI111" s="27" t="s">
        <v>8</v>
      </c>
      <c r="BJ111" s="27" t="s">
        <v>7</v>
      </c>
    </row>
    <row r="112" spans="1:62" x14ac:dyDescent="0.25">
      <c r="A112" s="30">
        <v>2.3579476910000019</v>
      </c>
      <c r="C112" s="1" t="str">
        <f>ADDRESS(C121,1,1,1)</f>
        <v>$A$123</v>
      </c>
      <c r="D112" s="1" t="str">
        <f>ADDRESS(C121,D121-1,1,1)</f>
        <v>$BM$123</v>
      </c>
      <c r="E112"/>
      <c r="AG112" s="27" t="s">
        <v>8</v>
      </c>
      <c r="AH112" s="27" t="s">
        <v>7</v>
      </c>
      <c r="AI112" s="27" t="s">
        <v>8</v>
      </c>
      <c r="AJ112" s="27" t="s">
        <v>7</v>
      </c>
      <c r="AK112" s="27" t="s">
        <v>8</v>
      </c>
      <c r="AL112" s="27" t="s">
        <v>7</v>
      </c>
      <c r="AM112" s="27" t="s">
        <v>8</v>
      </c>
      <c r="AN112" s="31"/>
      <c r="AY112" s="27" t="s">
        <v>8</v>
      </c>
      <c r="AZ112" s="27" t="s">
        <v>7</v>
      </c>
      <c r="BB112" s="27" t="s">
        <v>7</v>
      </c>
      <c r="BC112" s="27" t="s">
        <v>8</v>
      </c>
      <c r="BD112" s="27" t="s">
        <v>7</v>
      </c>
      <c r="BE112" s="27" t="s">
        <v>8</v>
      </c>
      <c r="BF112" s="27" t="s">
        <v>7</v>
      </c>
      <c r="BG112" s="27" t="s">
        <v>8</v>
      </c>
      <c r="BH112" s="27" t="s">
        <v>7</v>
      </c>
      <c r="BI112" s="27" t="s">
        <v>8</v>
      </c>
      <c r="BJ112" s="27" t="s">
        <v>7</v>
      </c>
    </row>
    <row r="113" spans="1:66" x14ac:dyDescent="0.25">
      <c r="A113" s="30">
        <v>2.1435888100000016</v>
      </c>
      <c r="C113" s="1" t="str">
        <f>ADDRESS(C121+1,1,1,1)</f>
        <v>$A$124</v>
      </c>
      <c r="D113" s="1" t="str">
        <f>ADDRESS(C121-1,D121+1,1,1)</f>
        <v>$BO$122</v>
      </c>
      <c r="AG113" s="27" t="s">
        <v>8</v>
      </c>
      <c r="AH113" s="27" t="s">
        <v>7</v>
      </c>
      <c r="AJ113" s="27" t="s">
        <v>7</v>
      </c>
      <c r="AK113" s="27" t="s">
        <v>8</v>
      </c>
      <c r="AL113" s="27" t="s">
        <v>7</v>
      </c>
      <c r="AM113" s="27" t="s">
        <v>8</v>
      </c>
      <c r="AN113" s="27" t="s">
        <v>7</v>
      </c>
      <c r="AO113" s="31"/>
      <c r="AY113" s="27" t="s">
        <v>8</v>
      </c>
      <c r="BB113" s="27" t="s">
        <v>7</v>
      </c>
      <c r="BC113" s="27" t="s">
        <v>8</v>
      </c>
      <c r="BD113" s="27" t="s">
        <v>7</v>
      </c>
      <c r="BE113" s="27" t="s">
        <v>8</v>
      </c>
      <c r="BF113" s="27" t="s">
        <v>7</v>
      </c>
      <c r="BH113" s="27" t="s">
        <v>7</v>
      </c>
      <c r="BJ113" s="27" t="s">
        <v>7</v>
      </c>
    </row>
    <row r="114" spans="1:66" x14ac:dyDescent="0.25">
      <c r="A114" s="30">
        <v>1.9487171000000014</v>
      </c>
      <c r="C114" s="1" t="str">
        <f>ADDRESS(C121,D121,1,1)</f>
        <v>$BN$123</v>
      </c>
      <c r="D114" s="1" t="str">
        <f>ADDRESS(C121+1,D121+1,1,1)</f>
        <v>$BO$124</v>
      </c>
      <c r="AE114" s="27" t="s">
        <v>8</v>
      </c>
      <c r="AG114" s="27" t="s">
        <v>8</v>
      </c>
      <c r="AJ114" s="27" t="s">
        <v>7</v>
      </c>
      <c r="AK114" s="27" t="s">
        <v>8</v>
      </c>
      <c r="AL114" s="27" t="s">
        <v>7</v>
      </c>
      <c r="AM114" s="27" t="s">
        <v>8</v>
      </c>
      <c r="AN114" s="27" t="s">
        <v>7</v>
      </c>
      <c r="AP114" s="31"/>
      <c r="AY114" s="27" t="s">
        <v>8</v>
      </c>
      <c r="BB114" s="27" t="s">
        <v>7</v>
      </c>
      <c r="BD114" s="27" t="s">
        <v>7</v>
      </c>
      <c r="BJ114" s="27" t="s">
        <v>7</v>
      </c>
      <c r="BK114" s="27" t="s">
        <v>8</v>
      </c>
      <c r="BM114" s="27" t="s">
        <v>8</v>
      </c>
    </row>
    <row r="115" spans="1:66" x14ac:dyDescent="0.25">
      <c r="A115" s="30">
        <v>1.7715610000000011</v>
      </c>
      <c r="C115" s="1" t="str">
        <f>ADDRESS(C121+1,D121,1,1)</f>
        <v>$BN$124</v>
      </c>
      <c r="AE115" s="27" t="s">
        <v>8</v>
      </c>
      <c r="AF115" s="27" t="s">
        <v>7</v>
      </c>
      <c r="AG115" s="27" t="s">
        <v>8</v>
      </c>
      <c r="AJ115" s="27" t="s">
        <v>7</v>
      </c>
      <c r="AK115" s="27" t="s">
        <v>8</v>
      </c>
      <c r="AL115" s="27" t="s">
        <v>7</v>
      </c>
      <c r="AN115" s="27" t="s">
        <v>7</v>
      </c>
      <c r="AQ115" s="31"/>
      <c r="AY115" s="27" t="s">
        <v>8</v>
      </c>
      <c r="BJ115" s="27" t="s">
        <v>7</v>
      </c>
      <c r="BK115" s="27" t="s">
        <v>8</v>
      </c>
      <c r="BL115" s="27" t="s">
        <v>7</v>
      </c>
      <c r="BM115" s="27" t="s">
        <v>8</v>
      </c>
      <c r="BN115" s="27" t="s">
        <v>7</v>
      </c>
    </row>
    <row r="116" spans="1:66" x14ac:dyDescent="0.25">
      <c r="A116" s="30">
        <v>1.6105100000000008</v>
      </c>
      <c r="C116" s="1">
        <f>C117-1</f>
        <v>122</v>
      </c>
      <c r="AE116" s="27" t="s">
        <v>8</v>
      </c>
      <c r="AF116" s="27" t="s">
        <v>7</v>
      </c>
      <c r="AG116" s="27" t="s">
        <v>8</v>
      </c>
      <c r="AJ116" s="27" t="s">
        <v>7</v>
      </c>
      <c r="AK116" s="27" t="s">
        <v>8</v>
      </c>
      <c r="AN116" s="27" t="s">
        <v>7</v>
      </c>
      <c r="AR116" s="31"/>
      <c r="AY116" s="27" t="s">
        <v>8</v>
      </c>
      <c r="BJ116" s="27" t="s">
        <v>7</v>
      </c>
      <c r="BK116" s="27" t="s">
        <v>8</v>
      </c>
      <c r="BL116" s="27" t="s">
        <v>7</v>
      </c>
      <c r="BM116" s="27" t="s">
        <v>8</v>
      </c>
      <c r="BN116" s="27" t="s">
        <v>7</v>
      </c>
    </row>
    <row r="117" spans="1:66" x14ac:dyDescent="0.25">
      <c r="A117" s="30">
        <v>1.4641000000000006</v>
      </c>
      <c r="C117" s="1">
        <f>C121</f>
        <v>123</v>
      </c>
      <c r="D117" s="1">
        <f>D121</f>
        <v>66</v>
      </c>
      <c r="AE117" s="27" t="s">
        <v>8</v>
      </c>
      <c r="AF117" s="27" t="s">
        <v>7</v>
      </c>
      <c r="AG117" s="27" t="s">
        <v>8</v>
      </c>
      <c r="AJ117" s="27" t="s">
        <v>7</v>
      </c>
      <c r="AN117" s="27" t="s">
        <v>7</v>
      </c>
      <c r="AO117" s="27" t="s">
        <v>8</v>
      </c>
      <c r="AS117" s="31"/>
      <c r="AY117" s="27" t="s">
        <v>8</v>
      </c>
      <c r="BE117" s="31"/>
      <c r="BJ117" s="27" t="s">
        <v>7</v>
      </c>
      <c r="BL117" s="27" t="s">
        <v>7</v>
      </c>
      <c r="BN117" s="27" t="s">
        <v>7</v>
      </c>
    </row>
    <row r="118" spans="1:66" x14ac:dyDescent="0.25">
      <c r="A118" s="30">
        <v>1.3310000000000004</v>
      </c>
      <c r="C118" s="1">
        <f>C117+1</f>
        <v>124</v>
      </c>
      <c r="D118" s="1">
        <f>D117+1</f>
        <v>67</v>
      </c>
      <c r="AC118" s="27" t="s">
        <v>8</v>
      </c>
      <c r="AE118" s="27" t="s">
        <v>8</v>
      </c>
      <c r="AF118" s="27" t="s">
        <v>7</v>
      </c>
      <c r="AN118" s="27" t="s">
        <v>7</v>
      </c>
      <c r="AO118" s="27" t="s">
        <v>8</v>
      </c>
      <c r="AP118" s="27" t="s">
        <v>7</v>
      </c>
      <c r="AQ118" s="27" t="s">
        <v>8</v>
      </c>
      <c r="AT118" s="31"/>
      <c r="AW118" s="27" t="s">
        <v>8</v>
      </c>
      <c r="AY118" s="27" t="s">
        <v>8</v>
      </c>
      <c r="BD118" s="31"/>
      <c r="BN118" s="27" t="s">
        <v>7</v>
      </c>
    </row>
    <row r="119" spans="1:66" x14ac:dyDescent="0.25">
      <c r="A119" s="30">
        <v>1.2100000000000002</v>
      </c>
      <c r="AA119" s="27" t="s">
        <v>8</v>
      </c>
      <c r="AC119" s="27" t="s">
        <v>8</v>
      </c>
      <c r="AD119" s="27" t="s">
        <v>7</v>
      </c>
      <c r="AE119" s="27" t="s">
        <v>8</v>
      </c>
      <c r="AN119" s="27" t="s">
        <v>7</v>
      </c>
      <c r="AO119" s="27" t="s">
        <v>8</v>
      </c>
      <c r="AP119" s="27" t="s">
        <v>7</v>
      </c>
      <c r="AQ119" s="27" t="s">
        <v>8</v>
      </c>
      <c r="AR119" s="27" t="s">
        <v>7</v>
      </c>
      <c r="AS119" s="27" t="s">
        <v>8</v>
      </c>
      <c r="AU119" s="31" t="s">
        <v>8</v>
      </c>
      <c r="AW119" s="27" t="s">
        <v>8</v>
      </c>
      <c r="AX119" s="27" t="s">
        <v>7</v>
      </c>
      <c r="AY119" s="27" t="s">
        <v>8</v>
      </c>
      <c r="BC119" s="31"/>
      <c r="BN119" s="27" t="s">
        <v>7</v>
      </c>
    </row>
    <row r="120" spans="1:66" x14ac:dyDescent="0.25">
      <c r="A120" s="30">
        <v>1.1000000000000001</v>
      </c>
      <c r="C120" s="1" t="s">
        <v>9</v>
      </c>
      <c r="AA120" s="27" t="s">
        <v>8</v>
      </c>
      <c r="AB120" s="27" t="s">
        <v>7</v>
      </c>
      <c r="AC120" s="27" t="s">
        <v>8</v>
      </c>
      <c r="AD120" s="27" t="s">
        <v>7</v>
      </c>
      <c r="AE120" s="27" t="s">
        <v>8</v>
      </c>
      <c r="AN120" s="27" t="s">
        <v>7</v>
      </c>
      <c r="AO120" s="27" t="s">
        <v>8</v>
      </c>
      <c r="AP120" s="27" t="s">
        <v>7</v>
      </c>
      <c r="AQ120" s="27" t="s">
        <v>8</v>
      </c>
      <c r="AR120" s="27" t="s">
        <v>7</v>
      </c>
      <c r="AS120" s="27" t="s">
        <v>8</v>
      </c>
      <c r="AT120" s="27" t="s">
        <v>7</v>
      </c>
      <c r="AU120" s="27" t="s">
        <v>8</v>
      </c>
      <c r="AV120" s="31" t="s">
        <v>7</v>
      </c>
      <c r="AW120" s="27" t="s">
        <v>8</v>
      </c>
      <c r="AX120" s="27" t="s">
        <v>7</v>
      </c>
      <c r="AY120" s="27" t="s">
        <v>8</v>
      </c>
      <c r="BB120" s="31"/>
      <c r="BN120" s="27" t="s">
        <v>7</v>
      </c>
    </row>
    <row r="121" spans="1:66" x14ac:dyDescent="0.25">
      <c r="A121" s="30">
        <v>1</v>
      </c>
      <c r="C121" s="18">
        <v>123</v>
      </c>
      <c r="D121" s="19">
        <v>66</v>
      </c>
      <c r="E121" s="18" t="s">
        <v>8</v>
      </c>
      <c r="AA121" s="27" t="s">
        <v>8</v>
      </c>
      <c r="AB121" s="27" t="s">
        <v>7</v>
      </c>
      <c r="AC121" s="27" t="s">
        <v>8</v>
      </c>
      <c r="AD121" s="27" t="s">
        <v>7</v>
      </c>
      <c r="AN121" s="27" t="s">
        <v>7</v>
      </c>
      <c r="AP121" s="27" t="s">
        <v>7</v>
      </c>
      <c r="AQ121" s="27" t="s">
        <v>8</v>
      </c>
      <c r="AR121" s="27" t="s">
        <v>7</v>
      </c>
      <c r="AS121" s="27" t="s">
        <v>8</v>
      </c>
      <c r="AT121" s="27" t="s">
        <v>7</v>
      </c>
      <c r="AU121" s="27" t="s">
        <v>8</v>
      </c>
      <c r="AV121" s="27" t="s">
        <v>7</v>
      </c>
      <c r="AW121" s="27" t="s">
        <v>8</v>
      </c>
      <c r="AX121" s="27" t="s">
        <v>7</v>
      </c>
      <c r="AY121" s="27" t="s">
        <v>8</v>
      </c>
      <c r="BA121" s="31"/>
      <c r="BN121" s="27" t="s">
        <v>7</v>
      </c>
    </row>
    <row r="122" spans="1:66" x14ac:dyDescent="0.25">
      <c r="A122" s="30">
        <v>0.90909090909090895</v>
      </c>
      <c r="C122" s="1" t="str">
        <f>INDEX(1:1048576,C117,D117)</f>
        <v>O</v>
      </c>
      <c r="F122" s="27" t="s">
        <v>7</v>
      </c>
      <c r="AA122" s="27" t="s">
        <v>8</v>
      </c>
      <c r="AB122" s="27" t="s">
        <v>7</v>
      </c>
      <c r="AP122" s="27" t="s">
        <v>7</v>
      </c>
      <c r="AQ122" s="27" t="s">
        <v>8</v>
      </c>
      <c r="AR122" s="27" t="s">
        <v>7</v>
      </c>
      <c r="AT122" s="27" t="s">
        <v>7</v>
      </c>
      <c r="AV122" s="27" t="s">
        <v>7</v>
      </c>
      <c r="AW122" s="27" t="s">
        <v>8</v>
      </c>
      <c r="AX122" s="18" t="s">
        <v>7</v>
      </c>
      <c r="AY122" s="27" t="s">
        <v>8</v>
      </c>
      <c r="AZ122" s="31"/>
      <c r="BN122" s="27" t="s">
        <v>7</v>
      </c>
    </row>
    <row r="123" spans="1:66" x14ac:dyDescent="0.25">
      <c r="A123" s="30">
        <v>0.82644628099173523</v>
      </c>
      <c r="C123" s="1" t="str">
        <f>"R"&amp;C121</f>
        <v>R123</v>
      </c>
      <c r="D123" s="1" t="str">
        <f>"C"&amp;D121</f>
        <v>C66</v>
      </c>
      <c r="F123" s="27" t="s">
        <v>7</v>
      </c>
      <c r="AA123" s="27" t="s">
        <v>8</v>
      </c>
      <c r="AP123" s="27" t="s">
        <v>7</v>
      </c>
      <c r="AQ123" s="27" t="s">
        <v>8</v>
      </c>
      <c r="AV123" s="27" t="s">
        <v>7</v>
      </c>
      <c r="AW123" s="27" t="s">
        <v>8</v>
      </c>
      <c r="AX123" s="27" t="s">
        <v>7</v>
      </c>
      <c r="AY123" s="31"/>
      <c r="BN123" s="27" t="s">
        <v>7</v>
      </c>
    </row>
    <row r="124" spans="1:6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Y124" s="27" t="s">
        <v>8</v>
      </c>
      <c r="AA124" s="27" t="s">
        <v>8</v>
      </c>
      <c r="AP124" s="27" t="s">
        <v>7</v>
      </c>
      <c r="AV124" s="27" t="s">
        <v>7</v>
      </c>
      <c r="AW124" s="27" t="s">
        <v>8</v>
      </c>
      <c r="AX124" s="31"/>
    </row>
    <row r="125" spans="1:66" x14ac:dyDescent="0.25">
      <c r="A125" s="30">
        <v>0.68301345536507019</v>
      </c>
      <c r="F125" s="27" t="s">
        <v>7</v>
      </c>
      <c r="Y125" s="27" t="s">
        <v>8</v>
      </c>
      <c r="Z125" s="27" t="s">
        <v>7</v>
      </c>
      <c r="AA125" s="27" t="s">
        <v>8</v>
      </c>
      <c r="AV125" s="27" t="s">
        <v>7</v>
      </c>
      <c r="AW125" s="31" t="s">
        <v>8</v>
      </c>
    </row>
    <row r="126" spans="1:66" x14ac:dyDescent="0.25">
      <c r="A126" s="30">
        <v>0.6209213230591546</v>
      </c>
      <c r="C126" s="1" t="s">
        <v>10</v>
      </c>
      <c r="F126" s="27" t="s">
        <v>7</v>
      </c>
      <c r="Y126" s="27" t="s">
        <v>8</v>
      </c>
      <c r="Z126" s="27" t="s">
        <v>7</v>
      </c>
      <c r="AA126" s="27" t="s">
        <v>8</v>
      </c>
      <c r="AV126" s="31" t="s">
        <v>7</v>
      </c>
    </row>
    <row r="127" spans="1:66" x14ac:dyDescent="0.25">
      <c r="A127" s="30">
        <v>0.56447393005377677</v>
      </c>
      <c r="C127" s="30">
        <v>0.82644628099173523</v>
      </c>
      <c r="D127"/>
      <c r="F127" s="27" t="s">
        <v>7</v>
      </c>
      <c r="Y127" s="27" t="s">
        <v>8</v>
      </c>
      <c r="Z127" s="27" t="s">
        <v>7</v>
      </c>
    </row>
    <row r="128" spans="1:66" x14ac:dyDescent="0.25">
      <c r="A128" s="30">
        <v>0.51315811823070612</v>
      </c>
      <c r="F128" s="27" t="s">
        <v>7</v>
      </c>
      <c r="W128" s="27" t="s">
        <v>8</v>
      </c>
      <c r="Y128" s="27" t="s">
        <v>8</v>
      </c>
    </row>
    <row r="129" spans="1:25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U129" s="27" t="s">
        <v>8</v>
      </c>
      <c r="W129" s="27" t="s">
        <v>8</v>
      </c>
      <c r="X129" s="27" t="s">
        <v>7</v>
      </c>
      <c r="Y129" s="27" t="s">
        <v>8</v>
      </c>
    </row>
    <row r="130" spans="1:25" x14ac:dyDescent="0.25">
      <c r="A130" s="30">
        <v>0.42409761837248428</v>
      </c>
      <c r="C130" s="6"/>
      <c r="D130" s="6"/>
      <c r="E130"/>
      <c r="F130" s="27" t="s">
        <v>7</v>
      </c>
      <c r="S130" s="27" t="s">
        <v>8</v>
      </c>
      <c r="U130" s="27" t="s">
        <v>8</v>
      </c>
      <c r="V130" s="27" t="s">
        <v>7</v>
      </c>
      <c r="W130" s="27" t="s">
        <v>8</v>
      </c>
      <c r="X130" s="27" t="s">
        <v>7</v>
      </c>
      <c r="Y130" s="27" t="s">
        <v>8</v>
      </c>
    </row>
    <row r="131" spans="1:25" x14ac:dyDescent="0.25">
      <c r="A131" s="30">
        <v>0.38554328942953109</v>
      </c>
      <c r="E131"/>
      <c r="F131" s="27" t="s">
        <v>7</v>
      </c>
      <c r="S131" s="27" t="s">
        <v>8</v>
      </c>
      <c r="T131" s="27" t="s">
        <v>7</v>
      </c>
      <c r="U131" s="27" t="s">
        <v>8</v>
      </c>
      <c r="V131" s="27" t="s">
        <v>7</v>
      </c>
      <c r="W131" s="27" t="s">
        <v>8</v>
      </c>
      <c r="X131" s="27" t="s">
        <v>7</v>
      </c>
      <c r="Y131" s="27" t="s">
        <v>8</v>
      </c>
    </row>
    <row r="132" spans="1:25" x14ac:dyDescent="0.25">
      <c r="A132" s="30">
        <v>0.35049389948139187</v>
      </c>
      <c r="C132" s="1" t="s">
        <v>13</v>
      </c>
      <c r="E132"/>
      <c r="F132" s="27" t="s">
        <v>7</v>
      </c>
      <c r="S132" s="27" t="s">
        <v>8</v>
      </c>
      <c r="T132" s="27" t="s">
        <v>7</v>
      </c>
      <c r="U132" s="27" t="s">
        <v>8</v>
      </c>
      <c r="V132" s="27" t="s">
        <v>7</v>
      </c>
      <c r="X132" s="27" t="s">
        <v>7</v>
      </c>
    </row>
    <row r="133" spans="1:25" x14ac:dyDescent="0.25">
      <c r="A133" s="30">
        <v>0.31863081771035617</v>
      </c>
      <c r="C133" s="1" t="str">
        <f>C122</f>
        <v>O</v>
      </c>
      <c r="E133"/>
      <c r="F133" s="27" t="s">
        <v>7</v>
      </c>
      <c r="S133" s="27" t="s">
        <v>8</v>
      </c>
      <c r="T133" s="27" t="s">
        <v>7</v>
      </c>
    </row>
    <row r="134" spans="1:25" x14ac:dyDescent="0.25">
      <c r="A134" s="30">
        <v>0.28966437973668741</v>
      </c>
      <c r="C134"/>
      <c r="D134"/>
      <c r="E134"/>
      <c r="F134" s="27" t="s">
        <v>7</v>
      </c>
      <c r="S134" s="27" t="s">
        <v>8</v>
      </c>
    </row>
    <row r="135" spans="1:25" x14ac:dyDescent="0.25">
      <c r="A135" s="30">
        <v>0.2633312543060794</v>
      </c>
      <c r="C135" s="1" t="s">
        <v>14</v>
      </c>
      <c r="E135"/>
      <c r="F135" s="27" t="s">
        <v>7</v>
      </c>
      <c r="G135" s="27" t="s">
        <v>8</v>
      </c>
      <c r="O135" s="27" t="s">
        <v>8</v>
      </c>
      <c r="S135" s="27" t="s">
        <v>8</v>
      </c>
    </row>
    <row r="136" spans="1:2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G136" s="27" t="s">
        <v>8</v>
      </c>
      <c r="H136" s="27" t="s">
        <v>7</v>
      </c>
      <c r="O136" s="27" t="s">
        <v>8</v>
      </c>
      <c r="P136" s="27" t="s">
        <v>7</v>
      </c>
      <c r="S136" s="27" t="s">
        <v>8</v>
      </c>
    </row>
    <row r="137" spans="1:25" x14ac:dyDescent="0.25">
      <c r="A137" s="30">
        <v>0.2176291357901482</v>
      </c>
      <c r="E137"/>
      <c r="F137" s="27" t="s">
        <v>7</v>
      </c>
      <c r="G137" s="27" t="s">
        <v>8</v>
      </c>
      <c r="H137" s="27" t="s">
        <v>7</v>
      </c>
      <c r="M137" s="27" t="s">
        <v>8</v>
      </c>
      <c r="O137" s="27" t="s">
        <v>8</v>
      </c>
      <c r="P137" s="27" t="s">
        <v>7</v>
      </c>
      <c r="S137" s="27" t="s">
        <v>8</v>
      </c>
    </row>
    <row r="138" spans="1:2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G138" s="27" t="s">
        <v>8</v>
      </c>
      <c r="H138" s="27" t="s">
        <v>7</v>
      </c>
      <c r="M138" s="27" t="s">
        <v>8</v>
      </c>
      <c r="N138" s="27" t="s">
        <v>7</v>
      </c>
      <c r="O138" s="27" t="s">
        <v>8</v>
      </c>
      <c r="P138" s="27" t="s">
        <v>7</v>
      </c>
      <c r="Q138" s="27" t="s">
        <v>8</v>
      </c>
      <c r="S138" s="27" t="s">
        <v>8</v>
      </c>
    </row>
    <row r="139" spans="1:25" x14ac:dyDescent="0.25">
      <c r="A139" s="30">
        <v>0.17985878990921333</v>
      </c>
      <c r="E139"/>
      <c r="F139" s="27" t="s">
        <v>7</v>
      </c>
      <c r="G139" s="27" t="s">
        <v>8</v>
      </c>
      <c r="H139" s="27" t="s">
        <v>7</v>
      </c>
      <c r="K139" s="27" t="s">
        <v>8</v>
      </c>
      <c r="M139" s="27" t="s">
        <v>8</v>
      </c>
      <c r="N139" s="27" t="s">
        <v>7</v>
      </c>
      <c r="O139" s="27" t="s">
        <v>8</v>
      </c>
      <c r="P139" s="27" t="s">
        <v>7</v>
      </c>
      <c r="Q139" s="27" t="s">
        <v>8</v>
      </c>
      <c r="R139" s="27" t="s">
        <v>7</v>
      </c>
      <c r="S139" s="27" t="s">
        <v>8</v>
      </c>
    </row>
    <row r="140" spans="1:25" x14ac:dyDescent="0.25">
      <c r="A140" s="30">
        <v>0.16350799082655756</v>
      </c>
      <c r="C140" s="1">
        <v>0</v>
      </c>
      <c r="E140"/>
      <c r="F140" s="27" t="s">
        <v>7</v>
      </c>
      <c r="G140" s="27" t="s">
        <v>8</v>
      </c>
      <c r="H140" s="27" t="s">
        <v>7</v>
      </c>
      <c r="K140" s="27" t="s">
        <v>8</v>
      </c>
      <c r="L140" s="27" t="s">
        <v>7</v>
      </c>
      <c r="M140" s="27" t="s">
        <v>8</v>
      </c>
      <c r="N140" s="27" t="s">
        <v>7</v>
      </c>
      <c r="O140" s="27" t="s">
        <v>8</v>
      </c>
      <c r="P140" s="27" t="s">
        <v>7</v>
      </c>
      <c r="Q140" s="27" t="s">
        <v>8</v>
      </c>
      <c r="R140" s="27" t="s">
        <v>7</v>
      </c>
      <c r="S140" s="27" t="s">
        <v>8</v>
      </c>
    </row>
    <row r="141" spans="1:25" x14ac:dyDescent="0.25">
      <c r="A141" s="30">
        <v>0.14864362802414322</v>
      </c>
      <c r="C141" s="1">
        <v>1</v>
      </c>
      <c r="E141"/>
      <c r="F141" s="27" t="s">
        <v>7</v>
      </c>
      <c r="H141" s="27" t="s">
        <v>7</v>
      </c>
      <c r="K141" s="27" t="s">
        <v>8</v>
      </c>
      <c r="L141" s="27" t="s">
        <v>7</v>
      </c>
      <c r="M141" s="27" t="s">
        <v>8</v>
      </c>
      <c r="N141" s="27" t="s">
        <v>7</v>
      </c>
      <c r="P141" s="27" t="s">
        <v>7</v>
      </c>
      <c r="R141" s="27" t="s">
        <v>7</v>
      </c>
    </row>
    <row r="142" spans="1:25" x14ac:dyDescent="0.25">
      <c r="A142" s="30">
        <v>0.13513057093103928</v>
      </c>
      <c r="C142" s="1">
        <v>2</v>
      </c>
      <c r="E142"/>
      <c r="H142" s="27" t="s">
        <v>7</v>
      </c>
      <c r="I142" s="27" t="s">
        <v>8</v>
      </c>
      <c r="K142" s="27" t="s">
        <v>8</v>
      </c>
      <c r="L142" s="27" t="s">
        <v>7</v>
      </c>
      <c r="M142" s="27" t="s">
        <v>8</v>
      </c>
    </row>
    <row r="143" spans="1:25" x14ac:dyDescent="0.25">
      <c r="A143" s="30">
        <v>0.12284597357367205</v>
      </c>
      <c r="C143" s="1">
        <v>3</v>
      </c>
      <c r="E143"/>
      <c r="H143" s="27" t="s">
        <v>7</v>
      </c>
      <c r="I143" s="27" t="s">
        <v>8</v>
      </c>
      <c r="J143" s="27" t="s">
        <v>7</v>
      </c>
      <c r="K143" s="27" t="s">
        <v>8</v>
      </c>
      <c r="L143" s="27" t="s">
        <v>7</v>
      </c>
      <c r="M143" s="27" t="s">
        <v>8</v>
      </c>
    </row>
    <row r="144" spans="1:25" x14ac:dyDescent="0.25">
      <c r="A144" s="30">
        <v>0.11167815779424731</v>
      </c>
      <c r="C144" s="1">
        <v>4</v>
      </c>
      <c r="E144"/>
      <c r="H144" s="27" t="s">
        <v>7</v>
      </c>
      <c r="I144" s="27" t="s">
        <v>8</v>
      </c>
      <c r="J144" s="27" t="s">
        <v>7</v>
      </c>
      <c r="K144" s="27" t="s">
        <v>8</v>
      </c>
      <c r="L144" s="27" t="s">
        <v>7</v>
      </c>
      <c r="M144" s="27" t="s">
        <v>8</v>
      </c>
    </row>
    <row r="145" spans="1:13" x14ac:dyDescent="0.25">
      <c r="A145" s="30">
        <v>0.10152559799477026</v>
      </c>
      <c r="B145"/>
      <c r="C145"/>
      <c r="D145"/>
      <c r="E145"/>
      <c r="H145" s="27" t="s">
        <v>7</v>
      </c>
      <c r="J145" s="27" t="s">
        <v>7</v>
      </c>
      <c r="K145" s="27" t="s">
        <v>8</v>
      </c>
      <c r="L145" s="27" t="s">
        <v>7</v>
      </c>
      <c r="M145" s="27" t="s">
        <v>8</v>
      </c>
    </row>
    <row r="146" spans="1:13" x14ac:dyDescent="0.25">
      <c r="A146" s="30">
        <v>9.2295998177063854E-2</v>
      </c>
      <c r="B146"/>
      <c r="C146"/>
      <c r="D146"/>
      <c r="E146"/>
      <c r="J146" s="27" t="s">
        <v>7</v>
      </c>
      <c r="K146" s="27" t="s">
        <v>8</v>
      </c>
      <c r="L146" s="27" t="s">
        <v>7</v>
      </c>
    </row>
    <row r="147" spans="1:13" x14ac:dyDescent="0.25">
      <c r="A147" s="30">
        <v>8.3905452888239848E-2</v>
      </c>
      <c r="B147"/>
      <c r="C147"/>
      <c r="D147"/>
      <c r="E147"/>
      <c r="J147" s="27" t="s">
        <v>7</v>
      </c>
    </row>
    <row r="148" spans="1:13" x14ac:dyDescent="0.25">
      <c r="A148" s="30">
        <v>7.6277684443854396E-2</v>
      </c>
      <c r="B148"/>
      <c r="C148"/>
      <c r="D148"/>
      <c r="E148"/>
    </row>
    <row r="149" spans="1:13" x14ac:dyDescent="0.25">
      <c r="A149" s="30">
        <v>6.9343349494413078E-2</v>
      </c>
      <c r="B149"/>
      <c r="C149"/>
      <c r="D149"/>
      <c r="E149"/>
    </row>
    <row r="150" spans="1:13" x14ac:dyDescent="0.25">
      <c r="A150" s="30">
        <v>6.3039408631284613E-2</v>
      </c>
      <c r="B150"/>
      <c r="C150"/>
      <c r="D150"/>
      <c r="E150"/>
    </row>
    <row r="151" spans="1:13" x14ac:dyDescent="0.25">
      <c r="A151" s="30">
        <v>5.7308553301167818E-2</v>
      </c>
      <c r="B151"/>
      <c r="C151"/>
      <c r="D151"/>
      <c r="E151"/>
    </row>
    <row r="152" spans="1:13" x14ac:dyDescent="0.25">
      <c r="A152" s="30">
        <v>5.2098684819243464E-2</v>
      </c>
      <c r="B152"/>
      <c r="C152"/>
      <c r="D152"/>
      <c r="E152"/>
    </row>
    <row r="153" spans="1:13" x14ac:dyDescent="0.25">
      <c r="A153" s="30">
        <v>4.7362440744766775E-2</v>
      </c>
      <c r="B153"/>
      <c r="C153"/>
      <c r="D153"/>
      <c r="E153"/>
    </row>
    <row r="154" spans="1:13" x14ac:dyDescent="0.25">
      <c r="A154" s="30">
        <v>4.3056764313424332E-2</v>
      </c>
      <c r="B154"/>
      <c r="C154"/>
      <c r="D154"/>
      <c r="E154"/>
    </row>
    <row r="155" spans="1:13" x14ac:dyDescent="0.25">
      <c r="A155" s="30">
        <v>3.9142513012203929E-2</v>
      </c>
      <c r="B155"/>
      <c r="C155"/>
      <c r="D155"/>
      <c r="E155"/>
    </row>
    <row r="156" spans="1:13" x14ac:dyDescent="0.25">
      <c r="A156" s="30">
        <v>3.55841027383672E-2</v>
      </c>
      <c r="B156"/>
      <c r="C156"/>
      <c r="D156"/>
      <c r="E156"/>
    </row>
    <row r="157" spans="1:13" x14ac:dyDescent="0.25">
      <c r="A157" s="30">
        <v>3.2349184307606541E-2</v>
      </c>
      <c r="B157"/>
      <c r="C157"/>
      <c r="D157"/>
      <c r="E157"/>
    </row>
    <row r="158" spans="1:13" x14ac:dyDescent="0.25">
      <c r="A158" s="30">
        <v>2.9408349370551395E-2</v>
      </c>
      <c r="B158"/>
      <c r="C158"/>
      <c r="D158"/>
      <c r="E158"/>
    </row>
    <row r="159" spans="1:13" x14ac:dyDescent="0.25">
      <c r="A159" s="30">
        <v>2.6734863064137627E-2</v>
      </c>
      <c r="B159"/>
      <c r="C159"/>
      <c r="D159"/>
      <c r="E159"/>
    </row>
    <row r="160" spans="1:13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66" operator="equal">
      <formula>$U$1</formula>
    </cfRule>
    <cfRule type="cellIs" dxfId="30" priority="867" operator="equal">
      <formula>$S$1</formula>
    </cfRule>
  </conditionalFormatting>
  <conditionalFormatting sqref="D136">
    <cfRule type="cellIs" dxfId="29" priority="864" operator="equal">
      <formula>$S$1</formula>
    </cfRule>
    <cfRule type="cellIs" dxfId="28" priority="865" operator="equal">
      <formula>$U$1</formula>
    </cfRule>
  </conditionalFormatting>
  <conditionalFormatting sqref="C102">
    <cfRule type="cellIs" dxfId="27" priority="862" operator="equal">
      <formula>$U$1</formula>
    </cfRule>
    <cfRule type="cellIs" dxfId="26" priority="863" operator="equal">
      <formula>$S$1</formula>
    </cfRule>
  </conditionalFormatting>
  <conditionalFormatting sqref="D102">
    <cfRule type="cellIs" dxfId="25" priority="860" operator="equal">
      <formula>$S$1</formula>
    </cfRule>
    <cfRule type="cellIs" dxfId="24" priority="861" operator="equal">
      <formula>$U$1</formula>
    </cfRule>
  </conditionalFormatting>
  <conditionalFormatting sqref="C77">
    <cfRule type="cellIs" dxfId="23" priority="858" operator="equal">
      <formula>$U$1</formula>
    </cfRule>
    <cfRule type="cellIs" dxfId="22" priority="859" operator="equal">
      <formula>$S$1</formula>
    </cfRule>
  </conditionalFormatting>
  <conditionalFormatting sqref="D77">
    <cfRule type="cellIs" dxfId="21" priority="856" operator="equal">
      <formula>$S$1</formula>
    </cfRule>
    <cfRule type="cellIs" dxfId="20" priority="857" operator="equal">
      <formula>$U$1</formula>
    </cfRule>
  </conditionalFormatting>
  <conditionalFormatting sqref="C52">
    <cfRule type="cellIs" dxfId="19" priority="854" operator="equal">
      <formula>$U$1</formula>
    </cfRule>
    <cfRule type="cellIs" dxfId="18" priority="855" operator="equal">
      <formula>$S$1</formula>
    </cfRule>
  </conditionalFormatting>
  <conditionalFormatting sqref="D52">
    <cfRule type="cellIs" dxfId="17" priority="852" operator="equal">
      <formula>$S$1</formula>
    </cfRule>
    <cfRule type="cellIs" dxfId="16" priority="853" operator="equal">
      <formula>$U$1</formula>
    </cfRule>
  </conditionalFormatting>
  <conditionalFormatting sqref="C26">
    <cfRule type="cellIs" dxfId="15" priority="850" operator="equal">
      <formula>$U$1</formula>
    </cfRule>
    <cfRule type="cellIs" dxfId="14" priority="851" operator="equal">
      <formula>$S$1</formula>
    </cfRule>
  </conditionalFormatting>
  <conditionalFormatting sqref="D26">
    <cfRule type="cellIs" dxfId="13" priority="848" operator="equal">
      <formula>$S$1</formula>
    </cfRule>
    <cfRule type="cellIs" dxfId="12" priority="849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4" t="s">
        <v>17</v>
      </c>
      <c r="C1" s="34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0.82270247479188063</v>
      </c>
      <c r="F3" s="30">
        <v>0.86383759853147501</v>
      </c>
      <c r="G3" s="30">
        <v>1.2762815625000004</v>
      </c>
      <c r="H3" s="25">
        <f>IF(G3="","",(3*(G3-F3))+E3)</f>
        <v>2.0600343666974568</v>
      </c>
      <c r="I3" s="7"/>
      <c r="J3" s="7">
        <f>(E3+G3)/2</f>
        <v>1.0494920186459404</v>
      </c>
      <c r="K3" s="7">
        <f>H3/2</f>
        <v>1.0300171833487284</v>
      </c>
      <c r="M3" s="26">
        <f>IF(OR(J3="",H3=""),"",H3/J3)</f>
        <v>1.9628871207189578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2022-01-28T01:13:53Z</dcterms:modified>
</cp:coreProperties>
</file>