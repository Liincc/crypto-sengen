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BED09C7-05A9-4A2B-A490-42A3108237E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22" i="5"/>
  <c r="C133" i="5" s="1"/>
  <c r="D136" i="5" s="1"/>
  <c r="C116" i="5"/>
  <c r="C116" i="4"/>
  <c r="C118" i="4"/>
  <c r="R765" i="1"/>
  <c r="S765" i="1" s="1"/>
  <c r="T765" i="1" s="1"/>
  <c r="C122" i="3"/>
  <c r="C133" i="3" s="1"/>
  <c r="D136" i="3" s="1"/>
  <c r="C116" i="3"/>
  <c r="C136" i="4" l="1"/>
  <c r="C138" i="4" s="1"/>
  <c r="C136" i="5"/>
  <c r="C138" i="5" s="1"/>
  <c r="R764" i="1"/>
  <c r="C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<sst xmlns="http://schemas.openxmlformats.org/spreadsheetml/2006/main" count="4079" uniqueCount="34">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</sst>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0.48899999999999999</c:v>
                </c:pt>
                <c:pt idx="1">
                  <c:v>0.501</c:v>
                </c:pt>
                <c:pt idx="2">
                  <c:v>0.502</c:v>
                </c:pt>
                <c:pt idx="3">
                  <c:v>0.47699999999999998</c:v>
                </c:pt>
                <c:pt idx="4">
                  <c:v>0.50700000000000001</c:v>
                </c:pt>
                <c:pt idx="5">
                  <c:v>0.496</c:v>
                </c:pt>
                <c:pt idx="6">
                  <c:v>0.56100000000000005</c:v>
                </c:pt>
                <c:pt idx="7">
                  <c:v>0.68200000000000005</c:v>
                </c:pt>
                <c:pt idx="8">
                  <c:v>0.70099999999999996</c:v>
                </c:pt>
                <c:pt idx="9">
                  <c:v>0.73899999999999999</c:v>
                </c:pt>
                <c:pt idx="10">
                  <c:v>0.76800000000000002</c:v>
                </c:pt>
                <c:pt idx="11">
                  <c:v>0.80700000000000005</c:v>
                </c:pt>
                <c:pt idx="12">
                  <c:v>0.81</c:v>
                </c:pt>
                <c:pt idx="13">
                  <c:v>0.80200000000000005</c:v>
                </c:pt>
                <c:pt idx="14">
                  <c:v>0.77</c:v>
                </c:pt>
                <c:pt idx="15">
                  <c:v>0.83299999999999996</c:v>
                </c:pt>
                <c:pt idx="16">
                  <c:v>0.747</c:v>
                </c:pt>
                <c:pt idx="17">
                  <c:v>0.70399999999999996</c:v>
                </c:pt>
                <c:pt idx="18">
                  <c:v>0.749</c:v>
                </c:pt>
                <c:pt idx="19">
                  <c:v>0.74199999999999999</c:v>
                </c:pt>
                <c:pt idx="20">
                  <c:v>0.80200000000000005</c:v>
                </c:pt>
                <c:pt idx="21">
                  <c:v>0.82199999999999995</c:v>
                </c:pt>
                <c:pt idx="22">
                  <c:v>0.82899999999999996</c:v>
                </c:pt>
                <c:pt idx="23">
                  <c:v>0.873</c:v>
                </c:pt>
                <c:pt idx="24">
                  <c:v>0.90400000000000003</c:v>
                </c:pt>
                <c:pt idx="25">
                  <c:v>0.92300000000000004</c:v>
                </c:pt>
                <c:pt idx="26">
                  <c:v>0.875</c:v>
                </c:pt>
                <c:pt idx="27">
                  <c:v>0.84299999999999997</c:v>
                </c:pt>
                <c:pt idx="28">
                  <c:v>0.86299999999999999</c:v>
                </c:pt>
                <c:pt idx="29">
                  <c:v>0.86199999999999999</c:v>
                </c:pt>
                <c:pt idx="30">
                  <c:v>0.91100000000000003</c:v>
                </c:pt>
                <c:pt idx="31">
                  <c:v>1.0169999999999999</c:v>
                </c:pt>
                <c:pt idx="32">
                  <c:v>1.002</c:v>
                </c:pt>
                <c:pt idx="33">
                  <c:v>0.94099999999999995</c:v>
                </c:pt>
                <c:pt idx="34">
                  <c:v>0.90900000000000003</c:v>
                </c:pt>
                <c:pt idx="35">
                  <c:v>0.95499999999999996</c:v>
                </c:pt>
                <c:pt idx="36">
                  <c:v>0.89800000000000002</c:v>
                </c:pt>
                <c:pt idx="37">
                  <c:v>0.86499999999999999</c:v>
                </c:pt>
                <c:pt idx="38">
                  <c:v>0.81100000000000005</c:v>
                </c:pt>
                <c:pt idx="39">
                  <c:v>0.82599999999999996</c:v>
                </c:pt>
                <c:pt idx="40">
                  <c:v>0.85</c:v>
                </c:pt>
                <c:pt idx="41">
                  <c:v>0.81799999999999995</c:v>
                </c:pt>
                <c:pt idx="42">
                  <c:v>0.84199999999999997</c:v>
                </c:pt>
                <c:pt idx="43">
                  <c:v>0.84599999999999997</c:v>
                </c:pt>
                <c:pt idx="44">
                  <c:v>0.83599999999999997</c:v>
                </c:pt>
                <c:pt idx="45">
                  <c:v>0.81299999999999994</c:v>
                </c:pt>
                <c:pt idx="46">
                  <c:v>0.92100000000000004</c:v>
                </c:pt>
                <c:pt idx="47">
                  <c:v>0.86599999999999999</c:v>
                </c:pt>
                <c:pt idx="48">
                  <c:v>0.85099999999999998</c:v>
                </c:pt>
                <c:pt idx="49">
                  <c:v>0.89300000000000002</c:v>
                </c:pt>
                <c:pt idx="50">
                  <c:v>0.97299999999999998</c:v>
                </c:pt>
                <c:pt idx="51">
                  <c:v>0.95799999999999996</c:v>
                </c:pt>
                <c:pt idx="52">
                  <c:v>0.97399999999999998</c:v>
                </c:pt>
                <c:pt idx="53">
                  <c:v>0.92800000000000005</c:v>
                </c:pt>
                <c:pt idx="54">
                  <c:v>1.0249999999999999</c:v>
                </c:pt>
                <c:pt idx="55">
                  <c:v>1.2989999999999999</c:v>
                </c:pt>
                <c:pt idx="56">
                  <c:v>1.41</c:v>
                </c:pt>
                <c:pt idx="57">
                  <c:v>1.389</c:v>
                </c:pt>
                <c:pt idx="58">
                  <c:v>1.452</c:v>
                </c:pt>
                <c:pt idx="59">
                  <c:v>1.4590000000000001</c:v>
                </c:pt>
                <c:pt idx="60">
                  <c:v>1.4019999999999999</c:v>
                </c:pt>
                <c:pt idx="61">
                  <c:v>1.343</c:v>
                </c:pt>
                <c:pt idx="62">
                  <c:v>1.2709999999999999</c:v>
                </c:pt>
                <c:pt idx="63">
                  <c:v>1.3979999999999999</c:v>
                </c:pt>
                <c:pt idx="64">
                  <c:v>1.3819999999999999</c:v>
                </c:pt>
                <c:pt idx="65">
                  <c:v>1.4159999999999999</c:v>
                </c:pt>
                <c:pt idx="66">
                  <c:v>1.3520000000000001</c:v>
                </c:pt>
                <c:pt idx="67">
                  <c:v>1.413</c:v>
                </c:pt>
                <c:pt idx="68">
                  <c:v>1.4490000000000001</c:v>
                </c:pt>
                <c:pt idx="69">
                  <c:v>1.3680000000000001</c:v>
                </c:pt>
                <c:pt idx="70">
                  <c:v>1.2869999999999999</c:v>
                </c:pt>
                <c:pt idx="71">
                  <c:v>1.4279999999999999</c:v>
                </c:pt>
                <c:pt idx="72">
                  <c:v>1.4279999999999999</c:v>
                </c:pt>
                <c:pt idx="73">
                  <c:v>1.647</c:v>
                </c:pt>
                <c:pt idx="74">
                  <c:v>1.657</c:v>
                </c:pt>
                <c:pt idx="75">
                  <c:v>1.696</c:v>
                </c:pt>
                <c:pt idx="76">
                  <c:v>1.7130000000000001</c:v>
                </c:pt>
                <c:pt idx="77">
                  <c:v>1.742</c:v>
                </c:pt>
                <c:pt idx="78">
                  <c:v>1.5960000000000001</c:v>
                </c:pt>
                <c:pt idx="79">
                  <c:v>1.74</c:v>
                </c:pt>
                <c:pt idx="80">
                  <c:v>1.8220000000000001</c:v>
                </c:pt>
                <c:pt idx="81">
                  <c:v>1.8460000000000001</c:v>
                </c:pt>
                <c:pt idx="82">
                  <c:v>1.661</c:v>
                </c:pt>
                <c:pt idx="83">
                  <c:v>1.6819999999999999</c:v>
                </c:pt>
                <c:pt idx="84">
                  <c:v>1.7210000000000001</c:v>
                </c:pt>
                <c:pt idx="85">
                  <c:v>1.83</c:v>
                </c:pt>
                <c:pt idx="86">
                  <c:v>1.8160000000000001</c:v>
                </c:pt>
                <c:pt idx="87">
                  <c:v>1.7390000000000001</c:v>
                </c:pt>
                <c:pt idx="88">
                  <c:v>1.728</c:v>
                </c:pt>
                <c:pt idx="89">
                  <c:v>1.722</c:v>
                </c:pt>
                <c:pt idx="90">
                  <c:v>1.528</c:v>
                </c:pt>
                <c:pt idx="91">
                  <c:v>1.413</c:v>
                </c:pt>
                <c:pt idx="92">
                  <c:v>1.373</c:v>
                </c:pt>
                <c:pt idx="93">
                  <c:v>1.58</c:v>
                </c:pt>
                <c:pt idx="94">
                  <c:v>1.595</c:v>
                </c:pt>
                <c:pt idx="95">
                  <c:v>1.504</c:v>
                </c:pt>
                <c:pt idx="96">
                  <c:v>1.585</c:v>
                </c:pt>
                <c:pt idx="97">
                  <c:v>1.585</c:v>
                </c:pt>
                <c:pt idx="98">
                  <c:v>1.504</c:v>
                </c:pt>
                <c:pt idx="99">
                  <c:v>1.5549999999999999</c:v>
                </c:pt>
                <c:pt idx="100">
                  <c:v>1.538</c:v>
                </c:pt>
                <c:pt idx="101">
                  <c:v>1.6240000000000001</c:v>
                </c:pt>
                <c:pt idx="102">
                  <c:v>1.5349999999999999</c:v>
                </c:pt>
                <c:pt idx="103">
                  <c:v>1.601</c:v>
                </c:pt>
                <c:pt idx="104">
                  <c:v>1.732</c:v>
                </c:pt>
                <c:pt idx="105">
                  <c:v>1.454</c:v>
                </c:pt>
                <c:pt idx="106">
                  <c:v>1.403</c:v>
                </c:pt>
                <c:pt idx="107">
                  <c:v>1.2909999999999999</c:v>
                </c:pt>
                <c:pt idx="108">
                  <c:v>1.288</c:v>
                </c:pt>
                <c:pt idx="109">
                  <c:v>1.3240000000000001</c:v>
                </c:pt>
                <c:pt idx="110">
                  <c:v>1.421</c:v>
                </c:pt>
                <c:pt idx="111">
                  <c:v>1.427</c:v>
                </c:pt>
                <c:pt idx="112">
                  <c:v>1.4279999999999999</c:v>
                </c:pt>
                <c:pt idx="113">
                  <c:v>1.36</c:v>
                </c:pt>
                <c:pt idx="114">
                  <c:v>1.403</c:v>
                </c:pt>
                <c:pt idx="115">
                  <c:v>1.3460000000000001</c:v>
                </c:pt>
                <c:pt idx="116">
                  <c:v>1.3520000000000001</c:v>
                </c:pt>
                <c:pt idx="117">
                  <c:v>1.367</c:v>
                </c:pt>
                <c:pt idx="118">
                  <c:v>1.306</c:v>
                </c:pt>
                <c:pt idx="119">
                  <c:v>1.1839999999999999</c:v>
                </c:pt>
                <c:pt idx="120">
                  <c:v>1.145</c:v>
                </c:pt>
                <c:pt idx="121">
                  <c:v>1.119</c:v>
                </c:pt>
                <c:pt idx="122">
                  <c:v>1.163</c:v>
                </c:pt>
                <c:pt idx="123">
                  <c:v>1.194</c:v>
                </c:pt>
                <c:pt idx="124">
                  <c:v>1.2150000000000001</c:v>
                </c:pt>
                <c:pt idx="125">
                  <c:v>1.347</c:v>
                </c:pt>
                <c:pt idx="126">
                  <c:v>1.2350000000000001</c:v>
                </c:pt>
                <c:pt idx="127">
                  <c:v>1.26</c:v>
                </c:pt>
                <c:pt idx="128">
                  <c:v>1.135</c:v>
                </c:pt>
                <c:pt idx="129">
                  <c:v>1.3540000000000001</c:v>
                </c:pt>
                <c:pt idx="130">
                  <c:v>1.5780000000000001</c:v>
                </c:pt>
                <c:pt idx="131">
                  <c:v>1.5009999999999999</c:v>
                </c:pt>
                <c:pt idx="132">
                  <c:v>1.4590000000000001</c:v>
                </c:pt>
                <c:pt idx="133">
                  <c:v>1.518</c:v>
                </c:pt>
                <c:pt idx="134">
                  <c:v>1.536</c:v>
                </c:pt>
                <c:pt idx="135">
                  <c:v>1.4670000000000001</c:v>
                </c:pt>
                <c:pt idx="136">
                  <c:v>1.391</c:v>
                </c:pt>
                <c:pt idx="137">
                  <c:v>1.516</c:v>
                </c:pt>
                <c:pt idx="138">
                  <c:v>1.4590000000000001</c:v>
                </c:pt>
                <c:pt idx="139">
                  <c:v>1.4670000000000001</c:v>
                </c:pt>
                <c:pt idx="140">
                  <c:v>1.5529999999999999</c:v>
                </c:pt>
                <c:pt idx="141">
                  <c:v>1.4950000000000001</c:v>
                </c:pt>
                <c:pt idx="142">
                  <c:v>1.4850000000000001</c:v>
                </c:pt>
                <c:pt idx="143">
                  <c:v>2.09</c:v>
                </c:pt>
                <c:pt idx="144">
                  <c:v>2.1339999999999999</c:v>
                </c:pt>
                <c:pt idx="145">
                  <c:v>2.0379999999999998</c:v>
                </c:pt>
                <c:pt idx="146">
                  <c:v>2.016</c:v>
                </c:pt>
                <c:pt idx="147">
                  <c:v>1.9179999999999999</c:v>
                </c:pt>
                <c:pt idx="148">
                  <c:v>2.0070000000000001</c:v>
                </c:pt>
                <c:pt idx="149">
                  <c:v>2.0099999999999998</c:v>
                </c:pt>
                <c:pt idx="150">
                  <c:v>1.7749999999999999</c:v>
                </c:pt>
                <c:pt idx="151">
                  <c:v>1.855</c:v>
                </c:pt>
                <c:pt idx="152">
                  <c:v>1.91</c:v>
                </c:pt>
                <c:pt idx="153">
                  <c:v>1.962</c:v>
                </c:pt>
                <c:pt idx="154">
                  <c:v>1.84</c:v>
                </c:pt>
                <c:pt idx="155">
                  <c:v>2.0659999999999998</c:v>
                </c:pt>
                <c:pt idx="156">
                  <c:v>1.9770000000000001</c:v>
                </c:pt>
                <c:pt idx="157">
                  <c:v>2.2400000000000002</c:v>
                </c:pt>
                <c:pt idx="158">
                  <c:v>2.0979999999999999</c:v>
                </c:pt>
                <c:pt idx="159">
                  <c:v>2.0710000000000002</c:v>
                </c:pt>
                <c:pt idx="160">
                  <c:v>2.0880000000000001</c:v>
                </c:pt>
                <c:pt idx="161">
                  <c:v>2.0870000000000002</c:v>
                </c:pt>
                <c:pt idx="162">
                  <c:v>1.976</c:v>
                </c:pt>
                <c:pt idx="163">
                  <c:v>1.8480000000000001</c:v>
                </c:pt>
                <c:pt idx="164">
                  <c:v>2.012</c:v>
                </c:pt>
                <c:pt idx="165">
                  <c:v>1.706</c:v>
                </c:pt>
                <c:pt idx="166">
                  <c:v>1.653</c:v>
                </c:pt>
                <c:pt idx="167">
                  <c:v>1.7210000000000001</c:v>
                </c:pt>
                <c:pt idx="168">
                  <c:v>1.5609999999999999</c:v>
                </c:pt>
                <c:pt idx="169">
                  <c:v>1.548</c:v>
                </c:pt>
                <c:pt idx="170">
                  <c:v>1.524</c:v>
                </c:pt>
                <c:pt idx="171">
                  <c:v>1.468</c:v>
                </c:pt>
                <c:pt idx="172">
                  <c:v>1.42</c:v>
                </c:pt>
                <c:pt idx="173">
                  <c:v>1.601</c:v>
                </c:pt>
                <c:pt idx="174">
                  <c:v>1.4370000000000001</c:v>
                </c:pt>
                <c:pt idx="175">
                  <c:v>1.458</c:v>
                </c:pt>
                <c:pt idx="176">
                  <c:v>1.3140000000000001</c:v>
                </c:pt>
                <c:pt idx="177">
                  <c:v>1.278</c:v>
                </c:pt>
                <c:pt idx="178">
                  <c:v>1.31</c:v>
                </c:pt>
                <c:pt idx="179">
                  <c:v>1.177</c:v>
                </c:pt>
                <c:pt idx="180">
                  <c:v>1.226</c:v>
                </c:pt>
                <c:pt idx="181">
                  <c:v>1.1970000000000001</c:v>
                </c:pt>
                <c:pt idx="182">
                  <c:v>1.1299999999999999</c:v>
                </c:pt>
                <c:pt idx="183">
                  <c:v>1.0289999999999999</c:v>
                </c:pt>
                <c:pt idx="184">
                  <c:v>1.0349999999999999</c:v>
                </c:pt>
                <c:pt idx="185">
                  <c:v>1.0109999999999999</c:v>
                </c:pt>
                <c:pt idx="186">
                  <c:v>1.034</c:v>
                </c:pt>
                <c:pt idx="187">
                  <c:v>0.97499999999999998</c:v>
                </c:pt>
                <c:pt idx="188">
                  <c:v>0.90500000000000003</c:v>
                </c:pt>
                <c:pt idx="189">
                  <c:v>0.89500000000000002</c:v>
                </c:pt>
                <c:pt idx="190">
                  <c:v>0.86199999999999999</c:v>
                </c:pt>
                <c:pt idx="191">
                  <c:v>0.78300000000000003</c:v>
                </c:pt>
                <c:pt idx="192">
                  <c:v>0.83199999999999996</c:v>
                </c:pt>
                <c:pt idx="193">
                  <c:v>0.91600000000000004</c:v>
                </c:pt>
                <c:pt idx="194">
                  <c:v>0.92900000000000005</c:v>
                </c:pt>
                <c:pt idx="195">
                  <c:v>0.96399999999999997</c:v>
                </c:pt>
                <c:pt idx="196">
                  <c:v>1.145</c:v>
                </c:pt>
                <c:pt idx="197">
                  <c:v>1.222</c:v>
                </c:pt>
                <c:pt idx="198">
                  <c:v>1.3080000000000001</c:v>
                </c:pt>
                <c:pt idx="199">
                  <c:v>1.1859999999999999</c:v>
                </c:pt>
                <c:pt idx="200">
                  <c:v>1.2110000000000001</c:v>
                </c:pt>
                <c:pt idx="201">
                  <c:v>1.0649999999999999</c:v>
                </c:pt>
                <c:pt idx="202">
                  <c:v>1.0349999999999999</c:v>
                </c:pt>
                <c:pt idx="203">
                  <c:v>0.96</c:v>
                </c:pt>
                <c:pt idx="204">
                  <c:v>1.0529999999999999</c:v>
                </c:pt>
                <c:pt idx="205">
                  <c:v>1.1759999999999999</c:v>
                </c:pt>
                <c:pt idx="206">
                  <c:v>0.86299999999999999</c:v>
                </c:pt>
                <c:pt idx="207">
                  <c:v>0.93100000000000005</c:v>
                </c:pt>
                <c:pt idx="208">
                  <c:v>0.86799999999999999</c:v>
                </c:pt>
                <c:pt idx="209">
                  <c:v>0.82499999999999996</c:v>
                </c:pt>
                <c:pt idx="210">
                  <c:v>0.84699999999999998</c:v>
                </c:pt>
                <c:pt idx="211">
                  <c:v>0.93700000000000006</c:v>
                </c:pt>
                <c:pt idx="212">
                  <c:v>0.97899999999999998</c:v>
                </c:pt>
                <c:pt idx="213">
                  <c:v>0.89100000000000001</c:v>
                </c:pt>
                <c:pt idx="214">
                  <c:v>0.876</c:v>
                </c:pt>
                <c:pt idx="215">
                  <c:v>0.81200000000000006</c:v>
                </c:pt>
                <c:pt idx="216">
                  <c:v>0.81899999999999995</c:v>
                </c:pt>
                <c:pt idx="217">
                  <c:v>0.94499999999999995</c:v>
                </c:pt>
                <c:pt idx="218">
                  <c:v>0.95799999999999996</c:v>
                </c:pt>
                <c:pt idx="219">
                  <c:v>0.88800000000000001</c:v>
                </c:pt>
                <c:pt idx="220">
                  <c:v>0.93899999999999995</c:v>
                </c:pt>
                <c:pt idx="221">
                  <c:v>1.2729999999999999</c:v>
                </c:pt>
                <c:pt idx="222">
                  <c:v>1.2809999999999999</c:v>
                </c:pt>
                <c:pt idx="223">
                  <c:v>1.2849999999999999</c:v>
                </c:pt>
                <c:pt idx="224">
                  <c:v>1.2649999999999999</c:v>
                </c:pt>
                <c:pt idx="225">
                  <c:v>1.3</c:v>
                </c:pt>
                <c:pt idx="226">
                  <c:v>1.399</c:v>
                </c:pt>
                <c:pt idx="227">
                  <c:v>1.395</c:v>
                </c:pt>
                <c:pt idx="228">
                  <c:v>1.333</c:v>
                </c:pt>
                <c:pt idx="229">
                  <c:v>1.25</c:v>
                </c:pt>
                <c:pt idx="230">
                  <c:v>1.28</c:v>
                </c:pt>
                <c:pt idx="231">
                  <c:v>1.3420000000000001</c:v>
                </c:pt>
                <c:pt idx="232">
                  <c:v>1.48</c:v>
                </c:pt>
                <c:pt idx="233">
                  <c:v>1.419</c:v>
                </c:pt>
                <c:pt idx="234">
                  <c:v>1.526</c:v>
                </c:pt>
                <c:pt idx="235">
                  <c:v>1.6859999999999999</c:v>
                </c:pt>
                <c:pt idx="236">
                  <c:v>1.5609999999999999</c:v>
                </c:pt>
                <c:pt idx="237">
                  <c:v>1.6279999999999999</c:v>
                </c:pt>
                <c:pt idx="238">
                  <c:v>1.9650000000000001</c:v>
                </c:pt>
                <c:pt idx="239">
                  <c:v>1.6919999999999999</c:v>
                </c:pt>
                <c:pt idx="240">
                  <c:v>1.7210000000000001</c:v>
                </c:pt>
                <c:pt idx="241">
                  <c:v>1.625</c:v>
                </c:pt>
                <c:pt idx="242">
                  <c:v>1.5940000000000001</c:v>
                </c:pt>
                <c:pt idx="243">
                  <c:v>1.369</c:v>
                </c:pt>
                <c:pt idx="244">
                  <c:v>1.4530000000000001</c:v>
                </c:pt>
                <c:pt idx="245">
                  <c:v>1.4059999999999999</c:v>
                </c:pt>
                <c:pt idx="246">
                  <c:v>1.484</c:v>
                </c:pt>
                <c:pt idx="247">
                  <c:v>1.2969999999999999</c:v>
                </c:pt>
                <c:pt idx="248">
                  <c:v>1.3009999999999999</c:v>
                </c:pt>
                <c:pt idx="249">
                  <c:v>1.07</c:v>
                </c:pt>
                <c:pt idx="250">
                  <c:v>1.367</c:v>
                </c:pt>
                <c:pt idx="251">
                  <c:v>1.298</c:v>
                </c:pt>
                <c:pt idx="252">
                  <c:v>1.629</c:v>
                </c:pt>
                <c:pt idx="253">
                  <c:v>1.4379999999999999</c:v>
                </c:pt>
                <c:pt idx="254">
                  <c:v>2.6480000000000001</c:v>
                </c:pt>
                <c:pt idx="255">
                  <c:v>2.5339999999999998</c:v>
                </c:pt>
                <c:pt idx="256">
                  <c:v>2.7250000000000001</c:v>
                </c:pt>
                <c:pt idx="257">
                  <c:v>2.7879999999999998</c:v>
                </c:pt>
                <c:pt idx="258">
                  <c:v>3</c:v>
                </c:pt>
                <c:pt idx="259">
                  <c:v>2.9380000000000002</c:v>
                </c:pt>
                <c:pt idx="260">
                  <c:v>2.8879999999999999</c:v>
                </c:pt>
                <c:pt idx="261">
                  <c:v>3.3780000000000001</c:v>
                </c:pt>
                <c:pt idx="262">
                  <c:v>3.1520000000000001</c:v>
                </c:pt>
                <c:pt idx="263">
                  <c:v>3.5550000000000002</c:v>
                </c:pt>
                <c:pt idx="264">
                  <c:v>3.7210000000000001</c:v>
                </c:pt>
                <c:pt idx="265">
                  <c:v>3.6880000000000002</c:v>
                </c:pt>
                <c:pt idx="266">
                  <c:v>3.7480000000000002</c:v>
                </c:pt>
                <c:pt idx="267">
                  <c:v>3.8239999999999998</c:v>
                </c:pt>
                <c:pt idx="268">
                  <c:v>3.5339999999999998</c:v>
                </c:pt>
                <c:pt idx="269">
                  <c:v>4.0359999999999996</c:v>
                </c:pt>
                <c:pt idx="270">
                  <c:v>4.17</c:v>
                </c:pt>
                <c:pt idx="271">
                  <c:v>3.8290000000000002</c:v>
                </c:pt>
                <c:pt idx="272">
                  <c:v>3.992</c:v>
                </c:pt>
                <c:pt idx="273">
                  <c:v>3.83</c:v>
                </c:pt>
                <c:pt idx="274">
                  <c:v>3.4209999999999998</c:v>
                </c:pt>
                <c:pt idx="275">
                  <c:v>3.58</c:v>
                </c:pt>
                <c:pt idx="276">
                  <c:v>3.2639999999999998</c:v>
                </c:pt>
                <c:pt idx="277">
                  <c:v>2.7130000000000001</c:v>
                </c:pt>
                <c:pt idx="278">
                  <c:v>2.6560000000000001</c:v>
                </c:pt>
                <c:pt idx="279">
                  <c:v>2.944</c:v>
                </c:pt>
                <c:pt idx="280">
                  <c:v>3.3149999999999999</c:v>
                </c:pt>
                <c:pt idx="281">
                  <c:v>3.5</c:v>
                </c:pt>
                <c:pt idx="282">
                  <c:v>3.76</c:v>
                </c:pt>
                <c:pt idx="283">
                  <c:v>3.492</c:v>
                </c:pt>
                <c:pt idx="284">
                  <c:v>3.7869999999999999</c:v>
                </c:pt>
                <c:pt idx="285">
                  <c:v>4.5620000000000003</c:v>
                </c:pt>
                <c:pt idx="286">
                  <c:v>4.6920000000000002</c:v>
                </c:pt>
                <c:pt idx="287">
                  <c:v>5.1280000000000001</c:v>
                </c:pt>
                <c:pt idx="288">
                  <c:v>5.4029999999999996</c:v>
                </c:pt>
                <c:pt idx="289">
                  <c:v>4.9459999999999997</c:v>
                </c:pt>
                <c:pt idx="290">
                  <c:v>4.6840000000000002</c:v>
                </c:pt>
                <c:pt idx="291">
                  <c:v>4.7859999999999996</c:v>
                </c:pt>
                <c:pt idx="292">
                  <c:v>4.0449999999999999</c:v>
                </c:pt>
                <c:pt idx="293">
                  <c:v>4.0350000000000001</c:v>
                </c:pt>
                <c:pt idx="294">
                  <c:v>3.8109999999999999</c:v>
                </c:pt>
                <c:pt idx="295">
                  <c:v>3.4620000000000002</c:v>
                </c:pt>
                <c:pt idx="296">
                  <c:v>3.8620000000000001</c:v>
                </c:pt>
                <c:pt idx="297">
                  <c:v>3.9580000000000002</c:v>
                </c:pt>
                <c:pt idx="298">
                  <c:v>3.93</c:v>
                </c:pt>
                <c:pt idx="299">
                  <c:v>3.6280000000000001</c:v>
                </c:pt>
                <c:pt idx="300">
                  <c:v>3.9769999999999999</c:v>
                </c:pt>
                <c:pt idx="301">
                  <c:v>4.0359999999999996</c:v>
                </c:pt>
                <c:pt idx="302">
                  <c:v>4.048</c:v>
                </c:pt>
                <c:pt idx="303">
                  <c:v>4.1619999999999999</c:v>
                </c:pt>
                <c:pt idx="304">
                  <c:v>4.3470000000000004</c:v>
                </c:pt>
                <c:pt idx="305">
                  <c:v>4.05</c:v>
                </c:pt>
                <c:pt idx="306">
                  <c:v>3.9550000000000001</c:v>
                </c:pt>
                <c:pt idx="307">
                  <c:v>3.419</c:v>
                </c:pt>
                <c:pt idx="308">
                  <c:v>3.18</c:v>
                </c:pt>
                <c:pt idx="309">
                  <c:v>3.2109999999999999</c:v>
                </c:pt>
                <c:pt idx="310">
                  <c:v>3.427</c:v>
                </c:pt>
                <c:pt idx="311">
                  <c:v>3.5640000000000001</c:v>
                </c:pt>
                <c:pt idx="312">
                  <c:v>3.9129999999999998</c:v>
                </c:pt>
                <c:pt idx="313">
                  <c:v>4.07</c:v>
                </c:pt>
                <c:pt idx="314">
                  <c:v>4.0640000000000001</c:v>
                </c:pt>
                <c:pt idx="315">
                  <c:v>4.0919999999999996</c:v>
                </c:pt>
                <c:pt idx="316">
                  <c:v>4.2030000000000003</c:v>
                </c:pt>
                <c:pt idx="317">
                  <c:v>4.306</c:v>
                </c:pt>
                <c:pt idx="318">
                  <c:v>4.1420000000000003</c:v>
                </c:pt>
                <c:pt idx="319">
                  <c:v>4.0940000000000003</c:v>
                </c:pt>
                <c:pt idx="320">
                  <c:v>3.93</c:v>
                </c:pt>
                <c:pt idx="321">
                  <c:v>3.4390000000000001</c:v>
                </c:pt>
                <c:pt idx="322">
                  <c:v>3.6920000000000002</c:v>
                </c:pt>
                <c:pt idx="323">
                  <c:v>3.6560000000000001</c:v>
                </c:pt>
                <c:pt idx="324">
                  <c:v>4.093</c:v>
                </c:pt>
                <c:pt idx="325">
                  <c:v>4.0039999999999996</c:v>
                </c:pt>
                <c:pt idx="326">
                  <c:v>4.2149999999999999</c:v>
                </c:pt>
                <c:pt idx="327">
                  <c:v>3.9660000000000002</c:v>
                </c:pt>
                <c:pt idx="328">
                  <c:v>3.9060000000000001</c:v>
                </c:pt>
                <c:pt idx="329">
                  <c:v>4.1399999999999997</c:v>
                </c:pt>
                <c:pt idx="330">
                  <c:v>4.4000000000000004</c:v>
                </c:pt>
                <c:pt idx="331">
                  <c:v>4.0810000000000004</c:v>
                </c:pt>
                <c:pt idx="332">
                  <c:v>4.3079999999999998</c:v>
                </c:pt>
                <c:pt idx="333">
                  <c:v>3.62</c:v>
                </c:pt>
                <c:pt idx="334">
                  <c:v>4.1840000000000002</c:v>
                </c:pt>
                <c:pt idx="335">
                  <c:v>3.9820000000000002</c:v>
                </c:pt>
                <c:pt idx="336">
                  <c:v>4.2649999999999997</c:v>
                </c:pt>
                <c:pt idx="337">
                  <c:v>4.8680000000000003</c:v>
                </c:pt>
                <c:pt idx="338">
                  <c:v>4.8380000000000001</c:v>
                </c:pt>
                <c:pt idx="339">
                  <c:v>5.68</c:v>
                </c:pt>
                <c:pt idx="340">
                  <c:v>6.8440000000000003</c:v>
                </c:pt>
                <c:pt idx="341">
                  <c:v>6.5030000000000001</c:v>
                </c:pt>
                <c:pt idx="342">
                  <c:v>6.2249999999999996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F-4580-BB08-D517774535F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-2.227304614064304</c:v>
                </c:pt>
                <c:pt idx="1">
                  <c:v>-2.219741283064304</c:v>
                </c:pt>
                <c:pt idx="2">
                  <c:v>-2.1838009689214468</c:v>
                </c:pt>
                <c:pt idx="3">
                  <c:v>-2.2108629665629564</c:v>
                </c:pt>
                <c:pt idx="4">
                  <c:v>-2.2317860872656587</c:v>
                </c:pt>
                <c:pt idx="5">
                  <c:v>-2.2260537359449044</c:v>
                </c:pt>
                <c:pt idx="6">
                  <c:v>-2.1769856499727731</c:v>
                </c:pt>
                <c:pt idx="7">
                  <c:v>-2.0507518642977396</c:v>
                </c:pt>
                <c:pt idx="8">
                  <c:v>-1.9968398539463883</c:v>
                </c:pt>
                <c:pt idx="9">
                  <c:v>-1.9472506669463885</c:v>
                </c:pt>
                <c:pt idx="10">
                  <c:v>-1.9301438512463884</c:v>
                </c:pt>
                <c:pt idx="11">
                  <c:v>-1.9145492622771578</c:v>
                </c:pt>
                <c:pt idx="12">
                  <c:v>-1.9145492622771578</c:v>
                </c:pt>
                <c:pt idx="13">
                  <c:v>-1.9191382904478897</c:v>
                </c:pt>
                <c:pt idx="14">
                  <c:v>-1.967449438028535</c:v>
                </c:pt>
                <c:pt idx="15">
                  <c:v>-1.900575491514249</c:v>
                </c:pt>
                <c:pt idx="16">
                  <c:v>-1.9902323129942492</c:v>
                </c:pt>
                <c:pt idx="17">
                  <c:v>-2.0278784689345475</c:v>
                </c:pt>
                <c:pt idx="18">
                  <c:v>-2.0076494736579518</c:v>
                </c:pt>
                <c:pt idx="19">
                  <c:v>-1.9947536370579517</c:v>
                </c:pt>
                <c:pt idx="20">
                  <c:v>-1.9276868234308577</c:v>
                </c:pt>
                <c:pt idx="21">
                  <c:v>-1.799001602749539</c:v>
                </c:pt>
                <c:pt idx="22">
                  <c:v>-1.8642068341781104</c:v>
                </c:pt>
                <c:pt idx="23">
                  <c:v>-1.6932185219440676</c:v>
                </c:pt>
                <c:pt idx="24">
                  <c:v>-1.5837351971053579</c:v>
                </c:pt>
                <c:pt idx="25">
                  <c:v>-1.5580278948023278</c:v>
                </c:pt>
                <c:pt idx="26">
                  <c:v>-1.5960315553477824</c:v>
                </c:pt>
                <c:pt idx="27">
                  <c:v>-1.6280597651763538</c:v>
                </c:pt>
                <c:pt idx="28">
                  <c:v>-1.5877893553502667</c:v>
                </c:pt>
                <c:pt idx="29">
                  <c:v>-1.6155169726229941</c:v>
                </c:pt>
                <c:pt idx="30">
                  <c:v>-1.5478446144411757</c:v>
                </c:pt>
                <c:pt idx="31">
                  <c:v>-1.3694338416599259</c:v>
                </c:pt>
                <c:pt idx="32">
                  <c:v>-1.3189317526065922</c:v>
                </c:pt>
                <c:pt idx="33">
                  <c:v>-1.3885176877743775</c:v>
                </c:pt>
                <c:pt idx="34">
                  <c:v>-1.4210773418356017</c:v>
                </c:pt>
                <c:pt idx="35">
                  <c:v>-1.3739868573810565</c:v>
                </c:pt>
                <c:pt idx="36">
                  <c:v>-1.4803385668956195</c:v>
                </c:pt>
                <c:pt idx="37">
                  <c:v>-1.5005939766897372</c:v>
                </c:pt>
                <c:pt idx="38">
                  <c:v>-1.5512079572058664</c:v>
                </c:pt>
                <c:pt idx="39">
                  <c:v>-1.569166349777295</c:v>
                </c:pt>
                <c:pt idx="40">
                  <c:v>-1.5391737491847022</c:v>
                </c:pt>
                <c:pt idx="41">
                  <c:v>-1.5497475652973782</c:v>
                </c:pt>
                <c:pt idx="42">
                  <c:v>-1.521926919123465</c:v>
                </c:pt>
                <c:pt idx="43">
                  <c:v>-1.4677322893866229</c:v>
                </c:pt>
                <c:pt idx="44">
                  <c:v>-1.5180218979580515</c:v>
                </c:pt>
                <c:pt idx="45">
                  <c:v>-1.560524515162133</c:v>
                </c:pt>
                <c:pt idx="46">
                  <c:v>-1.4909764822448397</c:v>
                </c:pt>
                <c:pt idx="47">
                  <c:v>-1.5328821191734112</c:v>
                </c:pt>
                <c:pt idx="48">
                  <c:v>-1.537479911173411</c:v>
                </c:pt>
                <c:pt idx="49">
                  <c:v>-1.4542537461734109</c:v>
                </c:pt>
                <c:pt idx="50">
                  <c:v>-1.3386959845067445</c:v>
                </c:pt>
                <c:pt idx="51">
                  <c:v>-1.4532821052156053</c:v>
                </c:pt>
                <c:pt idx="52">
                  <c:v>-1.4139928173974232</c:v>
                </c:pt>
                <c:pt idx="53">
                  <c:v>-1.5382961523545662</c:v>
                </c:pt>
                <c:pt idx="54">
                  <c:v>-1.4441136857182024</c:v>
                </c:pt>
                <c:pt idx="55">
                  <c:v>-1.4322947011520208</c:v>
                </c:pt>
                <c:pt idx="56">
                  <c:v>-1.3825848007617769</c:v>
                </c:pt>
                <c:pt idx="57">
                  <c:v>-1.4371279484391959</c:v>
                </c:pt>
                <c:pt idx="58">
                  <c:v>-1.3639230387963386</c:v>
                </c:pt>
                <c:pt idx="59">
                  <c:v>-1.3100994952311213</c:v>
                </c:pt>
                <c:pt idx="60">
                  <c:v>-1.3957952626227301</c:v>
                </c:pt>
                <c:pt idx="61">
                  <c:v>-1.3192597833919606</c:v>
                </c:pt>
                <c:pt idx="62">
                  <c:v>-1.334334920617767</c:v>
                </c:pt>
                <c:pt idx="63">
                  <c:v>-1.2547447725773626</c:v>
                </c:pt>
                <c:pt idx="64">
                  <c:v>-1.2836144636794034</c:v>
                </c:pt>
                <c:pt idx="65">
                  <c:v>-1.2754039860794033</c:v>
                </c:pt>
                <c:pt idx="66">
                  <c:v>-1.3175725088831414</c:v>
                </c:pt>
                <c:pt idx="67">
                  <c:v>-1.2932304602164748</c:v>
                </c:pt>
                <c:pt idx="68">
                  <c:v>-1.2495718593593319</c:v>
                </c:pt>
                <c:pt idx="69">
                  <c:v>-1.3087934610379037</c:v>
                </c:pt>
                <c:pt idx="70">
                  <c:v>-1.340220144126139</c:v>
                </c:pt>
                <c:pt idx="71">
                  <c:v>-1.2963353183958484</c:v>
                </c:pt>
                <c:pt idx="72">
                  <c:v>-1.3238248252668161</c:v>
                </c:pt>
                <c:pt idx="73">
                  <c:v>-1.2704429030991145</c:v>
                </c:pt>
                <c:pt idx="74">
                  <c:v>-1.2489628991256629</c:v>
                </c:pt>
                <c:pt idx="75">
                  <c:v>-1.2399228751256628</c:v>
                </c:pt>
                <c:pt idx="76">
                  <c:v>-1.205496950565663</c:v>
                </c:pt>
                <c:pt idx="77">
                  <c:v>-1.1692032201025051</c:v>
                </c:pt>
                <c:pt idx="78">
                  <c:v>-1.2531812393985051</c:v>
                </c:pt>
                <c:pt idx="79">
                  <c:v>-1.201319676421406</c:v>
                </c:pt>
                <c:pt idx="80">
                  <c:v>-1.1429525090404535</c:v>
                </c:pt>
                <c:pt idx="81">
                  <c:v>-1.1465830001833111</c:v>
                </c:pt>
                <c:pt idx="82">
                  <c:v>-1.295316031625934</c:v>
                </c:pt>
                <c:pt idx="83">
                  <c:v>-1.3104192668397272</c:v>
                </c:pt>
                <c:pt idx="84">
                  <c:v>-1.2893125469296149</c:v>
                </c:pt>
                <c:pt idx="85">
                  <c:v>-1.2465370631167494</c:v>
                </c:pt>
                <c:pt idx="86">
                  <c:v>-1.3266758617539176</c:v>
                </c:pt>
                <c:pt idx="87">
                  <c:v>-1.4057885169971609</c:v>
                </c:pt>
                <c:pt idx="88">
                  <c:v>-1.4235095460939353</c:v>
                </c:pt>
                <c:pt idx="89">
                  <c:v>-1.2343920534393897</c:v>
                </c:pt>
                <c:pt idx="90">
                  <c:v>-1.4248564950153613</c:v>
                </c:pt>
                <c:pt idx="91">
                  <c:v>-1.4795078008237446</c:v>
                </c:pt>
                <c:pt idx="92">
                  <c:v>-1.4785110668237449</c:v>
                </c:pt>
                <c:pt idx="93">
                  <c:v>-1.2775156749471044</c:v>
                </c:pt>
                <c:pt idx="94">
                  <c:v>-1.2095262655700554</c:v>
                </c:pt>
                <c:pt idx="95">
                  <c:v>-1.2681441356184424</c:v>
                </c:pt>
                <c:pt idx="96">
                  <c:v>-1.2456531271143101</c:v>
                </c:pt>
                <c:pt idx="97">
                  <c:v>-1.258230324604106</c:v>
                </c:pt>
                <c:pt idx="98">
                  <c:v>-1.3351449135846885</c:v>
                </c:pt>
                <c:pt idx="99">
                  <c:v>-1.2657029893942124</c:v>
                </c:pt>
                <c:pt idx="100">
                  <c:v>-1.2506411050071156</c:v>
                </c:pt>
                <c:pt idx="101">
                  <c:v>-1.170737344479984</c:v>
                </c:pt>
                <c:pt idx="102">
                  <c:v>-1.2336438096314992</c:v>
                </c:pt>
                <c:pt idx="103">
                  <c:v>-1.2280382836314989</c:v>
                </c:pt>
                <c:pt idx="104">
                  <c:v>-1.0899299606685358</c:v>
                </c:pt>
                <c:pt idx="105">
                  <c:v>-1.1969213627621318</c:v>
                </c:pt>
                <c:pt idx="106">
                  <c:v>-1.1018315733729915</c:v>
                </c:pt>
                <c:pt idx="107">
                  <c:v>-1.2100907366976668</c:v>
                </c:pt>
                <c:pt idx="108">
                  <c:v>-1.2698252049180054</c:v>
                </c:pt>
                <c:pt idx="109">
                  <c:v>-1.2489916829030803</c:v>
                </c:pt>
                <c:pt idx="110">
                  <c:v>-1.1931486816130039</c:v>
                </c:pt>
                <c:pt idx="111">
                  <c:v>-1.1879062722558613</c:v>
                </c:pt>
                <c:pt idx="112">
                  <c:v>-1.1156049865111803</c:v>
                </c:pt>
                <c:pt idx="113">
                  <c:v>-1.1613974685866519</c:v>
                </c:pt>
                <c:pt idx="114">
                  <c:v>-1.189338433946652</c:v>
                </c:pt>
                <c:pt idx="115">
                  <c:v>-1.1916096059533636</c:v>
                </c:pt>
                <c:pt idx="116">
                  <c:v>-1.2542561908590242</c:v>
                </c:pt>
                <c:pt idx="117">
                  <c:v>-1.239924910451617</c:v>
                </c:pt>
                <c:pt idx="118">
                  <c:v>-1.2381022278583964</c:v>
                </c:pt>
                <c:pt idx="119">
                  <c:v>-1.3592767091917302</c:v>
                </c:pt>
                <c:pt idx="120">
                  <c:v>-1.3651704077459468</c:v>
                </c:pt>
                <c:pt idx="121">
                  <c:v>-1.3466687314693508</c:v>
                </c:pt>
                <c:pt idx="122">
                  <c:v>-1.2885000677165417</c:v>
                </c:pt>
                <c:pt idx="123">
                  <c:v>-1.1558056467535789</c:v>
                </c:pt>
                <c:pt idx="124">
                  <c:v>-1.2060435188521703</c:v>
                </c:pt>
                <c:pt idx="125">
                  <c:v>-1.0122517616146016</c:v>
                </c:pt>
                <c:pt idx="126">
                  <c:v>-1.1783312994276327</c:v>
                </c:pt>
                <c:pt idx="127">
                  <c:v>-1.1724844455495842</c:v>
                </c:pt>
                <c:pt idx="128">
                  <c:v>-1.2344013098192472</c:v>
                </c:pt>
                <c:pt idx="129">
                  <c:v>-1.1687620774300433</c:v>
                </c:pt>
                <c:pt idx="130">
                  <c:v>-1.1004261356540435</c:v>
                </c:pt>
                <c:pt idx="131">
                  <c:v>-1.1054455629007396</c:v>
                </c:pt>
                <c:pt idx="132">
                  <c:v>-1.1232273592276625</c:v>
                </c:pt>
                <c:pt idx="133">
                  <c:v>-1.0614895107302531</c:v>
                </c:pt>
                <c:pt idx="134">
                  <c:v>-1.0316929127034076</c:v>
                </c:pt>
                <c:pt idx="135">
                  <c:v>-1.0136937613630932</c:v>
                </c:pt>
                <c:pt idx="136">
                  <c:v>-1.0596872052630935</c:v>
                </c:pt>
                <c:pt idx="137">
                  <c:v>-1.0390528311237883</c:v>
                </c:pt>
                <c:pt idx="138">
                  <c:v>-1.0676459359124062</c:v>
                </c:pt>
                <c:pt idx="139">
                  <c:v>-1.0406251728578608</c:v>
                </c:pt>
                <c:pt idx="140">
                  <c:v>-0.99692945821170709</c:v>
                </c:pt>
                <c:pt idx="141">
                  <c:v>-1.0071045462978316</c:v>
                </c:pt>
                <c:pt idx="142">
                  <c:v>-1.1073593401728314</c:v>
                </c:pt>
                <c:pt idx="143">
                  <c:v>-0.93221579711504921</c:v>
                </c:pt>
                <c:pt idx="144">
                  <c:v>-0.97851070616489322</c:v>
                </c:pt>
                <c:pt idx="145">
                  <c:v>-1.0152878117509399</c:v>
                </c:pt>
                <c:pt idx="146">
                  <c:v>-0.97637528065836088</c:v>
                </c:pt>
                <c:pt idx="147">
                  <c:v>-1.07443644508578</c:v>
                </c:pt>
                <c:pt idx="148">
                  <c:v>-0.96316123828577993</c:v>
                </c:pt>
                <c:pt idx="149">
                  <c:v>-1.0403753596494163</c:v>
                </c:pt>
                <c:pt idx="150">
                  <c:v>-1.1526757568876771</c:v>
                </c:pt>
                <c:pt idx="151">
                  <c:v>-1.0829752345903798</c:v>
                </c:pt>
                <c:pt idx="152">
                  <c:v>-1.0532738223972764</c:v>
                </c:pt>
                <c:pt idx="153">
                  <c:v>-1.0317473996240805</c:v>
                </c:pt>
                <c:pt idx="154">
                  <c:v>-1.1301692449753304</c:v>
                </c:pt>
                <c:pt idx="155">
                  <c:v>-1.0305446916981664</c:v>
                </c:pt>
                <c:pt idx="156">
                  <c:v>-1.1347434560769096</c:v>
                </c:pt>
                <c:pt idx="157">
                  <c:v>-1.0446976119078288</c:v>
                </c:pt>
                <c:pt idx="158">
                  <c:v>-0.99316062431442909</c:v>
                </c:pt>
                <c:pt idx="159">
                  <c:v>-1.0088646707917017</c:v>
                </c:pt>
                <c:pt idx="160">
                  <c:v>-0.91104453980716427</c:v>
                </c:pt>
                <c:pt idx="161">
                  <c:v>-0.97640560823302625</c:v>
                </c:pt>
                <c:pt idx="162">
                  <c:v>-1.0775870271776629</c:v>
                </c:pt>
                <c:pt idx="163">
                  <c:v>-1.1876334203890551</c:v>
                </c:pt>
                <c:pt idx="164">
                  <c:v>-0.90489649185847087</c:v>
                </c:pt>
                <c:pt idx="165">
                  <c:v>-0.97431885385689554</c:v>
                </c:pt>
                <c:pt idx="166">
                  <c:v>-1.0381596764573862</c:v>
                </c:pt>
                <c:pt idx="167">
                  <c:v>-0.98870113502232149</c:v>
                </c:pt>
                <c:pt idx="168">
                  <c:v>-1.0143802768784642</c:v>
                </c:pt>
                <c:pt idx="169">
                  <c:v>-1.0591712986517978</c:v>
                </c:pt>
                <c:pt idx="170">
                  <c:v>-0.97640254659509684</c:v>
                </c:pt>
                <c:pt idx="171">
                  <c:v>-1.0182435329703265</c:v>
                </c:pt>
                <c:pt idx="172">
                  <c:v>-1.0775279991264111</c:v>
                </c:pt>
                <c:pt idx="173">
                  <c:v>-0.99506096196814997</c:v>
                </c:pt>
                <c:pt idx="174">
                  <c:v>-1.108265938294237</c:v>
                </c:pt>
                <c:pt idx="175">
                  <c:v>-1.0909224887854001</c:v>
                </c:pt>
                <c:pt idx="176">
                  <c:v>-1.209283816237104</c:v>
                </c:pt>
                <c:pt idx="177">
                  <c:v>-1.2119115922465913</c:v>
                </c:pt>
                <c:pt idx="178">
                  <c:v>-1.225091569507293</c:v>
                </c:pt>
                <c:pt idx="179">
                  <c:v>-1.3250310553829812</c:v>
                </c:pt>
                <c:pt idx="180">
                  <c:v>-1.2126587222659886</c:v>
                </c:pt>
                <c:pt idx="181">
                  <c:v>-1.229567933695257</c:v>
                </c:pt>
                <c:pt idx="182">
                  <c:v>-1.3182739711552571</c:v>
                </c:pt>
                <c:pt idx="183">
                  <c:v>-1.3182739711552569</c:v>
                </c:pt>
                <c:pt idx="184">
                  <c:v>-1.3108401496077258</c:v>
                </c:pt>
                <c:pt idx="185">
                  <c:v>-1.3760809976963657</c:v>
                </c:pt>
                <c:pt idx="186">
                  <c:v>-1.2204949518273849</c:v>
                </c:pt>
                <c:pt idx="187">
                  <c:v>-1.2764469630814224</c:v>
                </c:pt>
                <c:pt idx="188">
                  <c:v>-1.2863423515903396</c:v>
                </c:pt>
                <c:pt idx="189">
                  <c:v>-1.3475411945650384</c:v>
                </c:pt>
                <c:pt idx="190">
                  <c:v>-1.4026823166877467</c:v>
                </c:pt>
                <c:pt idx="191">
                  <c:v>-1.4748960505655244</c:v>
                </c:pt>
                <c:pt idx="192">
                  <c:v>-1.4367067596621912</c:v>
                </c:pt>
                <c:pt idx="193">
                  <c:v>-1.3239954919793444</c:v>
                </c:pt>
                <c:pt idx="194">
                  <c:v>-1.2545789614588181</c:v>
                </c:pt>
                <c:pt idx="195">
                  <c:v>-1.2206700631708181</c:v>
                </c:pt>
                <c:pt idx="196">
                  <c:v>-1.0907694675646524</c:v>
                </c:pt>
                <c:pt idx="197">
                  <c:v>-0.96702994651131879</c:v>
                </c:pt>
                <c:pt idx="198">
                  <c:v>-0.91418307699010259</c:v>
                </c:pt>
                <c:pt idx="199">
                  <c:v>-1.0687597568973191</c:v>
                </c:pt>
                <c:pt idx="200">
                  <c:v>-0.85674534447490514</c:v>
                </c:pt>
                <c:pt idx="201">
                  <c:v>-0.96363805832397298</c:v>
                </c:pt>
                <c:pt idx="202">
                  <c:v>-0.9998476379016541</c:v>
                </c:pt>
                <c:pt idx="203">
                  <c:v>-1.073236873659251</c:v>
                </c:pt>
                <c:pt idx="204">
                  <c:v>-0.97965536710335932</c:v>
                </c:pt>
                <c:pt idx="205">
                  <c:v>-0.84954857066277956</c:v>
                </c:pt>
                <c:pt idx="206">
                  <c:v>-1.1395812463079456</c:v>
                </c:pt>
                <c:pt idx="207">
                  <c:v>-1.1067238457621122</c:v>
                </c:pt>
                <c:pt idx="208">
                  <c:v>-1.1239038259712788</c:v>
                </c:pt>
                <c:pt idx="209">
                  <c:v>-1.1557191310460158</c:v>
                </c:pt>
                <c:pt idx="210">
                  <c:v>-1.1446620244735157</c:v>
                </c:pt>
                <c:pt idx="211">
                  <c:v>-1.1089013646878014</c:v>
                </c:pt>
                <c:pt idx="212">
                  <c:v>-1.1220601781764972</c:v>
                </c:pt>
                <c:pt idx="213">
                  <c:v>-1.1421139439765651</c:v>
                </c:pt>
                <c:pt idx="214">
                  <c:v>-1.1457125829939936</c:v>
                </c:pt>
                <c:pt idx="215">
                  <c:v>-1.1866618457203095</c:v>
                </c:pt>
                <c:pt idx="216">
                  <c:v>-1.181631554281529</c:v>
                </c:pt>
                <c:pt idx="217">
                  <c:v>-1.1126532546502788</c:v>
                </c:pt>
                <c:pt idx="218">
                  <c:v>-1.1220222637238932</c:v>
                </c:pt>
                <c:pt idx="219">
                  <c:v>-1.145447722454328</c:v>
                </c:pt>
                <c:pt idx="220">
                  <c:v>-1.1332215974379969</c:v>
                </c:pt>
                <c:pt idx="221">
                  <c:v>-1.0374467558530693</c:v>
                </c:pt>
                <c:pt idx="222">
                  <c:v>-1.0672171584850694</c:v>
                </c:pt>
                <c:pt idx="223">
                  <c:v>-1.0239161961329026</c:v>
                </c:pt>
                <c:pt idx="224">
                  <c:v>-0.96751323072130258</c:v>
                </c:pt>
                <c:pt idx="225">
                  <c:v>-0.93241207159057071</c:v>
                </c:pt>
                <c:pt idx="226">
                  <c:v>-0.90897382232364765</c:v>
                </c:pt>
                <c:pt idx="227">
                  <c:v>-0.92275422839793331</c:v>
                </c:pt>
                <c:pt idx="228">
                  <c:v>-0.95450466529593314</c:v>
                </c:pt>
                <c:pt idx="229">
                  <c:v>-0.98796272897142978</c:v>
                </c:pt>
                <c:pt idx="230">
                  <c:v>-0.99842738491052085</c:v>
                </c:pt>
                <c:pt idx="231">
                  <c:v>-0.96282235835779351</c:v>
                </c:pt>
                <c:pt idx="232">
                  <c:v>-0.93536201042678235</c:v>
                </c:pt>
                <c:pt idx="233">
                  <c:v>-0.98408946213392501</c:v>
                </c:pt>
                <c:pt idx="234">
                  <c:v>-0.96978587423044949</c:v>
                </c:pt>
                <c:pt idx="235">
                  <c:v>-0.86287842399810177</c:v>
                </c:pt>
                <c:pt idx="236">
                  <c:v>-0.89986469511660172</c:v>
                </c:pt>
                <c:pt idx="237">
                  <c:v>-0.87840151623124452</c:v>
                </c:pt>
                <c:pt idx="238">
                  <c:v>-0.81546172670713279</c:v>
                </c:pt>
                <c:pt idx="239">
                  <c:v>-0.91463260644092359</c:v>
                </c:pt>
                <c:pt idx="240">
                  <c:v>-0.90960461239592361</c:v>
                </c:pt>
                <c:pt idx="241">
                  <c:v>-0.97642711100054635</c:v>
                </c:pt>
                <c:pt idx="242">
                  <c:v>-1.0232698877352293</c:v>
                </c:pt>
                <c:pt idx="243">
                  <c:v>-1.0805394860318549</c:v>
                </c:pt>
                <c:pt idx="244">
                  <c:v>-0.83013113783985482</c:v>
                </c:pt>
                <c:pt idx="245">
                  <c:v>-0.89788799812872633</c:v>
                </c:pt>
                <c:pt idx="246">
                  <c:v>-0.90484322817683949</c:v>
                </c:pt>
                <c:pt idx="247">
                  <c:v>-0.95920492795858325</c:v>
                </c:pt>
                <c:pt idx="248">
                  <c:v>-0.98860395081979391</c:v>
                </c:pt>
                <c:pt idx="249">
                  <c:v>-1.0632437825609542</c:v>
                </c:pt>
                <c:pt idx="250">
                  <c:v>-1.022682108664442</c:v>
                </c:pt>
                <c:pt idx="251">
                  <c:v>-1.0958680291048866</c:v>
                </c:pt>
                <c:pt idx="252">
                  <c:v>-1.0386770557312313</c:v>
                </c:pt>
                <c:pt idx="253">
                  <c:v>-1.0756653665173554</c:v>
                </c:pt>
                <c:pt idx="254">
                  <c:v>-0.92827847895325288</c:v>
                </c:pt>
                <c:pt idx="255">
                  <c:v>-0.94072919957494028</c:v>
                </c:pt>
                <c:pt idx="256">
                  <c:v>-0.9138064291973701</c:v>
                </c:pt>
                <c:pt idx="257">
                  <c:v>-0.89714433610646505</c:v>
                </c:pt>
                <c:pt idx="258">
                  <c:v>-0.86504972584998263</c:v>
                </c:pt>
                <c:pt idx="259">
                  <c:v>-0.8630338152669792</c:v>
                </c:pt>
                <c:pt idx="260">
                  <c:v>-0.87564595666147915</c:v>
                </c:pt>
                <c:pt idx="261">
                  <c:v>-0.81172453264857114</c:v>
                </c:pt>
                <c:pt idx="262">
                  <c:v>-0.83700128156514508</c:v>
                </c:pt>
                <c:pt idx="263">
                  <c:v>-0.80393329174386519</c:v>
                </c:pt>
                <c:pt idx="264">
                  <c:v>-0.79833765398455492</c:v>
                </c:pt>
                <c:pt idx="265">
                  <c:v>-0.79687416576882864</c:v>
                </c:pt>
                <c:pt idx="266">
                  <c:v>-0.78579298228800409</c:v>
                </c:pt>
                <c:pt idx="267">
                  <c:v>-0.72978885376937175</c:v>
                </c:pt>
                <c:pt idx="268">
                  <c:v>-0.77240743004605394</c:v>
                </c:pt>
                <c:pt idx="269">
                  <c:v>-0.68544901492975563</c:v>
                </c:pt>
                <c:pt idx="270">
                  <c:v>-0.55846285155593722</c:v>
                </c:pt>
                <c:pt idx="271">
                  <c:v>-0.64680829828502806</c:v>
                </c:pt>
                <c:pt idx="272">
                  <c:v>-0.63627569256280581</c:v>
                </c:pt>
                <c:pt idx="273">
                  <c:v>-0.71281144097293259</c:v>
                </c:pt>
                <c:pt idx="274">
                  <c:v>-0.7698005891978511</c:v>
                </c:pt>
                <c:pt idx="275">
                  <c:v>-0.75196945741862031</c:v>
                </c:pt>
                <c:pt idx="276">
                  <c:v>-0.82431199624393292</c:v>
                </c:pt>
                <c:pt idx="277">
                  <c:v>-0.91492293142933279</c:v>
                </c:pt>
                <c:pt idx="278">
                  <c:v>-0.90908382793135989</c:v>
                </c:pt>
                <c:pt idx="279">
                  <c:v>-0.85615182422647984</c:v>
                </c:pt>
                <c:pt idx="280">
                  <c:v>-0.85064760612586476</c:v>
                </c:pt>
                <c:pt idx="281">
                  <c:v>-0.80003700615688744</c:v>
                </c:pt>
                <c:pt idx="282">
                  <c:v>-0.74291836879568951</c:v>
                </c:pt>
                <c:pt idx="283">
                  <c:v>-0.79682195307283221</c:v>
                </c:pt>
                <c:pt idx="284">
                  <c:v>-0.7401222280775942</c:v>
                </c:pt>
                <c:pt idx="285">
                  <c:v>-0.7107807859271208</c:v>
                </c:pt>
                <c:pt idx="286">
                  <c:v>-0.6775917366520936</c:v>
                </c:pt>
                <c:pt idx="287">
                  <c:v>-0.61532786675283435</c:v>
                </c:pt>
                <c:pt idx="288">
                  <c:v>-0.57934945047307385</c:v>
                </c:pt>
                <c:pt idx="289">
                  <c:v>-0.67917421665284994</c:v>
                </c:pt>
                <c:pt idx="290">
                  <c:v>-0.70245034207363366</c:v>
                </c:pt>
                <c:pt idx="291">
                  <c:v>-0.57667356224137567</c:v>
                </c:pt>
                <c:pt idx="292">
                  <c:v>-0.6605407983444942</c:v>
                </c:pt>
                <c:pt idx="293">
                  <c:v>-0.63277734699525168</c:v>
                </c:pt>
                <c:pt idx="294">
                  <c:v>-0.66513048789525164</c:v>
                </c:pt>
                <c:pt idx="295">
                  <c:v>-0.70325993334249792</c:v>
                </c:pt>
                <c:pt idx="296">
                  <c:v>-0.67058857544904482</c:v>
                </c:pt>
                <c:pt idx="297">
                  <c:v>-0.66639334011305384</c:v>
                </c:pt>
                <c:pt idx="298">
                  <c:v>-0.67165472650081126</c:v>
                </c:pt>
                <c:pt idx="299">
                  <c:v>-0.69918360428485282</c:v>
                </c:pt>
                <c:pt idx="300">
                  <c:v>-0.66312048037417448</c:v>
                </c:pt>
                <c:pt idx="301">
                  <c:v>-0.65372435702291642</c:v>
                </c:pt>
                <c:pt idx="302">
                  <c:v>-0.617323611877034</c:v>
                </c:pt>
                <c:pt idx="303">
                  <c:v>-0.63156586549438976</c:v>
                </c:pt>
                <c:pt idx="304">
                  <c:v>-0.59826764430683477</c:v>
                </c:pt>
                <c:pt idx="305">
                  <c:v>-0.59394476135933483</c:v>
                </c:pt>
                <c:pt idx="306">
                  <c:v>-0.59191177702109965</c:v>
                </c:pt>
                <c:pt idx="307">
                  <c:v>-0.62024308394260086</c:v>
                </c:pt>
                <c:pt idx="308">
                  <c:v>-0.63508973960502846</c:v>
                </c:pt>
                <c:pt idx="309">
                  <c:v>-0.64584265372723371</c:v>
                </c:pt>
                <c:pt idx="310">
                  <c:v>-0.59516004052369509</c:v>
                </c:pt>
                <c:pt idx="311">
                  <c:v>-0.57663861908682013</c:v>
                </c:pt>
                <c:pt idx="312">
                  <c:v>-0.53457079766174798</c:v>
                </c:pt>
                <c:pt idx="313">
                  <c:v>-0.5211799564516213</c:v>
                </c:pt>
                <c:pt idx="314">
                  <c:v>-0.48571264901847849</c:v>
                </c:pt>
                <c:pt idx="315">
                  <c:v>-0.47963544486786497</c:v>
                </c:pt>
                <c:pt idx="316">
                  <c:v>-0.43776377333234257</c:v>
                </c:pt>
                <c:pt idx="317">
                  <c:v>-0.43729625863917859</c:v>
                </c:pt>
                <c:pt idx="318">
                  <c:v>-0.45726597933588825</c:v>
                </c:pt>
                <c:pt idx="319">
                  <c:v>-0.31517128946392714</c:v>
                </c:pt>
                <c:pt idx="320">
                  <c:v>-0.33619667562268851</c:v>
                </c:pt>
                <c:pt idx="321">
                  <c:v>-0.37808704533564313</c:v>
                </c:pt>
                <c:pt idx="322">
                  <c:v>-0.36207726397230983</c:v>
                </c:pt>
                <c:pt idx="323">
                  <c:v>-0.37184253155548641</c:v>
                </c:pt>
                <c:pt idx="324">
                  <c:v>-0.32654702881819236</c:v>
                </c:pt>
                <c:pt idx="325">
                  <c:v>-0.40045107535028313</c:v>
                </c:pt>
                <c:pt idx="326">
                  <c:v>-0.38583199843127214</c:v>
                </c:pt>
                <c:pt idx="327">
                  <c:v>-0.39391830566131525</c:v>
                </c:pt>
                <c:pt idx="328">
                  <c:v>-0.39420315349131524</c:v>
                </c:pt>
                <c:pt idx="329">
                  <c:v>-0.37610682789155192</c:v>
                </c:pt>
                <c:pt idx="330">
                  <c:v>-0.32606329781278481</c:v>
                </c:pt>
                <c:pt idx="331">
                  <c:v>-0.32452903338549816</c:v>
                </c:pt>
                <c:pt idx="332">
                  <c:v>-0.31996792538431479</c:v>
                </c:pt>
                <c:pt idx="333">
                  <c:v>-0.37944845074011957</c:v>
                </c:pt>
                <c:pt idx="334">
                  <c:v>-0.35722657208268344</c:v>
                </c:pt>
                <c:pt idx="335">
                  <c:v>-0.33333363659339882</c:v>
                </c:pt>
                <c:pt idx="336">
                  <c:v>-0.31901499376081294</c:v>
                </c:pt>
                <c:pt idx="337">
                  <c:v>-0.25450353840144385</c:v>
                </c:pt>
                <c:pt idx="338">
                  <c:v>-0.22115620376608591</c:v>
                </c:pt>
                <c:pt idx="339">
                  <c:v>-0.25608018665981908</c:v>
                </c:pt>
                <c:pt idx="340">
                  <c:v>-0.2426239630303616</c:v>
                </c:pt>
                <c:pt idx="341">
                  <c:v>-0.24598357059207135</c:v>
                </c:pt>
                <c:pt idx="342">
                  <c:v>-2.1335977051408796E-2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1F-4580-BB08-D51777453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90095"/>
        <c:axId val="795592175"/>
      </c:lineChart>
      <c:dateAx>
        <c:axId val="7955900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92175"/>
        <c:crosses val="autoZero"/>
        <c:auto val="1"/>
        <c:lblOffset val="100"/>
        <c:baseTimeUnit val="days"/>
      </c:dateAx>
      <c:valAx>
        <c:axId val="7955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90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22DBE7-23EA-4DC8-BFA3-401C740A0A1F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B953A6-A537-476A-A17D-CBCD5287749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</v>
      </c>
      <c r="D2" s="4">
        <f>MIN(D3:D1912)</f>
        <v>0.433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0.502</v>
      </c>
      <c r="C5">
        <v>0.50600000000000001</v>
      </c>
      <c r="D5">
        <v>0.48899999999999999</v>
      </c>
      <c r="E5">
        <v>0.48899999999999999</v>
      </c>
      <c r="F5">
        <v>756333.1</v>
      </c>
      <c r="G5">
        <v>0.48899999999999999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-756333.1</v>
      </c>
      <c r="R5">
        <f t="shared" ref="R5" si="2">R6+Q5</f>
        <v>-222730461.40643039</v>
      </c>
      <c r="S5">
        <f t="shared" ref="S5" si="3">R5/100000</f>
        <v>-2227.3046140643041</v>
      </c>
      <c r="T5">
        <f t="shared" ref="T5" si="4">S5/1000</f>
        <v>-2.227304614064304</v>
      </c>
    </row>
    <row r="6" spans="1:20" x14ac:dyDescent="0.25">
      <c r="A6" s="5">
        <v>44587</v>
      </c>
      <c r="B6">
        <v>0.501</v>
      </c>
      <c r="C6">
        <v>0.54</v>
      </c>
      <c r="D6">
        <v>0.48399999999999999</v>
      </c>
      <c r="E6">
        <v>0.501</v>
      </c>
      <c r="F6">
        <v>9148443.5999999996</v>
      </c>
      <c r="G6">
        <v>0.501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-0.39285714285714285</v>
      </c>
      <c r="Q6">
        <f t="shared" ref="Q6" si="6">F6*P6</f>
        <v>-3594031.4142857143</v>
      </c>
      <c r="R6">
        <f t="shared" ref="R6" si="7">R7+Q6</f>
        <v>-221974128.3064304</v>
      </c>
      <c r="S6">
        <f t="shared" ref="S6" si="8">R6/100000</f>
        <v>-2219.7412830643038</v>
      </c>
      <c r="T6">
        <f t="shared" ref="T6" si="9">S6/1000</f>
        <v>-2.219741283064304</v>
      </c>
    </row>
    <row r="7" spans="1:20" x14ac:dyDescent="0.25">
      <c r="A7" s="5">
        <v>44586</v>
      </c>
      <c r="B7">
        <v>0.47699999999999998</v>
      </c>
      <c r="C7">
        <v>0.51600000000000001</v>
      </c>
      <c r="D7">
        <v>0.46300000000000002</v>
      </c>
      <c r="E7">
        <v>0.502</v>
      </c>
      <c r="F7">
        <v>5737143.5</v>
      </c>
      <c r="G7">
        <v>0.502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0.47169811320754662</v>
      </c>
      <c r="Q7">
        <f t="shared" ref="Q7" si="11">F7*P7</f>
        <v>2706199.7641509403</v>
      </c>
      <c r="R7">
        <f t="shared" ref="R7" si="12">R8+Q7</f>
        <v>-218380096.89214468</v>
      </c>
      <c r="S7">
        <f t="shared" ref="S7" si="13">R7/100000</f>
        <v>-2183.8009689214468</v>
      </c>
      <c r="T7">
        <f t="shared" ref="T7" si="14">S7/1000</f>
        <v>-2.1838009689214468</v>
      </c>
    </row>
    <row r="8" spans="1:20" x14ac:dyDescent="0.25">
      <c r="A8" s="5">
        <v>44585</v>
      </c>
      <c r="B8">
        <v>0.50700000000000001</v>
      </c>
      <c r="C8">
        <v>0.50700000000000001</v>
      </c>
      <c r="D8">
        <v>0.433</v>
      </c>
      <c r="E8">
        <v>0.47699999999999998</v>
      </c>
      <c r="F8">
        <v>11059363.800000001</v>
      </c>
      <c r="G8">
        <v>0.47699999999999998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0.18918918918918859</v>
      </c>
      <c r="Q8">
        <f t="shared" ref="Q8" si="16">F8*P8</f>
        <v>2092312.0702702638</v>
      </c>
      <c r="R8">
        <f t="shared" ref="R8" si="17">R9+Q8</f>
        <v>-221086296.65629563</v>
      </c>
      <c r="S8">
        <f t="shared" ref="S8" si="18">R8/100000</f>
        <v>-2210.8629665629564</v>
      </c>
      <c r="T8">
        <f t="shared" ref="T8" si="19">S8/1000</f>
        <v>-2.2108629665629564</v>
      </c>
    </row>
    <row r="9" spans="1:20" x14ac:dyDescent="0.25">
      <c r="A9" s="5">
        <v>44584</v>
      </c>
      <c r="B9">
        <v>0.496</v>
      </c>
      <c r="C9">
        <v>0.53600000000000003</v>
      </c>
      <c r="D9">
        <v>0.48299999999999998</v>
      </c>
      <c r="E9">
        <v>0.50700000000000001</v>
      </c>
      <c r="F9">
        <v>6076292.4000000004</v>
      </c>
      <c r="G9">
        <v>0.50700000000000001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-9.4339622641509441E-2</v>
      </c>
      <c r="Q9">
        <f t="shared" ref="Q9" si="21">F9*P9</f>
        <v>-573235.1320754718</v>
      </c>
      <c r="R9">
        <f t="shared" ref="R9" si="22">R10+Q9</f>
        <v>-223178608.7265659</v>
      </c>
      <c r="S9">
        <f t="shared" ref="S9" si="23">R9/100000</f>
        <v>-2231.7860872656588</v>
      </c>
      <c r="T9">
        <f t="shared" ref="T9" si="24">S9/1000</f>
        <v>-2.2317860872656587</v>
      </c>
    </row>
    <row r="10" spans="1:20" x14ac:dyDescent="0.25">
      <c r="A10" s="5">
        <v>44583</v>
      </c>
      <c r="B10">
        <v>0.56000000000000005</v>
      </c>
      <c r="C10">
        <v>0.57399999999999995</v>
      </c>
      <c r="D10">
        <v>0.45200000000000001</v>
      </c>
      <c r="E10">
        <v>0.496</v>
      </c>
      <c r="F10">
        <v>17606783.789999999</v>
      </c>
      <c r="G10">
        <v>0.496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-0.27868852459016386</v>
      </c>
      <c r="Q10">
        <f t="shared" ref="Q10" si="26">F10*P10</f>
        <v>-4906808.5972131127</v>
      </c>
      <c r="R10">
        <f t="shared" ref="R10" si="27">R11+Q10</f>
        <v>-222605373.59449044</v>
      </c>
      <c r="S10">
        <f t="shared" ref="S10" si="28">R10/100000</f>
        <v>-2226.0537359449045</v>
      </c>
      <c r="T10">
        <f t="shared" ref="T10" si="29">S10/1000</f>
        <v>-2.2260537359449044</v>
      </c>
    </row>
    <row r="11" spans="1:20" x14ac:dyDescent="0.25">
      <c r="A11" s="5">
        <v>44582</v>
      </c>
      <c r="B11">
        <v>0.68100000000000005</v>
      </c>
      <c r="C11">
        <v>0.68899999999999995</v>
      </c>
      <c r="D11">
        <v>0.54</v>
      </c>
      <c r="E11">
        <v>0.56100000000000005</v>
      </c>
      <c r="F11">
        <v>17578349.594000001</v>
      </c>
      <c r="G11">
        <v>0.56100000000000005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-0.71812080536912715</v>
      </c>
      <c r="Q11">
        <f t="shared" ref="Q11" si="31">F11*P11</f>
        <v>-12623378.56750335</v>
      </c>
      <c r="R11">
        <f t="shared" ref="R11" si="32">R12+Q11</f>
        <v>-217698564.99727732</v>
      </c>
      <c r="S11">
        <f t="shared" ref="S11" si="33">R11/100000</f>
        <v>-2176.985649972773</v>
      </c>
      <c r="T11">
        <f t="shared" ref="T11" si="34">S11/1000</f>
        <v>-2.1769856499727731</v>
      </c>
    </row>
    <row r="12" spans="1:20" x14ac:dyDescent="0.25">
      <c r="A12" s="5">
        <v>44581</v>
      </c>
      <c r="B12">
        <v>0.70099999999999996</v>
      </c>
      <c r="C12">
        <v>0.75</v>
      </c>
      <c r="D12">
        <v>0.67600000000000005</v>
      </c>
      <c r="E12">
        <v>0.68200000000000005</v>
      </c>
      <c r="F12">
        <v>6434659.2999999998</v>
      </c>
      <c r="G12">
        <v>0.68200000000000005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-0.83783783783783761</v>
      </c>
      <c r="Q12">
        <f t="shared" ref="Q12" si="36">F12*P12</f>
        <v>-5391201.0351351332</v>
      </c>
      <c r="R12">
        <f t="shared" ref="R12" si="37">R13+Q12</f>
        <v>-205075186.42977396</v>
      </c>
      <c r="S12">
        <f t="shared" ref="S12" si="38">R12/100000</f>
        <v>-2050.7518642977398</v>
      </c>
      <c r="T12">
        <f t="shared" ref="T12" si="39">S12/1000</f>
        <v>-2.0507518642977396</v>
      </c>
    </row>
    <row r="13" spans="1:20" x14ac:dyDescent="0.25">
      <c r="A13" s="5">
        <v>44580</v>
      </c>
      <c r="B13">
        <v>0.74</v>
      </c>
      <c r="C13">
        <v>0.74299999999999999</v>
      </c>
      <c r="D13">
        <v>0.70099999999999996</v>
      </c>
      <c r="E13">
        <v>0.70099999999999996</v>
      </c>
      <c r="F13">
        <v>4958918.7</v>
      </c>
      <c r="G13">
        <v>0.70099999999999996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-1</v>
      </c>
      <c r="Q13">
        <f t="shared" ref="Q13" si="41">F13*P13</f>
        <v>-4958918.7</v>
      </c>
      <c r="R13">
        <f t="shared" ref="R13" si="42">R14+Q13</f>
        <v>-199683985.39463884</v>
      </c>
      <c r="S13">
        <f t="shared" ref="S13" si="43">R13/100000</f>
        <v>-1996.8398539463883</v>
      </c>
      <c r="T13">
        <f t="shared" ref="T13" si="44">S13/1000</f>
        <v>-1.9968398539463883</v>
      </c>
    </row>
    <row r="14" spans="1:20" x14ac:dyDescent="0.25">
      <c r="A14" s="5">
        <v>44579</v>
      </c>
      <c r="B14">
        <v>0.76900000000000002</v>
      </c>
      <c r="C14">
        <v>0.77800000000000002</v>
      </c>
      <c r="D14">
        <v>0.71799999999999997</v>
      </c>
      <c r="E14">
        <v>0.73899999999999999</v>
      </c>
      <c r="F14">
        <v>5702271.9000000004</v>
      </c>
      <c r="G14">
        <v>0.73899999999999999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-0.3</v>
      </c>
      <c r="Q14">
        <f t="shared" ref="Q14" si="46">F14*P14</f>
        <v>-1710681.57</v>
      </c>
      <c r="R14">
        <f t="shared" ref="R14" si="47">R15+Q14</f>
        <v>-194725066.69463885</v>
      </c>
      <c r="S14">
        <f t="shared" ref="S14" si="48">R14/100000</f>
        <v>-1947.2506669463885</v>
      </c>
      <c r="T14">
        <f t="shared" ref="T14" si="49">S14/1000</f>
        <v>-1.9472506669463885</v>
      </c>
    </row>
    <row r="15" spans="1:20" x14ac:dyDescent="0.25">
      <c r="A15" s="5">
        <v>44578</v>
      </c>
      <c r="B15">
        <v>0.80800000000000005</v>
      </c>
      <c r="C15">
        <v>0.81399999999999995</v>
      </c>
      <c r="D15">
        <v>0.749</v>
      </c>
      <c r="E15">
        <v>0.76800000000000002</v>
      </c>
      <c r="F15">
        <v>3754252.9</v>
      </c>
      <c r="G15">
        <v>0.76800000000000002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-0.41538461538461441</v>
      </c>
      <c r="Q15">
        <f t="shared" ref="Q15" si="51">F15*P15</f>
        <v>-1559458.8969230733</v>
      </c>
      <c r="R15">
        <f t="shared" ref="R15" si="52">R16+Q15</f>
        <v>-193014385.12463886</v>
      </c>
      <c r="S15">
        <f t="shared" ref="S15" si="53">R15/100000</f>
        <v>-1930.1438512463885</v>
      </c>
      <c r="T15">
        <f t="shared" ref="T15" si="54">S15/1000</f>
        <v>-1.9301438512463884</v>
      </c>
    </row>
    <row r="16" spans="1:20" x14ac:dyDescent="0.25">
      <c r="A16" s="5">
        <v>44577</v>
      </c>
      <c r="B16">
        <v>0.80900000000000005</v>
      </c>
      <c r="C16">
        <v>0.82599999999999996</v>
      </c>
      <c r="D16">
        <v>0.78800000000000003</v>
      </c>
      <c r="E16">
        <v>0.80700000000000005</v>
      </c>
      <c r="F16">
        <v>3469967.8</v>
      </c>
      <c r="G16">
        <v>0.80700000000000005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2.9216395384872602E-15</v>
      </c>
      <c r="Q16">
        <f t="shared" ref="Q16" si="56">F16*P16</f>
        <v>1.0137995121757652E-8</v>
      </c>
      <c r="R16">
        <f t="shared" ref="R16" si="57">R17+Q16</f>
        <v>-191454926.22771579</v>
      </c>
      <c r="S16">
        <f t="shared" ref="S16" si="58">R16/100000</f>
        <v>-1914.5492622771578</v>
      </c>
      <c r="T16">
        <f t="shared" ref="T16" si="59">S16/1000</f>
        <v>-1.9145492622771578</v>
      </c>
    </row>
    <row r="17" spans="1:20" x14ac:dyDescent="0.25">
      <c r="A17" s="5">
        <v>44576</v>
      </c>
      <c r="B17">
        <v>0.80200000000000005</v>
      </c>
      <c r="C17">
        <v>0.82799999999999996</v>
      </c>
      <c r="D17">
        <v>0.78700000000000003</v>
      </c>
      <c r="E17">
        <v>0.81</v>
      </c>
      <c r="F17">
        <v>3763003.1</v>
      </c>
      <c r="G17">
        <v>0.81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0.12195121951219816</v>
      </c>
      <c r="Q17">
        <f t="shared" ref="Q17" si="61">F17*P17</f>
        <v>458902.81707318214</v>
      </c>
      <c r="R17">
        <f t="shared" ref="R17" si="62">R18+Q17</f>
        <v>-191454926.22771579</v>
      </c>
      <c r="S17">
        <f t="shared" ref="S17" si="63">R17/100000</f>
        <v>-1914.5492622771578</v>
      </c>
      <c r="T17">
        <f t="shared" ref="T17" si="64">S17/1000</f>
        <v>-1.9145492622771578</v>
      </c>
    </row>
    <row r="18" spans="1:20" x14ac:dyDescent="0.25">
      <c r="A18" s="5">
        <v>44575</v>
      </c>
      <c r="B18">
        <v>0.77</v>
      </c>
      <c r="C18">
        <v>0.81</v>
      </c>
      <c r="D18">
        <v>0.748</v>
      </c>
      <c r="E18">
        <v>0.80200000000000005</v>
      </c>
      <c r="F18">
        <v>6511502.5</v>
      </c>
      <c r="G18">
        <v>0.80200000000000005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0.74193548387096775</v>
      </c>
      <c r="Q18">
        <f t="shared" ref="Q18" si="66">F18*P18</f>
        <v>4831114.7580645159</v>
      </c>
      <c r="R18">
        <f t="shared" ref="R18" si="67">R19+Q18</f>
        <v>-191913829.04478899</v>
      </c>
      <c r="S18">
        <f t="shared" ref="S18" si="68">R18/100000</f>
        <v>-1919.1382904478899</v>
      </c>
      <c r="T18">
        <f t="shared" ref="T18" si="69">S18/1000</f>
        <v>-1.9191382904478897</v>
      </c>
    </row>
    <row r="19" spans="1:20" x14ac:dyDescent="0.25">
      <c r="A19" s="5">
        <v>44574</v>
      </c>
      <c r="B19">
        <v>0.83099999999999996</v>
      </c>
      <c r="C19">
        <v>0.83699999999999997</v>
      </c>
      <c r="D19">
        <v>0.76700000000000002</v>
      </c>
      <c r="E19">
        <v>0.77</v>
      </c>
      <c r="F19">
        <v>7314337.9000000004</v>
      </c>
      <c r="G19">
        <v>0.77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-0.91428571428571415</v>
      </c>
      <c r="Q19">
        <f t="shared" ref="Q19" si="71">F19*P19</f>
        <v>-6687394.651428571</v>
      </c>
      <c r="R19">
        <f t="shared" ref="R19" si="72">R20+Q19</f>
        <v>-196744943.80285349</v>
      </c>
      <c r="S19">
        <f t="shared" ref="S19" si="73">R19/100000</f>
        <v>-1967.449438028535</v>
      </c>
      <c r="T19">
        <f t="shared" ref="T19" si="74">S19/1000</f>
        <v>-1.967449438028535</v>
      </c>
    </row>
    <row r="20" spans="1:20" x14ac:dyDescent="0.25">
      <c r="A20" s="5">
        <v>44573</v>
      </c>
      <c r="B20">
        <v>0.745</v>
      </c>
      <c r="C20">
        <v>0.84</v>
      </c>
      <c r="D20">
        <v>0.74</v>
      </c>
      <c r="E20">
        <v>0.83299999999999996</v>
      </c>
      <c r="F20">
        <v>10425211.800000001</v>
      </c>
      <c r="G20">
        <v>0.83299999999999996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0.85999999999999988</v>
      </c>
      <c r="Q20">
        <f t="shared" ref="Q20" si="76">F20*P20</f>
        <v>8965682.148</v>
      </c>
      <c r="R20">
        <f t="shared" ref="R20" si="77">R21+Q20</f>
        <v>-190057549.15142491</v>
      </c>
      <c r="S20">
        <f t="shared" ref="S20" si="78">R20/100000</f>
        <v>-1900.5754915142491</v>
      </c>
      <c r="T20">
        <f t="shared" ref="T20" si="79">S20/1000</f>
        <v>-1.900575491514249</v>
      </c>
    </row>
    <row r="21" spans="1:20" x14ac:dyDescent="0.25">
      <c r="A21" s="5">
        <v>44572</v>
      </c>
      <c r="B21">
        <v>0.70399999999999996</v>
      </c>
      <c r="C21">
        <v>0.76</v>
      </c>
      <c r="D21">
        <v>0.69299999999999995</v>
      </c>
      <c r="E21">
        <v>0.747</v>
      </c>
      <c r="F21">
        <v>6151932.7999999998</v>
      </c>
      <c r="G21">
        <v>0.747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0.61194029850746268</v>
      </c>
      <c r="Q21">
        <f t="shared" ref="Q21" si="81">F21*P21</f>
        <v>3764615.5940298508</v>
      </c>
      <c r="R21">
        <f t="shared" ref="R21" si="82">R22+Q21</f>
        <v>-199023231.29942492</v>
      </c>
      <c r="S21">
        <f t="shared" ref="S21" si="83">R21/100000</f>
        <v>-1990.2323129942492</v>
      </c>
      <c r="T21">
        <f t="shared" ref="T21" si="84">S21/1000</f>
        <v>-1.9902323129942492</v>
      </c>
    </row>
    <row r="22" spans="1:20" x14ac:dyDescent="0.25">
      <c r="A22" s="5">
        <v>44571</v>
      </c>
      <c r="B22">
        <v>0.749</v>
      </c>
      <c r="C22">
        <v>0.75900000000000001</v>
      </c>
      <c r="D22">
        <v>0.66500000000000004</v>
      </c>
      <c r="E22">
        <v>0.70399999999999996</v>
      </c>
      <c r="F22">
        <v>11884534.725</v>
      </c>
      <c r="G22">
        <v>0.70399999999999996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-0.17021276595744819</v>
      </c>
      <c r="Q22">
        <f t="shared" ref="Q22" si="86">F22*P22</f>
        <v>-2022899.5276595908</v>
      </c>
      <c r="R22">
        <f t="shared" ref="R22" si="87">R23+Q22</f>
        <v>-202787846.89345476</v>
      </c>
      <c r="S22">
        <f t="shared" ref="S22" si="88">R22/100000</f>
        <v>-2027.8784689345475</v>
      </c>
      <c r="T22">
        <f t="shared" ref="T22" si="89">S22/1000</f>
        <v>-2.0278784689345475</v>
      </c>
    </row>
    <row r="23" spans="1:20" x14ac:dyDescent="0.25">
      <c r="A23" s="5">
        <v>44570</v>
      </c>
      <c r="B23">
        <v>0.74199999999999999</v>
      </c>
      <c r="C23">
        <v>0.77300000000000002</v>
      </c>
      <c r="D23">
        <v>0.73299999999999998</v>
      </c>
      <c r="E23">
        <v>0.749</v>
      </c>
      <c r="F23">
        <v>6447918.2999999998</v>
      </c>
      <c r="G23">
        <v>0.749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</v>
      </c>
      <c r="Q23">
        <f t="shared" ref="Q23" si="91">F23*P23</f>
        <v>-1289583.6600000001</v>
      </c>
      <c r="R23">
        <f t="shared" ref="R23" si="92">R24+Q23</f>
        <v>-200764947.36579517</v>
      </c>
      <c r="S23">
        <f t="shared" ref="S23" si="93">R23/100000</f>
        <v>-2007.6494736579516</v>
      </c>
      <c r="T23">
        <f t="shared" ref="T23" si="94">S23/1000</f>
        <v>-2.0076494736579518</v>
      </c>
    </row>
    <row r="24" spans="1:20" x14ac:dyDescent="0.25">
      <c r="A24" s="5">
        <v>44569</v>
      </c>
      <c r="B24">
        <v>0.80300000000000005</v>
      </c>
      <c r="C24">
        <v>0.83899999999999997</v>
      </c>
      <c r="D24">
        <v>0.72199999999999998</v>
      </c>
      <c r="E24">
        <v>0.74199999999999999</v>
      </c>
      <c r="F24">
        <v>10190671.681</v>
      </c>
      <c r="G24">
        <v>0.74199999999999999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-0.65811965811965778</v>
      </c>
      <c r="Q24">
        <f t="shared" ref="Q24" si="96">F24*P24</f>
        <v>-6706681.3627093984</v>
      </c>
      <c r="R24">
        <f t="shared" ref="R24" si="97">R25+Q24</f>
        <v>-199475363.70579517</v>
      </c>
      <c r="S24">
        <f t="shared" ref="S24" si="98">R24/100000</f>
        <v>-1994.7536370579517</v>
      </c>
      <c r="T24">
        <f t="shared" ref="T24" si="99">S24/1000</f>
        <v>-1.9947536370579517</v>
      </c>
    </row>
    <row r="25" spans="1:20" x14ac:dyDescent="0.25">
      <c r="A25" s="5">
        <v>44568</v>
      </c>
      <c r="B25">
        <v>0.82199999999999995</v>
      </c>
      <c r="C25">
        <v>0.876</v>
      </c>
      <c r="D25">
        <v>0.78500000000000003</v>
      </c>
      <c r="E25">
        <v>0.80200000000000005</v>
      </c>
      <c r="F25">
        <v>20544482.600000001</v>
      </c>
      <c r="G25">
        <v>0.80200000000000005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-0.62637362637362592</v>
      </c>
      <c r="Q25">
        <f t="shared" ref="Q25" si="101">F25*P25</f>
        <v>-12868522.06813186</v>
      </c>
      <c r="R25">
        <f t="shared" ref="R25" si="102">R26+Q25</f>
        <v>-192768682.34308577</v>
      </c>
      <c r="S25">
        <f t="shared" ref="S25" si="103">R25/100000</f>
        <v>-1927.6868234308577</v>
      </c>
      <c r="T25">
        <f t="shared" ref="T25" si="104">S25/1000</f>
        <v>-1.9276868234308577</v>
      </c>
    </row>
    <row r="26" spans="1:20" x14ac:dyDescent="0.25">
      <c r="A26" s="5">
        <v>44567</v>
      </c>
      <c r="B26">
        <v>0.82899999999999996</v>
      </c>
      <c r="C26">
        <v>0.83799999999999997</v>
      </c>
      <c r="D26">
        <v>0.78200000000000003</v>
      </c>
      <c r="E26">
        <v>0.82199999999999995</v>
      </c>
      <c r="F26">
        <v>15214554</v>
      </c>
      <c r="G26">
        <v>0.82199999999999995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0.42857142857142744</v>
      </c>
      <c r="Q26">
        <f t="shared" ref="Q26" si="106">F26*P26</f>
        <v>6520523.142857126</v>
      </c>
      <c r="R26">
        <f t="shared" ref="R26" si="107">R27+Q26</f>
        <v>-179900160.2749539</v>
      </c>
      <c r="S26">
        <f t="shared" ref="S26" si="108">R26/100000</f>
        <v>-1799.001602749539</v>
      </c>
      <c r="T26">
        <f t="shared" ref="T26" si="109">S26/1000</f>
        <v>-1.799001602749539</v>
      </c>
    </row>
    <row r="27" spans="1:20" x14ac:dyDescent="0.25">
      <c r="A27" s="5">
        <v>44566</v>
      </c>
      <c r="B27">
        <v>0.873</v>
      </c>
      <c r="C27">
        <v>0.97799999999999998</v>
      </c>
      <c r="D27">
        <v>0.79</v>
      </c>
      <c r="E27">
        <v>0.82899999999999996</v>
      </c>
      <c r="F27">
        <v>29223457</v>
      </c>
      <c r="G27">
        <v>0.82899999999999996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-0.58510638297872408</v>
      </c>
      <c r="Q27">
        <f t="shared" ref="Q27" si="111">F27*P27</f>
        <v>-17098831.223404273</v>
      </c>
      <c r="R27">
        <f t="shared" ref="R27" si="112">R28+Q27</f>
        <v>-186420683.41781104</v>
      </c>
      <c r="S27">
        <f t="shared" ref="S27" si="113">R27/100000</f>
        <v>-1864.2068341781103</v>
      </c>
      <c r="T27">
        <f t="shared" ref="T27" si="114">S27/1000</f>
        <v>-1.8642068341781104</v>
      </c>
    </row>
    <row r="28" spans="1:20" x14ac:dyDescent="0.25">
      <c r="A28" s="5">
        <v>44565</v>
      </c>
      <c r="B28">
        <v>0.90400000000000003</v>
      </c>
      <c r="C28">
        <v>0.93400000000000005</v>
      </c>
      <c r="D28">
        <v>0.872</v>
      </c>
      <c r="E28">
        <v>0.873</v>
      </c>
      <c r="F28">
        <v>11313276.9</v>
      </c>
      <c r="G28">
        <v>0.873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-0.967741935483871</v>
      </c>
      <c r="Q28">
        <f t="shared" ref="Q28" si="116">F28*P28</f>
        <v>-10948332.483870968</v>
      </c>
      <c r="R28">
        <f t="shared" ref="R28" si="117">R29+Q28</f>
        <v>-169321852.19440675</v>
      </c>
      <c r="S28">
        <f t="shared" ref="S28" si="118">R28/100000</f>
        <v>-1693.2185219440676</v>
      </c>
      <c r="T28">
        <f t="shared" ref="T28" si="119">S28/1000</f>
        <v>-1.6932185219440676</v>
      </c>
    </row>
    <row r="29" spans="1:20" x14ac:dyDescent="0.25">
      <c r="A29" s="5">
        <v>44564</v>
      </c>
      <c r="B29">
        <v>0.92300000000000004</v>
      </c>
      <c r="C29">
        <v>0.94499999999999995</v>
      </c>
      <c r="D29">
        <v>0.879</v>
      </c>
      <c r="E29">
        <v>0.90400000000000003</v>
      </c>
      <c r="F29">
        <v>10604262.199999999</v>
      </c>
      <c r="G29">
        <v>0.90400000000000003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-0.24242424242424115</v>
      </c>
      <c r="Q29">
        <f t="shared" ref="Q29" si="121">F29*P29</f>
        <v>-2570730.2303030165</v>
      </c>
      <c r="R29">
        <f t="shared" ref="R29" si="122">R30+Q29</f>
        <v>-158373519.71053579</v>
      </c>
      <c r="S29">
        <f t="shared" ref="S29" si="123">R29/100000</f>
        <v>-1583.7351971053579</v>
      </c>
      <c r="T29">
        <f t="shared" ref="T29" si="124">S29/1000</f>
        <v>-1.5837351971053579</v>
      </c>
    </row>
    <row r="30" spans="1:20" x14ac:dyDescent="0.25">
      <c r="A30" s="5">
        <v>44563</v>
      </c>
      <c r="B30">
        <v>0.875</v>
      </c>
      <c r="C30">
        <v>0.95299999999999996</v>
      </c>
      <c r="D30">
        <v>0.86499999999999999</v>
      </c>
      <c r="E30">
        <v>0.92300000000000004</v>
      </c>
      <c r="F30">
        <v>11944007.6</v>
      </c>
      <c r="G30">
        <v>0.92300000000000004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0.31818181818181984</v>
      </c>
      <c r="Q30">
        <f t="shared" ref="Q30" si="126">F30*P30</f>
        <v>3800366.0545454742</v>
      </c>
      <c r="R30">
        <f t="shared" ref="R30" si="127">R31+Q30</f>
        <v>-155802789.48023278</v>
      </c>
      <c r="S30">
        <f t="shared" ref="S30" si="128">R30/100000</f>
        <v>-1558.0278948023279</v>
      </c>
      <c r="T30">
        <f t="shared" ref="T30" si="129">S30/1000</f>
        <v>-1.5580278948023278</v>
      </c>
    </row>
    <row r="31" spans="1:20" x14ac:dyDescent="0.25">
      <c r="A31" s="5">
        <v>44562</v>
      </c>
      <c r="B31">
        <v>0.84299999999999997</v>
      </c>
      <c r="C31">
        <v>0.878</v>
      </c>
      <c r="D31">
        <v>0.84299999999999997</v>
      </c>
      <c r="E31">
        <v>0.875</v>
      </c>
      <c r="F31">
        <v>3865473.6</v>
      </c>
      <c r="G31">
        <v>0.875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0.82857142857142863</v>
      </c>
      <c r="Q31">
        <f t="shared" ref="Q31" si="131">F31*P31</f>
        <v>3202820.982857143</v>
      </c>
      <c r="R31">
        <f t="shared" ref="R31" si="132">R32+Q31</f>
        <v>-159603155.53477824</v>
      </c>
      <c r="S31">
        <f t="shared" ref="S31" si="133">R31/100000</f>
        <v>-1596.0315553477824</v>
      </c>
      <c r="T31">
        <f t="shared" ref="T31" si="134">S31/1000</f>
        <v>-1.5960315553477824</v>
      </c>
    </row>
    <row r="32" spans="1:20" x14ac:dyDescent="0.25">
      <c r="A32" s="5">
        <v>44561</v>
      </c>
      <c r="B32">
        <v>0.86199999999999999</v>
      </c>
      <c r="C32">
        <v>0.89400000000000002</v>
      </c>
      <c r="D32">
        <v>0.82499999999999996</v>
      </c>
      <c r="E32">
        <v>0.84299999999999997</v>
      </c>
      <c r="F32">
        <v>8420176.5999999996</v>
      </c>
      <c r="G32">
        <v>0.84299999999999997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-0.47826086956521741</v>
      </c>
      <c r="Q32">
        <f t="shared" ref="Q32" si="136">F32*P32</f>
        <v>-4027040.9826086955</v>
      </c>
      <c r="R32">
        <f t="shared" ref="R32" si="137">R33+Q32</f>
        <v>-162805976.51763538</v>
      </c>
      <c r="S32">
        <f t="shared" ref="S32" si="138">R32/100000</f>
        <v>-1628.0597651763537</v>
      </c>
      <c r="T32">
        <f t="shared" ref="T32" si="139">S32/1000</f>
        <v>-1.6280597651763538</v>
      </c>
    </row>
    <row r="33" spans="1:20" x14ac:dyDescent="0.25">
      <c r="A33" s="5">
        <v>44560</v>
      </c>
      <c r="B33">
        <v>0.86199999999999999</v>
      </c>
      <c r="C33">
        <v>0.879</v>
      </c>
      <c r="D33">
        <v>0.83499999999999996</v>
      </c>
      <c r="E33">
        <v>0.86299999999999999</v>
      </c>
      <c r="F33">
        <v>10166793</v>
      </c>
      <c r="G33">
        <v>0.86299999999999999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0.27272727272727271</v>
      </c>
      <c r="Q33">
        <f t="shared" ref="Q33" si="141">F33*P33</f>
        <v>2772761.7272727271</v>
      </c>
      <c r="R33">
        <f t="shared" ref="R33" si="142">R34+Q33</f>
        <v>-158778935.53502667</v>
      </c>
      <c r="S33">
        <f t="shared" ref="S33" si="143">R33/100000</f>
        <v>-1587.7893553502668</v>
      </c>
      <c r="T33">
        <f t="shared" ref="T33" si="144">S33/1000</f>
        <v>-1.5877893553502667</v>
      </c>
    </row>
    <row r="34" spans="1:20" x14ac:dyDescent="0.25">
      <c r="A34" s="5">
        <v>44559</v>
      </c>
      <c r="B34">
        <v>0.91100000000000003</v>
      </c>
      <c r="C34">
        <v>0.93600000000000005</v>
      </c>
      <c r="D34">
        <v>0.84799999999999998</v>
      </c>
      <c r="E34">
        <v>0.86199999999999999</v>
      </c>
      <c r="F34">
        <v>9925279.1999999993</v>
      </c>
      <c r="G34">
        <v>0.86199999999999999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-0.68181818181818177</v>
      </c>
      <c r="Q34">
        <f t="shared" ref="Q34" si="146">F34*P34</f>
        <v>-6767235.8181818174</v>
      </c>
      <c r="R34">
        <f t="shared" ref="R34" si="147">R35+Q34</f>
        <v>-161551697.26229939</v>
      </c>
      <c r="S34">
        <f t="shared" ref="S34" si="148">R34/100000</f>
        <v>-1615.516972622994</v>
      </c>
      <c r="T34">
        <f t="shared" ref="T34" si="149">S34/1000</f>
        <v>-1.6155169726229941</v>
      </c>
    </row>
    <row r="35" spans="1:20" x14ac:dyDescent="0.25">
      <c r="A35" s="5">
        <v>44558</v>
      </c>
      <c r="B35">
        <v>1.0169999999999999</v>
      </c>
      <c r="C35">
        <v>1.1000000000000001</v>
      </c>
      <c r="D35">
        <v>0.90800000000000003</v>
      </c>
      <c r="E35">
        <v>0.91100000000000003</v>
      </c>
      <c r="F35">
        <v>18416595.899999999</v>
      </c>
      <c r="G35">
        <v>0.91100000000000003</v>
      </c>
      <c r="L35" t="s">
        <v>8</v>
      </c>
      <c r="M35" t="s">
        <v>8</v>
      </c>
      <c r="N35" t="s">
        <v>7</v>
      </c>
      <c r="P35">
        <f t="shared" ref="P35" si="150">IF(C35=D35,0,((E35-D35)-(C35-E35))/(C35-D35))</f>
        <v>-0.96875</v>
      </c>
      <c r="Q35">
        <f t="shared" ref="Q35" si="151">F35*P35</f>
        <v>-17841077.278124999</v>
      </c>
      <c r="R35">
        <f t="shared" ref="R35" si="152">R36+Q35</f>
        <v>-154784461.44411758</v>
      </c>
      <c r="S35">
        <f t="shared" ref="S35" si="153">R35/100000</f>
        <v>-1547.8446144411757</v>
      </c>
      <c r="T35">
        <f t="shared" ref="T35" si="154">S35/1000</f>
        <v>-1.5478446144411757</v>
      </c>
    </row>
    <row r="36" spans="1:20" x14ac:dyDescent="0.25">
      <c r="A36" s="5">
        <v>44557</v>
      </c>
      <c r="B36">
        <v>1.002</v>
      </c>
      <c r="C36">
        <v>1.069</v>
      </c>
      <c r="D36">
        <v>0.99399999999999999</v>
      </c>
      <c r="E36">
        <v>1.0169999999999999</v>
      </c>
      <c r="F36">
        <v>13060885.1</v>
      </c>
      <c r="G36">
        <v>1.0169999999999999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-0.38666666666666871</v>
      </c>
      <c r="Q36">
        <f t="shared" ref="Q36" si="156">F36*P36</f>
        <v>-5050208.9053333597</v>
      </c>
      <c r="R36">
        <f t="shared" ref="R36" si="157">R37+Q36</f>
        <v>-136943384.16599259</v>
      </c>
      <c r="S36">
        <f t="shared" ref="S36" si="158">R36/100000</f>
        <v>-1369.433841659926</v>
      </c>
      <c r="T36">
        <f t="shared" ref="T36" si="159">S36/1000</f>
        <v>-1.3694338416599259</v>
      </c>
    </row>
    <row r="37" spans="1:20" x14ac:dyDescent="0.25">
      <c r="A37" s="5">
        <v>44556</v>
      </c>
      <c r="B37">
        <v>0.94099999999999995</v>
      </c>
      <c r="C37">
        <v>1.0529999999999999</v>
      </c>
      <c r="D37">
        <v>0.90400000000000003</v>
      </c>
      <c r="E37">
        <v>1.002</v>
      </c>
      <c r="F37">
        <v>22060222</v>
      </c>
      <c r="G37">
        <v>1.002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0.31543624161073874</v>
      </c>
      <c r="Q37">
        <f t="shared" ref="Q37" si="161">F37*P37</f>
        <v>6958593.5167785343</v>
      </c>
      <c r="R37">
        <f t="shared" ref="R37" si="162">R38+Q37</f>
        <v>-131893175.26065922</v>
      </c>
      <c r="S37">
        <f t="shared" ref="S37" si="163">R37/100000</f>
        <v>-1318.9317526065922</v>
      </c>
      <c r="T37">
        <f t="shared" ref="T37" si="164">S37/1000</f>
        <v>-1.3189317526065922</v>
      </c>
    </row>
    <row r="38" spans="1:20" x14ac:dyDescent="0.25">
      <c r="A38" s="5">
        <v>44555</v>
      </c>
      <c r="B38">
        <v>0.90800000000000003</v>
      </c>
      <c r="C38">
        <v>0.94899999999999995</v>
      </c>
      <c r="D38">
        <v>0.9</v>
      </c>
      <c r="E38">
        <v>0.94099999999999995</v>
      </c>
      <c r="F38">
        <v>4834615.3</v>
      </c>
      <c r="G38">
        <v>0.94099999999999995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0.67346938775510135</v>
      </c>
      <c r="Q38">
        <f t="shared" ref="Q38" si="166">F38*P38</f>
        <v>3255965.4061224456</v>
      </c>
      <c r="R38">
        <f t="shared" ref="R38" si="167">R39+Q38</f>
        <v>-138851768.77743775</v>
      </c>
      <c r="S38">
        <f t="shared" ref="S38" si="168">R38/100000</f>
        <v>-1388.5176877743775</v>
      </c>
      <c r="T38">
        <f t="shared" ref="T38" si="169">S38/1000</f>
        <v>-1.3885176877743775</v>
      </c>
    </row>
    <row r="39" spans="1:20" x14ac:dyDescent="0.25">
      <c r="A39" s="5">
        <v>44554</v>
      </c>
      <c r="B39">
        <v>0.95599999999999996</v>
      </c>
      <c r="C39">
        <v>0.96899999999999997</v>
      </c>
      <c r="D39">
        <v>0.89200000000000002</v>
      </c>
      <c r="E39">
        <v>0.90900000000000003</v>
      </c>
      <c r="F39">
        <v>8432482.0999999996</v>
      </c>
      <c r="G39">
        <v>0.90900000000000003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-0.55844155844155785</v>
      </c>
      <c r="Q39">
        <f t="shared" ref="Q39" si="171">F39*P39</f>
        <v>-4709048.4454545407</v>
      </c>
      <c r="R39">
        <f t="shared" ref="R39" si="172">R40+Q39</f>
        <v>-142107734.18356019</v>
      </c>
      <c r="S39">
        <f t="shared" ref="S39" si="173">R39/100000</f>
        <v>-1421.0773418356018</v>
      </c>
      <c r="T39">
        <f t="shared" ref="T39" si="174">S39/1000</f>
        <v>-1.4210773418356017</v>
      </c>
    </row>
    <row r="40" spans="1:20" x14ac:dyDescent="0.25">
      <c r="A40" s="5">
        <v>44553</v>
      </c>
      <c r="B40">
        <v>0.89900000000000002</v>
      </c>
      <c r="C40">
        <v>0.96399999999999997</v>
      </c>
      <c r="D40">
        <v>0.86099999999999999</v>
      </c>
      <c r="E40">
        <v>0.95499999999999996</v>
      </c>
      <c r="F40">
        <v>12887324.800000001</v>
      </c>
      <c r="G40">
        <v>0.95499999999999996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0.8252427184466018</v>
      </c>
      <c r="Q40">
        <f t="shared" ref="Q40" si="176">F40*P40</f>
        <v>10635170.95145631</v>
      </c>
      <c r="R40">
        <f t="shared" ref="R40" si="177">R41+Q40</f>
        <v>-137398685.73810565</v>
      </c>
      <c r="S40">
        <f t="shared" ref="S40" si="178">R40/100000</f>
        <v>-1373.9868573810566</v>
      </c>
      <c r="T40">
        <f t="shared" ref="T40" si="179">S40/1000</f>
        <v>-1.3739868573810565</v>
      </c>
    </row>
    <row r="41" spans="1:20" x14ac:dyDescent="0.25">
      <c r="A41" s="5">
        <v>44552</v>
      </c>
      <c r="B41">
        <v>0.86399999999999999</v>
      </c>
      <c r="C41">
        <v>0.92500000000000004</v>
      </c>
      <c r="D41">
        <v>0.85699999999999998</v>
      </c>
      <c r="E41">
        <v>0.89800000000000002</v>
      </c>
      <c r="F41">
        <v>9838341.9000000004</v>
      </c>
      <c r="G41">
        <v>0.89800000000000002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0.20588235294117646</v>
      </c>
      <c r="Q41">
        <f t="shared" ref="Q41" si="181">F41*P41</f>
        <v>2025540.9794117648</v>
      </c>
      <c r="R41">
        <f t="shared" ref="R41" si="182">R42+Q41</f>
        <v>-148033856.68956196</v>
      </c>
      <c r="S41">
        <f t="shared" ref="S41" si="183">R41/100000</f>
        <v>-1480.3385668956196</v>
      </c>
      <c r="T41">
        <f t="shared" ref="T41" si="184">S41/1000</f>
        <v>-1.4803385668956195</v>
      </c>
    </row>
    <row r="42" spans="1:20" x14ac:dyDescent="0.25">
      <c r="A42" s="5">
        <v>44551</v>
      </c>
      <c r="B42">
        <v>0.81299999999999994</v>
      </c>
      <c r="C42">
        <v>0.86799999999999999</v>
      </c>
      <c r="D42">
        <v>0.80600000000000005</v>
      </c>
      <c r="E42">
        <v>0.86499999999999999</v>
      </c>
      <c r="F42">
        <v>5603690.7000000002</v>
      </c>
      <c r="G42">
        <v>0.86499999999999999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0.90322580645161277</v>
      </c>
      <c r="Q42">
        <f t="shared" ref="Q42" si="186">F42*P42</f>
        <v>5061398.0516129024</v>
      </c>
      <c r="R42">
        <f t="shared" ref="R42" si="187">R43+Q42</f>
        <v>-150059397.66897371</v>
      </c>
      <c r="S42">
        <f t="shared" ref="S42" si="188">R42/100000</f>
        <v>-1500.5939766897372</v>
      </c>
      <c r="T42">
        <f t="shared" ref="T42" si="189">S42/1000</f>
        <v>-1.5005939766897372</v>
      </c>
    </row>
    <row r="43" spans="1:20" x14ac:dyDescent="0.25">
      <c r="A43" s="5">
        <v>44550</v>
      </c>
      <c r="B43">
        <v>0.82599999999999996</v>
      </c>
      <c r="C43">
        <v>0.83099999999999996</v>
      </c>
      <c r="D43">
        <v>0.77500000000000002</v>
      </c>
      <c r="E43">
        <v>0.81100000000000005</v>
      </c>
      <c r="F43">
        <v>6285437.4000000004</v>
      </c>
      <c r="G43">
        <v>0.81100000000000005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0.28571428571428825</v>
      </c>
      <c r="Q43">
        <f t="shared" ref="Q43" si="191">F43*P43</f>
        <v>1795839.2571428732</v>
      </c>
      <c r="R43">
        <f t="shared" ref="R43" si="192">R44+Q43</f>
        <v>-155120795.72058663</v>
      </c>
      <c r="S43">
        <f t="shared" ref="S43" si="193">R43/100000</f>
        <v>-1551.2079572058663</v>
      </c>
      <c r="T43">
        <f t="shared" ref="T43" si="194">S43/1000</f>
        <v>-1.5512079572058664</v>
      </c>
    </row>
    <row r="44" spans="1:20" x14ac:dyDescent="0.25">
      <c r="A44" s="5">
        <v>44549</v>
      </c>
      <c r="B44">
        <v>0.85</v>
      </c>
      <c r="C44">
        <v>0.872</v>
      </c>
      <c r="D44">
        <v>0.81799999999999995</v>
      </c>
      <c r="E44">
        <v>0.82599999999999996</v>
      </c>
      <c r="F44">
        <v>4262106.4000000004</v>
      </c>
      <c r="G44">
        <v>0.82599999999999996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-0.70370370370370372</v>
      </c>
      <c r="Q44">
        <f t="shared" ref="Q44" si="196">F44*P44</f>
        <v>-2999260.0592592596</v>
      </c>
      <c r="R44">
        <f t="shared" ref="R44" si="197">R45+Q44</f>
        <v>-156916634.9777295</v>
      </c>
      <c r="S44">
        <f t="shared" ref="S44" si="198">R44/100000</f>
        <v>-1569.166349777295</v>
      </c>
      <c r="T44">
        <f t="shared" ref="T44" si="199">S44/1000</f>
        <v>-1.569166349777295</v>
      </c>
    </row>
    <row r="45" spans="1:20" x14ac:dyDescent="0.25">
      <c r="A45" s="5">
        <v>44548</v>
      </c>
      <c r="B45">
        <v>0.81899999999999995</v>
      </c>
      <c r="C45">
        <v>0.877</v>
      </c>
      <c r="D45">
        <v>0.80600000000000005</v>
      </c>
      <c r="E45">
        <v>0.85</v>
      </c>
      <c r="F45">
        <v>4416123.2</v>
      </c>
      <c r="G45">
        <v>0.85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0.23943661971830868</v>
      </c>
      <c r="Q45">
        <f t="shared" ref="Q45" si="201">F45*P45</f>
        <v>1057381.6112676004</v>
      </c>
      <c r="R45">
        <f t="shared" ref="R45" si="202">R46+Q45</f>
        <v>-153917374.91847023</v>
      </c>
      <c r="S45">
        <f t="shared" ref="S45" si="203">R45/100000</f>
        <v>-1539.1737491847023</v>
      </c>
      <c r="T45">
        <f t="shared" ref="T45" si="204">S45/1000</f>
        <v>-1.5391737491847022</v>
      </c>
    </row>
    <row r="46" spans="1:20" x14ac:dyDescent="0.25">
      <c r="A46" s="5">
        <v>44547</v>
      </c>
      <c r="B46">
        <v>0.84099999999999997</v>
      </c>
      <c r="C46">
        <v>0.86899999999999999</v>
      </c>
      <c r="D46">
        <v>0.8</v>
      </c>
      <c r="E46">
        <v>0.81799999999999995</v>
      </c>
      <c r="F46">
        <v>5817044.2000000002</v>
      </c>
      <c r="G46">
        <v>0.81799999999999995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-0.47826086956521979</v>
      </c>
      <c r="Q46">
        <f t="shared" ref="Q46" si="206">F46*P46</f>
        <v>-2782064.6173913185</v>
      </c>
      <c r="R46">
        <f t="shared" ref="R46" si="207">R47+Q46</f>
        <v>-154974756.52973783</v>
      </c>
      <c r="S46">
        <f t="shared" ref="S46" si="208">R46/100000</f>
        <v>-1549.7475652973783</v>
      </c>
      <c r="T46">
        <f t="shared" ref="T46" si="209">S46/1000</f>
        <v>-1.5497475652973782</v>
      </c>
    </row>
    <row r="47" spans="1:20" x14ac:dyDescent="0.25">
      <c r="A47" s="5">
        <v>44546</v>
      </c>
      <c r="B47">
        <v>0.84699999999999998</v>
      </c>
      <c r="C47">
        <v>0.89300000000000002</v>
      </c>
      <c r="D47">
        <v>0.83599999999999997</v>
      </c>
      <c r="E47">
        <v>0.84199999999999997</v>
      </c>
      <c r="F47">
        <v>6864653.0999999996</v>
      </c>
      <c r="G47">
        <v>0.84199999999999997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-0.78947368421052633</v>
      </c>
      <c r="Q47">
        <f t="shared" ref="Q47" si="211">F47*P47</f>
        <v>-5419462.9736842103</v>
      </c>
      <c r="R47">
        <f t="shared" ref="R47" si="212">R48+Q47</f>
        <v>-152192691.91234651</v>
      </c>
      <c r="S47">
        <f t="shared" ref="S47" si="213">R47/100000</f>
        <v>-1521.926919123465</v>
      </c>
      <c r="T47">
        <f t="shared" ref="T47" si="214">S47/1000</f>
        <v>-1.521926919123465</v>
      </c>
    </row>
    <row r="48" spans="1:20" x14ac:dyDescent="0.25">
      <c r="A48" s="5">
        <v>44545</v>
      </c>
      <c r="B48">
        <v>0.83499999999999996</v>
      </c>
      <c r="C48">
        <v>0.85799999999999998</v>
      </c>
      <c r="D48">
        <v>0.77400000000000002</v>
      </c>
      <c r="E48">
        <v>0.84599999999999997</v>
      </c>
      <c r="F48">
        <v>7040545.2000000002</v>
      </c>
      <c r="G48">
        <v>0.84599999999999997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0.71428571428571386</v>
      </c>
      <c r="Q48">
        <f t="shared" ref="Q48" si="216">F48*P48</f>
        <v>5028960.8571428545</v>
      </c>
      <c r="R48">
        <f t="shared" ref="R48" si="217">R49+Q48</f>
        <v>-146773228.93866229</v>
      </c>
      <c r="S48">
        <f t="shared" ref="S48" si="218">R48/100000</f>
        <v>-1467.7322893866228</v>
      </c>
      <c r="T48">
        <f t="shared" ref="T48" si="219">S48/1000</f>
        <v>-1.4677322893866229</v>
      </c>
    </row>
    <row r="49" spans="1:20" x14ac:dyDescent="0.25">
      <c r="A49" s="5">
        <v>44544</v>
      </c>
      <c r="B49">
        <v>0.81499999999999995</v>
      </c>
      <c r="C49">
        <v>0.84599999999999997</v>
      </c>
      <c r="D49">
        <v>0.79700000000000004</v>
      </c>
      <c r="E49">
        <v>0.83599999999999997</v>
      </c>
      <c r="F49">
        <v>7181476.7000000002</v>
      </c>
      <c r="G49">
        <v>0.83599999999999997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0.59183673469387665</v>
      </c>
      <c r="Q49">
        <f t="shared" ref="Q49" si="221">F49*P49</f>
        <v>4250261.7204081565</v>
      </c>
      <c r="R49">
        <f t="shared" ref="R49" si="222">R50+Q49</f>
        <v>-151802189.79580516</v>
      </c>
      <c r="S49">
        <f t="shared" ref="S49" si="223">R49/100000</f>
        <v>-1518.0218979580516</v>
      </c>
      <c r="T49">
        <f t="shared" ref="T49" si="224">S49/1000</f>
        <v>-1.5180218979580515</v>
      </c>
    </row>
    <row r="50" spans="1:20" x14ac:dyDescent="0.25">
      <c r="A50" s="5">
        <v>44543</v>
      </c>
      <c r="B50">
        <v>0.92100000000000004</v>
      </c>
      <c r="C50">
        <v>0.92800000000000005</v>
      </c>
      <c r="D50">
        <v>0.79500000000000004</v>
      </c>
      <c r="E50">
        <v>0.81299999999999994</v>
      </c>
      <c r="F50">
        <v>9535967.4000000004</v>
      </c>
      <c r="G50">
        <v>0.81299999999999994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-0.72932330827067815</v>
      </c>
      <c r="Q50">
        <f t="shared" ref="Q50" si="226">F50*P50</f>
        <v>-6954803.2917293375</v>
      </c>
      <c r="R50">
        <f t="shared" ref="R50" si="227">R51+Q50</f>
        <v>-156052451.5162133</v>
      </c>
      <c r="S50">
        <f t="shared" ref="S50" si="228">R50/100000</f>
        <v>-1560.524515162133</v>
      </c>
      <c r="T50">
        <f t="shared" ref="T50" si="229">S50/1000</f>
        <v>-1.560524515162133</v>
      </c>
    </row>
    <row r="51" spans="1:20" x14ac:dyDescent="0.25">
      <c r="A51" s="5">
        <v>44542</v>
      </c>
      <c r="B51">
        <v>0.90200000000000002</v>
      </c>
      <c r="C51">
        <v>0.92600000000000005</v>
      </c>
      <c r="D51">
        <v>0.87</v>
      </c>
      <c r="E51">
        <v>0.92100000000000004</v>
      </c>
      <c r="F51">
        <v>5101555.8</v>
      </c>
      <c r="G51">
        <v>0.92100000000000004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0.8214285714285714</v>
      </c>
      <c r="Q51">
        <f t="shared" ref="Q51" si="231">F51*P51</f>
        <v>4190563.6928571425</v>
      </c>
      <c r="R51">
        <f t="shared" ref="R51" si="232">R52+Q51</f>
        <v>-149097648.22448397</v>
      </c>
      <c r="S51">
        <f t="shared" ref="S51" si="233">R51/100000</f>
        <v>-1490.9764822448396</v>
      </c>
      <c r="T51">
        <f t="shared" ref="T51" si="234">S51/1000</f>
        <v>-1.4909764822448397</v>
      </c>
    </row>
    <row r="52" spans="1:20" x14ac:dyDescent="0.25">
      <c r="A52" s="5">
        <v>44541</v>
      </c>
      <c r="B52">
        <v>0.85099999999999998</v>
      </c>
      <c r="C52">
        <v>0.873</v>
      </c>
      <c r="D52">
        <v>0.83599999999999997</v>
      </c>
      <c r="E52">
        <v>0.86599999999999999</v>
      </c>
      <c r="F52">
        <v>739644.8</v>
      </c>
      <c r="G52">
        <v>0.86599999999999999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0.6216216216216216</v>
      </c>
      <c r="Q52">
        <f t="shared" ref="Q52" si="236">F52*P52</f>
        <v>459779.2</v>
      </c>
      <c r="R52">
        <f t="shared" ref="R52" si="237">R53+Q52</f>
        <v>-153288211.91734111</v>
      </c>
      <c r="S52">
        <f t="shared" ref="S52" si="238">R52/100000</f>
        <v>-1532.8821191734112</v>
      </c>
      <c r="T52">
        <f t="shared" ref="T52" si="239">S52/1000</f>
        <v>-1.5328821191734112</v>
      </c>
    </row>
    <row r="53" spans="1:20" x14ac:dyDescent="0.25">
      <c r="A53" s="5">
        <v>44540</v>
      </c>
      <c r="B53">
        <v>0.89400000000000002</v>
      </c>
      <c r="C53">
        <v>0.93500000000000005</v>
      </c>
      <c r="D53">
        <v>0.84399999999999997</v>
      </c>
      <c r="E53">
        <v>0.85099999999999998</v>
      </c>
      <c r="F53">
        <v>9835819.5</v>
      </c>
      <c r="G53">
        <v>0.85099999999999998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-0.84615384615384615</v>
      </c>
      <c r="Q53">
        <f t="shared" ref="Q53" si="241">F53*P53</f>
        <v>-8322616.5</v>
      </c>
      <c r="R53">
        <f t="shared" ref="R53" si="242">R54+Q53</f>
        <v>-153747991.1173411</v>
      </c>
      <c r="S53">
        <f t="shared" ref="S53" si="243">R53/100000</f>
        <v>-1537.479911173411</v>
      </c>
      <c r="T53">
        <f t="shared" ref="T53" si="244">S53/1000</f>
        <v>-1.537479911173411</v>
      </c>
    </row>
    <row r="54" spans="1:20" x14ac:dyDescent="0.25">
      <c r="A54" s="5">
        <v>44539</v>
      </c>
      <c r="B54">
        <v>0.97199999999999998</v>
      </c>
      <c r="C54">
        <v>0.999</v>
      </c>
      <c r="D54">
        <v>0.88500000000000001</v>
      </c>
      <c r="E54">
        <v>0.89300000000000002</v>
      </c>
      <c r="F54">
        <v>13442433.5</v>
      </c>
      <c r="G54">
        <v>0.89300000000000002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-0.85964912280701744</v>
      </c>
      <c r="Q54">
        <f t="shared" ref="Q54" si="246">F54*P54</f>
        <v>-11555776.166666666</v>
      </c>
      <c r="R54">
        <f t="shared" ref="R54" si="247">R55+Q54</f>
        <v>-145425374.6173411</v>
      </c>
      <c r="S54">
        <f t="shared" ref="S54" si="248">R54/100000</f>
        <v>-1454.2537461734109</v>
      </c>
      <c r="T54">
        <f t="shared" ref="T54" si="249">S54/1000</f>
        <v>-1.4542537461734109</v>
      </c>
    </row>
    <row r="55" spans="1:20" x14ac:dyDescent="0.25">
      <c r="A55" s="5">
        <v>44538</v>
      </c>
      <c r="B55">
        <v>0.95799999999999996</v>
      </c>
      <c r="C55">
        <v>0.97899999999999998</v>
      </c>
      <c r="D55">
        <v>0.9</v>
      </c>
      <c r="E55">
        <v>0.97299999999999998</v>
      </c>
      <c r="F55">
        <v>13510900.800000001</v>
      </c>
      <c r="G55">
        <v>0.97299999999999998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0.84810126582278456</v>
      </c>
      <c r="Q55">
        <f t="shared" ref="Q55" si="251">F55*P55</f>
        <v>11458612.070886074</v>
      </c>
      <c r="R55">
        <f t="shared" ref="R55" si="252">R56+Q55</f>
        <v>-133869598.45067444</v>
      </c>
      <c r="S55">
        <f t="shared" ref="S55" si="253">R55/100000</f>
        <v>-1338.6959845067445</v>
      </c>
      <c r="T55">
        <f t="shared" ref="T55" si="254">S55/1000</f>
        <v>-1.3386959845067445</v>
      </c>
    </row>
    <row r="56" spans="1:20" x14ac:dyDescent="0.25">
      <c r="A56" s="5">
        <v>44537</v>
      </c>
      <c r="B56">
        <v>0.97299999999999998</v>
      </c>
      <c r="C56">
        <v>1.004</v>
      </c>
      <c r="D56">
        <v>0.93799999999999994</v>
      </c>
      <c r="E56">
        <v>0.95799999999999996</v>
      </c>
      <c r="F56">
        <v>9973434.5999999996</v>
      </c>
      <c r="G56">
        <v>0.95799999999999996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-0.39393939393939392</v>
      </c>
      <c r="Q56">
        <f t="shared" ref="Q56" si="256">F56*P56</f>
        <v>-3928928.7818181813</v>
      </c>
      <c r="R56">
        <f t="shared" ref="R56" si="257">R57+Q56</f>
        <v>-145328210.52156052</v>
      </c>
      <c r="S56">
        <f t="shared" ref="S56" si="258">R56/100000</f>
        <v>-1453.2821052156053</v>
      </c>
      <c r="T56">
        <f t="shared" ref="T56" si="259">S56/1000</f>
        <v>-1.4532821052156053</v>
      </c>
    </row>
    <row r="57" spans="1:20" x14ac:dyDescent="0.25">
      <c r="A57" s="5">
        <v>44536</v>
      </c>
      <c r="B57">
        <v>0.92900000000000005</v>
      </c>
      <c r="C57">
        <v>0.98499999999999999</v>
      </c>
      <c r="D57">
        <v>0.84499999999999997</v>
      </c>
      <c r="E57">
        <v>0.97399999999999998</v>
      </c>
      <c r="F57">
        <v>14747853.300000001</v>
      </c>
      <c r="G57">
        <v>0.97399999999999998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0.84285714285714275</v>
      </c>
      <c r="Q57">
        <f t="shared" ref="Q57" si="261">F57*P57</f>
        <v>12430333.495714284</v>
      </c>
      <c r="R57">
        <f t="shared" ref="R57" si="262">R58+Q57</f>
        <v>-141399281.73974234</v>
      </c>
      <c r="S57">
        <f t="shared" ref="S57" si="263">R57/100000</f>
        <v>-1413.9928173974233</v>
      </c>
      <c r="T57">
        <f t="shared" ref="T57" si="264">S57/1000</f>
        <v>-1.4139928173974232</v>
      </c>
    </row>
    <row r="58" spans="1:20" x14ac:dyDescent="0.25">
      <c r="A58" s="5">
        <v>44535</v>
      </c>
      <c r="B58">
        <v>1.0249999999999999</v>
      </c>
      <c r="C58">
        <v>1.0629999999999999</v>
      </c>
      <c r="D58">
        <v>0.89800000000000002</v>
      </c>
      <c r="E58">
        <v>0.92800000000000005</v>
      </c>
      <c r="F58">
        <v>14800101.9</v>
      </c>
      <c r="G58">
        <v>0.92800000000000005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-0.63636363636363591</v>
      </c>
      <c r="Q58">
        <f t="shared" ref="Q58" si="266">F58*P58</f>
        <v>-9418246.6636363566</v>
      </c>
      <c r="R58">
        <f t="shared" ref="R58" si="267">R59+Q58</f>
        <v>-153829615.23545662</v>
      </c>
      <c r="S58">
        <f t="shared" ref="S58" si="268">R58/100000</f>
        <v>-1538.2961523545662</v>
      </c>
      <c r="T58">
        <f t="shared" ref="T58" si="269">S58/1000</f>
        <v>-1.5382961523545662</v>
      </c>
    </row>
    <row r="59" spans="1:20" x14ac:dyDescent="0.25">
      <c r="A59" s="5">
        <v>44534</v>
      </c>
      <c r="B59">
        <v>1.296</v>
      </c>
      <c r="C59">
        <v>1.3</v>
      </c>
      <c r="D59">
        <v>0.77100000000000002</v>
      </c>
      <c r="E59">
        <v>1.0249999999999999</v>
      </c>
      <c r="F59">
        <v>29772584.931000002</v>
      </c>
      <c r="G59">
        <v>1.0249999999999999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-3.9697542533081741E-2</v>
      </c>
      <c r="Q59">
        <f t="shared" ref="Q59" si="271">F59*P59</f>
        <v>-1181898.4566181612</v>
      </c>
      <c r="R59">
        <f t="shared" ref="R59" si="272">R60+Q59</f>
        <v>-144411368.57182026</v>
      </c>
      <c r="S59">
        <f t="shared" ref="S59" si="273">R59/100000</f>
        <v>-1444.1136857182025</v>
      </c>
      <c r="T59">
        <f t="shared" ref="T59" si="274">S59/1000</f>
        <v>-1.4441136857182024</v>
      </c>
    </row>
    <row r="60" spans="1:20" x14ac:dyDescent="0.25">
      <c r="A60" s="5">
        <v>44533</v>
      </c>
      <c r="B60">
        <v>1.4119999999999999</v>
      </c>
      <c r="C60">
        <v>1.44</v>
      </c>
      <c r="D60">
        <v>1.2350000000000001</v>
      </c>
      <c r="E60">
        <v>1.2989999999999999</v>
      </c>
      <c r="F60">
        <v>13234454</v>
      </c>
      <c r="G60">
        <v>1.2989999999999999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-0.37560975609756214</v>
      </c>
      <c r="Q60">
        <f t="shared" ref="Q60" si="276">F60*P60</f>
        <v>-4970990.0390244061</v>
      </c>
      <c r="R60">
        <f t="shared" ref="R60" si="277">R61+Q60</f>
        <v>-143229470.1152021</v>
      </c>
      <c r="S60">
        <f t="shared" ref="S60" si="278">R60/100000</f>
        <v>-1432.2947011520209</v>
      </c>
      <c r="T60">
        <f t="shared" ref="T60" si="279">S60/1000</f>
        <v>-1.4322947011520208</v>
      </c>
    </row>
    <row r="61" spans="1:20" x14ac:dyDescent="0.25">
      <c r="A61" s="5">
        <v>44532</v>
      </c>
      <c r="B61">
        <v>1.3879999999999999</v>
      </c>
      <c r="C61">
        <v>1.4379999999999999</v>
      </c>
      <c r="D61">
        <v>1.3140000000000001</v>
      </c>
      <c r="E61">
        <v>1.41</v>
      </c>
      <c r="F61">
        <v>9946103.4000000004</v>
      </c>
      <c r="G61">
        <v>1.41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0.54838709677419273</v>
      </c>
      <c r="Q61">
        <f t="shared" ref="Q61" si="281">F61*P61</f>
        <v>5454314.7677419279</v>
      </c>
      <c r="R61">
        <f t="shared" ref="R61" si="282">R62+Q61</f>
        <v>-138258480.07617769</v>
      </c>
      <c r="S61">
        <f t="shared" ref="S61" si="283">R61/100000</f>
        <v>-1382.5848007617769</v>
      </c>
      <c r="T61">
        <f t="shared" ref="T61" si="284">S61/1000</f>
        <v>-1.3825848007617769</v>
      </c>
    </row>
    <row r="62" spans="1:20" x14ac:dyDescent="0.25">
      <c r="A62" s="5">
        <v>44531</v>
      </c>
      <c r="B62">
        <v>1.452</v>
      </c>
      <c r="C62">
        <v>1.482</v>
      </c>
      <c r="D62">
        <v>1.37</v>
      </c>
      <c r="E62">
        <v>1.389</v>
      </c>
      <c r="F62">
        <v>11079662</v>
      </c>
      <c r="G62">
        <v>1.389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-0.66071428571428703</v>
      </c>
      <c r="Q62">
        <f t="shared" ref="Q62" si="286">F62*P62</f>
        <v>-7320490.9642857285</v>
      </c>
      <c r="R62">
        <f t="shared" ref="R62" si="287">R63+Q62</f>
        <v>-143712794.84391961</v>
      </c>
      <c r="S62">
        <f t="shared" ref="S62" si="288">R62/100000</f>
        <v>-1437.127948439196</v>
      </c>
      <c r="T62">
        <f t="shared" ref="T62" si="289">S62/1000</f>
        <v>-1.4371279484391959</v>
      </c>
    </row>
    <row r="63" spans="1:20" x14ac:dyDescent="0.25">
      <c r="A63" s="5">
        <v>44530</v>
      </c>
      <c r="B63">
        <v>1.4590000000000001</v>
      </c>
      <c r="C63">
        <v>1.542</v>
      </c>
      <c r="D63">
        <v>1.4039999999999999</v>
      </c>
      <c r="E63">
        <v>1.452</v>
      </c>
      <c r="F63">
        <v>17684878.600000001</v>
      </c>
      <c r="G63">
        <v>1.452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-0.30434782608695654</v>
      </c>
      <c r="Q63">
        <f t="shared" ref="Q63" si="291">F63*P63</f>
        <v>-5382354.3565217396</v>
      </c>
      <c r="R63">
        <f t="shared" ref="R63" si="292">R64+Q63</f>
        <v>-136392303.87963387</v>
      </c>
      <c r="S63">
        <f t="shared" ref="S63" si="293">R63/100000</f>
        <v>-1363.9230387963387</v>
      </c>
      <c r="T63">
        <f t="shared" ref="T63" si="294">S63/1000</f>
        <v>-1.3639230387963386</v>
      </c>
    </row>
    <row r="64" spans="1:20" x14ac:dyDescent="0.25">
      <c r="A64" s="5">
        <v>44529</v>
      </c>
      <c r="B64">
        <v>1.4039999999999999</v>
      </c>
      <c r="C64">
        <v>1.496</v>
      </c>
      <c r="D64">
        <v>1.353</v>
      </c>
      <c r="E64">
        <v>1.4590000000000001</v>
      </c>
      <c r="F64">
        <v>17760137.300000001</v>
      </c>
      <c r="G64">
        <v>1.4590000000000001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0.48251748251748366</v>
      </c>
      <c r="Q64">
        <f t="shared" ref="Q64" si="296">F64*P64</f>
        <v>8569576.73916086</v>
      </c>
      <c r="R64">
        <f t="shared" ref="R64" si="297">R65+Q64</f>
        <v>-131009949.52311215</v>
      </c>
      <c r="S64">
        <f t="shared" ref="S64" si="298">R64/100000</f>
        <v>-1310.0994952311214</v>
      </c>
      <c r="T64">
        <f t="shared" ref="T64" si="299">S64/1000</f>
        <v>-1.3100994952311213</v>
      </c>
    </row>
    <row r="65" spans="1:20" x14ac:dyDescent="0.25">
      <c r="A65" s="5">
        <v>44528</v>
      </c>
      <c r="B65">
        <v>1.3420000000000001</v>
      </c>
      <c r="C65">
        <v>1.5880000000000001</v>
      </c>
      <c r="D65">
        <v>1.276</v>
      </c>
      <c r="E65">
        <v>1.4019999999999999</v>
      </c>
      <c r="F65">
        <v>39798449.200000003</v>
      </c>
      <c r="G65">
        <v>1.4019999999999999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-0.19230769230769315</v>
      </c>
      <c r="Q65">
        <f t="shared" ref="Q65" si="301">F65*P65</f>
        <v>-7653547.9230769575</v>
      </c>
      <c r="R65">
        <f t="shared" ref="R65" si="302">R66+Q65</f>
        <v>-139579526.26227301</v>
      </c>
      <c r="S65">
        <f t="shared" ref="S65" si="303">R65/100000</f>
        <v>-1395.7952626227302</v>
      </c>
      <c r="T65">
        <f t="shared" ref="T65" si="304">S65/1000</f>
        <v>-1.3957952626227301</v>
      </c>
    </row>
    <row r="66" spans="1:20" x14ac:dyDescent="0.25">
      <c r="A66" s="5">
        <v>44527</v>
      </c>
      <c r="B66">
        <v>1.272</v>
      </c>
      <c r="C66">
        <v>1.391</v>
      </c>
      <c r="D66">
        <v>1.2669999999999999</v>
      </c>
      <c r="E66">
        <v>1.343</v>
      </c>
      <c r="F66">
        <v>6676132.2000000002</v>
      </c>
      <c r="G66">
        <v>1.343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0.22580645161290322</v>
      </c>
      <c r="Q66">
        <f t="shared" ref="Q66" si="306">F66*P66</f>
        <v>1507513.7225806452</v>
      </c>
      <c r="R66">
        <f t="shared" ref="R66" si="307">R67+Q66</f>
        <v>-131925978.33919606</v>
      </c>
      <c r="S66">
        <f t="shared" ref="S66" si="308">R66/100000</f>
        <v>-1319.2597833919606</v>
      </c>
      <c r="T66">
        <f t="shared" ref="T66" si="309">S66/1000</f>
        <v>-1.3192597833919606</v>
      </c>
    </row>
    <row r="67" spans="1:20" x14ac:dyDescent="0.25">
      <c r="A67" s="5">
        <v>44526</v>
      </c>
      <c r="B67">
        <v>1.4</v>
      </c>
      <c r="C67">
        <v>1.4379999999999999</v>
      </c>
      <c r="D67">
        <v>1.24</v>
      </c>
      <c r="E67">
        <v>1.2709999999999999</v>
      </c>
      <c r="F67">
        <v>11587389.199999999</v>
      </c>
      <c r="G67">
        <v>1.2709999999999999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-0.68686868686868763</v>
      </c>
      <c r="Q67">
        <f t="shared" ref="Q67" si="311">F67*P67</f>
        <v>-7959014.8040404124</v>
      </c>
      <c r="R67">
        <f t="shared" ref="R67" si="312">R68+Q67</f>
        <v>-133433492.0617767</v>
      </c>
      <c r="S67">
        <f t="shared" ref="S67" si="313">R67/100000</f>
        <v>-1334.334920617767</v>
      </c>
      <c r="T67">
        <f t="shared" ref="T67" si="314">S67/1000</f>
        <v>-1.334334920617767</v>
      </c>
    </row>
    <row r="68" spans="1:20" x14ac:dyDescent="0.25">
      <c r="A68" s="5">
        <v>44525</v>
      </c>
      <c r="B68">
        <v>1.3440000000000001</v>
      </c>
      <c r="C68">
        <v>1.431</v>
      </c>
      <c r="D68">
        <v>1.333</v>
      </c>
      <c r="E68">
        <v>1.3979999999999999</v>
      </c>
      <c r="F68">
        <v>8841342.9000000004</v>
      </c>
      <c r="G68">
        <v>1.3979999999999999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0.32653061224489571</v>
      </c>
      <c r="Q68">
        <f t="shared" ref="Q68" si="316">F68*P68</f>
        <v>2886969.110204062</v>
      </c>
      <c r="R68">
        <f t="shared" ref="R68" si="317">R69+Q68</f>
        <v>-125474477.25773628</v>
      </c>
      <c r="S68">
        <f t="shared" ref="S68" si="318">R68/100000</f>
        <v>-1254.7447725773627</v>
      </c>
      <c r="T68">
        <f t="shared" ref="T68" si="319">S68/1000</f>
        <v>-1.2547447725773626</v>
      </c>
    </row>
    <row r="69" spans="1:20" x14ac:dyDescent="0.25">
      <c r="A69" s="5">
        <v>44524</v>
      </c>
      <c r="B69">
        <v>1.4159999999999999</v>
      </c>
      <c r="C69">
        <v>1.42</v>
      </c>
      <c r="D69">
        <v>1.36</v>
      </c>
      <c r="E69">
        <v>1.3819999999999999</v>
      </c>
      <c r="F69">
        <v>3078929.1</v>
      </c>
      <c r="G69">
        <v>1.3819999999999999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-0.26666666666667138</v>
      </c>
      <c r="Q69">
        <f t="shared" ref="Q69" si="321">F69*P69</f>
        <v>-821047.76000001456</v>
      </c>
      <c r="R69">
        <f t="shared" ref="R69" si="322">R70+Q69</f>
        <v>-128361446.36794034</v>
      </c>
      <c r="S69">
        <f t="shared" ref="S69" si="323">R69/100000</f>
        <v>-1283.6144636794033</v>
      </c>
      <c r="T69">
        <f t="shared" ref="T69" si="324">S69/1000</f>
        <v>-1.2836144636794034</v>
      </c>
    </row>
    <row r="70" spans="1:20" x14ac:dyDescent="0.25">
      <c r="A70" s="5">
        <v>44523</v>
      </c>
      <c r="B70">
        <v>1.3520000000000001</v>
      </c>
      <c r="C70">
        <v>1.4370000000000001</v>
      </c>
      <c r="D70">
        <v>1.33</v>
      </c>
      <c r="E70">
        <v>1.4159999999999999</v>
      </c>
      <c r="F70">
        <v>6941587.5999999996</v>
      </c>
      <c r="G70">
        <v>1.4159999999999999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0.60747663551401621</v>
      </c>
      <c r="Q70">
        <f t="shared" ref="Q70" si="326">F70*P70</f>
        <v>4216852.2803738145</v>
      </c>
      <c r="R70">
        <f t="shared" ref="R70" si="327">R71+Q70</f>
        <v>-127540398.60794032</v>
      </c>
      <c r="S70">
        <f t="shared" ref="S70" si="328">R70/100000</f>
        <v>-1275.4039860794032</v>
      </c>
      <c r="T70">
        <f t="shared" ref="T70" si="329">S70/1000</f>
        <v>-1.2754039860794033</v>
      </c>
    </row>
    <row r="71" spans="1:20" x14ac:dyDescent="0.25">
      <c r="A71" s="5">
        <v>44522</v>
      </c>
      <c r="B71">
        <v>1.4139999999999999</v>
      </c>
      <c r="C71">
        <v>1.42</v>
      </c>
      <c r="D71">
        <v>1.3180000000000001</v>
      </c>
      <c r="E71">
        <v>1.3520000000000001</v>
      </c>
      <c r="F71">
        <v>7302614.5999999996</v>
      </c>
      <c r="G71">
        <v>1.3520000000000001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-0.33333333333333187</v>
      </c>
      <c r="Q71">
        <f t="shared" ref="Q71" si="331">F71*P71</f>
        <v>-2434204.866666656</v>
      </c>
      <c r="R71">
        <f t="shared" ref="R71" si="332">R72+Q71</f>
        <v>-131757250.88831413</v>
      </c>
      <c r="S71">
        <f t="shared" ref="S71" si="333">R71/100000</f>
        <v>-1317.5725088831414</v>
      </c>
      <c r="T71">
        <f t="shared" ref="T71" si="334">S71/1000</f>
        <v>-1.3175725088831414</v>
      </c>
    </row>
    <row r="72" spans="1:20" x14ac:dyDescent="0.25">
      <c r="A72" s="5">
        <v>44521</v>
      </c>
      <c r="B72">
        <v>1.448</v>
      </c>
      <c r="C72">
        <v>1.484</v>
      </c>
      <c r="D72">
        <v>1.3859999999999999</v>
      </c>
      <c r="E72">
        <v>1.413</v>
      </c>
      <c r="F72">
        <v>9723961.0999999996</v>
      </c>
      <c r="G72">
        <v>1.413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-0.44897959183673242</v>
      </c>
      <c r="Q72">
        <f t="shared" ref="Q72" si="336">F72*P72</f>
        <v>-4365860.0857142638</v>
      </c>
      <c r="R72">
        <f t="shared" ref="R72" si="337">R73+Q72</f>
        <v>-129323046.02164747</v>
      </c>
      <c r="S72">
        <f t="shared" ref="S72" si="338">R72/100000</f>
        <v>-1293.2304602164747</v>
      </c>
      <c r="T72">
        <f t="shared" ref="T72" si="339">S72/1000</f>
        <v>-1.2932304602164748</v>
      </c>
    </row>
    <row r="73" spans="1:20" x14ac:dyDescent="0.25">
      <c r="A73" s="5">
        <v>44520</v>
      </c>
      <c r="B73">
        <v>1.369</v>
      </c>
      <c r="C73">
        <v>1.466</v>
      </c>
      <c r="D73">
        <v>1.3540000000000001</v>
      </c>
      <c r="E73">
        <v>1.4490000000000001</v>
      </c>
      <c r="F73">
        <v>8503614.5999999996</v>
      </c>
      <c r="G73">
        <v>1.4490000000000001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0.69642857142857284</v>
      </c>
      <c r="Q73">
        <f t="shared" ref="Q73" si="341">F73*P73</f>
        <v>5922160.1678571543</v>
      </c>
      <c r="R73">
        <f t="shared" ref="R73" si="342">R74+Q73</f>
        <v>-124957185.9359332</v>
      </c>
      <c r="S73">
        <f t="shared" ref="S73" si="343">R73/100000</f>
        <v>-1249.5718593593319</v>
      </c>
      <c r="T73">
        <f t="shared" ref="T73" si="344">S73/1000</f>
        <v>-1.2495718593593319</v>
      </c>
    </row>
    <row r="74" spans="1:20" x14ac:dyDescent="0.25">
      <c r="A74" s="5">
        <v>44519</v>
      </c>
      <c r="B74">
        <v>1.2849999999999999</v>
      </c>
      <c r="C74">
        <v>1.4059999999999999</v>
      </c>
      <c r="D74">
        <v>1.27</v>
      </c>
      <c r="E74">
        <v>1.3680000000000001</v>
      </c>
      <c r="F74">
        <v>7123381.5</v>
      </c>
      <c r="G74">
        <v>1.3680000000000001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0.44117647058823767</v>
      </c>
      <c r="Q74">
        <f t="shared" ref="Q74" si="346">F74*P74</f>
        <v>3142668.3088235464</v>
      </c>
      <c r="R74">
        <f t="shared" ref="R74" si="347">R75+Q74</f>
        <v>-130879346.10379036</v>
      </c>
      <c r="S74">
        <f t="shared" ref="S74" si="348">R74/100000</f>
        <v>-1308.7934610379036</v>
      </c>
      <c r="T74">
        <f t="shared" ref="T74" si="349">S74/1000</f>
        <v>-1.3087934610379037</v>
      </c>
    </row>
    <row r="75" spans="1:20" x14ac:dyDescent="0.25">
      <c r="A75" s="5">
        <v>44518</v>
      </c>
      <c r="B75">
        <v>1.427</v>
      </c>
      <c r="C75">
        <v>1.456</v>
      </c>
      <c r="D75">
        <v>1.2150000000000001</v>
      </c>
      <c r="E75">
        <v>1.2869999999999999</v>
      </c>
      <c r="F75">
        <v>10903343.300000001</v>
      </c>
      <c r="G75">
        <v>1.2869999999999999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-0.40248962655601761</v>
      </c>
      <c r="Q75">
        <f t="shared" ref="Q75" si="351">F75*P75</f>
        <v>-4388482.5730290571</v>
      </c>
      <c r="R75">
        <f t="shared" ref="R75" si="352">R76+Q75</f>
        <v>-134022014.4126139</v>
      </c>
      <c r="S75">
        <f t="shared" ref="S75" si="353">R75/100000</f>
        <v>-1340.2201441261391</v>
      </c>
      <c r="T75">
        <f t="shared" ref="T75" si="354">S75/1000</f>
        <v>-1.340220144126139</v>
      </c>
    </row>
    <row r="76" spans="1:20" x14ac:dyDescent="0.25">
      <c r="A76" s="5">
        <v>44517</v>
      </c>
      <c r="B76">
        <v>1.425</v>
      </c>
      <c r="C76">
        <v>1.456</v>
      </c>
      <c r="D76">
        <v>1.363</v>
      </c>
      <c r="E76">
        <v>1.4279999999999999</v>
      </c>
      <c r="F76">
        <v>6909524.7000000002</v>
      </c>
      <c r="G76">
        <v>1.4279999999999999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0.39784946236559066</v>
      </c>
      <c r="Q76">
        <f t="shared" ref="Q76" si="356">F76*P76</f>
        <v>2748950.687096769</v>
      </c>
      <c r="R76">
        <f t="shared" ref="R76" si="357">R77+Q76</f>
        <v>-129633531.83958484</v>
      </c>
      <c r="S76">
        <f t="shared" ref="S76" si="358">R76/100000</f>
        <v>-1296.3353183958484</v>
      </c>
      <c r="T76">
        <f t="shared" ref="T76" si="359">S76/1000</f>
        <v>-1.2963353183958484</v>
      </c>
    </row>
    <row r="77" spans="1:20" x14ac:dyDescent="0.25">
      <c r="A77" s="5">
        <v>44516</v>
      </c>
      <c r="B77">
        <v>1.6459999999999999</v>
      </c>
      <c r="C77">
        <v>1.6459999999999999</v>
      </c>
      <c r="D77">
        <v>1.3240000000000001</v>
      </c>
      <c r="E77">
        <v>1.4279999999999999</v>
      </c>
      <c r="F77">
        <v>15078051.699999999</v>
      </c>
      <c r="G77">
        <v>1.4279999999999999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-0.35403726708074584</v>
      </c>
      <c r="Q77">
        <f t="shared" ref="Q77" si="361">F77*P77</f>
        <v>-5338192.2167701935</v>
      </c>
      <c r="R77">
        <f t="shared" ref="R77" si="362">R78+Q77</f>
        <v>-132382482.52668162</v>
      </c>
      <c r="S77">
        <f t="shared" ref="S77" si="363">R77/100000</f>
        <v>-1323.8248252668161</v>
      </c>
      <c r="T77">
        <f t="shared" ref="T77" si="364">S77/1000</f>
        <v>-1.3238248252668161</v>
      </c>
    </row>
    <row r="78" spans="1:20" x14ac:dyDescent="0.25">
      <c r="A78" s="5">
        <v>44515</v>
      </c>
      <c r="B78">
        <v>1.657</v>
      </c>
      <c r="C78">
        <v>1.7190000000000001</v>
      </c>
      <c r="D78">
        <v>1.6060000000000001</v>
      </c>
      <c r="E78">
        <v>1.647</v>
      </c>
      <c r="F78">
        <v>7829807.9000000004</v>
      </c>
      <c r="G78">
        <v>1.647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-0.27433628318584197</v>
      </c>
      <c r="Q78">
        <f t="shared" ref="Q78" si="366">F78*P78</f>
        <v>-2148000.3973451429</v>
      </c>
      <c r="R78">
        <f t="shared" ref="R78" si="367">R79+Q78</f>
        <v>-127044290.30991143</v>
      </c>
      <c r="S78">
        <f t="shared" ref="S78" si="368">R78/100000</f>
        <v>-1270.4429030991143</v>
      </c>
      <c r="T78">
        <f t="shared" ref="T78" si="369">S78/1000</f>
        <v>-1.2704429030991145</v>
      </c>
    </row>
    <row r="79" spans="1:20" x14ac:dyDescent="0.25">
      <c r="A79" s="5">
        <v>44514</v>
      </c>
      <c r="B79">
        <v>1.6970000000000001</v>
      </c>
      <c r="C79">
        <v>1.7130000000000001</v>
      </c>
      <c r="D79">
        <v>1.615</v>
      </c>
      <c r="E79">
        <v>1.657</v>
      </c>
      <c r="F79">
        <v>6328016.7999999998</v>
      </c>
      <c r="G79">
        <v>1.657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-0.14285714285714285</v>
      </c>
      <c r="Q79">
        <f t="shared" ref="Q79" si="371">F79*P79</f>
        <v>-904002.39999999991</v>
      </c>
      <c r="R79">
        <f t="shared" ref="R79" si="372">R80+Q79</f>
        <v>-124896289.91256629</v>
      </c>
      <c r="S79">
        <f t="shared" ref="S79" si="373">R79/100000</f>
        <v>-1248.9628991256629</v>
      </c>
      <c r="T79">
        <f t="shared" ref="T79" si="374">S79/1000</f>
        <v>-1.2489628991256629</v>
      </c>
    </row>
    <row r="80" spans="1:20" x14ac:dyDescent="0.25">
      <c r="A80" s="5">
        <v>44513</v>
      </c>
      <c r="B80">
        <v>1.7130000000000001</v>
      </c>
      <c r="C80">
        <v>1.7569999999999999</v>
      </c>
      <c r="D80">
        <v>1.6819999999999999</v>
      </c>
      <c r="E80">
        <v>1.696</v>
      </c>
      <c r="F80">
        <v>5493498.5999999996</v>
      </c>
      <c r="G80">
        <v>1.696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-0.62666666666666615</v>
      </c>
      <c r="Q80">
        <f t="shared" ref="Q80" si="376">F80*P80</f>
        <v>-3442592.455999997</v>
      </c>
      <c r="R80">
        <f t="shared" ref="R80" si="377">R81+Q80</f>
        <v>-123992287.51256628</v>
      </c>
      <c r="S80">
        <f t="shared" ref="S80" si="378">R80/100000</f>
        <v>-1239.9228751256628</v>
      </c>
      <c r="T80">
        <f t="shared" ref="T80" si="379">S80/1000</f>
        <v>-1.2399228751256628</v>
      </c>
    </row>
    <row r="81" spans="1:20" x14ac:dyDescent="0.25">
      <c r="A81" s="5">
        <v>44512</v>
      </c>
      <c r="B81">
        <v>1.7430000000000001</v>
      </c>
      <c r="C81">
        <v>1.83</v>
      </c>
      <c r="D81">
        <v>1.64</v>
      </c>
      <c r="E81">
        <v>1.7130000000000001</v>
      </c>
      <c r="F81">
        <v>15672292.699999999</v>
      </c>
      <c r="G81">
        <v>1.7130000000000001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-0.23157894736841989</v>
      </c>
      <c r="Q81">
        <f t="shared" ref="Q81" si="381">F81*P81</f>
        <v>-3629373.0463157711</v>
      </c>
      <c r="R81">
        <f t="shared" ref="R81" si="382">R82+Q81</f>
        <v>-120549695.05656628</v>
      </c>
      <c r="S81">
        <f t="shared" ref="S81" si="383">R81/100000</f>
        <v>-1205.4969505656629</v>
      </c>
      <c r="T81">
        <f t="shared" ref="T81" si="384">S81/1000</f>
        <v>-1.205496950565663</v>
      </c>
    </row>
    <row r="82" spans="1:20" x14ac:dyDescent="0.25">
      <c r="A82" s="5">
        <v>44511</v>
      </c>
      <c r="B82">
        <v>1.595</v>
      </c>
      <c r="C82">
        <v>1.7989999999999999</v>
      </c>
      <c r="D82">
        <v>1.5489999999999999</v>
      </c>
      <c r="E82">
        <v>1.742</v>
      </c>
      <c r="F82">
        <v>15437135.9</v>
      </c>
      <c r="G82">
        <v>1.742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0.54400000000000048</v>
      </c>
      <c r="Q82">
        <f t="shared" ref="Q82" si="386">F82*P82</f>
        <v>8397801.9296000078</v>
      </c>
      <c r="R82">
        <f t="shared" ref="R82" si="387">R83+Q82</f>
        <v>-116920322.01025051</v>
      </c>
      <c r="S82">
        <f t="shared" ref="S82" si="388">R82/100000</f>
        <v>-1169.2032201025052</v>
      </c>
      <c r="T82">
        <f t="shared" ref="T82" si="389">S82/1000</f>
        <v>-1.1692032201025051</v>
      </c>
    </row>
    <row r="83" spans="1:20" x14ac:dyDescent="0.25">
      <c r="A83" s="5">
        <v>44510</v>
      </c>
      <c r="B83">
        <v>1.7390000000000001</v>
      </c>
      <c r="C83">
        <v>1.855</v>
      </c>
      <c r="D83">
        <v>1.462</v>
      </c>
      <c r="E83">
        <v>1.5960000000000001</v>
      </c>
      <c r="F83">
        <v>16305275.4</v>
      </c>
      <c r="G83">
        <v>1.5960000000000001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-0.31806615776081365</v>
      </c>
      <c r="Q83">
        <f t="shared" ref="Q83" si="391">F83*P83</f>
        <v>-5186156.2977099139</v>
      </c>
      <c r="R83">
        <f t="shared" ref="R83" si="392">R84+Q83</f>
        <v>-125318123.93985051</v>
      </c>
      <c r="S83">
        <f t="shared" ref="S83" si="393">R83/100000</f>
        <v>-1253.1812393985051</v>
      </c>
      <c r="T83">
        <f t="shared" ref="T83" si="394">S83/1000</f>
        <v>-1.2531812393985051</v>
      </c>
    </row>
    <row r="84" spans="1:20" x14ac:dyDescent="0.25">
      <c r="A84" s="5">
        <v>44509</v>
      </c>
      <c r="B84">
        <v>1.821</v>
      </c>
      <c r="C84">
        <v>1.829</v>
      </c>
      <c r="D84">
        <v>1.724</v>
      </c>
      <c r="E84">
        <v>1.74</v>
      </c>
      <c r="F84">
        <v>8395277.5</v>
      </c>
      <c r="G84">
        <v>1.74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-0.69523809523809488</v>
      </c>
      <c r="Q84">
        <f t="shared" ref="Q84" si="396">F84*P84</f>
        <v>-5836716.7380952351</v>
      </c>
      <c r="R84">
        <f t="shared" ref="R84" si="397">R85+Q84</f>
        <v>-120131967.6421406</v>
      </c>
      <c r="S84">
        <f t="shared" ref="S84" si="398">R84/100000</f>
        <v>-1201.319676421406</v>
      </c>
      <c r="T84">
        <f t="shared" ref="T84" si="399">S84/1000</f>
        <v>-1.201319676421406</v>
      </c>
    </row>
    <row r="85" spans="1:20" x14ac:dyDescent="0.25">
      <c r="A85" s="5">
        <v>44508</v>
      </c>
      <c r="B85">
        <v>1.847</v>
      </c>
      <c r="C85">
        <v>1.8759999999999999</v>
      </c>
      <c r="D85">
        <v>1.764</v>
      </c>
      <c r="E85">
        <v>1.8220000000000001</v>
      </c>
      <c r="F85">
        <v>10165375.199999999</v>
      </c>
      <c r="G85">
        <v>1.8220000000000001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3.5714285714287766E-2</v>
      </c>
      <c r="Q85">
        <f t="shared" ref="Q85" si="401">F85*P85</f>
        <v>363049.11428573512</v>
      </c>
      <c r="R85">
        <f t="shared" ref="R85" si="402">R86+Q85</f>
        <v>-114295250.90404536</v>
      </c>
      <c r="S85">
        <f t="shared" ref="S85" si="403">R85/100000</f>
        <v>-1142.9525090404536</v>
      </c>
      <c r="T85">
        <f t="shared" ref="T85" si="404">S85/1000</f>
        <v>-1.1429525090404535</v>
      </c>
    </row>
    <row r="86" spans="1:20" x14ac:dyDescent="0.25">
      <c r="A86" s="5">
        <v>44507</v>
      </c>
      <c r="B86">
        <v>1.6619999999999999</v>
      </c>
      <c r="C86">
        <v>1.895</v>
      </c>
      <c r="D86">
        <v>1.651</v>
      </c>
      <c r="E86">
        <v>1.8460000000000001</v>
      </c>
      <c r="F86">
        <v>24856753.199999999</v>
      </c>
      <c r="G86">
        <v>1.8460000000000001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0.59836065573770547</v>
      </c>
      <c r="Q86">
        <f t="shared" ref="Q86" si="406">F86*P86</f>
        <v>14873303.144262308</v>
      </c>
      <c r="R86">
        <f t="shared" ref="R86" si="407">R87+Q86</f>
        <v>-114658300.0183311</v>
      </c>
      <c r="S86">
        <f t="shared" ref="S86" si="408">R86/100000</f>
        <v>-1146.583000183311</v>
      </c>
      <c r="T86">
        <f t="shared" ref="T86" si="409">S86/1000</f>
        <v>-1.1465830001833111</v>
      </c>
    </row>
    <row r="87" spans="1:20" x14ac:dyDescent="0.25">
      <c r="A87" s="5">
        <v>44506</v>
      </c>
      <c r="B87">
        <v>1.6819999999999999</v>
      </c>
      <c r="C87">
        <v>1.714</v>
      </c>
      <c r="D87">
        <v>1.569</v>
      </c>
      <c r="E87">
        <v>1.661</v>
      </c>
      <c r="F87">
        <v>5615305.4000000004</v>
      </c>
      <c r="G87">
        <v>1.661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0.26896551724138029</v>
      </c>
      <c r="Q87">
        <f t="shared" ref="Q87" si="411">F87*P87</f>
        <v>1510323.521379316</v>
      </c>
      <c r="R87">
        <f t="shared" ref="R87" si="412">R88+Q87</f>
        <v>-129531603.16259341</v>
      </c>
      <c r="S87">
        <f t="shared" ref="S87" si="413">R87/100000</f>
        <v>-1295.3160316259341</v>
      </c>
      <c r="T87">
        <f t="shared" ref="T87" si="414">S87/1000</f>
        <v>-1.295316031625934</v>
      </c>
    </row>
    <row r="88" spans="1:20" x14ac:dyDescent="0.25">
      <c r="A88" s="5">
        <v>44505</v>
      </c>
      <c r="B88">
        <v>1.722</v>
      </c>
      <c r="C88">
        <v>1.7430000000000001</v>
      </c>
      <c r="D88">
        <v>1.6539999999999999</v>
      </c>
      <c r="E88">
        <v>1.6819999999999999</v>
      </c>
      <c r="F88">
        <v>5692418.4000000004</v>
      </c>
      <c r="G88">
        <v>1.6819999999999999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-0.37078651685393338</v>
      </c>
      <c r="Q88">
        <f t="shared" ref="Q88" si="416">F88*P88</f>
        <v>-2110671.9910112405</v>
      </c>
      <c r="R88">
        <f t="shared" ref="R88" si="417">R89+Q88</f>
        <v>-131041926.68397273</v>
      </c>
      <c r="S88">
        <f t="shared" ref="S88" si="418">R88/100000</f>
        <v>-1310.4192668397272</v>
      </c>
      <c r="T88">
        <f t="shared" ref="T88" si="419">S88/1000</f>
        <v>-1.3104192668397272</v>
      </c>
    </row>
    <row r="89" spans="1:20" x14ac:dyDescent="0.25">
      <c r="A89" s="5">
        <v>44504</v>
      </c>
      <c r="B89">
        <v>1.8320000000000001</v>
      </c>
      <c r="C89">
        <v>1.8480000000000001</v>
      </c>
      <c r="D89">
        <v>1.677</v>
      </c>
      <c r="E89">
        <v>1.7210000000000001</v>
      </c>
      <c r="F89">
        <v>8812780.4000000004</v>
      </c>
      <c r="G89">
        <v>1.7210000000000001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-0.48538011695906397</v>
      </c>
      <c r="Q89">
        <f t="shared" ref="Q89" si="421">F89*P89</f>
        <v>-4277548.3812865466</v>
      </c>
      <c r="R89">
        <f t="shared" ref="R89" si="422">R90+Q89</f>
        <v>-128931254.69296148</v>
      </c>
      <c r="S89">
        <f t="shared" ref="S89" si="423">R89/100000</f>
        <v>-1289.3125469296149</v>
      </c>
      <c r="T89">
        <f t="shared" ref="T89" si="424">S89/1000</f>
        <v>-1.2893125469296149</v>
      </c>
    </row>
    <row r="90" spans="1:20" x14ac:dyDescent="0.25">
      <c r="A90" s="5">
        <v>44503</v>
      </c>
      <c r="B90">
        <v>1.8169999999999999</v>
      </c>
      <c r="C90">
        <v>1.885</v>
      </c>
      <c r="D90">
        <v>1.659</v>
      </c>
      <c r="E90">
        <v>1.83</v>
      </c>
      <c r="F90">
        <v>15613248.699999999</v>
      </c>
      <c r="G90">
        <v>1.83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0.51327433628318631</v>
      </c>
      <c r="Q90">
        <f t="shared" ref="Q90" si="426">F90*P90</f>
        <v>8013879.8637168212</v>
      </c>
      <c r="R90">
        <f t="shared" ref="R90" si="427">R91+Q90</f>
        <v>-124653706.31167494</v>
      </c>
      <c r="S90">
        <f t="shared" ref="S90" si="428">R90/100000</f>
        <v>-1246.5370631167493</v>
      </c>
      <c r="T90">
        <f t="shared" ref="T90" si="429">S90/1000</f>
        <v>-1.2465370631167494</v>
      </c>
    </row>
    <row r="91" spans="1:20" x14ac:dyDescent="0.25">
      <c r="A91" s="5">
        <v>44502</v>
      </c>
      <c r="B91">
        <v>1.738</v>
      </c>
      <c r="C91">
        <v>1.8480000000000001</v>
      </c>
      <c r="D91">
        <v>1.7</v>
      </c>
      <c r="E91">
        <v>1.8160000000000001</v>
      </c>
      <c r="F91">
        <v>13938896.4</v>
      </c>
      <c r="G91">
        <v>1.8160000000000001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0.56756756756756754</v>
      </c>
      <c r="Q91">
        <f t="shared" ref="Q91" si="431">F91*P91</f>
        <v>7911265.524324324</v>
      </c>
      <c r="R91">
        <f t="shared" ref="R91" si="432">R92+Q91</f>
        <v>-132667586.17539176</v>
      </c>
      <c r="S91">
        <f t="shared" ref="S91" si="433">R91/100000</f>
        <v>-1326.6758617539176</v>
      </c>
      <c r="T91">
        <f t="shared" ref="T91" si="434">S91/1000</f>
        <v>-1.3266758617539176</v>
      </c>
    </row>
    <row r="92" spans="1:20" x14ac:dyDescent="0.25">
      <c r="A92" s="5">
        <v>44501</v>
      </c>
      <c r="B92">
        <v>1.7290000000000001</v>
      </c>
      <c r="C92">
        <v>1.8069999999999999</v>
      </c>
      <c r="D92">
        <v>1.6519999999999999</v>
      </c>
      <c r="E92">
        <v>1.7390000000000001</v>
      </c>
      <c r="F92">
        <v>14456629</v>
      </c>
      <c r="G92">
        <v>1.7390000000000001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0.12258064516129256</v>
      </c>
      <c r="Q92">
        <f t="shared" ref="Q92" si="436">F92*P92</f>
        <v>1772102.9096774517</v>
      </c>
      <c r="R92">
        <f t="shared" ref="R92" si="437">R93+Q92</f>
        <v>-140578851.69971609</v>
      </c>
      <c r="S92">
        <f t="shared" ref="S92" si="438">R92/100000</f>
        <v>-1405.788516997161</v>
      </c>
      <c r="T92">
        <f t="shared" ref="T92" si="439">S92/1000</f>
        <v>-1.4057885169971609</v>
      </c>
    </row>
    <row r="93" spans="1:20" x14ac:dyDescent="0.25">
      <c r="A93" s="5">
        <v>44500</v>
      </c>
      <c r="B93">
        <v>1.722</v>
      </c>
      <c r="C93">
        <v>1.9650000000000001</v>
      </c>
      <c r="D93">
        <v>1.635</v>
      </c>
      <c r="E93">
        <v>1.728</v>
      </c>
      <c r="F93">
        <v>43339425.399999999</v>
      </c>
      <c r="G93">
        <v>1.728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-0.43636363636363668</v>
      </c>
      <c r="Q93">
        <f t="shared" ref="Q93" si="441">F93*P93</f>
        <v>-18911749.265454557</v>
      </c>
      <c r="R93">
        <f t="shared" ref="R93" si="442">R94+Q93</f>
        <v>-142350954.60939354</v>
      </c>
      <c r="S93">
        <f t="shared" ref="S93" si="443">R93/100000</f>
        <v>-1423.5095460939353</v>
      </c>
      <c r="T93">
        <f t="shared" ref="T93" si="444">S93/1000</f>
        <v>-1.4235095460939353</v>
      </c>
    </row>
    <row r="94" spans="1:20" x14ac:dyDescent="0.25">
      <c r="A94" s="5">
        <v>44499</v>
      </c>
      <c r="B94">
        <v>1.53</v>
      </c>
      <c r="C94">
        <v>1.7490000000000001</v>
      </c>
      <c r="D94">
        <v>1.466</v>
      </c>
      <c r="E94">
        <v>1.722</v>
      </c>
      <c r="F94">
        <v>23537745.399999999</v>
      </c>
      <c r="G94">
        <v>1.722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0.80918727915194255</v>
      </c>
      <c r="Q94">
        <f t="shared" ref="Q94" si="446">F94*P94</f>
        <v>19046444.157597151</v>
      </c>
      <c r="R94">
        <f t="shared" ref="R94" si="447">R95+Q94</f>
        <v>-123439205.34393898</v>
      </c>
      <c r="S94">
        <f t="shared" ref="S94" si="448">R94/100000</f>
        <v>-1234.3920534393897</v>
      </c>
      <c r="T94">
        <f t="shared" ref="T94" si="449">S94/1000</f>
        <v>-1.2343920534393897</v>
      </c>
    </row>
    <row r="95" spans="1:20" x14ac:dyDescent="0.25">
      <c r="A95" s="5">
        <v>44498</v>
      </c>
      <c r="B95">
        <v>1.411</v>
      </c>
      <c r="C95">
        <v>1.569</v>
      </c>
      <c r="D95">
        <v>1.4019999999999999</v>
      </c>
      <c r="E95">
        <v>1.528</v>
      </c>
      <c r="F95">
        <v>10737374.199999999</v>
      </c>
      <c r="G95">
        <v>1.528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0.50898203592814473</v>
      </c>
      <c r="Q95">
        <f t="shared" ref="Q95" si="451">F95*P95</f>
        <v>5465130.5808383338</v>
      </c>
      <c r="R95">
        <f t="shared" ref="R95" si="452">R96+Q95</f>
        <v>-142485649.50153613</v>
      </c>
      <c r="S95">
        <f t="shared" ref="S95" si="453">R95/100000</f>
        <v>-1424.8564950153614</v>
      </c>
      <c r="T95">
        <f t="shared" ref="T95" si="454">S95/1000</f>
        <v>-1.4248564950153613</v>
      </c>
    </row>
    <row r="96" spans="1:20" x14ac:dyDescent="0.25">
      <c r="A96" s="5">
        <v>44497</v>
      </c>
      <c r="B96">
        <v>1.373</v>
      </c>
      <c r="C96">
        <v>1.472</v>
      </c>
      <c r="D96">
        <v>1.355</v>
      </c>
      <c r="E96">
        <v>1.413</v>
      </c>
      <c r="F96">
        <v>11661787.800000001</v>
      </c>
      <c r="G96">
        <v>1.413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-8.5470085470076059E-3</v>
      </c>
      <c r="Q96">
        <f t="shared" ref="Q96" si="456">F96*P96</f>
        <v>-99673.399999989037</v>
      </c>
      <c r="R96">
        <f t="shared" ref="R96" si="457">R97+Q96</f>
        <v>-147950780.08237445</v>
      </c>
      <c r="S96">
        <f t="shared" ref="S96" si="458">R96/100000</f>
        <v>-1479.5078008237444</v>
      </c>
      <c r="T96">
        <f t="shared" ref="T96" si="459">S96/1000</f>
        <v>-1.4795078008237446</v>
      </c>
    </row>
    <row r="97" spans="1:20" x14ac:dyDescent="0.25">
      <c r="A97" s="5">
        <v>44496</v>
      </c>
      <c r="B97">
        <v>1.581</v>
      </c>
      <c r="C97">
        <v>1.75</v>
      </c>
      <c r="D97">
        <v>1.369</v>
      </c>
      <c r="E97">
        <v>1.373</v>
      </c>
      <c r="F97">
        <v>20530628.5</v>
      </c>
      <c r="G97">
        <v>1.373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-0.97900262467191601</v>
      </c>
      <c r="Q97">
        <f t="shared" ref="Q97" si="461">F97*P97</f>
        <v>-20099539.187664043</v>
      </c>
      <c r="R97">
        <f t="shared" ref="R97" si="462">R98+Q97</f>
        <v>-147851106.68237448</v>
      </c>
      <c r="S97">
        <f t="shared" ref="S97" si="463">R97/100000</f>
        <v>-1478.5110668237448</v>
      </c>
      <c r="T97">
        <f t="shared" ref="T97" si="464">S97/1000</f>
        <v>-1.4785110668237449</v>
      </c>
    </row>
    <row r="98" spans="1:20" x14ac:dyDescent="0.25">
      <c r="A98" s="5">
        <v>44495</v>
      </c>
      <c r="B98">
        <v>1.595</v>
      </c>
      <c r="C98">
        <v>1.677</v>
      </c>
      <c r="D98">
        <v>1.5549999999999999</v>
      </c>
      <c r="E98">
        <v>1.58</v>
      </c>
      <c r="F98">
        <v>11520427.699999999</v>
      </c>
      <c r="G98">
        <v>1.58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-0.59016393442622772</v>
      </c>
      <c r="Q98">
        <f t="shared" ref="Q98" si="466">F98*P98</f>
        <v>-6798940.9377048966</v>
      </c>
      <c r="R98">
        <f t="shared" ref="R98" si="467">R99+Q98</f>
        <v>-127751567.49471043</v>
      </c>
      <c r="S98">
        <f t="shared" ref="S98" si="468">R98/100000</f>
        <v>-1277.5156749471043</v>
      </c>
      <c r="T98">
        <f t="shared" ref="T98" si="469">S98/1000</f>
        <v>-1.2775156749471044</v>
      </c>
    </row>
    <row r="99" spans="1:20" x14ac:dyDescent="0.25">
      <c r="A99" s="5">
        <v>44494</v>
      </c>
      <c r="B99">
        <v>1.504</v>
      </c>
      <c r="C99">
        <v>1.62</v>
      </c>
      <c r="D99">
        <v>1.496</v>
      </c>
      <c r="E99">
        <v>1.595</v>
      </c>
      <c r="F99">
        <v>9822453.9000000004</v>
      </c>
      <c r="G99">
        <v>1.595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0.59677419354838535</v>
      </c>
      <c r="Q99">
        <f t="shared" ref="Q99" si="471">F99*P99</f>
        <v>5861787.004838693</v>
      </c>
      <c r="R99">
        <f t="shared" ref="R99" si="472">R100+Q99</f>
        <v>-120952626.55700554</v>
      </c>
      <c r="S99">
        <f t="shared" ref="S99" si="473">R99/100000</f>
        <v>-1209.5262655700553</v>
      </c>
      <c r="T99">
        <f t="shared" ref="T99" si="474">S99/1000</f>
        <v>-1.2095262655700554</v>
      </c>
    </row>
    <row r="100" spans="1:20" x14ac:dyDescent="0.25">
      <c r="A100" s="5">
        <v>44493</v>
      </c>
      <c r="B100">
        <v>1.5880000000000001</v>
      </c>
      <c r="C100">
        <v>1.589</v>
      </c>
      <c r="D100">
        <v>1.468</v>
      </c>
      <c r="E100">
        <v>1.504</v>
      </c>
      <c r="F100">
        <v>5553902.0999999996</v>
      </c>
      <c r="G100">
        <v>1.504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-0.40495867768594984</v>
      </c>
      <c r="Q100">
        <f t="shared" ref="Q100" si="476">F100*P100</f>
        <v>-2249100.85041322</v>
      </c>
      <c r="R100">
        <f t="shared" ref="R100" si="477">R101+Q100</f>
        <v>-126814413.56184423</v>
      </c>
      <c r="S100">
        <f t="shared" ref="S100" si="478">R100/100000</f>
        <v>-1268.1441356184423</v>
      </c>
      <c r="T100">
        <f t="shared" ref="T100" si="479">S100/1000</f>
        <v>-1.2681441356184424</v>
      </c>
    </row>
    <row r="101" spans="1:20" x14ac:dyDescent="0.25">
      <c r="A101" s="5">
        <v>44492</v>
      </c>
      <c r="B101">
        <v>1.5860000000000001</v>
      </c>
      <c r="C101">
        <v>1.625</v>
      </c>
      <c r="D101">
        <v>1.5269999999999999</v>
      </c>
      <c r="E101">
        <v>1.585</v>
      </c>
      <c r="F101">
        <v>6847585.2999999998</v>
      </c>
      <c r="G101">
        <v>1.585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0.18367346938775511</v>
      </c>
      <c r="Q101">
        <f t="shared" ref="Q101" si="481">F101*P101</f>
        <v>1257719.7489795918</v>
      </c>
      <c r="R101">
        <f t="shared" ref="R101" si="482">R102+Q101</f>
        <v>-124565312.71143101</v>
      </c>
      <c r="S101">
        <f t="shared" ref="S101" si="483">R101/100000</f>
        <v>-1245.6531271143101</v>
      </c>
      <c r="T101">
        <f t="shared" ref="T101" si="484">S101/1000</f>
        <v>-1.2456531271143101</v>
      </c>
    </row>
    <row r="102" spans="1:20" x14ac:dyDescent="0.25">
      <c r="A102" s="5">
        <v>44491</v>
      </c>
      <c r="B102">
        <v>1.504</v>
      </c>
      <c r="C102">
        <v>1.589</v>
      </c>
      <c r="D102">
        <v>1.486</v>
      </c>
      <c r="E102">
        <v>1.585</v>
      </c>
      <c r="F102">
        <v>8339160.7000000002</v>
      </c>
      <c r="G102">
        <v>1.585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0.92233009708737856</v>
      </c>
      <c r="Q102">
        <f t="shared" ref="Q102" si="486">F102*P102</f>
        <v>7691458.8980582524</v>
      </c>
      <c r="R102">
        <f t="shared" ref="R102" si="487">R103+Q102</f>
        <v>-125823032.46041061</v>
      </c>
      <c r="S102">
        <f t="shared" ref="S102" si="488">R102/100000</f>
        <v>-1258.230324604106</v>
      </c>
      <c r="T102">
        <f t="shared" ref="T102" si="489">S102/1000</f>
        <v>-1.258230324604106</v>
      </c>
    </row>
    <row r="103" spans="1:20" x14ac:dyDescent="0.25">
      <c r="A103" s="5">
        <v>44490</v>
      </c>
      <c r="B103">
        <v>1.5549999999999999</v>
      </c>
      <c r="C103">
        <v>1.625</v>
      </c>
      <c r="D103">
        <v>1.4570000000000001</v>
      </c>
      <c r="E103">
        <v>1.504</v>
      </c>
      <c r="F103">
        <v>15765193.6</v>
      </c>
      <c r="G103">
        <v>1.504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-0.44047619047619108</v>
      </c>
      <c r="Q103">
        <f t="shared" ref="Q103" si="491">F103*P103</f>
        <v>-6944192.4190476285</v>
      </c>
      <c r="R103">
        <f t="shared" ref="R103" si="492">R104+Q103</f>
        <v>-133514491.35846886</v>
      </c>
      <c r="S103">
        <f t="shared" ref="S103" si="493">R103/100000</f>
        <v>-1335.1449135846885</v>
      </c>
      <c r="T103">
        <f t="shared" ref="T103" si="494">S103/1000</f>
        <v>-1.3351449135846885</v>
      </c>
    </row>
    <row r="104" spans="1:20" x14ac:dyDescent="0.25">
      <c r="A104" s="5">
        <v>44489</v>
      </c>
      <c r="B104">
        <v>1.5389999999999999</v>
      </c>
      <c r="C104">
        <v>1.625</v>
      </c>
      <c r="D104">
        <v>1.5009999999999999</v>
      </c>
      <c r="E104">
        <v>1.5549999999999999</v>
      </c>
      <c r="F104">
        <v>11672960.4</v>
      </c>
      <c r="G104">
        <v>1.5549999999999999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-0.12903225806451613</v>
      </c>
      <c r="Q104">
        <f t="shared" ref="Q104" si="496">F104*P104</f>
        <v>-1506188.4387096774</v>
      </c>
      <c r="R104">
        <f t="shared" ref="R104" si="497">R105+Q104</f>
        <v>-126570298.93942124</v>
      </c>
      <c r="S104">
        <f t="shared" ref="S104" si="498">R104/100000</f>
        <v>-1265.7029893942124</v>
      </c>
      <c r="T104">
        <f t="shared" ref="T104" si="499">S104/1000</f>
        <v>-1.2657029893942124</v>
      </c>
    </row>
    <row r="105" spans="1:20" x14ac:dyDescent="0.25">
      <c r="A105" s="5">
        <v>44488</v>
      </c>
      <c r="B105">
        <v>1.6240000000000001</v>
      </c>
      <c r="C105">
        <v>1.651</v>
      </c>
      <c r="D105">
        <v>1.522</v>
      </c>
      <c r="E105">
        <v>1.538</v>
      </c>
      <c r="F105">
        <v>10626376.4</v>
      </c>
      <c r="G105">
        <v>1.538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-0.75193798449612381</v>
      </c>
      <c r="Q105">
        <f t="shared" ref="Q105" si="501">F105*P105</f>
        <v>-7990376.0527131762</v>
      </c>
      <c r="R105">
        <f t="shared" ref="R105" si="502">R106+Q105</f>
        <v>-125064110.50071156</v>
      </c>
      <c r="S105">
        <f t="shared" ref="S105" si="503">R105/100000</f>
        <v>-1250.6411050071156</v>
      </c>
      <c r="T105">
        <f t="shared" ref="T105" si="504">S105/1000</f>
        <v>-1.2506411050071156</v>
      </c>
    </row>
    <row r="106" spans="1:20" x14ac:dyDescent="0.25">
      <c r="A106" s="5">
        <v>44487</v>
      </c>
      <c r="B106">
        <v>1.5349999999999999</v>
      </c>
      <c r="C106">
        <v>1.6890000000000001</v>
      </c>
      <c r="D106">
        <v>1.4910000000000001</v>
      </c>
      <c r="E106">
        <v>1.6240000000000001</v>
      </c>
      <c r="F106">
        <v>18316882.5</v>
      </c>
      <c r="G106">
        <v>1.6240000000000001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0.34343434343434381</v>
      </c>
      <c r="Q106">
        <f t="shared" ref="Q106" si="506">F106*P106</f>
        <v>6290646.5151515221</v>
      </c>
      <c r="R106">
        <f t="shared" ref="R106" si="507">R107+Q106</f>
        <v>-117073734.44799839</v>
      </c>
      <c r="S106">
        <f t="shared" ref="S106" si="508">R106/100000</f>
        <v>-1170.7373444799839</v>
      </c>
      <c r="T106">
        <f t="shared" ref="T106" si="509">S106/1000</f>
        <v>-1.170737344479984</v>
      </c>
    </row>
    <row r="107" spans="1:20" x14ac:dyDescent="0.25">
      <c r="A107" s="5">
        <v>44486</v>
      </c>
      <c r="B107">
        <v>1.6020000000000001</v>
      </c>
      <c r="C107">
        <v>1.625</v>
      </c>
      <c r="D107">
        <v>1.4530000000000001</v>
      </c>
      <c r="E107">
        <v>1.5349999999999999</v>
      </c>
      <c r="F107">
        <v>12051880.9</v>
      </c>
      <c r="G107">
        <v>1.5349999999999999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-4.6511627906978097E-2</v>
      </c>
      <c r="Q107">
        <f t="shared" ref="Q107" si="511">F107*P107</f>
        <v>-560552.60000001627</v>
      </c>
      <c r="R107">
        <f t="shared" ref="R107" si="512">R108+Q107</f>
        <v>-123364380.96314991</v>
      </c>
      <c r="S107">
        <f t="shared" ref="S107" si="513">R107/100000</f>
        <v>-1233.6438096314992</v>
      </c>
      <c r="T107">
        <f t="shared" ref="T107" si="514">S107/1000</f>
        <v>-1.2336438096314992</v>
      </c>
    </row>
    <row r="108" spans="1:20" x14ac:dyDescent="0.25">
      <c r="A108" s="5">
        <v>44485</v>
      </c>
      <c r="B108">
        <v>1.732</v>
      </c>
      <c r="C108">
        <v>1.8160000000000001</v>
      </c>
      <c r="D108">
        <v>1.546</v>
      </c>
      <c r="E108">
        <v>1.601</v>
      </c>
      <c r="F108">
        <v>23305779.5</v>
      </c>
      <c r="G108">
        <v>1.601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-0.59259259259259311</v>
      </c>
      <c r="Q108">
        <f t="shared" ref="Q108" si="516">F108*P108</f>
        <v>-13810832.296296308</v>
      </c>
      <c r="R108">
        <f t="shared" ref="R108" si="517">R109+Q108</f>
        <v>-122803828.3631499</v>
      </c>
      <c r="S108">
        <f t="shared" ref="S108" si="518">R108/100000</f>
        <v>-1228.0382836314989</v>
      </c>
      <c r="T108">
        <f t="shared" ref="T108" si="519">S108/1000</f>
        <v>-1.2280382836314989</v>
      </c>
    </row>
    <row r="109" spans="1:20" x14ac:dyDescent="0.25">
      <c r="A109" s="5">
        <v>44484</v>
      </c>
      <c r="B109">
        <v>1.4550000000000001</v>
      </c>
      <c r="C109">
        <v>1.986</v>
      </c>
      <c r="D109">
        <v>1.377</v>
      </c>
      <c r="E109">
        <v>1.732</v>
      </c>
      <c r="F109">
        <v>64512637.5</v>
      </c>
      <c r="G109">
        <v>1.732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0.16584564860426926</v>
      </c>
      <c r="Q109">
        <f t="shared" ref="Q109" si="521">F109*P109</f>
        <v>10699140.209359603</v>
      </c>
      <c r="R109">
        <f t="shared" ref="R109" si="522">R110+Q109</f>
        <v>-108992996.06685358</v>
      </c>
      <c r="S109">
        <f t="shared" ref="S109" si="523">R109/100000</f>
        <v>-1089.9299606685358</v>
      </c>
      <c r="T109">
        <f t="shared" ref="T109" si="524">S109/1000</f>
        <v>-1.0899299606685358</v>
      </c>
    </row>
    <row r="110" spans="1:20" x14ac:dyDescent="0.25">
      <c r="A110" s="5">
        <v>44483</v>
      </c>
      <c r="B110">
        <v>1.405</v>
      </c>
      <c r="C110">
        <v>1.6060000000000001</v>
      </c>
      <c r="D110">
        <v>1.385</v>
      </c>
      <c r="E110">
        <v>1.454</v>
      </c>
      <c r="F110">
        <v>25319088.5</v>
      </c>
      <c r="G110">
        <v>1.454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-0.37556561085972917</v>
      </c>
      <c r="Q110">
        <f t="shared" ref="Q110" si="526">F110*P110</f>
        <v>-9508978.9389140438</v>
      </c>
      <c r="R110">
        <f t="shared" ref="R110" si="527">R111+Q110</f>
        <v>-119692136.27621318</v>
      </c>
      <c r="S110">
        <f t="shared" ref="S110" si="528">R110/100000</f>
        <v>-1196.9213627621318</v>
      </c>
      <c r="T110">
        <f t="shared" ref="T110" si="529">S110/1000</f>
        <v>-1.1969213627621318</v>
      </c>
    </row>
    <row r="111" spans="1:20" x14ac:dyDescent="0.25">
      <c r="A111" s="5">
        <v>44482</v>
      </c>
      <c r="B111">
        <v>1.2929999999999999</v>
      </c>
      <c r="C111">
        <v>1.4370000000000001</v>
      </c>
      <c r="D111">
        <v>1.2829999999999999</v>
      </c>
      <c r="E111">
        <v>1.403</v>
      </c>
      <c r="F111">
        <v>19385943.199999999</v>
      </c>
      <c r="G111">
        <v>1.403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0.55844155844155841</v>
      </c>
      <c r="Q111">
        <f t="shared" ref="Q111" si="531">F111*P111</f>
        <v>10825916.332467532</v>
      </c>
      <c r="R111">
        <f t="shared" ref="R111" si="532">R112+Q111</f>
        <v>-110183157.33729914</v>
      </c>
      <c r="S111">
        <f t="shared" ref="S111" si="533">R111/100000</f>
        <v>-1101.8315733729914</v>
      </c>
      <c r="T111">
        <f t="shared" ref="T111" si="534">S111/1000</f>
        <v>-1.1018315733729915</v>
      </c>
    </row>
    <row r="112" spans="1:20" x14ac:dyDescent="0.25">
      <c r="A112" s="5">
        <v>44481</v>
      </c>
      <c r="B112">
        <v>1.288</v>
      </c>
      <c r="C112">
        <v>1.3049999999999999</v>
      </c>
      <c r="D112">
        <v>1.1870000000000001</v>
      </c>
      <c r="E112">
        <v>1.2909999999999999</v>
      </c>
      <c r="F112">
        <v>7831852.5</v>
      </c>
      <c r="G112">
        <v>1.2909999999999999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0.76271186440677918</v>
      </c>
      <c r="Q112">
        <f t="shared" ref="Q112" si="536">F112*P112</f>
        <v>5973446.8220338942</v>
      </c>
      <c r="R112">
        <f t="shared" ref="R112" si="537">R113+Q112</f>
        <v>-121009073.66976666</v>
      </c>
      <c r="S112">
        <f t="shared" ref="S112" si="538">R112/100000</f>
        <v>-1210.0907366976667</v>
      </c>
      <c r="T112">
        <f t="shared" ref="T112" si="539">S112/1000</f>
        <v>-1.2100907366976668</v>
      </c>
    </row>
    <row r="113" spans="1:20" x14ac:dyDescent="0.25">
      <c r="A113" s="5">
        <v>44480</v>
      </c>
      <c r="B113">
        <v>1.323</v>
      </c>
      <c r="C113">
        <v>1.38</v>
      </c>
      <c r="D113">
        <v>1.246</v>
      </c>
      <c r="E113">
        <v>1.288</v>
      </c>
      <c r="F113">
        <v>5583383.9000000004</v>
      </c>
      <c r="G113">
        <v>1.288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-0.37313432835820792</v>
      </c>
      <c r="Q113">
        <f t="shared" ref="Q113" si="541">F113*P113</f>
        <v>-2083352.2014925317</v>
      </c>
      <c r="R113">
        <f t="shared" ref="R113" si="542">R114+Q113</f>
        <v>-126982520.49180056</v>
      </c>
      <c r="S113">
        <f t="shared" ref="S113" si="543">R113/100000</f>
        <v>-1269.8252049180055</v>
      </c>
      <c r="T113">
        <f t="shared" ref="T113" si="544">S113/1000</f>
        <v>-1.2698252049180054</v>
      </c>
    </row>
    <row r="114" spans="1:20" x14ac:dyDescent="0.25">
      <c r="A114" s="5">
        <v>44479</v>
      </c>
      <c r="B114">
        <v>1.423</v>
      </c>
      <c r="C114">
        <v>1.4410000000000001</v>
      </c>
      <c r="D114">
        <v>1.31</v>
      </c>
      <c r="E114">
        <v>1.3240000000000001</v>
      </c>
      <c r="F114">
        <v>7102362.2999999998</v>
      </c>
      <c r="G114">
        <v>1.3240000000000001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-0.78625954198473269</v>
      </c>
      <c r="Q114">
        <f t="shared" ref="Q114" si="546">F114*P114</f>
        <v>-5584300.1290076328</v>
      </c>
      <c r="R114">
        <f t="shared" ref="R114" si="547">R115+Q114</f>
        <v>-124899168.29030803</v>
      </c>
      <c r="S114">
        <f t="shared" ref="S114" si="548">R114/100000</f>
        <v>-1248.9916829030803</v>
      </c>
      <c r="T114">
        <f t="shared" ref="T114" si="549">S114/1000</f>
        <v>-1.2489916829030803</v>
      </c>
    </row>
    <row r="115" spans="1:20" x14ac:dyDescent="0.25">
      <c r="A115" s="5">
        <v>44478</v>
      </c>
      <c r="B115">
        <v>1.4259999999999999</v>
      </c>
      <c r="C115">
        <v>1.452</v>
      </c>
      <c r="D115">
        <v>1.3959999999999999</v>
      </c>
      <c r="E115">
        <v>1.421</v>
      </c>
      <c r="F115">
        <v>4892915.4000000004</v>
      </c>
      <c r="G115">
        <v>1.421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-0.10714285714285318</v>
      </c>
      <c r="Q115">
        <f t="shared" ref="Q115" si="551">F115*P115</f>
        <v>-524240.93571426638</v>
      </c>
      <c r="R115">
        <f t="shared" ref="R115" si="552">R116+Q115</f>
        <v>-119314868.16130039</v>
      </c>
      <c r="S115">
        <f t="shared" ref="S115" si="553">R115/100000</f>
        <v>-1193.1486816130039</v>
      </c>
      <c r="T115">
        <f t="shared" ref="T115" si="554">S115/1000</f>
        <v>-1.1931486816130039</v>
      </c>
    </row>
    <row r="116" spans="1:20" x14ac:dyDescent="0.25">
      <c r="A116" s="5">
        <v>44477</v>
      </c>
      <c r="B116">
        <v>1.427</v>
      </c>
      <c r="C116">
        <v>1.55</v>
      </c>
      <c r="D116">
        <v>1.409</v>
      </c>
      <c r="E116">
        <v>1.427</v>
      </c>
      <c r="F116">
        <v>9709029.8000000007</v>
      </c>
      <c r="G116">
        <v>1.427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-0.74468085106382964</v>
      </c>
      <c r="Q116">
        <f t="shared" ref="Q116" si="556">F116*P116</f>
        <v>-7230128.5744680846</v>
      </c>
      <c r="R116">
        <f t="shared" ref="R116" si="557">R117+Q116</f>
        <v>-118790627.22558613</v>
      </c>
      <c r="S116">
        <f t="shared" ref="S116" si="558">R116/100000</f>
        <v>-1187.9062722558613</v>
      </c>
      <c r="T116">
        <f t="shared" ref="T116" si="559">S116/1000</f>
        <v>-1.1879062722558613</v>
      </c>
    </row>
    <row r="117" spans="1:20" x14ac:dyDescent="0.25">
      <c r="A117" s="5">
        <v>44476</v>
      </c>
      <c r="B117">
        <v>1.359</v>
      </c>
      <c r="C117">
        <v>1.47</v>
      </c>
      <c r="D117">
        <v>1.3109999999999999</v>
      </c>
      <c r="E117">
        <v>1.4279999999999999</v>
      </c>
      <c r="F117">
        <v>9708006.1999999993</v>
      </c>
      <c r="G117">
        <v>1.4279999999999999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0.47169811320754679</v>
      </c>
      <c r="Q117">
        <f t="shared" ref="Q117" si="561">F117*P117</f>
        <v>4579248.2075471655</v>
      </c>
      <c r="R117">
        <f t="shared" ref="R117" si="562">R118+Q117</f>
        <v>-111560498.65111804</v>
      </c>
      <c r="S117">
        <f t="shared" ref="S117" si="563">R117/100000</f>
        <v>-1115.6049865111804</v>
      </c>
      <c r="T117">
        <f t="shared" ref="T117" si="564">S117/1000</f>
        <v>-1.1156049865111803</v>
      </c>
    </row>
    <row r="118" spans="1:20" x14ac:dyDescent="0.25">
      <c r="A118" s="5">
        <v>44475</v>
      </c>
      <c r="B118">
        <v>1.403</v>
      </c>
      <c r="C118">
        <v>1.405</v>
      </c>
      <c r="D118">
        <v>1.28</v>
      </c>
      <c r="E118">
        <v>1.36</v>
      </c>
      <c r="F118">
        <v>9978916.1999999993</v>
      </c>
      <c r="G118">
        <v>1.36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0.28000000000000114</v>
      </c>
      <c r="Q118">
        <f t="shared" ref="Q118" si="566">F118*P118</f>
        <v>2794096.536000011</v>
      </c>
      <c r="R118">
        <f t="shared" ref="R118" si="567">R119+Q118</f>
        <v>-116139746.8586652</v>
      </c>
      <c r="S118">
        <f t="shared" ref="S118" si="568">R118/100000</f>
        <v>-1161.3974685866519</v>
      </c>
      <c r="T118">
        <f t="shared" ref="T118" si="569">S118/1000</f>
        <v>-1.1613974685866519</v>
      </c>
    </row>
    <row r="119" spans="1:20" x14ac:dyDescent="0.25">
      <c r="A119" s="5">
        <v>44474</v>
      </c>
      <c r="B119">
        <v>1.347</v>
      </c>
      <c r="C119">
        <v>1.476</v>
      </c>
      <c r="D119">
        <v>1.327</v>
      </c>
      <c r="E119">
        <v>1.403</v>
      </c>
      <c r="F119">
        <v>11280154.300000001</v>
      </c>
      <c r="G119">
        <v>1.403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2.0134228187920222E-2</v>
      </c>
      <c r="Q119">
        <f t="shared" ref="Q119" si="571">F119*P119</f>
        <v>227117.20067114951</v>
      </c>
      <c r="R119">
        <f t="shared" ref="R119" si="572">R120+Q119</f>
        <v>-118933843.39466521</v>
      </c>
      <c r="S119">
        <f t="shared" ref="S119" si="573">R119/100000</f>
        <v>-1189.338433946652</v>
      </c>
      <c r="T119">
        <f t="shared" ref="T119" si="574">S119/1000</f>
        <v>-1.189338433946652</v>
      </c>
    </row>
    <row r="120" spans="1:20" x14ac:dyDescent="0.25">
      <c r="A120" s="5">
        <v>44473</v>
      </c>
      <c r="B120">
        <v>1.3580000000000001</v>
      </c>
      <c r="C120">
        <v>1.361</v>
      </c>
      <c r="D120">
        <v>1.2549999999999999</v>
      </c>
      <c r="E120">
        <v>1.3460000000000001</v>
      </c>
      <c r="F120">
        <v>8737550</v>
      </c>
      <c r="G120">
        <v>1.3460000000000001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0.71698113207547376</v>
      </c>
      <c r="Q120">
        <f t="shared" ref="Q120" si="576">F120*P120</f>
        <v>6264658.4905660553</v>
      </c>
      <c r="R120">
        <f t="shared" ref="R120" si="577">R121+Q120</f>
        <v>-119160960.59533636</v>
      </c>
      <c r="S120">
        <f t="shared" ref="S120" si="578">R120/100000</f>
        <v>-1191.6096059533636</v>
      </c>
      <c r="T120">
        <f t="shared" ref="T120" si="579">S120/1000</f>
        <v>-1.1916096059533636</v>
      </c>
    </row>
    <row r="121" spans="1:20" x14ac:dyDescent="0.25">
      <c r="A121" s="5">
        <v>44472</v>
      </c>
      <c r="B121">
        <v>1.367</v>
      </c>
      <c r="C121">
        <v>1.399</v>
      </c>
      <c r="D121">
        <v>1.3180000000000001</v>
      </c>
      <c r="E121">
        <v>1.3520000000000001</v>
      </c>
      <c r="F121">
        <v>8929490.0999999996</v>
      </c>
      <c r="G121">
        <v>1.3520000000000001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-0.16049382716049268</v>
      </c>
      <c r="Q121">
        <f t="shared" ref="Q121" si="581">F121*P121</f>
        <v>-1433128.0407407305</v>
      </c>
      <c r="R121">
        <f t="shared" ref="R121" si="582">R122+Q121</f>
        <v>-125425619.08590242</v>
      </c>
      <c r="S121">
        <f t="shared" ref="S121" si="583">R121/100000</f>
        <v>-1254.2561908590242</v>
      </c>
      <c r="T121">
        <f t="shared" ref="T121" si="584">S121/1000</f>
        <v>-1.2542561908590242</v>
      </c>
    </row>
    <row r="122" spans="1:20" x14ac:dyDescent="0.25">
      <c r="A122" s="5">
        <v>44471</v>
      </c>
      <c r="B122">
        <v>1.306</v>
      </c>
      <c r="C122">
        <v>1.4570000000000001</v>
      </c>
      <c r="D122">
        <v>1.28</v>
      </c>
      <c r="E122">
        <v>1.367</v>
      </c>
      <c r="F122">
        <v>10753827.300000001</v>
      </c>
      <c r="G122">
        <v>1.367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-1.694915254237352E-2</v>
      </c>
      <c r="Q122">
        <f t="shared" ref="Q122" si="586">F122*P122</f>
        <v>-182268.25932204077</v>
      </c>
      <c r="R122">
        <f t="shared" ref="R122" si="587">R123+Q122</f>
        <v>-123992491.04516169</v>
      </c>
      <c r="S122">
        <f t="shared" ref="S122" si="588">R122/100000</f>
        <v>-1239.9249104516171</v>
      </c>
      <c r="T122">
        <f t="shared" ref="T122" si="589">S122/1000</f>
        <v>-1.239924910451617</v>
      </c>
    </row>
    <row r="123" spans="1:20" x14ac:dyDescent="0.25">
      <c r="A123" s="5">
        <v>44470</v>
      </c>
      <c r="B123">
        <v>1.1830000000000001</v>
      </c>
      <c r="C123">
        <v>1.3069999999999999</v>
      </c>
      <c r="D123">
        <v>1.169</v>
      </c>
      <c r="E123">
        <v>1.306</v>
      </c>
      <c r="F123">
        <v>12295645.9</v>
      </c>
      <c r="G123">
        <v>1.306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0.9855072463768132</v>
      </c>
      <c r="Q123">
        <f t="shared" ref="Q123" si="591">F123*P123</f>
        <v>12117448.133333353</v>
      </c>
      <c r="R123">
        <f t="shared" ref="R123" si="592">R124+Q123</f>
        <v>-123810222.78583965</v>
      </c>
      <c r="S123">
        <f t="shared" ref="S123" si="593">R123/100000</f>
        <v>-1238.1022278583964</v>
      </c>
      <c r="T123">
        <f t="shared" ref="T123" si="594">S123/1000</f>
        <v>-1.2381022278583964</v>
      </c>
    </row>
    <row r="124" spans="1:20" x14ac:dyDescent="0.25">
      <c r="A124" s="5">
        <v>44469</v>
      </c>
      <c r="B124">
        <v>1.1459999999999999</v>
      </c>
      <c r="C124">
        <v>1.2230000000000001</v>
      </c>
      <c r="D124">
        <v>1.1399999999999999</v>
      </c>
      <c r="E124">
        <v>1.1839999999999999</v>
      </c>
      <c r="F124">
        <v>9783539.5999999996</v>
      </c>
      <c r="G124">
        <v>1.1839999999999999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6.0240963855420271E-2</v>
      </c>
      <c r="Q124">
        <f t="shared" ref="Q124" si="596">F124*P124</f>
        <v>589369.85542167292</v>
      </c>
      <c r="R124">
        <f t="shared" ref="R124" si="597">R125+Q124</f>
        <v>-135927670.919173</v>
      </c>
      <c r="S124">
        <f t="shared" ref="S124" si="598">R124/100000</f>
        <v>-1359.2767091917301</v>
      </c>
      <c r="T124">
        <f t="shared" ref="T124" si="599">S124/1000</f>
        <v>-1.3592767091917302</v>
      </c>
    </row>
    <row r="125" spans="1:20" x14ac:dyDescent="0.25">
      <c r="A125" s="5">
        <v>44468</v>
      </c>
      <c r="B125">
        <v>1.1180000000000001</v>
      </c>
      <c r="C125">
        <v>1.2070000000000001</v>
      </c>
      <c r="D125">
        <v>1.113</v>
      </c>
      <c r="E125">
        <v>1.145</v>
      </c>
      <c r="F125">
        <v>5797191.9000000004</v>
      </c>
      <c r="G125">
        <v>1.145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-0.31914893617021278</v>
      </c>
      <c r="Q125">
        <f t="shared" ref="Q125" si="601">F125*P125</f>
        <v>-1850167.6276595746</v>
      </c>
      <c r="R125">
        <f t="shared" ref="R125" si="602">R126+Q125</f>
        <v>-136517040.77459466</v>
      </c>
      <c r="S125">
        <f t="shared" ref="S125" si="603">R125/100000</f>
        <v>-1365.1704077459467</v>
      </c>
      <c r="T125">
        <f t="shared" ref="T125" si="604">S125/1000</f>
        <v>-1.3651704077459468</v>
      </c>
    </row>
    <row r="126" spans="1:20" x14ac:dyDescent="0.25">
      <c r="A126" s="5">
        <v>44467</v>
      </c>
      <c r="B126">
        <v>1.1619999999999999</v>
      </c>
      <c r="C126">
        <v>1.198</v>
      </c>
      <c r="D126">
        <v>1.109</v>
      </c>
      <c r="E126">
        <v>1.119</v>
      </c>
      <c r="F126">
        <v>7502914.5999999996</v>
      </c>
      <c r="G126">
        <v>1.119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-0.77528089887640417</v>
      </c>
      <c r="Q126">
        <f t="shared" ref="Q126" si="606">F126*P126</f>
        <v>-5816866.3752808962</v>
      </c>
      <c r="R126">
        <f t="shared" ref="R126" si="607">R127+Q126</f>
        <v>-134666873.14693508</v>
      </c>
      <c r="S126">
        <f t="shared" ref="S126" si="608">R126/100000</f>
        <v>-1346.6687314693509</v>
      </c>
      <c r="T126">
        <f t="shared" ref="T126" si="609">S126/1000</f>
        <v>-1.3466687314693508</v>
      </c>
    </row>
    <row r="127" spans="1:20" x14ac:dyDescent="0.25">
      <c r="A127" s="5">
        <v>44466</v>
      </c>
      <c r="B127">
        <v>1.1930000000000001</v>
      </c>
      <c r="C127">
        <v>1.3720000000000001</v>
      </c>
      <c r="D127">
        <v>1.1559999999999999</v>
      </c>
      <c r="E127">
        <v>1.163</v>
      </c>
      <c r="F127">
        <v>14189106.4</v>
      </c>
      <c r="G127">
        <v>1.163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-0.93518518518518412</v>
      </c>
      <c r="Q127">
        <f t="shared" ref="Q127" si="611">F127*P127</f>
        <v>-13269442.096296281</v>
      </c>
      <c r="R127">
        <f t="shared" ref="R127" si="612">R128+Q127</f>
        <v>-128850006.77165417</v>
      </c>
      <c r="S127">
        <f t="shared" ref="S127" si="613">R127/100000</f>
        <v>-1288.5000677165417</v>
      </c>
      <c r="T127">
        <f t="shared" ref="T127" si="614">S127/1000</f>
        <v>-1.2885000677165417</v>
      </c>
    </row>
    <row r="128" spans="1:20" x14ac:dyDescent="0.25">
      <c r="A128" s="5">
        <v>44465</v>
      </c>
      <c r="B128">
        <v>1.214</v>
      </c>
      <c r="C128">
        <v>1.238</v>
      </c>
      <c r="D128">
        <v>1.0960000000000001</v>
      </c>
      <c r="E128">
        <v>1.194</v>
      </c>
      <c r="F128">
        <v>13210699.699999999</v>
      </c>
      <c r="G128">
        <v>1.194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0.38028169014084412</v>
      </c>
      <c r="Q128">
        <f t="shared" ref="Q128" si="616">F128*P128</f>
        <v>5023787.2098591421</v>
      </c>
      <c r="R128">
        <f t="shared" ref="R128" si="617">R129+Q128</f>
        <v>-115580564.67535789</v>
      </c>
      <c r="S128">
        <f t="shared" ref="S128" si="618">R128/100000</f>
        <v>-1155.8056467535789</v>
      </c>
      <c r="T128">
        <f t="shared" ref="T128" si="619">S128/1000</f>
        <v>-1.1558056467535789</v>
      </c>
    </row>
    <row r="129" spans="1:20" x14ac:dyDescent="0.25">
      <c r="A129" s="5">
        <v>44464</v>
      </c>
      <c r="B129">
        <v>1.349</v>
      </c>
      <c r="C129">
        <v>1.375</v>
      </c>
      <c r="D129">
        <v>1.194</v>
      </c>
      <c r="E129">
        <v>1.2150000000000001</v>
      </c>
      <c r="F129">
        <v>25234754</v>
      </c>
      <c r="G129">
        <v>1.2150000000000001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-0.76795580110497097</v>
      </c>
      <c r="Q129">
        <f t="shared" ref="Q129" si="621">F129*P129</f>
        <v>-19379175.723756872</v>
      </c>
      <c r="R129">
        <f t="shared" ref="R129" si="622">R130+Q129</f>
        <v>-120604351.88521704</v>
      </c>
      <c r="S129">
        <f t="shared" ref="S129" si="623">R129/100000</f>
        <v>-1206.0435188521703</v>
      </c>
      <c r="T129">
        <f t="shared" ref="T129" si="624">S129/1000</f>
        <v>-1.2060435188521703</v>
      </c>
    </row>
    <row r="130" spans="1:20" x14ac:dyDescent="0.25">
      <c r="A130" s="5">
        <v>44463</v>
      </c>
      <c r="B130">
        <v>1.2350000000000001</v>
      </c>
      <c r="C130">
        <v>1.4159999999999999</v>
      </c>
      <c r="D130">
        <v>1.0629999999999999</v>
      </c>
      <c r="E130">
        <v>1.347</v>
      </c>
      <c r="F130">
        <v>27267942.719999999</v>
      </c>
      <c r="G130">
        <v>1.347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0.60906515580736575</v>
      </c>
      <c r="Q130">
        <f t="shared" ref="Q130" si="626">F130*P130</f>
        <v>16607953.781303125</v>
      </c>
      <c r="R130">
        <f t="shared" ref="R130" si="627">R131+Q130</f>
        <v>-101225176.16146016</v>
      </c>
      <c r="S130">
        <f t="shared" ref="S130" si="628">R130/100000</f>
        <v>-1012.2517616146016</v>
      </c>
      <c r="T130">
        <f t="shared" ref="T130" si="629">S130/1000</f>
        <v>-1.0122517616146016</v>
      </c>
    </row>
    <row r="131" spans="1:20" x14ac:dyDescent="0.25">
      <c r="A131" s="5">
        <v>44462</v>
      </c>
      <c r="B131">
        <v>1.26</v>
      </c>
      <c r="C131">
        <v>1.2789999999999999</v>
      </c>
      <c r="D131">
        <v>1.1970000000000001</v>
      </c>
      <c r="E131">
        <v>1.2350000000000001</v>
      </c>
      <c r="F131">
        <v>7990700.2999999998</v>
      </c>
      <c r="G131">
        <v>1.2350000000000001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-7.3170731707314557E-2</v>
      </c>
      <c r="Q131">
        <f t="shared" ref="Q131" si="631">F131*P131</f>
        <v>-584685.38780485792</v>
      </c>
      <c r="R131">
        <f t="shared" ref="R131" si="632">R132+Q131</f>
        <v>-117833129.94276328</v>
      </c>
      <c r="S131">
        <f t="shared" ref="S131" si="633">R131/100000</f>
        <v>-1178.3312994276328</v>
      </c>
      <c r="T131">
        <f t="shared" ref="T131" si="634">S131/1000</f>
        <v>-1.1783312994276327</v>
      </c>
    </row>
    <row r="132" spans="1:20" x14ac:dyDescent="0.25">
      <c r="A132" s="5">
        <v>44461</v>
      </c>
      <c r="B132">
        <v>1.135</v>
      </c>
      <c r="C132">
        <v>1.2869999999999999</v>
      </c>
      <c r="D132">
        <v>1.109</v>
      </c>
      <c r="E132">
        <v>1.26</v>
      </c>
      <c r="F132">
        <v>8888066</v>
      </c>
      <c r="G132">
        <v>1.26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0.69662921348314699</v>
      </c>
      <c r="Q132">
        <f t="shared" ref="Q132" si="636">F132*P132</f>
        <v>6191686.4269663002</v>
      </c>
      <c r="R132">
        <f t="shared" ref="R132" si="637">R133+Q132</f>
        <v>-117248444.55495843</v>
      </c>
      <c r="S132">
        <f t="shared" ref="S132" si="638">R132/100000</f>
        <v>-1172.4844455495843</v>
      </c>
      <c r="T132">
        <f t="shared" ref="T132" si="639">S132/1000</f>
        <v>-1.1724844455495842</v>
      </c>
    </row>
    <row r="133" spans="1:20" x14ac:dyDescent="0.25">
      <c r="A133" s="5">
        <v>44460</v>
      </c>
      <c r="B133">
        <v>1.274</v>
      </c>
      <c r="C133">
        <v>1.292</v>
      </c>
      <c r="D133">
        <v>1.091</v>
      </c>
      <c r="E133">
        <v>1.135</v>
      </c>
      <c r="F133">
        <v>11675651.071</v>
      </c>
      <c r="G133">
        <v>1.135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-0.56218905472636793</v>
      </c>
      <c r="Q133">
        <f t="shared" ref="Q133" si="641">F133*P133</f>
        <v>-6563923.2389203953</v>
      </c>
      <c r="R133">
        <f t="shared" ref="R133" si="642">R134+Q133</f>
        <v>-123440130.98192473</v>
      </c>
      <c r="S133">
        <f t="shared" ref="S133" si="643">R133/100000</f>
        <v>-1234.4013098192472</v>
      </c>
      <c r="T133">
        <f t="shared" ref="T133" si="644">S133/1000</f>
        <v>-1.2344013098192472</v>
      </c>
    </row>
    <row r="134" spans="1:20" x14ac:dyDescent="0.25">
      <c r="A134" s="5">
        <v>44459</v>
      </c>
      <c r="B134">
        <v>1.5780000000000001</v>
      </c>
      <c r="C134">
        <v>1.585</v>
      </c>
      <c r="D134">
        <v>1.335</v>
      </c>
      <c r="E134">
        <v>1.3540000000000001</v>
      </c>
      <c r="F134">
        <v>8058483.7000000002</v>
      </c>
      <c r="G134">
        <v>1.3540000000000001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-0.84799999999999898</v>
      </c>
      <c r="Q134">
        <f t="shared" ref="Q134" si="646">F134*P134</f>
        <v>-6833594.1775999917</v>
      </c>
      <c r="R134">
        <f t="shared" ref="R134" si="647">R135+Q134</f>
        <v>-116876207.74300434</v>
      </c>
      <c r="S134">
        <f t="shared" ref="S134" si="648">R134/100000</f>
        <v>-1168.7620774300433</v>
      </c>
      <c r="T134">
        <f t="shared" ref="T134" si="649">S134/1000</f>
        <v>-1.1687620774300433</v>
      </c>
    </row>
    <row r="135" spans="1:20" x14ac:dyDescent="0.25">
      <c r="A135" s="5">
        <v>44458</v>
      </c>
      <c r="B135">
        <v>1.5009999999999999</v>
      </c>
      <c r="C135">
        <v>1.6879999999999999</v>
      </c>
      <c r="D135">
        <v>1.4610000000000001</v>
      </c>
      <c r="E135">
        <v>1.5780000000000001</v>
      </c>
      <c r="F135">
        <v>16277285.5</v>
      </c>
      <c r="G135">
        <v>1.5780000000000001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3.0837004405286878E-2</v>
      </c>
      <c r="Q135">
        <f t="shared" ref="Q135" si="651">F135*P135</f>
        <v>501942.72466961225</v>
      </c>
      <c r="R135">
        <f t="shared" ref="R135" si="652">R136+Q135</f>
        <v>-110042613.56540434</v>
      </c>
      <c r="S135">
        <f t="shared" ref="S135" si="653">R135/100000</f>
        <v>-1100.4261356540435</v>
      </c>
      <c r="T135">
        <f t="shared" ref="T135" si="654">S135/1000</f>
        <v>-1.1004261356540435</v>
      </c>
    </row>
    <row r="136" spans="1:20" x14ac:dyDescent="0.25">
      <c r="A136" s="5">
        <v>44457</v>
      </c>
      <c r="B136">
        <v>1.46</v>
      </c>
      <c r="C136">
        <v>1.536</v>
      </c>
      <c r="D136">
        <v>1.4319999999999999</v>
      </c>
      <c r="E136">
        <v>1.5009999999999999</v>
      </c>
      <c r="F136">
        <v>5439137.7000000002</v>
      </c>
      <c r="G136">
        <v>1.5009999999999999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0.32692307692307476</v>
      </c>
      <c r="Q136">
        <f t="shared" ref="Q136" si="656">F136*P136</f>
        <v>1778179.6326922961</v>
      </c>
      <c r="R136">
        <f t="shared" ref="R136" si="657">R137+Q136</f>
        <v>-110544556.29007395</v>
      </c>
      <c r="S136">
        <f t="shared" ref="S136" si="658">R136/100000</f>
        <v>-1105.4455629007396</v>
      </c>
      <c r="T136">
        <f t="shared" ref="T136" si="659">S136/1000</f>
        <v>-1.1054455629007396</v>
      </c>
    </row>
    <row r="137" spans="1:20" x14ac:dyDescent="0.25">
      <c r="A137" s="5">
        <v>44456</v>
      </c>
      <c r="B137">
        <v>1.5169999999999999</v>
      </c>
      <c r="C137">
        <v>1.61</v>
      </c>
      <c r="D137">
        <v>1.417</v>
      </c>
      <c r="E137">
        <v>1.4590000000000001</v>
      </c>
      <c r="F137">
        <v>10931564</v>
      </c>
      <c r="G137">
        <v>1.4590000000000001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-0.56476683937823813</v>
      </c>
      <c r="Q137">
        <f t="shared" ref="Q137" si="661">F137*P137</f>
        <v>-6173784.8497409299</v>
      </c>
      <c r="R137">
        <f t="shared" ref="R137" si="662">R138+Q137</f>
        <v>-112322735.92276624</v>
      </c>
      <c r="S137">
        <f t="shared" ref="S137" si="663">R137/100000</f>
        <v>-1123.2273592276624</v>
      </c>
      <c r="T137">
        <f t="shared" ref="T137" si="664">S137/1000</f>
        <v>-1.1232273592276625</v>
      </c>
    </row>
    <row r="138" spans="1:20" x14ac:dyDescent="0.25">
      <c r="A138" s="5">
        <v>44455</v>
      </c>
      <c r="B138">
        <v>1.536</v>
      </c>
      <c r="C138">
        <v>1.6180000000000001</v>
      </c>
      <c r="D138">
        <v>1.4690000000000001</v>
      </c>
      <c r="E138">
        <v>1.518</v>
      </c>
      <c r="F138">
        <v>8705280.5999999996</v>
      </c>
      <c r="G138">
        <v>1.518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-0.34228187919463188</v>
      </c>
      <c r="Q138">
        <f t="shared" ref="Q138" si="666">F138*P138</f>
        <v>-2979659.8026845725</v>
      </c>
      <c r="R138">
        <f t="shared" ref="R138" si="667">R139+Q138</f>
        <v>-106148951.07302532</v>
      </c>
      <c r="S138">
        <f t="shared" ref="S138" si="668">R138/100000</f>
        <v>-1061.4895107302532</v>
      </c>
      <c r="T138">
        <f t="shared" ref="T138" si="669">S138/1000</f>
        <v>-1.0614895107302531</v>
      </c>
    </row>
    <row r="139" spans="1:20" x14ac:dyDescent="0.25">
      <c r="A139" s="5">
        <v>44454</v>
      </c>
      <c r="B139">
        <v>1.466</v>
      </c>
      <c r="C139">
        <v>1.65</v>
      </c>
      <c r="D139">
        <v>1.4590000000000001</v>
      </c>
      <c r="E139">
        <v>1.536</v>
      </c>
      <c r="F139">
        <v>9291453.8000000007</v>
      </c>
      <c r="G139">
        <v>1.536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-0.19371727748691075</v>
      </c>
      <c r="Q139">
        <f t="shared" ref="Q139" si="671">F139*P139</f>
        <v>-1799915.1340314115</v>
      </c>
      <c r="R139">
        <f t="shared" ref="R139" si="672">R140+Q139</f>
        <v>-103169291.27034074</v>
      </c>
      <c r="S139">
        <f t="shared" ref="S139" si="673">R139/100000</f>
        <v>-1031.6929127034075</v>
      </c>
      <c r="T139">
        <f t="shared" ref="T139" si="674">S139/1000</f>
        <v>-1.0316929127034076</v>
      </c>
    </row>
    <row r="140" spans="1:20" x14ac:dyDescent="0.25">
      <c r="A140" s="5">
        <v>44453</v>
      </c>
      <c r="B140">
        <v>1.391</v>
      </c>
      <c r="C140">
        <v>1.476</v>
      </c>
      <c r="D140">
        <v>1.3560000000000001</v>
      </c>
      <c r="E140">
        <v>1.4670000000000001</v>
      </c>
      <c r="F140">
        <v>5410993.4000000004</v>
      </c>
      <c r="G140">
        <v>1.4670000000000001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0.85000000000000153</v>
      </c>
      <c r="Q140">
        <f t="shared" ref="Q140" si="676">F140*P140</f>
        <v>4599344.390000009</v>
      </c>
      <c r="R140">
        <f t="shared" ref="R140" si="677">R141+Q140</f>
        <v>-101369376.13630933</v>
      </c>
      <c r="S140">
        <f t="shared" ref="S140" si="678">R140/100000</f>
        <v>-1013.6937613630932</v>
      </c>
      <c r="T140">
        <f t="shared" ref="T140" si="679">S140/1000</f>
        <v>-1.0136937613630932</v>
      </c>
    </row>
    <row r="141" spans="1:20" x14ac:dyDescent="0.25">
      <c r="A141" s="5">
        <v>44452</v>
      </c>
      <c r="B141">
        <v>1.516</v>
      </c>
      <c r="C141">
        <v>1.55</v>
      </c>
      <c r="D141">
        <v>1.2909999999999999</v>
      </c>
      <c r="E141">
        <v>1.391</v>
      </c>
      <c r="F141">
        <v>9058140.5120000001</v>
      </c>
      <c r="G141">
        <v>1.391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-0.22779922779922746</v>
      </c>
      <c r="Q141">
        <f t="shared" ref="Q141" si="681">F141*P141</f>
        <v>-2063437.4139304988</v>
      </c>
      <c r="R141">
        <f t="shared" ref="R141" si="682">R142+Q141</f>
        <v>-105968720.52630934</v>
      </c>
      <c r="S141">
        <f t="shared" ref="S141" si="683">R141/100000</f>
        <v>-1059.6872052630933</v>
      </c>
      <c r="T141">
        <f t="shared" ref="T141" si="684">S141/1000</f>
        <v>-1.0596872052630935</v>
      </c>
    </row>
    <row r="142" spans="1:20" x14ac:dyDescent="0.25">
      <c r="A142" s="5">
        <v>44451</v>
      </c>
      <c r="B142">
        <v>1.4590000000000001</v>
      </c>
      <c r="C142">
        <v>1.5469999999999999</v>
      </c>
      <c r="D142">
        <v>1.4239999999999999</v>
      </c>
      <c r="E142">
        <v>1.516</v>
      </c>
      <c r="F142">
        <v>5765494.9000000004</v>
      </c>
      <c r="G142">
        <v>1.516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0.49593495934959486</v>
      </c>
      <c r="Q142">
        <f t="shared" ref="Q142" si="686">F142*P142</f>
        <v>2859310.4788617967</v>
      </c>
      <c r="R142">
        <f t="shared" ref="R142" si="687">R143+Q142</f>
        <v>-103905283.11237884</v>
      </c>
      <c r="S142">
        <f t="shared" ref="S142" si="688">R142/100000</f>
        <v>-1039.0528311237883</v>
      </c>
      <c r="T142">
        <f t="shared" ref="T142" si="689">S142/1000</f>
        <v>-1.0390528311237883</v>
      </c>
    </row>
    <row r="143" spans="1:20" x14ac:dyDescent="0.25">
      <c r="A143" s="5">
        <v>44450</v>
      </c>
      <c r="B143">
        <v>1.4670000000000001</v>
      </c>
      <c r="C143">
        <v>1.538</v>
      </c>
      <c r="D143">
        <v>1.4279999999999999</v>
      </c>
      <c r="E143">
        <v>1.4590000000000001</v>
      </c>
      <c r="F143">
        <v>6192258.2000000002</v>
      </c>
      <c r="G143">
        <v>1.4590000000000001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-0.43636363636363434</v>
      </c>
      <c r="Q143">
        <f t="shared" ref="Q143" si="691">F143*P143</f>
        <v>-2702076.3054545331</v>
      </c>
      <c r="R143">
        <f t="shared" ref="R143" si="692">R144+Q143</f>
        <v>-106764593.59124063</v>
      </c>
      <c r="S143">
        <f t="shared" ref="S143" si="693">R143/100000</f>
        <v>-1067.6459359124062</v>
      </c>
      <c r="T143">
        <f t="shared" ref="T143" si="694">S143/1000</f>
        <v>-1.0676459359124062</v>
      </c>
    </row>
    <row r="144" spans="1:20" x14ac:dyDescent="0.25">
      <c r="A144" s="5">
        <v>44449</v>
      </c>
      <c r="B144">
        <v>1.5529999999999999</v>
      </c>
      <c r="C144">
        <v>1.65</v>
      </c>
      <c r="D144">
        <v>1.39</v>
      </c>
      <c r="E144">
        <v>1.4670000000000001</v>
      </c>
      <c r="F144">
        <v>10717816.800000001</v>
      </c>
      <c r="G144">
        <v>1.4670000000000001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-0.40769230769230635</v>
      </c>
      <c r="Q144">
        <f t="shared" ref="Q144" si="696">F144*P144</f>
        <v>-4369571.4646153701</v>
      </c>
      <c r="R144">
        <f t="shared" ref="R144" si="697">R145+Q144</f>
        <v>-104062517.28578609</v>
      </c>
      <c r="S144">
        <f t="shared" ref="S144" si="698">R144/100000</f>
        <v>-1040.6251728578609</v>
      </c>
      <c r="T144">
        <f t="shared" ref="T144" si="699">S144/1000</f>
        <v>-1.0406251728578608</v>
      </c>
    </row>
    <row r="145" spans="1:20" x14ac:dyDescent="0.25">
      <c r="A145" s="5">
        <v>44448</v>
      </c>
      <c r="B145">
        <v>1.4950000000000001</v>
      </c>
      <c r="C145">
        <v>1.65</v>
      </c>
      <c r="D145">
        <v>1.4410000000000001</v>
      </c>
      <c r="E145">
        <v>1.5529999999999999</v>
      </c>
      <c r="F145">
        <v>14177289.4</v>
      </c>
      <c r="G145">
        <v>1.5529999999999999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7.1770334928229249E-2</v>
      </c>
      <c r="Q145">
        <f t="shared" ref="Q145" si="701">F145*P145</f>
        <v>1017508.8086124343</v>
      </c>
      <c r="R145">
        <f t="shared" ref="R145" si="702">R146+Q145</f>
        <v>-99692945.821170717</v>
      </c>
      <c r="S145">
        <f t="shared" ref="S145" si="703">R145/100000</f>
        <v>-996.92945821170713</v>
      </c>
      <c r="T145">
        <f t="shared" ref="T145" si="704">S145/1000</f>
        <v>-0.99692945821170709</v>
      </c>
    </row>
    <row r="146" spans="1:20" x14ac:dyDescent="0.25">
      <c r="A146" s="5">
        <v>44447</v>
      </c>
      <c r="B146">
        <v>1.486</v>
      </c>
      <c r="C146">
        <v>1.5580000000000001</v>
      </c>
      <c r="D146">
        <v>1.306</v>
      </c>
      <c r="E146">
        <v>1.4950000000000001</v>
      </c>
      <c r="F146">
        <v>20050958.774999999</v>
      </c>
      <c r="G146">
        <v>1.4950000000000001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0.50000000000000044</v>
      </c>
      <c r="Q146">
        <f t="shared" ref="Q146" si="706">F146*P146</f>
        <v>10025479.387500009</v>
      </c>
      <c r="R146">
        <f t="shared" ref="R146" si="707">R147+Q146</f>
        <v>-100710454.62978315</v>
      </c>
      <c r="S146">
        <f t="shared" ref="S146" si="708">R146/100000</f>
        <v>-1007.1045462978316</v>
      </c>
      <c r="T146">
        <f t="shared" ref="T146" si="709">S146/1000</f>
        <v>-1.0071045462978316</v>
      </c>
    </row>
    <row r="147" spans="1:20" x14ac:dyDescent="0.25">
      <c r="A147" s="5">
        <v>44446</v>
      </c>
      <c r="B147">
        <v>2.09</v>
      </c>
      <c r="C147">
        <v>2.105</v>
      </c>
      <c r="D147">
        <v>1.3879999999999999</v>
      </c>
      <c r="E147">
        <v>1.4850000000000001</v>
      </c>
      <c r="F147">
        <v>24011074.640999999</v>
      </c>
      <c r="G147">
        <v>1.4850000000000001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-0.72942817294281681</v>
      </c>
      <c r="Q147">
        <f t="shared" ref="Q147" si="711">F147*P147</f>
        <v>-17514354.305778231</v>
      </c>
      <c r="R147">
        <f t="shared" ref="R147" si="712">R148+Q147</f>
        <v>-110735934.01728316</v>
      </c>
      <c r="S147">
        <f t="shared" ref="S147" si="713">R147/100000</f>
        <v>-1107.3593401728315</v>
      </c>
      <c r="T147">
        <f t="shared" ref="T147" si="714">S147/1000</f>
        <v>-1.1073593401728314</v>
      </c>
    </row>
    <row r="148" spans="1:20" x14ac:dyDescent="0.25">
      <c r="A148" s="5">
        <v>44445</v>
      </c>
      <c r="B148">
        <v>2.1349999999999998</v>
      </c>
      <c r="C148">
        <v>2.2000000000000002</v>
      </c>
      <c r="D148">
        <v>1.879</v>
      </c>
      <c r="E148">
        <v>2.09</v>
      </c>
      <c r="F148">
        <v>14713530.5</v>
      </c>
      <c r="G148">
        <v>2.09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0.31464174454828497</v>
      </c>
      <c r="Q148">
        <f t="shared" ref="Q148" si="716">F148*P148</f>
        <v>4629490.9049843997</v>
      </c>
      <c r="R148">
        <f t="shared" ref="R148" si="717">R149+Q148</f>
        <v>-93221579.711504921</v>
      </c>
      <c r="S148">
        <f t="shared" ref="S148" si="718">R148/100000</f>
        <v>-932.21579711504921</v>
      </c>
      <c r="T148">
        <f t="shared" ref="T148" si="719">S148/1000</f>
        <v>-0.93221579711504921</v>
      </c>
    </row>
    <row r="149" spans="1:20" x14ac:dyDescent="0.25">
      <c r="A149" s="5">
        <v>44444</v>
      </c>
      <c r="B149">
        <v>2.0379999999999998</v>
      </c>
      <c r="C149">
        <v>2.19</v>
      </c>
      <c r="D149">
        <v>2.0179999999999998</v>
      </c>
      <c r="E149">
        <v>2.1339999999999999</v>
      </c>
      <c r="F149">
        <v>10542770.267999999</v>
      </c>
      <c r="G149">
        <v>2.1339999999999999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0.34883720930232559</v>
      </c>
      <c r="Q149">
        <f t="shared" ref="Q149" si="721">F149*P149</f>
        <v>3677710.5586046511</v>
      </c>
      <c r="R149">
        <f t="shared" ref="R149" si="722">R150+Q149</f>
        <v>-97851070.616489321</v>
      </c>
      <c r="S149">
        <f t="shared" ref="S149" si="723">R149/100000</f>
        <v>-978.51070616489324</v>
      </c>
      <c r="T149">
        <f t="shared" ref="T149" si="724">S149/1000</f>
        <v>-0.97851070616489322</v>
      </c>
    </row>
    <row r="150" spans="1:20" x14ac:dyDescent="0.25">
      <c r="A150" s="5">
        <v>44443</v>
      </c>
      <c r="B150">
        <v>2.016</v>
      </c>
      <c r="C150">
        <v>2.141</v>
      </c>
      <c r="D150">
        <v>1.982</v>
      </c>
      <c r="E150">
        <v>2.0379999999999998</v>
      </c>
      <c r="F150">
        <v>13164026.476</v>
      </c>
      <c r="G150">
        <v>2.0379999999999998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-0.29559748427673188</v>
      </c>
      <c r="Q150">
        <f t="shared" ref="Q150" si="726">F150*P150</f>
        <v>-3891253.1092578922</v>
      </c>
      <c r="R150">
        <f t="shared" ref="R150" si="727">R151+Q150</f>
        <v>-101528781.17509398</v>
      </c>
      <c r="S150">
        <f t="shared" ref="S150" si="728">R150/100000</f>
        <v>-1015.2878117509398</v>
      </c>
      <c r="T150">
        <f t="shared" ref="T150" si="729">S150/1000</f>
        <v>-1.0152878117509399</v>
      </c>
    </row>
    <row r="151" spans="1:20" x14ac:dyDescent="0.25">
      <c r="A151" s="5">
        <v>44442</v>
      </c>
      <c r="B151">
        <v>1.919</v>
      </c>
      <c r="C151">
        <v>2.0790000000000002</v>
      </c>
      <c r="D151">
        <v>1.831</v>
      </c>
      <c r="E151">
        <v>2.016</v>
      </c>
      <c r="F151">
        <v>19933744.899999999</v>
      </c>
      <c r="G151">
        <v>2.016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0.49193548387096686</v>
      </c>
      <c r="Q151">
        <f t="shared" ref="Q151" si="731">F151*P151</f>
        <v>9806116.4427419174</v>
      </c>
      <c r="R151">
        <f t="shared" ref="R151" si="732">R152+Q151</f>
        <v>-97637528.065836087</v>
      </c>
      <c r="S151">
        <f t="shared" ref="S151" si="733">R151/100000</f>
        <v>-976.37528065836091</v>
      </c>
      <c r="T151">
        <f t="shared" ref="T151" si="734">S151/1000</f>
        <v>-0.97637528065836088</v>
      </c>
    </row>
    <row r="152" spans="1:20" x14ac:dyDescent="0.25">
      <c r="A152" s="5">
        <v>44441</v>
      </c>
      <c r="B152">
        <v>2.0070000000000001</v>
      </c>
      <c r="C152">
        <v>2.024</v>
      </c>
      <c r="D152">
        <v>1.9139999999999999</v>
      </c>
      <c r="E152">
        <v>1.9179999999999999</v>
      </c>
      <c r="F152">
        <v>12000267.4</v>
      </c>
      <c r="G152">
        <v>1.9179999999999999</v>
      </c>
      <c r="L152" t="s">
        <v>7</v>
      </c>
      <c r="M152" t="s">
        <v>8</v>
      </c>
      <c r="N152" t="s">
        <v>7</v>
      </c>
      <c r="P152">
        <f t="shared" ref="P152" si="735">IF(C152=D152,0,((E152-D152)-(C152-E152))/(C152-D152))</f>
        <v>-0.92727272727272725</v>
      </c>
      <c r="Q152">
        <f t="shared" ref="Q152" si="736">F152*P152</f>
        <v>-11127520.68</v>
      </c>
      <c r="R152">
        <f t="shared" ref="R152" si="737">R153+Q152</f>
        <v>-107443644.508578</v>
      </c>
      <c r="S152">
        <f t="shared" ref="S152" si="738">R152/100000</f>
        <v>-1074.43644508578</v>
      </c>
      <c r="T152">
        <f t="shared" ref="T152" si="739">S152/1000</f>
        <v>-1.07443644508578</v>
      </c>
    </row>
    <row r="153" spans="1:20" x14ac:dyDescent="0.25">
      <c r="A153" s="5">
        <v>44440</v>
      </c>
      <c r="B153">
        <v>2.0089999999999999</v>
      </c>
      <c r="C153">
        <v>2.024</v>
      </c>
      <c r="D153">
        <v>1.903</v>
      </c>
      <c r="E153">
        <v>2.0070000000000001</v>
      </c>
      <c r="F153">
        <v>10738975.5</v>
      </c>
      <c r="G153">
        <v>2.0070000000000001</v>
      </c>
      <c r="L153" t="s">
        <v>7</v>
      </c>
      <c r="M153" t="s">
        <v>8</v>
      </c>
      <c r="N153" t="s">
        <v>7</v>
      </c>
      <c r="P153">
        <f t="shared" ref="P153" si="740">IF(C153=D153,0,((E153-D153)-(C153-E153))/(C153-D153))</f>
        <v>0.71900826446281152</v>
      </c>
      <c r="Q153">
        <f t="shared" ref="Q153" si="741">F153*P153</f>
        <v>7721412.1363636535</v>
      </c>
      <c r="R153">
        <f t="shared" ref="R153" si="742">R154+Q153</f>
        <v>-96316123.828577995</v>
      </c>
      <c r="S153">
        <f t="shared" ref="S153" si="743">R153/100000</f>
        <v>-963.16123828577997</v>
      </c>
      <c r="T153">
        <f t="shared" ref="T153" si="744">S153/1000</f>
        <v>-0.96316123828577993</v>
      </c>
    </row>
    <row r="154" spans="1:20" x14ac:dyDescent="0.25">
      <c r="A154" s="5">
        <v>44439</v>
      </c>
      <c r="B154">
        <v>1.774</v>
      </c>
      <c r="C154">
        <v>2.09</v>
      </c>
      <c r="D154">
        <v>1.7450000000000001</v>
      </c>
      <c r="E154">
        <v>2.0099999999999998</v>
      </c>
      <c r="F154">
        <v>20942506.511999998</v>
      </c>
      <c r="G154">
        <v>2.0099999999999998</v>
      </c>
      <c r="L154" t="s">
        <v>8</v>
      </c>
      <c r="M154" t="s">
        <v>8</v>
      </c>
      <c r="N154" t="s">
        <v>7</v>
      </c>
      <c r="P154">
        <f t="shared" ref="P154" si="745">IF(C154=D154,0,((E154-D154)-(C154-E154))/(C154-D154))</f>
        <v>0.53623188405797029</v>
      </c>
      <c r="Q154">
        <f t="shared" ref="Q154" si="746">F154*P154</f>
        <v>11230039.723826071</v>
      </c>
      <c r="R154">
        <f t="shared" ref="R154" si="747">R155+Q154</f>
        <v>-104037535.96494165</v>
      </c>
      <c r="S154">
        <f t="shared" ref="S154" si="748">R154/100000</f>
        <v>-1040.3753596494164</v>
      </c>
      <c r="T154">
        <f t="shared" ref="T154" si="749">S154/1000</f>
        <v>-1.0403753596494163</v>
      </c>
    </row>
    <row r="155" spans="1:20" x14ac:dyDescent="0.25">
      <c r="A155" s="5">
        <v>44438</v>
      </c>
      <c r="B155">
        <v>1.855</v>
      </c>
      <c r="C155">
        <v>1.899</v>
      </c>
      <c r="D155">
        <v>1.7509999999999999</v>
      </c>
      <c r="E155">
        <v>1.7749999999999999</v>
      </c>
      <c r="F155">
        <v>10315677.300000001</v>
      </c>
      <c r="G155">
        <v>1.7749999999999999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-0.67567567567567566</v>
      </c>
      <c r="Q155">
        <f t="shared" ref="Q155" si="751">F155*P155</f>
        <v>-6970052.2297297297</v>
      </c>
      <c r="R155">
        <f t="shared" ref="R155" si="752">R156+Q155</f>
        <v>-115267575.68876772</v>
      </c>
      <c r="S155">
        <f t="shared" ref="S155" si="753">R155/100000</f>
        <v>-1152.6757568876772</v>
      </c>
      <c r="T155">
        <f t="shared" ref="T155" si="754">S155/1000</f>
        <v>-1.1526757568876771</v>
      </c>
    </row>
    <row r="156" spans="1:20" x14ac:dyDescent="0.25">
      <c r="A156" s="5">
        <v>44437</v>
      </c>
      <c r="B156">
        <v>1.91</v>
      </c>
      <c r="C156">
        <v>1.956</v>
      </c>
      <c r="D156">
        <v>1.8109999999999999</v>
      </c>
      <c r="E156">
        <v>1.855</v>
      </c>
      <c r="F156">
        <v>7555622.4000000004</v>
      </c>
      <c r="G156">
        <v>1.855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-0.39310344827586158</v>
      </c>
      <c r="Q156">
        <f t="shared" ref="Q156" si="756">F156*P156</f>
        <v>-2970141.2193103414</v>
      </c>
      <c r="R156">
        <f t="shared" ref="R156" si="757">R157+Q156</f>
        <v>-108297523.45903799</v>
      </c>
      <c r="S156">
        <f t="shared" ref="S156" si="758">R156/100000</f>
        <v>-1082.9752345903798</v>
      </c>
      <c r="T156">
        <f t="shared" ref="T156" si="759">S156/1000</f>
        <v>-1.0829752345903798</v>
      </c>
    </row>
    <row r="157" spans="1:20" x14ac:dyDescent="0.25">
      <c r="A157" s="5">
        <v>44436</v>
      </c>
      <c r="B157">
        <v>1.962</v>
      </c>
      <c r="C157">
        <v>1.972</v>
      </c>
      <c r="D157">
        <v>1.875</v>
      </c>
      <c r="E157">
        <v>1.91</v>
      </c>
      <c r="F157">
        <v>7733566.7000000002</v>
      </c>
      <c r="G157">
        <v>1.91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-0.27835051546391898</v>
      </c>
      <c r="Q157">
        <f t="shared" ref="Q157" si="761">F157*P157</f>
        <v>-2152642.2773195989</v>
      </c>
      <c r="R157">
        <f t="shared" ref="R157" si="762">R158+Q157</f>
        <v>-105327382.23972765</v>
      </c>
      <c r="S157">
        <f t="shared" ref="S157" si="763">R157/100000</f>
        <v>-1053.2738223972765</v>
      </c>
      <c r="T157">
        <f t="shared" ref="T157" si="764">S157/1000</f>
        <v>-1.0532738223972764</v>
      </c>
    </row>
    <row r="158" spans="1:20" x14ac:dyDescent="0.25">
      <c r="A158" s="5">
        <v>44435</v>
      </c>
      <c r="B158">
        <v>1.84</v>
      </c>
      <c r="C158">
        <v>1.976</v>
      </c>
      <c r="D158">
        <v>1.72</v>
      </c>
      <c r="E158">
        <v>1.962</v>
      </c>
      <c r="F158">
        <v>11050873.864</v>
      </c>
      <c r="G158">
        <v>1.962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0.89062499999999989</v>
      </c>
      <c r="Q158">
        <f t="shared" ref="Q158" si="766">F158*P158</f>
        <v>9842184.5351249985</v>
      </c>
      <c r="R158">
        <f t="shared" ref="R158" si="767">R159+Q158</f>
        <v>-103174739.96240805</v>
      </c>
      <c r="S158">
        <f t="shared" ref="S158" si="768">R158/100000</f>
        <v>-1031.7473996240806</v>
      </c>
      <c r="T158">
        <f t="shared" ref="T158" si="769">S158/1000</f>
        <v>-1.0317473996240805</v>
      </c>
    </row>
    <row r="159" spans="1:20" x14ac:dyDescent="0.25">
      <c r="A159" s="5">
        <v>44434</v>
      </c>
      <c r="B159">
        <v>2.0640000000000001</v>
      </c>
      <c r="C159">
        <v>2.0830000000000002</v>
      </c>
      <c r="D159">
        <v>1.8149999999999999</v>
      </c>
      <c r="E159">
        <v>1.84</v>
      </c>
      <c r="F159">
        <v>12247422.146</v>
      </c>
      <c r="G159">
        <v>1.84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-0.81343283582089465</v>
      </c>
      <c r="Q159">
        <f t="shared" ref="Q159" si="771">F159*P159</f>
        <v>-9962455.3277164064</v>
      </c>
      <c r="R159">
        <f t="shared" ref="R159" si="772">R160+Q159</f>
        <v>-113016924.49753305</v>
      </c>
      <c r="S159">
        <f t="shared" ref="S159" si="773">R159/100000</f>
        <v>-1130.1692449753305</v>
      </c>
      <c r="T159">
        <f t="shared" ref="T159" si="774">S159/1000</f>
        <v>-1.1301692449753304</v>
      </c>
    </row>
    <row r="160" spans="1:20" x14ac:dyDescent="0.25">
      <c r="A160" s="5">
        <v>44433</v>
      </c>
      <c r="B160">
        <v>1.9750000000000001</v>
      </c>
      <c r="C160">
        <v>2.0990000000000002</v>
      </c>
      <c r="D160">
        <v>1.9</v>
      </c>
      <c r="E160">
        <v>2.0659999999999998</v>
      </c>
      <c r="F160">
        <v>15590642.188999999</v>
      </c>
      <c r="G160">
        <v>2.0659999999999998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0.66834170854271036</v>
      </c>
      <c r="Q160">
        <f t="shared" ref="Q160" si="776">F160*P160</f>
        <v>10419876.437874321</v>
      </c>
      <c r="R160">
        <f t="shared" ref="R160" si="777">R161+Q160</f>
        <v>-103054469.16981664</v>
      </c>
      <c r="S160">
        <f t="shared" ref="S160" si="778">R160/100000</f>
        <v>-1030.5446916981664</v>
      </c>
      <c r="T160">
        <f t="shared" ref="T160" si="779">S160/1000</f>
        <v>-1.0305446916981664</v>
      </c>
    </row>
    <row r="161" spans="1:20" x14ac:dyDescent="0.25">
      <c r="A161" s="5">
        <v>44432</v>
      </c>
      <c r="B161">
        <v>2.2389999999999999</v>
      </c>
      <c r="C161">
        <v>2.2709999999999999</v>
      </c>
      <c r="D161">
        <v>1.9119999999999999</v>
      </c>
      <c r="E161">
        <v>1.9770000000000001</v>
      </c>
      <c r="F161">
        <v>14116357.23</v>
      </c>
      <c r="G161">
        <v>1.9770000000000001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-0.63788300835654499</v>
      </c>
      <c r="Q161">
        <f t="shared" ref="Q161" si="781">F161*P161</f>
        <v>-9004584.4169080649</v>
      </c>
      <c r="R161">
        <f t="shared" ref="R161" si="782">R162+Q161</f>
        <v>-113474345.60769096</v>
      </c>
      <c r="S161">
        <f t="shared" ref="S161" si="783">R161/100000</f>
        <v>-1134.7434560769095</v>
      </c>
      <c r="T161">
        <f t="shared" ref="T161" si="784">S161/1000</f>
        <v>-1.1347434560769096</v>
      </c>
    </row>
    <row r="162" spans="1:20" x14ac:dyDescent="0.25">
      <c r="A162" s="5">
        <v>44431</v>
      </c>
      <c r="B162">
        <v>2.2570000000000001</v>
      </c>
      <c r="C162">
        <v>2.3809999999999998</v>
      </c>
      <c r="D162">
        <v>2.181</v>
      </c>
      <c r="E162">
        <v>2.2400000000000002</v>
      </c>
      <c r="F162">
        <v>12569996.973999999</v>
      </c>
      <c r="G162">
        <v>2.2400000000000002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-0.40999999999999759</v>
      </c>
      <c r="Q162">
        <f t="shared" ref="Q162" si="786">F162*P162</f>
        <v>-5153698.7593399696</v>
      </c>
      <c r="R162">
        <f t="shared" ref="R162" si="787">R163+Q162</f>
        <v>-104469761.19078289</v>
      </c>
      <c r="S162">
        <f t="shared" ref="S162" si="788">R162/100000</f>
        <v>-1044.6976119078288</v>
      </c>
      <c r="T162">
        <f t="shared" ref="T162" si="789">S162/1000</f>
        <v>-1.0446976119078288</v>
      </c>
    </row>
    <row r="163" spans="1:20" x14ac:dyDescent="0.25">
      <c r="A163" s="5">
        <v>44430</v>
      </c>
      <c r="B163">
        <v>2.0710000000000002</v>
      </c>
      <c r="C163">
        <v>2.117</v>
      </c>
      <c r="D163">
        <v>2.0289999999999999</v>
      </c>
      <c r="E163">
        <v>2.0979999999999999</v>
      </c>
      <c r="F163">
        <v>2763912.18</v>
      </c>
      <c r="G163">
        <v>2.0979999999999999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0.56818181818181568</v>
      </c>
      <c r="Q163">
        <f t="shared" ref="Q163" si="791">F163*P163</f>
        <v>1570404.647727266</v>
      </c>
      <c r="R163">
        <f t="shared" ref="R163" si="792">R164+Q163</f>
        <v>-99316062.431442916</v>
      </c>
      <c r="S163">
        <f t="shared" ref="S163" si="793">R163/100000</f>
        <v>-993.16062431442913</v>
      </c>
      <c r="T163">
        <f t="shared" ref="T163" si="794">S163/1000</f>
        <v>-0.99316062431442909</v>
      </c>
    </row>
    <row r="164" spans="1:20" x14ac:dyDescent="0.25">
      <c r="A164" s="5">
        <v>44429</v>
      </c>
      <c r="B164">
        <v>2.0880000000000001</v>
      </c>
      <c r="C164">
        <v>2.266</v>
      </c>
      <c r="D164">
        <v>2.028</v>
      </c>
      <c r="E164">
        <v>2.0710000000000002</v>
      </c>
      <c r="F164">
        <v>15316573.141000001</v>
      </c>
      <c r="G164">
        <v>2.0710000000000002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-0.63865546218487268</v>
      </c>
      <c r="Q164">
        <f t="shared" ref="Q164" si="796">F164*P164</f>
        <v>-9782013.098453762</v>
      </c>
      <c r="R164">
        <f t="shared" ref="R164" si="797">R165+Q164</f>
        <v>-100886467.07917018</v>
      </c>
      <c r="S164">
        <f t="shared" ref="S164" si="798">R164/100000</f>
        <v>-1008.8646707917018</v>
      </c>
      <c r="T164">
        <f t="shared" ref="T164" si="799">S164/1000</f>
        <v>-1.0088646707917017</v>
      </c>
    </row>
    <row r="165" spans="1:20" x14ac:dyDescent="0.25">
      <c r="A165" s="5">
        <v>44428</v>
      </c>
      <c r="B165">
        <v>2.0870000000000002</v>
      </c>
      <c r="C165">
        <v>2.1240000000000001</v>
      </c>
      <c r="D165">
        <v>1.9790000000000001</v>
      </c>
      <c r="E165">
        <v>2.0880000000000001</v>
      </c>
      <c r="F165">
        <v>12982677.975</v>
      </c>
      <c r="G165">
        <v>2.0880000000000001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0.50344827586206864</v>
      </c>
      <c r="Q165">
        <f t="shared" ref="Q165" si="801">F165*P165</f>
        <v>6536106.8425862025</v>
      </c>
      <c r="R165">
        <f t="shared" ref="R165" si="802">R166+Q165</f>
        <v>-91104453.980716422</v>
      </c>
      <c r="S165">
        <f t="shared" ref="S165" si="803">R165/100000</f>
        <v>-911.04453980716426</v>
      </c>
      <c r="T165">
        <f t="shared" ref="T165" si="804">S165/1000</f>
        <v>-0.91104453980716427</v>
      </c>
    </row>
    <row r="166" spans="1:20" x14ac:dyDescent="0.25">
      <c r="A166" s="5">
        <v>44427</v>
      </c>
      <c r="B166">
        <v>1.974</v>
      </c>
      <c r="C166">
        <v>2.1389999999999998</v>
      </c>
      <c r="D166">
        <v>1.8779999999999999</v>
      </c>
      <c r="E166">
        <v>2.0870000000000002</v>
      </c>
      <c r="F166">
        <v>16820605.315000001</v>
      </c>
      <c r="G166">
        <v>2.0870000000000002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0.60153256704981128</v>
      </c>
      <c r="Q166">
        <f t="shared" ref="Q166" si="806">F166*P166</f>
        <v>10118141.894463651</v>
      </c>
      <c r="R166">
        <f t="shared" ref="R166" si="807">R167+Q166</f>
        <v>-97640560.823302627</v>
      </c>
      <c r="S166">
        <f t="shared" ref="S166" si="808">R166/100000</f>
        <v>-976.40560823302621</v>
      </c>
      <c r="T166">
        <f t="shared" ref="T166" si="809">S166/1000</f>
        <v>-0.97640560823302625</v>
      </c>
    </row>
    <row r="167" spans="1:20" x14ac:dyDescent="0.25">
      <c r="A167" s="5">
        <v>44426</v>
      </c>
      <c r="B167">
        <v>1.847</v>
      </c>
      <c r="C167">
        <v>2.04</v>
      </c>
      <c r="D167">
        <v>1.724</v>
      </c>
      <c r="E167">
        <v>1.976</v>
      </c>
      <c r="F167">
        <v>18497159.710000001</v>
      </c>
      <c r="G167">
        <v>1.976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0.59493670886075922</v>
      </c>
      <c r="Q167">
        <f t="shared" ref="Q167" si="811">F167*P167</f>
        <v>11004639.321139237</v>
      </c>
      <c r="R167">
        <f t="shared" ref="R167" si="812">R168+Q167</f>
        <v>-107758702.71776628</v>
      </c>
      <c r="S167">
        <f t="shared" ref="S167" si="813">R167/100000</f>
        <v>-1077.5870271776628</v>
      </c>
      <c r="T167">
        <f t="shared" ref="T167" si="814">S167/1000</f>
        <v>-1.0775870271776629</v>
      </c>
    </row>
    <row r="168" spans="1:20" x14ac:dyDescent="0.25">
      <c r="A168" s="5">
        <v>44425</v>
      </c>
      <c r="B168">
        <v>2.012</v>
      </c>
      <c r="C168">
        <v>2.2799999999999998</v>
      </c>
      <c r="D168">
        <v>1.8009999999999999</v>
      </c>
      <c r="E168">
        <v>1.8480000000000001</v>
      </c>
      <c r="F168">
        <v>35176880.199000001</v>
      </c>
      <c r="G168">
        <v>1.8480000000000001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-0.80375782881002023</v>
      </c>
      <c r="Q168">
        <f t="shared" ref="Q168" si="816">F168*P168</f>
        <v>-28273692.853058431</v>
      </c>
      <c r="R168">
        <f t="shared" ref="R168" si="817">R169+Q168</f>
        <v>-118763342.03890552</v>
      </c>
      <c r="S168">
        <f t="shared" ref="S168" si="818">R168/100000</f>
        <v>-1187.6334203890551</v>
      </c>
      <c r="T168">
        <f t="shared" ref="T168" si="819">S168/1000</f>
        <v>-1.1876334203890551</v>
      </c>
    </row>
    <row r="169" spans="1:20" x14ac:dyDescent="0.25">
      <c r="A169" s="5">
        <v>44424</v>
      </c>
      <c r="B169">
        <v>1.706</v>
      </c>
      <c r="C169">
        <v>2.266</v>
      </c>
      <c r="D169">
        <v>1.6819999999999999</v>
      </c>
      <c r="E169">
        <v>2.012</v>
      </c>
      <c r="F169">
        <v>53345604.483000003</v>
      </c>
      <c r="G169">
        <v>2.012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0.13013698630136997</v>
      </c>
      <c r="Q169">
        <f t="shared" ref="Q169" si="821">F169*P169</f>
        <v>6942236.1998424716</v>
      </c>
      <c r="R169">
        <f t="shared" ref="R169" si="822">R170+Q169</f>
        <v>-90489649.185847089</v>
      </c>
      <c r="S169">
        <f t="shared" ref="S169" si="823">R169/100000</f>
        <v>-904.89649185847088</v>
      </c>
      <c r="T169">
        <f t="shared" ref="T169" si="824">S169/1000</f>
        <v>-0.90489649185847087</v>
      </c>
    </row>
    <row r="170" spans="1:20" x14ac:dyDescent="0.25">
      <c r="A170" s="5">
        <v>44423</v>
      </c>
      <c r="B170">
        <v>1.653</v>
      </c>
      <c r="C170">
        <v>1.742</v>
      </c>
      <c r="D170">
        <v>1.579</v>
      </c>
      <c r="E170">
        <v>1.706</v>
      </c>
      <c r="F170">
        <v>11435224.267999999</v>
      </c>
      <c r="G170">
        <v>1.706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0.55828220858895672</v>
      </c>
      <c r="Q170">
        <f t="shared" ref="Q170" si="826">F170*P170</f>
        <v>6384082.2600490758</v>
      </c>
      <c r="R170">
        <f t="shared" ref="R170" si="827">R171+Q170</f>
        <v>-97431885.385689557</v>
      </c>
      <c r="S170">
        <f t="shared" ref="S170" si="828">R170/100000</f>
        <v>-974.31885385689554</v>
      </c>
      <c r="T170">
        <f t="shared" ref="T170" si="829">S170/1000</f>
        <v>-0.97431885385689554</v>
      </c>
    </row>
    <row r="171" spans="1:20" x14ac:dyDescent="0.25">
      <c r="A171" s="5">
        <v>44422</v>
      </c>
      <c r="B171">
        <v>1.7230000000000001</v>
      </c>
      <c r="C171">
        <v>1.7549999999999999</v>
      </c>
      <c r="D171">
        <v>1.601</v>
      </c>
      <c r="E171">
        <v>1.653</v>
      </c>
      <c r="F171">
        <v>15233230.762</v>
      </c>
      <c r="G171">
        <v>1.653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-0.32467532467532373</v>
      </c>
      <c r="Q171">
        <f t="shared" ref="Q171" si="831">F171*P171</f>
        <v>-4945854.1435064794</v>
      </c>
      <c r="R171">
        <f t="shared" ref="R171" si="832">R172+Q171</f>
        <v>-103815967.64573863</v>
      </c>
      <c r="S171">
        <f t="shared" ref="S171" si="833">R171/100000</f>
        <v>-1038.1596764573862</v>
      </c>
      <c r="T171">
        <f t="shared" ref="T171" si="834">S171/1000</f>
        <v>-1.0381596764573862</v>
      </c>
    </row>
    <row r="172" spans="1:20" x14ac:dyDescent="0.25">
      <c r="A172" s="5">
        <v>44421</v>
      </c>
      <c r="B172">
        <v>1.5609999999999999</v>
      </c>
      <c r="C172">
        <v>1.83</v>
      </c>
      <c r="D172">
        <v>1.55</v>
      </c>
      <c r="E172">
        <v>1.7210000000000001</v>
      </c>
      <c r="F172">
        <v>11597031.806</v>
      </c>
      <c r="G172">
        <v>1.7210000000000001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0.22142857142857161</v>
      </c>
      <c r="Q172">
        <f t="shared" ref="Q172" si="836">F172*P172</f>
        <v>2567914.1856142879</v>
      </c>
      <c r="R172">
        <f t="shared" ref="R172" si="837">R173+Q172</f>
        <v>-98870113.502232149</v>
      </c>
      <c r="S172">
        <f t="shared" ref="S172" si="838">R172/100000</f>
        <v>-988.70113502232152</v>
      </c>
      <c r="T172">
        <f t="shared" ref="T172" si="839">S172/1000</f>
        <v>-0.98870113502232149</v>
      </c>
    </row>
    <row r="173" spans="1:20" x14ac:dyDescent="0.25">
      <c r="A173" s="5">
        <v>44420</v>
      </c>
      <c r="B173">
        <v>1.5469999999999999</v>
      </c>
      <c r="C173">
        <v>1.6379999999999999</v>
      </c>
      <c r="D173">
        <v>1.4159999999999999</v>
      </c>
      <c r="E173">
        <v>1.5609999999999999</v>
      </c>
      <c r="F173">
        <v>14622951.226</v>
      </c>
      <c r="G173">
        <v>1.5609999999999999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0.30630630630630662</v>
      </c>
      <c r="Q173">
        <f t="shared" ref="Q173" si="841">F173*P173</f>
        <v>4479102.1773333382</v>
      </c>
      <c r="R173">
        <f t="shared" ref="R173" si="842">R174+Q173</f>
        <v>-101438027.68784644</v>
      </c>
      <c r="S173">
        <f t="shared" ref="S173" si="843">R173/100000</f>
        <v>-1014.3802768784643</v>
      </c>
      <c r="T173">
        <f t="shared" ref="T173" si="844">S173/1000</f>
        <v>-1.0143802768784642</v>
      </c>
    </row>
    <row r="174" spans="1:20" x14ac:dyDescent="0.25">
      <c r="A174" s="5">
        <v>44419</v>
      </c>
      <c r="B174">
        <v>1.5229999999999999</v>
      </c>
      <c r="C174">
        <v>1.7</v>
      </c>
      <c r="D174">
        <v>1.506</v>
      </c>
      <c r="E174">
        <v>1.548</v>
      </c>
      <c r="F174">
        <v>14597398.09</v>
      </c>
      <c r="G174">
        <v>1.548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-0.56701030927835006</v>
      </c>
      <c r="Q174">
        <f t="shared" ref="Q174" si="846">F174*P174</f>
        <v>-8276875.205670096</v>
      </c>
      <c r="R174">
        <f t="shared" ref="R174" si="847">R175+Q174</f>
        <v>-105917129.86517978</v>
      </c>
      <c r="S174">
        <f t="shared" ref="S174" si="848">R174/100000</f>
        <v>-1059.1712986517978</v>
      </c>
      <c r="T174">
        <f t="shared" ref="T174" si="849">S174/1000</f>
        <v>-1.0591712986517978</v>
      </c>
    </row>
    <row r="175" spans="1:20" x14ac:dyDescent="0.25">
      <c r="A175" s="5">
        <v>44418</v>
      </c>
      <c r="B175">
        <v>1.468</v>
      </c>
      <c r="C175">
        <v>1.5609999999999999</v>
      </c>
      <c r="D175">
        <v>1.452</v>
      </c>
      <c r="E175">
        <v>1.524</v>
      </c>
      <c r="F175">
        <v>13030478.614</v>
      </c>
      <c r="G175">
        <v>1.524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0.32110091743119401</v>
      </c>
      <c r="Q175">
        <f t="shared" ref="Q175" si="851">F175*P175</f>
        <v>4184098.6375229536</v>
      </c>
      <c r="R175">
        <f t="shared" ref="R175" si="852">R176+Q175</f>
        <v>-97640254.659509689</v>
      </c>
      <c r="S175">
        <f t="shared" ref="S175" si="853">R175/100000</f>
        <v>-976.40254659509685</v>
      </c>
      <c r="T175">
        <f t="shared" ref="T175" si="854">S175/1000</f>
        <v>-0.97640254659509684</v>
      </c>
    </row>
    <row r="176" spans="1:20" x14ac:dyDescent="0.25">
      <c r="A176" s="5">
        <v>44417</v>
      </c>
      <c r="B176">
        <v>1.42</v>
      </c>
      <c r="C176">
        <v>1.5149999999999999</v>
      </c>
      <c r="D176">
        <v>1.3260000000000001</v>
      </c>
      <c r="E176">
        <v>1.468</v>
      </c>
      <c r="F176">
        <v>11794488.529999999</v>
      </c>
      <c r="G176">
        <v>1.468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0.5026455026455029</v>
      </c>
      <c r="Q176">
        <f t="shared" ref="Q176" si="856">F176*P176</f>
        <v>5928446.6156084687</v>
      </c>
      <c r="R176">
        <f t="shared" ref="R176" si="857">R177+Q176</f>
        <v>-101824353.29703264</v>
      </c>
      <c r="S176">
        <f t="shared" ref="S176" si="858">R176/100000</f>
        <v>-1018.2435329703264</v>
      </c>
      <c r="T176">
        <f t="shared" ref="T176" si="859">S176/1000</f>
        <v>-1.0182435329703265</v>
      </c>
    </row>
    <row r="177" spans="1:20" x14ac:dyDescent="0.25">
      <c r="A177" s="5">
        <v>44416</v>
      </c>
      <c r="B177">
        <v>1.6020000000000001</v>
      </c>
      <c r="C177">
        <v>1.6020000000000001</v>
      </c>
      <c r="D177">
        <v>1.3720000000000001</v>
      </c>
      <c r="E177">
        <v>1.42</v>
      </c>
      <c r="F177">
        <v>14154789.960000001</v>
      </c>
      <c r="G177">
        <v>1.42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-0.58260869565217543</v>
      </c>
      <c r="Q177">
        <f t="shared" ref="Q177" si="861">F177*P177</f>
        <v>-8246703.7158261091</v>
      </c>
      <c r="R177">
        <f t="shared" ref="R177" si="862">R178+Q177</f>
        <v>-107752799.91264111</v>
      </c>
      <c r="S177">
        <f t="shared" ref="S177" si="863">R177/100000</f>
        <v>-1077.527999126411</v>
      </c>
      <c r="T177">
        <f t="shared" ref="T177" si="864">S177/1000</f>
        <v>-1.0775279991264111</v>
      </c>
    </row>
    <row r="178" spans="1:20" x14ac:dyDescent="0.25">
      <c r="A178" s="5">
        <v>44415</v>
      </c>
      <c r="B178">
        <v>1.4379999999999999</v>
      </c>
      <c r="C178">
        <v>1.641</v>
      </c>
      <c r="D178">
        <v>1.411</v>
      </c>
      <c r="E178">
        <v>1.601</v>
      </c>
      <c r="F178">
        <v>17358096.370000001</v>
      </c>
      <c r="G178">
        <v>1.601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0.65217391304347794</v>
      </c>
      <c r="Q178">
        <f t="shared" ref="Q178" si="866">F178*P178</f>
        <v>11320497.632608691</v>
      </c>
      <c r="R178">
        <f t="shared" ref="R178" si="867">R179+Q178</f>
        <v>-99506096.196814999</v>
      </c>
      <c r="S178">
        <f t="shared" ref="S178" si="868">R178/100000</f>
        <v>-995.06096196814997</v>
      </c>
      <c r="T178">
        <f t="shared" ref="T178" si="869">S178/1000</f>
        <v>-0.99506096196814997</v>
      </c>
    </row>
    <row r="179" spans="1:20" x14ac:dyDescent="0.25">
      <c r="A179" s="5">
        <v>44414</v>
      </c>
      <c r="B179">
        <v>1.4570000000000001</v>
      </c>
      <c r="C179">
        <v>1.488</v>
      </c>
      <c r="D179">
        <v>1.4019999999999999</v>
      </c>
      <c r="E179">
        <v>1.4370000000000001</v>
      </c>
      <c r="F179">
        <v>9322104.1109999996</v>
      </c>
      <c r="G179">
        <v>1.4370000000000001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-0.18604651162790439</v>
      </c>
      <c r="Q179">
        <f t="shared" ref="Q179" si="871">F179*P179</f>
        <v>-1734344.9508836968</v>
      </c>
      <c r="R179">
        <f t="shared" ref="R179" si="872">R180+Q179</f>
        <v>-110826593.8294237</v>
      </c>
      <c r="S179">
        <f t="shared" ref="S179" si="873">R179/100000</f>
        <v>-1108.265938294237</v>
      </c>
      <c r="T179">
        <f t="shared" ref="T179" si="874">S179/1000</f>
        <v>-1.108265938294237</v>
      </c>
    </row>
    <row r="180" spans="1:20" x14ac:dyDescent="0.25">
      <c r="A180" s="5">
        <v>44413</v>
      </c>
      <c r="B180">
        <v>1.3140000000000001</v>
      </c>
      <c r="C180">
        <v>1.5029999999999999</v>
      </c>
      <c r="D180">
        <v>1.28</v>
      </c>
      <c r="E180">
        <v>1.458</v>
      </c>
      <c r="F180">
        <v>19845545.881000001</v>
      </c>
      <c r="G180">
        <v>1.458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0.59641255605381205</v>
      </c>
      <c r="Q180">
        <f t="shared" ref="Q180" si="876">F180*P180</f>
        <v>11836132.745170413</v>
      </c>
      <c r="R180">
        <f t="shared" ref="R180" si="877">R181+Q180</f>
        <v>-109092248.87853999</v>
      </c>
      <c r="S180">
        <f t="shared" ref="S180" si="878">R180/100000</f>
        <v>-1090.9224887854</v>
      </c>
      <c r="T180">
        <f t="shared" ref="T180" si="879">S180/1000</f>
        <v>-1.0909224887854001</v>
      </c>
    </row>
    <row r="181" spans="1:20" x14ac:dyDescent="0.25">
      <c r="A181" s="5">
        <v>44412</v>
      </c>
      <c r="B181">
        <v>1.2789999999999999</v>
      </c>
      <c r="C181">
        <v>1.371</v>
      </c>
      <c r="D181">
        <v>1.254</v>
      </c>
      <c r="E181">
        <v>1.3140000000000001</v>
      </c>
      <c r="F181">
        <v>10248326.437000001</v>
      </c>
      <c r="G181">
        <v>1.3140000000000001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2.5641025641026615E-2</v>
      </c>
      <c r="Q181">
        <f t="shared" ref="Q181" si="881">F181*P181</f>
        <v>262777.60094872798</v>
      </c>
      <c r="R181">
        <f t="shared" ref="R181" si="882">R182+Q181</f>
        <v>-120928381.62371041</v>
      </c>
      <c r="S181">
        <f t="shared" ref="S181" si="883">R181/100000</f>
        <v>-1209.283816237104</v>
      </c>
      <c r="T181">
        <f t="shared" ref="T181" si="884">S181/1000</f>
        <v>-1.209283816237104</v>
      </c>
    </row>
    <row r="182" spans="1:20" x14ac:dyDescent="0.25">
      <c r="A182" s="5">
        <v>44411</v>
      </c>
      <c r="B182">
        <v>1.3120000000000001</v>
      </c>
      <c r="C182">
        <v>1.3280000000000001</v>
      </c>
      <c r="D182">
        <v>1.214</v>
      </c>
      <c r="E182">
        <v>1.278</v>
      </c>
      <c r="F182">
        <v>10732267.198000001</v>
      </c>
      <c r="G182">
        <v>1.278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0.12280701754385964</v>
      </c>
      <c r="Q182">
        <f t="shared" ref="Q182" si="886">F182*P182</f>
        <v>1317997.7260701754</v>
      </c>
      <c r="R182">
        <f t="shared" ref="R182" si="887">R183+Q182</f>
        <v>-121191159.22465913</v>
      </c>
      <c r="S182">
        <f t="shared" ref="S182" si="888">R182/100000</f>
        <v>-1211.9115922465912</v>
      </c>
      <c r="T182">
        <f t="shared" ref="T182" si="889">S182/1000</f>
        <v>-1.2119115922465913</v>
      </c>
    </row>
    <row r="183" spans="1:20" x14ac:dyDescent="0.25">
      <c r="A183" s="5">
        <v>44410</v>
      </c>
      <c r="B183">
        <v>1.179</v>
      </c>
      <c r="C183">
        <v>1.3640000000000001</v>
      </c>
      <c r="D183">
        <v>1.1459999999999999</v>
      </c>
      <c r="E183">
        <v>1.31</v>
      </c>
      <c r="F183">
        <v>19806189.019000001</v>
      </c>
      <c r="G183">
        <v>1.31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0.50458715596330272</v>
      </c>
      <c r="Q183">
        <f t="shared" ref="Q183" si="891">F183*P183</f>
        <v>9993948.5875688083</v>
      </c>
      <c r="R183">
        <f t="shared" ref="R183" si="892">R184+Q183</f>
        <v>-122509156.95072931</v>
      </c>
      <c r="S183">
        <f t="shared" ref="S183" si="893">R183/100000</f>
        <v>-1225.0915695072931</v>
      </c>
      <c r="T183">
        <f t="shared" ref="T183" si="894">S183/1000</f>
        <v>-1.225091569507293</v>
      </c>
    </row>
    <row r="184" spans="1:20" x14ac:dyDescent="0.25">
      <c r="A184" s="5">
        <v>44409</v>
      </c>
      <c r="B184">
        <v>1.226</v>
      </c>
      <c r="C184">
        <v>1.294</v>
      </c>
      <c r="D184">
        <v>1.161</v>
      </c>
      <c r="E184">
        <v>1.177</v>
      </c>
      <c r="F184">
        <v>14797544.856000001</v>
      </c>
      <c r="G184">
        <v>1.177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-0.7593984962406013</v>
      </c>
      <c r="Q184">
        <f t="shared" ref="Q184" si="896">F184*P184</f>
        <v>-11237233.311699245</v>
      </c>
      <c r="R184">
        <f t="shared" ref="R184" si="897">R185+Q184</f>
        <v>-132503105.53829812</v>
      </c>
      <c r="S184">
        <f t="shared" ref="S184" si="898">R184/100000</f>
        <v>-1325.0310553829811</v>
      </c>
      <c r="T184">
        <f t="shared" ref="T184" si="899">S184/1000</f>
        <v>-1.3250310553829812</v>
      </c>
    </row>
    <row r="185" spans="1:20" x14ac:dyDescent="0.25">
      <c r="A185" s="5">
        <v>44408</v>
      </c>
      <c r="B185">
        <v>1.1970000000000001</v>
      </c>
      <c r="C185">
        <v>1.3</v>
      </c>
      <c r="D185">
        <v>1.1359999999999999</v>
      </c>
      <c r="E185">
        <v>1.226</v>
      </c>
      <c r="F185">
        <v>17331941.715</v>
      </c>
      <c r="G185">
        <v>1.226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9.7560975609756101E-2</v>
      </c>
      <c r="Q185">
        <f t="shared" ref="Q185" si="901">F185*P185</f>
        <v>1690921.1429268294</v>
      </c>
      <c r="R185">
        <f t="shared" ref="R185" si="902">R186+Q185</f>
        <v>-121265872.22659887</v>
      </c>
      <c r="S185">
        <f t="shared" ref="S185" si="903">R185/100000</f>
        <v>-1212.6587222659887</v>
      </c>
      <c r="T185">
        <f t="shared" ref="T185" si="904">S185/1000</f>
        <v>-1.2126587222659886</v>
      </c>
    </row>
    <row r="186" spans="1:20" x14ac:dyDescent="0.25">
      <c r="A186" s="5">
        <v>44407</v>
      </c>
      <c r="B186">
        <v>1.131</v>
      </c>
      <c r="C186">
        <v>1.228</v>
      </c>
      <c r="D186">
        <v>1.06</v>
      </c>
      <c r="E186">
        <v>1.1970000000000001</v>
      </c>
      <c r="F186">
        <v>14059070.088</v>
      </c>
      <c r="G186">
        <v>1.1970000000000001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0.63095238095238182</v>
      </c>
      <c r="Q186">
        <f t="shared" ref="Q186" si="906">F186*P186</f>
        <v>8870603.7460000124</v>
      </c>
      <c r="R186">
        <f t="shared" ref="R186" si="907">R187+Q186</f>
        <v>-122956793.3695257</v>
      </c>
      <c r="S186">
        <f t="shared" ref="S186" si="908">R186/100000</f>
        <v>-1229.5679336952569</v>
      </c>
      <c r="T186">
        <f t="shared" ref="T186" si="909">S186/1000</f>
        <v>-1.229567933695257</v>
      </c>
    </row>
    <row r="187" spans="1:20" x14ac:dyDescent="0.25">
      <c r="A187" s="5">
        <v>44406</v>
      </c>
      <c r="B187">
        <v>1.0289999999999999</v>
      </c>
      <c r="C187">
        <v>1.24</v>
      </c>
      <c r="D187">
        <v>1.02</v>
      </c>
      <c r="E187">
        <v>1.1299999999999999</v>
      </c>
      <c r="F187">
        <v>20481369.68</v>
      </c>
      <c r="G187">
        <v>1.1299999999999999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-1.0092936587501424E-15</v>
      </c>
      <c r="Q187">
        <f t="shared" ref="Q187" si="911">F187*P187</f>
        <v>-2.0671716540541434E-8</v>
      </c>
      <c r="R187">
        <f t="shared" ref="R187" si="912">R188+Q187</f>
        <v>-131827397.11552571</v>
      </c>
      <c r="S187">
        <f t="shared" ref="S187" si="913">R187/100000</f>
        <v>-1318.2739711552572</v>
      </c>
      <c r="T187">
        <f t="shared" ref="T187" si="914">S187/1000</f>
        <v>-1.3182739711552571</v>
      </c>
    </row>
    <row r="188" spans="1:20" x14ac:dyDescent="0.25">
      <c r="A188" s="5">
        <v>44405</v>
      </c>
      <c r="B188">
        <v>1.034</v>
      </c>
      <c r="C188">
        <v>1.073</v>
      </c>
      <c r="D188">
        <v>0.99199999999999999</v>
      </c>
      <c r="E188">
        <v>1.0289999999999999</v>
      </c>
      <c r="F188">
        <v>8601993.5050000008</v>
      </c>
      <c r="G188">
        <v>1.0289999999999999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-8.6419753086421247E-2</v>
      </c>
      <c r="Q188">
        <f t="shared" ref="Q188" si="916">F188*P188</f>
        <v>-743382.15475309931</v>
      </c>
      <c r="R188">
        <f t="shared" ref="R188" si="917">R189+Q188</f>
        <v>-131827397.11552569</v>
      </c>
      <c r="S188">
        <f t="shared" ref="S188" si="918">R188/100000</f>
        <v>-1318.273971155257</v>
      </c>
      <c r="T188">
        <f t="shared" ref="T188" si="919">S188/1000</f>
        <v>-1.3182739711552569</v>
      </c>
    </row>
    <row r="189" spans="1:20" x14ac:dyDescent="0.25">
      <c r="A189" s="5">
        <v>44404</v>
      </c>
      <c r="B189">
        <v>1.012</v>
      </c>
      <c r="C189">
        <v>1.0660000000000001</v>
      </c>
      <c r="D189">
        <v>0.94099999999999995</v>
      </c>
      <c r="E189">
        <v>1.0349999999999999</v>
      </c>
      <c r="F189">
        <v>12944612.716</v>
      </c>
      <c r="G189">
        <v>1.0349999999999999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0.50399999999999823</v>
      </c>
      <c r="Q189">
        <f t="shared" ref="Q189" si="921">F189*P189</f>
        <v>6524084.808863977</v>
      </c>
      <c r="R189">
        <f t="shared" ref="R189" si="922">R190+Q189</f>
        <v>-131084014.96077259</v>
      </c>
      <c r="S189">
        <f t="shared" ref="S189" si="923">R189/100000</f>
        <v>-1310.8401496077258</v>
      </c>
      <c r="T189">
        <f t="shared" ref="T189" si="924">S189/1000</f>
        <v>-1.3108401496077258</v>
      </c>
    </row>
    <row r="190" spans="1:20" x14ac:dyDescent="0.25">
      <c r="A190" s="5">
        <v>44403</v>
      </c>
      <c r="B190">
        <v>1.0349999999999999</v>
      </c>
      <c r="C190">
        <v>1.1639999999999999</v>
      </c>
      <c r="D190">
        <v>1.0069999999999999</v>
      </c>
      <c r="E190">
        <v>1.0109999999999999</v>
      </c>
      <c r="F190">
        <v>16393965.907</v>
      </c>
      <c r="G190">
        <v>1.0109999999999999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-0.94904458598726116</v>
      </c>
      <c r="Q190">
        <f t="shared" ref="Q190" si="926">F190*P190</f>
        <v>-15558604.586898088</v>
      </c>
      <c r="R190">
        <f t="shared" ref="R190" si="927">R191+Q190</f>
        <v>-137608099.76963657</v>
      </c>
      <c r="S190">
        <f t="shared" ref="S190" si="928">R190/100000</f>
        <v>-1376.0809976963658</v>
      </c>
      <c r="T190">
        <f t="shared" ref="T190" si="929">S190/1000</f>
        <v>-1.3760809976963657</v>
      </c>
    </row>
    <row r="191" spans="1:20" x14ac:dyDescent="0.25">
      <c r="A191" s="5">
        <v>44402</v>
      </c>
      <c r="B191">
        <v>0.97599999999999998</v>
      </c>
      <c r="C191">
        <v>1.087</v>
      </c>
      <c r="D191">
        <v>0.92600000000000005</v>
      </c>
      <c r="E191">
        <v>1.034</v>
      </c>
      <c r="F191">
        <v>16378679.658</v>
      </c>
      <c r="G191">
        <v>1.034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0.34161490683229861</v>
      </c>
      <c r="Q191">
        <f t="shared" ref="Q191" si="931">F191*P191</f>
        <v>5595201.1254037349</v>
      </c>
      <c r="R191">
        <f t="shared" ref="R191" si="932">R192+Q191</f>
        <v>-122049495.1827385</v>
      </c>
      <c r="S191">
        <f t="shared" ref="S191" si="933">R191/100000</f>
        <v>-1220.494951827385</v>
      </c>
      <c r="T191">
        <f t="shared" ref="T191:T197" si="934">S191/1000</f>
        <v>-1.2204949518273849</v>
      </c>
    </row>
    <row r="192" spans="1:20" x14ac:dyDescent="0.25">
      <c r="A192" s="5">
        <v>44401</v>
      </c>
      <c r="B192">
        <v>0.90500000000000003</v>
      </c>
      <c r="C192">
        <v>1.0489999999999999</v>
      </c>
      <c r="D192">
        <v>0.89200000000000002</v>
      </c>
      <c r="E192">
        <v>0.97499999999999998</v>
      </c>
      <c r="F192">
        <v>17261955.510000002</v>
      </c>
      <c r="G192">
        <v>0.97499999999999998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5.7324840764331295E-2</v>
      </c>
      <c r="Q192">
        <f t="shared" ref="Q192" si="936">F192*P192</f>
        <v>989538.85089172132</v>
      </c>
      <c r="R192">
        <f t="shared" ref="R192" si="937">R193+Q192</f>
        <v>-127644696.30814223</v>
      </c>
      <c r="S192">
        <f t="shared" ref="S192" si="938">R192/100000</f>
        <v>-1276.4469630814224</v>
      </c>
      <c r="T192">
        <f t="shared" si="934"/>
        <v>-1.2764469630814224</v>
      </c>
    </row>
    <row r="193" spans="1:20" x14ac:dyDescent="0.25">
      <c r="A193" s="5">
        <v>44400</v>
      </c>
      <c r="B193">
        <v>0.89500000000000002</v>
      </c>
      <c r="C193">
        <v>0.91900000000000004</v>
      </c>
      <c r="D193">
        <v>0.83599999999999997</v>
      </c>
      <c r="E193">
        <v>0.90500000000000003</v>
      </c>
      <c r="F193">
        <v>9235461.7579999994</v>
      </c>
      <c r="G193">
        <v>0.90500000000000003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0.66265060240963858</v>
      </c>
      <c r="Q193">
        <f t="shared" ref="Q193" si="940">F193*P193</f>
        <v>6119884.2974698795</v>
      </c>
      <c r="R193">
        <f t="shared" ref="R193" si="941">R194+Q193</f>
        <v>-128634235.15903395</v>
      </c>
      <c r="S193">
        <f t="shared" ref="S193" si="942">R193/100000</f>
        <v>-1286.3423515903396</v>
      </c>
      <c r="T193">
        <f t="shared" si="934"/>
        <v>-1.2863423515903396</v>
      </c>
    </row>
    <row r="194" spans="1:20" x14ac:dyDescent="0.25">
      <c r="A194" s="5">
        <v>44399</v>
      </c>
      <c r="B194">
        <v>0.86399999999999999</v>
      </c>
      <c r="C194">
        <v>0.92</v>
      </c>
      <c r="D194">
        <v>0.82399999999999995</v>
      </c>
      <c r="E194">
        <v>0.89500000000000002</v>
      </c>
      <c r="F194">
        <v>11507712.443</v>
      </c>
      <c r="G194">
        <v>0.89500000000000002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0.47916666666666669</v>
      </c>
      <c r="Q194">
        <f t="shared" ref="Q194" si="944">F194*P194</f>
        <v>5514112.2122708336</v>
      </c>
      <c r="R194">
        <f t="shared" ref="R194" si="945">R195+Q194</f>
        <v>-134754119.45650384</v>
      </c>
      <c r="S194">
        <f t="shared" ref="S194" si="946">R194/100000</f>
        <v>-1347.5411945650385</v>
      </c>
      <c r="T194">
        <f t="shared" si="934"/>
        <v>-1.3475411945650384</v>
      </c>
    </row>
    <row r="195" spans="1:20" x14ac:dyDescent="0.25">
      <c r="A195" s="5">
        <v>44398</v>
      </c>
      <c r="B195">
        <v>0.78300000000000003</v>
      </c>
      <c r="C195">
        <v>0.89200000000000002</v>
      </c>
      <c r="D195">
        <v>0.75700000000000001</v>
      </c>
      <c r="E195">
        <v>0.86199999999999999</v>
      </c>
      <c r="F195">
        <v>12998472.097999999</v>
      </c>
      <c r="G195">
        <v>0.86199999999999999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0.55555555555555514</v>
      </c>
      <c r="Q195">
        <f t="shared" ref="Q195" si="948">F195*P195</f>
        <v>7221373.3877777718</v>
      </c>
      <c r="R195">
        <f t="shared" ref="R195" si="949">R196+Q195</f>
        <v>-140268231.66877466</v>
      </c>
      <c r="S195">
        <f t="shared" ref="S195" si="950">R195/100000</f>
        <v>-1402.6823166877466</v>
      </c>
      <c r="T195">
        <f t="shared" si="934"/>
        <v>-1.4026823166877467</v>
      </c>
    </row>
    <row r="196" spans="1:20" x14ac:dyDescent="0.25">
      <c r="A196" s="5">
        <v>44397</v>
      </c>
      <c r="B196">
        <v>0.83199999999999996</v>
      </c>
      <c r="C196">
        <v>0.84499999999999997</v>
      </c>
      <c r="D196">
        <v>0.752</v>
      </c>
      <c r="E196">
        <v>0.78300000000000003</v>
      </c>
      <c r="F196">
        <v>11456787.271</v>
      </c>
      <c r="G196">
        <v>0.78300000000000003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-0.33333333333333254</v>
      </c>
      <c r="Q196">
        <f t="shared" ref="Q196" si="952">F196*P196</f>
        <v>-3818929.0903333239</v>
      </c>
      <c r="R196">
        <f t="shared" ref="R196" si="953">R197+Q196</f>
        <v>-147489605.05655244</v>
      </c>
      <c r="S196">
        <f t="shared" ref="S196" si="954">R196/100000</f>
        <v>-1474.8960505655243</v>
      </c>
      <c r="T196">
        <f t="shared" si="934"/>
        <v>-1.4748960505655244</v>
      </c>
    </row>
    <row r="197" spans="1:20" x14ac:dyDescent="0.25">
      <c r="A197" s="5">
        <v>44396</v>
      </c>
      <c r="B197">
        <v>0.91700000000000004</v>
      </c>
      <c r="C197">
        <v>0.95299999999999996</v>
      </c>
      <c r="D197">
        <v>0.81599999999999995</v>
      </c>
      <c r="E197">
        <v>0.83199999999999996</v>
      </c>
      <c r="F197">
        <v>14706136.831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-0.76642335766423342</v>
      </c>
      <c r="Q197">
        <f t="shared" ref="Q197" si="956">F197*P197</f>
        <v>-11271126.768284669</v>
      </c>
      <c r="R197">
        <f t="shared" ref="R197" si="957">R198+Q197</f>
        <v>-143670675.96621913</v>
      </c>
      <c r="S197">
        <f t="shared" ref="S197" si="958">R197/100000</f>
        <v>-1436.7067596621912</v>
      </c>
      <c r="T197">
        <f t="shared" si="934"/>
        <v>-1.4367067596621912</v>
      </c>
    </row>
    <row r="198" spans="1:20" x14ac:dyDescent="0.25">
      <c r="A198" s="5">
        <v>44395</v>
      </c>
      <c r="B198">
        <v>0.93</v>
      </c>
      <c r="C198">
        <v>0.98799999999999999</v>
      </c>
      <c r="D198">
        <v>0.91200000000000003</v>
      </c>
      <c r="E198">
        <v>0.91600000000000004</v>
      </c>
      <c r="F198">
        <v>7758318.1169999996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-0.89473684210526305</v>
      </c>
      <c r="Q198">
        <f t="shared" ref="Q198:Q261" si="960">F198*P198</f>
        <v>-6941653.0520526301</v>
      </c>
      <c r="R198">
        <f t="shared" ref="R198:R261" si="961">R199+Q198</f>
        <v>-132399549.19793445</v>
      </c>
      <c r="S198">
        <f t="shared" ref="S198:S261" si="962">R198/100000</f>
        <v>-1323.9954919793445</v>
      </c>
      <c r="T198">
        <f t="shared" ref="T198:T261" si="963">S198/1000</f>
        <v>-1.3239954919793444</v>
      </c>
    </row>
    <row r="199" spans="1:20" x14ac:dyDescent="0.25">
      <c r="A199" s="5">
        <v>44394</v>
      </c>
      <c r="B199">
        <v>0.96199999999999997</v>
      </c>
      <c r="C199">
        <v>0.97599999999999998</v>
      </c>
      <c r="D199">
        <v>0.90600000000000003</v>
      </c>
      <c r="E199">
        <v>0.92900000000000005</v>
      </c>
      <c r="F199">
        <v>9890095.3340000007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-0.34285714285714181</v>
      </c>
      <c r="Q199">
        <f t="shared" si="960"/>
        <v>-3390889.82879999</v>
      </c>
      <c r="R199">
        <f t="shared" si="961"/>
        <v>-125457896.14588182</v>
      </c>
      <c r="S199">
        <f t="shared" si="962"/>
        <v>-1254.5789614588182</v>
      </c>
      <c r="T199">
        <f t="shared" si="963"/>
        <v>-1.2545789614588181</v>
      </c>
    </row>
    <row r="200" spans="1:20" x14ac:dyDescent="0.25">
      <c r="A200" s="5">
        <v>44393</v>
      </c>
      <c r="B200">
        <v>1.1459999999999999</v>
      </c>
      <c r="C200">
        <v>1.151</v>
      </c>
      <c r="D200">
        <v>0.95799999999999996</v>
      </c>
      <c r="E200">
        <v>0.96399999999999997</v>
      </c>
      <c r="F200">
        <v>13851278.979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-0.93782383419689119</v>
      </c>
      <c r="Q200">
        <f t="shared" si="960"/>
        <v>-12990059.560616581</v>
      </c>
      <c r="R200">
        <f t="shared" si="961"/>
        <v>-122067006.31708182</v>
      </c>
      <c r="S200">
        <f t="shared" si="962"/>
        <v>-1220.6700631708181</v>
      </c>
      <c r="T200">
        <f t="shared" si="963"/>
        <v>-1.2206700631708181</v>
      </c>
    </row>
    <row r="201" spans="1:20" x14ac:dyDescent="0.25">
      <c r="A201" s="5">
        <v>44392</v>
      </c>
      <c r="B201">
        <v>1.222</v>
      </c>
      <c r="C201">
        <v>1.26</v>
      </c>
      <c r="D201">
        <v>1.1220000000000001</v>
      </c>
      <c r="E201">
        <v>1.145</v>
      </c>
      <c r="F201">
        <v>18560928.158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-0.66666666666666774</v>
      </c>
      <c r="Q201">
        <f t="shared" si="960"/>
        <v>-12373952.105333352</v>
      </c>
      <c r="R201">
        <f t="shared" si="961"/>
        <v>-109076946.75646524</v>
      </c>
      <c r="S201">
        <f t="shared" si="962"/>
        <v>-1090.7694675646524</v>
      </c>
      <c r="T201">
        <f t="shared" si="963"/>
        <v>-1.0907694675646524</v>
      </c>
    </row>
    <row r="202" spans="1:20" x14ac:dyDescent="0.25">
      <c r="A202" s="5">
        <v>44391</v>
      </c>
      <c r="B202">
        <v>1.3080000000000001</v>
      </c>
      <c r="C202">
        <v>1.3959999999999999</v>
      </c>
      <c r="D202">
        <v>1.1000000000000001</v>
      </c>
      <c r="E202">
        <v>1.222</v>
      </c>
      <c r="F202">
        <v>30082064.188999999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-0.17567567567567594</v>
      </c>
      <c r="Q202">
        <f t="shared" si="960"/>
        <v>-5284686.9521216294</v>
      </c>
      <c r="R202">
        <f t="shared" si="961"/>
        <v>-96702994.651131883</v>
      </c>
      <c r="S202">
        <f t="shared" si="962"/>
        <v>-967.02994651131883</v>
      </c>
      <c r="T202">
        <f t="shared" si="963"/>
        <v>-0.96702994651131879</v>
      </c>
    </row>
    <row r="203" spans="1:20" x14ac:dyDescent="0.25">
      <c r="A203" s="5">
        <v>44390</v>
      </c>
      <c r="B203">
        <v>1.1850000000000001</v>
      </c>
      <c r="C203">
        <v>1.33</v>
      </c>
      <c r="D203">
        <v>1.1359999999999999</v>
      </c>
      <c r="E203">
        <v>1.3080000000000001</v>
      </c>
      <c r="F203">
        <v>19991917.267999999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0.77319587628865982</v>
      </c>
      <c r="Q203">
        <f t="shared" si="960"/>
        <v>15457667.990721649</v>
      </c>
      <c r="R203">
        <f t="shared" si="961"/>
        <v>-91418307.699010253</v>
      </c>
      <c r="S203">
        <f t="shared" si="962"/>
        <v>-914.18307699010256</v>
      </c>
      <c r="T203">
        <f t="shared" si="963"/>
        <v>-0.91418307699010259</v>
      </c>
    </row>
    <row r="204" spans="1:20" x14ac:dyDescent="0.25">
      <c r="A204" s="5">
        <v>44389</v>
      </c>
      <c r="B204">
        <v>1.2110000000000001</v>
      </c>
      <c r="C204">
        <v>1.375</v>
      </c>
      <c r="D204">
        <v>1.1719999999999999</v>
      </c>
      <c r="E204">
        <v>1.1859999999999999</v>
      </c>
      <c r="F204">
        <v>24593671.840999998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-0.86206896551724133</v>
      </c>
      <c r="Q204">
        <f t="shared" si="960"/>
        <v>-21201441.242241375</v>
      </c>
      <c r="R204">
        <f t="shared" si="961"/>
        <v>-106875975.6897319</v>
      </c>
      <c r="S204">
        <f t="shared" si="962"/>
        <v>-1068.759756897319</v>
      </c>
      <c r="T204">
        <f t="shared" si="963"/>
        <v>-1.0687597568973191</v>
      </c>
    </row>
    <row r="205" spans="1:20" x14ac:dyDescent="0.25">
      <c r="A205" s="5">
        <v>44388</v>
      </c>
      <c r="B205">
        <v>1.0649999999999999</v>
      </c>
      <c r="C205">
        <v>1.25</v>
      </c>
      <c r="D205">
        <v>1.014</v>
      </c>
      <c r="E205">
        <v>1.2110000000000001</v>
      </c>
      <c r="F205">
        <v>15966253.460999999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0.66949152542372947</v>
      </c>
      <c r="Q205">
        <f t="shared" si="960"/>
        <v>10689271.384906789</v>
      </c>
      <c r="R205">
        <f t="shared" si="961"/>
        <v>-85674534.447490513</v>
      </c>
      <c r="S205">
        <f t="shared" si="962"/>
        <v>-856.7453444749051</v>
      </c>
      <c r="T205">
        <f t="shared" si="963"/>
        <v>-0.85674534447490514</v>
      </c>
    </row>
    <row r="206" spans="1:20" x14ac:dyDescent="0.25">
      <c r="A206" s="5">
        <v>44387</v>
      </c>
      <c r="B206">
        <v>1.0349999999999999</v>
      </c>
      <c r="C206">
        <v>1.117</v>
      </c>
      <c r="D206">
        <v>0.97899999999999998</v>
      </c>
      <c r="E206">
        <v>1.0649999999999999</v>
      </c>
      <c r="F206">
        <v>14696829.357999999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0.2463768115942023</v>
      </c>
      <c r="Q206">
        <f t="shared" si="960"/>
        <v>3620957.9577681068</v>
      </c>
      <c r="R206">
        <f t="shared" si="961"/>
        <v>-96363805.832397297</v>
      </c>
      <c r="S206">
        <f t="shared" si="962"/>
        <v>-963.63805832397293</v>
      </c>
      <c r="T206">
        <f t="shared" si="963"/>
        <v>-0.96363805832397298</v>
      </c>
    </row>
    <row r="207" spans="1:20" x14ac:dyDescent="0.25">
      <c r="A207" s="5">
        <v>44386</v>
      </c>
      <c r="B207">
        <v>0.96</v>
      </c>
      <c r="C207">
        <v>1.048</v>
      </c>
      <c r="D207">
        <v>0.91900000000000004</v>
      </c>
      <c r="E207">
        <v>1.0349999999999999</v>
      </c>
      <c r="F207">
        <v>9191467.3910000008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0.79844961240309886</v>
      </c>
      <c r="Q207">
        <f t="shared" si="960"/>
        <v>7338923.5757596726</v>
      </c>
      <c r="R207">
        <f t="shared" si="961"/>
        <v>-99984763.790165409</v>
      </c>
      <c r="S207">
        <f t="shared" si="962"/>
        <v>-999.84763790165414</v>
      </c>
      <c r="T207">
        <f t="shared" si="963"/>
        <v>-0.9998476379016541</v>
      </c>
    </row>
    <row r="208" spans="1:20" x14ac:dyDescent="0.25">
      <c r="A208" s="5">
        <v>44385</v>
      </c>
      <c r="B208">
        <v>1.052</v>
      </c>
      <c r="C208">
        <v>1.079</v>
      </c>
      <c r="D208">
        <v>0.95</v>
      </c>
      <c r="E208">
        <v>0.96</v>
      </c>
      <c r="F208">
        <v>11075242.518999999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-0.84496124031007735</v>
      </c>
      <c r="Q208">
        <f t="shared" si="960"/>
        <v>-9358150.6555891447</v>
      </c>
      <c r="R208">
        <f t="shared" si="961"/>
        <v>-107323687.36592509</v>
      </c>
      <c r="S208">
        <f t="shared" si="962"/>
        <v>-1073.2368736592509</v>
      </c>
      <c r="T208">
        <f t="shared" si="963"/>
        <v>-1.073236873659251</v>
      </c>
    </row>
    <row r="209" spans="1:20" x14ac:dyDescent="0.25">
      <c r="A209" s="5">
        <v>44384</v>
      </c>
      <c r="B209">
        <v>1.1759999999999999</v>
      </c>
      <c r="C209">
        <v>1.1779999999999999</v>
      </c>
      <c r="D209">
        <v>1.04</v>
      </c>
      <c r="E209">
        <v>1.0529999999999999</v>
      </c>
      <c r="F209">
        <v>16031015.99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-0.811594202898552</v>
      </c>
      <c r="Q209">
        <f t="shared" si="960"/>
        <v>-13010679.644057991</v>
      </c>
      <c r="R209">
        <f t="shared" si="961"/>
        <v>-97965536.71033594</v>
      </c>
      <c r="S209">
        <f t="shared" si="962"/>
        <v>-979.65536710335937</v>
      </c>
      <c r="T209">
        <f t="shared" si="963"/>
        <v>-0.97965536710335932</v>
      </c>
    </row>
    <row r="210" spans="1:20" x14ac:dyDescent="0.25">
      <c r="A210" s="5">
        <v>44383</v>
      </c>
      <c r="B210">
        <v>0.86299999999999999</v>
      </c>
      <c r="C210">
        <v>1.194</v>
      </c>
      <c r="D210">
        <v>0.86299999999999999</v>
      </c>
      <c r="E210">
        <v>1.1759999999999999</v>
      </c>
      <c r="F210">
        <v>32542649.368999999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0.89123867069486395</v>
      </c>
      <c r="Q210">
        <f t="shared" si="960"/>
        <v>29003267.564516611</v>
      </c>
      <c r="R210">
        <f t="shared" si="961"/>
        <v>-84954857.066277951</v>
      </c>
      <c r="S210">
        <f t="shared" si="962"/>
        <v>-849.54857066277953</v>
      </c>
      <c r="T210">
        <f t="shared" si="963"/>
        <v>-0.84954857066277956</v>
      </c>
    </row>
    <row r="211" spans="1:20" x14ac:dyDescent="0.25">
      <c r="A211" s="5">
        <v>44382</v>
      </c>
      <c r="B211">
        <v>0.92900000000000005</v>
      </c>
      <c r="C211">
        <v>0.93100000000000005</v>
      </c>
      <c r="D211">
        <v>0.83499999999999996</v>
      </c>
      <c r="E211">
        <v>0.86299999999999999</v>
      </c>
      <c r="F211">
        <v>7885776.1310000001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-0.41666666666666669</v>
      </c>
      <c r="Q211">
        <f t="shared" si="960"/>
        <v>-3285740.0545833334</v>
      </c>
      <c r="R211">
        <f t="shared" si="961"/>
        <v>-113958124.63079455</v>
      </c>
      <c r="S211">
        <f t="shared" si="962"/>
        <v>-1139.5812463079455</v>
      </c>
      <c r="T211">
        <f t="shared" si="963"/>
        <v>-1.1395812463079456</v>
      </c>
    </row>
    <row r="212" spans="1:20" x14ac:dyDescent="0.25">
      <c r="A212" s="5">
        <v>44381</v>
      </c>
      <c r="B212">
        <v>0.86599999999999999</v>
      </c>
      <c r="C212">
        <v>0.99</v>
      </c>
      <c r="D212">
        <v>0.84599999999999997</v>
      </c>
      <c r="E212">
        <v>0.93100000000000005</v>
      </c>
      <c r="F212">
        <v>9515065.9619999994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0.18055555555555647</v>
      </c>
      <c r="Q212">
        <f t="shared" si="960"/>
        <v>1717998.0209166752</v>
      </c>
      <c r="R212">
        <f t="shared" si="961"/>
        <v>-110672384.57621121</v>
      </c>
      <c r="S212">
        <f t="shared" si="962"/>
        <v>-1106.7238457621122</v>
      </c>
      <c r="T212">
        <f t="shared" si="963"/>
        <v>-1.1067238457621122</v>
      </c>
    </row>
    <row r="213" spans="1:20" x14ac:dyDescent="0.25">
      <c r="A213" s="5">
        <v>44380</v>
      </c>
      <c r="B213">
        <v>0.82499999999999996</v>
      </c>
      <c r="C213">
        <v>0.88500000000000001</v>
      </c>
      <c r="D213">
        <v>0.80900000000000005</v>
      </c>
      <c r="E213">
        <v>0.86799999999999999</v>
      </c>
      <c r="F213">
        <v>5757055.2039999999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0.55263157894736781</v>
      </c>
      <c r="Q213">
        <f t="shared" si="960"/>
        <v>3181530.5074736807</v>
      </c>
      <c r="R213">
        <f t="shared" si="961"/>
        <v>-112390382.59712788</v>
      </c>
      <c r="S213">
        <f t="shared" si="962"/>
        <v>-1123.9038259712788</v>
      </c>
      <c r="T213">
        <f t="shared" si="963"/>
        <v>-1.1239038259712788</v>
      </c>
    </row>
    <row r="214" spans="1:20" x14ac:dyDescent="0.25">
      <c r="A214" s="5">
        <v>44379</v>
      </c>
      <c r="B214">
        <v>0.84699999999999998</v>
      </c>
      <c r="C214">
        <v>0.87</v>
      </c>
      <c r="D214">
        <v>0.79800000000000004</v>
      </c>
      <c r="E214">
        <v>0.82499999999999996</v>
      </c>
      <c r="F214">
        <v>4422842.6289999997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-0.25000000000000194</v>
      </c>
      <c r="Q214">
        <f t="shared" si="960"/>
        <v>-1105710.6572500085</v>
      </c>
      <c r="R214">
        <f t="shared" si="961"/>
        <v>-115571913.10460156</v>
      </c>
      <c r="S214">
        <f t="shared" si="962"/>
        <v>-1155.7191310460157</v>
      </c>
      <c r="T214">
        <f t="shared" si="963"/>
        <v>-1.1557191310460158</v>
      </c>
    </row>
    <row r="215" spans="1:20" x14ac:dyDescent="0.25">
      <c r="A215" s="5">
        <v>44378</v>
      </c>
      <c r="B215">
        <v>0.93700000000000006</v>
      </c>
      <c r="C215">
        <v>0.93899999999999995</v>
      </c>
      <c r="D215">
        <v>0.82699999999999996</v>
      </c>
      <c r="E215">
        <v>0.84699999999999998</v>
      </c>
      <c r="F215">
        <v>5562769.2999999998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-0.64285714285714246</v>
      </c>
      <c r="Q215">
        <f t="shared" si="960"/>
        <v>-3576065.9785714261</v>
      </c>
      <c r="R215">
        <f t="shared" si="961"/>
        <v>-114466202.44735156</v>
      </c>
      <c r="S215">
        <f t="shared" si="962"/>
        <v>-1144.6620244735157</v>
      </c>
      <c r="T215">
        <f t="shared" si="963"/>
        <v>-1.1446620244735157</v>
      </c>
    </row>
    <row r="216" spans="1:20" x14ac:dyDescent="0.25">
      <c r="A216" s="5">
        <v>44377</v>
      </c>
      <c r="B216">
        <v>0.98099999999999998</v>
      </c>
      <c r="C216">
        <v>0.99399999999999999</v>
      </c>
      <c r="D216">
        <v>0.85599999999999998</v>
      </c>
      <c r="E216">
        <v>0.93700000000000006</v>
      </c>
      <c r="F216">
        <v>7566317.7560000001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0.17391304347826181</v>
      </c>
      <c r="Q216">
        <f t="shared" si="960"/>
        <v>1315881.3488695724</v>
      </c>
      <c r="R216">
        <f t="shared" si="961"/>
        <v>-110890136.46878013</v>
      </c>
      <c r="S216">
        <f t="shared" si="962"/>
        <v>-1108.9013646878013</v>
      </c>
      <c r="T216">
        <f t="shared" si="963"/>
        <v>-1.1089013646878014</v>
      </c>
    </row>
    <row r="217" spans="1:20" x14ac:dyDescent="0.25">
      <c r="A217" s="5">
        <v>44376</v>
      </c>
      <c r="B217">
        <v>0.89200000000000002</v>
      </c>
      <c r="C217">
        <v>1.034</v>
      </c>
      <c r="D217">
        <v>0.88700000000000001</v>
      </c>
      <c r="E217">
        <v>0.97899999999999998</v>
      </c>
      <c r="F217">
        <v>7967306.9529999997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0.25170068027210829</v>
      </c>
      <c r="Q217">
        <f t="shared" si="960"/>
        <v>2005376.5800067983</v>
      </c>
      <c r="R217">
        <f t="shared" si="961"/>
        <v>-112206017.81764971</v>
      </c>
      <c r="S217">
        <f t="shared" si="962"/>
        <v>-1122.0601781764972</v>
      </c>
      <c r="T217">
        <f t="shared" si="963"/>
        <v>-1.1220601781764972</v>
      </c>
    </row>
    <row r="218" spans="1:20" x14ac:dyDescent="0.25">
      <c r="A218" s="5">
        <v>44375</v>
      </c>
      <c r="B218">
        <v>0.876</v>
      </c>
      <c r="C218">
        <v>0.92300000000000004</v>
      </c>
      <c r="D218">
        <v>0.85299999999999998</v>
      </c>
      <c r="E218">
        <v>0.89100000000000001</v>
      </c>
      <c r="F218">
        <v>4198412.1869999999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8.5714285714285715E-2</v>
      </c>
      <c r="Q218">
        <f t="shared" si="960"/>
        <v>359863.90174285712</v>
      </c>
      <c r="R218">
        <f t="shared" si="961"/>
        <v>-114211394.3976565</v>
      </c>
      <c r="S218">
        <f t="shared" si="962"/>
        <v>-1142.113943976565</v>
      </c>
      <c r="T218">
        <f t="shared" si="963"/>
        <v>-1.1421139439765651</v>
      </c>
    </row>
    <row r="219" spans="1:20" x14ac:dyDescent="0.25">
      <c r="A219" s="5">
        <v>44374</v>
      </c>
      <c r="B219">
        <v>0.81299999999999994</v>
      </c>
      <c r="C219">
        <v>0.88600000000000001</v>
      </c>
      <c r="D219">
        <v>0.79100000000000004</v>
      </c>
      <c r="E219">
        <v>0.876</v>
      </c>
      <c r="F219">
        <v>5186906.6119999997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0.78947368421052611</v>
      </c>
      <c r="Q219">
        <f t="shared" si="960"/>
        <v>4094926.2726315777</v>
      </c>
      <c r="R219">
        <f t="shared" si="961"/>
        <v>-114571258.29939936</v>
      </c>
      <c r="S219">
        <f t="shared" si="962"/>
        <v>-1145.7125829939937</v>
      </c>
      <c r="T219">
        <f t="shared" si="963"/>
        <v>-1.1457125829939936</v>
      </c>
    </row>
    <row r="220" spans="1:20" x14ac:dyDescent="0.25">
      <c r="A220" s="5">
        <v>44373</v>
      </c>
      <c r="B220">
        <v>0.81899999999999995</v>
      </c>
      <c r="C220">
        <v>0.85599999999999998</v>
      </c>
      <c r="D220">
        <v>0.77400000000000002</v>
      </c>
      <c r="E220">
        <v>0.81200000000000006</v>
      </c>
      <c r="F220">
        <v>6874731.6330000004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-7.317073170731582E-2</v>
      </c>
      <c r="Q220">
        <f t="shared" si="960"/>
        <v>-503029.14387804019</v>
      </c>
      <c r="R220">
        <f t="shared" si="961"/>
        <v>-118666184.57203093</v>
      </c>
      <c r="S220">
        <f t="shared" si="962"/>
        <v>-1186.6618457203094</v>
      </c>
      <c r="T220">
        <f t="shared" si="963"/>
        <v>-1.1866618457203095</v>
      </c>
    </row>
    <row r="221" spans="1:20" x14ac:dyDescent="0.25">
      <c r="A221" s="5">
        <v>44372</v>
      </c>
      <c r="B221">
        <v>0.94499999999999995</v>
      </c>
      <c r="C221">
        <v>0.97399999999999998</v>
      </c>
      <c r="D221">
        <v>0.81399999999999995</v>
      </c>
      <c r="E221">
        <v>0.81899999999999995</v>
      </c>
      <c r="F221">
        <v>7357685.2939999998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-0.9375</v>
      </c>
      <c r="Q221">
        <f t="shared" si="960"/>
        <v>-6897829.9631249998</v>
      </c>
      <c r="R221">
        <f t="shared" si="961"/>
        <v>-118163155.42815289</v>
      </c>
      <c r="S221">
        <f t="shared" si="962"/>
        <v>-1181.6315542815289</v>
      </c>
      <c r="T221">
        <f t="shared" si="963"/>
        <v>-1.181631554281529</v>
      </c>
    </row>
    <row r="222" spans="1:20" x14ac:dyDescent="0.25">
      <c r="A222" s="5">
        <v>44371</v>
      </c>
      <c r="B222">
        <v>0.95699999999999996</v>
      </c>
      <c r="C222">
        <v>0.98</v>
      </c>
      <c r="D222">
        <v>0.89700000000000002</v>
      </c>
      <c r="E222">
        <v>0.94499999999999995</v>
      </c>
      <c r="F222">
        <v>5981751.9469999997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0.15662650602409525</v>
      </c>
      <c r="Q222">
        <f t="shared" si="960"/>
        <v>936900.90736143896</v>
      </c>
      <c r="R222">
        <f t="shared" si="961"/>
        <v>-111265325.46502788</v>
      </c>
      <c r="S222">
        <f t="shared" si="962"/>
        <v>-1112.6532546502788</v>
      </c>
      <c r="T222">
        <f t="shared" si="963"/>
        <v>-1.1126532546502788</v>
      </c>
    </row>
    <row r="223" spans="1:20" x14ac:dyDescent="0.25">
      <c r="A223" s="5">
        <v>44370</v>
      </c>
      <c r="B223">
        <v>0.88900000000000001</v>
      </c>
      <c r="C223">
        <v>1.016</v>
      </c>
      <c r="D223">
        <v>0.85499999999999998</v>
      </c>
      <c r="E223">
        <v>0.95799999999999996</v>
      </c>
      <c r="F223">
        <v>8381108.568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0.27950310559006164</v>
      </c>
      <c r="Q223">
        <f t="shared" si="960"/>
        <v>2342545.8730434743</v>
      </c>
      <c r="R223">
        <f t="shared" si="961"/>
        <v>-112202226.37238932</v>
      </c>
      <c r="S223">
        <f t="shared" si="962"/>
        <v>-1122.0222637238933</v>
      </c>
      <c r="T223">
        <f t="shared" si="963"/>
        <v>-1.1220222637238932</v>
      </c>
    </row>
    <row r="224" spans="1:20" x14ac:dyDescent="0.25">
      <c r="A224" s="5">
        <v>44369</v>
      </c>
      <c r="B224">
        <v>0.93899999999999995</v>
      </c>
      <c r="C224">
        <v>1.038</v>
      </c>
      <c r="D224">
        <v>0.76</v>
      </c>
      <c r="E224">
        <v>0.88800000000000001</v>
      </c>
      <c r="F224">
        <v>15449376.157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-7.9136690647482077E-2</v>
      </c>
      <c r="Q224">
        <f t="shared" si="960"/>
        <v>-1222612.5016330944</v>
      </c>
      <c r="R224">
        <f t="shared" si="961"/>
        <v>-114544772.24543279</v>
      </c>
      <c r="S224">
        <f t="shared" si="962"/>
        <v>-1145.447722454328</v>
      </c>
      <c r="T224">
        <f t="shared" si="963"/>
        <v>-1.145447722454328</v>
      </c>
    </row>
    <row r="225" spans="1:20" x14ac:dyDescent="0.25">
      <c r="A225" s="5">
        <v>44368</v>
      </c>
      <c r="B225">
        <v>1.274</v>
      </c>
      <c r="C225">
        <v>1.2789999999999999</v>
      </c>
      <c r="D225">
        <v>0.93400000000000005</v>
      </c>
      <c r="E225">
        <v>0.93899999999999995</v>
      </c>
      <c r="F225">
        <v>9863379.2080000006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-0.97101449275362384</v>
      </c>
      <c r="Q225">
        <f t="shared" si="960"/>
        <v>-9577484.1584927607</v>
      </c>
      <c r="R225">
        <f t="shared" si="961"/>
        <v>-113322159.7437997</v>
      </c>
      <c r="S225">
        <f t="shared" si="962"/>
        <v>-1133.2215974379969</v>
      </c>
      <c r="T225">
        <f t="shared" si="963"/>
        <v>-1.1332215974379969</v>
      </c>
    </row>
    <row r="226" spans="1:20" x14ac:dyDescent="0.25">
      <c r="A226" s="5">
        <v>44367</v>
      </c>
      <c r="B226">
        <v>1.2809999999999999</v>
      </c>
      <c r="C226">
        <v>1.2969999999999999</v>
      </c>
      <c r="D226">
        <v>1.177</v>
      </c>
      <c r="E226">
        <v>1.2729999999999999</v>
      </c>
      <c r="F226">
        <v>4961733.7719999999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0.59999999999999931</v>
      </c>
      <c r="Q226">
        <f t="shared" si="960"/>
        <v>2977040.2631999967</v>
      </c>
      <c r="R226">
        <f t="shared" si="961"/>
        <v>-103744675.58530694</v>
      </c>
      <c r="S226">
        <f t="shared" si="962"/>
        <v>-1037.4467558530694</v>
      </c>
      <c r="T226">
        <f t="shared" si="963"/>
        <v>-1.0374467558530693</v>
      </c>
    </row>
    <row r="227" spans="1:20" x14ac:dyDescent="0.25">
      <c r="A227" s="5">
        <v>44366</v>
      </c>
      <c r="B227">
        <v>1.2849999999999999</v>
      </c>
      <c r="C227">
        <v>1.37</v>
      </c>
      <c r="D227">
        <v>1.25</v>
      </c>
      <c r="E227">
        <v>1.2809999999999999</v>
      </c>
      <c r="F227">
        <v>8958819.7970000003</v>
      </c>
      <c r="G227">
        <v>0</v>
      </c>
      <c r="L227" t="s">
        <v>7</v>
      </c>
      <c r="M227" t="s">
        <v>8</v>
      </c>
      <c r="N227" t="s">
        <v>7</v>
      </c>
      <c r="P227">
        <f t="shared" si="959"/>
        <v>-0.48333333333333517</v>
      </c>
      <c r="Q227">
        <f t="shared" si="960"/>
        <v>-4330096.2352166828</v>
      </c>
      <c r="R227">
        <f t="shared" si="961"/>
        <v>-106721715.84850694</v>
      </c>
      <c r="S227">
        <f t="shared" si="962"/>
        <v>-1067.2171584850694</v>
      </c>
      <c r="T227">
        <f t="shared" si="963"/>
        <v>-1.0672171584850694</v>
      </c>
    </row>
    <row r="228" spans="1:20" x14ac:dyDescent="0.25">
      <c r="A228" s="5">
        <v>44365</v>
      </c>
      <c r="B228">
        <v>1.2649999999999999</v>
      </c>
      <c r="C228">
        <v>1.419</v>
      </c>
      <c r="D228">
        <v>1.2190000000000001</v>
      </c>
      <c r="E228">
        <v>1.2849999999999999</v>
      </c>
      <c r="F228">
        <v>16589107.473999999</v>
      </c>
      <c r="G228">
        <v>0</v>
      </c>
      <c r="L228" t="s">
        <v>8</v>
      </c>
      <c r="M228" t="s">
        <v>8</v>
      </c>
      <c r="N228" t="s">
        <v>7</v>
      </c>
      <c r="P228">
        <f t="shared" si="959"/>
        <v>-0.34000000000000147</v>
      </c>
      <c r="Q228">
        <f t="shared" si="960"/>
        <v>-5640296.5411600238</v>
      </c>
      <c r="R228">
        <f t="shared" si="961"/>
        <v>-102391619.61329027</v>
      </c>
      <c r="S228">
        <f t="shared" si="962"/>
        <v>-1023.9161961329027</v>
      </c>
      <c r="T228">
        <f t="shared" si="963"/>
        <v>-1.0239161961329026</v>
      </c>
    </row>
    <row r="229" spans="1:20" x14ac:dyDescent="0.25">
      <c r="A229" s="5">
        <v>44364</v>
      </c>
      <c r="B229">
        <v>1.3</v>
      </c>
      <c r="C229">
        <v>1.399</v>
      </c>
      <c r="D229">
        <v>1.2350000000000001</v>
      </c>
      <c r="E229">
        <v>1.2649999999999999</v>
      </c>
      <c r="F229">
        <v>5535182.7860000003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-0.63414634146341686</v>
      </c>
      <c r="Q229">
        <f t="shared" si="960"/>
        <v>-3510115.913073183</v>
      </c>
      <c r="R229">
        <f t="shared" si="961"/>
        <v>-96751323.072130248</v>
      </c>
      <c r="S229">
        <f t="shared" si="962"/>
        <v>-967.51323072130253</v>
      </c>
      <c r="T229">
        <f t="shared" si="963"/>
        <v>-0.96751323072130258</v>
      </c>
    </row>
    <row r="230" spans="1:20" x14ac:dyDescent="0.25">
      <c r="A230" s="5">
        <v>44363</v>
      </c>
      <c r="B230">
        <v>1.4</v>
      </c>
      <c r="C230">
        <v>1.4</v>
      </c>
      <c r="D230">
        <v>1.27</v>
      </c>
      <c r="E230">
        <v>1.3</v>
      </c>
      <c r="F230">
        <v>4352817.7209999999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-0.53846153846153766</v>
      </c>
      <c r="Q230">
        <f t="shared" si="960"/>
        <v>-2343824.9266923042</v>
      </c>
      <c r="R230">
        <f t="shared" si="961"/>
        <v>-93241207.159057066</v>
      </c>
      <c r="S230">
        <f t="shared" si="962"/>
        <v>-932.41207159057069</v>
      </c>
      <c r="T230">
        <f t="shared" si="963"/>
        <v>-0.93241207159057071</v>
      </c>
    </row>
    <row r="231" spans="1:20" x14ac:dyDescent="0.25">
      <c r="A231" s="5">
        <v>44362</v>
      </c>
      <c r="B231">
        <v>1.3939999999999999</v>
      </c>
      <c r="C231">
        <v>1.429</v>
      </c>
      <c r="D231">
        <v>1.345</v>
      </c>
      <c r="E231">
        <v>1.399</v>
      </c>
      <c r="F231">
        <v>4823142.1260000002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0.2857142857142857</v>
      </c>
      <c r="Q231">
        <f t="shared" si="960"/>
        <v>1378040.6074285714</v>
      </c>
      <c r="R231">
        <f t="shared" si="961"/>
        <v>-90897382.232364759</v>
      </c>
      <c r="S231">
        <f t="shared" si="962"/>
        <v>-908.9738223236476</v>
      </c>
      <c r="T231">
        <f t="shared" si="963"/>
        <v>-0.90897382232364765</v>
      </c>
    </row>
    <row r="232" spans="1:20" x14ac:dyDescent="0.25">
      <c r="A232" s="5">
        <v>44361</v>
      </c>
      <c r="B232">
        <v>1.335</v>
      </c>
      <c r="C232">
        <v>1.423</v>
      </c>
      <c r="D232">
        <v>1.278</v>
      </c>
      <c r="E232">
        <v>1.395</v>
      </c>
      <c r="F232">
        <v>5172823.9890000001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0.61379310344827553</v>
      </c>
      <c r="Q232">
        <f t="shared" si="960"/>
        <v>3175043.6897999984</v>
      </c>
      <c r="R232">
        <f t="shared" si="961"/>
        <v>-92275422.839793324</v>
      </c>
      <c r="S232">
        <f t="shared" si="962"/>
        <v>-922.75422839793328</v>
      </c>
      <c r="T232">
        <f t="shared" si="963"/>
        <v>-0.92275422839793331</v>
      </c>
    </row>
    <row r="233" spans="1:20" x14ac:dyDescent="0.25">
      <c r="A233" s="5">
        <v>44360</v>
      </c>
      <c r="B233">
        <v>1.2490000000000001</v>
      </c>
      <c r="C233">
        <v>1.3460000000000001</v>
      </c>
      <c r="D233">
        <v>1.1950000000000001</v>
      </c>
      <c r="E233">
        <v>1.333</v>
      </c>
      <c r="F233">
        <v>4041734.0920000002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0.8278145695364223</v>
      </c>
      <c r="Q233">
        <f t="shared" si="960"/>
        <v>3345806.3675496629</v>
      </c>
      <c r="R233">
        <f t="shared" si="961"/>
        <v>-95450466.529593319</v>
      </c>
      <c r="S233">
        <f t="shared" si="962"/>
        <v>-954.50466529593314</v>
      </c>
      <c r="T233">
        <f t="shared" si="963"/>
        <v>-0.95450466529593314</v>
      </c>
    </row>
    <row r="234" spans="1:20" x14ac:dyDescent="0.25">
      <c r="A234" s="5">
        <v>44359</v>
      </c>
      <c r="B234">
        <v>1.2809999999999999</v>
      </c>
      <c r="C234">
        <v>1.3069999999999999</v>
      </c>
      <c r="D234">
        <v>1.175</v>
      </c>
      <c r="E234">
        <v>1.25</v>
      </c>
      <c r="F234">
        <v>7674081.0219999999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0.1363636363636366</v>
      </c>
      <c r="Q234">
        <f t="shared" si="960"/>
        <v>1046465.5939090927</v>
      </c>
      <c r="R234">
        <f t="shared" si="961"/>
        <v>-98796272.897142977</v>
      </c>
      <c r="S234">
        <f t="shared" si="962"/>
        <v>-987.96272897142978</v>
      </c>
      <c r="T234">
        <f t="shared" si="963"/>
        <v>-0.98796272897142978</v>
      </c>
    </row>
    <row r="235" spans="1:20" x14ac:dyDescent="0.25">
      <c r="A235" s="5">
        <v>44358</v>
      </c>
      <c r="B235">
        <v>1.3440000000000001</v>
      </c>
      <c r="C235">
        <v>1.448</v>
      </c>
      <c r="D235">
        <v>1.25</v>
      </c>
      <c r="E235">
        <v>1.28</v>
      </c>
      <c r="F235">
        <v>5108547.2879999997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-0.69696969696969668</v>
      </c>
      <c r="Q235">
        <f t="shared" si="960"/>
        <v>-3560502.6552727255</v>
      </c>
      <c r="R235">
        <f t="shared" si="961"/>
        <v>-99842738.491052076</v>
      </c>
      <c r="S235">
        <f t="shared" si="962"/>
        <v>-998.4273849105208</v>
      </c>
      <c r="T235">
        <f t="shared" si="963"/>
        <v>-0.99842738491052085</v>
      </c>
    </row>
    <row r="236" spans="1:20" x14ac:dyDescent="0.25">
      <c r="A236" s="5">
        <v>44357</v>
      </c>
      <c r="B236">
        <v>1.48</v>
      </c>
      <c r="C236">
        <v>1.4850000000000001</v>
      </c>
      <c r="D236">
        <v>1.3069999999999999</v>
      </c>
      <c r="E236">
        <v>1.3420000000000001</v>
      </c>
      <c r="F236">
        <v>4525872.159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-0.60674157303370657</v>
      </c>
      <c r="Q236">
        <f t="shared" si="960"/>
        <v>-2746034.7931011179</v>
      </c>
      <c r="R236">
        <f t="shared" si="961"/>
        <v>-96282235.835779354</v>
      </c>
      <c r="S236">
        <f t="shared" si="962"/>
        <v>-962.82235835779352</v>
      </c>
      <c r="T236">
        <f t="shared" si="963"/>
        <v>-0.96282235835779351</v>
      </c>
    </row>
    <row r="237" spans="1:20" x14ac:dyDescent="0.25">
      <c r="A237" s="5">
        <v>44356</v>
      </c>
      <c r="B237">
        <v>1.419</v>
      </c>
      <c r="C237">
        <v>1.4870000000000001</v>
      </c>
      <c r="D237">
        <v>1.34</v>
      </c>
      <c r="E237">
        <v>1.48</v>
      </c>
      <c r="F237">
        <v>5385665.7149999999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0.90476190476190321</v>
      </c>
      <c r="Q237">
        <f t="shared" si="960"/>
        <v>4872745.1707142768</v>
      </c>
      <c r="R237">
        <f t="shared" si="961"/>
        <v>-93536201.042678237</v>
      </c>
      <c r="S237">
        <f t="shared" si="962"/>
        <v>-935.36201042678238</v>
      </c>
      <c r="T237">
        <f t="shared" si="963"/>
        <v>-0.93536201042678235</v>
      </c>
    </row>
    <row r="238" spans="1:20" x14ac:dyDescent="0.25">
      <c r="A238" s="5">
        <v>44355</v>
      </c>
      <c r="B238">
        <v>1.526</v>
      </c>
      <c r="C238">
        <v>1.6120000000000001</v>
      </c>
      <c r="D238">
        <v>1.284</v>
      </c>
      <c r="E238">
        <v>1.419</v>
      </c>
      <c r="F238">
        <v>8088925.5729999999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-0.17682926829268306</v>
      </c>
      <c r="Q238">
        <f t="shared" si="960"/>
        <v>-1430358.7903475619</v>
      </c>
      <c r="R238">
        <f t="shared" si="961"/>
        <v>-98408946.213392511</v>
      </c>
      <c r="S238">
        <f t="shared" si="962"/>
        <v>-984.08946213392505</v>
      </c>
      <c r="T238">
        <f t="shared" si="963"/>
        <v>-0.98408946213392501</v>
      </c>
    </row>
    <row r="239" spans="1:20" x14ac:dyDescent="0.25">
      <c r="A239" s="5">
        <v>44354</v>
      </c>
      <c r="B239">
        <v>1.6850000000000001</v>
      </c>
      <c r="C239">
        <v>1.85</v>
      </c>
      <c r="D239">
        <v>1.5049999999999999</v>
      </c>
      <c r="E239">
        <v>1.526</v>
      </c>
      <c r="F239">
        <v>12172630.471999999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-0.87826086956521676</v>
      </c>
      <c r="Q239">
        <f t="shared" si="960"/>
        <v>-10690745.023234773</v>
      </c>
      <c r="R239">
        <f t="shared" si="961"/>
        <v>-96978587.42304495</v>
      </c>
      <c r="S239">
        <f t="shared" si="962"/>
        <v>-969.78587423044951</v>
      </c>
      <c r="T239">
        <f t="shared" si="963"/>
        <v>-0.96978587423044949</v>
      </c>
    </row>
    <row r="240" spans="1:20" x14ac:dyDescent="0.25">
      <c r="A240" s="5">
        <v>44353</v>
      </c>
      <c r="B240">
        <v>1.5620000000000001</v>
      </c>
      <c r="C240">
        <v>1.7</v>
      </c>
      <c r="D240">
        <v>1.54</v>
      </c>
      <c r="E240">
        <v>1.6859999999999999</v>
      </c>
      <c r="F240">
        <v>4483184.3779999996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0.82499999999999973</v>
      </c>
      <c r="Q240">
        <f t="shared" si="960"/>
        <v>3698627.1118499986</v>
      </c>
      <c r="R240">
        <f t="shared" si="961"/>
        <v>-86287842.39981018</v>
      </c>
      <c r="S240">
        <f t="shared" si="962"/>
        <v>-862.87842399810177</v>
      </c>
      <c r="T240">
        <f t="shared" si="963"/>
        <v>-0.86287842399810177</v>
      </c>
    </row>
    <row r="241" spans="1:20" x14ac:dyDescent="0.25">
      <c r="A241" s="5">
        <v>44352</v>
      </c>
      <c r="B241">
        <v>1.63</v>
      </c>
      <c r="C241">
        <v>1.746</v>
      </c>
      <c r="D241">
        <v>1.466</v>
      </c>
      <c r="E241">
        <v>1.5609999999999999</v>
      </c>
      <c r="F241">
        <v>6677433.4309999999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-0.32142857142857167</v>
      </c>
      <c r="Q241">
        <f t="shared" si="960"/>
        <v>-2146317.8885357161</v>
      </c>
      <c r="R241">
        <f t="shared" si="961"/>
        <v>-89986469.511660174</v>
      </c>
      <c r="S241">
        <f t="shared" si="962"/>
        <v>-899.86469511660175</v>
      </c>
      <c r="T241">
        <f t="shared" si="963"/>
        <v>-0.89986469511660172</v>
      </c>
    </row>
    <row r="242" spans="1:20" x14ac:dyDescent="0.25">
      <c r="A242" s="5">
        <v>44351</v>
      </c>
      <c r="B242">
        <v>1.9650000000000001</v>
      </c>
      <c r="C242">
        <v>1.97</v>
      </c>
      <c r="D242">
        <v>1.5760000000000001</v>
      </c>
      <c r="E242">
        <v>1.6279999999999999</v>
      </c>
      <c r="F242">
        <v>8551130.0250000004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-0.73604060913705671</v>
      </c>
      <c r="Q242">
        <f t="shared" si="960"/>
        <v>-6293978.9524111757</v>
      </c>
      <c r="R242">
        <f t="shared" si="961"/>
        <v>-87840151.62312445</v>
      </c>
      <c r="S242">
        <f t="shared" si="962"/>
        <v>-878.4015162312445</v>
      </c>
      <c r="T242">
        <f t="shared" si="963"/>
        <v>-0.87840151623124452</v>
      </c>
    </row>
    <row r="243" spans="1:20" x14ac:dyDescent="0.25">
      <c r="A243" s="5">
        <v>44350</v>
      </c>
      <c r="B243">
        <v>1.69</v>
      </c>
      <c r="C243">
        <v>1.9690000000000001</v>
      </c>
      <c r="D243">
        <v>1.663</v>
      </c>
      <c r="E243">
        <v>1.9650000000000001</v>
      </c>
      <c r="F243">
        <v>10183318.523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0.97385620915032678</v>
      </c>
      <c r="Q243">
        <f t="shared" si="960"/>
        <v>9917087.9733790848</v>
      </c>
      <c r="R243">
        <f t="shared" si="961"/>
        <v>-81546172.670713276</v>
      </c>
      <c r="S243">
        <f t="shared" si="962"/>
        <v>-815.46172670713281</v>
      </c>
      <c r="T243">
        <f t="shared" si="963"/>
        <v>-0.81546172670713279</v>
      </c>
    </row>
    <row r="244" spans="1:20" x14ac:dyDescent="0.25">
      <c r="A244" s="5">
        <v>44349</v>
      </c>
      <c r="B244">
        <v>1.7230000000000001</v>
      </c>
      <c r="C244">
        <v>1.79</v>
      </c>
      <c r="D244">
        <v>1.6060000000000001</v>
      </c>
      <c r="E244">
        <v>1.6919999999999999</v>
      </c>
      <c r="F244">
        <v>7709590.8689999999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-6.5217391304349115E-2</v>
      </c>
      <c r="Q244">
        <f t="shared" si="960"/>
        <v>-502799.40450000996</v>
      </c>
      <c r="R244">
        <f t="shared" si="961"/>
        <v>-91463260.644092366</v>
      </c>
      <c r="S244">
        <f t="shared" si="962"/>
        <v>-914.63260644092361</v>
      </c>
      <c r="T244">
        <f t="shared" si="963"/>
        <v>-0.91463260644092359</v>
      </c>
    </row>
    <row r="245" spans="1:20" x14ac:dyDescent="0.25">
      <c r="A245" s="5">
        <v>44348</v>
      </c>
      <c r="B245">
        <v>1.625</v>
      </c>
      <c r="C245">
        <v>1.726</v>
      </c>
      <c r="D245">
        <v>1.514</v>
      </c>
      <c r="E245">
        <v>1.7210000000000001</v>
      </c>
      <c r="F245">
        <v>7013054.3090000004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0.95283018867924629</v>
      </c>
      <c r="Q245">
        <f t="shared" si="960"/>
        <v>6682249.8604622716</v>
      </c>
      <c r="R245">
        <f t="shared" si="961"/>
        <v>-90960461.239592358</v>
      </c>
      <c r="S245">
        <f t="shared" si="962"/>
        <v>-909.6046123959236</v>
      </c>
      <c r="T245">
        <f t="shared" si="963"/>
        <v>-0.90960461239592361</v>
      </c>
    </row>
    <row r="246" spans="1:20" x14ac:dyDescent="0.25">
      <c r="A246" s="5">
        <v>44347</v>
      </c>
      <c r="B246">
        <v>1.591</v>
      </c>
      <c r="C246">
        <v>1.6719999999999999</v>
      </c>
      <c r="D246">
        <v>1.4670000000000001</v>
      </c>
      <c r="E246">
        <v>1.625</v>
      </c>
      <c r="F246">
        <v>8651143.4509999994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0.54146341463414671</v>
      </c>
      <c r="Q246">
        <f t="shared" si="960"/>
        <v>4684277.6734682955</v>
      </c>
      <c r="R246">
        <f t="shared" si="961"/>
        <v>-97642711.100054637</v>
      </c>
      <c r="S246">
        <f t="shared" si="962"/>
        <v>-976.42711100054635</v>
      </c>
      <c r="T246">
        <f t="shared" si="963"/>
        <v>-0.97642711100054635</v>
      </c>
    </row>
    <row r="247" spans="1:20" x14ac:dyDescent="0.25">
      <c r="A247" s="5">
        <v>44346</v>
      </c>
      <c r="B247">
        <v>1.371</v>
      </c>
      <c r="C247">
        <v>1.7609999999999999</v>
      </c>
      <c r="D247">
        <v>1.2749999999999999</v>
      </c>
      <c r="E247">
        <v>1.5940000000000001</v>
      </c>
      <c r="F247">
        <v>18311200.508000001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0.31275720164609128</v>
      </c>
      <c r="Q247">
        <f t="shared" si="960"/>
        <v>5726959.8296625651</v>
      </c>
      <c r="R247">
        <f t="shared" si="961"/>
        <v>-102326988.77352293</v>
      </c>
      <c r="S247">
        <f t="shared" si="962"/>
        <v>-1023.2698877352293</v>
      </c>
      <c r="T247">
        <f t="shared" si="963"/>
        <v>-1.0232698877352293</v>
      </c>
    </row>
    <row r="248" spans="1:20" x14ac:dyDescent="0.25">
      <c r="A248" s="5">
        <v>44345</v>
      </c>
      <c r="B248">
        <v>1.4530000000000001</v>
      </c>
      <c r="C248">
        <v>1.9</v>
      </c>
      <c r="D248">
        <v>1.31</v>
      </c>
      <c r="E248">
        <v>1.369</v>
      </c>
      <c r="F248">
        <v>31301043.524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-0.80000000000000016</v>
      </c>
      <c r="Q248">
        <f t="shared" si="960"/>
        <v>-25040834.819200005</v>
      </c>
      <c r="R248">
        <f t="shared" si="961"/>
        <v>-108053948.60318549</v>
      </c>
      <c r="S248">
        <f t="shared" si="962"/>
        <v>-1080.5394860318549</v>
      </c>
      <c r="T248">
        <f t="shared" si="963"/>
        <v>-1.0805394860318549</v>
      </c>
    </row>
    <row r="249" spans="1:20" x14ac:dyDescent="0.25">
      <c r="A249" s="5">
        <v>44344</v>
      </c>
      <c r="B249">
        <v>1.4079999999999999</v>
      </c>
      <c r="C249">
        <v>1.4990000000000001</v>
      </c>
      <c r="D249">
        <v>1.18</v>
      </c>
      <c r="E249">
        <v>1.4530000000000001</v>
      </c>
      <c r="F249">
        <v>9521779.0449999999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0.71159874608150464</v>
      </c>
      <c r="Q249">
        <f t="shared" si="960"/>
        <v>6775686.0288871471</v>
      </c>
      <c r="R249">
        <f t="shared" si="961"/>
        <v>-83013113.783985481</v>
      </c>
      <c r="S249">
        <f t="shared" si="962"/>
        <v>-830.13113783985477</v>
      </c>
      <c r="T249">
        <f t="shared" si="963"/>
        <v>-0.83013113783985482</v>
      </c>
    </row>
    <row r="250" spans="1:20" x14ac:dyDescent="0.25">
      <c r="A250" s="5">
        <v>44343</v>
      </c>
      <c r="B250">
        <v>1.484</v>
      </c>
      <c r="C250">
        <v>1.502</v>
      </c>
      <c r="D250">
        <v>1.29</v>
      </c>
      <c r="E250">
        <v>1.4059999999999999</v>
      </c>
      <c r="F250">
        <v>7372543.8509999998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9.4339622641508483E-2</v>
      </c>
      <c r="Q250">
        <f t="shared" si="960"/>
        <v>695523.0048113137</v>
      </c>
      <c r="R250">
        <f t="shared" si="961"/>
        <v>-89788799.812872633</v>
      </c>
      <c r="S250">
        <f t="shared" si="962"/>
        <v>-897.88799812872628</v>
      </c>
      <c r="T250">
        <f t="shared" si="963"/>
        <v>-0.89788799812872633</v>
      </c>
    </row>
    <row r="251" spans="1:20" x14ac:dyDescent="0.25">
      <c r="A251" s="5">
        <v>44342</v>
      </c>
      <c r="B251">
        <v>1.298</v>
      </c>
      <c r="C251">
        <v>1.5489999999999999</v>
      </c>
      <c r="D251">
        <v>1.268</v>
      </c>
      <c r="E251">
        <v>1.484</v>
      </c>
      <c r="F251">
        <v>10116316.317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0.53736654804270489</v>
      </c>
      <c r="Q251">
        <f t="shared" si="960"/>
        <v>5436169.97817438</v>
      </c>
      <c r="R251">
        <f t="shared" si="961"/>
        <v>-90484322.81768395</v>
      </c>
      <c r="S251">
        <f t="shared" si="962"/>
        <v>-904.84322817683949</v>
      </c>
      <c r="T251">
        <f t="shared" si="963"/>
        <v>-0.90484322817683949</v>
      </c>
    </row>
    <row r="252" spans="1:20" x14ac:dyDescent="0.25">
      <c r="A252" s="5">
        <v>44341</v>
      </c>
      <c r="B252">
        <v>1.3029999999999999</v>
      </c>
      <c r="C252">
        <v>1.37</v>
      </c>
      <c r="D252">
        <v>1.147</v>
      </c>
      <c r="E252">
        <v>1.2969999999999999</v>
      </c>
      <c r="F252">
        <v>8514262.4649999999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0.34529147982062647</v>
      </c>
      <c r="Q252">
        <f t="shared" si="960"/>
        <v>2939902.2861210648</v>
      </c>
      <c r="R252">
        <f t="shared" si="961"/>
        <v>-95920492.795858324</v>
      </c>
      <c r="S252">
        <f t="shared" si="962"/>
        <v>-959.2049279585832</v>
      </c>
      <c r="T252">
        <f t="shared" si="963"/>
        <v>-0.95920492795858325</v>
      </c>
    </row>
    <row r="253" spans="1:20" x14ac:dyDescent="0.25">
      <c r="A253" s="5">
        <v>44340</v>
      </c>
      <c r="B253">
        <v>1.071</v>
      </c>
      <c r="C253">
        <v>1.329</v>
      </c>
      <c r="D253">
        <v>1.036</v>
      </c>
      <c r="E253">
        <v>1.3009999999999999</v>
      </c>
      <c r="F253">
        <v>9227624.7679999992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0.80887372013651859</v>
      </c>
      <c r="Q253">
        <f t="shared" si="960"/>
        <v>7463983.1741160387</v>
      </c>
      <c r="R253">
        <f t="shared" si="961"/>
        <v>-98860395.081979394</v>
      </c>
      <c r="S253">
        <f t="shared" si="962"/>
        <v>-988.60395081979391</v>
      </c>
      <c r="T253">
        <f t="shared" si="963"/>
        <v>-0.98860395081979391</v>
      </c>
    </row>
    <row r="254" spans="1:20" x14ac:dyDescent="0.25">
      <c r="A254" s="5">
        <v>44339</v>
      </c>
      <c r="B254">
        <v>1.367</v>
      </c>
      <c r="C254">
        <v>1.427</v>
      </c>
      <c r="D254">
        <v>0.86499999999999999</v>
      </c>
      <c r="E254">
        <v>1.07</v>
      </c>
      <c r="F254">
        <v>14997145.217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-0.27046263345195709</v>
      </c>
      <c r="Q254">
        <f t="shared" si="960"/>
        <v>-4056167.3896512426</v>
      </c>
      <c r="R254">
        <f t="shared" si="961"/>
        <v>-106324378.25609544</v>
      </c>
      <c r="S254">
        <f t="shared" si="962"/>
        <v>-1063.2437825609543</v>
      </c>
      <c r="T254">
        <f t="shared" si="963"/>
        <v>-1.0632437825609542</v>
      </c>
    </row>
    <row r="255" spans="1:20" x14ac:dyDescent="0.25">
      <c r="A255" s="5">
        <v>44338</v>
      </c>
      <c r="B255">
        <v>1.2969999999999999</v>
      </c>
      <c r="C255">
        <v>1.4159999999999999</v>
      </c>
      <c r="D255">
        <v>1.1459999999999999</v>
      </c>
      <c r="E255">
        <v>1.367</v>
      </c>
      <c r="F255">
        <v>11488487.511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0.63703703703703751</v>
      </c>
      <c r="Q255">
        <f t="shared" si="960"/>
        <v>7318592.0440444499</v>
      </c>
      <c r="R255">
        <f t="shared" si="961"/>
        <v>-102268210.8664442</v>
      </c>
      <c r="S255">
        <f t="shared" si="962"/>
        <v>-1022.682108664442</v>
      </c>
      <c r="T255">
        <f t="shared" si="963"/>
        <v>-1.022682108664442</v>
      </c>
    </row>
    <row r="256" spans="1:20" x14ac:dyDescent="0.25">
      <c r="A256" s="5">
        <v>44337</v>
      </c>
      <c r="B256">
        <v>1.63</v>
      </c>
      <c r="C256">
        <v>1.712</v>
      </c>
      <c r="D256">
        <v>1.1319999999999999</v>
      </c>
      <c r="E256">
        <v>1.298</v>
      </c>
      <c r="F256">
        <v>13375308.289000001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-0.4275862068965513</v>
      </c>
      <c r="Q256">
        <f t="shared" si="960"/>
        <v>-5719097.3373655118</v>
      </c>
      <c r="R256">
        <f t="shared" si="961"/>
        <v>-109586802.91048865</v>
      </c>
      <c r="S256">
        <f t="shared" si="962"/>
        <v>-1095.8680291048865</v>
      </c>
      <c r="T256">
        <f t="shared" si="963"/>
        <v>-1.0958680291048866</v>
      </c>
    </row>
    <row r="257" spans="1:20" x14ac:dyDescent="0.25">
      <c r="A257" s="5">
        <v>44336</v>
      </c>
      <c r="B257">
        <v>1.4379999999999999</v>
      </c>
      <c r="C257">
        <v>1.798</v>
      </c>
      <c r="D257">
        <v>1.282</v>
      </c>
      <c r="E257">
        <v>1.629</v>
      </c>
      <c r="F257">
        <v>10722454.138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0.34496124031007741</v>
      </c>
      <c r="Q257">
        <f t="shared" si="960"/>
        <v>3698831.0786124021</v>
      </c>
      <c r="R257">
        <f t="shared" si="961"/>
        <v>-103867705.57312314</v>
      </c>
      <c r="S257">
        <f t="shared" si="962"/>
        <v>-1038.6770557312313</v>
      </c>
      <c r="T257">
        <f t="shared" si="963"/>
        <v>-1.0386770557312313</v>
      </c>
    </row>
    <row r="258" spans="1:20" x14ac:dyDescent="0.25">
      <c r="A258" s="5">
        <v>44335</v>
      </c>
      <c r="B258">
        <v>2.65</v>
      </c>
      <c r="C258">
        <v>2.6859999999999999</v>
      </c>
      <c r="D258">
        <v>1.165</v>
      </c>
      <c r="E258">
        <v>1.4379999999999999</v>
      </c>
      <c r="F258">
        <v>22992354.460000001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-0.64102564102564108</v>
      </c>
      <c r="Q258">
        <f t="shared" si="960"/>
        <v>-14738688.756410258</v>
      </c>
      <c r="R258">
        <f t="shared" si="961"/>
        <v>-107566536.65173554</v>
      </c>
      <c r="S258">
        <f t="shared" si="962"/>
        <v>-1075.6653665173556</v>
      </c>
      <c r="T258">
        <f t="shared" si="963"/>
        <v>-1.0756653665173554</v>
      </c>
    </row>
    <row r="259" spans="1:20" x14ac:dyDescent="0.25">
      <c r="A259" s="5">
        <v>44334</v>
      </c>
      <c r="B259">
        <v>2.5350000000000001</v>
      </c>
      <c r="C259">
        <v>2.7360000000000002</v>
      </c>
      <c r="D259">
        <v>2.4929999999999999</v>
      </c>
      <c r="E259">
        <v>2.6480000000000001</v>
      </c>
      <c r="F259">
        <v>4515709.1210000003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0.27572016460905385</v>
      </c>
      <c r="Q259">
        <f t="shared" si="960"/>
        <v>1245072.062168726</v>
      </c>
      <c r="R259">
        <f t="shared" si="961"/>
        <v>-92827847.895325288</v>
      </c>
      <c r="S259">
        <f t="shared" si="962"/>
        <v>-928.27847895325283</v>
      </c>
      <c r="T259">
        <f t="shared" si="963"/>
        <v>-0.92827847895325288</v>
      </c>
    </row>
    <row r="260" spans="1:20" x14ac:dyDescent="0.25">
      <c r="A260" s="5">
        <v>44333</v>
      </c>
      <c r="B260">
        <v>2.7240000000000002</v>
      </c>
      <c r="C260">
        <v>2.762</v>
      </c>
      <c r="D260">
        <v>2.4409999999999998</v>
      </c>
      <c r="E260">
        <v>2.5339999999999998</v>
      </c>
      <c r="F260">
        <v>6401636.5120000001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-0.42056074766355189</v>
      </c>
      <c r="Q260">
        <f t="shared" si="960"/>
        <v>-2692277.0377570125</v>
      </c>
      <c r="R260">
        <f t="shared" si="961"/>
        <v>-94072919.95749402</v>
      </c>
      <c r="S260">
        <f t="shared" si="962"/>
        <v>-940.72919957494025</v>
      </c>
      <c r="T260">
        <f t="shared" si="963"/>
        <v>-0.94072919957494028</v>
      </c>
    </row>
    <row r="261" spans="1:20" x14ac:dyDescent="0.25">
      <c r="A261" s="5">
        <v>44332</v>
      </c>
      <c r="B261">
        <v>2.79</v>
      </c>
      <c r="C261">
        <v>3.03</v>
      </c>
      <c r="D261">
        <v>2.5659999999999998</v>
      </c>
      <c r="E261">
        <v>2.7250000000000001</v>
      </c>
      <c r="F261">
        <v>5295350.1330000004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-0.31465517241379198</v>
      </c>
      <c r="Q261">
        <f t="shared" si="960"/>
        <v>-1666209.3090905114</v>
      </c>
      <c r="R261">
        <f t="shared" si="961"/>
        <v>-91380642.919737011</v>
      </c>
      <c r="S261">
        <f t="shared" si="962"/>
        <v>-913.80642919737011</v>
      </c>
      <c r="T261">
        <f t="shared" si="963"/>
        <v>-0.9138064291973701</v>
      </c>
    </row>
    <row r="262" spans="1:20" x14ac:dyDescent="0.25">
      <c r="A262" s="5">
        <v>44331</v>
      </c>
      <c r="B262">
        <v>3</v>
      </c>
      <c r="C262">
        <v>3.105</v>
      </c>
      <c r="D262">
        <v>2.7069999999999999</v>
      </c>
      <c r="E262">
        <v>2.7879999999999998</v>
      </c>
      <c r="F262">
        <v>5412565.6279999996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-0.59296482412060336</v>
      </c>
      <c r="Q262">
        <f t="shared" ref="Q262:Q325" si="965">F262*P262</f>
        <v>-3209461.0256482428</v>
      </c>
      <c r="R262">
        <f t="shared" ref="R262:R325" si="966">R263+Q262</f>
        <v>-89714433.610646501</v>
      </c>
      <c r="S262">
        <f t="shared" ref="S262:S325" si="967">R262/100000</f>
        <v>-897.14433610646506</v>
      </c>
      <c r="T262">
        <f t="shared" ref="T262:T325" si="968">S262/1000</f>
        <v>-0.89714433610646505</v>
      </c>
    </row>
    <row r="263" spans="1:20" x14ac:dyDescent="0.25">
      <c r="A263" s="5">
        <v>44330</v>
      </c>
      <c r="B263">
        <v>2.9359999999999999</v>
      </c>
      <c r="C263">
        <v>3.153</v>
      </c>
      <c r="D263">
        <v>2.86</v>
      </c>
      <c r="E263">
        <v>3</v>
      </c>
      <c r="F263">
        <v>4543552.3140000002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-4.4368600682593497E-2</v>
      </c>
      <c r="Q263">
        <f t="shared" si="965"/>
        <v>-201591.05830033968</v>
      </c>
      <c r="R263">
        <f t="shared" si="966"/>
        <v>-86504972.584998265</v>
      </c>
      <c r="S263">
        <f t="shared" si="967"/>
        <v>-865.04972584998268</v>
      </c>
      <c r="T263">
        <f t="shared" si="968"/>
        <v>-0.86504972584998263</v>
      </c>
    </row>
    <row r="264" spans="1:20" x14ac:dyDescent="0.25">
      <c r="A264" s="5">
        <v>44329</v>
      </c>
      <c r="B264">
        <v>2.8959999999999999</v>
      </c>
      <c r="C264">
        <v>3.1</v>
      </c>
      <c r="D264">
        <v>2.7</v>
      </c>
      <c r="E264">
        <v>2.9380000000000002</v>
      </c>
      <c r="F264">
        <v>6637969.1550000003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0.19000000000000022</v>
      </c>
      <c r="Q264">
        <f t="shared" si="965"/>
        <v>1261214.1394500015</v>
      </c>
      <c r="R264">
        <f t="shared" si="966"/>
        <v>-86303381.526697919</v>
      </c>
      <c r="S264">
        <f t="shared" si="967"/>
        <v>-863.03381526697922</v>
      </c>
      <c r="T264">
        <f t="shared" si="968"/>
        <v>-0.8630338152669792</v>
      </c>
    </row>
    <row r="265" spans="1:20" x14ac:dyDescent="0.25">
      <c r="A265" s="5">
        <v>44328</v>
      </c>
      <c r="B265">
        <v>3.3759999999999999</v>
      </c>
      <c r="C265">
        <v>3.52</v>
      </c>
      <c r="D265">
        <v>2.8460000000000001</v>
      </c>
      <c r="E265">
        <v>2.8879999999999999</v>
      </c>
      <c r="F265">
        <v>7302210.1330000004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-0.87537091988130622</v>
      </c>
      <c r="Q265">
        <f t="shared" si="965"/>
        <v>-6392142.401290806</v>
      </c>
      <c r="R265">
        <f t="shared" si="966"/>
        <v>-87564595.666147918</v>
      </c>
      <c r="S265">
        <f t="shared" si="967"/>
        <v>-875.6459566614792</v>
      </c>
      <c r="T265">
        <f t="shared" si="968"/>
        <v>-0.87564595666147915</v>
      </c>
    </row>
    <row r="266" spans="1:20" x14ac:dyDescent="0.25">
      <c r="A266" s="5">
        <v>44327</v>
      </c>
      <c r="B266">
        <v>3.1509999999999998</v>
      </c>
      <c r="C266">
        <v>3.5</v>
      </c>
      <c r="D266">
        <v>3.0329999999999999</v>
      </c>
      <c r="E266">
        <v>3.3780000000000001</v>
      </c>
      <c r="F266">
        <v>5293381.9479999999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0.477516059957174</v>
      </c>
      <c r="Q266">
        <f t="shared" si="965"/>
        <v>2527674.8916573906</v>
      </c>
      <c r="R266">
        <f t="shared" si="966"/>
        <v>-81172453.264857113</v>
      </c>
      <c r="S266">
        <f t="shared" si="967"/>
        <v>-811.72453264857108</v>
      </c>
      <c r="T266">
        <f t="shared" si="968"/>
        <v>-0.81172453264857114</v>
      </c>
    </row>
    <row r="267" spans="1:20" x14ac:dyDescent="0.25">
      <c r="A267" s="5">
        <v>44326</v>
      </c>
      <c r="B267">
        <v>3.5550000000000002</v>
      </c>
      <c r="C267">
        <v>3.68</v>
      </c>
      <c r="D267">
        <v>2.93</v>
      </c>
      <c r="E267">
        <v>3.1520000000000001</v>
      </c>
      <c r="F267">
        <v>8104899.466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-0.40800000000000008</v>
      </c>
      <c r="Q267">
        <f t="shared" si="965"/>
        <v>-3306798.9821280008</v>
      </c>
      <c r="R267">
        <f t="shared" si="966"/>
        <v>-83700128.156514511</v>
      </c>
      <c r="S267">
        <f t="shared" si="967"/>
        <v>-837.00128156514506</v>
      </c>
      <c r="T267">
        <f t="shared" si="968"/>
        <v>-0.83700128156514508</v>
      </c>
    </row>
    <row r="268" spans="1:20" x14ac:dyDescent="0.25">
      <c r="A268" s="5">
        <v>44325</v>
      </c>
      <c r="B268">
        <v>3.722</v>
      </c>
      <c r="C268">
        <v>3.75</v>
      </c>
      <c r="D268">
        <v>3.4020000000000001</v>
      </c>
      <c r="E268">
        <v>3.5550000000000002</v>
      </c>
      <c r="F268">
        <v>4636385.5719999997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-0.12068965517241331</v>
      </c>
      <c r="Q268">
        <f t="shared" si="965"/>
        <v>-559563.77593103226</v>
      </c>
      <c r="R268">
        <f t="shared" si="966"/>
        <v>-80393329.174386516</v>
      </c>
      <c r="S268">
        <f t="shared" si="967"/>
        <v>-803.9332917438652</v>
      </c>
      <c r="T268">
        <f t="shared" si="968"/>
        <v>-0.80393329174386519</v>
      </c>
    </row>
    <row r="269" spans="1:20" x14ac:dyDescent="0.25">
      <c r="A269" s="5">
        <v>44324</v>
      </c>
      <c r="B269">
        <v>3.6880000000000002</v>
      </c>
      <c r="C269">
        <v>3.8450000000000002</v>
      </c>
      <c r="D269">
        <v>3.6040000000000001</v>
      </c>
      <c r="E269">
        <v>3.7210000000000001</v>
      </c>
      <c r="F269">
        <v>5038580.8569999998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-2.9045643153527444E-2</v>
      </c>
      <c r="Q269">
        <f t="shared" si="965"/>
        <v>-146348.82157261649</v>
      </c>
      <c r="R269">
        <f t="shared" si="966"/>
        <v>-79833765.398455486</v>
      </c>
      <c r="S269">
        <f t="shared" si="967"/>
        <v>-798.33765398455489</v>
      </c>
      <c r="T269">
        <f t="shared" si="968"/>
        <v>-0.79833765398455492</v>
      </c>
    </row>
    <row r="270" spans="1:20" x14ac:dyDescent="0.25">
      <c r="A270" s="5">
        <v>44323</v>
      </c>
      <c r="B270">
        <v>3.75</v>
      </c>
      <c r="C270">
        <v>3.8580000000000001</v>
      </c>
      <c r="D270">
        <v>3.5670000000000002</v>
      </c>
      <c r="E270">
        <v>3.6880000000000002</v>
      </c>
      <c r="F270">
        <v>6580866.108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-0.16838487972508573</v>
      </c>
      <c r="Q270">
        <f t="shared" si="965"/>
        <v>-1108118.348082473</v>
      </c>
      <c r="R270">
        <f t="shared" si="966"/>
        <v>-79687416.576882869</v>
      </c>
      <c r="S270">
        <f t="shared" si="967"/>
        <v>-796.87416576882868</v>
      </c>
      <c r="T270">
        <f t="shared" si="968"/>
        <v>-0.79687416576882864</v>
      </c>
    </row>
    <row r="271" spans="1:20" x14ac:dyDescent="0.25">
      <c r="A271" s="5">
        <v>44322</v>
      </c>
      <c r="B271">
        <v>3.8250000000000002</v>
      </c>
      <c r="C271">
        <v>4.0999999999999996</v>
      </c>
      <c r="D271">
        <v>3.6320000000000001</v>
      </c>
      <c r="E271">
        <v>3.7480000000000002</v>
      </c>
      <c r="F271">
        <v>11105903.452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-0.50427350427350337</v>
      </c>
      <c r="Q271">
        <f t="shared" si="965"/>
        <v>-5600412.851863238</v>
      </c>
      <c r="R271">
        <f t="shared" si="966"/>
        <v>-78579298.228800401</v>
      </c>
      <c r="S271">
        <f t="shared" si="967"/>
        <v>-785.79298228800405</v>
      </c>
      <c r="T271">
        <f t="shared" si="968"/>
        <v>-0.78579298228800409</v>
      </c>
    </row>
    <row r="272" spans="1:20" x14ac:dyDescent="0.25">
      <c r="A272" s="5">
        <v>44321</v>
      </c>
      <c r="B272">
        <v>3.5329999999999999</v>
      </c>
      <c r="C272">
        <v>3.91</v>
      </c>
      <c r="D272">
        <v>3.4849999999999999</v>
      </c>
      <c r="E272">
        <v>3.8239999999999998</v>
      </c>
      <c r="F272">
        <v>7159247.0029999996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0.59529411764705764</v>
      </c>
      <c r="Q272">
        <f t="shared" si="965"/>
        <v>4261857.6276682261</v>
      </c>
      <c r="R272">
        <f t="shared" si="966"/>
        <v>-72978885.376937166</v>
      </c>
      <c r="S272">
        <f t="shared" si="967"/>
        <v>-729.78885376937171</v>
      </c>
      <c r="T272">
        <f t="shared" si="968"/>
        <v>-0.72978885376937175</v>
      </c>
    </row>
    <row r="273" spans="1:20" x14ac:dyDescent="0.25">
      <c r="A273" s="5">
        <v>44320</v>
      </c>
      <c r="B273">
        <v>4.0359999999999996</v>
      </c>
      <c r="C273">
        <v>4.048</v>
      </c>
      <c r="D273">
        <v>3.5049999999999999</v>
      </c>
      <c r="E273">
        <v>3.5339999999999998</v>
      </c>
      <c r="F273">
        <v>9735756.5789999999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-0.89318600368324164</v>
      </c>
      <c r="Q273">
        <f t="shared" si="965"/>
        <v>-8695841.5116298385</v>
      </c>
      <c r="R273">
        <f t="shared" si="966"/>
        <v>-77240743.004605398</v>
      </c>
      <c r="S273">
        <f t="shared" si="967"/>
        <v>-772.40743004605395</v>
      </c>
      <c r="T273">
        <f t="shared" si="968"/>
        <v>-0.77240743004605394</v>
      </c>
    </row>
    <row r="274" spans="1:20" x14ac:dyDescent="0.25">
      <c r="A274" s="5">
        <v>44319</v>
      </c>
      <c r="B274">
        <v>4.17</v>
      </c>
      <c r="C274">
        <v>4.4950000000000001</v>
      </c>
      <c r="D274">
        <v>4</v>
      </c>
      <c r="E274">
        <v>4.0359999999999996</v>
      </c>
      <c r="F274">
        <v>14860082.948000001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-0.85454545454545627</v>
      </c>
      <c r="Q274">
        <f t="shared" si="965"/>
        <v>-12698616.337381845</v>
      </c>
      <c r="R274">
        <f t="shared" si="966"/>
        <v>-68544901.492975563</v>
      </c>
      <c r="S274">
        <f t="shared" si="967"/>
        <v>-685.44901492975566</v>
      </c>
      <c r="T274">
        <f t="shared" si="968"/>
        <v>-0.68544901492975563</v>
      </c>
    </row>
    <row r="275" spans="1:20" x14ac:dyDescent="0.25">
      <c r="A275" s="5">
        <v>44318</v>
      </c>
      <c r="B275">
        <v>3.8290000000000002</v>
      </c>
      <c r="C275">
        <v>4.1760000000000002</v>
      </c>
      <c r="D275">
        <v>3.56</v>
      </c>
      <c r="E275">
        <v>4.17</v>
      </c>
      <c r="F275">
        <v>9010065.4279999994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0.98051948051947979</v>
      </c>
      <c r="Q275">
        <f t="shared" si="965"/>
        <v>8834544.6729090828</v>
      </c>
      <c r="R275">
        <f t="shared" si="966"/>
        <v>-55846285.155593723</v>
      </c>
      <c r="S275">
        <f t="shared" si="967"/>
        <v>-558.46285155593728</v>
      </c>
      <c r="T275">
        <f t="shared" si="968"/>
        <v>-0.55846285155593722</v>
      </c>
    </row>
    <row r="276" spans="1:20" x14ac:dyDescent="0.25">
      <c r="A276" s="5">
        <v>44317</v>
      </c>
      <c r="B276">
        <v>3.9950000000000001</v>
      </c>
      <c r="C276">
        <v>4.0750000000000002</v>
      </c>
      <c r="D276">
        <v>3.6429999999999998</v>
      </c>
      <c r="E276">
        <v>3.8290000000000002</v>
      </c>
      <c r="F276">
        <v>7583476.1200000001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-0.13888888888888787</v>
      </c>
      <c r="Q276">
        <f t="shared" si="965"/>
        <v>-1053260.5722222144</v>
      </c>
      <c r="R276">
        <f t="shared" si="966"/>
        <v>-64680829.828502804</v>
      </c>
      <c r="S276">
        <f t="shared" si="967"/>
        <v>-646.80829828502806</v>
      </c>
      <c r="T276">
        <f t="shared" si="968"/>
        <v>-0.64680829828502806</v>
      </c>
    </row>
    <row r="277" spans="1:20" x14ac:dyDescent="0.25">
      <c r="A277" s="5">
        <v>44316</v>
      </c>
      <c r="B277">
        <v>3.8319999999999999</v>
      </c>
      <c r="C277">
        <v>4.01</v>
      </c>
      <c r="D277">
        <v>3.694</v>
      </c>
      <c r="E277">
        <v>3.992</v>
      </c>
      <c r="F277">
        <v>8637605.8920000009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0.88607594936708989</v>
      </c>
      <c r="Q277">
        <f t="shared" si="965"/>
        <v>7653574.8410126697</v>
      </c>
      <c r="R277">
        <f t="shared" si="966"/>
        <v>-63627569.256280586</v>
      </c>
      <c r="S277">
        <f t="shared" si="967"/>
        <v>-636.27569256280583</v>
      </c>
      <c r="T277">
        <f t="shared" si="968"/>
        <v>-0.63627569256280581</v>
      </c>
    </row>
    <row r="278" spans="1:20" x14ac:dyDescent="0.25">
      <c r="A278" s="5">
        <v>44315</v>
      </c>
      <c r="B278">
        <v>3.4209999999999998</v>
      </c>
      <c r="C278">
        <v>4.085</v>
      </c>
      <c r="D278">
        <v>3.3490000000000002</v>
      </c>
      <c r="E278">
        <v>3.83</v>
      </c>
      <c r="F278">
        <v>18559297.829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0.30706521739130443</v>
      </c>
      <c r="Q278">
        <f t="shared" si="965"/>
        <v>5698914.8224918498</v>
      </c>
      <c r="R278">
        <f t="shared" si="966"/>
        <v>-71281144.097293258</v>
      </c>
      <c r="S278">
        <f t="shared" si="967"/>
        <v>-712.81144097293259</v>
      </c>
      <c r="T278">
        <f t="shared" si="968"/>
        <v>-0.71281144097293259</v>
      </c>
    </row>
    <row r="279" spans="1:20" x14ac:dyDescent="0.25">
      <c r="A279" s="5">
        <v>44314</v>
      </c>
      <c r="B279">
        <v>3.5830000000000002</v>
      </c>
      <c r="C279">
        <v>3.718</v>
      </c>
      <c r="D279">
        <v>3.2109999999999999</v>
      </c>
      <c r="E279">
        <v>3.4209999999999998</v>
      </c>
      <c r="F279">
        <v>10391245.761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-0.171597633136095</v>
      </c>
      <c r="Q279">
        <f t="shared" si="965"/>
        <v>-1783113.1779230803</v>
      </c>
      <c r="R279">
        <f t="shared" si="966"/>
        <v>-76980058.919785112</v>
      </c>
      <c r="S279">
        <f t="shared" si="967"/>
        <v>-769.80058919785108</v>
      </c>
      <c r="T279">
        <f t="shared" si="968"/>
        <v>-0.7698005891978511</v>
      </c>
    </row>
    <row r="280" spans="1:20" x14ac:dyDescent="0.25">
      <c r="A280" s="5">
        <v>44313</v>
      </c>
      <c r="B280">
        <v>3.2669999999999999</v>
      </c>
      <c r="C280">
        <v>3.65</v>
      </c>
      <c r="D280">
        <v>3.1379999999999999</v>
      </c>
      <c r="E280">
        <v>3.58</v>
      </c>
      <c r="F280">
        <v>9956822.5480000004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0.72656250000000067</v>
      </c>
      <c r="Q280">
        <f t="shared" si="965"/>
        <v>7234253.8825312573</v>
      </c>
      <c r="R280">
        <f t="shared" si="966"/>
        <v>-75196945.741862029</v>
      </c>
      <c r="S280">
        <f t="shared" si="967"/>
        <v>-751.96945741862032</v>
      </c>
      <c r="T280">
        <f t="shared" si="968"/>
        <v>-0.75196945741862031</v>
      </c>
    </row>
    <row r="281" spans="1:20" x14ac:dyDescent="0.25">
      <c r="A281" s="5">
        <v>44312</v>
      </c>
      <c r="B281">
        <v>2.714</v>
      </c>
      <c r="C281">
        <v>3.2770000000000001</v>
      </c>
      <c r="D281">
        <v>2.677</v>
      </c>
      <c r="E281">
        <v>3.2639999999999998</v>
      </c>
      <c r="F281">
        <v>9471526.3259999994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0.95666666666666555</v>
      </c>
      <c r="Q281">
        <f t="shared" si="965"/>
        <v>9061093.5185399894</v>
      </c>
      <c r="R281">
        <f t="shared" si="966"/>
        <v>-82431199.624393284</v>
      </c>
      <c r="S281">
        <f t="shared" si="967"/>
        <v>-824.31199624393287</v>
      </c>
      <c r="T281">
        <f t="shared" si="968"/>
        <v>-0.82431199624393292</v>
      </c>
    </row>
    <row r="282" spans="1:20" x14ac:dyDescent="0.25">
      <c r="A282" s="5">
        <v>44311</v>
      </c>
      <c r="B282">
        <v>2.6560000000000001</v>
      </c>
      <c r="C282">
        <v>3.0369999999999999</v>
      </c>
      <c r="D282">
        <v>2.4449999999999998</v>
      </c>
      <c r="E282">
        <v>2.7130000000000001</v>
      </c>
      <c r="F282">
        <v>6172766.5549999997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-9.459459459459392E-2</v>
      </c>
      <c r="Q282">
        <f t="shared" si="965"/>
        <v>-583910.34979729308</v>
      </c>
      <c r="R282">
        <f t="shared" si="966"/>
        <v>-91492293.142933279</v>
      </c>
      <c r="S282">
        <f t="shared" si="967"/>
        <v>-914.92293142933283</v>
      </c>
      <c r="T282">
        <f t="shared" si="968"/>
        <v>-0.91492293142933279</v>
      </c>
    </row>
    <row r="283" spans="1:20" x14ac:dyDescent="0.25">
      <c r="A283" s="5">
        <v>44310</v>
      </c>
      <c r="B283">
        <v>2.9449999999999998</v>
      </c>
      <c r="C283">
        <v>2.9830000000000001</v>
      </c>
      <c r="D283">
        <v>2.6080000000000001</v>
      </c>
      <c r="E283">
        <v>2.6560000000000001</v>
      </c>
      <c r="F283">
        <v>7114516.6270000003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-0.74399999999999977</v>
      </c>
      <c r="Q283">
        <f t="shared" si="965"/>
        <v>-5293200.3704879982</v>
      </c>
      <c r="R283">
        <f t="shared" si="966"/>
        <v>-90908382.793135986</v>
      </c>
      <c r="S283">
        <f t="shared" si="967"/>
        <v>-909.08382793135991</v>
      </c>
      <c r="T283">
        <f t="shared" si="968"/>
        <v>-0.90908382793135989</v>
      </c>
    </row>
    <row r="284" spans="1:20" x14ac:dyDescent="0.25">
      <c r="A284" s="5">
        <v>44309</v>
      </c>
      <c r="B284">
        <v>3.3140000000000001</v>
      </c>
      <c r="C284">
        <v>3.379</v>
      </c>
      <c r="D284">
        <v>2.5499999999999998</v>
      </c>
      <c r="E284">
        <v>2.944</v>
      </c>
      <c r="F284">
        <v>11129260.501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-4.9457177322074691E-2</v>
      </c>
      <c r="Q284">
        <f t="shared" si="965"/>
        <v>-550421.8100615188</v>
      </c>
      <c r="R284">
        <f t="shared" si="966"/>
        <v>-85615182.422647983</v>
      </c>
      <c r="S284">
        <f t="shared" si="967"/>
        <v>-856.15182422647979</v>
      </c>
      <c r="T284">
        <f t="shared" si="968"/>
        <v>-0.85615182422647984</v>
      </c>
    </row>
    <row r="285" spans="1:20" x14ac:dyDescent="0.25">
      <c r="A285" s="5">
        <v>44308</v>
      </c>
      <c r="B285">
        <v>3.5009999999999999</v>
      </c>
      <c r="C285">
        <v>3.75</v>
      </c>
      <c r="D285">
        <v>3.222</v>
      </c>
      <c r="E285">
        <v>3.3149999999999999</v>
      </c>
      <c r="F285">
        <v>7813566.3109999998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-0.64772727272727282</v>
      </c>
      <c r="Q285">
        <f t="shared" si="965"/>
        <v>-5061059.9968977282</v>
      </c>
      <c r="R285">
        <f t="shared" si="966"/>
        <v>-85064760.612586468</v>
      </c>
      <c r="S285">
        <f t="shared" si="967"/>
        <v>-850.64760612586474</v>
      </c>
      <c r="T285">
        <f t="shared" si="968"/>
        <v>-0.85064760612586476</v>
      </c>
    </row>
    <row r="286" spans="1:20" x14ac:dyDescent="0.25">
      <c r="A286" s="5">
        <v>44307</v>
      </c>
      <c r="B286">
        <v>3.7589999999999999</v>
      </c>
      <c r="C286">
        <v>3.8490000000000002</v>
      </c>
      <c r="D286">
        <v>3.4649999999999999</v>
      </c>
      <c r="E286">
        <v>3.5</v>
      </c>
      <c r="F286">
        <v>6985209.1550000003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-0.8177083333333327</v>
      </c>
      <c r="Q286">
        <f t="shared" si="965"/>
        <v>-5711863.7361197872</v>
      </c>
      <c r="R286">
        <f t="shared" si="966"/>
        <v>-80003700.615688741</v>
      </c>
      <c r="S286">
        <f t="shared" si="967"/>
        <v>-800.0370061568874</v>
      </c>
      <c r="T286">
        <f t="shared" si="968"/>
        <v>-0.80003700615688744</v>
      </c>
    </row>
    <row r="287" spans="1:20" x14ac:dyDescent="0.25">
      <c r="A287" s="5">
        <v>44306</v>
      </c>
      <c r="B287">
        <v>3.492</v>
      </c>
      <c r="C287">
        <v>3.92</v>
      </c>
      <c r="D287">
        <v>3.22</v>
      </c>
      <c r="E287">
        <v>3.76</v>
      </c>
      <c r="F287">
        <v>9929607.6300000008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0.54285714285714226</v>
      </c>
      <c r="Q287">
        <f t="shared" si="965"/>
        <v>5390358.4277142799</v>
      </c>
      <c r="R287">
        <f t="shared" si="966"/>
        <v>-74291836.879568949</v>
      </c>
      <c r="S287">
        <f t="shared" si="967"/>
        <v>-742.9183687956895</v>
      </c>
      <c r="T287">
        <f t="shared" si="968"/>
        <v>-0.74291836879568951</v>
      </c>
    </row>
    <row r="288" spans="1:20" x14ac:dyDescent="0.25">
      <c r="A288" s="5">
        <v>44305</v>
      </c>
      <c r="B288">
        <v>3.7869999999999999</v>
      </c>
      <c r="C288">
        <v>3.9969999999999999</v>
      </c>
      <c r="D288">
        <v>3.367</v>
      </c>
      <c r="E288">
        <v>3.492</v>
      </c>
      <c r="F288">
        <v>9400217.5649999995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-0.60317460317460314</v>
      </c>
      <c r="Q288">
        <f t="shared" si="965"/>
        <v>-5669972.4995238092</v>
      </c>
      <c r="R288">
        <f t="shared" si="966"/>
        <v>-79682195.307283223</v>
      </c>
      <c r="S288">
        <f t="shared" si="967"/>
        <v>-796.82195307283223</v>
      </c>
      <c r="T288">
        <f t="shared" si="968"/>
        <v>-0.79682195307283221</v>
      </c>
    </row>
    <row r="289" spans="1:20" x14ac:dyDescent="0.25">
      <c r="A289" s="5">
        <v>44304</v>
      </c>
      <c r="B289">
        <v>4.5609999999999999</v>
      </c>
      <c r="C289">
        <v>4.6120000000000001</v>
      </c>
      <c r="D289">
        <v>3.218</v>
      </c>
      <c r="E289">
        <v>3.7869999999999999</v>
      </c>
      <c r="F289">
        <v>15977332.171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-0.18364418938307045</v>
      </c>
      <c r="Q289">
        <f t="shared" si="965"/>
        <v>-2934144.2150473483</v>
      </c>
      <c r="R289">
        <f t="shared" si="966"/>
        <v>-74012222.807759419</v>
      </c>
      <c r="S289">
        <f t="shared" si="967"/>
        <v>-740.12222807759417</v>
      </c>
      <c r="T289">
        <f t="shared" si="968"/>
        <v>-0.7401222280775942</v>
      </c>
    </row>
    <row r="290" spans="1:20" x14ac:dyDescent="0.25">
      <c r="A290" s="5">
        <v>44303</v>
      </c>
      <c r="B290">
        <v>4.6989999999999998</v>
      </c>
      <c r="C290">
        <v>4.95</v>
      </c>
      <c r="D290">
        <v>4.4029999999999996</v>
      </c>
      <c r="E290">
        <v>4.5620000000000003</v>
      </c>
      <c r="F290">
        <v>7927689.9359999998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-0.41864716636197247</v>
      </c>
      <c r="Q290">
        <f t="shared" si="965"/>
        <v>-3318904.9275027267</v>
      </c>
      <c r="R290">
        <f t="shared" si="966"/>
        <v>-71078078.592712075</v>
      </c>
      <c r="S290">
        <f t="shared" si="967"/>
        <v>-710.78078592712075</v>
      </c>
      <c r="T290">
        <f t="shared" si="968"/>
        <v>-0.7107807859271208</v>
      </c>
    </row>
    <row r="291" spans="1:20" x14ac:dyDescent="0.25">
      <c r="A291" s="5">
        <v>44302</v>
      </c>
      <c r="B291">
        <v>5.1319999999999997</v>
      </c>
      <c r="C291">
        <v>5.31</v>
      </c>
      <c r="D291">
        <v>4.5</v>
      </c>
      <c r="E291">
        <v>4.6920000000000002</v>
      </c>
      <c r="F291">
        <v>11838904.84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-0.52592592592592524</v>
      </c>
      <c r="Q291">
        <f t="shared" si="965"/>
        <v>-6226386.9899259182</v>
      </c>
      <c r="R291">
        <f t="shared" si="966"/>
        <v>-67759173.665209353</v>
      </c>
      <c r="S291">
        <f t="shared" si="967"/>
        <v>-677.59173665209357</v>
      </c>
      <c r="T291">
        <f t="shared" si="968"/>
        <v>-0.6775917366520936</v>
      </c>
    </row>
    <row r="292" spans="1:20" x14ac:dyDescent="0.25">
      <c r="A292" s="5">
        <v>44301</v>
      </c>
      <c r="B292">
        <v>5.4119999999999999</v>
      </c>
      <c r="C292">
        <v>5.4729999999999999</v>
      </c>
      <c r="D292">
        <v>4.9720000000000004</v>
      </c>
      <c r="E292">
        <v>5.1280000000000001</v>
      </c>
      <c r="F292">
        <v>9537135.7440000009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-0.37724550898203646</v>
      </c>
      <c r="Q292">
        <f t="shared" si="965"/>
        <v>-3597841.6279760534</v>
      </c>
      <c r="R292">
        <f t="shared" si="966"/>
        <v>-61532786.675283432</v>
      </c>
      <c r="S292">
        <f t="shared" si="967"/>
        <v>-615.32786675283432</v>
      </c>
      <c r="T292">
        <f t="shared" si="968"/>
        <v>-0.61532786675283435</v>
      </c>
    </row>
    <row r="293" spans="1:20" x14ac:dyDescent="0.25">
      <c r="A293" s="5">
        <v>44300</v>
      </c>
      <c r="B293">
        <v>4.9459999999999997</v>
      </c>
      <c r="C293">
        <v>5.65</v>
      </c>
      <c r="D293">
        <v>4.6660000000000004</v>
      </c>
      <c r="E293">
        <v>5.4029999999999996</v>
      </c>
      <c r="F293">
        <v>20046442.840999998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0.49796747967479515</v>
      </c>
      <c r="Q293">
        <f t="shared" si="965"/>
        <v>9982476.6179776099</v>
      </c>
      <c r="R293">
        <f t="shared" si="966"/>
        <v>-57934945.04730738</v>
      </c>
      <c r="S293">
        <f t="shared" si="967"/>
        <v>-579.34945047307383</v>
      </c>
      <c r="T293">
        <f t="shared" si="968"/>
        <v>-0.57934945047307385</v>
      </c>
    </row>
    <row r="294" spans="1:20" x14ac:dyDescent="0.25">
      <c r="A294" s="5">
        <v>44299</v>
      </c>
      <c r="B294">
        <v>4.681</v>
      </c>
      <c r="C294">
        <v>5.2450000000000001</v>
      </c>
      <c r="D294">
        <v>4.5049999999999999</v>
      </c>
      <c r="E294">
        <v>4.9459999999999997</v>
      </c>
      <c r="F294">
        <v>12129811.839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0.1918918918918911</v>
      </c>
      <c r="Q294">
        <f t="shared" si="965"/>
        <v>2327612.5420783688</v>
      </c>
      <c r="R294">
        <f t="shared" si="966"/>
        <v>-67917421.665284991</v>
      </c>
      <c r="S294">
        <f t="shared" si="967"/>
        <v>-679.17421665284996</v>
      </c>
      <c r="T294">
        <f t="shared" si="968"/>
        <v>-0.67917421665284994</v>
      </c>
    </row>
    <row r="295" spans="1:20" x14ac:dyDescent="0.25">
      <c r="A295" s="5">
        <v>44298</v>
      </c>
      <c r="B295">
        <v>4.7809999999999997</v>
      </c>
      <c r="C295">
        <v>5.4420000000000002</v>
      </c>
      <c r="D295">
        <v>4.45</v>
      </c>
      <c r="E295">
        <v>4.6840000000000002</v>
      </c>
      <c r="F295">
        <v>23811176.640000001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-0.52822580645161288</v>
      </c>
      <c r="Q295">
        <f t="shared" si="965"/>
        <v>-12577677.983225806</v>
      </c>
      <c r="R295">
        <f t="shared" si="966"/>
        <v>-70245034.207363367</v>
      </c>
      <c r="S295">
        <f t="shared" si="967"/>
        <v>-702.45034207363369</v>
      </c>
      <c r="T295">
        <f t="shared" si="968"/>
        <v>-0.70245034207363366</v>
      </c>
    </row>
    <row r="296" spans="1:20" x14ac:dyDescent="0.25">
      <c r="A296" s="5">
        <v>44297</v>
      </c>
      <c r="B296">
        <v>4.048</v>
      </c>
      <c r="C296">
        <v>4.95</v>
      </c>
      <c r="D296">
        <v>3.956</v>
      </c>
      <c r="E296">
        <v>4.7859999999999996</v>
      </c>
      <c r="F296">
        <v>12517122.025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0.67002012072434491</v>
      </c>
      <c r="Q296">
        <f t="shared" si="965"/>
        <v>8386723.6103118565</v>
      </c>
      <c r="R296">
        <f t="shared" si="966"/>
        <v>-57667356.22413756</v>
      </c>
      <c r="S296">
        <f t="shared" si="967"/>
        <v>-576.67356224137563</v>
      </c>
      <c r="T296">
        <f t="shared" si="968"/>
        <v>-0.57667356224137567</v>
      </c>
    </row>
    <row r="297" spans="1:20" x14ac:dyDescent="0.25">
      <c r="A297" s="5">
        <v>44296</v>
      </c>
      <c r="B297">
        <v>4.0359999999999996</v>
      </c>
      <c r="C297">
        <v>4.4000000000000004</v>
      </c>
      <c r="D297">
        <v>3.8719999999999999</v>
      </c>
      <c r="E297">
        <v>4.0449999999999999</v>
      </c>
      <c r="F297">
        <v>8054451.8200000003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-0.34469696969697011</v>
      </c>
      <c r="Q297">
        <f t="shared" si="965"/>
        <v>-2776345.134924246</v>
      </c>
      <c r="R297">
        <f t="shared" si="966"/>
        <v>-66054079.834449418</v>
      </c>
      <c r="S297">
        <f t="shared" si="967"/>
        <v>-660.54079834449419</v>
      </c>
      <c r="T297">
        <f t="shared" si="968"/>
        <v>-0.6605407983444942</v>
      </c>
    </row>
    <row r="298" spans="1:20" x14ac:dyDescent="0.25">
      <c r="A298" s="5">
        <v>44295</v>
      </c>
      <c r="B298">
        <v>3.8109999999999999</v>
      </c>
      <c r="C298">
        <v>4.1500000000000004</v>
      </c>
      <c r="D298">
        <v>3.7320000000000002</v>
      </c>
      <c r="E298">
        <v>4.0350000000000001</v>
      </c>
      <c r="F298">
        <v>7193411.1150000002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0.44976076555023842</v>
      </c>
      <c r="Q298">
        <f t="shared" si="965"/>
        <v>3235314.0899999943</v>
      </c>
      <c r="R298">
        <f t="shared" si="966"/>
        <v>-63277734.69952517</v>
      </c>
      <c r="S298">
        <f t="shared" si="967"/>
        <v>-632.77734699525172</v>
      </c>
      <c r="T298">
        <f t="shared" si="968"/>
        <v>-0.63277734699525168</v>
      </c>
    </row>
    <row r="299" spans="1:20" x14ac:dyDescent="0.25">
      <c r="A299" s="5">
        <v>44294</v>
      </c>
      <c r="B299">
        <v>3.4620000000000002</v>
      </c>
      <c r="C299">
        <v>3.8610000000000002</v>
      </c>
      <c r="D299">
        <v>3.4470000000000001</v>
      </c>
      <c r="E299">
        <v>3.8109999999999999</v>
      </c>
      <c r="F299">
        <v>5027258.0939999996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0.75845410628019205</v>
      </c>
      <c r="Q299">
        <f t="shared" si="965"/>
        <v>3812944.5447246316</v>
      </c>
      <c r="R299">
        <f t="shared" si="966"/>
        <v>-66513048.789525166</v>
      </c>
      <c r="S299">
        <f t="shared" si="967"/>
        <v>-665.13048789525169</v>
      </c>
      <c r="T299">
        <f t="shared" si="968"/>
        <v>-0.66513048789525164</v>
      </c>
    </row>
    <row r="300" spans="1:20" x14ac:dyDescent="0.25">
      <c r="A300" s="5">
        <v>44293</v>
      </c>
      <c r="B300">
        <v>3.8679999999999999</v>
      </c>
      <c r="C300">
        <v>3.8889999999999998</v>
      </c>
      <c r="D300">
        <v>3.3330000000000002</v>
      </c>
      <c r="E300">
        <v>3.4620000000000002</v>
      </c>
      <c r="F300">
        <v>6095729.8619999997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-0.5359712230215824</v>
      </c>
      <c r="Q300">
        <f t="shared" si="965"/>
        <v>-3267135.7893453217</v>
      </c>
      <c r="R300">
        <f t="shared" si="966"/>
        <v>-70325993.334249794</v>
      </c>
      <c r="S300">
        <f t="shared" si="967"/>
        <v>-703.2599333424979</v>
      </c>
      <c r="T300">
        <f t="shared" si="968"/>
        <v>-0.70325993334249792</v>
      </c>
    </row>
    <row r="301" spans="1:20" x14ac:dyDescent="0.25">
      <c r="A301" s="5">
        <v>44292</v>
      </c>
      <c r="B301">
        <v>3.9649999999999999</v>
      </c>
      <c r="C301">
        <v>4.0990000000000002</v>
      </c>
      <c r="D301">
        <v>3.66</v>
      </c>
      <c r="E301">
        <v>3.8620000000000001</v>
      </c>
      <c r="F301">
        <v>5262023.75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-7.9726651480638122E-2</v>
      </c>
      <c r="Q301">
        <f t="shared" si="965"/>
        <v>-419523.53359909047</v>
      </c>
      <c r="R301">
        <f t="shared" si="966"/>
        <v>-67058857.544904478</v>
      </c>
      <c r="S301">
        <f t="shared" si="967"/>
        <v>-670.58857544904481</v>
      </c>
      <c r="T301">
        <f t="shared" si="968"/>
        <v>-0.67058857544904482</v>
      </c>
    </row>
    <row r="302" spans="1:20" x14ac:dyDescent="0.25">
      <c r="A302" s="5">
        <v>44291</v>
      </c>
      <c r="B302">
        <v>3.9369999999999998</v>
      </c>
      <c r="C302">
        <v>4.149</v>
      </c>
      <c r="D302">
        <v>3.7120000000000002</v>
      </c>
      <c r="E302">
        <v>3.9580000000000002</v>
      </c>
      <c r="F302">
        <v>4180410.639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0.12585812356979448</v>
      </c>
      <c r="Q302">
        <f t="shared" si="965"/>
        <v>526138.63877574552</v>
      </c>
      <c r="R302">
        <f t="shared" si="966"/>
        <v>-66639334.011305384</v>
      </c>
      <c r="S302">
        <f t="shared" si="967"/>
        <v>-666.3933401130538</v>
      </c>
      <c r="T302">
        <f t="shared" si="968"/>
        <v>-0.66639334011305384</v>
      </c>
    </row>
    <row r="303" spans="1:20" x14ac:dyDescent="0.25">
      <c r="A303" s="5">
        <v>44290</v>
      </c>
      <c r="B303">
        <v>3.6280000000000001</v>
      </c>
      <c r="C303">
        <v>3.9390000000000001</v>
      </c>
      <c r="D303">
        <v>3.5529999999999999</v>
      </c>
      <c r="E303">
        <v>3.93</v>
      </c>
      <c r="F303">
        <v>2887539.898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0.95336787564766889</v>
      </c>
      <c r="Q303">
        <f t="shared" si="965"/>
        <v>2752887.7784041464</v>
      </c>
      <c r="R303">
        <f t="shared" si="966"/>
        <v>-67165472.650081128</v>
      </c>
      <c r="S303">
        <f t="shared" si="967"/>
        <v>-671.65472650081131</v>
      </c>
      <c r="T303">
        <f t="shared" si="968"/>
        <v>-0.67165472650081126</v>
      </c>
    </row>
    <row r="304" spans="1:20" x14ac:dyDescent="0.25">
      <c r="A304" s="5">
        <v>44289</v>
      </c>
      <c r="B304">
        <v>3.9729999999999999</v>
      </c>
      <c r="C304">
        <v>4.0659999999999998</v>
      </c>
      <c r="D304">
        <v>3.609</v>
      </c>
      <c r="E304">
        <v>3.6280000000000001</v>
      </c>
      <c r="F304">
        <v>3933376.5219999999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-0.91684901531728602</v>
      </c>
      <c r="Q304">
        <f t="shared" si="965"/>
        <v>-3606312.3910678313</v>
      </c>
      <c r="R304">
        <f t="shared" si="966"/>
        <v>-69918360.428485274</v>
      </c>
      <c r="S304">
        <f t="shared" si="967"/>
        <v>-699.18360428485278</v>
      </c>
      <c r="T304">
        <f t="shared" si="968"/>
        <v>-0.69918360428485282</v>
      </c>
    </row>
    <row r="305" spans="1:20" x14ac:dyDescent="0.25">
      <c r="A305" s="5">
        <v>44288</v>
      </c>
      <c r="B305">
        <v>4.0380000000000003</v>
      </c>
      <c r="C305">
        <v>4.1790000000000003</v>
      </c>
      <c r="D305">
        <v>3.8610000000000002</v>
      </c>
      <c r="E305">
        <v>3.9769999999999999</v>
      </c>
      <c r="F305">
        <v>3474380.4950000001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-0.27044025157232932</v>
      </c>
      <c r="Q305">
        <f t="shared" si="965"/>
        <v>-939612.33512579405</v>
      </c>
      <c r="R305">
        <f t="shared" si="966"/>
        <v>-66312048.037417442</v>
      </c>
      <c r="S305">
        <f t="shared" si="967"/>
        <v>-663.12048037417446</v>
      </c>
      <c r="T305">
        <f t="shared" si="968"/>
        <v>-0.66312048037417448</v>
      </c>
    </row>
    <row r="306" spans="1:20" x14ac:dyDescent="0.25">
      <c r="A306" s="5">
        <v>44287</v>
      </c>
      <c r="B306">
        <v>4.0540000000000003</v>
      </c>
      <c r="C306">
        <v>4.3550000000000004</v>
      </c>
      <c r="D306">
        <v>3.9809999999999999</v>
      </c>
      <c r="E306">
        <v>4.0359999999999996</v>
      </c>
      <c r="F306">
        <v>5156772.2290000003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-0.7058823529411784</v>
      </c>
      <c r="Q306">
        <f t="shared" si="965"/>
        <v>-3640074.5145882457</v>
      </c>
      <c r="R306">
        <f t="shared" si="966"/>
        <v>-65372435.702291645</v>
      </c>
      <c r="S306">
        <f t="shared" si="967"/>
        <v>-653.72435702291648</v>
      </c>
      <c r="T306">
        <f t="shared" si="968"/>
        <v>-0.65372435702291642</v>
      </c>
    </row>
    <row r="307" spans="1:20" x14ac:dyDescent="0.25">
      <c r="A307" s="5">
        <v>44286</v>
      </c>
      <c r="B307">
        <v>4.1609999999999996</v>
      </c>
      <c r="C307">
        <v>4.2649999999999997</v>
      </c>
      <c r="D307">
        <v>3.7280000000000002</v>
      </c>
      <c r="E307">
        <v>4.048</v>
      </c>
      <c r="F307">
        <v>7425330.284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0.19180633147113652</v>
      </c>
      <c r="Q307">
        <f t="shared" si="965"/>
        <v>1424225.3617355723</v>
      </c>
      <c r="R307">
        <f t="shared" si="966"/>
        <v>-61732361.187703401</v>
      </c>
      <c r="S307">
        <f t="shared" si="967"/>
        <v>-617.32361187703395</v>
      </c>
      <c r="T307">
        <f t="shared" si="968"/>
        <v>-0.617323611877034</v>
      </c>
    </row>
    <row r="308" spans="1:20" x14ac:dyDescent="0.25">
      <c r="A308" s="5">
        <v>44285</v>
      </c>
      <c r="B308">
        <v>4.3479999999999999</v>
      </c>
      <c r="C308">
        <v>4.4320000000000004</v>
      </c>
      <c r="D308">
        <v>4.1130000000000004</v>
      </c>
      <c r="E308">
        <v>4.1619999999999999</v>
      </c>
      <c r="F308">
        <v>4806394.8229999999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-0.69278996865204079</v>
      </c>
      <c r="Q308">
        <f t="shared" si="965"/>
        <v>-3329822.1187555012</v>
      </c>
      <c r="R308">
        <f t="shared" si="966"/>
        <v>-63156586.549438976</v>
      </c>
      <c r="S308">
        <f t="shared" si="967"/>
        <v>-631.56586549438975</v>
      </c>
      <c r="T308">
        <f t="shared" si="968"/>
        <v>-0.63156586549438976</v>
      </c>
    </row>
    <row r="309" spans="1:20" x14ac:dyDescent="0.25">
      <c r="A309" s="5">
        <v>44284</v>
      </c>
      <c r="B309">
        <v>4.056</v>
      </c>
      <c r="C309">
        <v>4.7</v>
      </c>
      <c r="D309">
        <v>4.0199999999999996</v>
      </c>
      <c r="E309">
        <v>4.3470000000000004</v>
      </c>
      <c r="F309">
        <v>11306001.555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-3.8235294117645424E-2</v>
      </c>
      <c r="Q309">
        <f t="shared" si="965"/>
        <v>-432288.29474998149</v>
      </c>
      <c r="R309">
        <f t="shared" si="966"/>
        <v>-59826764.430683471</v>
      </c>
      <c r="S309">
        <f t="shared" si="967"/>
        <v>-598.26764430683477</v>
      </c>
      <c r="T309">
        <f t="shared" si="968"/>
        <v>-0.59826764430683477</v>
      </c>
    </row>
    <row r="310" spans="1:20" x14ac:dyDescent="0.25">
      <c r="A310" s="5">
        <v>44283</v>
      </c>
      <c r="B310">
        <v>3.9550000000000001</v>
      </c>
      <c r="C310">
        <v>4.26</v>
      </c>
      <c r="D310">
        <v>3.8519999999999999</v>
      </c>
      <c r="E310">
        <v>4.05</v>
      </c>
      <c r="F310">
        <v>6912146.75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-2.9411764705882384E-2</v>
      </c>
      <c r="Q310">
        <f t="shared" si="965"/>
        <v>-203298.43382352963</v>
      </c>
      <c r="R310">
        <f t="shared" si="966"/>
        <v>-59394476.135933489</v>
      </c>
      <c r="S310">
        <f t="shared" si="967"/>
        <v>-593.94476135933485</v>
      </c>
      <c r="T310">
        <f t="shared" si="968"/>
        <v>-0.59394476135933483</v>
      </c>
    </row>
    <row r="311" spans="1:20" x14ac:dyDescent="0.25">
      <c r="A311" s="5">
        <v>44282</v>
      </c>
      <c r="B311">
        <v>3.42</v>
      </c>
      <c r="C311">
        <v>4.29</v>
      </c>
      <c r="D311">
        <v>3.3839999999999999</v>
      </c>
      <c r="E311">
        <v>3.9550000000000001</v>
      </c>
      <c r="F311">
        <v>10876340.708000001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0.2604856512141282</v>
      </c>
      <c r="Q311">
        <f t="shared" si="965"/>
        <v>2833130.6921501122</v>
      </c>
      <c r="R311">
        <f t="shared" si="966"/>
        <v>-59191177.702109963</v>
      </c>
      <c r="S311">
        <f t="shared" si="967"/>
        <v>-591.91177702109962</v>
      </c>
      <c r="T311">
        <f t="shared" si="968"/>
        <v>-0.59191177702109965</v>
      </c>
    </row>
    <row r="312" spans="1:20" x14ac:dyDescent="0.25">
      <c r="A312" s="5">
        <v>44281</v>
      </c>
      <c r="B312">
        <v>3.18</v>
      </c>
      <c r="C312">
        <v>3.52</v>
      </c>
      <c r="D312">
        <v>3.1739999999999999</v>
      </c>
      <c r="E312">
        <v>3.419</v>
      </c>
      <c r="F312">
        <v>3567321.43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0.41618497109826619</v>
      </c>
      <c r="Q312">
        <f t="shared" si="965"/>
        <v>1484665.5662427756</v>
      </c>
      <c r="R312">
        <f t="shared" si="966"/>
        <v>-62024308.394260079</v>
      </c>
      <c r="S312">
        <f t="shared" si="967"/>
        <v>-620.24308394260083</v>
      </c>
      <c r="T312">
        <f t="shared" si="968"/>
        <v>-0.62024308394260086</v>
      </c>
    </row>
    <row r="313" spans="1:20" x14ac:dyDescent="0.25">
      <c r="A313" s="5">
        <v>44280</v>
      </c>
      <c r="B313">
        <v>3.2090000000000001</v>
      </c>
      <c r="C313">
        <v>3.3340000000000001</v>
      </c>
      <c r="D313">
        <v>2.944</v>
      </c>
      <c r="E313">
        <v>3.18</v>
      </c>
      <c r="F313">
        <v>5114190.8629999999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0.21025641025641095</v>
      </c>
      <c r="Q313">
        <f t="shared" si="965"/>
        <v>1075291.4122205165</v>
      </c>
      <c r="R313">
        <f t="shared" si="966"/>
        <v>-63508973.960502855</v>
      </c>
      <c r="S313">
        <f t="shared" si="967"/>
        <v>-635.08973960502851</v>
      </c>
      <c r="T313">
        <f t="shared" si="968"/>
        <v>-0.63508973960502846</v>
      </c>
    </row>
    <row r="314" spans="1:20" x14ac:dyDescent="0.25">
      <c r="A314" s="5">
        <v>44279</v>
      </c>
      <c r="B314">
        <v>3.4159999999999999</v>
      </c>
      <c r="C314">
        <v>3.9430000000000001</v>
      </c>
      <c r="D314">
        <v>3.05</v>
      </c>
      <c r="E314">
        <v>3.2109999999999999</v>
      </c>
      <c r="F314">
        <v>7926370.1560000004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-0.63941769316909292</v>
      </c>
      <c r="Q314">
        <f t="shared" si="965"/>
        <v>-5068261.3203538638</v>
      </c>
      <c r="R314">
        <f t="shared" si="966"/>
        <v>-64584265.372723371</v>
      </c>
      <c r="S314">
        <f t="shared" si="967"/>
        <v>-645.84265372723371</v>
      </c>
      <c r="T314">
        <f t="shared" si="968"/>
        <v>-0.64584265372723371</v>
      </c>
    </row>
    <row r="315" spans="1:20" x14ac:dyDescent="0.25">
      <c r="A315" s="5">
        <v>44278</v>
      </c>
      <c r="B315">
        <v>3.5630000000000002</v>
      </c>
      <c r="C315">
        <v>3.66</v>
      </c>
      <c r="D315">
        <v>3.34</v>
      </c>
      <c r="E315">
        <v>3.427</v>
      </c>
      <c r="F315">
        <v>4059489.63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-0.45624999999999932</v>
      </c>
      <c r="Q315">
        <f t="shared" si="965"/>
        <v>-1852142.1436874971</v>
      </c>
      <c r="R315">
        <f t="shared" si="966"/>
        <v>-59516004.052369505</v>
      </c>
      <c r="S315">
        <f t="shared" si="967"/>
        <v>-595.1600405236951</v>
      </c>
      <c r="T315">
        <f t="shared" si="968"/>
        <v>-0.59516004052369509</v>
      </c>
    </row>
    <row r="316" spans="1:20" x14ac:dyDescent="0.25">
      <c r="A316" s="5">
        <v>44277</v>
      </c>
      <c r="B316">
        <v>3.9169999999999998</v>
      </c>
      <c r="C316">
        <v>3.9849999999999999</v>
      </c>
      <c r="D316">
        <v>3.5</v>
      </c>
      <c r="E316">
        <v>3.5640000000000001</v>
      </c>
      <c r="F316">
        <v>5715096.1880000001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-0.73608247422680384</v>
      </c>
      <c r="Q316">
        <f t="shared" si="965"/>
        <v>-4206782.142507215</v>
      </c>
      <c r="R316">
        <f t="shared" si="966"/>
        <v>-57663861.908682011</v>
      </c>
      <c r="S316">
        <f t="shared" si="967"/>
        <v>-576.63861908682009</v>
      </c>
      <c r="T316">
        <f t="shared" si="968"/>
        <v>-0.57663861908682013</v>
      </c>
    </row>
    <row r="317" spans="1:20" x14ac:dyDescent="0.25">
      <c r="A317" s="5">
        <v>44276</v>
      </c>
      <c r="B317">
        <v>4.0599999999999996</v>
      </c>
      <c r="C317">
        <v>4.1390000000000002</v>
      </c>
      <c r="D317">
        <v>3.823</v>
      </c>
      <c r="E317">
        <v>3.9129999999999998</v>
      </c>
      <c r="F317">
        <v>3111401.34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-0.43037974683544444</v>
      </c>
      <c r="Q317">
        <f t="shared" si="965"/>
        <v>-1339084.1210126625</v>
      </c>
      <c r="R317">
        <f t="shared" si="966"/>
        <v>-53457079.766174793</v>
      </c>
      <c r="S317">
        <f t="shared" si="967"/>
        <v>-534.57079766174797</v>
      </c>
      <c r="T317">
        <f t="shared" si="968"/>
        <v>-0.53457079766174798</v>
      </c>
    </row>
    <row r="318" spans="1:20" x14ac:dyDescent="0.25">
      <c r="A318" s="5">
        <v>44275</v>
      </c>
      <c r="B318">
        <v>4.0629999999999997</v>
      </c>
      <c r="C318">
        <v>4.3899999999999997</v>
      </c>
      <c r="D318">
        <v>4.04</v>
      </c>
      <c r="E318">
        <v>4.07</v>
      </c>
      <c r="F318">
        <v>4280537.1040000003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-0.82857142857142696</v>
      </c>
      <c r="Q318">
        <f t="shared" si="965"/>
        <v>-3546730.7433142792</v>
      </c>
      <c r="R318">
        <f t="shared" si="966"/>
        <v>-52117995.645162128</v>
      </c>
      <c r="S318">
        <f t="shared" si="967"/>
        <v>-521.17995645162125</v>
      </c>
      <c r="T318">
        <f t="shared" si="968"/>
        <v>-0.5211799564516213</v>
      </c>
    </row>
    <row r="319" spans="1:20" x14ac:dyDescent="0.25">
      <c r="A319" s="5">
        <v>44274</v>
      </c>
      <c r="B319">
        <v>4.0970000000000004</v>
      </c>
      <c r="C319">
        <v>4.26</v>
      </c>
      <c r="D319">
        <v>3.9340000000000002</v>
      </c>
      <c r="E319">
        <v>4.0640000000000001</v>
      </c>
      <c r="F319">
        <v>3001770.5350000001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-0.20245398773006107</v>
      </c>
      <c r="Q319">
        <f t="shared" si="965"/>
        <v>-607720.41506134893</v>
      </c>
      <c r="R319">
        <f t="shared" si="966"/>
        <v>-48571264.901847847</v>
      </c>
      <c r="S319">
        <f t="shared" si="967"/>
        <v>-485.71264901847849</v>
      </c>
      <c r="T319">
        <f t="shared" si="968"/>
        <v>-0.48571264901847849</v>
      </c>
    </row>
    <row r="320" spans="1:20" x14ac:dyDescent="0.25">
      <c r="A320" s="5">
        <v>44273</v>
      </c>
      <c r="B320">
        <v>4.1959999999999997</v>
      </c>
      <c r="C320">
        <v>4.3499999999999996</v>
      </c>
      <c r="D320">
        <v>4.0819999999999999</v>
      </c>
      <c r="E320">
        <v>4.0919999999999996</v>
      </c>
      <c r="F320">
        <v>4524841.9239999996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-0.92537313432835977</v>
      </c>
      <c r="Q320">
        <f t="shared" si="965"/>
        <v>-4187167.1535522453</v>
      </c>
      <c r="R320">
        <f t="shared" si="966"/>
        <v>-47963544.4867865</v>
      </c>
      <c r="S320">
        <f t="shared" si="967"/>
        <v>-479.63544486786498</v>
      </c>
      <c r="T320">
        <f t="shared" si="968"/>
        <v>-0.47963544486786497</v>
      </c>
    </row>
    <row r="321" spans="1:20" x14ac:dyDescent="0.25">
      <c r="A321" s="5">
        <v>44272</v>
      </c>
      <c r="B321">
        <v>4.306</v>
      </c>
      <c r="C321">
        <v>4.4619999999999997</v>
      </c>
      <c r="D321">
        <v>3.95</v>
      </c>
      <c r="E321">
        <v>4.2030000000000003</v>
      </c>
      <c r="F321">
        <v>3989458.7149999999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-1.171874999999872E-2</v>
      </c>
      <c r="Q321">
        <f t="shared" si="965"/>
        <v>-46751.469316401141</v>
      </c>
      <c r="R321">
        <f t="shared" si="966"/>
        <v>-43776377.333234258</v>
      </c>
      <c r="S321">
        <f t="shared" si="967"/>
        <v>-437.76377333234257</v>
      </c>
      <c r="T321">
        <f t="shared" si="968"/>
        <v>-0.43776377333234257</v>
      </c>
    </row>
    <row r="322" spans="1:20" x14ac:dyDescent="0.25">
      <c r="A322" s="5">
        <v>44271</v>
      </c>
      <c r="B322">
        <v>4.1529999999999996</v>
      </c>
      <c r="C322">
        <v>4.53</v>
      </c>
      <c r="D322">
        <v>3.91</v>
      </c>
      <c r="E322">
        <v>4.306</v>
      </c>
      <c r="F322">
        <v>7198387.693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0.27741935483870916</v>
      </c>
      <c r="Q322">
        <f t="shared" si="965"/>
        <v>1996972.069670964</v>
      </c>
      <c r="R322">
        <f t="shared" si="966"/>
        <v>-43729625.863917857</v>
      </c>
      <c r="S322">
        <f t="shared" si="967"/>
        <v>-437.29625863917857</v>
      </c>
      <c r="T322">
        <f t="shared" si="968"/>
        <v>-0.43729625863917859</v>
      </c>
    </row>
    <row r="323" spans="1:20" x14ac:dyDescent="0.25">
      <c r="A323" s="5">
        <v>44270</v>
      </c>
      <c r="B323">
        <v>4.0949999999999998</v>
      </c>
      <c r="C323">
        <v>5.1109999999999998</v>
      </c>
      <c r="D323">
        <v>4.03</v>
      </c>
      <c r="E323">
        <v>4.1420000000000003</v>
      </c>
      <c r="F323">
        <v>17923495.886999998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-0.79278445883441229</v>
      </c>
      <c r="Q323">
        <f t="shared" si="965"/>
        <v>-14209468.987196108</v>
      </c>
      <c r="R323">
        <f t="shared" si="966"/>
        <v>-45726597.933588825</v>
      </c>
      <c r="S323">
        <f t="shared" si="967"/>
        <v>-457.26597933588823</v>
      </c>
      <c r="T323">
        <f t="shared" si="968"/>
        <v>-0.45726597933588825</v>
      </c>
    </row>
    <row r="324" spans="1:20" x14ac:dyDescent="0.25">
      <c r="A324" s="5">
        <v>44269</v>
      </c>
      <c r="B324">
        <v>3.94</v>
      </c>
      <c r="C324">
        <v>4.3600000000000003</v>
      </c>
      <c r="D324">
        <v>3.698</v>
      </c>
      <c r="E324">
        <v>4.0940000000000003</v>
      </c>
      <c r="F324">
        <v>10706773.567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0.19637462235649586</v>
      </c>
      <c r="Q324">
        <f t="shared" si="965"/>
        <v>2102538.6158761373</v>
      </c>
      <c r="R324">
        <f t="shared" si="966"/>
        <v>-31517128.946392715</v>
      </c>
      <c r="S324">
        <f t="shared" si="967"/>
        <v>-315.17128946392717</v>
      </c>
      <c r="T324">
        <f t="shared" si="968"/>
        <v>-0.31517128946392714</v>
      </c>
    </row>
    <row r="325" spans="1:20" x14ac:dyDescent="0.25">
      <c r="A325" s="5">
        <v>44268</v>
      </c>
      <c r="B325">
        <v>3.4350000000000001</v>
      </c>
      <c r="C325">
        <v>4.18</v>
      </c>
      <c r="D325">
        <v>3.3</v>
      </c>
      <c r="E325">
        <v>3.93</v>
      </c>
      <c r="F325">
        <v>9700927.7229999993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0.43181818181818277</v>
      </c>
      <c r="Q325">
        <f t="shared" si="965"/>
        <v>4189036.9712954634</v>
      </c>
      <c r="R325">
        <f t="shared" si="966"/>
        <v>-33619667.562268853</v>
      </c>
      <c r="S325">
        <f t="shared" si="967"/>
        <v>-336.19667562268853</v>
      </c>
      <c r="T325">
        <f t="shared" si="968"/>
        <v>-0.33619667562268851</v>
      </c>
    </row>
    <row r="326" spans="1:20" x14ac:dyDescent="0.25">
      <c r="A326" s="5">
        <v>44267</v>
      </c>
      <c r="B326">
        <v>3.6960000000000002</v>
      </c>
      <c r="C326">
        <v>3.7170000000000001</v>
      </c>
      <c r="D326">
        <v>3.3</v>
      </c>
      <c r="E326">
        <v>3.4390000000000001</v>
      </c>
      <c r="F326">
        <v>4802934.409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-0.33333333333333265</v>
      </c>
      <c r="Q326">
        <f t="shared" ref="Q326:Q389" si="970">F326*P326</f>
        <v>-1600978.1363333301</v>
      </c>
      <c r="R326">
        <f t="shared" ref="R326:R389" si="971">R327+Q326</f>
        <v>-37808704.533564314</v>
      </c>
      <c r="S326">
        <f t="shared" ref="S326:S389" si="972">R326/100000</f>
        <v>-378.08704533564315</v>
      </c>
      <c r="T326">
        <f t="shared" ref="T326:T389" si="973">S326/1000</f>
        <v>-0.37808704533564313</v>
      </c>
    </row>
    <row r="327" spans="1:20" x14ac:dyDescent="0.25">
      <c r="A327" s="5">
        <v>44266</v>
      </c>
      <c r="B327">
        <v>3.6539999999999999</v>
      </c>
      <c r="C327">
        <v>3.84</v>
      </c>
      <c r="D327">
        <v>3.5</v>
      </c>
      <c r="E327">
        <v>3.6920000000000002</v>
      </c>
      <c r="F327">
        <v>7545888.5870000003</v>
      </c>
      <c r="G327">
        <v>0</v>
      </c>
      <c r="L327" t="s">
        <v>8</v>
      </c>
      <c r="M327" t="s">
        <v>7</v>
      </c>
      <c r="N327" t="s">
        <v>8</v>
      </c>
      <c r="P327">
        <f t="shared" si="969"/>
        <v>0.12941176470588384</v>
      </c>
      <c r="Q327">
        <f t="shared" si="970"/>
        <v>976526.75831765833</v>
      </c>
      <c r="R327">
        <f t="shared" si="971"/>
        <v>-36207726.397230983</v>
      </c>
      <c r="S327">
        <f t="shared" si="972"/>
        <v>-362.07726397230982</v>
      </c>
      <c r="T327">
        <f t="shared" si="973"/>
        <v>-0.36207726397230983</v>
      </c>
    </row>
    <row r="328" spans="1:20" x14ac:dyDescent="0.25">
      <c r="A328" s="5">
        <v>44265</v>
      </c>
      <c r="B328">
        <v>4.093</v>
      </c>
      <c r="C328">
        <v>4.2750000000000004</v>
      </c>
      <c r="D328">
        <v>3.51</v>
      </c>
      <c r="E328">
        <v>3.6560000000000001</v>
      </c>
      <c r="F328">
        <v>7325805.4110000003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-0.6183006535947706</v>
      </c>
      <c r="Q328">
        <f t="shared" si="970"/>
        <v>-4529550.2737294072</v>
      </c>
      <c r="R328">
        <f t="shared" si="971"/>
        <v>-37184253.15554864</v>
      </c>
      <c r="S328">
        <f t="shared" si="972"/>
        <v>-371.8425315554864</v>
      </c>
      <c r="T328">
        <f t="shared" si="973"/>
        <v>-0.37184253155548641</v>
      </c>
    </row>
    <row r="329" spans="1:20" x14ac:dyDescent="0.25">
      <c r="A329" s="5">
        <v>44264</v>
      </c>
      <c r="B329">
        <v>4</v>
      </c>
      <c r="C329">
        <v>4.12</v>
      </c>
      <c r="D329">
        <v>3.9</v>
      </c>
      <c r="E329">
        <v>4.093</v>
      </c>
      <c r="F329">
        <v>9794512.1909999996</v>
      </c>
      <c r="G329">
        <v>0</v>
      </c>
      <c r="L329" t="s">
        <v>7</v>
      </c>
      <c r="M329" t="s">
        <v>7</v>
      </c>
      <c r="N329" t="s">
        <v>8</v>
      </c>
      <c r="P329">
        <f t="shared" si="969"/>
        <v>0.75454545454545352</v>
      </c>
      <c r="Q329">
        <f t="shared" si="970"/>
        <v>7390404.6532090809</v>
      </c>
      <c r="R329">
        <f t="shared" si="971"/>
        <v>-32654702.881819233</v>
      </c>
      <c r="S329">
        <f t="shared" si="972"/>
        <v>-326.54702881819236</v>
      </c>
      <c r="T329">
        <f t="shared" si="973"/>
        <v>-0.32654702881819236</v>
      </c>
    </row>
    <row r="330" spans="1:20" x14ac:dyDescent="0.25">
      <c r="A330" s="5">
        <v>44263</v>
      </c>
      <c r="B330">
        <v>4.2149999999999999</v>
      </c>
      <c r="C330">
        <v>4.2519999999999998</v>
      </c>
      <c r="D330">
        <v>3.8879999999999999</v>
      </c>
      <c r="E330">
        <v>4.0039999999999996</v>
      </c>
      <c r="F330">
        <v>4031321.2110000001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-0.36263736263736429</v>
      </c>
      <c r="Q330">
        <f t="shared" si="970"/>
        <v>-1461907.6919011057</v>
      </c>
      <c r="R330">
        <f t="shared" si="971"/>
        <v>-40045107.535028316</v>
      </c>
      <c r="S330">
        <f t="shared" si="972"/>
        <v>-400.45107535028313</v>
      </c>
      <c r="T330">
        <f t="shared" si="973"/>
        <v>-0.40045107535028313</v>
      </c>
    </row>
    <row r="331" spans="1:20" x14ac:dyDescent="0.25">
      <c r="A331" s="5">
        <v>44262</v>
      </c>
      <c r="B331">
        <v>3.9660000000000002</v>
      </c>
      <c r="C331">
        <v>4.4000000000000004</v>
      </c>
      <c r="D331">
        <v>3.9369999999999998</v>
      </c>
      <c r="E331">
        <v>4.2149999999999999</v>
      </c>
      <c r="F331">
        <v>4025763.7069999999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0.2008639308855279</v>
      </c>
      <c r="Q331">
        <f t="shared" si="970"/>
        <v>808630.72300431458</v>
      </c>
      <c r="R331">
        <f t="shared" si="971"/>
        <v>-38583199.843127213</v>
      </c>
      <c r="S331">
        <f t="shared" si="972"/>
        <v>-385.83199843127215</v>
      </c>
      <c r="T331">
        <f t="shared" si="973"/>
        <v>-0.38583199843127214</v>
      </c>
    </row>
    <row r="332" spans="1:20" x14ac:dyDescent="0.25">
      <c r="A332" s="5">
        <v>44261</v>
      </c>
      <c r="B332">
        <v>3.907</v>
      </c>
      <c r="C332">
        <v>4.1100000000000003</v>
      </c>
      <c r="D332">
        <v>3.819</v>
      </c>
      <c r="E332">
        <v>3.9660000000000002</v>
      </c>
      <c r="F332">
        <v>2763023.9509999999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1.0309278350515842E-2</v>
      </c>
      <c r="Q332">
        <f t="shared" si="970"/>
        <v>28484.783000001044</v>
      </c>
      <c r="R332">
        <f t="shared" si="971"/>
        <v>-39391830.566131525</v>
      </c>
      <c r="S332">
        <f t="shared" si="972"/>
        <v>-393.91830566131523</v>
      </c>
      <c r="T332">
        <f t="shared" si="973"/>
        <v>-0.39391830566131525</v>
      </c>
    </row>
    <row r="333" spans="1:20" x14ac:dyDescent="0.25">
      <c r="A333" s="5">
        <v>44260</v>
      </c>
      <c r="B333">
        <v>4.141</v>
      </c>
      <c r="C333">
        <v>4.1440000000000001</v>
      </c>
      <c r="D333">
        <v>3.806</v>
      </c>
      <c r="E333">
        <v>3.9060000000000001</v>
      </c>
      <c r="F333">
        <v>4432288.4440000001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-0.40828402366863864</v>
      </c>
      <c r="Q333">
        <f t="shared" si="970"/>
        <v>-1809632.5599763296</v>
      </c>
      <c r="R333">
        <f t="shared" si="971"/>
        <v>-39420315.349131525</v>
      </c>
      <c r="S333">
        <f t="shared" si="972"/>
        <v>-394.20315349131522</v>
      </c>
      <c r="T333">
        <f t="shared" si="973"/>
        <v>-0.39420315349131524</v>
      </c>
    </row>
    <row r="334" spans="1:20" x14ac:dyDescent="0.25">
      <c r="A334" s="5">
        <v>44259</v>
      </c>
      <c r="B334">
        <v>4.3979999999999997</v>
      </c>
      <c r="C334">
        <v>4.78</v>
      </c>
      <c r="D334">
        <v>4.05</v>
      </c>
      <c r="E334">
        <v>4.1399999999999997</v>
      </c>
      <c r="F334">
        <v>6642141.2649999997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-0.75342465753424714</v>
      </c>
      <c r="Q334">
        <f t="shared" si="970"/>
        <v>-5004353.0078767156</v>
      </c>
      <c r="R334">
        <f t="shared" si="971"/>
        <v>-37610682.789155193</v>
      </c>
      <c r="S334">
        <f t="shared" si="972"/>
        <v>-376.10682789155192</v>
      </c>
      <c r="T334">
        <f t="shared" si="973"/>
        <v>-0.37610682789155192</v>
      </c>
    </row>
    <row r="335" spans="1:20" x14ac:dyDescent="0.25">
      <c r="A335" s="5">
        <v>44258</v>
      </c>
      <c r="B335">
        <v>4.0819999999999999</v>
      </c>
      <c r="C335">
        <v>4.7990000000000004</v>
      </c>
      <c r="D335">
        <v>4.0140000000000002</v>
      </c>
      <c r="E335">
        <v>4.4000000000000004</v>
      </c>
      <c r="F335">
        <v>9264596.7339999992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-1.6560509554139999E-2</v>
      </c>
      <c r="Q335">
        <f t="shared" si="970"/>
        <v>-153426.4427286612</v>
      </c>
      <c r="R335">
        <f t="shared" si="971"/>
        <v>-32606329.78127848</v>
      </c>
      <c r="S335">
        <f t="shared" si="972"/>
        <v>-326.06329781278481</v>
      </c>
      <c r="T335">
        <f t="shared" si="973"/>
        <v>-0.32606329781278481</v>
      </c>
    </row>
    <row r="336" spans="1:20" x14ac:dyDescent="0.25">
      <c r="A336" s="5">
        <v>44257</v>
      </c>
      <c r="B336">
        <v>4.3159999999999998</v>
      </c>
      <c r="C336">
        <v>4.4489999999999998</v>
      </c>
      <c r="D336">
        <v>3.7730000000000001</v>
      </c>
      <c r="E336">
        <v>4.0810000000000004</v>
      </c>
      <c r="F336">
        <v>5138848.3480000002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-8.8757396449702944E-2</v>
      </c>
      <c r="Q336">
        <f t="shared" si="970"/>
        <v>-456110.80011833704</v>
      </c>
      <c r="R336">
        <f t="shared" si="971"/>
        <v>-32452903.338549819</v>
      </c>
      <c r="S336">
        <f t="shared" si="972"/>
        <v>-324.52903338549817</v>
      </c>
      <c r="T336">
        <f t="shared" si="973"/>
        <v>-0.32452903338549816</v>
      </c>
    </row>
    <row r="337" spans="1:20" x14ac:dyDescent="0.25">
      <c r="A337" s="5">
        <v>44256</v>
      </c>
      <c r="B337">
        <v>3.6230000000000002</v>
      </c>
      <c r="C337">
        <v>4.4000000000000004</v>
      </c>
      <c r="D337">
        <v>3.58</v>
      </c>
      <c r="E337">
        <v>4.3079999999999998</v>
      </c>
      <c r="F337">
        <v>7668872.7659999998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0.77560975609755978</v>
      </c>
      <c r="Q337">
        <f t="shared" si="970"/>
        <v>5948052.5355804786</v>
      </c>
      <c r="R337">
        <f t="shared" si="971"/>
        <v>-31996792.538431481</v>
      </c>
      <c r="S337">
        <f t="shared" si="972"/>
        <v>-319.96792538431481</v>
      </c>
      <c r="T337">
        <f t="shared" si="973"/>
        <v>-0.31996792538431479</v>
      </c>
    </row>
    <row r="338" spans="1:20" x14ac:dyDescent="0.25">
      <c r="A338" s="5">
        <v>44255</v>
      </c>
      <c r="B338">
        <v>4.1840000000000002</v>
      </c>
      <c r="C338">
        <v>4.2649999999999997</v>
      </c>
      <c r="D338">
        <v>3.286</v>
      </c>
      <c r="E338">
        <v>3.62</v>
      </c>
      <c r="F338">
        <v>6995247.3329999996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-0.31767109295199142</v>
      </c>
      <c r="Q338">
        <f t="shared" si="970"/>
        <v>-2222187.8657436129</v>
      </c>
      <c r="R338">
        <f t="shared" si="971"/>
        <v>-37944845.074011959</v>
      </c>
      <c r="S338">
        <f t="shared" si="972"/>
        <v>-379.4484507401196</v>
      </c>
      <c r="T338">
        <f t="shared" si="973"/>
        <v>-0.37944845074011957</v>
      </c>
    </row>
    <row r="339" spans="1:20" x14ac:dyDescent="0.25">
      <c r="A339" s="5">
        <v>44254</v>
      </c>
      <c r="B339">
        <v>3.9769999999999999</v>
      </c>
      <c r="C339">
        <v>4.63</v>
      </c>
      <c r="D339">
        <v>3.9590000000000001</v>
      </c>
      <c r="E339">
        <v>4.1840000000000002</v>
      </c>
      <c r="F339">
        <v>7254370.9110000003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-0.32935916542473875</v>
      </c>
      <c r="Q339">
        <f t="shared" si="970"/>
        <v>-2389293.548928462</v>
      </c>
      <c r="R339">
        <f t="shared" si="971"/>
        <v>-35722657.208268344</v>
      </c>
      <c r="S339">
        <f t="shared" si="972"/>
        <v>-357.22657208268345</v>
      </c>
      <c r="T339">
        <f t="shared" si="973"/>
        <v>-0.35722657208268344</v>
      </c>
    </row>
    <row r="340" spans="1:20" x14ac:dyDescent="0.25">
      <c r="A340" s="5">
        <v>44253</v>
      </c>
      <c r="B340">
        <v>4.2640000000000002</v>
      </c>
      <c r="C340">
        <v>4.3789999999999996</v>
      </c>
      <c r="D340">
        <v>3.71</v>
      </c>
      <c r="E340">
        <v>3.9820000000000002</v>
      </c>
      <c r="F340">
        <v>7663337.6440000003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-0.18684603886397486</v>
      </c>
      <c r="Q340">
        <f t="shared" si="970"/>
        <v>-1431864.2832585855</v>
      </c>
      <c r="R340">
        <f t="shared" si="971"/>
        <v>-33333363.659339882</v>
      </c>
      <c r="S340">
        <f t="shared" si="972"/>
        <v>-333.33363659339881</v>
      </c>
      <c r="T340">
        <f t="shared" si="973"/>
        <v>-0.33333363659339882</v>
      </c>
    </row>
    <row r="341" spans="1:20" x14ac:dyDescent="0.25">
      <c r="A341" s="5">
        <v>44252</v>
      </c>
      <c r="B341">
        <v>4.8760000000000003</v>
      </c>
      <c r="C341">
        <v>5.2670000000000003</v>
      </c>
      <c r="D341">
        <v>4.2210000000000001</v>
      </c>
      <c r="E341">
        <v>4.2649999999999997</v>
      </c>
      <c r="F341">
        <v>7043735.1050000004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-0.91586998087954186</v>
      </c>
      <c r="Q341">
        <f t="shared" si="970"/>
        <v>-6451145.5359369079</v>
      </c>
      <c r="R341">
        <f t="shared" si="971"/>
        <v>-31901499.376081295</v>
      </c>
      <c r="S341">
        <f t="shared" si="972"/>
        <v>-319.01499376081296</v>
      </c>
      <c r="T341">
        <f t="shared" si="973"/>
        <v>-0.31901499376081294</v>
      </c>
    </row>
    <row r="342" spans="1:20" x14ac:dyDescent="0.25">
      <c r="A342" s="5">
        <v>44251</v>
      </c>
      <c r="B342">
        <v>4.8369999999999997</v>
      </c>
      <c r="C342">
        <v>5.66</v>
      </c>
      <c r="D342">
        <v>4.4729999999999999</v>
      </c>
      <c r="E342">
        <v>4.8680000000000003</v>
      </c>
      <c r="F342">
        <v>9970601.0610000007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-0.33445661331086712</v>
      </c>
      <c r="Q342">
        <f t="shared" si="970"/>
        <v>-3334733.4635357987</v>
      </c>
      <c r="R342">
        <f t="shared" si="971"/>
        <v>-25450353.840144388</v>
      </c>
      <c r="S342">
        <f t="shared" si="972"/>
        <v>-254.50353840144388</v>
      </c>
      <c r="T342">
        <f t="shared" si="973"/>
        <v>-0.25450353840144385</v>
      </c>
    </row>
    <row r="343" spans="1:20" x14ac:dyDescent="0.25">
      <c r="A343" s="5">
        <v>44250</v>
      </c>
      <c r="B343">
        <v>5.6909999999999998</v>
      </c>
      <c r="C343">
        <v>5.718</v>
      </c>
      <c r="D343">
        <v>3.5</v>
      </c>
      <c r="E343">
        <v>4.8380000000000001</v>
      </c>
      <c r="F343">
        <v>16912968.135000002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0.206492335437331</v>
      </c>
      <c r="Q343">
        <f t="shared" si="970"/>
        <v>3492398.2893733107</v>
      </c>
      <c r="R343">
        <f t="shared" si="971"/>
        <v>-22115620.376608592</v>
      </c>
      <c r="S343">
        <f t="shared" si="972"/>
        <v>-221.15620376608592</v>
      </c>
      <c r="T343">
        <f t="shared" si="973"/>
        <v>-0.22115620376608591</v>
      </c>
    </row>
    <row r="344" spans="1:20" x14ac:dyDescent="0.25">
      <c r="A344" s="5">
        <v>44249</v>
      </c>
      <c r="B344">
        <v>6.843</v>
      </c>
      <c r="C344">
        <v>7.07</v>
      </c>
      <c r="D344">
        <v>4.49</v>
      </c>
      <c r="E344">
        <v>5.68</v>
      </c>
      <c r="F344">
        <v>17358528.482000001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-7.7519379844961656E-2</v>
      </c>
      <c r="Q344">
        <f t="shared" si="970"/>
        <v>-1345622.3629457436</v>
      </c>
      <c r="R344">
        <f t="shared" si="971"/>
        <v>-25608018.665981904</v>
      </c>
      <c r="S344">
        <f t="shared" si="972"/>
        <v>-256.08018665981905</v>
      </c>
      <c r="T344">
        <f t="shared" si="973"/>
        <v>-0.25608018665981908</v>
      </c>
    </row>
    <row r="345" spans="1:20" x14ac:dyDescent="0.25">
      <c r="A345" s="5">
        <v>44248</v>
      </c>
      <c r="B345">
        <v>6.5030000000000001</v>
      </c>
      <c r="C345">
        <v>7.45</v>
      </c>
      <c r="D345">
        <v>6.21</v>
      </c>
      <c r="E345">
        <v>6.8440000000000003</v>
      </c>
      <c r="F345">
        <v>14878262.059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2.2580645161290696E-2</v>
      </c>
      <c r="Q345">
        <f t="shared" si="970"/>
        <v>335960.7561709733</v>
      </c>
      <c r="R345">
        <f t="shared" si="971"/>
        <v>-24262396.303036161</v>
      </c>
      <c r="S345">
        <f t="shared" si="972"/>
        <v>-242.62396303036161</v>
      </c>
      <c r="T345">
        <f t="shared" si="973"/>
        <v>-0.2426239630303616</v>
      </c>
    </row>
    <row r="346" spans="1:20" x14ac:dyDescent="0.25">
      <c r="A346" s="5">
        <v>44247</v>
      </c>
      <c r="B346">
        <v>6.2249999999999996</v>
      </c>
      <c r="C346">
        <v>8.75</v>
      </c>
      <c r="D346">
        <v>5.7619999999999996</v>
      </c>
      <c r="E346">
        <v>6.5030000000000001</v>
      </c>
      <c r="F346">
        <v>44571514.575000003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-0.50401606425702783</v>
      </c>
      <c r="Q346">
        <f t="shared" si="970"/>
        <v>-22464759.354066253</v>
      </c>
      <c r="R346">
        <f t="shared" si="971"/>
        <v>-24598357.059207134</v>
      </c>
      <c r="S346">
        <f t="shared" si="972"/>
        <v>-245.98357059207135</v>
      </c>
      <c r="T346">
        <f t="shared" si="973"/>
        <v>-0.24598357059207135</v>
      </c>
    </row>
    <row r="347" spans="1:20" x14ac:dyDescent="0.25">
      <c r="A347" s="5">
        <v>44246</v>
      </c>
      <c r="B347">
        <v>2.7879999999999998</v>
      </c>
      <c r="C347">
        <v>10</v>
      </c>
      <c r="D347">
        <v>2.7879999999999998</v>
      </c>
      <c r="E347">
        <v>6.2249999999999996</v>
      </c>
      <c r="F347">
        <v>45525167.601999998</v>
      </c>
      <c r="G347">
        <v>0</v>
      </c>
      <c r="P347">
        <f t="shared" si="969"/>
        <v>-4.686633388796458E-2</v>
      </c>
      <c r="Q347">
        <f t="shared" si="970"/>
        <v>-2133597.7051408798</v>
      </c>
      <c r="R347">
        <f t="shared" si="971"/>
        <v>-2133597.7051408798</v>
      </c>
      <c r="S347">
        <f t="shared" si="972"/>
        <v>-21.335977051408797</v>
      </c>
      <c r="T347">
        <f t="shared" si="973"/>
        <v>-2.1335977051408796E-2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531" zoomScale="55" zoomScaleNormal="55" workbookViewId="0">
      <pane xSplit="4" topLeftCell="AG1" activePane="topRight" state="frozen"/>
      <selection activeCell="A109" sqref="A109"/>
      <selection pane="topRight" activeCell="GB623" sqref="GB62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$A$622</v>
      </c>
      <c r="D111" s="1" t="str">
        <f>ADDRESS(C121-1,D121,1,1)</f>
        <v>$GB$622</v>
      </c>
      <c r="E111"/>
    </row>
    <row r="112" spans="1:5" x14ac:dyDescent="0.25">
      <c r="A112" s="7">
        <v>12164.144957890772</v>
      </c>
      <c r="C112" s="1" t="str">
        <f>ADDRESS(C121,1,1,1)</f>
        <v>$A$623</v>
      </c>
      <c r="D112" s="1" t="str">
        <f>ADDRESS(C121,D121-1,1,1)</f>
        <v>$GA$623</v>
      </c>
      <c r="E112"/>
    </row>
    <row r="113" spans="1:5" x14ac:dyDescent="0.25">
      <c r="A113" s="7">
        <v>11925.63231165762</v>
      </c>
      <c r="C113" s="1" t="str">
        <f>ADDRESS(C121+1,1,1,1)</f>
        <v>$A$624</v>
      </c>
      <c r="D113" s="1" t="str">
        <f>ADDRESS(C121-1,D121+1,1,1)</f>
        <v>$GC$622</v>
      </c>
    </row>
    <row r="114" spans="1:5" x14ac:dyDescent="0.25">
      <c r="A114" s="7">
        <v>11691.796383978059</v>
      </c>
      <c r="C114" s="1" t="str">
        <f>ADDRESS(C121,D121,1,1)</f>
        <v>$GB$623</v>
      </c>
      <c r="D114" s="1" t="str">
        <f>ADDRESS(C121+1,D121+1,1,1)</f>
        <v>$GC$624</v>
      </c>
    </row>
    <row r="115" spans="1:5" x14ac:dyDescent="0.25">
      <c r="A115" s="7">
        <v>11462.545474488292</v>
      </c>
      <c r="C115" s="1" t="str">
        <f>ADDRESS(C121+1,D121,1,1)</f>
        <v>$GB$624</v>
      </c>
    </row>
    <row r="116" spans="1:5" x14ac:dyDescent="0.25">
      <c r="A116" s="7">
        <v>11237.789680870874</v>
      </c>
      <c r="C116" s="1">
        <f>C117-1</f>
        <v>622</v>
      </c>
    </row>
    <row r="117" spans="1:5" x14ac:dyDescent="0.25">
      <c r="A117" s="7">
        <v>11017.440863598895</v>
      </c>
      <c r="C117" s="1">
        <f>C121</f>
        <v>623</v>
      </c>
      <c r="D117" s="1">
        <f>D121</f>
        <v>184</v>
      </c>
    </row>
    <row r="118" spans="1:5" x14ac:dyDescent="0.25">
      <c r="A118" s="7">
        <v>10801.412611371465</v>
      </c>
      <c r="C118" s="1">
        <f>C117+1</f>
        <v>624</v>
      </c>
      <c r="D118" s="1">
        <f>D117+1</f>
        <v>185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623</v>
      </c>
      <c r="D121" s="19">
        <v>184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R623</v>
      </c>
      <c r="D123" s="1" t="str">
        <f>"C"&amp;D121</f>
        <v>C184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0.49022315035225228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6" x14ac:dyDescent="0.25">
      <c r="A465" s="7">
        <v>11.200075620783522</v>
      </c>
      <c r="B465"/>
      <c r="C465"/>
      <c r="D465"/>
      <c r="E465"/>
    </row>
    <row r="466" spans="1:6" x14ac:dyDescent="0.25">
      <c r="A466" s="7">
        <v>10.980466294885806</v>
      </c>
      <c r="B466"/>
      <c r="C466"/>
      <c r="D466"/>
      <c r="E466"/>
    </row>
    <row r="467" spans="1:6" x14ac:dyDescent="0.25">
      <c r="A467" s="7">
        <v>10.765163034201771</v>
      </c>
      <c r="B467"/>
      <c r="C467"/>
      <c r="D467"/>
      <c r="E467"/>
    </row>
    <row r="468" spans="1:6" x14ac:dyDescent="0.25">
      <c r="A468" s="7">
        <v>10.554081406080169</v>
      </c>
      <c r="B468"/>
      <c r="C468"/>
      <c r="D468"/>
      <c r="E468"/>
    </row>
    <row r="469" spans="1:6" x14ac:dyDescent="0.25">
      <c r="A469" s="7">
        <v>10.34713863341193</v>
      </c>
      <c r="B469"/>
      <c r="C469"/>
      <c r="D469"/>
      <c r="E469"/>
    </row>
    <row r="470" spans="1:6" x14ac:dyDescent="0.25">
      <c r="A470" s="7">
        <v>10.14425356216856</v>
      </c>
      <c r="B470"/>
      <c r="C470"/>
      <c r="D470"/>
      <c r="E470"/>
    </row>
    <row r="471" spans="1:6" x14ac:dyDescent="0.25">
      <c r="A471" s="7">
        <v>9.9453466295770188</v>
      </c>
      <c r="B471"/>
      <c r="C471"/>
      <c r="D471"/>
      <c r="E471"/>
    </row>
    <row r="472" spans="1:6" x14ac:dyDescent="0.25">
      <c r="A472" s="7">
        <v>9.7503398329186464</v>
      </c>
      <c r="B472"/>
      <c r="C472"/>
      <c r="D472"/>
      <c r="E472"/>
    </row>
    <row r="473" spans="1:6" x14ac:dyDescent="0.25">
      <c r="A473" s="7">
        <v>9.5591566989398498</v>
      </c>
      <c r="B473"/>
      <c r="C473"/>
      <c r="D473"/>
      <c r="E473"/>
    </row>
    <row r="474" spans="1:6" x14ac:dyDescent="0.25">
      <c r="A474" s="7">
        <v>9.3717222538625968</v>
      </c>
      <c r="B474"/>
      <c r="C474"/>
      <c r="D474"/>
      <c r="E474"/>
    </row>
    <row r="475" spans="1:6" x14ac:dyDescent="0.25">
      <c r="A475" s="7">
        <v>9.1879629939829375</v>
      </c>
      <c r="B475"/>
      <c r="C475"/>
      <c r="D475"/>
      <c r="E475"/>
    </row>
    <row r="476" spans="1:6" x14ac:dyDescent="0.25">
      <c r="A476" s="7">
        <v>9.0078068568460168</v>
      </c>
      <c r="B476"/>
      <c r="C476"/>
      <c r="D476"/>
      <c r="E476"/>
    </row>
    <row r="477" spans="1:6" x14ac:dyDescent="0.25">
      <c r="A477" s="7">
        <v>8.8311831929862912</v>
      </c>
      <c r="B477"/>
      <c r="C477"/>
      <c r="D477"/>
      <c r="E477"/>
    </row>
    <row r="478" spans="1:6" x14ac:dyDescent="0.25">
      <c r="A478" s="7">
        <v>8.6580227382218542</v>
      </c>
      <c r="B478"/>
      <c r="C478"/>
      <c r="D478"/>
      <c r="E478" t="s">
        <v>8</v>
      </c>
    </row>
    <row r="479" spans="1:6" x14ac:dyDescent="0.25">
      <c r="A479" s="7">
        <v>8.4882575864920131</v>
      </c>
      <c r="B479"/>
      <c r="C479"/>
      <c r="D479"/>
      <c r="E479" t="s">
        <v>8</v>
      </c>
      <c r="F479" s="27" t="s">
        <v>7</v>
      </c>
    </row>
    <row r="480" spans="1:6" x14ac:dyDescent="0.25">
      <c r="A480" s="7">
        <v>8.3218211632274635</v>
      </c>
      <c r="B480"/>
      <c r="C480"/>
      <c r="D480"/>
      <c r="E480" t="s">
        <v>8</v>
      </c>
      <c r="F480" s="27" t="s">
        <v>7</v>
      </c>
    </row>
    <row r="481" spans="1:6" x14ac:dyDescent="0.25">
      <c r="A481" s="7">
        <v>8.1586481992426112</v>
      </c>
      <c r="B481"/>
      <c r="C481"/>
      <c r="D481"/>
      <c r="E481" t="s">
        <v>8</v>
      </c>
      <c r="F481" s="27" t="s">
        <v>7</v>
      </c>
    </row>
    <row r="482" spans="1:6" x14ac:dyDescent="0.25">
      <c r="A482" s="7">
        <v>7.9986747051398144</v>
      </c>
      <c r="B482"/>
      <c r="C482"/>
      <c r="D482"/>
      <c r="E482" t="s">
        <v>8</v>
      </c>
      <c r="F482" s="27" t="s">
        <v>7</v>
      </c>
    </row>
    <row r="483" spans="1:6" x14ac:dyDescent="0.25">
      <c r="A483" s="7">
        <v>7.8418379462155041</v>
      </c>
      <c r="B483"/>
      <c r="C483"/>
      <c r="D483"/>
      <c r="E483" t="s">
        <v>8</v>
      </c>
      <c r="F483" s="27" t="s">
        <v>7</v>
      </c>
    </row>
    <row r="484" spans="1:6" x14ac:dyDescent="0.25">
      <c r="A484" s="7">
        <v>7.688076417858337</v>
      </c>
      <c r="B484"/>
      <c r="C484"/>
      <c r="D484"/>
      <c r="E484" t="s">
        <v>8</v>
      </c>
      <c r="F484" s="27" t="s">
        <v>7</v>
      </c>
    </row>
    <row r="485" spans="1:6" x14ac:dyDescent="0.25">
      <c r="A485" s="7">
        <v>7.5373298214297417</v>
      </c>
      <c r="B485"/>
      <c r="C485"/>
      <c r="D485"/>
      <c r="E485" t="s">
        <v>8</v>
      </c>
      <c r="F485" s="27" t="s">
        <v>7</v>
      </c>
    </row>
    <row r="486" spans="1:6" x14ac:dyDescent="0.25">
      <c r="A486" s="7">
        <v>7.389539040617394</v>
      </c>
      <c r="B486"/>
      <c r="C486"/>
      <c r="D486"/>
      <c r="E486" t="s">
        <v>8</v>
      </c>
      <c r="F486" s="27" t="s">
        <v>7</v>
      </c>
    </row>
    <row r="487" spans="1:6" x14ac:dyDescent="0.25">
      <c r="A487" s="7">
        <v>7.2446461182523469</v>
      </c>
      <c r="B487"/>
      <c r="C487"/>
      <c r="D487"/>
      <c r="E487" t="s">
        <v>8</v>
      </c>
      <c r="F487" s="27" t="s">
        <v>7</v>
      </c>
    </row>
    <row r="488" spans="1:6" x14ac:dyDescent="0.25">
      <c r="A488" s="7">
        <v>7.1025942335807324</v>
      </c>
      <c r="B488"/>
      <c r="C488"/>
      <c r="D488"/>
      <c r="E488" t="s">
        <v>8</v>
      </c>
      <c r="F488" s="27" t="s">
        <v>7</v>
      </c>
    </row>
    <row r="489" spans="1:6" x14ac:dyDescent="0.25">
      <c r="A489" s="7">
        <v>6.9633276799811101</v>
      </c>
      <c r="B489"/>
      <c r="C489"/>
      <c r="D489"/>
      <c r="E489" t="s">
        <v>8</v>
      </c>
      <c r="F489" s="27" t="s">
        <v>7</v>
      </c>
    </row>
    <row r="490" spans="1:6" x14ac:dyDescent="0.25">
      <c r="A490" s="7">
        <v>6.8267918431187349</v>
      </c>
      <c r="B490"/>
      <c r="C490"/>
      <c r="D490"/>
      <c r="E490" t="s">
        <v>8</v>
      </c>
      <c r="F490" s="27" t="s">
        <v>7</v>
      </c>
    </row>
    <row r="491" spans="1:6" x14ac:dyDescent="0.25">
      <c r="A491" s="7">
        <v>6.692933179528171</v>
      </c>
      <c r="B491"/>
      <c r="C491"/>
      <c r="D491"/>
      <c r="E491" t="s">
        <v>8</v>
      </c>
      <c r="F491" s="27" t="s">
        <v>7</v>
      </c>
    </row>
    <row r="492" spans="1:6" x14ac:dyDescent="0.25">
      <c r="A492" s="7">
        <v>6.5616991956158541</v>
      </c>
      <c r="B492"/>
      <c r="C492"/>
      <c r="D492"/>
      <c r="E492" t="s">
        <v>8</v>
      </c>
      <c r="F492" s="27" t="s">
        <v>7</v>
      </c>
    </row>
    <row r="493" spans="1:6" x14ac:dyDescent="0.25">
      <c r="A493" s="7">
        <v>6.4330384270743668</v>
      </c>
      <c r="B493"/>
      <c r="C493"/>
      <c r="D493"/>
      <c r="E493" t="s">
        <v>8</v>
      </c>
      <c r="F493" s="27" t="s">
        <v>7</v>
      </c>
    </row>
    <row r="494" spans="1:6" x14ac:dyDescent="0.25">
      <c r="A494" s="7">
        <v>6.3069004187003594</v>
      </c>
      <c r="B494"/>
      <c r="C494"/>
      <c r="D494"/>
      <c r="E494" t="s">
        <v>8</v>
      </c>
      <c r="F494" s="27" t="s">
        <v>7</v>
      </c>
    </row>
    <row r="495" spans="1:6" x14ac:dyDescent="0.25">
      <c r="A495" s="7">
        <v>6.1832357046081956</v>
      </c>
      <c r="B495"/>
      <c r="C495"/>
      <c r="D495"/>
      <c r="E495" t="s">
        <v>8</v>
      </c>
      <c r="F495" s="27" t="s">
        <v>7</v>
      </c>
    </row>
    <row r="496" spans="1:6" x14ac:dyDescent="0.25">
      <c r="A496" s="7">
        <v>6.0619957888315641</v>
      </c>
      <c r="B496"/>
      <c r="C496"/>
      <c r="D496"/>
      <c r="E496" t="s">
        <v>8</v>
      </c>
      <c r="F496" s="27" t="s">
        <v>7</v>
      </c>
    </row>
    <row r="497" spans="1:41" x14ac:dyDescent="0.25">
      <c r="A497" s="7">
        <v>5.9431331263054545</v>
      </c>
      <c r="B497"/>
      <c r="C497"/>
      <c r="D497"/>
      <c r="E497" t="s">
        <v>8</v>
      </c>
      <c r="F497" s="27" t="s">
        <v>7</v>
      </c>
    </row>
    <row r="498" spans="1:41" x14ac:dyDescent="0.25">
      <c r="A498" s="7">
        <v>5.8266011042210337</v>
      </c>
      <c r="B498"/>
      <c r="C498"/>
      <c r="D498"/>
      <c r="E498" t="s">
        <v>8</v>
      </c>
      <c r="F498" s="27" t="s">
        <v>7</v>
      </c>
    </row>
    <row r="499" spans="1:41" x14ac:dyDescent="0.25">
      <c r="A499" s="7">
        <v>5.7123540237461112</v>
      </c>
      <c r="B499"/>
      <c r="C499"/>
      <c r="D499"/>
      <c r="E499" t="s">
        <v>8</v>
      </c>
      <c r="F499" s="27" t="s">
        <v>7</v>
      </c>
    </row>
    <row r="500" spans="1:41" x14ac:dyDescent="0.25">
      <c r="A500" s="7">
        <v>5.6003470821040304</v>
      </c>
      <c r="B500"/>
      <c r="C500"/>
      <c r="D500"/>
      <c r="E500" t="s">
        <v>8</v>
      </c>
      <c r="F500" s="27" t="s">
        <v>7</v>
      </c>
      <c r="G500" s="27" t="s">
        <v>8</v>
      </c>
      <c r="AG500" s="27" t="s">
        <v>8</v>
      </c>
    </row>
    <row r="501" spans="1:41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G501" s="27" t="s">
        <v>8</v>
      </c>
      <c r="H501" s="27" t="s">
        <v>7</v>
      </c>
      <c r="AG501" s="27" t="s">
        <v>8</v>
      </c>
      <c r="AH501" s="27" t="s">
        <v>7</v>
      </c>
    </row>
    <row r="502" spans="1:41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G502" s="27" t="s">
        <v>8</v>
      </c>
      <c r="H502" s="27" t="s">
        <v>7</v>
      </c>
      <c r="AE502" s="27" t="s">
        <v>8</v>
      </c>
      <c r="AG502" s="27" t="s">
        <v>8</v>
      </c>
      <c r="AH502" s="27" t="s">
        <v>7</v>
      </c>
    </row>
    <row r="503" spans="1:41" x14ac:dyDescent="0.25">
      <c r="A503" s="7">
        <v>5.2773321366819985</v>
      </c>
      <c r="B503"/>
      <c r="C503"/>
      <c r="D503"/>
      <c r="E503" t="s">
        <v>8</v>
      </c>
      <c r="F503" s="27" t="s">
        <v>7</v>
      </c>
      <c r="G503" s="27" t="s">
        <v>8</v>
      </c>
      <c r="H503" s="27" t="s">
        <v>7</v>
      </c>
      <c r="AE503" s="27" t="s">
        <v>8</v>
      </c>
      <c r="AF503" s="27" t="s">
        <v>7</v>
      </c>
      <c r="AG503" s="27" t="s">
        <v>8</v>
      </c>
      <c r="AH503" s="27" t="s">
        <v>7</v>
      </c>
    </row>
    <row r="504" spans="1:41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G504" s="27" t="s">
        <v>8</v>
      </c>
      <c r="H504" s="27" t="s">
        <v>7</v>
      </c>
      <c r="AE504" s="27" t="s">
        <v>8</v>
      </c>
      <c r="AF504" s="27" t="s">
        <v>7</v>
      </c>
      <c r="AG504" s="27" t="s">
        <v>8</v>
      </c>
      <c r="AH504" s="27" t="s">
        <v>7</v>
      </c>
    </row>
    <row r="505" spans="1:41" x14ac:dyDescent="0.25">
      <c r="A505" s="7">
        <v>5.07240689800269</v>
      </c>
      <c r="B505"/>
      <c r="C505"/>
      <c r="D505"/>
      <c r="E505" t="s">
        <v>8</v>
      </c>
      <c r="F505" s="27" t="s">
        <v>7</v>
      </c>
      <c r="G505" s="27" t="s">
        <v>8</v>
      </c>
      <c r="H505" s="27" t="s">
        <v>7</v>
      </c>
      <c r="Q505" s="27" t="s">
        <v>8</v>
      </c>
      <c r="AE505" s="27" t="s">
        <v>8</v>
      </c>
      <c r="AF505" s="27" t="s">
        <v>7</v>
      </c>
      <c r="AG505" s="27" t="s">
        <v>8</v>
      </c>
      <c r="AH505" s="27" t="s">
        <v>7</v>
      </c>
    </row>
    <row r="506" spans="1:41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H506" s="27" t="s">
        <v>7</v>
      </c>
      <c r="Q506" s="27" t="s">
        <v>8</v>
      </c>
      <c r="R506" s="27" t="s">
        <v>7</v>
      </c>
      <c r="AE506" s="27" t="s">
        <v>8</v>
      </c>
      <c r="AF506" s="27" t="s">
        <v>7</v>
      </c>
      <c r="AG506" s="27" t="s">
        <v>8</v>
      </c>
      <c r="AH506" s="27" t="s">
        <v>7</v>
      </c>
    </row>
    <row r="507" spans="1:41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H507" s="27" t="s">
        <v>7</v>
      </c>
      <c r="Q507" s="27" t="s">
        <v>8</v>
      </c>
      <c r="R507" s="27" t="s">
        <v>7</v>
      </c>
      <c r="AE507" s="27" t="s">
        <v>8</v>
      </c>
      <c r="AF507" s="27" t="s">
        <v>7</v>
      </c>
      <c r="AG507" s="27" t="s">
        <v>8</v>
      </c>
      <c r="AH507" s="27" t="s">
        <v>7</v>
      </c>
    </row>
    <row r="508" spans="1:41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  <c r="H508" s="27" t="s">
        <v>7</v>
      </c>
      <c r="K508" s="27" t="s">
        <v>8</v>
      </c>
      <c r="Q508" s="27" t="s">
        <v>8</v>
      </c>
      <c r="R508" s="27" t="s">
        <v>7</v>
      </c>
      <c r="AE508" s="27" t="s">
        <v>8</v>
      </c>
      <c r="AF508" s="27" t="s">
        <v>7</v>
      </c>
      <c r="AG508" s="27" t="s">
        <v>8</v>
      </c>
      <c r="AH508" s="27" t="s">
        <v>7</v>
      </c>
    </row>
    <row r="509" spans="1:41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  <c r="K509" s="27" t="s">
        <v>8</v>
      </c>
      <c r="L509" s="27" t="s">
        <v>7</v>
      </c>
      <c r="Q509" s="27" t="s">
        <v>8</v>
      </c>
      <c r="R509" s="27" t="s">
        <v>7</v>
      </c>
      <c r="Y509" s="27" t="s">
        <v>8</v>
      </c>
      <c r="AE509" s="27" t="s">
        <v>8</v>
      </c>
      <c r="AF509" s="27" t="s">
        <v>7</v>
      </c>
      <c r="AG509" s="27" t="s">
        <v>8</v>
      </c>
      <c r="AH509" s="27" t="s">
        <v>7</v>
      </c>
    </row>
    <row r="510" spans="1:41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  <c r="I510" s="27" t="s">
        <v>8</v>
      </c>
      <c r="K510" s="27" t="s">
        <v>8</v>
      </c>
      <c r="L510" s="27" t="s">
        <v>7</v>
      </c>
      <c r="Q510" s="27" t="s">
        <v>8</v>
      </c>
      <c r="R510" s="27" t="s">
        <v>7</v>
      </c>
      <c r="Y510" s="27" t="s">
        <v>8</v>
      </c>
      <c r="Z510" s="27" t="s">
        <v>7</v>
      </c>
      <c r="AE510" s="27" t="s">
        <v>8</v>
      </c>
      <c r="AF510" s="27" t="s">
        <v>7</v>
      </c>
      <c r="AH510" s="27" t="s">
        <v>7</v>
      </c>
    </row>
    <row r="511" spans="1:41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I511" s="27" t="s">
        <v>8</v>
      </c>
      <c r="J511" s="27" t="s">
        <v>7</v>
      </c>
      <c r="K511" s="27" t="s">
        <v>8</v>
      </c>
      <c r="L511" s="27" t="s">
        <v>7</v>
      </c>
      <c r="Q511" s="27" t="s">
        <v>8</v>
      </c>
      <c r="R511" s="27" t="s">
        <v>7</v>
      </c>
      <c r="Y511" s="27" t="s">
        <v>8</v>
      </c>
      <c r="Z511" s="27" t="s">
        <v>7</v>
      </c>
      <c r="AE511" s="27" t="s">
        <v>8</v>
      </c>
      <c r="AH511" s="27" t="s">
        <v>7</v>
      </c>
    </row>
    <row r="512" spans="1:41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I512" s="27" t="s">
        <v>8</v>
      </c>
      <c r="J512" s="27" t="s">
        <v>7</v>
      </c>
      <c r="K512" s="27" t="s">
        <v>8</v>
      </c>
      <c r="L512" s="27" t="s">
        <v>7</v>
      </c>
      <c r="Q512" s="27" t="s">
        <v>8</v>
      </c>
      <c r="R512" s="27" t="s">
        <v>7</v>
      </c>
      <c r="S512" s="27" t="s">
        <v>8</v>
      </c>
      <c r="Y512" s="27" t="s">
        <v>8</v>
      </c>
      <c r="Z512" s="27" t="s">
        <v>7</v>
      </c>
      <c r="AE512" s="27" t="s">
        <v>8</v>
      </c>
      <c r="AH512" s="27" t="s">
        <v>7</v>
      </c>
      <c r="AO512" s="27" t="s">
        <v>8</v>
      </c>
    </row>
    <row r="513" spans="1:48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I513" s="27" t="s">
        <v>8</v>
      </c>
      <c r="J513" s="27" t="s">
        <v>7</v>
      </c>
      <c r="K513" s="27" t="s">
        <v>8</v>
      </c>
      <c r="L513" s="27" t="s">
        <v>7</v>
      </c>
      <c r="M513" s="27" t="s">
        <v>8</v>
      </c>
      <c r="Q513" s="27" t="s">
        <v>8</v>
      </c>
      <c r="R513" s="27" t="s">
        <v>7</v>
      </c>
      <c r="S513" s="27" t="s">
        <v>8</v>
      </c>
      <c r="T513" s="27" t="s">
        <v>7</v>
      </c>
      <c r="U513" s="27" t="s">
        <v>8</v>
      </c>
      <c r="Y513" s="27" t="s">
        <v>8</v>
      </c>
      <c r="Z513" s="27" t="s">
        <v>7</v>
      </c>
      <c r="AA513" s="27" t="s">
        <v>8</v>
      </c>
      <c r="AE513" s="27" t="s">
        <v>8</v>
      </c>
      <c r="AH513" s="27" t="s">
        <v>7</v>
      </c>
      <c r="AO513" s="27" t="s">
        <v>8</v>
      </c>
      <c r="AP513" s="27" t="s">
        <v>7</v>
      </c>
    </row>
    <row r="514" spans="1:48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H514" s="27" t="s">
        <v>7</v>
      </c>
      <c r="I514" s="27" t="s">
        <v>8</v>
      </c>
      <c r="J514" s="27" t="s">
        <v>7</v>
      </c>
      <c r="K514" s="27" t="s">
        <v>8</v>
      </c>
      <c r="L514" s="27" t="s">
        <v>7</v>
      </c>
      <c r="M514" s="27" t="s">
        <v>8</v>
      </c>
      <c r="N514" s="27" t="s">
        <v>7</v>
      </c>
      <c r="Q514" s="27" t="s">
        <v>8</v>
      </c>
      <c r="R514" s="27" t="s">
        <v>7</v>
      </c>
      <c r="S514" s="27" t="s">
        <v>8</v>
      </c>
      <c r="T514" s="27" t="s">
        <v>7</v>
      </c>
      <c r="U514" s="27" t="s">
        <v>8</v>
      </c>
      <c r="V514" s="27" t="s">
        <v>7</v>
      </c>
      <c r="W514" s="27" t="s">
        <v>8</v>
      </c>
      <c r="Y514" s="27" t="s">
        <v>8</v>
      </c>
      <c r="Z514" s="27" t="s">
        <v>7</v>
      </c>
      <c r="AA514" s="27" t="s">
        <v>8</v>
      </c>
      <c r="AB514" s="27" t="s">
        <v>7</v>
      </c>
      <c r="AE514" s="27" t="s">
        <v>8</v>
      </c>
      <c r="AH514" s="27" t="s">
        <v>7</v>
      </c>
      <c r="AO514" s="27" t="s">
        <v>8</v>
      </c>
      <c r="AP514" s="27" t="s">
        <v>7</v>
      </c>
    </row>
    <row r="515" spans="1:48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H515" s="27" t="s">
        <v>7</v>
      </c>
      <c r="I515" s="27" t="s">
        <v>8</v>
      </c>
      <c r="J515" s="27" t="s">
        <v>7</v>
      </c>
      <c r="K515" s="27" t="s">
        <v>8</v>
      </c>
      <c r="L515" s="27" t="s">
        <v>7</v>
      </c>
      <c r="M515" s="27" t="s">
        <v>8</v>
      </c>
      <c r="N515" s="27" t="s">
        <v>7</v>
      </c>
      <c r="Q515" s="27" t="s">
        <v>8</v>
      </c>
      <c r="R515" s="27" t="s">
        <v>7</v>
      </c>
      <c r="S515" s="27" t="s">
        <v>8</v>
      </c>
      <c r="T515" s="27" t="s">
        <v>7</v>
      </c>
      <c r="U515" s="27" t="s">
        <v>8</v>
      </c>
      <c r="V515" s="27" t="s">
        <v>7</v>
      </c>
      <c r="W515" s="27" t="s">
        <v>8</v>
      </c>
      <c r="X515" s="27" t="s">
        <v>7</v>
      </c>
      <c r="Y515" s="27" t="s">
        <v>8</v>
      </c>
      <c r="Z515" s="27" t="s">
        <v>7</v>
      </c>
      <c r="AA515" s="27" t="s">
        <v>8</v>
      </c>
      <c r="AB515" s="27" t="s">
        <v>7</v>
      </c>
      <c r="AE515" s="27" t="s">
        <v>8</v>
      </c>
      <c r="AH515" s="27" t="s">
        <v>7</v>
      </c>
      <c r="AO515" s="27" t="s">
        <v>8</v>
      </c>
      <c r="AP515" s="27" t="s">
        <v>7</v>
      </c>
    </row>
    <row r="516" spans="1:48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H516" s="27" t="s">
        <v>7</v>
      </c>
      <c r="I516" s="27" t="s">
        <v>8</v>
      </c>
      <c r="J516" s="27" t="s">
        <v>7</v>
      </c>
      <c r="K516" s="27" t="s">
        <v>8</v>
      </c>
      <c r="L516" s="27" t="s">
        <v>7</v>
      </c>
      <c r="M516" s="27" t="s">
        <v>8</v>
      </c>
      <c r="N516" s="27" t="s">
        <v>7</v>
      </c>
      <c r="Q516" s="27" t="s">
        <v>8</v>
      </c>
      <c r="R516" s="27" t="s">
        <v>7</v>
      </c>
      <c r="S516" s="27" t="s">
        <v>8</v>
      </c>
      <c r="T516" s="27" t="s">
        <v>7</v>
      </c>
      <c r="U516" s="27" t="s">
        <v>8</v>
      </c>
      <c r="V516" s="27" t="s">
        <v>7</v>
      </c>
      <c r="W516" s="27" t="s">
        <v>8</v>
      </c>
      <c r="X516" s="27" t="s">
        <v>7</v>
      </c>
      <c r="Y516" s="27" t="s">
        <v>8</v>
      </c>
      <c r="Z516" s="27" t="s">
        <v>7</v>
      </c>
      <c r="AA516" s="27" t="s">
        <v>8</v>
      </c>
      <c r="AB516" s="27" t="s">
        <v>7</v>
      </c>
      <c r="AC516" s="27" t="s">
        <v>8</v>
      </c>
      <c r="AE516" s="27" t="s">
        <v>8</v>
      </c>
      <c r="AH516" s="27" t="s">
        <v>7</v>
      </c>
      <c r="AM516" s="27" t="s">
        <v>8</v>
      </c>
      <c r="AO516" s="27" t="s">
        <v>8</v>
      </c>
      <c r="AP516" s="27" t="s">
        <v>7</v>
      </c>
      <c r="AQ516" s="27" t="s">
        <v>8</v>
      </c>
    </row>
    <row r="517" spans="1:48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H517" s="27" t="s">
        <v>7</v>
      </c>
      <c r="I517" s="27" t="s">
        <v>8</v>
      </c>
      <c r="J517" s="27" t="s">
        <v>7</v>
      </c>
      <c r="K517" s="27" t="s">
        <v>8</v>
      </c>
      <c r="L517" s="27" t="s">
        <v>7</v>
      </c>
      <c r="M517" s="27" t="s">
        <v>8</v>
      </c>
      <c r="N517" s="27" t="s">
        <v>7</v>
      </c>
      <c r="Q517" s="27" t="s">
        <v>8</v>
      </c>
      <c r="R517" s="27" t="s">
        <v>7</v>
      </c>
      <c r="S517" s="27" t="s">
        <v>8</v>
      </c>
      <c r="T517" s="27" t="s">
        <v>7</v>
      </c>
      <c r="V517" s="27" t="s">
        <v>7</v>
      </c>
      <c r="W517" s="27" t="s">
        <v>8</v>
      </c>
      <c r="X517" s="27" t="s">
        <v>7</v>
      </c>
      <c r="Y517" s="27" t="s">
        <v>8</v>
      </c>
      <c r="Z517" s="27" t="s">
        <v>7</v>
      </c>
      <c r="AA517" s="27" t="s">
        <v>8</v>
      </c>
      <c r="AB517" s="27" t="s">
        <v>7</v>
      </c>
      <c r="AC517" s="27" t="s">
        <v>8</v>
      </c>
      <c r="AD517" s="27" t="s">
        <v>7</v>
      </c>
      <c r="AE517" s="27" t="s">
        <v>8</v>
      </c>
      <c r="AH517" s="27" t="s">
        <v>7</v>
      </c>
      <c r="AM517" s="27" t="s">
        <v>8</v>
      </c>
      <c r="AN517" s="27" t="s">
        <v>7</v>
      </c>
      <c r="AO517" s="27" t="s">
        <v>8</v>
      </c>
      <c r="AP517" s="27" t="s">
        <v>7</v>
      </c>
      <c r="AQ517" s="27" t="s">
        <v>8</v>
      </c>
      <c r="AR517" s="27" t="s">
        <v>7</v>
      </c>
    </row>
    <row r="518" spans="1:48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H518" s="27" t="s">
        <v>7</v>
      </c>
      <c r="I518" s="27" t="s">
        <v>8</v>
      </c>
      <c r="J518" s="27" t="s">
        <v>7</v>
      </c>
      <c r="K518" s="27" t="s">
        <v>8</v>
      </c>
      <c r="L518" s="27" t="s">
        <v>7</v>
      </c>
      <c r="M518" s="27" t="s">
        <v>8</v>
      </c>
      <c r="N518" s="27" t="s">
        <v>7</v>
      </c>
      <c r="Q518" s="27" t="s">
        <v>8</v>
      </c>
      <c r="R518" s="27" t="s">
        <v>7</v>
      </c>
      <c r="V518" s="27" t="s">
        <v>7</v>
      </c>
      <c r="W518" s="27" t="s">
        <v>8</v>
      </c>
      <c r="X518" s="27" t="s">
        <v>7</v>
      </c>
      <c r="Z518" s="27" t="s">
        <v>7</v>
      </c>
      <c r="AA518" s="27" t="s">
        <v>8</v>
      </c>
      <c r="AB518" s="27" t="s">
        <v>7</v>
      </c>
      <c r="AC518" s="27" t="s">
        <v>8</v>
      </c>
      <c r="AD518" s="27" t="s">
        <v>7</v>
      </c>
      <c r="AE518" s="27" t="s">
        <v>8</v>
      </c>
      <c r="AH518" s="27" t="s">
        <v>7</v>
      </c>
      <c r="AI518" s="27" t="s">
        <v>8</v>
      </c>
      <c r="AM518" s="27" t="s">
        <v>8</v>
      </c>
      <c r="AN518" s="27" t="s">
        <v>7</v>
      </c>
      <c r="AO518" s="27" t="s">
        <v>8</v>
      </c>
      <c r="AP518" s="27" t="s">
        <v>7</v>
      </c>
      <c r="AQ518" s="27" t="s">
        <v>8</v>
      </c>
      <c r="AR518" s="27" t="s">
        <v>7</v>
      </c>
    </row>
    <row r="519" spans="1:48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H519" s="27" t="s">
        <v>7</v>
      </c>
      <c r="I519" s="27" t="s">
        <v>8</v>
      </c>
      <c r="J519" s="27" t="s">
        <v>7</v>
      </c>
      <c r="K519" s="27" t="s">
        <v>8</v>
      </c>
      <c r="L519" s="27" t="s">
        <v>7</v>
      </c>
      <c r="N519" s="27" t="s">
        <v>7</v>
      </c>
      <c r="Q519" s="27" t="s">
        <v>8</v>
      </c>
      <c r="V519" s="27" t="s">
        <v>7</v>
      </c>
      <c r="W519" s="27" t="s">
        <v>8</v>
      </c>
      <c r="Z519" s="27" t="s">
        <v>7</v>
      </c>
      <c r="AA519" s="27" t="s">
        <v>8</v>
      </c>
      <c r="AB519" s="27" t="s">
        <v>7</v>
      </c>
      <c r="AC519" s="27" t="s">
        <v>8</v>
      </c>
      <c r="AD519" s="27" t="s">
        <v>7</v>
      </c>
      <c r="AE519" s="27" t="s">
        <v>8</v>
      </c>
      <c r="AH519" s="27" t="s">
        <v>7</v>
      </c>
      <c r="AI519" s="27" t="s">
        <v>8</v>
      </c>
      <c r="AJ519" s="27" t="s">
        <v>7</v>
      </c>
      <c r="AK519" s="27" t="s">
        <v>8</v>
      </c>
      <c r="AM519" s="27" t="s">
        <v>8</v>
      </c>
      <c r="AN519" s="27" t="s">
        <v>7</v>
      </c>
      <c r="AO519" s="27" t="s">
        <v>8</v>
      </c>
      <c r="AP519" s="27" t="s">
        <v>7</v>
      </c>
      <c r="AQ519" s="27" t="s">
        <v>8</v>
      </c>
      <c r="AR519" s="27" t="s">
        <v>7</v>
      </c>
      <c r="AS519" s="27" t="s">
        <v>8</v>
      </c>
    </row>
    <row r="520" spans="1:48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H520" s="27" t="s">
        <v>7</v>
      </c>
      <c r="J520" s="27" t="s">
        <v>7</v>
      </c>
      <c r="K520" s="27" t="s">
        <v>8</v>
      </c>
      <c r="N520" s="27" t="s">
        <v>7</v>
      </c>
      <c r="O520" s="27" t="s">
        <v>8</v>
      </c>
      <c r="Q520" s="27" t="s">
        <v>8</v>
      </c>
      <c r="V520" s="27" t="s">
        <v>7</v>
      </c>
      <c r="W520" s="27" t="s">
        <v>8</v>
      </c>
      <c r="Z520" s="27" t="s">
        <v>7</v>
      </c>
      <c r="AB520" s="27" t="s">
        <v>7</v>
      </c>
      <c r="AC520" s="27" t="s">
        <v>8</v>
      </c>
      <c r="AD520" s="27" t="s">
        <v>7</v>
      </c>
      <c r="AE520" s="27" t="s">
        <v>8</v>
      </c>
      <c r="AH520" s="27" t="s">
        <v>7</v>
      </c>
      <c r="AI520" s="27" t="s">
        <v>8</v>
      </c>
      <c r="AJ520" s="27" t="s">
        <v>7</v>
      </c>
      <c r="AK520" s="27" t="s">
        <v>8</v>
      </c>
      <c r="AL520" s="27" t="s">
        <v>7</v>
      </c>
      <c r="AM520" s="27" t="s">
        <v>8</v>
      </c>
      <c r="AN520" s="27" t="s">
        <v>7</v>
      </c>
      <c r="AO520" s="27" t="s">
        <v>8</v>
      </c>
      <c r="AP520" s="27" t="s">
        <v>7</v>
      </c>
      <c r="AQ520" s="27" t="s">
        <v>8</v>
      </c>
      <c r="AR520" s="27" t="s">
        <v>7</v>
      </c>
      <c r="AS520" s="27" t="s">
        <v>8</v>
      </c>
      <c r="AT520" s="27" t="s">
        <v>7</v>
      </c>
    </row>
    <row r="521" spans="1:48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J521" s="27" t="s">
        <v>7</v>
      </c>
      <c r="K521" s="27" t="s">
        <v>8</v>
      </c>
      <c r="N521" s="27" t="s">
        <v>7</v>
      </c>
      <c r="O521" s="27" t="s">
        <v>8</v>
      </c>
      <c r="P521" s="27" t="s">
        <v>7</v>
      </c>
      <c r="Q521" s="27" t="s">
        <v>8</v>
      </c>
      <c r="V521" s="27" t="s">
        <v>7</v>
      </c>
      <c r="W521" s="27" t="s">
        <v>8</v>
      </c>
      <c r="AB521" s="27" t="s">
        <v>7</v>
      </c>
      <c r="AC521" s="27" t="s">
        <v>8</v>
      </c>
      <c r="AD521" s="27" t="s">
        <v>7</v>
      </c>
      <c r="AE521" s="27" t="s">
        <v>8</v>
      </c>
      <c r="AH521" s="27" t="s">
        <v>7</v>
      </c>
      <c r="AI521" s="27" t="s">
        <v>8</v>
      </c>
      <c r="AJ521" s="27" t="s">
        <v>7</v>
      </c>
      <c r="AK521" s="27" t="s">
        <v>8</v>
      </c>
      <c r="AL521" s="27" t="s">
        <v>7</v>
      </c>
      <c r="AM521" s="27" t="s">
        <v>8</v>
      </c>
      <c r="AN521" s="27" t="s">
        <v>7</v>
      </c>
      <c r="AP521" s="27" t="s">
        <v>7</v>
      </c>
      <c r="AQ521" s="27" t="s">
        <v>8</v>
      </c>
      <c r="AR521" s="27" t="s">
        <v>7</v>
      </c>
      <c r="AS521" s="27" t="s">
        <v>8</v>
      </c>
      <c r="AT521" s="27" t="s">
        <v>7</v>
      </c>
    </row>
    <row r="522" spans="1:48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J522" s="27" t="s">
        <v>7</v>
      </c>
      <c r="K522" s="27" t="s">
        <v>8</v>
      </c>
      <c r="N522" s="27" t="s">
        <v>7</v>
      </c>
      <c r="O522" s="27" t="s">
        <v>8</v>
      </c>
      <c r="P522" s="27" t="s">
        <v>7</v>
      </c>
      <c r="Q522" s="27" t="s">
        <v>8</v>
      </c>
      <c r="V522" s="27" t="s">
        <v>7</v>
      </c>
      <c r="W522" s="27" t="s">
        <v>8</v>
      </c>
      <c r="AB522" s="27" t="s">
        <v>7</v>
      </c>
      <c r="AD522" s="27" t="s">
        <v>7</v>
      </c>
      <c r="AE522" s="27" t="s">
        <v>8</v>
      </c>
      <c r="AH522" s="27" t="s">
        <v>7</v>
      </c>
      <c r="AI522" s="27" t="s">
        <v>8</v>
      </c>
      <c r="AJ522" s="27" t="s">
        <v>7</v>
      </c>
      <c r="AK522" s="27" t="s">
        <v>8</v>
      </c>
      <c r="AL522" s="27" t="s">
        <v>7</v>
      </c>
      <c r="AM522" s="27" t="s">
        <v>8</v>
      </c>
      <c r="AP522" s="27" t="s">
        <v>7</v>
      </c>
      <c r="AQ522" s="27" t="s">
        <v>8</v>
      </c>
      <c r="AR522" s="27" t="s">
        <v>7</v>
      </c>
      <c r="AT522" s="27" t="s">
        <v>7</v>
      </c>
    </row>
    <row r="523" spans="1:48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J523" s="27" t="s">
        <v>7</v>
      </c>
      <c r="K523" s="27" t="s">
        <v>8</v>
      </c>
      <c r="N523" s="27" t="s">
        <v>7</v>
      </c>
      <c r="P523" s="27" t="s">
        <v>7</v>
      </c>
      <c r="Q523" s="27" t="s">
        <v>8</v>
      </c>
      <c r="V523" s="27" t="s">
        <v>7</v>
      </c>
      <c r="W523" s="27" t="s">
        <v>8</v>
      </c>
      <c r="AD523" s="27" t="s">
        <v>7</v>
      </c>
      <c r="AE523" s="27" t="s">
        <v>8</v>
      </c>
      <c r="AH523" s="27" t="s">
        <v>7</v>
      </c>
      <c r="AI523" s="27" t="s">
        <v>8</v>
      </c>
      <c r="AJ523" s="27" t="s">
        <v>7</v>
      </c>
      <c r="AK523" s="27" t="s">
        <v>8</v>
      </c>
      <c r="AL523" s="27" t="s">
        <v>7</v>
      </c>
      <c r="AM523" s="27" t="s">
        <v>8</v>
      </c>
      <c r="AP523" s="27" t="s">
        <v>7</v>
      </c>
      <c r="AT523" s="27" t="s">
        <v>7</v>
      </c>
    </row>
    <row r="524" spans="1:48" x14ac:dyDescent="0.25">
      <c r="A524" s="7">
        <v>3.4818561208596837</v>
      </c>
      <c r="B524"/>
      <c r="C524"/>
      <c r="D524"/>
      <c r="E524" t="s">
        <v>8</v>
      </c>
      <c r="J524" s="27" t="s">
        <v>7</v>
      </c>
      <c r="K524" s="27" t="s">
        <v>8</v>
      </c>
      <c r="P524" s="27" t="s">
        <v>7</v>
      </c>
      <c r="Q524" s="27" t="s">
        <v>8</v>
      </c>
      <c r="V524" s="27" t="s">
        <v>7</v>
      </c>
      <c r="W524" s="27" t="s">
        <v>8</v>
      </c>
      <c r="AD524" s="27" t="s">
        <v>7</v>
      </c>
      <c r="AE524" s="27" t="s">
        <v>8</v>
      </c>
      <c r="AH524" s="27" t="s">
        <v>7</v>
      </c>
      <c r="AI524" s="27" t="s">
        <v>8</v>
      </c>
      <c r="AJ524" s="27" t="s">
        <v>7</v>
      </c>
      <c r="AK524" s="27" t="s">
        <v>8</v>
      </c>
      <c r="AL524" s="27" t="s">
        <v>7</v>
      </c>
      <c r="AM524" s="27" t="s">
        <v>8</v>
      </c>
      <c r="AT524" s="27" t="s">
        <v>7</v>
      </c>
      <c r="AU524" s="27" t="s">
        <v>8</v>
      </c>
    </row>
    <row r="525" spans="1:48" x14ac:dyDescent="0.25">
      <c r="A525" s="7">
        <v>3.4135844322153761</v>
      </c>
      <c r="B525"/>
      <c r="C525"/>
      <c r="D525"/>
      <c r="E525" t="s">
        <v>8</v>
      </c>
      <c r="J525" s="27" t="s">
        <v>7</v>
      </c>
      <c r="K525" s="27" t="s">
        <v>8</v>
      </c>
      <c r="P525" s="27" t="s">
        <v>7</v>
      </c>
      <c r="Q525" s="27" t="s">
        <v>8</v>
      </c>
      <c r="V525" s="27" t="s">
        <v>7</v>
      </c>
      <c r="W525" s="27" t="s">
        <v>8</v>
      </c>
      <c r="AD525" s="27" t="s">
        <v>7</v>
      </c>
      <c r="AE525" s="27" t="s">
        <v>8</v>
      </c>
      <c r="AH525" s="27" t="s">
        <v>7</v>
      </c>
      <c r="AI525" s="27" t="s">
        <v>8</v>
      </c>
      <c r="AJ525" s="27" t="s">
        <v>7</v>
      </c>
      <c r="AK525" s="27" t="s">
        <v>8</v>
      </c>
      <c r="AL525" s="27" t="s">
        <v>7</v>
      </c>
      <c r="AM525" s="27" t="s">
        <v>8</v>
      </c>
      <c r="AT525" s="27" t="s">
        <v>7</v>
      </c>
      <c r="AU525" s="27" t="s">
        <v>8</v>
      </c>
      <c r="AV525" s="27" t="s">
        <v>7</v>
      </c>
    </row>
    <row r="526" spans="1:48" x14ac:dyDescent="0.25">
      <c r="A526" s="7">
        <v>3.3466514041327216</v>
      </c>
      <c r="B526"/>
      <c r="C526"/>
      <c r="D526"/>
      <c r="E526" t="s">
        <v>8</v>
      </c>
      <c r="J526" s="27" t="s">
        <v>7</v>
      </c>
      <c r="P526" s="27" t="s">
        <v>7</v>
      </c>
      <c r="V526" s="27" t="s">
        <v>7</v>
      </c>
      <c r="W526" s="27" t="s">
        <v>8</v>
      </c>
      <c r="AD526" s="27" t="s">
        <v>7</v>
      </c>
      <c r="AH526" s="27" t="s">
        <v>7</v>
      </c>
      <c r="AI526" s="27" t="s">
        <v>8</v>
      </c>
      <c r="AJ526" s="27" t="s">
        <v>7</v>
      </c>
      <c r="AK526" s="27" t="s">
        <v>8</v>
      </c>
      <c r="AL526" s="27" t="s">
        <v>7</v>
      </c>
      <c r="AM526" s="27" t="s">
        <v>8</v>
      </c>
      <c r="AT526" s="27" t="s">
        <v>7</v>
      </c>
      <c r="AU526" s="27" t="s">
        <v>8</v>
      </c>
      <c r="AV526" s="27" t="s">
        <v>7</v>
      </c>
    </row>
    <row r="527" spans="1:48" x14ac:dyDescent="0.25">
      <c r="A527" s="7">
        <v>3.2810307883654133</v>
      </c>
      <c r="B527"/>
      <c r="C527"/>
      <c r="D527"/>
      <c r="E527" t="s">
        <v>8</v>
      </c>
      <c r="V527" s="27" t="s">
        <v>7</v>
      </c>
      <c r="W527" s="27" t="s">
        <v>8</v>
      </c>
      <c r="AH527" s="27" t="s">
        <v>7</v>
      </c>
      <c r="AJ527" s="27" t="s">
        <v>7</v>
      </c>
      <c r="AL527" s="27" t="s">
        <v>7</v>
      </c>
      <c r="AM527" s="27" t="s">
        <v>8</v>
      </c>
      <c r="AT527" s="27" t="s">
        <v>7</v>
      </c>
      <c r="AU527" s="27" t="s">
        <v>8</v>
      </c>
      <c r="AV527" s="27" t="s">
        <v>7</v>
      </c>
    </row>
    <row r="528" spans="1:48" x14ac:dyDescent="0.25">
      <c r="A528" s="7">
        <v>3.2166968513386403</v>
      </c>
      <c r="B528"/>
      <c r="C528"/>
      <c r="D528"/>
      <c r="E528" t="s">
        <v>8</v>
      </c>
      <c r="V528" s="27" t="s">
        <v>7</v>
      </c>
      <c r="W528" s="27" t="s">
        <v>8</v>
      </c>
      <c r="AL528" s="27" t="s">
        <v>7</v>
      </c>
      <c r="AM528" s="27" t="s">
        <v>8</v>
      </c>
      <c r="AT528" s="27" t="s">
        <v>7</v>
      </c>
      <c r="AU528" s="27" t="s">
        <v>8</v>
      </c>
      <c r="AV528" s="27" t="s">
        <v>7</v>
      </c>
    </row>
    <row r="529" spans="1:105" x14ac:dyDescent="0.25">
      <c r="A529" s="7">
        <v>3.1536243640574906</v>
      </c>
      <c r="B529"/>
      <c r="C529"/>
      <c r="D529"/>
      <c r="E529" t="s">
        <v>8</v>
      </c>
      <c r="V529" s="27" t="s">
        <v>7</v>
      </c>
      <c r="W529" s="27" t="s">
        <v>8</v>
      </c>
      <c r="AL529" s="27" t="s">
        <v>7</v>
      </c>
      <c r="AM529" s="27" t="s">
        <v>8</v>
      </c>
      <c r="AT529" s="27" t="s">
        <v>7</v>
      </c>
      <c r="AU529" s="27" t="s">
        <v>8</v>
      </c>
      <c r="AV529" s="27" t="s">
        <v>7</v>
      </c>
    </row>
    <row r="530" spans="1:105" x14ac:dyDescent="0.25">
      <c r="A530" s="7">
        <v>3.0917885922132262</v>
      </c>
      <c r="B530"/>
      <c r="C530"/>
      <c r="D530"/>
      <c r="E530" t="s">
        <v>8</v>
      </c>
      <c r="V530" s="27" t="s">
        <v>7</v>
      </c>
      <c r="W530" s="27" t="s">
        <v>8</v>
      </c>
      <c r="AL530" s="27" t="s">
        <v>7</v>
      </c>
      <c r="AM530" s="27" t="s">
        <v>8</v>
      </c>
      <c r="AT530" s="27" t="s">
        <v>7</v>
      </c>
      <c r="AU530" s="27" t="s">
        <v>8</v>
      </c>
      <c r="AV530" s="27" t="s">
        <v>7</v>
      </c>
      <c r="AW530" s="27" t="s">
        <v>8</v>
      </c>
    </row>
    <row r="531" spans="1:105" x14ac:dyDescent="0.25">
      <c r="A531" s="7">
        <v>3.0311652864835552</v>
      </c>
      <c r="B531"/>
      <c r="C531"/>
      <c r="D531"/>
      <c r="E531" t="s">
        <v>8</v>
      </c>
      <c r="V531" s="27" t="s">
        <v>7</v>
      </c>
      <c r="W531" s="27" t="s">
        <v>8</v>
      </c>
      <c r="AL531" s="27" t="s">
        <v>7</v>
      </c>
      <c r="AM531" s="27" t="s">
        <v>8</v>
      </c>
      <c r="AT531" s="27" t="s">
        <v>7</v>
      </c>
      <c r="AU531" s="27" t="s">
        <v>8</v>
      </c>
      <c r="AV531" s="27" t="s">
        <v>7</v>
      </c>
      <c r="AW531" s="27" t="s">
        <v>8</v>
      </c>
      <c r="AX531" s="27" t="s">
        <v>7</v>
      </c>
    </row>
    <row r="532" spans="1:105" x14ac:dyDescent="0.25">
      <c r="A532" s="7">
        <v>2.9717306730230932</v>
      </c>
      <c r="B532"/>
      <c r="C532"/>
      <c r="D532"/>
      <c r="E532" t="s">
        <v>8</v>
      </c>
      <c r="V532" s="27" t="s">
        <v>7</v>
      </c>
      <c r="AL532" s="27" t="s">
        <v>7</v>
      </c>
      <c r="AM532" s="27" t="s">
        <v>8</v>
      </c>
      <c r="AT532" s="27" t="s">
        <v>7</v>
      </c>
      <c r="AV532" s="27" t="s">
        <v>7</v>
      </c>
      <c r="AW532" s="27" t="s">
        <v>8</v>
      </c>
      <c r="AX532" s="27" t="s">
        <v>7</v>
      </c>
    </row>
    <row r="533" spans="1:105" x14ac:dyDescent="0.25">
      <c r="A533" s="7">
        <v>2.9134614441402875</v>
      </c>
      <c r="B533"/>
      <c r="C533"/>
      <c r="D533"/>
      <c r="E533" t="s">
        <v>8</v>
      </c>
      <c r="AL533" s="27" t="s">
        <v>7</v>
      </c>
      <c r="AM533" s="27" t="s">
        <v>8</v>
      </c>
      <c r="AV533" s="27" t="s">
        <v>7</v>
      </c>
      <c r="AW533" s="27" t="s">
        <v>8</v>
      </c>
      <c r="AX533" s="27" t="s">
        <v>7</v>
      </c>
    </row>
    <row r="534" spans="1:105" x14ac:dyDescent="0.25">
      <c r="A534" s="7">
        <v>2.8563347491571447</v>
      </c>
      <c r="B534"/>
      <c r="C534"/>
      <c r="D534"/>
      <c r="E534" t="s">
        <v>8</v>
      </c>
      <c r="AL534" s="27" t="s">
        <v>7</v>
      </c>
      <c r="AM534" s="27" t="s">
        <v>8</v>
      </c>
      <c r="AV534" s="27" t="s">
        <v>7</v>
      </c>
      <c r="AW534" s="27" t="s">
        <v>8</v>
      </c>
      <c r="AX534" s="27" t="s">
        <v>7</v>
      </c>
    </row>
    <row r="535" spans="1:105" x14ac:dyDescent="0.25">
      <c r="A535" s="7">
        <v>2.8003281854481812</v>
      </c>
      <c r="B535"/>
      <c r="C535"/>
      <c r="D535"/>
      <c r="E535" t="s">
        <v>8</v>
      </c>
      <c r="AL535" s="27" t="s">
        <v>7</v>
      </c>
      <c r="AM535" s="27" t="s">
        <v>8</v>
      </c>
      <c r="AV535" s="27" t="s">
        <v>7</v>
      </c>
      <c r="AW535" s="27" t="s">
        <v>8</v>
      </c>
      <c r="AX535" s="27" t="s">
        <v>7</v>
      </c>
    </row>
    <row r="536" spans="1:105" x14ac:dyDescent="0.25">
      <c r="A536" s="7">
        <v>2.7454197896550796</v>
      </c>
      <c r="B536"/>
      <c r="C536"/>
      <c r="D536"/>
      <c r="E536" t="s">
        <v>8</v>
      </c>
      <c r="AL536" s="27" t="s">
        <v>7</v>
      </c>
      <c r="AM536" s="27" t="s">
        <v>8</v>
      </c>
      <c r="AV536" s="27" t="s">
        <v>7</v>
      </c>
      <c r="AX536" s="27" t="s">
        <v>7</v>
      </c>
    </row>
    <row r="537" spans="1:105" x14ac:dyDescent="0.25">
      <c r="A537" s="7">
        <v>2.6915880290736074</v>
      </c>
      <c r="B537"/>
      <c r="C537"/>
      <c r="D537"/>
      <c r="E537" t="s">
        <v>8</v>
      </c>
      <c r="AL537" s="27" t="s">
        <v>7</v>
      </c>
      <c r="AM537" s="27" t="s">
        <v>8</v>
      </c>
      <c r="AX537" s="27" t="s">
        <v>7</v>
      </c>
      <c r="AY537" s="27" t="s">
        <v>8</v>
      </c>
    </row>
    <row r="538" spans="1:105" x14ac:dyDescent="0.25">
      <c r="A538" s="7">
        <v>2.6388117932094191</v>
      </c>
      <c r="B538"/>
      <c r="C538"/>
      <c r="D538"/>
      <c r="E538" t="s">
        <v>8</v>
      </c>
      <c r="AL538" s="27" t="s">
        <v>7</v>
      </c>
      <c r="AM538" s="27" t="s">
        <v>8</v>
      </c>
      <c r="AX538" s="27" t="s">
        <v>7</v>
      </c>
      <c r="AY538" s="27" t="s">
        <v>8</v>
      </c>
      <c r="AZ538" s="27" t="s">
        <v>7</v>
      </c>
    </row>
    <row r="539" spans="1:105" x14ac:dyDescent="0.25">
      <c r="A539" s="7">
        <v>2.5870703854994304</v>
      </c>
      <c r="B539"/>
      <c r="C539"/>
      <c r="D539"/>
      <c r="E539" t="s">
        <v>8</v>
      </c>
      <c r="AL539" s="27" t="s">
        <v>7</v>
      </c>
      <c r="AX539" s="27" t="s">
        <v>7</v>
      </c>
      <c r="AY539" s="27" t="s">
        <v>8</v>
      </c>
      <c r="AZ539" s="27" t="s">
        <v>7</v>
      </c>
    </row>
    <row r="540" spans="1:105" x14ac:dyDescent="0.25">
      <c r="A540" s="7">
        <v>2.53634351519552</v>
      </c>
      <c r="B540"/>
      <c r="C540"/>
      <c r="D540"/>
      <c r="E540" t="s">
        <v>8</v>
      </c>
      <c r="AX540" s="27" t="s">
        <v>7</v>
      </c>
      <c r="AY540" s="27" t="s">
        <v>8</v>
      </c>
      <c r="AZ540" s="27" t="s">
        <v>7</v>
      </c>
    </row>
    <row r="541" spans="1:105" x14ac:dyDescent="0.25">
      <c r="A541" s="7">
        <v>2.4866112894073726</v>
      </c>
      <c r="B541"/>
      <c r="C541"/>
      <c r="D541"/>
      <c r="E541" t="s">
        <v>8</v>
      </c>
      <c r="AX541" s="27" t="s">
        <v>7</v>
      </c>
      <c r="AZ541" s="27" t="s">
        <v>7</v>
      </c>
    </row>
    <row r="542" spans="1:105" x14ac:dyDescent="0.25">
      <c r="A542" s="7">
        <v>2.4378542053013459</v>
      </c>
      <c r="B542"/>
      <c r="C542"/>
      <c r="D542"/>
      <c r="E542" t="s">
        <v>8</v>
      </c>
      <c r="AZ542" s="27" t="s">
        <v>7</v>
      </c>
    </row>
    <row r="543" spans="1:105" x14ac:dyDescent="0.25">
      <c r="A543" s="7">
        <v>2.3900531424522997</v>
      </c>
      <c r="B543"/>
      <c r="C543"/>
      <c r="D543"/>
      <c r="E543" t="s">
        <v>8</v>
      </c>
      <c r="AZ543" s="27" t="s">
        <v>7</v>
      </c>
    </row>
    <row r="544" spans="1:105" x14ac:dyDescent="0.25">
      <c r="A544" s="7">
        <v>2.343189355345392</v>
      </c>
      <c r="B544"/>
      <c r="C544"/>
      <c r="D544"/>
      <c r="E544" t="s">
        <v>8</v>
      </c>
      <c r="AZ544" s="27" t="s">
        <v>7</v>
      </c>
      <c r="DA544" s="27" t="s">
        <v>8</v>
      </c>
    </row>
    <row r="545" spans="1:150" x14ac:dyDescent="0.25">
      <c r="A545" s="7">
        <v>2.2972444660248938</v>
      </c>
      <c r="B545"/>
      <c r="C545"/>
      <c r="D545"/>
      <c r="E545" t="s">
        <v>8</v>
      </c>
      <c r="AZ545" s="27" t="s">
        <v>7</v>
      </c>
      <c r="DA545" s="27" t="s">
        <v>8</v>
      </c>
      <c r="DB545" s="27" t="s">
        <v>7</v>
      </c>
    </row>
    <row r="546" spans="1:150" x14ac:dyDescent="0.25">
      <c r="A546" s="7">
        <v>2.252200456887151</v>
      </c>
      <c r="B546"/>
      <c r="C546"/>
      <c r="D546"/>
      <c r="E546" t="s">
        <v>8</v>
      </c>
      <c r="AZ546" s="27" t="s">
        <v>7</v>
      </c>
      <c r="CU546" s="27" t="s">
        <v>8</v>
      </c>
      <c r="CY546" s="27" t="s">
        <v>8</v>
      </c>
      <c r="DA546" s="27" t="s">
        <v>8</v>
      </c>
      <c r="DB546" s="27" t="s">
        <v>7</v>
      </c>
    </row>
    <row r="547" spans="1:150" x14ac:dyDescent="0.25">
      <c r="A547" s="7">
        <v>2.208039663614854</v>
      </c>
      <c r="B547"/>
      <c r="C547"/>
      <c r="D547"/>
      <c r="E547" t="s">
        <v>8</v>
      </c>
      <c r="AZ547" s="27" t="s">
        <v>7</v>
      </c>
      <c r="CU547" s="27" t="s">
        <v>8</v>
      </c>
      <c r="CV547" s="27" t="s">
        <v>7</v>
      </c>
      <c r="CY547" s="27" t="s">
        <v>8</v>
      </c>
      <c r="CZ547" s="27" t="s">
        <v>7</v>
      </c>
      <c r="DA547" s="27" t="s">
        <v>8</v>
      </c>
      <c r="DB547" s="27" t="s">
        <v>7</v>
      </c>
    </row>
    <row r="548" spans="1:150" x14ac:dyDescent="0.25">
      <c r="A548" s="7">
        <v>2.1647447682498568</v>
      </c>
      <c r="B548"/>
      <c r="C548"/>
      <c r="D548"/>
      <c r="E548" t="s">
        <v>8</v>
      </c>
      <c r="AZ548" s="27" t="s">
        <v>7</v>
      </c>
      <c r="CU548" s="27" t="s">
        <v>8</v>
      </c>
      <c r="CV548" s="27" t="s">
        <v>7</v>
      </c>
      <c r="CY548" s="27" t="s">
        <v>8</v>
      </c>
      <c r="CZ548" s="27" t="s">
        <v>7</v>
      </c>
      <c r="DA548" s="27" t="s">
        <v>8</v>
      </c>
      <c r="DB548" s="27" t="s">
        <v>7</v>
      </c>
      <c r="DI548" s="31" t="s">
        <v>8</v>
      </c>
    </row>
    <row r="549" spans="1:150" x14ac:dyDescent="0.25">
      <c r="A549" s="7">
        <v>2.1222987924018204</v>
      </c>
      <c r="B549"/>
      <c r="C549"/>
      <c r="D549"/>
      <c r="E549" t="s">
        <v>8</v>
      </c>
      <c r="AZ549" s="27" t="s">
        <v>7</v>
      </c>
      <c r="CU549" s="27" t="s">
        <v>8</v>
      </c>
      <c r="CV549" s="27" t="s">
        <v>7</v>
      </c>
      <c r="CW549" s="27" t="s">
        <v>8</v>
      </c>
      <c r="CY549" s="27" t="s">
        <v>8</v>
      </c>
      <c r="CZ549" s="27" t="s">
        <v>7</v>
      </c>
      <c r="DA549" s="27" t="s">
        <v>8</v>
      </c>
      <c r="DB549" s="27" t="s">
        <v>7</v>
      </c>
      <c r="DI549" s="27" t="s">
        <v>8</v>
      </c>
      <c r="DJ549" s="31" t="s">
        <v>7</v>
      </c>
    </row>
    <row r="550" spans="1:150" x14ac:dyDescent="0.25">
      <c r="A550" s="7">
        <v>2.0806850905900198</v>
      </c>
      <c r="B550"/>
      <c r="C550"/>
      <c r="D550"/>
      <c r="E550" t="s">
        <v>8</v>
      </c>
      <c r="AZ550" s="27" t="s">
        <v>7</v>
      </c>
      <c r="CU550" s="27" t="s">
        <v>8</v>
      </c>
      <c r="CV550" s="27" t="s">
        <v>7</v>
      </c>
      <c r="CW550" s="27" t="s">
        <v>8</v>
      </c>
      <c r="CX550" s="27" t="s">
        <v>7</v>
      </c>
      <c r="CY550" s="27" t="s">
        <v>8</v>
      </c>
      <c r="CZ550" s="27" t="s">
        <v>7</v>
      </c>
      <c r="DA550" s="27" t="s">
        <v>8</v>
      </c>
      <c r="DB550" s="27" t="s">
        <v>7</v>
      </c>
      <c r="DC550" s="27" t="s">
        <v>8</v>
      </c>
      <c r="DG550" s="27" t="s">
        <v>8</v>
      </c>
      <c r="DI550" s="27" t="s">
        <v>8</v>
      </c>
      <c r="DJ550" s="27" t="s">
        <v>7</v>
      </c>
      <c r="DK550" s="31"/>
    </row>
    <row r="551" spans="1:150" x14ac:dyDescent="0.25">
      <c r="A551" s="7">
        <v>2.0398873437157055</v>
      </c>
      <c r="B551"/>
      <c r="C551"/>
      <c r="D551"/>
      <c r="E551" t="s">
        <v>8</v>
      </c>
      <c r="AZ551" s="27" t="s">
        <v>7</v>
      </c>
      <c r="CU551" s="27" t="s">
        <v>8</v>
      </c>
      <c r="CV551" s="27" t="s">
        <v>7</v>
      </c>
      <c r="CW551" s="27" t="s">
        <v>8</v>
      </c>
      <c r="CX551" s="27" t="s">
        <v>7</v>
      </c>
      <c r="CY551" s="27" t="s">
        <v>8</v>
      </c>
      <c r="CZ551" s="27" t="s">
        <v>7</v>
      </c>
      <c r="DB551" s="27" t="s">
        <v>7</v>
      </c>
      <c r="DC551" s="27" t="s">
        <v>8</v>
      </c>
      <c r="DD551" s="27" t="s">
        <v>7</v>
      </c>
      <c r="DG551" s="27" t="s">
        <v>8</v>
      </c>
      <c r="DH551" s="27" t="s">
        <v>7</v>
      </c>
      <c r="DI551" s="27" t="s">
        <v>8</v>
      </c>
      <c r="DJ551" s="27" t="s">
        <v>7</v>
      </c>
      <c r="DL551" s="31"/>
    </row>
    <row r="552" spans="1:150" x14ac:dyDescent="0.25">
      <c r="A552" s="7">
        <v>1.9998895526624565</v>
      </c>
      <c r="B552"/>
      <c r="C552"/>
      <c r="D552"/>
      <c r="E552" t="s">
        <v>8</v>
      </c>
      <c r="AZ552" s="27" t="s">
        <v>7</v>
      </c>
      <c r="CU552" s="27" t="s">
        <v>8</v>
      </c>
      <c r="CV552" s="27" t="s">
        <v>7</v>
      </c>
      <c r="CW552" s="27" t="s">
        <v>8</v>
      </c>
      <c r="CX552" s="27" t="s">
        <v>7</v>
      </c>
      <c r="DB552" s="27" t="s">
        <v>7</v>
      </c>
      <c r="DC552" s="27" t="s">
        <v>8</v>
      </c>
      <c r="DD552" s="27" t="s">
        <v>7</v>
      </c>
      <c r="DG552" s="27" t="s">
        <v>8</v>
      </c>
      <c r="DH552" s="27" t="s">
        <v>7</v>
      </c>
      <c r="DI552" s="27" t="s">
        <v>8</v>
      </c>
      <c r="DJ552" s="27" t="s">
        <v>7</v>
      </c>
      <c r="DM552" s="31"/>
    </row>
    <row r="553" spans="1:150" x14ac:dyDescent="0.25">
      <c r="A553" s="7">
        <v>1.9606760320220162</v>
      </c>
      <c r="B553"/>
      <c r="C553"/>
      <c r="D553"/>
      <c r="E553" t="s">
        <v>8</v>
      </c>
      <c r="AZ553" s="27" t="s">
        <v>7</v>
      </c>
      <c r="BI553" s="27" t="s">
        <v>8</v>
      </c>
      <c r="CU553" s="27" t="s">
        <v>8</v>
      </c>
      <c r="CV553" s="27" t="s">
        <v>7</v>
      </c>
      <c r="CW553" s="27" t="s">
        <v>8</v>
      </c>
      <c r="DB553" s="27" t="s">
        <v>7</v>
      </c>
      <c r="DC553" s="27" t="s">
        <v>8</v>
      </c>
      <c r="DD553" s="27" t="s">
        <v>7</v>
      </c>
      <c r="DE553" s="27" t="s">
        <v>8</v>
      </c>
      <c r="DG553" s="27" t="s">
        <v>8</v>
      </c>
      <c r="DH553" s="27" t="s">
        <v>7</v>
      </c>
      <c r="DI553" s="27" t="s">
        <v>8</v>
      </c>
      <c r="DJ553" s="27" t="s">
        <v>7</v>
      </c>
      <c r="DN553" s="31"/>
      <c r="EC553" s="27" t="s">
        <v>8</v>
      </c>
      <c r="EK553" s="27" t="s">
        <v>8</v>
      </c>
    </row>
    <row r="554" spans="1:150" x14ac:dyDescent="0.25">
      <c r="A554" s="7">
        <v>1.9222314039431532</v>
      </c>
      <c r="B554"/>
      <c r="C554"/>
      <c r="D554"/>
      <c r="E554" t="s">
        <v>8</v>
      </c>
      <c r="AZ554" s="27" t="s">
        <v>7</v>
      </c>
      <c r="BI554" s="27" t="s">
        <v>8</v>
      </c>
      <c r="BJ554" s="27" t="s">
        <v>7</v>
      </c>
      <c r="CU554" s="27" t="s">
        <v>8</v>
      </c>
      <c r="CV554" s="27" t="s">
        <v>7</v>
      </c>
      <c r="CW554" s="27" t="s">
        <v>8</v>
      </c>
      <c r="DB554" s="27" t="s">
        <v>7</v>
      </c>
      <c r="DD554" s="27" t="s">
        <v>7</v>
      </c>
      <c r="DE554" s="27" t="s">
        <v>8</v>
      </c>
      <c r="DF554" s="27" t="s">
        <v>7</v>
      </c>
      <c r="DG554" s="27" t="s">
        <v>8</v>
      </c>
      <c r="DH554" s="27" t="s">
        <v>7</v>
      </c>
      <c r="DI554" s="27" t="s">
        <v>8</v>
      </c>
      <c r="DJ554" s="27" t="s">
        <v>7</v>
      </c>
      <c r="DO554" s="31"/>
      <c r="EC554" s="27" t="s">
        <v>8</v>
      </c>
      <c r="ED554" s="27" t="s">
        <v>7</v>
      </c>
      <c r="EK554" s="27" t="s">
        <v>8</v>
      </c>
      <c r="EL554" s="27" t="s">
        <v>7</v>
      </c>
    </row>
    <row r="555" spans="1:150" x14ac:dyDescent="0.25">
      <c r="A555" s="7">
        <v>1.8845405921011305</v>
      </c>
      <c r="B555"/>
      <c r="C555"/>
      <c r="D555"/>
      <c r="E555" t="s">
        <v>8</v>
      </c>
      <c r="AZ555" s="27" t="s">
        <v>7</v>
      </c>
      <c r="BG555" s="27" t="s">
        <v>8</v>
      </c>
      <c r="BI555" s="27" t="s">
        <v>8</v>
      </c>
      <c r="BJ555" s="27" t="s">
        <v>7</v>
      </c>
      <c r="CU555" s="27" t="s">
        <v>8</v>
      </c>
      <c r="CV555" s="27" t="s">
        <v>7</v>
      </c>
      <c r="CW555" s="27" t="s">
        <v>8</v>
      </c>
      <c r="DD555" s="27" t="s">
        <v>7</v>
      </c>
      <c r="DE555" s="27" t="s">
        <v>8</v>
      </c>
      <c r="DF555" s="27" t="s">
        <v>7</v>
      </c>
      <c r="DG555" s="27" t="s">
        <v>8</v>
      </c>
      <c r="DH555" s="27" t="s">
        <v>7</v>
      </c>
      <c r="DI555" s="27" t="s">
        <v>8</v>
      </c>
      <c r="DJ555" s="27" t="s">
        <v>7</v>
      </c>
      <c r="DP555" s="31"/>
      <c r="EC555" s="27" t="s">
        <v>8</v>
      </c>
      <c r="ED555" s="27" t="s">
        <v>7</v>
      </c>
      <c r="EK555" s="27" t="s">
        <v>8</v>
      </c>
      <c r="EL555" s="27" t="s">
        <v>7</v>
      </c>
      <c r="EM555" s="27" t="s">
        <v>8</v>
      </c>
      <c r="EO555" s="31" t="s">
        <v>8</v>
      </c>
    </row>
    <row r="556" spans="1:150" x14ac:dyDescent="0.25">
      <c r="A556" s="7">
        <v>1.8475888157854219</v>
      </c>
      <c r="B556"/>
      <c r="C556"/>
      <c r="D556"/>
      <c r="E556" t="s">
        <v>8</v>
      </c>
      <c r="AZ556" s="27" t="s">
        <v>7</v>
      </c>
      <c r="BG556" s="27" t="s">
        <v>8</v>
      </c>
      <c r="BH556" s="27" t="s">
        <v>7</v>
      </c>
      <c r="BI556" s="27" t="s">
        <v>8</v>
      </c>
      <c r="BJ556" s="27" t="s">
        <v>7</v>
      </c>
      <c r="BK556" s="27" t="s">
        <v>8</v>
      </c>
      <c r="CU556" s="27" t="s">
        <v>8</v>
      </c>
      <c r="CV556" s="27" t="s">
        <v>7</v>
      </c>
      <c r="CW556" s="27" t="s">
        <v>8</v>
      </c>
      <c r="DD556" s="27" t="s">
        <v>7</v>
      </c>
      <c r="DE556" s="27" t="s">
        <v>8</v>
      </c>
      <c r="DF556" s="27" t="s">
        <v>7</v>
      </c>
      <c r="DG556" s="27" t="s">
        <v>8</v>
      </c>
      <c r="DH556" s="27" t="s">
        <v>7</v>
      </c>
      <c r="DJ556" s="27" t="s">
        <v>7</v>
      </c>
      <c r="DQ556" s="31"/>
      <c r="EC556" s="27" t="s">
        <v>8</v>
      </c>
      <c r="ED556" s="27" t="s">
        <v>7</v>
      </c>
      <c r="EK556" s="27" t="s">
        <v>8</v>
      </c>
      <c r="EL556" s="27" t="s">
        <v>7</v>
      </c>
      <c r="EM556" s="27" t="s">
        <v>8</v>
      </c>
      <c r="EN556" s="27" t="s">
        <v>7</v>
      </c>
      <c r="EO556" s="27" t="s">
        <v>8</v>
      </c>
      <c r="EP556" s="31" t="s">
        <v>7</v>
      </c>
    </row>
    <row r="557" spans="1:150" x14ac:dyDescent="0.25">
      <c r="A557" s="7">
        <v>1.8113615841033548</v>
      </c>
      <c r="B557"/>
      <c r="C557"/>
      <c r="D557"/>
      <c r="E557" t="s">
        <v>8</v>
      </c>
      <c r="AZ557" s="27" t="s">
        <v>7</v>
      </c>
      <c r="BG557" s="27" t="s">
        <v>8</v>
      </c>
      <c r="BH557" s="27" t="s">
        <v>7</v>
      </c>
      <c r="BI557" s="27" t="s">
        <v>8</v>
      </c>
      <c r="BJ557" s="27" t="s">
        <v>7</v>
      </c>
      <c r="BK557" s="27" t="s">
        <v>8</v>
      </c>
      <c r="BL557" s="27" t="s">
        <v>7</v>
      </c>
      <c r="CS557" s="27" t="s">
        <v>8</v>
      </c>
      <c r="CU557" s="27" t="s">
        <v>8</v>
      </c>
      <c r="CV557" s="27" t="s">
        <v>7</v>
      </c>
      <c r="CW557" s="27" t="s">
        <v>8</v>
      </c>
      <c r="DD557" s="27" t="s">
        <v>7</v>
      </c>
      <c r="DE557" s="27" t="s">
        <v>8</v>
      </c>
      <c r="DF557" s="27" t="s">
        <v>7</v>
      </c>
      <c r="DG557" s="27" t="s">
        <v>8</v>
      </c>
      <c r="DJ557" s="27" t="s">
        <v>7</v>
      </c>
      <c r="DR557" s="31"/>
      <c r="EC557" s="27" t="s">
        <v>8</v>
      </c>
      <c r="ED557" s="27" t="s">
        <v>7</v>
      </c>
      <c r="EK557" s="27" t="s">
        <v>8</v>
      </c>
      <c r="EL557" s="27" t="s">
        <v>7</v>
      </c>
      <c r="EM557" s="27" t="s">
        <v>8</v>
      </c>
      <c r="EN557" s="27" t="s">
        <v>7</v>
      </c>
      <c r="EO557" s="27" t="s">
        <v>8</v>
      </c>
      <c r="EP557" s="27" t="s">
        <v>7</v>
      </c>
      <c r="EQ557" s="31" t="s">
        <v>8</v>
      </c>
    </row>
    <row r="558" spans="1:150" x14ac:dyDescent="0.25">
      <c r="A558" s="7">
        <v>1.7758446902974065</v>
      </c>
      <c r="B558"/>
      <c r="C558"/>
      <c r="D558"/>
      <c r="E558" t="s">
        <v>8</v>
      </c>
      <c r="AZ558" s="27" t="s">
        <v>7</v>
      </c>
      <c r="BA558" s="27" t="s">
        <v>8</v>
      </c>
      <c r="BG558" s="27" t="s">
        <v>8</v>
      </c>
      <c r="BH558" s="27" t="s">
        <v>7</v>
      </c>
      <c r="BI558" s="27" t="s">
        <v>8</v>
      </c>
      <c r="BJ558" s="27" t="s">
        <v>7</v>
      </c>
      <c r="BK558" s="27" t="s">
        <v>8</v>
      </c>
      <c r="BL558" s="27" t="s">
        <v>7</v>
      </c>
      <c r="CS558" s="27" t="s">
        <v>8</v>
      </c>
      <c r="CT558" s="27" t="s">
        <v>7</v>
      </c>
      <c r="CU558" s="27" t="s">
        <v>8</v>
      </c>
      <c r="CV558" s="27" t="s">
        <v>7</v>
      </c>
      <c r="CW558" s="27" t="s">
        <v>8</v>
      </c>
      <c r="DD558" s="27" t="s">
        <v>7</v>
      </c>
      <c r="DE558" s="27" t="s">
        <v>8</v>
      </c>
      <c r="DF558" s="27" t="s">
        <v>7</v>
      </c>
      <c r="DJ558" s="27" t="s">
        <v>7</v>
      </c>
      <c r="DS558" s="31"/>
      <c r="EC558" s="27" t="s">
        <v>8</v>
      </c>
      <c r="ED558" s="27" t="s">
        <v>7</v>
      </c>
      <c r="EK558" s="27" t="s">
        <v>8</v>
      </c>
      <c r="EL558" s="27" t="s">
        <v>7</v>
      </c>
      <c r="EM558" s="27" t="s">
        <v>8</v>
      </c>
      <c r="EN558" s="27" t="s">
        <v>7</v>
      </c>
      <c r="EO558" s="27" t="s">
        <v>8</v>
      </c>
      <c r="EP558" s="27" t="s">
        <v>7</v>
      </c>
      <c r="EQ558" s="27" t="s">
        <v>8</v>
      </c>
      <c r="ER558" s="31" t="s">
        <v>7</v>
      </c>
    </row>
    <row r="559" spans="1:150" x14ac:dyDescent="0.25">
      <c r="A559" s="7">
        <v>1.7410242061739281</v>
      </c>
      <c r="B559"/>
      <c r="C559"/>
      <c r="D559"/>
      <c r="E559" t="s">
        <v>8</v>
      </c>
      <c r="AZ559" s="27" t="s">
        <v>7</v>
      </c>
      <c r="BA559" s="27" t="s">
        <v>8</v>
      </c>
      <c r="BB559" s="27" t="s">
        <v>7</v>
      </c>
      <c r="BG559" s="27" t="s">
        <v>8</v>
      </c>
      <c r="BH559" s="27" t="s">
        <v>7</v>
      </c>
      <c r="BI559" s="27" t="s">
        <v>8</v>
      </c>
      <c r="BJ559" s="27" t="s">
        <v>7</v>
      </c>
      <c r="BK559" s="27" t="s">
        <v>8</v>
      </c>
      <c r="BL559" s="27" t="s">
        <v>7</v>
      </c>
      <c r="CS559" s="27" t="s">
        <v>8</v>
      </c>
      <c r="CT559" s="27" t="s">
        <v>7</v>
      </c>
      <c r="CU559" s="27" t="s">
        <v>8</v>
      </c>
      <c r="CV559" s="27" t="s">
        <v>7</v>
      </c>
      <c r="DD559" s="27" t="s">
        <v>7</v>
      </c>
      <c r="DJ559" s="27" t="s">
        <v>7</v>
      </c>
      <c r="DT559" s="31"/>
      <c r="EC559" s="27" t="s">
        <v>8</v>
      </c>
      <c r="ED559" s="27" t="s">
        <v>7</v>
      </c>
      <c r="EI559" s="27" t="s">
        <v>8</v>
      </c>
      <c r="EK559" s="27" t="s">
        <v>8</v>
      </c>
      <c r="EL559" s="27" t="s">
        <v>7</v>
      </c>
      <c r="EM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31"/>
    </row>
    <row r="560" spans="1:150" x14ac:dyDescent="0.25">
      <c r="A560" s="7">
        <v>1.7068864766411058</v>
      </c>
      <c r="B560"/>
      <c r="C560"/>
      <c r="D560"/>
      <c r="E560" t="s">
        <v>8</v>
      </c>
      <c r="AZ560" s="27" t="s">
        <v>7</v>
      </c>
      <c r="BA560" s="27" t="s">
        <v>8</v>
      </c>
      <c r="BB560" s="27" t="s">
        <v>7</v>
      </c>
      <c r="BG560" s="27" t="s">
        <v>8</v>
      </c>
      <c r="BH560" s="27" t="s">
        <v>7</v>
      </c>
      <c r="BI560" s="27" t="s">
        <v>8</v>
      </c>
      <c r="BJ560" s="27" t="s">
        <v>7</v>
      </c>
      <c r="BK560" s="27" t="s">
        <v>8</v>
      </c>
      <c r="BL560" s="27" t="s">
        <v>7</v>
      </c>
      <c r="CS560" s="27" t="s">
        <v>8</v>
      </c>
      <c r="CT560" s="27" t="s">
        <v>7</v>
      </c>
      <c r="CU560" s="27" t="s">
        <v>8</v>
      </c>
      <c r="DJ560" s="27" t="s">
        <v>7</v>
      </c>
      <c r="DU560" s="31"/>
      <c r="EC560" s="27" t="s">
        <v>8</v>
      </c>
      <c r="ED560" s="27" t="s">
        <v>7</v>
      </c>
      <c r="EI560" s="27" t="s">
        <v>8</v>
      </c>
      <c r="EJ560" s="27" t="s">
        <v>7</v>
      </c>
      <c r="EK560" s="27" t="s">
        <v>8</v>
      </c>
      <c r="EL560" s="27" t="s">
        <v>7</v>
      </c>
      <c r="EM560" s="27" t="s">
        <v>8</v>
      </c>
      <c r="EN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T560" s="31"/>
    </row>
    <row r="561" spans="1:158" x14ac:dyDescent="0.25">
      <c r="A561" s="7">
        <v>1.6734181143540252</v>
      </c>
      <c r="B561"/>
      <c r="C561"/>
      <c r="D561"/>
      <c r="E561" t="s">
        <v>8</v>
      </c>
      <c r="AZ561" s="27" t="s">
        <v>7</v>
      </c>
      <c r="BA561" s="27" t="s">
        <v>8</v>
      </c>
      <c r="BB561" s="27" t="s">
        <v>7</v>
      </c>
      <c r="BG561" s="27" t="s">
        <v>8</v>
      </c>
      <c r="BH561" s="27" t="s">
        <v>7</v>
      </c>
      <c r="BI561" s="27" t="s">
        <v>8</v>
      </c>
      <c r="BJ561" s="27" t="s">
        <v>7</v>
      </c>
      <c r="BK561" s="27" t="s">
        <v>8</v>
      </c>
      <c r="BL561" s="27" t="s">
        <v>7</v>
      </c>
      <c r="CQ561" s="27" t="s">
        <v>8</v>
      </c>
      <c r="CS561" s="27" t="s">
        <v>8</v>
      </c>
      <c r="CT561" s="27" t="s">
        <v>7</v>
      </c>
      <c r="CU561" s="27" t="s">
        <v>8</v>
      </c>
      <c r="DJ561" s="27" t="s">
        <v>7</v>
      </c>
      <c r="DQ561" s="27" t="s">
        <v>8</v>
      </c>
      <c r="DV561" s="31"/>
      <c r="EC561" s="27" t="s">
        <v>8</v>
      </c>
      <c r="ED561" s="27" t="s">
        <v>7</v>
      </c>
      <c r="EE561" s="27" t="s">
        <v>8</v>
      </c>
      <c r="EI561" s="27" t="s">
        <v>8</v>
      </c>
      <c r="EJ561" s="27" t="s">
        <v>7</v>
      </c>
      <c r="EK561" s="27" t="s">
        <v>8</v>
      </c>
      <c r="EL561" s="27" t="s">
        <v>7</v>
      </c>
      <c r="EN561" s="27" t="s">
        <v>7</v>
      </c>
      <c r="EO561" s="27" t="s">
        <v>8</v>
      </c>
      <c r="EP561" s="27" t="s">
        <v>7</v>
      </c>
      <c r="EQ561" s="27" t="s">
        <v>8</v>
      </c>
      <c r="ER561" s="27" t="s">
        <v>7</v>
      </c>
      <c r="EU561" s="31"/>
    </row>
    <row r="562" spans="1:158" x14ac:dyDescent="0.25">
      <c r="A562" s="7">
        <v>1.6406059944647307</v>
      </c>
      <c r="B562"/>
      <c r="C562"/>
      <c r="D562"/>
      <c r="E562" t="s">
        <v>8</v>
      </c>
      <c r="AZ562" s="27" t="s">
        <v>7</v>
      </c>
      <c r="BA562" s="27" t="s">
        <v>8</v>
      </c>
      <c r="BB562" s="27" t="s">
        <v>7</v>
      </c>
      <c r="BG562" s="27" t="s">
        <v>8</v>
      </c>
      <c r="BH562" s="27" t="s">
        <v>7</v>
      </c>
      <c r="BI562" s="27" t="s">
        <v>8</v>
      </c>
      <c r="BJ562" s="27" t="s">
        <v>7</v>
      </c>
      <c r="BK562" s="27" t="s">
        <v>8</v>
      </c>
      <c r="BL562" s="27" t="s">
        <v>7</v>
      </c>
      <c r="CO562" s="27" t="s">
        <v>8</v>
      </c>
      <c r="CQ562" s="27" t="s">
        <v>8</v>
      </c>
      <c r="CR562" s="27" t="s">
        <v>7</v>
      </c>
      <c r="CS562" s="27" t="s">
        <v>8</v>
      </c>
      <c r="CT562" s="27" t="s">
        <v>7</v>
      </c>
      <c r="CU562" s="27" t="s">
        <v>8</v>
      </c>
      <c r="DJ562" s="27" t="s">
        <v>7</v>
      </c>
      <c r="DK562" s="27" t="s">
        <v>8</v>
      </c>
      <c r="DO562" s="27" t="s">
        <v>8</v>
      </c>
      <c r="DQ562" s="27" t="s">
        <v>8</v>
      </c>
      <c r="DR562" s="27" t="s">
        <v>7</v>
      </c>
      <c r="DW562" s="31"/>
      <c r="EC562" s="27" t="s">
        <v>8</v>
      </c>
      <c r="ED562" s="27" t="s">
        <v>7</v>
      </c>
      <c r="EE562" s="27" t="s">
        <v>8</v>
      </c>
      <c r="EF562" s="27" t="s">
        <v>7</v>
      </c>
      <c r="EI562" s="27" t="s">
        <v>8</v>
      </c>
      <c r="EJ562" s="27" t="s">
        <v>7</v>
      </c>
      <c r="EK562" s="27" t="s">
        <v>8</v>
      </c>
      <c r="EN562" s="27" t="s">
        <v>7</v>
      </c>
      <c r="EO562" s="27" t="s">
        <v>8</v>
      </c>
      <c r="EP562" s="27" t="s">
        <v>7</v>
      </c>
      <c r="EQ562" s="27" t="s">
        <v>8</v>
      </c>
      <c r="ER562" s="27" t="s">
        <v>7</v>
      </c>
      <c r="EV562" s="31"/>
    </row>
    <row r="563" spans="1:158" x14ac:dyDescent="0.25">
      <c r="A563" s="7">
        <v>1.6084372494752261</v>
      </c>
      <c r="B563"/>
      <c r="C563"/>
      <c r="D563"/>
      <c r="E563" t="s">
        <v>8</v>
      </c>
      <c r="AZ563" s="27" t="s">
        <v>7</v>
      </c>
      <c r="BA563" s="27" t="s">
        <v>8</v>
      </c>
      <c r="BB563" s="27" t="s">
        <v>7</v>
      </c>
      <c r="BG563" s="27" t="s">
        <v>8</v>
      </c>
      <c r="BH563" s="27" t="s">
        <v>7</v>
      </c>
      <c r="BI563" s="27" t="s">
        <v>8</v>
      </c>
      <c r="BJ563" s="27" t="s">
        <v>7</v>
      </c>
      <c r="BK563" s="27" t="s">
        <v>8</v>
      </c>
      <c r="BL563" s="27" t="s">
        <v>7</v>
      </c>
      <c r="CO563" s="27" t="s">
        <v>8</v>
      </c>
      <c r="CP563" s="27" t="s">
        <v>7</v>
      </c>
      <c r="CQ563" s="27" t="s">
        <v>8</v>
      </c>
      <c r="CR563" s="27" t="s">
        <v>7</v>
      </c>
      <c r="CS563" s="27" t="s">
        <v>8</v>
      </c>
      <c r="CT563" s="27" t="s">
        <v>7</v>
      </c>
      <c r="DJ563" s="27" t="s">
        <v>7</v>
      </c>
      <c r="DK563" s="27" t="s">
        <v>8</v>
      </c>
      <c r="DL563" s="27" t="s">
        <v>7</v>
      </c>
      <c r="DO563" s="27" t="s">
        <v>8</v>
      </c>
      <c r="DP563" s="27" t="s">
        <v>7</v>
      </c>
      <c r="DQ563" s="27" t="s">
        <v>8</v>
      </c>
      <c r="DR563" s="27" t="s">
        <v>7</v>
      </c>
      <c r="DX563" s="31"/>
      <c r="EC563" s="27" t="s">
        <v>8</v>
      </c>
      <c r="ED563" s="27" t="s">
        <v>7</v>
      </c>
      <c r="EE563" s="27" t="s">
        <v>8</v>
      </c>
      <c r="EF563" s="27" t="s">
        <v>7</v>
      </c>
      <c r="EG563" s="27" t="s">
        <v>8</v>
      </c>
      <c r="EI563" s="27" t="s">
        <v>8</v>
      </c>
      <c r="EJ563" s="27" t="s">
        <v>7</v>
      </c>
      <c r="EK563" s="27" t="s">
        <v>8</v>
      </c>
      <c r="EN563" s="27" t="s">
        <v>7</v>
      </c>
      <c r="EO563" s="27" t="s">
        <v>8</v>
      </c>
      <c r="EP563" s="27" t="s">
        <v>7</v>
      </c>
      <c r="EQ563" s="27" t="s">
        <v>8</v>
      </c>
      <c r="ER563" s="27" t="s">
        <v>7</v>
      </c>
      <c r="EW563" s="31"/>
    </row>
    <row r="564" spans="1:158" x14ac:dyDescent="0.25">
      <c r="A564" s="7">
        <v>1.5768992641913981</v>
      </c>
      <c r="B564"/>
      <c r="C564"/>
      <c r="D564"/>
      <c r="E564" t="s">
        <v>8</v>
      </c>
      <c r="AZ564" s="27" t="s">
        <v>7</v>
      </c>
      <c r="BA564" s="27" t="s">
        <v>8</v>
      </c>
      <c r="BB564" s="27" t="s">
        <v>7</v>
      </c>
      <c r="BG564" s="27" t="s">
        <v>8</v>
      </c>
      <c r="BH564" s="27" t="s">
        <v>7</v>
      </c>
      <c r="BI564" s="27" t="s">
        <v>8</v>
      </c>
      <c r="BJ564" s="27" t="s">
        <v>7</v>
      </c>
      <c r="BK564" s="27" t="s">
        <v>8</v>
      </c>
      <c r="BL564" s="27" t="s">
        <v>7</v>
      </c>
      <c r="CO564" s="27" t="s">
        <v>8</v>
      </c>
      <c r="CP564" s="27" t="s">
        <v>7</v>
      </c>
      <c r="CQ564" s="27" t="s">
        <v>8</v>
      </c>
      <c r="CR564" s="27" t="s">
        <v>7</v>
      </c>
      <c r="CS564" s="27" t="s">
        <v>8</v>
      </c>
      <c r="DJ564" s="27" t="s">
        <v>7</v>
      </c>
      <c r="DK564" s="27" t="s">
        <v>8</v>
      </c>
      <c r="DL564" s="27" t="s">
        <v>7</v>
      </c>
      <c r="DO564" s="27" t="s">
        <v>8</v>
      </c>
      <c r="DP564" s="27" t="s">
        <v>7</v>
      </c>
      <c r="DQ564" s="27" t="s">
        <v>8</v>
      </c>
      <c r="DR564" s="27" t="s">
        <v>7</v>
      </c>
      <c r="DY564" s="31"/>
      <c r="EC564" s="27" t="s">
        <v>8</v>
      </c>
      <c r="ED564" s="27" t="s">
        <v>7</v>
      </c>
      <c r="EE564" s="27" t="s">
        <v>8</v>
      </c>
      <c r="EF564" s="27" t="s">
        <v>7</v>
      </c>
      <c r="EG564" s="27" t="s">
        <v>8</v>
      </c>
      <c r="EH564" s="27" t="s">
        <v>7</v>
      </c>
      <c r="EI564" s="27" t="s">
        <v>8</v>
      </c>
      <c r="EJ564" s="27" t="s">
        <v>7</v>
      </c>
      <c r="EK564" s="27" t="s">
        <v>8</v>
      </c>
      <c r="EN564" s="27" t="s">
        <v>7</v>
      </c>
      <c r="EP564" s="27" t="s">
        <v>7</v>
      </c>
      <c r="EQ564" s="27" t="s">
        <v>8</v>
      </c>
      <c r="ER564" s="27" t="s">
        <v>7</v>
      </c>
      <c r="EX564" s="31"/>
      <c r="EY564" s="27" t="s">
        <v>8</v>
      </c>
    </row>
    <row r="565" spans="1:158" x14ac:dyDescent="0.25">
      <c r="A565" s="7">
        <v>1.5459796707758806</v>
      </c>
      <c r="B565"/>
      <c r="C565"/>
      <c r="D565"/>
      <c r="E565" t="s">
        <v>8</v>
      </c>
      <c r="AZ565" s="27" t="s">
        <v>7</v>
      </c>
      <c r="BA565" s="27" t="s">
        <v>8</v>
      </c>
      <c r="BB565" s="27" t="s">
        <v>7</v>
      </c>
      <c r="BE565" s="27" t="s">
        <v>8</v>
      </c>
      <c r="BG565" s="27" t="s">
        <v>8</v>
      </c>
      <c r="BH565" s="27" t="s">
        <v>7</v>
      </c>
      <c r="BI565" s="27" t="s">
        <v>8</v>
      </c>
      <c r="BJ565" s="27" t="s">
        <v>7</v>
      </c>
      <c r="BK565" s="27" t="s">
        <v>8</v>
      </c>
      <c r="BL565" s="27" t="s">
        <v>7</v>
      </c>
      <c r="CO565" s="27" t="s">
        <v>8</v>
      </c>
      <c r="CP565" s="27" t="s">
        <v>7</v>
      </c>
      <c r="CQ565" s="27" t="s">
        <v>8</v>
      </c>
      <c r="CR565" s="27" t="s">
        <v>7</v>
      </c>
      <c r="CS565" s="27" t="s">
        <v>8</v>
      </c>
      <c r="DJ565" s="27" t="s">
        <v>7</v>
      </c>
      <c r="DK565" s="27" t="s">
        <v>8</v>
      </c>
      <c r="DL565" s="27" t="s">
        <v>7</v>
      </c>
      <c r="DM565" s="27" t="s">
        <v>8</v>
      </c>
      <c r="DO565" s="27" t="s">
        <v>8</v>
      </c>
      <c r="DP565" s="27" t="s">
        <v>7</v>
      </c>
      <c r="DQ565" s="27" t="s">
        <v>8</v>
      </c>
      <c r="DR565" s="27" t="s">
        <v>7</v>
      </c>
      <c r="DZ565" s="31"/>
      <c r="EA565" s="27" t="s">
        <v>8</v>
      </c>
      <c r="EC565" s="27" t="s">
        <v>8</v>
      </c>
      <c r="ED565" s="27" t="s">
        <v>7</v>
      </c>
      <c r="EE565" s="27" t="s">
        <v>8</v>
      </c>
      <c r="EF565" s="27" t="s">
        <v>7</v>
      </c>
      <c r="EG565" s="27" t="s">
        <v>8</v>
      </c>
      <c r="EH565" s="27" t="s">
        <v>7</v>
      </c>
      <c r="EI565" s="27" t="s">
        <v>8</v>
      </c>
      <c r="EJ565" s="27" t="s">
        <v>7</v>
      </c>
      <c r="EK565" s="27" t="s">
        <v>8</v>
      </c>
      <c r="EP565" s="31" t="s">
        <v>7</v>
      </c>
      <c r="EQ565" s="27" t="s">
        <v>8</v>
      </c>
      <c r="ER565" s="27" t="s">
        <v>7</v>
      </c>
      <c r="EY565" s="31" t="s">
        <v>8</v>
      </c>
      <c r="EZ565" s="27" t="s">
        <v>7</v>
      </c>
    </row>
    <row r="566" spans="1:158" x14ac:dyDescent="0.25">
      <c r="A566" s="7">
        <v>1.5156663438979221</v>
      </c>
      <c r="B566"/>
      <c r="C566"/>
      <c r="D566"/>
      <c r="E566" t="s">
        <v>8</v>
      </c>
      <c r="AZ566" s="27" t="s">
        <v>7</v>
      </c>
      <c r="BA566" s="27" t="s">
        <v>8</v>
      </c>
      <c r="BB566" s="27" t="s">
        <v>7</v>
      </c>
      <c r="BE566" s="27" t="s">
        <v>8</v>
      </c>
      <c r="BF566" s="27" t="s">
        <v>7</v>
      </c>
      <c r="BG566" s="27" t="s">
        <v>8</v>
      </c>
      <c r="BH566" s="27" t="s">
        <v>7</v>
      </c>
      <c r="BI566" s="27" t="s">
        <v>8</v>
      </c>
      <c r="BJ566" s="27" t="s">
        <v>7</v>
      </c>
      <c r="BK566" s="27" t="s">
        <v>8</v>
      </c>
      <c r="BL566" s="27" t="s">
        <v>7</v>
      </c>
      <c r="CO566" s="27" t="s">
        <v>8</v>
      </c>
      <c r="CP566" s="27" t="s">
        <v>7</v>
      </c>
      <c r="CQ566" s="27" t="s">
        <v>8</v>
      </c>
      <c r="CR566" s="27" t="s">
        <v>7</v>
      </c>
      <c r="CS566" s="27" t="s">
        <v>8</v>
      </c>
      <c r="DJ566" s="27" t="s">
        <v>7</v>
      </c>
      <c r="DK566" s="27" t="s">
        <v>8</v>
      </c>
      <c r="DL566" s="27" t="s">
        <v>7</v>
      </c>
      <c r="DM566" s="27" t="s">
        <v>8</v>
      </c>
      <c r="DN566" s="27" t="s">
        <v>7</v>
      </c>
      <c r="DO566" s="27" t="s">
        <v>8</v>
      </c>
      <c r="DP566" s="27" t="s">
        <v>7</v>
      </c>
      <c r="DQ566" s="27" t="s">
        <v>8</v>
      </c>
      <c r="DR566" s="27" t="s">
        <v>7</v>
      </c>
      <c r="EA566" s="31" t="s">
        <v>8</v>
      </c>
      <c r="EB566" s="27" t="s">
        <v>7</v>
      </c>
      <c r="EC566" s="27" t="s">
        <v>8</v>
      </c>
      <c r="ED566" s="27" t="s">
        <v>7</v>
      </c>
      <c r="EE566" s="27" t="s">
        <v>8</v>
      </c>
      <c r="EF566" s="27" t="s">
        <v>7</v>
      </c>
      <c r="EG566" s="27" t="s">
        <v>8</v>
      </c>
      <c r="EH566" s="27" t="s">
        <v>7</v>
      </c>
      <c r="EI566" s="27" t="s">
        <v>8</v>
      </c>
      <c r="EJ566" s="27" t="s">
        <v>7</v>
      </c>
      <c r="EK566" s="27" t="s">
        <v>8</v>
      </c>
      <c r="EO566" s="31"/>
      <c r="EP566" s="27" t="s">
        <v>7</v>
      </c>
      <c r="EQ566" s="27" t="s">
        <v>8</v>
      </c>
      <c r="ER566" s="27" t="s">
        <v>7</v>
      </c>
      <c r="EY566" s="27" t="s">
        <v>8</v>
      </c>
      <c r="EZ566" s="27" t="s">
        <v>7</v>
      </c>
      <c r="FA566" s="27" t="s">
        <v>8</v>
      </c>
    </row>
    <row r="567" spans="1:158" x14ac:dyDescent="0.25">
      <c r="A567" s="7">
        <v>1.4859473959783549</v>
      </c>
      <c r="B567"/>
      <c r="C567"/>
      <c r="D567"/>
      <c r="E567" t="s">
        <v>8</v>
      </c>
      <c r="AZ567" s="27" t="s">
        <v>7</v>
      </c>
      <c r="BA567" s="27" t="s">
        <v>8</v>
      </c>
      <c r="BB567" s="27" t="s">
        <v>7</v>
      </c>
      <c r="BE567" s="27" t="s">
        <v>8</v>
      </c>
      <c r="BF567" s="27" t="s">
        <v>7</v>
      </c>
      <c r="BG567" s="27" t="s">
        <v>8</v>
      </c>
      <c r="BH567" s="27" t="s">
        <v>7</v>
      </c>
      <c r="BI567" s="27" t="s">
        <v>8</v>
      </c>
      <c r="BJ567" s="27" t="s">
        <v>7</v>
      </c>
      <c r="BL567" s="27" t="s">
        <v>7</v>
      </c>
      <c r="BM567" s="27" t="s">
        <v>8</v>
      </c>
      <c r="CO567" s="27" t="s">
        <v>8</v>
      </c>
      <c r="CP567" s="27" t="s">
        <v>7</v>
      </c>
      <c r="CQ567" s="27" t="s">
        <v>8</v>
      </c>
      <c r="CR567" s="27" t="s">
        <v>7</v>
      </c>
      <c r="CS567" s="27" t="s">
        <v>8</v>
      </c>
      <c r="DJ567" s="27" t="s">
        <v>7</v>
      </c>
      <c r="DK567" s="27" t="s">
        <v>8</v>
      </c>
      <c r="DL567" s="27" t="s">
        <v>7</v>
      </c>
      <c r="DM567" s="27" t="s">
        <v>8</v>
      </c>
      <c r="DN567" s="27" t="s">
        <v>7</v>
      </c>
      <c r="DO567" s="27" t="s">
        <v>8</v>
      </c>
      <c r="DP567" s="27" t="s">
        <v>7</v>
      </c>
      <c r="DQ567" s="27" t="s">
        <v>8</v>
      </c>
      <c r="DR567" s="27" t="s">
        <v>7</v>
      </c>
      <c r="EA567" s="27" t="s">
        <v>8</v>
      </c>
      <c r="EB567" s="27" t="s">
        <v>7</v>
      </c>
      <c r="EC567" s="27" t="s">
        <v>8</v>
      </c>
      <c r="ED567" s="27" t="s">
        <v>7</v>
      </c>
      <c r="EE567" s="27" t="s">
        <v>8</v>
      </c>
      <c r="EF567" s="27" t="s">
        <v>7</v>
      </c>
      <c r="EH567" s="27" t="s">
        <v>7</v>
      </c>
      <c r="EJ567" s="27" t="s">
        <v>7</v>
      </c>
      <c r="EK567" s="27" t="s">
        <v>8</v>
      </c>
      <c r="EN567" s="31"/>
      <c r="EP567" s="27" t="s">
        <v>7</v>
      </c>
      <c r="ER567" s="27" t="s">
        <v>7</v>
      </c>
      <c r="EY567" s="27" t="s">
        <v>8</v>
      </c>
      <c r="EZ567" s="27" t="s">
        <v>7</v>
      </c>
      <c r="FA567" s="27" t="s">
        <v>8</v>
      </c>
      <c r="FB567" s="27" t="s">
        <v>7</v>
      </c>
    </row>
    <row r="568" spans="1:158" x14ac:dyDescent="0.25">
      <c r="A568" s="7">
        <v>1.4568111725277988</v>
      </c>
      <c r="B568"/>
      <c r="C568"/>
      <c r="D568"/>
      <c r="E568" t="s">
        <v>8</v>
      </c>
      <c r="AZ568" s="27" t="s">
        <v>7</v>
      </c>
      <c r="BA568" s="27" t="s">
        <v>8</v>
      </c>
      <c r="BB568" s="27" t="s">
        <v>7</v>
      </c>
      <c r="BE568" s="27" t="s">
        <v>8</v>
      </c>
      <c r="BF568" s="27" t="s">
        <v>7</v>
      </c>
      <c r="BG568" s="27" t="s">
        <v>8</v>
      </c>
      <c r="BH568" s="27" t="s">
        <v>7</v>
      </c>
      <c r="BI568" s="27" t="s">
        <v>8</v>
      </c>
      <c r="BL568" s="27" t="s">
        <v>7</v>
      </c>
      <c r="BM568" s="27" t="s">
        <v>8</v>
      </c>
      <c r="BN568" s="27" t="s">
        <v>7</v>
      </c>
      <c r="CO568" s="27" t="s">
        <v>8</v>
      </c>
      <c r="CP568" s="27" t="s">
        <v>7</v>
      </c>
      <c r="CQ568" s="27" t="s">
        <v>8</v>
      </c>
      <c r="CR568" s="27" t="s">
        <v>7</v>
      </c>
      <c r="CS568" s="27" t="s">
        <v>8</v>
      </c>
      <c r="DJ568" s="27" t="s">
        <v>7</v>
      </c>
      <c r="DK568" s="27" t="s">
        <v>8</v>
      </c>
      <c r="DL568" s="27" t="s">
        <v>7</v>
      </c>
      <c r="DM568" s="27" t="s">
        <v>8</v>
      </c>
      <c r="DN568" s="27" t="s">
        <v>7</v>
      </c>
      <c r="DO568" s="27" t="s">
        <v>8</v>
      </c>
      <c r="DP568" s="27" t="s">
        <v>7</v>
      </c>
      <c r="DQ568" s="27" t="s">
        <v>8</v>
      </c>
      <c r="DR568" s="27" t="s">
        <v>7</v>
      </c>
      <c r="DW568" s="27" t="s">
        <v>8</v>
      </c>
      <c r="DY568" s="27" t="s">
        <v>8</v>
      </c>
      <c r="EA568" s="27" t="s">
        <v>8</v>
      </c>
      <c r="EB568" s="27" t="s">
        <v>7</v>
      </c>
      <c r="EC568" s="27" t="s">
        <v>8</v>
      </c>
      <c r="ED568" s="27" t="s">
        <v>7</v>
      </c>
      <c r="EJ568" s="27" t="s">
        <v>7</v>
      </c>
      <c r="EK568" s="27" t="s">
        <v>8</v>
      </c>
      <c r="EM568" s="31"/>
      <c r="ER568" s="27" t="s">
        <v>7</v>
      </c>
      <c r="EU568" s="27" t="s">
        <v>8</v>
      </c>
      <c r="EY568" s="27" t="s">
        <v>8</v>
      </c>
      <c r="EZ568" s="27" t="s">
        <v>7</v>
      </c>
      <c r="FA568" s="27" t="s">
        <v>8</v>
      </c>
      <c r="FB568" s="27" t="s">
        <v>7</v>
      </c>
    </row>
    <row r="569" spans="1:158" x14ac:dyDescent="0.25">
      <c r="A569" s="7">
        <v>1.4282462475762734</v>
      </c>
      <c r="B569"/>
      <c r="C569"/>
      <c r="D569"/>
      <c r="E569" t="s">
        <v>8</v>
      </c>
      <c r="AZ569" s="27" t="s">
        <v>7</v>
      </c>
      <c r="BA569" s="27" t="s">
        <v>8</v>
      </c>
      <c r="BB569" s="27" t="s">
        <v>7</v>
      </c>
      <c r="BE569" s="27" t="s">
        <v>8</v>
      </c>
      <c r="BF569" s="27" t="s">
        <v>7</v>
      </c>
      <c r="BG569" s="27" t="s">
        <v>8</v>
      </c>
      <c r="BH569" s="27" t="s">
        <v>7</v>
      </c>
      <c r="BI569" s="27" t="s">
        <v>8</v>
      </c>
      <c r="BL569" s="27" t="s">
        <v>7</v>
      </c>
      <c r="BM569" s="27" t="s">
        <v>8</v>
      </c>
      <c r="BN569" s="27" t="s">
        <v>7</v>
      </c>
      <c r="BO569" s="27" t="s">
        <v>8</v>
      </c>
      <c r="CO569" s="27" t="s">
        <v>8</v>
      </c>
      <c r="CP569" s="27" t="s">
        <v>7</v>
      </c>
      <c r="CQ569" s="27" t="s">
        <v>8</v>
      </c>
      <c r="CR569" s="27" t="s">
        <v>7</v>
      </c>
      <c r="DJ569" s="27" t="s">
        <v>7</v>
      </c>
      <c r="DK569" s="27" t="s">
        <v>8</v>
      </c>
      <c r="DL569" s="27" t="s">
        <v>7</v>
      </c>
      <c r="DM569" s="27" t="s">
        <v>8</v>
      </c>
      <c r="DN569" s="27" t="s">
        <v>7</v>
      </c>
      <c r="DO569" s="27" t="s">
        <v>8</v>
      </c>
      <c r="DP569" s="27" t="s">
        <v>7</v>
      </c>
      <c r="DR569" s="27" t="s">
        <v>7</v>
      </c>
      <c r="DW569" s="27" t="s">
        <v>8</v>
      </c>
      <c r="DX569" s="27" t="s">
        <v>7</v>
      </c>
      <c r="DY569" s="27" t="s">
        <v>8</v>
      </c>
      <c r="DZ569" s="27" t="s">
        <v>7</v>
      </c>
      <c r="EA569" s="27" t="s">
        <v>8</v>
      </c>
      <c r="EB569" s="27" t="s">
        <v>7</v>
      </c>
      <c r="EC569" s="27" t="s">
        <v>8</v>
      </c>
      <c r="EJ569" s="27" t="s">
        <v>7</v>
      </c>
      <c r="EK569" s="27" t="s">
        <v>8</v>
      </c>
      <c r="EL569" s="31"/>
      <c r="ER569" s="27" t="s">
        <v>7</v>
      </c>
      <c r="ES569" s="27" t="s">
        <v>8</v>
      </c>
      <c r="EU569" s="27" t="s">
        <v>8</v>
      </c>
      <c r="EV569" s="27" t="s">
        <v>7</v>
      </c>
      <c r="EW569" s="27" t="s">
        <v>8</v>
      </c>
      <c r="EY569" s="27" t="s">
        <v>8</v>
      </c>
      <c r="EZ569" s="27" t="s">
        <v>7</v>
      </c>
      <c r="FA569" s="27" t="s">
        <v>8</v>
      </c>
      <c r="FB569" s="27" t="s">
        <v>7</v>
      </c>
    </row>
    <row r="570" spans="1:158" x14ac:dyDescent="0.25">
      <c r="A570" s="7">
        <v>1.4002414191924248</v>
      </c>
      <c r="B570"/>
      <c r="C570"/>
      <c r="D570"/>
      <c r="E570" t="s">
        <v>8</v>
      </c>
      <c r="AZ570" s="27" t="s">
        <v>7</v>
      </c>
      <c r="BA570" s="27" t="s">
        <v>8</v>
      </c>
      <c r="BB570" s="27" t="s">
        <v>7</v>
      </c>
      <c r="BC570" s="27" t="s">
        <v>8</v>
      </c>
      <c r="BE570" s="27" t="s">
        <v>8</v>
      </c>
      <c r="BF570" s="27" t="s">
        <v>7</v>
      </c>
      <c r="BG570" s="27" t="s">
        <v>8</v>
      </c>
      <c r="BH570" s="27" t="s">
        <v>7</v>
      </c>
      <c r="BI570" s="27" t="s">
        <v>8</v>
      </c>
      <c r="BL570" s="27" t="s">
        <v>7</v>
      </c>
      <c r="BM570" s="27" t="s">
        <v>8</v>
      </c>
      <c r="BN570" s="27" t="s">
        <v>7</v>
      </c>
      <c r="BO570" s="27" t="s">
        <v>8</v>
      </c>
      <c r="BP570" s="27" t="s">
        <v>7</v>
      </c>
      <c r="BQ570" s="27" t="s">
        <v>8</v>
      </c>
      <c r="CO570" s="27" t="s">
        <v>8</v>
      </c>
      <c r="CP570" s="27" t="s">
        <v>7</v>
      </c>
      <c r="CQ570" s="27" t="s">
        <v>8</v>
      </c>
      <c r="DJ570" s="27" t="s">
        <v>7</v>
      </c>
      <c r="DK570" s="27" t="s">
        <v>8</v>
      </c>
      <c r="DL570" s="27" t="s">
        <v>7</v>
      </c>
      <c r="DN570" s="27" t="s">
        <v>7</v>
      </c>
      <c r="DO570" s="27" t="s">
        <v>8</v>
      </c>
      <c r="DR570" s="27" t="s">
        <v>7</v>
      </c>
      <c r="DS570" s="27" t="s">
        <v>8</v>
      </c>
      <c r="DW570" s="27" t="s">
        <v>8</v>
      </c>
      <c r="DX570" s="27" t="s">
        <v>7</v>
      </c>
      <c r="DY570" s="27" t="s">
        <v>8</v>
      </c>
      <c r="DZ570" s="27" t="s">
        <v>7</v>
      </c>
      <c r="EA570" s="27" t="s">
        <v>8</v>
      </c>
      <c r="EB570" s="27" t="s">
        <v>7</v>
      </c>
      <c r="EC570" s="27" t="s">
        <v>8</v>
      </c>
      <c r="EJ570" s="31" t="s">
        <v>7</v>
      </c>
      <c r="EK570" s="31" t="s">
        <v>8</v>
      </c>
      <c r="ER570" s="27" t="s">
        <v>7</v>
      </c>
      <c r="ES570" s="27" t="s">
        <v>8</v>
      </c>
      <c r="ET570" s="27" t="s">
        <v>7</v>
      </c>
      <c r="EU570" s="27" t="s">
        <v>8</v>
      </c>
      <c r="EV570" s="27" t="s">
        <v>7</v>
      </c>
      <c r="EW570" s="27" t="s">
        <v>8</v>
      </c>
      <c r="EX570" s="27" t="s">
        <v>7</v>
      </c>
      <c r="EY570" s="27" t="s">
        <v>8</v>
      </c>
      <c r="EZ570" s="27" t="s">
        <v>7</v>
      </c>
      <c r="FA570" s="27" t="s">
        <v>8</v>
      </c>
      <c r="FB570" s="27" t="s">
        <v>7</v>
      </c>
    </row>
    <row r="571" spans="1:158" x14ac:dyDescent="0.25">
      <c r="A571" s="7">
        <v>1.3727857050906125</v>
      </c>
      <c r="B571"/>
      <c r="C571"/>
      <c r="D571"/>
      <c r="E571" t="s">
        <v>8</v>
      </c>
      <c r="AZ571" s="27" t="s">
        <v>7</v>
      </c>
      <c r="BA571" s="27" t="s">
        <v>8</v>
      </c>
      <c r="BB571" s="27" t="s">
        <v>7</v>
      </c>
      <c r="BC571" s="27" t="s">
        <v>8</v>
      </c>
      <c r="BD571" s="27" t="s">
        <v>7</v>
      </c>
      <c r="BE571" s="27" t="s">
        <v>8</v>
      </c>
      <c r="BF571" s="27" t="s">
        <v>7</v>
      </c>
      <c r="BG571" s="27" t="s">
        <v>8</v>
      </c>
      <c r="BH571" s="27" t="s">
        <v>7</v>
      </c>
      <c r="BI571" s="27" t="s">
        <v>8</v>
      </c>
      <c r="BL571" s="27" t="s">
        <v>7</v>
      </c>
      <c r="BM571" s="27" t="s">
        <v>8</v>
      </c>
      <c r="BN571" s="27" t="s">
        <v>7</v>
      </c>
      <c r="BO571" s="27" t="s">
        <v>8</v>
      </c>
      <c r="BP571" s="27" t="s">
        <v>7</v>
      </c>
      <c r="BQ571" s="27" t="s">
        <v>8</v>
      </c>
      <c r="BR571" s="27" t="s">
        <v>7</v>
      </c>
      <c r="CA571" s="27" t="s">
        <v>8</v>
      </c>
      <c r="CO571" s="27" t="s">
        <v>8</v>
      </c>
      <c r="CP571" s="27" t="s">
        <v>7</v>
      </c>
      <c r="CQ571" s="27" t="s">
        <v>8</v>
      </c>
      <c r="DJ571" s="27" t="s">
        <v>7</v>
      </c>
      <c r="DK571" s="27" t="s">
        <v>8</v>
      </c>
      <c r="DN571" s="27" t="s">
        <v>7</v>
      </c>
      <c r="DO571" s="27" t="s">
        <v>8</v>
      </c>
      <c r="DR571" s="27" t="s">
        <v>7</v>
      </c>
      <c r="DS571" s="27" t="s">
        <v>8</v>
      </c>
      <c r="DT571" s="27" t="s">
        <v>7</v>
      </c>
      <c r="DW571" s="27" t="s">
        <v>8</v>
      </c>
      <c r="DX571" s="27" t="s">
        <v>7</v>
      </c>
      <c r="DY571" s="27" t="s">
        <v>8</v>
      </c>
      <c r="DZ571" s="27" t="s">
        <v>7</v>
      </c>
      <c r="EA571" s="27" t="s">
        <v>8</v>
      </c>
      <c r="EB571" s="27" t="s">
        <v>7</v>
      </c>
      <c r="EC571" s="27" t="s">
        <v>8</v>
      </c>
      <c r="EI571" s="31"/>
      <c r="EJ571" s="27" t="s">
        <v>7</v>
      </c>
      <c r="ER571" s="27" t="s">
        <v>7</v>
      </c>
      <c r="ES571" s="27" t="s">
        <v>8</v>
      </c>
      <c r="ET571" s="27" t="s">
        <v>7</v>
      </c>
      <c r="EU571" s="27" t="s">
        <v>8</v>
      </c>
      <c r="EV571" s="27" t="s">
        <v>7</v>
      </c>
      <c r="EW571" s="27" t="s">
        <v>8</v>
      </c>
      <c r="EX571" s="27" t="s">
        <v>7</v>
      </c>
      <c r="EY571" s="27" t="s">
        <v>8</v>
      </c>
      <c r="EZ571" s="27" t="s">
        <v>7</v>
      </c>
      <c r="FB571" s="27" t="s">
        <v>7</v>
      </c>
    </row>
    <row r="572" spans="1:158" x14ac:dyDescent="0.25">
      <c r="A572" s="7">
        <v>1.3458683383241299</v>
      </c>
      <c r="B572"/>
      <c r="C572"/>
      <c r="D572"/>
      <c r="E572" t="s">
        <v>8</v>
      </c>
      <c r="AZ572" s="27" t="s">
        <v>7</v>
      </c>
      <c r="BA572" s="27" t="s">
        <v>8</v>
      </c>
      <c r="BB572" s="27" t="s">
        <v>7</v>
      </c>
      <c r="BC572" s="27" t="s">
        <v>8</v>
      </c>
      <c r="BD572" s="27" t="s">
        <v>7</v>
      </c>
      <c r="BE572" s="27" t="s">
        <v>8</v>
      </c>
      <c r="BF572" s="27" t="s">
        <v>7</v>
      </c>
      <c r="BG572" s="27" t="s">
        <v>8</v>
      </c>
      <c r="BH572" s="27" t="s">
        <v>7</v>
      </c>
      <c r="BI572" s="27" t="s">
        <v>8</v>
      </c>
      <c r="BL572" s="27" t="s">
        <v>7</v>
      </c>
      <c r="BM572" s="27" t="s">
        <v>8</v>
      </c>
      <c r="BN572" s="27" t="s">
        <v>7</v>
      </c>
      <c r="BO572" s="27" t="s">
        <v>8</v>
      </c>
      <c r="BP572" s="27" t="s">
        <v>7</v>
      </c>
      <c r="BQ572" s="27" t="s">
        <v>8</v>
      </c>
      <c r="BR572" s="27" t="s">
        <v>7</v>
      </c>
      <c r="CA572" s="27" t="s">
        <v>8</v>
      </c>
      <c r="CB572" s="27" t="s">
        <v>7</v>
      </c>
      <c r="CO572" s="27" t="s">
        <v>8</v>
      </c>
      <c r="CP572" s="27" t="s">
        <v>7</v>
      </c>
      <c r="DJ572" s="27" t="s">
        <v>7</v>
      </c>
      <c r="DK572" s="27" t="s">
        <v>8</v>
      </c>
      <c r="DN572" s="27" t="s">
        <v>7</v>
      </c>
      <c r="DO572" s="27" t="s">
        <v>8</v>
      </c>
      <c r="DR572" s="27" t="s">
        <v>7</v>
      </c>
      <c r="DS572" s="27" t="s">
        <v>8</v>
      </c>
      <c r="DT572" s="27" t="s">
        <v>7</v>
      </c>
      <c r="DU572" s="27" t="s">
        <v>8</v>
      </c>
      <c r="DW572" s="27" t="s">
        <v>8</v>
      </c>
      <c r="DX572" s="27" t="s">
        <v>7</v>
      </c>
      <c r="DY572" s="27" t="s">
        <v>8</v>
      </c>
      <c r="DZ572" s="27" t="s">
        <v>7</v>
      </c>
      <c r="EA572" s="27" t="s">
        <v>8</v>
      </c>
      <c r="EB572" s="27" t="s">
        <v>7</v>
      </c>
      <c r="EC572" s="27" t="s">
        <v>8</v>
      </c>
      <c r="EH572" s="31"/>
      <c r="ER572" s="27" t="s">
        <v>7</v>
      </c>
      <c r="ET572" s="27" t="s">
        <v>7</v>
      </c>
      <c r="EU572" s="27" t="s">
        <v>8</v>
      </c>
      <c r="EV572" s="27" t="s">
        <v>7</v>
      </c>
      <c r="EW572" s="27" t="s">
        <v>8</v>
      </c>
      <c r="EX572" s="27" t="s">
        <v>7</v>
      </c>
      <c r="EY572" s="27" t="s">
        <v>8</v>
      </c>
      <c r="FB572" s="27" t="s">
        <v>7</v>
      </c>
    </row>
    <row r="573" spans="1:158" x14ac:dyDescent="0.25">
      <c r="A573" s="7">
        <v>1.3194787630628724</v>
      </c>
      <c r="B573"/>
      <c r="C573"/>
      <c r="D573"/>
      <c r="E573" t="s">
        <v>8</v>
      </c>
      <c r="AZ573" s="27" t="s">
        <v>7</v>
      </c>
      <c r="BA573" s="27" t="s">
        <v>8</v>
      </c>
      <c r="BB573" s="27" t="s">
        <v>7</v>
      </c>
      <c r="BC573" s="27" t="s">
        <v>8</v>
      </c>
      <c r="BD573" s="27" t="s">
        <v>7</v>
      </c>
      <c r="BE573" s="27" t="s">
        <v>8</v>
      </c>
      <c r="BF573" s="27" t="s">
        <v>7</v>
      </c>
      <c r="BG573" s="27" t="s">
        <v>8</v>
      </c>
      <c r="BH573" s="27" t="s">
        <v>7</v>
      </c>
      <c r="BI573" s="27" t="s">
        <v>8</v>
      </c>
      <c r="BL573" s="27" t="s">
        <v>7</v>
      </c>
      <c r="BM573" s="27" t="s">
        <v>8</v>
      </c>
      <c r="BN573" s="27" t="s">
        <v>7</v>
      </c>
      <c r="BO573" s="27" t="s">
        <v>8</v>
      </c>
      <c r="BP573" s="27" t="s">
        <v>7</v>
      </c>
      <c r="BQ573" s="27" t="s">
        <v>8</v>
      </c>
      <c r="BR573" s="27" t="s">
        <v>7</v>
      </c>
      <c r="CA573" s="27" t="s">
        <v>8</v>
      </c>
      <c r="CB573" s="27" t="s">
        <v>7</v>
      </c>
      <c r="CO573" s="27" t="s">
        <v>8</v>
      </c>
      <c r="DJ573" s="27" t="s">
        <v>7</v>
      </c>
      <c r="DN573" s="27" t="s">
        <v>7</v>
      </c>
      <c r="DO573" s="27" t="s">
        <v>8</v>
      </c>
      <c r="DR573" s="27" t="s">
        <v>7</v>
      </c>
      <c r="DS573" s="27" t="s">
        <v>8</v>
      </c>
      <c r="DT573" s="27" t="s">
        <v>7</v>
      </c>
      <c r="DU573" s="27" t="s">
        <v>8</v>
      </c>
      <c r="DV573" s="27" t="s">
        <v>7</v>
      </c>
      <c r="DW573" s="27" t="s">
        <v>8</v>
      </c>
      <c r="DX573" s="27" t="s">
        <v>7</v>
      </c>
      <c r="DY573" s="27" t="s">
        <v>8</v>
      </c>
      <c r="DZ573" s="27" t="s">
        <v>7</v>
      </c>
      <c r="EA573" s="27" t="s">
        <v>8</v>
      </c>
      <c r="EB573" s="27" t="s">
        <v>7</v>
      </c>
      <c r="EC573" s="27" t="s">
        <v>8</v>
      </c>
      <c r="EG573" s="31"/>
      <c r="ET573" s="27" t="s">
        <v>7</v>
      </c>
      <c r="EU573" s="27" t="s">
        <v>8</v>
      </c>
      <c r="EV573" s="27" t="s">
        <v>7</v>
      </c>
      <c r="EX573" s="27" t="s">
        <v>7</v>
      </c>
      <c r="EY573" s="27" t="s">
        <v>8</v>
      </c>
      <c r="FB573" s="27" t="s">
        <v>7</v>
      </c>
    </row>
    <row r="574" spans="1:158" x14ac:dyDescent="0.25">
      <c r="A574" s="7">
        <v>1.2936066304537963</v>
      </c>
      <c r="B574"/>
      <c r="C574"/>
      <c r="D574"/>
      <c r="E574" t="s">
        <v>8</v>
      </c>
      <c r="AZ574" s="27" t="s">
        <v>7</v>
      </c>
      <c r="BA574" s="27" t="s">
        <v>8</v>
      </c>
      <c r="BB574" s="27" t="s">
        <v>7</v>
      </c>
      <c r="BC574" s="27" t="s">
        <v>8</v>
      </c>
      <c r="BD574" s="27" t="s">
        <v>7</v>
      </c>
      <c r="BE574" s="27" t="s">
        <v>8</v>
      </c>
      <c r="BF574" s="27" t="s">
        <v>7</v>
      </c>
      <c r="BG574" s="27" t="s">
        <v>8</v>
      </c>
      <c r="BH574" s="27" t="s">
        <v>7</v>
      </c>
      <c r="BL574" s="27" t="s">
        <v>7</v>
      </c>
      <c r="BN574" s="27" t="s">
        <v>7</v>
      </c>
      <c r="BO574" s="27" t="s">
        <v>8</v>
      </c>
      <c r="BP574" s="27" t="s">
        <v>7</v>
      </c>
      <c r="BQ574" s="27" t="s">
        <v>8</v>
      </c>
      <c r="BR574" s="27" t="s">
        <v>7</v>
      </c>
      <c r="CA574" s="27" t="s">
        <v>8</v>
      </c>
      <c r="CB574" s="27" t="s">
        <v>7</v>
      </c>
      <c r="CM574" s="27" t="s">
        <v>8</v>
      </c>
      <c r="CO574" s="27" t="s">
        <v>8</v>
      </c>
      <c r="DN574" s="27" t="s">
        <v>7</v>
      </c>
      <c r="DR574" s="27" t="s">
        <v>7</v>
      </c>
      <c r="DS574" s="27" t="s">
        <v>8</v>
      </c>
      <c r="DT574" s="27" t="s">
        <v>7</v>
      </c>
      <c r="DU574" s="27" t="s">
        <v>8</v>
      </c>
      <c r="DV574" s="27" t="s">
        <v>7</v>
      </c>
      <c r="DW574" s="27" t="s">
        <v>8</v>
      </c>
      <c r="DX574" s="27" t="s">
        <v>7</v>
      </c>
      <c r="DY574" s="27" t="s">
        <v>8</v>
      </c>
      <c r="DZ574" s="27" t="s">
        <v>7</v>
      </c>
      <c r="EB574" s="27" t="s">
        <v>7</v>
      </c>
      <c r="EC574" s="27" t="s">
        <v>8</v>
      </c>
      <c r="EF574" s="31"/>
      <c r="ET574" s="27" t="s">
        <v>7</v>
      </c>
      <c r="EU574" s="27" t="s">
        <v>8</v>
      </c>
      <c r="EX574" s="27" t="s">
        <v>7</v>
      </c>
      <c r="EY574" s="27" t="s">
        <v>8</v>
      </c>
      <c r="EZ574" s="31"/>
      <c r="FB574" s="27" t="s">
        <v>7</v>
      </c>
    </row>
    <row r="575" spans="1:158" x14ac:dyDescent="0.25">
      <c r="A575" s="7">
        <v>1.2682417945625455</v>
      </c>
      <c r="B575"/>
      <c r="C575"/>
      <c r="D575"/>
      <c r="E575" t="s">
        <v>8</v>
      </c>
      <c r="AZ575" s="27" t="s">
        <v>7</v>
      </c>
      <c r="BA575" s="27" t="s">
        <v>8</v>
      </c>
      <c r="BB575" s="27" t="s">
        <v>7</v>
      </c>
      <c r="BC575" s="27" t="s">
        <v>8</v>
      </c>
      <c r="BD575" s="27" t="s">
        <v>7</v>
      </c>
      <c r="BE575" s="27" t="s">
        <v>8</v>
      </c>
      <c r="BF575" s="27" t="s">
        <v>7</v>
      </c>
      <c r="BG575" s="27" t="s">
        <v>8</v>
      </c>
      <c r="BN575" s="27" t="s">
        <v>7</v>
      </c>
      <c r="BO575" s="27" t="s">
        <v>8</v>
      </c>
      <c r="BP575" s="27" t="s">
        <v>7</v>
      </c>
      <c r="BQ575" s="27" t="s">
        <v>8</v>
      </c>
      <c r="BR575" s="27" t="s">
        <v>7</v>
      </c>
      <c r="CA575" s="27" t="s">
        <v>8</v>
      </c>
      <c r="CB575" s="27" t="s">
        <v>7</v>
      </c>
      <c r="CM575" s="27" t="s">
        <v>8</v>
      </c>
      <c r="CN575" s="27" t="s">
        <v>7</v>
      </c>
      <c r="CO575" s="27" t="s">
        <v>8</v>
      </c>
      <c r="DR575" s="27" t="s">
        <v>7</v>
      </c>
      <c r="DS575" s="27" t="s">
        <v>8</v>
      </c>
      <c r="DT575" s="27" t="s">
        <v>7</v>
      </c>
      <c r="DU575" s="27" t="s">
        <v>8</v>
      </c>
      <c r="DV575" s="27" t="s">
        <v>7</v>
      </c>
      <c r="DW575" s="27" t="s">
        <v>8</v>
      </c>
      <c r="DX575" s="27" t="s">
        <v>7</v>
      </c>
      <c r="EB575" s="27" t="s">
        <v>7</v>
      </c>
      <c r="EC575" s="27" t="s">
        <v>8</v>
      </c>
      <c r="EE575" s="31"/>
      <c r="ET575" s="27" t="s">
        <v>7</v>
      </c>
      <c r="EU575" s="27" t="s">
        <v>8</v>
      </c>
      <c r="EX575" s="27" t="s">
        <v>7</v>
      </c>
      <c r="EY575" s="31" t="s">
        <v>8</v>
      </c>
      <c r="FB575" s="27" t="s">
        <v>7</v>
      </c>
    </row>
    <row r="576" spans="1:158" x14ac:dyDescent="0.25">
      <c r="A576" s="7">
        <v>1.2433743083946525</v>
      </c>
      <c r="B576"/>
      <c r="C576"/>
      <c r="D576"/>
      <c r="E576" t="s">
        <v>8</v>
      </c>
      <c r="AZ576" s="27" t="s">
        <v>7</v>
      </c>
      <c r="BA576" s="27" t="s">
        <v>8</v>
      </c>
      <c r="BB576" s="27" t="s">
        <v>7</v>
      </c>
      <c r="BC576" s="27" t="s">
        <v>8</v>
      </c>
      <c r="BD576" s="27" t="s">
        <v>7</v>
      </c>
      <c r="BE576" s="27" t="s">
        <v>8</v>
      </c>
      <c r="BF576" s="27" t="s">
        <v>7</v>
      </c>
      <c r="BG576" s="27" t="s">
        <v>8</v>
      </c>
      <c r="BN576" s="27" t="s">
        <v>7</v>
      </c>
      <c r="BO576" s="27" t="s">
        <v>8</v>
      </c>
      <c r="BP576" s="27" t="s">
        <v>7</v>
      </c>
      <c r="BR576" s="27" t="s">
        <v>7</v>
      </c>
      <c r="CA576" s="27" t="s">
        <v>8</v>
      </c>
      <c r="CB576" s="27" t="s">
        <v>7</v>
      </c>
      <c r="CC576" s="27" t="s">
        <v>8</v>
      </c>
      <c r="CM576" s="27" t="s">
        <v>8</v>
      </c>
      <c r="CN576" s="27" t="s">
        <v>7</v>
      </c>
      <c r="CO576" s="27" t="s">
        <v>8</v>
      </c>
      <c r="DR576" s="27" t="s">
        <v>7</v>
      </c>
      <c r="DS576" s="27" t="s">
        <v>8</v>
      </c>
      <c r="DT576" s="27" t="s">
        <v>7</v>
      </c>
      <c r="DU576" s="27" t="s">
        <v>8</v>
      </c>
      <c r="DV576" s="27" t="s">
        <v>7</v>
      </c>
      <c r="DW576" s="27" t="s">
        <v>8</v>
      </c>
      <c r="EB576" s="27" t="s">
        <v>7</v>
      </c>
      <c r="EC576" s="27" t="s">
        <v>8</v>
      </c>
      <c r="ED576" s="31"/>
      <c r="ET576" s="27" t="s">
        <v>7</v>
      </c>
      <c r="EU576" s="27" t="s">
        <v>8</v>
      </c>
      <c r="EX576" s="31" t="s">
        <v>7</v>
      </c>
      <c r="FB576" s="27" t="s">
        <v>7</v>
      </c>
    </row>
    <row r="577" spans="1:174" x14ac:dyDescent="0.25">
      <c r="A577" s="7">
        <v>1.2189944199947573</v>
      </c>
      <c r="B577"/>
      <c r="C577"/>
      <c r="D577"/>
      <c r="E577" t="s">
        <v>8</v>
      </c>
      <c r="AZ577" s="27" t="s">
        <v>7</v>
      </c>
      <c r="BA577" s="27" t="s">
        <v>8</v>
      </c>
      <c r="BB577" s="27" t="s">
        <v>7</v>
      </c>
      <c r="BC577" s="27" t="s">
        <v>8</v>
      </c>
      <c r="BD577" s="27" t="s">
        <v>7</v>
      </c>
      <c r="BE577" s="27" t="s">
        <v>8</v>
      </c>
      <c r="BF577" s="27" t="s">
        <v>7</v>
      </c>
      <c r="BG577" s="27" t="s">
        <v>8</v>
      </c>
      <c r="BN577" s="27" t="s">
        <v>7</v>
      </c>
      <c r="BO577" s="27" t="s">
        <v>8</v>
      </c>
      <c r="BR577" s="27" t="s">
        <v>7</v>
      </c>
      <c r="CA577" s="27" t="s">
        <v>8</v>
      </c>
      <c r="CB577" s="27" t="s">
        <v>7</v>
      </c>
      <c r="CC577" s="27" t="s">
        <v>8</v>
      </c>
      <c r="CD577" s="27" t="s">
        <v>7</v>
      </c>
      <c r="CK577" s="27" t="s">
        <v>8</v>
      </c>
      <c r="CM577" s="27" t="s">
        <v>8</v>
      </c>
      <c r="CN577" s="27" t="s">
        <v>7</v>
      </c>
      <c r="CO577" s="27" t="s">
        <v>8</v>
      </c>
      <c r="DR577" s="27" t="s">
        <v>7</v>
      </c>
      <c r="DS577" s="27" t="s">
        <v>8</v>
      </c>
      <c r="DT577" s="27" t="s">
        <v>7</v>
      </c>
      <c r="DU577" s="27" t="s">
        <v>8</v>
      </c>
      <c r="DV577" s="27" t="s">
        <v>7</v>
      </c>
      <c r="DW577" s="27" t="s">
        <v>8</v>
      </c>
      <c r="EB577" s="27" t="s">
        <v>7</v>
      </c>
      <c r="EC577" s="31" t="s">
        <v>8</v>
      </c>
      <c r="ET577" s="27" t="s">
        <v>7</v>
      </c>
      <c r="FB577" s="27" t="s">
        <v>7</v>
      </c>
    </row>
    <row r="578" spans="1:174" x14ac:dyDescent="0.25">
      <c r="A578" s="7">
        <v>1.1950925686223111</v>
      </c>
      <c r="B578"/>
      <c r="C578"/>
      <c r="D578"/>
      <c r="E578" t="s">
        <v>8</v>
      </c>
      <c r="AZ578" s="27" t="s">
        <v>7</v>
      </c>
      <c r="BA578" s="27" t="s">
        <v>8</v>
      </c>
      <c r="BB578" s="27" t="s">
        <v>7</v>
      </c>
      <c r="BC578" s="27" t="s">
        <v>8</v>
      </c>
      <c r="BD578" s="27" t="s">
        <v>7</v>
      </c>
      <c r="BE578" s="27" t="s">
        <v>8</v>
      </c>
      <c r="BF578" s="27" t="s">
        <v>7</v>
      </c>
      <c r="BN578" s="27" t="s">
        <v>7</v>
      </c>
      <c r="BR578" s="27" t="s">
        <v>7</v>
      </c>
      <c r="CA578" s="27" t="s">
        <v>8</v>
      </c>
      <c r="CB578" s="27" t="s">
        <v>7</v>
      </c>
      <c r="CC578" s="27" t="s">
        <v>8</v>
      </c>
      <c r="CD578" s="27" t="s">
        <v>7</v>
      </c>
      <c r="CK578" s="27" t="s">
        <v>8</v>
      </c>
      <c r="CL578" s="27" t="s">
        <v>7</v>
      </c>
      <c r="CM578" s="27" t="s">
        <v>8</v>
      </c>
      <c r="CN578" s="27" t="s">
        <v>7</v>
      </c>
      <c r="CO578" s="27" t="s">
        <v>8</v>
      </c>
      <c r="DR578" s="27" t="s">
        <v>7</v>
      </c>
      <c r="DS578" s="27" t="s">
        <v>8</v>
      </c>
      <c r="DT578" s="27" t="s">
        <v>7</v>
      </c>
      <c r="DU578" s="27" t="s">
        <v>8</v>
      </c>
      <c r="DV578" s="27" t="s">
        <v>7</v>
      </c>
      <c r="DW578" s="27" t="s">
        <v>8</v>
      </c>
      <c r="EB578" s="31" t="s">
        <v>7</v>
      </c>
      <c r="FB578" s="27" t="s">
        <v>7</v>
      </c>
    </row>
    <row r="579" spans="1:174" x14ac:dyDescent="0.25">
      <c r="A579" s="7">
        <v>1.1716593810022657</v>
      </c>
      <c r="B579"/>
      <c r="C579"/>
      <c r="D579"/>
      <c r="E579" t="s">
        <v>8</v>
      </c>
      <c r="AZ579" s="27" t="s">
        <v>7</v>
      </c>
      <c r="BB579" s="27" t="s">
        <v>7</v>
      </c>
      <c r="BC579" s="27" t="s">
        <v>8</v>
      </c>
      <c r="BD579" s="27" t="s">
        <v>7</v>
      </c>
      <c r="BE579" s="27" t="s">
        <v>8</v>
      </c>
      <c r="BR579" s="27" t="s">
        <v>7</v>
      </c>
      <c r="BY579" s="27" t="s">
        <v>8</v>
      </c>
      <c r="CA579" s="27" t="s">
        <v>8</v>
      </c>
      <c r="CB579" s="27" t="s">
        <v>7</v>
      </c>
      <c r="CC579" s="27" t="s">
        <v>8</v>
      </c>
      <c r="CD579" s="27" t="s">
        <v>7</v>
      </c>
      <c r="CK579" s="27" t="s">
        <v>8</v>
      </c>
      <c r="CL579" s="27" t="s">
        <v>7</v>
      </c>
      <c r="CM579" s="27" t="s">
        <v>8</v>
      </c>
      <c r="CN579" s="27" t="s">
        <v>7</v>
      </c>
      <c r="CO579" s="27" t="s">
        <v>8</v>
      </c>
      <c r="DR579" s="27" t="s">
        <v>7</v>
      </c>
      <c r="DS579" s="27" t="s">
        <v>8</v>
      </c>
      <c r="DT579" s="27" t="s">
        <v>7</v>
      </c>
      <c r="DU579" s="27" t="s">
        <v>8</v>
      </c>
      <c r="DV579" s="27" t="s">
        <v>7</v>
      </c>
      <c r="DW579" s="27" t="s">
        <v>8</v>
      </c>
      <c r="FB579" s="27" t="s">
        <v>7</v>
      </c>
    </row>
    <row r="580" spans="1:174" x14ac:dyDescent="0.25">
      <c r="A580" s="7">
        <v>1.14868566764928</v>
      </c>
      <c r="B580"/>
      <c r="C580"/>
      <c r="D580"/>
      <c r="E580" t="s">
        <v>8</v>
      </c>
      <c r="BB580" s="27" t="s">
        <v>7</v>
      </c>
      <c r="BD580" s="27" t="s">
        <v>7</v>
      </c>
      <c r="BE580" s="27" t="s">
        <v>8</v>
      </c>
      <c r="BR580" s="27" t="s">
        <v>7</v>
      </c>
      <c r="BY580" s="27" t="s">
        <v>8</v>
      </c>
      <c r="BZ580" s="27" t="s">
        <v>7</v>
      </c>
      <c r="CA580" s="27" t="s">
        <v>8</v>
      </c>
      <c r="CB580" s="27" t="s">
        <v>7</v>
      </c>
      <c r="CC580" s="27" t="s">
        <v>8</v>
      </c>
      <c r="CD580" s="27" t="s">
        <v>7</v>
      </c>
      <c r="CI580" s="27" t="s">
        <v>8</v>
      </c>
      <c r="CK580" s="27" t="s">
        <v>8</v>
      </c>
      <c r="CL580" s="27" t="s">
        <v>7</v>
      </c>
      <c r="CM580" s="27" t="s">
        <v>8</v>
      </c>
      <c r="CN580" s="27" t="s">
        <v>7</v>
      </c>
      <c r="DR580" s="27" t="s">
        <v>7</v>
      </c>
      <c r="DS580" s="27" t="s">
        <v>8</v>
      </c>
      <c r="DT580" s="27" t="s">
        <v>7</v>
      </c>
      <c r="DU580" s="27" t="s">
        <v>8</v>
      </c>
      <c r="DV580" s="27" t="s">
        <v>7</v>
      </c>
      <c r="DW580" s="27" t="s">
        <v>8</v>
      </c>
      <c r="FB580" s="27" t="s">
        <v>7</v>
      </c>
    </row>
    <row r="581" spans="1:174" x14ac:dyDescent="0.25">
      <c r="A581" s="7">
        <v>1.1261624192640001</v>
      </c>
      <c r="B581"/>
      <c r="C581"/>
      <c r="D581"/>
      <c r="E581" t="s">
        <v>8</v>
      </c>
      <c r="BD581" s="27" t="s">
        <v>7</v>
      </c>
      <c r="BE581" s="27" t="s">
        <v>8</v>
      </c>
      <c r="BR581" s="27" t="s">
        <v>7</v>
      </c>
      <c r="BY581" s="27" t="s">
        <v>8</v>
      </c>
      <c r="BZ581" s="27" t="s">
        <v>7</v>
      </c>
      <c r="CA581" s="27" t="s">
        <v>8</v>
      </c>
      <c r="CB581" s="27" t="s">
        <v>7</v>
      </c>
      <c r="CC581" s="27" t="s">
        <v>8</v>
      </c>
      <c r="CD581" s="27" t="s">
        <v>7</v>
      </c>
      <c r="CI581" s="27" t="s">
        <v>8</v>
      </c>
      <c r="CJ581" s="27" t="s">
        <v>7</v>
      </c>
      <c r="CK581" s="27" t="s">
        <v>8</v>
      </c>
      <c r="CL581" s="27" t="s">
        <v>7</v>
      </c>
      <c r="CM581" s="27" t="s">
        <v>8</v>
      </c>
      <c r="DR581" s="27" t="s">
        <v>7</v>
      </c>
      <c r="DS581" s="27" t="s">
        <v>8</v>
      </c>
      <c r="DT581" s="27" t="s">
        <v>7</v>
      </c>
      <c r="DU581" s="27" t="s">
        <v>8</v>
      </c>
      <c r="DV581" s="27" t="s">
        <v>7</v>
      </c>
      <c r="FB581" s="27" t="s">
        <v>7</v>
      </c>
    </row>
    <row r="582" spans="1:174" x14ac:dyDescent="0.25">
      <c r="A582" s="7">
        <v>1.1040808032</v>
      </c>
      <c r="B582"/>
      <c r="C582"/>
      <c r="D582"/>
      <c r="E582" t="s">
        <v>8</v>
      </c>
      <c r="BD582" s="27" t="s">
        <v>7</v>
      </c>
      <c r="BE582" s="27" t="s">
        <v>8</v>
      </c>
      <c r="BR582" s="27" t="s">
        <v>7</v>
      </c>
      <c r="BY582" s="27" t="s">
        <v>8</v>
      </c>
      <c r="BZ582" s="27" t="s">
        <v>7</v>
      </c>
      <c r="CA582" s="27" t="s">
        <v>8</v>
      </c>
      <c r="CB582" s="27" t="s">
        <v>7</v>
      </c>
      <c r="CD582" s="27" t="s">
        <v>7</v>
      </c>
      <c r="CI582" s="27" t="s">
        <v>8</v>
      </c>
      <c r="CJ582" s="27" t="s">
        <v>7</v>
      </c>
      <c r="CK582" s="27" t="s">
        <v>8</v>
      </c>
      <c r="CL582" s="27" t="s">
        <v>7</v>
      </c>
      <c r="CM582" s="27" t="s">
        <v>8</v>
      </c>
      <c r="DR582" s="27" t="s">
        <v>7</v>
      </c>
      <c r="DT582" s="27" t="s">
        <v>7</v>
      </c>
      <c r="FB582" s="27" t="s">
        <v>7</v>
      </c>
    </row>
    <row r="583" spans="1:174" x14ac:dyDescent="0.25">
      <c r="A583" s="7">
        <v>1.08243216</v>
      </c>
      <c r="B583"/>
      <c r="C583"/>
      <c r="D583"/>
      <c r="E583" t="s">
        <v>8</v>
      </c>
      <c r="BD583" s="27" t="s">
        <v>7</v>
      </c>
      <c r="BE583" s="27" t="s">
        <v>8</v>
      </c>
      <c r="BR583" s="27" t="s">
        <v>7</v>
      </c>
      <c r="BY583" s="27" t="s">
        <v>8</v>
      </c>
      <c r="BZ583" s="27" t="s">
        <v>7</v>
      </c>
      <c r="CA583" s="27" t="s">
        <v>8</v>
      </c>
      <c r="CD583" s="27" t="s">
        <v>7</v>
      </c>
      <c r="CI583" s="27" t="s">
        <v>8</v>
      </c>
      <c r="CJ583" s="27" t="s">
        <v>7</v>
      </c>
      <c r="CK583" s="27" t="s">
        <v>8</v>
      </c>
      <c r="CL583" s="27" t="s">
        <v>7</v>
      </c>
      <c r="CM583" s="27" t="s">
        <v>8</v>
      </c>
      <c r="FB583" s="27" t="s">
        <v>7</v>
      </c>
      <c r="FO583" s="27" t="s">
        <v>8</v>
      </c>
    </row>
    <row r="584" spans="1:174" x14ac:dyDescent="0.25">
      <c r="A584" s="7">
        <v>1.0612079999999999</v>
      </c>
      <c r="B584"/>
      <c r="C584"/>
      <c r="D584"/>
      <c r="E584" t="s">
        <v>8</v>
      </c>
      <c r="BD584" s="27" t="s">
        <v>7</v>
      </c>
      <c r="BE584" s="27" t="s">
        <v>8</v>
      </c>
      <c r="BR584" s="27" t="s">
        <v>7</v>
      </c>
      <c r="BY584" s="27" t="s">
        <v>8</v>
      </c>
      <c r="BZ584" s="27" t="s">
        <v>7</v>
      </c>
      <c r="CA584" s="27" t="s">
        <v>8</v>
      </c>
      <c r="CD584" s="27" t="s">
        <v>7</v>
      </c>
      <c r="CI584" s="27" t="s">
        <v>8</v>
      </c>
      <c r="CJ584" s="27" t="s">
        <v>7</v>
      </c>
      <c r="CK584" s="27" t="s">
        <v>8</v>
      </c>
      <c r="CL584" s="27" t="s">
        <v>7</v>
      </c>
      <c r="FB584" s="27" t="s">
        <v>7</v>
      </c>
      <c r="FC584" s="27" t="s">
        <v>8</v>
      </c>
      <c r="FO584" s="27" t="s">
        <v>8</v>
      </c>
      <c r="FP584" s="27" t="s">
        <v>7</v>
      </c>
    </row>
    <row r="585" spans="1:174" x14ac:dyDescent="0.25">
      <c r="A585" s="7">
        <v>1.0404</v>
      </c>
      <c r="B585"/>
      <c r="C585"/>
      <c r="D585"/>
      <c r="E585" t="s">
        <v>8</v>
      </c>
      <c r="BD585" s="27" t="s">
        <v>7</v>
      </c>
      <c r="BE585" s="27" t="s">
        <v>8</v>
      </c>
      <c r="BR585" s="27" t="s">
        <v>7</v>
      </c>
      <c r="BY585" s="27" t="s">
        <v>8</v>
      </c>
      <c r="BZ585" s="27" t="s">
        <v>7</v>
      </c>
      <c r="CA585" s="27" t="s">
        <v>8</v>
      </c>
      <c r="CD585" s="27" t="s">
        <v>7</v>
      </c>
      <c r="CI585" s="27" t="s">
        <v>8</v>
      </c>
      <c r="CJ585" s="27" t="s">
        <v>7</v>
      </c>
      <c r="CK585" s="27" t="s">
        <v>8</v>
      </c>
      <c r="FB585" s="27" t="s">
        <v>7</v>
      </c>
      <c r="FC585" s="27" t="s">
        <v>8</v>
      </c>
      <c r="FD585" s="27" t="s">
        <v>7</v>
      </c>
      <c r="FO585" s="27" t="s">
        <v>8</v>
      </c>
      <c r="FP585" s="27" t="s">
        <v>7</v>
      </c>
    </row>
    <row r="586" spans="1:174" x14ac:dyDescent="0.25">
      <c r="A586" s="7">
        <v>1.02</v>
      </c>
      <c r="B586"/>
      <c r="C586"/>
      <c r="D586"/>
      <c r="E586" t="s">
        <v>8</v>
      </c>
      <c r="BD586" s="27" t="s">
        <v>7</v>
      </c>
      <c r="BE586" s="27" t="s">
        <v>8</v>
      </c>
      <c r="BR586" s="27" t="s">
        <v>7</v>
      </c>
      <c r="BU586" s="27" t="s">
        <v>8</v>
      </c>
      <c r="BY586" s="27" t="s">
        <v>8</v>
      </c>
      <c r="BZ586" s="27" t="s">
        <v>7</v>
      </c>
      <c r="CA586" s="27" t="s">
        <v>8</v>
      </c>
      <c r="CD586" s="27" t="s">
        <v>7</v>
      </c>
      <c r="CI586" s="27" t="s">
        <v>8</v>
      </c>
      <c r="CJ586" s="27" t="s">
        <v>7</v>
      </c>
      <c r="CK586" s="27" t="s">
        <v>8</v>
      </c>
      <c r="FB586" s="27" t="s">
        <v>7</v>
      </c>
      <c r="FC586" s="27" t="s">
        <v>8</v>
      </c>
      <c r="FD586" s="27" t="s">
        <v>7</v>
      </c>
      <c r="FO586" s="27" t="s">
        <v>8</v>
      </c>
      <c r="FP586" s="27" t="s">
        <v>7</v>
      </c>
    </row>
    <row r="587" spans="1:174" x14ac:dyDescent="0.25">
      <c r="A587" s="7">
        <v>1</v>
      </c>
      <c r="B587"/>
      <c r="C587"/>
      <c r="D587"/>
      <c r="E587" s="29" t="s">
        <v>8</v>
      </c>
      <c r="BD587" s="27" t="s">
        <v>7</v>
      </c>
      <c r="BE587" s="27" t="s">
        <v>8</v>
      </c>
      <c r="BR587" s="27" t="s">
        <v>7</v>
      </c>
      <c r="BS587" s="27" t="s">
        <v>8</v>
      </c>
      <c r="BU587" s="27" t="s">
        <v>8</v>
      </c>
      <c r="BV587" s="27" t="s">
        <v>7</v>
      </c>
      <c r="BY587" s="27" t="s">
        <v>8</v>
      </c>
      <c r="BZ587" s="27" t="s">
        <v>7</v>
      </c>
      <c r="CA587" s="27" t="s">
        <v>8</v>
      </c>
      <c r="CD587" s="27" t="s">
        <v>7</v>
      </c>
      <c r="CI587" s="27" t="s">
        <v>8</v>
      </c>
      <c r="CJ587" s="27" t="s">
        <v>7</v>
      </c>
      <c r="CK587" s="27" t="s">
        <v>8</v>
      </c>
      <c r="FB587" s="27" t="s">
        <v>7</v>
      </c>
      <c r="FC587" s="27" t="s">
        <v>8</v>
      </c>
      <c r="FD587" s="27" t="s">
        <v>7</v>
      </c>
      <c r="FE587" s="27" t="s">
        <v>8</v>
      </c>
      <c r="FO587" s="27" t="s">
        <v>8</v>
      </c>
      <c r="FP587" s="27" t="s">
        <v>7</v>
      </c>
    </row>
    <row r="588" spans="1:174" x14ac:dyDescent="0.25">
      <c r="A588" s="7">
        <v>0.98039215686274506</v>
      </c>
      <c r="B588"/>
      <c r="C588"/>
      <c r="D588"/>
      <c r="E588"/>
      <c r="BD588" s="27" t="s">
        <v>7</v>
      </c>
      <c r="BE588" s="27" t="s">
        <v>8</v>
      </c>
      <c r="BR588" s="27" t="s">
        <v>7</v>
      </c>
      <c r="BS588" s="27" t="s">
        <v>8</v>
      </c>
      <c r="BT588" s="27" t="s">
        <v>7</v>
      </c>
      <c r="BU588" s="27" t="s">
        <v>8</v>
      </c>
      <c r="BV588" s="27" t="s">
        <v>7</v>
      </c>
      <c r="BW588" s="27" t="s">
        <v>8</v>
      </c>
      <c r="BY588" s="27" t="s">
        <v>8</v>
      </c>
      <c r="BZ588" s="27" t="s">
        <v>7</v>
      </c>
      <c r="CA588" s="27" t="s">
        <v>8</v>
      </c>
      <c r="CD588" s="27" t="s">
        <v>7</v>
      </c>
      <c r="CE588" s="27" t="s">
        <v>8</v>
      </c>
      <c r="CI588" s="27" t="s">
        <v>8</v>
      </c>
      <c r="CJ588" s="27" t="s">
        <v>7</v>
      </c>
      <c r="CK588" s="27" t="s">
        <v>8</v>
      </c>
      <c r="FB588" s="27" t="s">
        <v>7</v>
      </c>
      <c r="FC588" s="27" t="s">
        <v>8</v>
      </c>
      <c r="FD588" s="27" t="s">
        <v>7</v>
      </c>
      <c r="FE588" s="27" t="s">
        <v>8</v>
      </c>
      <c r="FF588" s="27" t="s">
        <v>7</v>
      </c>
      <c r="FO588" s="27" t="s">
        <v>8</v>
      </c>
      <c r="FP588" s="27" t="s">
        <v>7</v>
      </c>
    </row>
    <row r="589" spans="1:174" x14ac:dyDescent="0.25">
      <c r="A589" s="7">
        <v>0.96116878123798544</v>
      </c>
      <c r="B589"/>
      <c r="C589"/>
      <c r="D589"/>
      <c r="E589"/>
      <c r="BD589" s="27" t="s">
        <v>7</v>
      </c>
      <c r="BE589" s="27" t="s">
        <v>8</v>
      </c>
      <c r="BR589" s="27" t="s">
        <v>7</v>
      </c>
      <c r="BS589" s="27" t="s">
        <v>8</v>
      </c>
      <c r="BT589" s="27" t="s">
        <v>7</v>
      </c>
      <c r="BU589" s="27" t="s">
        <v>8</v>
      </c>
      <c r="BV589" s="27" t="s">
        <v>7</v>
      </c>
      <c r="BW589" s="27" t="s">
        <v>8</v>
      </c>
      <c r="BX589" s="27" t="s">
        <v>7</v>
      </c>
      <c r="BY589" s="27" t="s">
        <v>8</v>
      </c>
      <c r="BZ589" s="27" t="s">
        <v>7</v>
      </c>
      <c r="CA589" s="27" t="s">
        <v>8</v>
      </c>
      <c r="CD589" s="27" t="s">
        <v>7</v>
      </c>
      <c r="CE589" s="27" t="s">
        <v>8</v>
      </c>
      <c r="CF589" s="27" t="s">
        <v>7</v>
      </c>
      <c r="CI589" s="27" t="s">
        <v>8</v>
      </c>
      <c r="CJ589" s="27" t="s">
        <v>7</v>
      </c>
      <c r="CK589" s="27" t="s">
        <v>8</v>
      </c>
      <c r="FB589" s="27" t="s">
        <v>7</v>
      </c>
      <c r="FC589" s="27" t="s">
        <v>8</v>
      </c>
      <c r="FD589" s="27" t="s">
        <v>7</v>
      </c>
      <c r="FE589" s="27" t="s">
        <v>8</v>
      </c>
      <c r="FF589" s="27" t="s">
        <v>7</v>
      </c>
      <c r="FM589" s="27" t="s">
        <v>8</v>
      </c>
      <c r="FO589" s="27" t="s">
        <v>8</v>
      </c>
      <c r="FP589" s="27" t="s">
        <v>7</v>
      </c>
    </row>
    <row r="590" spans="1:174" x14ac:dyDescent="0.25">
      <c r="A590" s="7">
        <v>0.94232233454704462</v>
      </c>
      <c r="B590"/>
      <c r="C590"/>
      <c r="D590"/>
      <c r="E590"/>
      <c r="BD590" s="27" t="s">
        <v>7</v>
      </c>
      <c r="BE590" s="27" t="s">
        <v>8</v>
      </c>
      <c r="BR590" s="27" t="s">
        <v>7</v>
      </c>
      <c r="BS590" s="27" t="s">
        <v>8</v>
      </c>
      <c r="BT590" s="27" t="s">
        <v>7</v>
      </c>
      <c r="BU590" s="27" t="s">
        <v>8</v>
      </c>
      <c r="BV590" s="27" t="s">
        <v>7</v>
      </c>
      <c r="BW590" s="27" t="s">
        <v>8</v>
      </c>
      <c r="BX590" s="27" t="s">
        <v>7</v>
      </c>
      <c r="BY590" s="27" t="s">
        <v>8</v>
      </c>
      <c r="BZ590" s="27" t="s">
        <v>7</v>
      </c>
      <c r="CA590" s="27" t="s">
        <v>8</v>
      </c>
      <c r="CD590" s="27" t="s">
        <v>7</v>
      </c>
      <c r="CE590" s="27" t="s">
        <v>8</v>
      </c>
      <c r="CF590" s="27" t="s">
        <v>7</v>
      </c>
      <c r="CI590" s="27" t="s">
        <v>8</v>
      </c>
      <c r="CJ590" s="27" t="s">
        <v>7</v>
      </c>
      <c r="FB590" s="27" t="s">
        <v>7</v>
      </c>
      <c r="FC590" s="27" t="s">
        <v>8</v>
      </c>
      <c r="FD590" s="27" t="s">
        <v>7</v>
      </c>
      <c r="FE590" s="27" t="s">
        <v>8</v>
      </c>
      <c r="FF590" s="27" t="s">
        <v>7</v>
      </c>
      <c r="FM590" s="27" t="s">
        <v>8</v>
      </c>
      <c r="FN590" s="27" t="s">
        <v>7</v>
      </c>
      <c r="FO590" s="27" t="s">
        <v>8</v>
      </c>
      <c r="FP590" s="27" t="s">
        <v>7</v>
      </c>
      <c r="FQ590" s="27" t="s">
        <v>8</v>
      </c>
    </row>
    <row r="591" spans="1:174" x14ac:dyDescent="0.25">
      <c r="A591" s="7">
        <v>0.92384542602651432</v>
      </c>
      <c r="B591"/>
      <c r="C591"/>
      <c r="D591"/>
      <c r="E591"/>
      <c r="BD591" s="27" t="s">
        <v>7</v>
      </c>
      <c r="BE591" s="27" t="s">
        <v>8</v>
      </c>
      <c r="BR591" s="27" t="s">
        <v>7</v>
      </c>
      <c r="BS591" s="27" t="s">
        <v>8</v>
      </c>
      <c r="BT591" s="27" t="s">
        <v>7</v>
      </c>
      <c r="BU591" s="27" t="s">
        <v>8</v>
      </c>
      <c r="BV591" s="27" t="s">
        <v>7</v>
      </c>
      <c r="BW591" s="27" t="s">
        <v>8</v>
      </c>
      <c r="BX591" s="27" t="s">
        <v>7</v>
      </c>
      <c r="BY591" s="27" t="s">
        <v>8</v>
      </c>
      <c r="BZ591" s="27" t="s">
        <v>7</v>
      </c>
      <c r="CD591" s="27" t="s">
        <v>7</v>
      </c>
      <c r="CF591" s="27" t="s">
        <v>7</v>
      </c>
      <c r="CI591" s="27" t="s">
        <v>8</v>
      </c>
      <c r="FB591" s="27" t="s">
        <v>7</v>
      </c>
      <c r="FC591" s="27" t="s">
        <v>8</v>
      </c>
      <c r="FD591" s="27" t="s">
        <v>7</v>
      </c>
      <c r="FE591" s="27" t="s">
        <v>8</v>
      </c>
      <c r="FF591" s="27" t="s">
        <v>7</v>
      </c>
      <c r="FG591" s="27" t="s">
        <v>8</v>
      </c>
      <c r="FM591" s="27" t="s">
        <v>8</v>
      </c>
      <c r="FN591" s="27" t="s">
        <v>7</v>
      </c>
      <c r="FO591" s="27" t="s">
        <v>8</v>
      </c>
      <c r="FP591" s="27" t="s">
        <v>7</v>
      </c>
      <c r="FQ591" s="27" t="s">
        <v>8</v>
      </c>
      <c r="FR591" s="27" t="s">
        <v>7</v>
      </c>
    </row>
    <row r="592" spans="1:174" x14ac:dyDescent="0.25">
      <c r="A592" s="7">
        <v>0.90573080982991594</v>
      </c>
      <c r="B592"/>
      <c r="C592"/>
      <c r="D592"/>
      <c r="E592"/>
      <c r="BD592" s="27" t="s">
        <v>7</v>
      </c>
      <c r="BE592" s="27" t="s">
        <v>8</v>
      </c>
      <c r="BR592" s="27" t="s">
        <v>7</v>
      </c>
      <c r="BS592" s="27" t="s">
        <v>8</v>
      </c>
      <c r="BT592" s="27" t="s">
        <v>7</v>
      </c>
      <c r="BU592" s="27" t="s">
        <v>8</v>
      </c>
      <c r="BV592" s="27" t="s">
        <v>7</v>
      </c>
      <c r="BW592" s="27" t="s">
        <v>8</v>
      </c>
      <c r="BX592" s="27" t="s">
        <v>7</v>
      </c>
      <c r="BY592" s="27" t="s">
        <v>8</v>
      </c>
      <c r="CF592" s="27" t="s">
        <v>7</v>
      </c>
      <c r="CG592" s="27" t="s">
        <v>8</v>
      </c>
      <c r="CI592" s="27" t="s">
        <v>8</v>
      </c>
      <c r="FB592" s="27" t="s">
        <v>7</v>
      </c>
      <c r="FC592" s="27" t="s">
        <v>8</v>
      </c>
      <c r="FD592" s="27" t="s">
        <v>7</v>
      </c>
      <c r="FE592" s="27" t="s">
        <v>8</v>
      </c>
      <c r="FF592" s="27" t="s">
        <v>7</v>
      </c>
      <c r="FG592" s="27" t="s">
        <v>8</v>
      </c>
      <c r="FH592" s="27" t="s">
        <v>7</v>
      </c>
      <c r="FM592" s="27" t="s">
        <v>8</v>
      </c>
      <c r="FN592" s="27" t="s">
        <v>7</v>
      </c>
      <c r="FP592" s="27" t="s">
        <v>7</v>
      </c>
      <c r="FQ592" s="27" t="s">
        <v>8</v>
      </c>
      <c r="FR592" s="27" t="s">
        <v>7</v>
      </c>
    </row>
    <row r="593" spans="1:180" x14ac:dyDescent="0.25">
      <c r="A593" s="7">
        <v>0.8879713821861922</v>
      </c>
      <c r="B593"/>
      <c r="C593"/>
      <c r="D593"/>
      <c r="E593"/>
      <c r="BD593" s="27" t="s">
        <v>7</v>
      </c>
      <c r="BE593" s="27" t="s">
        <v>8</v>
      </c>
      <c r="BR593" s="27" t="s">
        <v>7</v>
      </c>
      <c r="BS593" s="27" t="s">
        <v>8</v>
      </c>
      <c r="BT593" s="27" t="s">
        <v>7</v>
      </c>
      <c r="BU593" s="27" t="s">
        <v>8</v>
      </c>
      <c r="BV593" s="27" t="s">
        <v>7</v>
      </c>
      <c r="BW593" s="27" t="s">
        <v>8</v>
      </c>
      <c r="BX593" s="27" t="s">
        <v>7</v>
      </c>
      <c r="BY593" s="27" t="s">
        <v>8</v>
      </c>
      <c r="CF593" s="27" t="s">
        <v>7</v>
      </c>
      <c r="CG593" s="27" t="s">
        <v>8</v>
      </c>
      <c r="CH593" s="27" t="s">
        <v>7</v>
      </c>
      <c r="CI593" s="27" t="s">
        <v>8</v>
      </c>
      <c r="FB593" s="27" t="s">
        <v>7</v>
      </c>
      <c r="FC593" s="27" t="s">
        <v>8</v>
      </c>
      <c r="FD593" s="27" t="s">
        <v>7</v>
      </c>
      <c r="FE593" s="27" t="s">
        <v>8</v>
      </c>
      <c r="FF593" s="27" t="s">
        <v>7</v>
      </c>
      <c r="FG593" s="27" t="s">
        <v>8</v>
      </c>
      <c r="FH593" s="27" t="s">
        <v>7</v>
      </c>
      <c r="FI593" s="27" t="s">
        <v>8</v>
      </c>
      <c r="FM593" s="27" t="s">
        <v>8</v>
      </c>
      <c r="FP593" s="27" t="s">
        <v>7</v>
      </c>
      <c r="FQ593" s="27" t="s">
        <v>8</v>
      </c>
      <c r="FR593" s="27" t="s">
        <v>7</v>
      </c>
    </row>
    <row r="594" spans="1:180" x14ac:dyDescent="0.25">
      <c r="A594" s="7">
        <v>0.87056017861391399</v>
      </c>
      <c r="B594"/>
      <c r="C594"/>
      <c r="D594"/>
      <c r="E594"/>
      <c r="BD594" s="27" t="s">
        <v>7</v>
      </c>
      <c r="BR594" s="27" t="s">
        <v>7</v>
      </c>
      <c r="BS594" s="27" t="s">
        <v>8</v>
      </c>
      <c r="BT594" s="27" t="s">
        <v>7</v>
      </c>
      <c r="BU594" s="27" t="s">
        <v>8</v>
      </c>
      <c r="BV594" s="27" t="s">
        <v>7</v>
      </c>
      <c r="BW594" s="27" t="s">
        <v>8</v>
      </c>
      <c r="BX594" s="27" t="s">
        <v>7</v>
      </c>
      <c r="BY594" s="27" t="s">
        <v>8</v>
      </c>
      <c r="CF594" s="27" t="s">
        <v>7</v>
      </c>
      <c r="CG594" s="27" t="s">
        <v>8</v>
      </c>
      <c r="CH594" s="27" t="s">
        <v>7</v>
      </c>
      <c r="CI594" s="27" t="s">
        <v>8</v>
      </c>
      <c r="FB594" s="27" t="s">
        <v>7</v>
      </c>
      <c r="FC594" s="27" t="s">
        <v>8</v>
      </c>
      <c r="FD594" s="27" t="s">
        <v>7</v>
      </c>
      <c r="FE594" s="27" t="s">
        <v>8</v>
      </c>
      <c r="FF594" s="27" t="s">
        <v>7</v>
      </c>
      <c r="FG594" s="27" t="s">
        <v>8</v>
      </c>
      <c r="FH594" s="27" t="s">
        <v>7</v>
      </c>
      <c r="FI594" s="27" t="s">
        <v>8</v>
      </c>
      <c r="FJ594" s="27" t="s">
        <v>7</v>
      </c>
      <c r="FK594" s="27" t="s">
        <v>8</v>
      </c>
      <c r="FM594" s="27" t="s">
        <v>8</v>
      </c>
      <c r="FP594" s="27" t="s">
        <v>7</v>
      </c>
      <c r="FQ594" s="27" t="s">
        <v>8</v>
      </c>
      <c r="FR594" s="27" t="s">
        <v>7</v>
      </c>
      <c r="FS594" s="27" t="s">
        <v>8</v>
      </c>
    </row>
    <row r="595" spans="1:180" x14ac:dyDescent="0.25">
      <c r="A595" s="7">
        <v>0.85349037119011173</v>
      </c>
      <c r="B595"/>
      <c r="C595"/>
      <c r="D595"/>
      <c r="E595"/>
      <c r="BR595" s="27" t="s">
        <v>7</v>
      </c>
      <c r="BS595" s="27" t="s">
        <v>8</v>
      </c>
      <c r="BT595" s="27" t="s">
        <v>7</v>
      </c>
      <c r="BU595" s="27" t="s">
        <v>8</v>
      </c>
      <c r="BV595" s="27" t="s">
        <v>7</v>
      </c>
      <c r="BW595" s="27" t="s">
        <v>8</v>
      </c>
      <c r="BX595" s="27" t="s">
        <v>7</v>
      </c>
      <c r="BY595" s="27" t="s">
        <v>8</v>
      </c>
      <c r="CF595" s="27" t="s">
        <v>7</v>
      </c>
      <c r="CG595" s="27" t="s">
        <v>8</v>
      </c>
      <c r="CH595" s="27" t="s">
        <v>7</v>
      </c>
      <c r="CI595" s="27" t="s">
        <v>8</v>
      </c>
      <c r="FB595" s="27" t="s">
        <v>7</v>
      </c>
      <c r="FC595" s="27" t="s">
        <v>8</v>
      </c>
      <c r="FD595" s="27" t="s">
        <v>7</v>
      </c>
      <c r="FF595" s="27" t="s">
        <v>7</v>
      </c>
      <c r="FG595" s="27" t="s">
        <v>8</v>
      </c>
      <c r="FH595" s="27" t="s">
        <v>7</v>
      </c>
      <c r="FI595" s="27" t="s">
        <v>8</v>
      </c>
      <c r="FJ595" s="27" t="s">
        <v>7</v>
      </c>
      <c r="FK595" s="27" t="s">
        <v>8</v>
      </c>
      <c r="FL595" s="27" t="s">
        <v>7</v>
      </c>
      <c r="FM595" s="27" t="s">
        <v>8</v>
      </c>
      <c r="FP595" s="27" t="s">
        <v>7</v>
      </c>
      <c r="FQ595" s="27" t="s">
        <v>8</v>
      </c>
      <c r="FR595" s="27" t="s">
        <v>7</v>
      </c>
      <c r="FS595" s="27" t="s">
        <v>8</v>
      </c>
      <c r="FT595" s="27" t="s">
        <v>7</v>
      </c>
    </row>
    <row r="596" spans="1:180" x14ac:dyDescent="0.25">
      <c r="A596" s="7">
        <v>0.83675526587265858</v>
      </c>
      <c r="B596"/>
      <c r="C596"/>
      <c r="D596"/>
      <c r="E596"/>
      <c r="BR596" s="27" t="s">
        <v>7</v>
      </c>
      <c r="BS596" s="27" t="s">
        <v>8</v>
      </c>
      <c r="BT596" s="27" t="s">
        <v>7</v>
      </c>
      <c r="BU596" s="27" t="s">
        <v>8</v>
      </c>
      <c r="BV596" s="27" t="s">
        <v>7</v>
      </c>
      <c r="BW596" s="27" t="s">
        <v>8</v>
      </c>
      <c r="BX596" s="27" t="s">
        <v>7</v>
      </c>
      <c r="CF596" s="27" t="s">
        <v>7</v>
      </c>
      <c r="CG596" s="27" t="s">
        <v>8</v>
      </c>
      <c r="CH596" s="27" t="s">
        <v>7</v>
      </c>
      <c r="FB596" s="27" t="s">
        <v>7</v>
      </c>
      <c r="FC596" s="27" t="s">
        <v>8</v>
      </c>
      <c r="FF596" s="27" t="s">
        <v>7</v>
      </c>
      <c r="FH596" s="27" t="s">
        <v>7</v>
      </c>
      <c r="FI596" s="27" t="s">
        <v>8</v>
      </c>
      <c r="FJ596" s="27" t="s">
        <v>7</v>
      </c>
      <c r="FK596" s="27" t="s">
        <v>8</v>
      </c>
      <c r="FL596" s="27" t="s">
        <v>7</v>
      </c>
      <c r="FM596" s="27" t="s">
        <v>8</v>
      </c>
      <c r="FP596" s="27" t="s">
        <v>7</v>
      </c>
      <c r="FR596" s="27" t="s">
        <v>7</v>
      </c>
      <c r="FS596" s="27" t="s">
        <v>8</v>
      </c>
      <c r="FT596" s="27" t="s">
        <v>7</v>
      </c>
      <c r="FU596" s="27" t="s">
        <v>8</v>
      </c>
    </row>
    <row r="597" spans="1:180" x14ac:dyDescent="0.25">
      <c r="A597" s="7">
        <v>0.82034829987515545</v>
      </c>
      <c r="B597"/>
      <c r="C597"/>
      <c r="D597"/>
      <c r="E597"/>
      <c r="BR597" s="27" t="s">
        <v>7</v>
      </c>
      <c r="BS597" s="27" t="s">
        <v>8</v>
      </c>
      <c r="BT597" s="27" t="s">
        <v>7</v>
      </c>
      <c r="BU597" s="27" t="s">
        <v>8</v>
      </c>
      <c r="BV597" s="27" t="s">
        <v>7</v>
      </c>
      <c r="BW597" s="27" t="s">
        <v>8</v>
      </c>
      <c r="CF597" s="18" t="s">
        <v>7</v>
      </c>
      <c r="CG597" s="27" t="s">
        <v>8</v>
      </c>
      <c r="FB597" s="27" t="s">
        <v>7</v>
      </c>
      <c r="FC597" s="27" t="s">
        <v>8</v>
      </c>
      <c r="FH597" s="27" t="s">
        <v>7</v>
      </c>
      <c r="FI597" s="27" t="s">
        <v>8</v>
      </c>
      <c r="FJ597" s="27" t="s">
        <v>7</v>
      </c>
      <c r="FK597" s="27" t="s">
        <v>8</v>
      </c>
      <c r="FL597" s="27" t="s">
        <v>7</v>
      </c>
      <c r="FM597" s="27" t="s">
        <v>8</v>
      </c>
      <c r="FR597" s="27" t="s">
        <v>7</v>
      </c>
      <c r="FS597" s="27" t="s">
        <v>8</v>
      </c>
      <c r="FT597" s="27" t="s">
        <v>7</v>
      </c>
      <c r="FU597" s="27" t="s">
        <v>8</v>
      </c>
      <c r="FV597" s="27" t="s">
        <v>7</v>
      </c>
      <c r="FW597" s="27" t="s">
        <v>8</v>
      </c>
    </row>
    <row r="598" spans="1:180" x14ac:dyDescent="0.25">
      <c r="A598" s="7">
        <v>0.80426303909328967</v>
      </c>
      <c r="B598"/>
      <c r="C598"/>
      <c r="D598"/>
      <c r="E598"/>
      <c r="BR598" s="27" t="s">
        <v>7</v>
      </c>
      <c r="BS598" s="27" t="s">
        <v>8</v>
      </c>
      <c r="BT598" s="27" t="s">
        <v>7</v>
      </c>
      <c r="BU598" s="27" t="s">
        <v>8</v>
      </c>
      <c r="BV598" s="27" t="s">
        <v>7</v>
      </c>
      <c r="CF598" s="27" t="s">
        <v>7</v>
      </c>
      <c r="CG598" s="27" t="s">
        <v>8</v>
      </c>
      <c r="FB598" s="27" t="s">
        <v>7</v>
      </c>
      <c r="FC598" s="27" t="s">
        <v>8</v>
      </c>
      <c r="FH598" s="27" t="s">
        <v>7</v>
      </c>
      <c r="FI598" s="27" t="s">
        <v>8</v>
      </c>
      <c r="FJ598" s="27" t="s">
        <v>7</v>
      </c>
      <c r="FL598" s="27" t="s">
        <v>7</v>
      </c>
      <c r="FM598" s="27" t="s">
        <v>8</v>
      </c>
      <c r="FR598" s="27" t="s">
        <v>7</v>
      </c>
      <c r="FS598" s="27" t="s">
        <v>8</v>
      </c>
      <c r="FT598" s="27" t="s">
        <v>7</v>
      </c>
      <c r="FU598" s="27" t="s">
        <v>8</v>
      </c>
      <c r="FV598" s="27" t="s">
        <v>7</v>
      </c>
      <c r="FW598" s="27" t="s">
        <v>8</v>
      </c>
      <c r="FX598" s="27" t="s">
        <v>7</v>
      </c>
    </row>
    <row r="599" spans="1:180" x14ac:dyDescent="0.25">
      <c r="A599" s="7">
        <v>0.78849317558165644</v>
      </c>
      <c r="B599"/>
      <c r="C599"/>
      <c r="D599"/>
      <c r="E599"/>
      <c r="BR599" s="27" t="s">
        <v>7</v>
      </c>
      <c r="BS599" s="27" t="s">
        <v>8</v>
      </c>
      <c r="BT599" s="27" t="s">
        <v>7</v>
      </c>
      <c r="CF599" s="27" t="s">
        <v>7</v>
      </c>
      <c r="CG599" s="27" t="s">
        <v>8</v>
      </c>
      <c r="FB599" s="27" t="s">
        <v>7</v>
      </c>
      <c r="FC599" s="27" t="s">
        <v>8</v>
      </c>
      <c r="FH599" s="27" t="s">
        <v>7</v>
      </c>
      <c r="FL599" s="27" t="s">
        <v>7</v>
      </c>
      <c r="FR599" s="27" t="s">
        <v>7</v>
      </c>
      <c r="FT599" s="27" t="s">
        <v>7</v>
      </c>
      <c r="FU599" s="27" t="s">
        <v>8</v>
      </c>
      <c r="FV599" s="27" t="s">
        <v>7</v>
      </c>
      <c r="FW599" s="27" t="s">
        <v>8</v>
      </c>
      <c r="FX599" s="27" t="s">
        <v>7</v>
      </c>
    </row>
    <row r="600" spans="1:180" x14ac:dyDescent="0.25">
      <c r="A600" s="7">
        <v>0.77303252508005538</v>
      </c>
      <c r="B600"/>
      <c r="C600"/>
      <c r="D600"/>
      <c r="E600"/>
      <c r="BR600" s="27" t="s">
        <v>7</v>
      </c>
      <c r="CF600" s="27" t="s">
        <v>7</v>
      </c>
      <c r="CG600" s="27" t="s">
        <v>8</v>
      </c>
      <c r="FB600" s="27" t="s">
        <v>7</v>
      </c>
      <c r="FT600" s="27" t="s">
        <v>7</v>
      </c>
      <c r="FU600" s="27" t="s">
        <v>8</v>
      </c>
      <c r="FV600" s="27" t="s">
        <v>7</v>
      </c>
      <c r="FW600" s="27" t="s">
        <v>8</v>
      </c>
      <c r="FX600" s="27" t="s">
        <v>7</v>
      </c>
    </row>
    <row r="601" spans="1:180" x14ac:dyDescent="0.25">
      <c r="A601" s="7">
        <v>0.75787502458828959</v>
      </c>
      <c r="B601"/>
      <c r="C601"/>
      <c r="D601"/>
      <c r="E601"/>
      <c r="CF601" s="27" t="s">
        <v>7</v>
      </c>
      <c r="FT601" s="27" t="s">
        <v>7</v>
      </c>
      <c r="FU601" s="27" t="s">
        <v>8</v>
      </c>
      <c r="FV601" s="27" t="s">
        <v>7</v>
      </c>
      <c r="FX601" s="27" t="s">
        <v>7</v>
      </c>
    </row>
    <row r="602" spans="1:180" x14ac:dyDescent="0.25">
      <c r="A602" s="7">
        <v>0.74301472998851925</v>
      </c>
      <c r="B602"/>
      <c r="C602"/>
      <c r="D602"/>
      <c r="E602"/>
      <c r="FT602" s="27" t="s">
        <v>7</v>
      </c>
      <c r="FU602" s="27" t="s">
        <v>8</v>
      </c>
      <c r="FX602" s="27" t="s">
        <v>7</v>
      </c>
    </row>
    <row r="603" spans="1:180" x14ac:dyDescent="0.25">
      <c r="A603" s="7">
        <v>0.72844581371423456</v>
      </c>
      <c r="B603"/>
      <c r="C603"/>
      <c r="D603"/>
      <c r="E603"/>
      <c r="FT603" s="27" t="s">
        <v>7</v>
      </c>
      <c r="FU603" s="27" t="s">
        <v>8</v>
      </c>
      <c r="FX603" s="27" t="s">
        <v>7</v>
      </c>
    </row>
    <row r="604" spans="1:180" x14ac:dyDescent="0.25">
      <c r="A604" s="7">
        <v>0.71416256246493581</v>
      </c>
      <c r="B604"/>
      <c r="C604"/>
      <c r="D604"/>
      <c r="E604"/>
      <c r="FT604" s="27" t="s">
        <v>7</v>
      </c>
      <c r="FU604" s="27" t="s">
        <v>8</v>
      </c>
      <c r="FX604" s="27" t="s">
        <v>7</v>
      </c>
    </row>
    <row r="605" spans="1:180" x14ac:dyDescent="0.25">
      <c r="A605" s="7">
        <v>0.7001593749656233</v>
      </c>
      <c r="B605"/>
      <c r="C605"/>
      <c r="D605"/>
      <c r="E605"/>
      <c r="FT605" s="27" t="s">
        <v>7</v>
      </c>
      <c r="FU605" s="27" t="s">
        <v>8</v>
      </c>
      <c r="FX605" s="27" t="s">
        <v>7</v>
      </c>
    </row>
    <row r="606" spans="1:180" x14ac:dyDescent="0.25">
      <c r="A606" s="7">
        <v>0.68643075977021883</v>
      </c>
      <c r="B606"/>
      <c r="C606"/>
      <c r="D606"/>
      <c r="E606"/>
      <c r="FT606" s="27" t="s">
        <v>7</v>
      </c>
      <c r="FU606" s="27" t="s">
        <v>8</v>
      </c>
      <c r="FX606" s="27" t="s">
        <v>7</v>
      </c>
    </row>
    <row r="607" spans="1:180" x14ac:dyDescent="0.25">
      <c r="A607" s="7">
        <v>0.67297133310805768</v>
      </c>
      <c r="B607"/>
      <c r="C607"/>
      <c r="D607"/>
      <c r="E607"/>
      <c r="FT607" s="27" t="s">
        <v>7</v>
      </c>
      <c r="FX607" s="27" t="s">
        <v>7</v>
      </c>
    </row>
    <row r="608" spans="1:180" x14ac:dyDescent="0.25">
      <c r="A608" s="7">
        <v>0.65977581677260566</v>
      </c>
      <c r="B608"/>
      <c r="C608"/>
      <c r="D608"/>
      <c r="E608"/>
      <c r="FX608" s="27" t="s">
        <v>7</v>
      </c>
    </row>
    <row r="609" spans="1:184" x14ac:dyDescent="0.25">
      <c r="A609" s="7">
        <v>0.64683903605157422</v>
      </c>
      <c r="B609"/>
      <c r="C609"/>
      <c r="D609"/>
      <c r="E609"/>
      <c r="FX609" s="27" t="s">
        <v>7</v>
      </c>
    </row>
    <row r="610" spans="1:184" x14ac:dyDescent="0.25">
      <c r="A610" s="7">
        <v>0.63415591769762181</v>
      </c>
      <c r="B610"/>
      <c r="C610"/>
      <c r="D610"/>
      <c r="E610"/>
      <c r="FX610" s="27" t="s">
        <v>7</v>
      </c>
    </row>
    <row r="611" spans="1:184" x14ac:dyDescent="0.25">
      <c r="A611" s="7">
        <v>0.62172148793884496</v>
      </c>
      <c r="B611"/>
      <c r="C611"/>
      <c r="D611"/>
      <c r="E611"/>
      <c r="FX611" s="27" t="s">
        <v>7</v>
      </c>
    </row>
    <row r="612" spans="1:184" x14ac:dyDescent="0.25">
      <c r="A612" s="7">
        <v>0.60953087052827937</v>
      </c>
      <c r="B612"/>
      <c r="C612"/>
      <c r="D612"/>
      <c r="E612"/>
      <c r="FX612" s="27" t="s">
        <v>7</v>
      </c>
    </row>
    <row r="613" spans="1:184" x14ac:dyDescent="0.25">
      <c r="A613" s="7">
        <v>0.59757928483164646</v>
      </c>
      <c r="B613"/>
      <c r="C613"/>
      <c r="D613"/>
      <c r="E613"/>
      <c r="FX613" s="27" t="s">
        <v>7</v>
      </c>
    </row>
    <row r="614" spans="1:184" x14ac:dyDescent="0.25">
      <c r="A614" s="7">
        <v>0.58586204395259456</v>
      </c>
      <c r="B614"/>
      <c r="C614"/>
      <c r="D614"/>
      <c r="E614"/>
      <c r="FX614" s="27" t="s">
        <v>7</v>
      </c>
    </row>
    <row r="615" spans="1:184" x14ac:dyDescent="0.25">
      <c r="A615" s="7">
        <v>0.57437455289470052</v>
      </c>
      <c r="B615"/>
      <c r="C615"/>
      <c r="D615"/>
      <c r="E615"/>
      <c r="FX615" s="27" t="s">
        <v>7</v>
      </c>
    </row>
    <row r="616" spans="1:184" x14ac:dyDescent="0.25">
      <c r="A616" s="7">
        <v>0.56311230675951029</v>
      </c>
      <c r="B616"/>
      <c r="C616"/>
      <c r="D616"/>
      <c r="E616"/>
      <c r="FX616" s="27" t="s">
        <v>7</v>
      </c>
    </row>
    <row r="617" spans="1:184" x14ac:dyDescent="0.25">
      <c r="A617" s="7">
        <v>0.55207088897991208</v>
      </c>
      <c r="B617"/>
      <c r="C617"/>
      <c r="D617"/>
      <c r="E617"/>
      <c r="FX617" s="27" t="s">
        <v>7</v>
      </c>
    </row>
    <row r="618" spans="1:184" x14ac:dyDescent="0.25">
      <c r="A618" s="7">
        <v>0.54124596958814908</v>
      </c>
      <c r="B618"/>
      <c r="C618"/>
      <c r="D618"/>
      <c r="E618"/>
      <c r="FX618" s="27" t="s">
        <v>7</v>
      </c>
    </row>
    <row r="619" spans="1:184" x14ac:dyDescent="0.25">
      <c r="A619" s="7">
        <v>0.53063330351779314</v>
      </c>
      <c r="B619"/>
      <c r="C619"/>
      <c r="D619"/>
      <c r="E619"/>
      <c r="FX619" s="27" t="s">
        <v>7</v>
      </c>
      <c r="FY619" s="27" t="s">
        <v>8</v>
      </c>
      <c r="GA619" s="27" t="s">
        <v>8</v>
      </c>
    </row>
    <row r="620" spans="1:184" x14ac:dyDescent="0.25">
      <c r="A620" s="7">
        <v>0.52022872893901284</v>
      </c>
      <c r="B620"/>
      <c r="C620"/>
      <c r="D620"/>
      <c r="E620"/>
      <c r="FX620" s="27" t="s">
        <v>7</v>
      </c>
      <c r="FY620" s="27" t="s">
        <v>8</v>
      </c>
      <c r="FZ620" s="27" t="s">
        <v>7</v>
      </c>
      <c r="GA620" s="27" t="s">
        <v>8</v>
      </c>
      <c r="GB620" s="27" t="s">
        <v>7</v>
      </c>
    </row>
    <row r="621" spans="1:184" x14ac:dyDescent="0.25">
      <c r="A621" s="7">
        <v>0.51002816562648323</v>
      </c>
      <c r="B621"/>
      <c r="C621"/>
      <c r="D621"/>
      <c r="E621"/>
      <c r="FX621" s="27" t="s">
        <v>7</v>
      </c>
      <c r="FY621" s="27" t="s">
        <v>8</v>
      </c>
      <c r="FZ621" s="27" t="s">
        <v>7</v>
      </c>
      <c r="GA621" s="27" t="s">
        <v>8</v>
      </c>
      <c r="GB621" s="27" t="s">
        <v>7</v>
      </c>
    </row>
    <row r="622" spans="1:184" x14ac:dyDescent="0.25">
      <c r="A622" s="7">
        <v>0.50002761335929735</v>
      </c>
      <c r="B622"/>
      <c r="C622"/>
      <c r="D622"/>
      <c r="E622"/>
      <c r="FX622" s="27" t="s">
        <v>7</v>
      </c>
      <c r="FY622" s="27" t="s">
        <v>8</v>
      </c>
      <c r="FZ622" s="27" t="s">
        <v>7</v>
      </c>
      <c r="GA622" s="27" t="s">
        <v>8</v>
      </c>
      <c r="GB622" s="27" t="s">
        <v>7</v>
      </c>
    </row>
    <row r="623" spans="1:184" x14ac:dyDescent="0.25">
      <c r="A623" s="7">
        <v>0.49022315035225228</v>
      </c>
      <c r="B623"/>
      <c r="C623"/>
      <c r="D623"/>
      <c r="E623"/>
      <c r="FX623" s="27" t="s">
        <v>7</v>
      </c>
      <c r="FY623" s="27" t="s">
        <v>8</v>
      </c>
      <c r="FZ623" s="27" t="s">
        <v>7</v>
      </c>
      <c r="GA623" s="27" t="s">
        <v>8</v>
      </c>
      <c r="GB623" s="27" t="s">
        <v>7</v>
      </c>
    </row>
    <row r="624" spans="1:184" x14ac:dyDescent="0.25">
      <c r="A624" s="7">
        <v>0.48061093171789437</v>
      </c>
      <c r="B624"/>
      <c r="C624"/>
      <c r="D624"/>
      <c r="E624"/>
      <c r="FX624" s="27" t="s">
        <v>7</v>
      </c>
      <c r="FY624" s="27" t="s">
        <v>8</v>
      </c>
      <c r="FZ624" s="27" t="s">
        <v>7</v>
      </c>
      <c r="GA624" s="27" t="s">
        <v>8</v>
      </c>
    </row>
    <row r="625" spans="1:183" x14ac:dyDescent="0.25">
      <c r="A625" s="7">
        <v>0.47118718795871994</v>
      </c>
      <c r="B625"/>
      <c r="C625"/>
      <c r="D625"/>
      <c r="E625"/>
      <c r="FX625" s="27" t="s">
        <v>7</v>
      </c>
      <c r="FY625" s="27" t="s">
        <v>8</v>
      </c>
      <c r="FZ625" s="27" t="s">
        <v>7</v>
      </c>
      <c r="GA625" s="27" t="s">
        <v>8</v>
      </c>
    </row>
    <row r="626" spans="1:183" x14ac:dyDescent="0.25">
      <c r="A626" s="7">
        <v>0.46194822348894116</v>
      </c>
      <c r="B626"/>
      <c r="C626"/>
      <c r="D626"/>
      <c r="E626"/>
      <c r="FX626" s="27" t="s">
        <v>7</v>
      </c>
      <c r="FY626" s="27" t="s">
        <v>8</v>
      </c>
      <c r="FZ626" s="27" t="s">
        <v>7</v>
      </c>
      <c r="GA626" s="27" t="s">
        <v>8</v>
      </c>
    </row>
    <row r="627" spans="1:183" x14ac:dyDescent="0.25">
      <c r="A627" s="7">
        <v>0.45289041518523643</v>
      </c>
      <c r="B627"/>
      <c r="C627"/>
      <c r="D627"/>
      <c r="E627"/>
      <c r="FX627" s="27" t="s">
        <v>7</v>
      </c>
      <c r="FZ627" s="27" t="s">
        <v>7</v>
      </c>
      <c r="GA627" s="27" t="s">
        <v>8</v>
      </c>
    </row>
    <row r="628" spans="1:183" x14ac:dyDescent="0.25">
      <c r="A628" s="7">
        <v>0.44401021096591808</v>
      </c>
      <c r="B628"/>
      <c r="C628"/>
      <c r="D628"/>
      <c r="E628"/>
      <c r="FZ628" s="27" t="s">
        <v>7</v>
      </c>
      <c r="GA628" s="27" t="s">
        <v>8</v>
      </c>
    </row>
    <row r="629" spans="1:183" x14ac:dyDescent="0.25">
      <c r="A629" s="7">
        <v>0.4353041283979589</v>
      </c>
      <c r="B629"/>
      <c r="C629"/>
      <c r="D629"/>
      <c r="E629"/>
      <c r="FZ629" s="27" t="s">
        <v>7</v>
      </c>
    </row>
    <row r="630" spans="1:183" x14ac:dyDescent="0.25">
      <c r="A630" s="7">
        <v>0.4267687533313323</v>
      </c>
      <c r="B630"/>
      <c r="C630"/>
      <c r="D630"/>
      <c r="E630"/>
    </row>
    <row r="631" spans="1:183" x14ac:dyDescent="0.25">
      <c r="A631" s="7">
        <v>0.41840073856012971</v>
      </c>
      <c r="B631"/>
      <c r="C631"/>
      <c r="D631"/>
      <c r="E631"/>
    </row>
    <row r="632" spans="1:183" x14ac:dyDescent="0.25">
      <c r="A632" s="7">
        <v>0.41019680250993112</v>
      </c>
      <c r="B632"/>
      <c r="C632"/>
      <c r="D632"/>
      <c r="E632"/>
    </row>
    <row r="633" spans="1:183" x14ac:dyDescent="0.25">
      <c r="A633" s="7">
        <v>0.40215372795091286</v>
      </c>
      <c r="B633"/>
      <c r="C633"/>
      <c r="D633"/>
      <c r="E633"/>
    </row>
    <row r="634" spans="1:183" x14ac:dyDescent="0.25">
      <c r="A634" s="7">
        <v>0.39426836073618904</v>
      </c>
      <c r="B634"/>
      <c r="C634"/>
      <c r="D634"/>
      <c r="E634"/>
    </row>
    <row r="635" spans="1:183" x14ac:dyDescent="0.25">
      <c r="A635" s="7">
        <v>0.38653760856489122</v>
      </c>
      <c r="B635"/>
      <c r="C635"/>
      <c r="D635"/>
      <c r="E635"/>
    </row>
    <row r="636" spans="1:183" x14ac:dyDescent="0.25">
      <c r="A636" s="7">
        <v>0.37895843976950117</v>
      </c>
      <c r="B636"/>
      <c r="C636"/>
      <c r="D636"/>
      <c r="E636"/>
    </row>
    <row r="637" spans="1:183" x14ac:dyDescent="0.25">
      <c r="A637" s="7">
        <v>0.37152788212696197</v>
      </c>
      <c r="B637"/>
      <c r="C637"/>
      <c r="D637"/>
      <c r="E637"/>
    </row>
    <row r="638" spans="1:183" x14ac:dyDescent="0.25">
      <c r="A638" s="7">
        <v>0.36424302169310002</v>
      </c>
      <c r="B638"/>
      <c r="C638"/>
      <c r="D638"/>
      <c r="E638"/>
    </row>
    <row r="639" spans="1:183" x14ac:dyDescent="0.25">
      <c r="A639" s="7">
        <v>0.35710100165990194</v>
      </c>
      <c r="B639"/>
      <c r="C639"/>
      <c r="D639"/>
      <c r="E639"/>
    </row>
    <row r="640" spans="1:183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48" operator="equal">
      <formula>$U$1</formula>
    </cfRule>
    <cfRule type="cellIs" dxfId="89" priority="749" operator="equal">
      <formula>$S$1</formula>
    </cfRule>
  </conditionalFormatting>
  <conditionalFormatting sqref="D27">
    <cfRule type="cellIs" dxfId="88" priority="746" operator="equal">
      <formula>$S$1</formula>
    </cfRule>
    <cfRule type="cellIs" dxfId="87" priority="747" operator="equal">
      <formula>$U$1</formula>
    </cfRule>
  </conditionalFormatting>
  <conditionalFormatting sqref="C164">
    <cfRule type="cellIs" dxfId="86" priority="744" operator="equal">
      <formula>$U$1</formula>
    </cfRule>
    <cfRule type="cellIs" dxfId="85" priority="745" operator="equal">
      <formula>$S$1</formula>
    </cfRule>
  </conditionalFormatting>
  <conditionalFormatting sqref="D164">
    <cfRule type="cellIs" dxfId="84" priority="742" operator="equal">
      <formula>$S$1</formula>
    </cfRule>
    <cfRule type="cellIs" dxfId="83" priority="743" operator="equal">
      <formula>$U$1</formula>
    </cfRule>
  </conditionalFormatting>
  <conditionalFormatting sqref="C55">
    <cfRule type="cellIs" dxfId="82" priority="740" operator="equal">
      <formula>$U$1</formula>
    </cfRule>
    <cfRule type="cellIs" dxfId="81" priority="741" operator="equal">
      <formula>$S$1</formula>
    </cfRule>
  </conditionalFormatting>
  <conditionalFormatting sqref="D55">
    <cfRule type="cellIs" dxfId="80" priority="738" operator="equal">
      <formula>$S$1</formula>
    </cfRule>
    <cfRule type="cellIs" dxfId="79" priority="739" operator="equal">
      <formula>$U$1</formula>
    </cfRule>
  </conditionalFormatting>
  <conditionalFormatting sqref="C89">
    <cfRule type="cellIs" dxfId="78" priority="736" operator="equal">
      <formula>$U$1</formula>
    </cfRule>
    <cfRule type="cellIs" dxfId="77" priority="737" operator="equal">
      <formula>$S$1</formula>
    </cfRule>
  </conditionalFormatting>
  <conditionalFormatting sqref="D89">
    <cfRule type="cellIs" dxfId="76" priority="734" operator="equal">
      <formula>$S$1</formula>
    </cfRule>
    <cfRule type="cellIs" dxfId="75" priority="735" operator="equal">
      <formula>$U$1</formula>
    </cfRule>
  </conditionalFormatting>
  <conditionalFormatting sqref="C136">
    <cfRule type="cellIs" dxfId="74" priority="732" operator="equal">
      <formula>$U$1</formula>
    </cfRule>
    <cfRule type="cellIs" dxfId="73" priority="733" operator="equal">
      <formula>$S$1</formula>
    </cfRule>
  </conditionalFormatting>
  <conditionalFormatting sqref="D136">
    <cfRule type="cellIs" dxfId="72" priority="730" operator="equal">
      <formula>$S$1</formula>
    </cfRule>
    <cfRule type="cellIs" dxfId="71" priority="731" operator="equal">
      <formula>$U$1</formula>
    </cfRule>
  </conditionalFormatting>
  <conditionalFormatting sqref="C1">
    <cfRule type="cellIs" dxfId="70" priority="72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4" zoomScale="85" zoomScaleNormal="85" workbookViewId="0">
      <pane xSplit="4" topLeftCell="AC1" activePane="topRight" state="frozen"/>
      <selection activeCell="A109" sqref="A109"/>
      <selection pane="topRight" activeCell="CQ253" sqref="CQ25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$A$252</v>
      </c>
      <c r="D111" s="1" t="str">
        <f>ADDRESS(C121-1,D121,1,1)</f>
        <v>$CQ$252</v>
      </c>
      <c r="E111"/>
    </row>
    <row r="112" spans="1:5" x14ac:dyDescent="0.25">
      <c r="A112" s="30">
        <v>515.50191262726139</v>
      </c>
      <c r="C112" s="1" t="str">
        <f>ADDRESS(C121,1,1,1)</f>
        <v>$A$253</v>
      </c>
      <c r="D112" s="1" t="str">
        <f>ADDRESS(C121,D121-1,1,1)</f>
        <v>$CP$253</v>
      </c>
      <c r="E112"/>
    </row>
    <row r="113" spans="1:5" x14ac:dyDescent="0.25">
      <c r="A113" s="30">
        <v>490.95420250215363</v>
      </c>
      <c r="C113" s="1" t="str">
        <f>ADDRESS(C121+1,1,1,1)</f>
        <v>$A$254</v>
      </c>
      <c r="D113" s="1" t="str">
        <f>ADDRESS(C121-1,D121+1,1,1)</f>
        <v>$CR$252</v>
      </c>
    </row>
    <row r="114" spans="1:5" x14ac:dyDescent="0.25">
      <c r="A114" s="30">
        <v>467.57543095443202</v>
      </c>
      <c r="C114" s="1" t="str">
        <f>ADDRESS(C121,D121,1,1)</f>
        <v>$CQ$253</v>
      </c>
      <c r="D114" s="1" t="str">
        <f>ADDRESS(C121+1,D121+1,1,1)</f>
        <v>$CR$254</v>
      </c>
    </row>
    <row r="115" spans="1:5" x14ac:dyDescent="0.25">
      <c r="A115" s="30">
        <v>445.30993424231622</v>
      </c>
      <c r="C115" s="1" t="str">
        <f>ADDRESS(C121+1,D121,1,1)</f>
        <v>$CQ$254</v>
      </c>
    </row>
    <row r="116" spans="1:5" x14ac:dyDescent="0.25">
      <c r="A116" s="30">
        <v>424.10469927839637</v>
      </c>
      <c r="C116" s="1">
        <f>C117-1</f>
        <v>252</v>
      </c>
    </row>
    <row r="117" spans="1:5" x14ac:dyDescent="0.25">
      <c r="A117" s="30">
        <v>403.9092374079965</v>
      </c>
      <c r="C117" s="1">
        <f>C121</f>
        <v>253</v>
      </c>
      <c r="D117" s="1">
        <f>D121</f>
        <v>95</v>
      </c>
    </row>
    <row r="118" spans="1:5" x14ac:dyDescent="0.25">
      <c r="A118" s="30">
        <v>384.6754641980919</v>
      </c>
      <c r="C118" s="1">
        <f>C117+1</f>
        <v>254</v>
      </c>
      <c r="D118" s="1">
        <f>D117+1</f>
        <v>96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253</v>
      </c>
      <c r="D121" s="19">
        <v>95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R253</v>
      </c>
      <c r="D123" s="1" t="str">
        <f>"C"&amp;D121</f>
        <v>C95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0.53032135064529184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26" x14ac:dyDescent="0.25">
      <c r="A193" s="30">
        <v>9.9059710923258422</v>
      </c>
      <c r="E193"/>
    </row>
    <row r="194" spans="1:26" x14ac:dyDescent="0.25">
      <c r="A194" s="30">
        <v>9.4342581831674686</v>
      </c>
      <c r="E194"/>
    </row>
    <row r="195" spans="1:26" x14ac:dyDescent="0.25">
      <c r="A195" s="30">
        <v>8.9850077934928265</v>
      </c>
      <c r="E195"/>
    </row>
    <row r="196" spans="1:26" x14ac:dyDescent="0.25">
      <c r="A196" s="30">
        <v>8.5571502795169767</v>
      </c>
      <c r="E196" t="s">
        <v>8</v>
      </c>
    </row>
    <row r="197" spans="1:26" x14ac:dyDescent="0.25">
      <c r="A197" s="30">
        <v>8.1496669328733109</v>
      </c>
      <c r="E197" t="s">
        <v>8</v>
      </c>
      <c r="F197" s="27" t="s">
        <v>7</v>
      </c>
    </row>
    <row r="198" spans="1:26" x14ac:dyDescent="0.25">
      <c r="A198" s="30">
        <v>7.7615875551174378</v>
      </c>
      <c r="E198" t="s">
        <v>8</v>
      </c>
      <c r="F198" s="27" t="s">
        <v>7</v>
      </c>
    </row>
    <row r="199" spans="1:26" x14ac:dyDescent="0.25">
      <c r="A199" s="30">
        <v>7.3919881477308929</v>
      </c>
      <c r="E199" t="s">
        <v>8</v>
      </c>
      <c r="F199" s="27" t="s">
        <v>7</v>
      </c>
    </row>
    <row r="200" spans="1:26" x14ac:dyDescent="0.25">
      <c r="A200" s="30">
        <v>7.0399887121246598</v>
      </c>
      <c r="E200" t="s">
        <v>8</v>
      </c>
      <c r="F200" s="27" t="s">
        <v>7</v>
      </c>
    </row>
    <row r="201" spans="1:26" x14ac:dyDescent="0.25">
      <c r="A201" s="30">
        <v>6.7047511544044376</v>
      </c>
      <c r="E201" t="s">
        <v>8</v>
      </c>
      <c r="F201" s="27" t="s">
        <v>7</v>
      </c>
    </row>
    <row r="202" spans="1:26" x14ac:dyDescent="0.25">
      <c r="A202" s="30">
        <v>6.3854772899089882</v>
      </c>
      <c r="E202" t="s">
        <v>8</v>
      </c>
      <c r="F202" s="27" t="s">
        <v>7</v>
      </c>
    </row>
    <row r="203" spans="1:26" x14ac:dyDescent="0.25">
      <c r="A203" s="30">
        <v>6.0814069427704647</v>
      </c>
      <c r="C203" s="7"/>
      <c r="D203"/>
      <c r="E203" t="s">
        <v>8</v>
      </c>
      <c r="F203" s="27" t="s">
        <v>7</v>
      </c>
    </row>
    <row r="204" spans="1:26" x14ac:dyDescent="0.25">
      <c r="A204" s="30">
        <v>5.7918161359718709</v>
      </c>
      <c r="E204" t="s">
        <v>8</v>
      </c>
      <c r="F204" s="27" t="s">
        <v>7</v>
      </c>
    </row>
    <row r="205" spans="1:26" x14ac:dyDescent="0.25">
      <c r="A205" s="30">
        <v>5.5160153675922574</v>
      </c>
      <c r="E205" t="s">
        <v>8</v>
      </c>
      <c r="F205" s="27" t="s">
        <v>7</v>
      </c>
      <c r="G205" s="27" t="s">
        <v>8</v>
      </c>
      <c r="W205" s="31" t="s">
        <v>8</v>
      </c>
    </row>
    <row r="206" spans="1:26" x14ac:dyDescent="0.25">
      <c r="A206" s="30">
        <v>5.2533479691354827</v>
      </c>
      <c r="C206"/>
      <c r="D206"/>
      <c r="E206" t="s">
        <v>8</v>
      </c>
      <c r="F206" s="27" t="s">
        <v>7</v>
      </c>
      <c r="G206" s="27" t="s">
        <v>8</v>
      </c>
      <c r="H206" s="27" t="s">
        <v>7</v>
      </c>
      <c r="U206" s="27" t="s">
        <v>8</v>
      </c>
      <c r="W206" s="27" t="s">
        <v>8</v>
      </c>
      <c r="X206" s="31" t="s">
        <v>7</v>
      </c>
    </row>
    <row r="207" spans="1:26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H207" s="27" t="s">
        <v>7</v>
      </c>
      <c r="M207" s="27" t="s">
        <v>8</v>
      </c>
      <c r="U207" s="27" t="s">
        <v>8</v>
      </c>
      <c r="V207" s="27" t="s">
        <v>7</v>
      </c>
      <c r="W207" s="27" t="s">
        <v>8</v>
      </c>
      <c r="X207" s="27" t="s">
        <v>7</v>
      </c>
      <c r="Y207" s="31"/>
    </row>
    <row r="208" spans="1:26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  <c r="K208" s="27" t="s">
        <v>8</v>
      </c>
      <c r="M208" s="27" t="s">
        <v>8</v>
      </c>
      <c r="N208" s="27" t="s">
        <v>7</v>
      </c>
      <c r="U208" s="27" t="s">
        <v>8</v>
      </c>
      <c r="V208" s="27" t="s">
        <v>7</v>
      </c>
      <c r="W208" s="27" t="s">
        <v>8</v>
      </c>
      <c r="X208" s="27" t="s">
        <v>7</v>
      </c>
      <c r="Z208" s="31"/>
    </row>
    <row r="209" spans="1:61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  <c r="K209" s="27" t="s">
        <v>8</v>
      </c>
      <c r="L209" s="27" t="s">
        <v>7</v>
      </c>
      <c r="M209" s="27" t="s">
        <v>8</v>
      </c>
      <c r="N209" s="27" t="s">
        <v>7</v>
      </c>
      <c r="O209" s="27" t="s">
        <v>8</v>
      </c>
      <c r="U209" s="27" t="s">
        <v>8</v>
      </c>
      <c r="V209" s="27" t="s">
        <v>7</v>
      </c>
      <c r="X209" s="27" t="s">
        <v>7</v>
      </c>
      <c r="AA209" s="31"/>
    </row>
    <row r="210" spans="1:61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I210" s="27" t="s">
        <v>8</v>
      </c>
      <c r="J210" s="27" t="s">
        <v>7</v>
      </c>
      <c r="K210" s="27" t="s">
        <v>8</v>
      </c>
      <c r="L210" s="27" t="s">
        <v>7</v>
      </c>
      <c r="M210" s="27" t="s">
        <v>8</v>
      </c>
      <c r="N210" s="27" t="s">
        <v>7</v>
      </c>
      <c r="O210" s="27" t="s">
        <v>8</v>
      </c>
      <c r="P210" s="27" t="s">
        <v>7</v>
      </c>
      <c r="Q210" s="27" t="s">
        <v>8</v>
      </c>
      <c r="U210" s="27" t="s">
        <v>8</v>
      </c>
      <c r="X210" s="27" t="s">
        <v>7</v>
      </c>
      <c r="AB210" s="31"/>
      <c r="AC210" s="27" t="s">
        <v>8</v>
      </c>
    </row>
    <row r="211" spans="1:61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I211" s="27" t="s">
        <v>8</v>
      </c>
      <c r="J211" s="27" t="s">
        <v>7</v>
      </c>
      <c r="K211" s="27" t="s">
        <v>8</v>
      </c>
      <c r="L211" s="27" t="s">
        <v>7</v>
      </c>
      <c r="M211" s="27" t="s">
        <v>8</v>
      </c>
      <c r="N211" s="27" t="s">
        <v>7</v>
      </c>
      <c r="O211" s="27" t="s">
        <v>8</v>
      </c>
      <c r="P211" s="27" t="s">
        <v>7</v>
      </c>
      <c r="Q211" s="27" t="s">
        <v>8</v>
      </c>
      <c r="R211" s="27" t="s">
        <v>7</v>
      </c>
      <c r="S211" s="27" t="s">
        <v>8</v>
      </c>
      <c r="U211" s="27" t="s">
        <v>8</v>
      </c>
      <c r="X211" s="27" t="s">
        <v>7</v>
      </c>
      <c r="AC211" s="31" t="s">
        <v>8</v>
      </c>
      <c r="AD211" s="31" t="s">
        <v>7</v>
      </c>
    </row>
    <row r="212" spans="1:61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H212" s="27" t="s">
        <v>7</v>
      </c>
      <c r="I212" s="27" t="s">
        <v>8</v>
      </c>
      <c r="J212" s="27" t="s">
        <v>7</v>
      </c>
      <c r="K212" s="27" t="s">
        <v>8</v>
      </c>
      <c r="L212" s="27" t="s">
        <v>7</v>
      </c>
      <c r="M212" s="27" t="s">
        <v>8</v>
      </c>
      <c r="N212" s="27" t="s">
        <v>7</v>
      </c>
      <c r="O212" s="27" t="s">
        <v>8</v>
      </c>
      <c r="P212" s="27" t="s">
        <v>7</v>
      </c>
      <c r="Q212" s="27" t="s">
        <v>8</v>
      </c>
      <c r="R212" s="27" t="s">
        <v>7</v>
      </c>
      <c r="S212" s="27" t="s">
        <v>8</v>
      </c>
      <c r="T212" s="27" t="s">
        <v>7</v>
      </c>
      <c r="U212" s="27" t="s">
        <v>8</v>
      </c>
      <c r="X212" s="27" t="s">
        <v>7</v>
      </c>
      <c r="Y212" s="27" t="s">
        <v>8</v>
      </c>
      <c r="AC212" s="27" t="s">
        <v>8</v>
      </c>
      <c r="AD212" s="27" t="s">
        <v>7</v>
      </c>
      <c r="AE212" s="31"/>
    </row>
    <row r="213" spans="1:61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H213" s="27" t="s">
        <v>7</v>
      </c>
      <c r="J213" s="27" t="s">
        <v>7</v>
      </c>
      <c r="K213" s="27" t="s">
        <v>8</v>
      </c>
      <c r="L213" s="27" t="s">
        <v>7</v>
      </c>
      <c r="M213" s="27" t="s">
        <v>8</v>
      </c>
      <c r="N213" s="27" t="s">
        <v>7</v>
      </c>
      <c r="O213" s="27" t="s">
        <v>8</v>
      </c>
      <c r="P213" s="27" t="s">
        <v>7</v>
      </c>
      <c r="R213" s="27" t="s">
        <v>7</v>
      </c>
      <c r="S213" s="27" t="s">
        <v>8</v>
      </c>
      <c r="T213" s="27" t="s">
        <v>7</v>
      </c>
      <c r="U213" s="27" t="s">
        <v>8</v>
      </c>
      <c r="X213" s="27" t="s">
        <v>7</v>
      </c>
      <c r="Y213" s="27" t="s">
        <v>8</v>
      </c>
      <c r="Z213" s="27" t="s">
        <v>7</v>
      </c>
      <c r="AA213" s="27" t="s">
        <v>8</v>
      </c>
      <c r="AC213" s="27" t="s">
        <v>8</v>
      </c>
      <c r="AD213" s="27" t="s">
        <v>7</v>
      </c>
      <c r="AF213" s="31"/>
    </row>
    <row r="214" spans="1:61" x14ac:dyDescent="0.25">
      <c r="A214" s="30">
        <v>3.5556726879443583</v>
      </c>
      <c r="E214" t="s">
        <v>8</v>
      </c>
      <c r="F214" s="27" t="s">
        <v>7</v>
      </c>
      <c r="J214" s="27" t="s">
        <v>7</v>
      </c>
      <c r="K214" s="27" t="s">
        <v>8</v>
      </c>
      <c r="L214" s="27" t="s">
        <v>7</v>
      </c>
      <c r="M214" s="27" t="s">
        <v>8</v>
      </c>
      <c r="N214" s="27" t="s">
        <v>7</v>
      </c>
      <c r="O214" s="27" t="s">
        <v>8</v>
      </c>
      <c r="R214" s="27" t="s">
        <v>7</v>
      </c>
      <c r="T214" s="27" t="s">
        <v>7</v>
      </c>
      <c r="U214" s="27" t="s">
        <v>8</v>
      </c>
      <c r="X214" s="27" t="s">
        <v>7</v>
      </c>
      <c r="Y214" s="27" t="s">
        <v>8</v>
      </c>
      <c r="Z214" s="27" t="s">
        <v>7</v>
      </c>
      <c r="AA214" s="27" t="s">
        <v>8</v>
      </c>
      <c r="AB214" s="27" t="s">
        <v>7</v>
      </c>
      <c r="AC214" s="27" t="s">
        <v>8</v>
      </c>
      <c r="AD214" s="27" t="s">
        <v>7</v>
      </c>
      <c r="AG214" s="31"/>
    </row>
    <row r="215" spans="1:61" x14ac:dyDescent="0.25">
      <c r="A215" s="30">
        <v>3.3863549408993889</v>
      </c>
      <c r="E215" t="s">
        <v>8</v>
      </c>
      <c r="J215" s="27" t="s">
        <v>7</v>
      </c>
      <c r="L215" s="27" t="s">
        <v>7</v>
      </c>
      <c r="N215" s="27" t="s">
        <v>7</v>
      </c>
      <c r="O215" s="27" t="s">
        <v>8</v>
      </c>
      <c r="T215" s="27" t="s">
        <v>7</v>
      </c>
      <c r="X215" s="27" t="s">
        <v>7</v>
      </c>
      <c r="Y215" s="27" t="s">
        <v>8</v>
      </c>
      <c r="Z215" s="27" t="s">
        <v>7</v>
      </c>
      <c r="AA215" s="27" t="s">
        <v>8</v>
      </c>
      <c r="AB215" s="27" t="s">
        <v>7</v>
      </c>
      <c r="AC215" s="27" t="s">
        <v>8</v>
      </c>
      <c r="AD215" s="27" t="s">
        <v>7</v>
      </c>
      <c r="AH215" s="31"/>
    </row>
    <row r="216" spans="1:61" x14ac:dyDescent="0.25">
      <c r="A216" s="30">
        <v>3.2250999437137038</v>
      </c>
      <c r="E216" t="s">
        <v>8</v>
      </c>
      <c r="N216" s="27" t="s">
        <v>7</v>
      </c>
      <c r="O216" s="27" t="s">
        <v>8</v>
      </c>
      <c r="X216" s="27" t="s">
        <v>7</v>
      </c>
      <c r="Z216" s="27" t="s">
        <v>7</v>
      </c>
      <c r="AB216" s="27" t="s">
        <v>7</v>
      </c>
      <c r="AC216" s="27" t="s">
        <v>8</v>
      </c>
      <c r="AD216" s="27" t="s">
        <v>7</v>
      </c>
      <c r="AI216" s="31"/>
    </row>
    <row r="217" spans="1:61" x14ac:dyDescent="0.25">
      <c r="A217" s="30">
        <v>3.0715237559178128</v>
      </c>
      <c r="E217" t="s">
        <v>8</v>
      </c>
      <c r="N217" s="27" t="s">
        <v>7</v>
      </c>
      <c r="AB217" s="27" t="s">
        <v>7</v>
      </c>
      <c r="AC217" s="27" t="s">
        <v>8</v>
      </c>
      <c r="AD217" s="27" t="s">
        <v>7</v>
      </c>
      <c r="AJ217" s="31"/>
    </row>
    <row r="218" spans="1:61" x14ac:dyDescent="0.25">
      <c r="A218" s="30">
        <v>2.9252607199217264</v>
      </c>
      <c r="E218" t="s">
        <v>8</v>
      </c>
      <c r="AB218" s="27" t="s">
        <v>7</v>
      </c>
      <c r="AC218" s="27" t="s">
        <v>8</v>
      </c>
      <c r="AD218" s="27" t="s">
        <v>7</v>
      </c>
      <c r="AK218" s="31"/>
    </row>
    <row r="219" spans="1:61" x14ac:dyDescent="0.25">
      <c r="A219" s="30">
        <v>2.7859625904016441</v>
      </c>
      <c r="E219" t="s">
        <v>8</v>
      </c>
      <c r="AB219" s="27" t="s">
        <v>7</v>
      </c>
      <c r="AC219" s="27" t="s">
        <v>8</v>
      </c>
      <c r="AD219" s="27" t="s">
        <v>7</v>
      </c>
      <c r="AL219" s="31"/>
    </row>
    <row r="220" spans="1:61" x14ac:dyDescent="0.25">
      <c r="A220" s="30">
        <v>2.6532977051444226</v>
      </c>
      <c r="E220" t="s">
        <v>8</v>
      </c>
      <c r="AB220" s="27" t="s">
        <v>7</v>
      </c>
      <c r="AC220" s="27" t="s">
        <v>8</v>
      </c>
      <c r="AD220" s="27" t="s">
        <v>7</v>
      </c>
      <c r="AM220" s="31"/>
    </row>
    <row r="221" spans="1:61" x14ac:dyDescent="0.25">
      <c r="A221" s="30">
        <v>2.5269501953756404</v>
      </c>
      <c r="E221" t="s">
        <v>8</v>
      </c>
      <c r="AB221" s="27" t="s">
        <v>7</v>
      </c>
      <c r="AD221" s="27" t="s">
        <v>7</v>
      </c>
      <c r="AN221" s="31"/>
    </row>
    <row r="222" spans="1:61" x14ac:dyDescent="0.25">
      <c r="A222" s="30">
        <v>2.4066192336910861</v>
      </c>
      <c r="E222" t="s">
        <v>8</v>
      </c>
      <c r="AD222" s="27" t="s">
        <v>7</v>
      </c>
      <c r="AO222" s="31"/>
    </row>
    <row r="223" spans="1:61" x14ac:dyDescent="0.25">
      <c r="A223" s="30">
        <v>2.2920183178010345</v>
      </c>
      <c r="E223" t="s">
        <v>8</v>
      </c>
      <c r="AD223" s="27" t="s">
        <v>7</v>
      </c>
      <c r="AP223" s="31"/>
      <c r="BG223" s="27" t="s">
        <v>8</v>
      </c>
    </row>
    <row r="224" spans="1:61" x14ac:dyDescent="0.25">
      <c r="A224" s="30">
        <v>2.1828745883819374</v>
      </c>
      <c r="E224" t="s">
        <v>8</v>
      </c>
      <c r="AD224" s="27" t="s">
        <v>7</v>
      </c>
      <c r="AQ224" s="31"/>
      <c r="BE224" s="27" t="s">
        <v>8</v>
      </c>
      <c r="BG224" s="27" t="s">
        <v>8</v>
      </c>
      <c r="BH224" s="27" t="s">
        <v>7</v>
      </c>
      <c r="BI224" s="27" t="s">
        <v>8</v>
      </c>
    </row>
    <row r="225" spans="1:90" x14ac:dyDescent="0.25">
      <c r="A225" s="30">
        <v>2.0789281794113688</v>
      </c>
      <c r="E225" t="s">
        <v>8</v>
      </c>
      <c r="AD225" s="27" t="s">
        <v>7</v>
      </c>
      <c r="AR225" s="31"/>
      <c r="BE225" s="27" t="s">
        <v>8</v>
      </c>
      <c r="BF225" s="27" t="s">
        <v>7</v>
      </c>
      <c r="BG225" s="27" t="s">
        <v>8</v>
      </c>
      <c r="BH225" s="27" t="s">
        <v>7</v>
      </c>
      <c r="BI225" s="27" t="s">
        <v>8</v>
      </c>
      <c r="BJ225" s="27" t="s">
        <v>7</v>
      </c>
    </row>
    <row r="226" spans="1:90" x14ac:dyDescent="0.25">
      <c r="A226" s="30">
        <v>1.9799315994393987</v>
      </c>
      <c r="E226" t="s">
        <v>8</v>
      </c>
      <c r="AD226" s="27" t="s">
        <v>7</v>
      </c>
      <c r="AS226" s="31"/>
      <c r="BE226" s="27" t="s">
        <v>8</v>
      </c>
      <c r="BF226" s="27" t="s">
        <v>7</v>
      </c>
      <c r="BG226" s="27" t="s">
        <v>8</v>
      </c>
      <c r="BH226" s="27" t="s">
        <v>7</v>
      </c>
      <c r="BI226" s="27" t="s">
        <v>8</v>
      </c>
      <c r="BJ226" s="27" t="s">
        <v>7</v>
      </c>
      <c r="BU226" s="27" t="s">
        <v>8</v>
      </c>
    </row>
    <row r="227" spans="1:90" x14ac:dyDescent="0.25">
      <c r="A227" s="30">
        <v>1.8856491423232367</v>
      </c>
      <c r="E227" t="s">
        <v>8</v>
      </c>
      <c r="AD227" s="27" t="s">
        <v>7</v>
      </c>
      <c r="AK227" s="34" t="s">
        <v>8</v>
      </c>
      <c r="AM227" s="34" t="s">
        <v>8</v>
      </c>
      <c r="AT227" s="31"/>
      <c r="BE227" s="27" t="s">
        <v>8</v>
      </c>
      <c r="BF227" s="27" t="s">
        <v>7</v>
      </c>
      <c r="BG227" s="27" t="s">
        <v>8</v>
      </c>
      <c r="BH227" s="27" t="s">
        <v>7</v>
      </c>
      <c r="BI227" s="27" t="s">
        <v>8</v>
      </c>
      <c r="BJ227" s="27" t="s">
        <v>7</v>
      </c>
      <c r="BU227" s="27" t="s">
        <v>8</v>
      </c>
      <c r="BV227" s="27" t="s">
        <v>7</v>
      </c>
      <c r="BW227" s="34" t="s">
        <v>8</v>
      </c>
      <c r="BY227" s="34" t="s">
        <v>8</v>
      </c>
    </row>
    <row r="228" spans="1:90" x14ac:dyDescent="0.25">
      <c r="A228" s="30">
        <v>1.7958563260221301</v>
      </c>
      <c r="C228" s="7"/>
      <c r="D228"/>
      <c r="E228" t="s">
        <v>8</v>
      </c>
      <c r="AD228" s="27" t="s">
        <v>7</v>
      </c>
      <c r="AE228" s="27" t="s">
        <v>8</v>
      </c>
      <c r="AK228" s="27" t="s">
        <v>8</v>
      </c>
      <c r="AL228" s="27" t="s">
        <v>7</v>
      </c>
      <c r="AM228" s="27" t="s">
        <v>8</v>
      </c>
      <c r="AN228" s="27" t="s">
        <v>7</v>
      </c>
      <c r="AO228" s="27" t="s">
        <v>8</v>
      </c>
      <c r="AU228" s="31"/>
      <c r="BE228" s="27" t="s">
        <v>8</v>
      </c>
      <c r="BF228" s="34" t="s">
        <v>7</v>
      </c>
      <c r="BH228" s="34" t="s">
        <v>7</v>
      </c>
      <c r="BJ228" s="27" t="s">
        <v>7</v>
      </c>
      <c r="BU228" s="27" t="s">
        <v>8</v>
      </c>
      <c r="BV228" s="27" t="s">
        <v>7</v>
      </c>
      <c r="BW228" s="27" t="s">
        <v>8</v>
      </c>
      <c r="BX228" s="27" t="s">
        <v>7</v>
      </c>
      <c r="BY228" s="27" t="s">
        <v>8</v>
      </c>
      <c r="BZ228" s="27" t="s">
        <v>7</v>
      </c>
      <c r="CA228" s="31" t="s">
        <v>8</v>
      </c>
    </row>
    <row r="229" spans="1:90" x14ac:dyDescent="0.25">
      <c r="A229" s="30">
        <v>1.7103393581163142</v>
      </c>
      <c r="E229" t="s">
        <v>8</v>
      </c>
      <c r="AD229" s="27" t="s">
        <v>7</v>
      </c>
      <c r="AE229" s="27" t="s">
        <v>8</v>
      </c>
      <c r="AF229" s="27" t="s">
        <v>7</v>
      </c>
      <c r="AK229" s="27" t="s">
        <v>8</v>
      </c>
      <c r="AL229" s="27" t="s">
        <v>7</v>
      </c>
      <c r="AM229" s="27" t="s">
        <v>8</v>
      </c>
      <c r="AN229" s="27" t="s">
        <v>7</v>
      </c>
      <c r="AO229" s="27" t="s">
        <v>8</v>
      </c>
      <c r="AP229" s="27" t="s">
        <v>7</v>
      </c>
      <c r="AV229" s="31"/>
      <c r="BE229" s="27" t="s">
        <v>8</v>
      </c>
      <c r="BJ229" s="27" t="s">
        <v>7</v>
      </c>
      <c r="BU229" s="27" t="s">
        <v>8</v>
      </c>
      <c r="BV229" s="27" t="s">
        <v>7</v>
      </c>
      <c r="BW229" s="27" t="s">
        <v>8</v>
      </c>
      <c r="BX229" s="27" t="s">
        <v>7</v>
      </c>
      <c r="BY229" s="27" t="s">
        <v>8</v>
      </c>
      <c r="BZ229" s="27" t="s">
        <v>7</v>
      </c>
      <c r="CA229" s="27" t="s">
        <v>8</v>
      </c>
      <c r="CB229" s="31" t="s">
        <v>7</v>
      </c>
    </row>
    <row r="230" spans="1:90" x14ac:dyDescent="0.25">
      <c r="A230" s="30">
        <v>1.628894626777442</v>
      </c>
      <c r="E230" t="s">
        <v>8</v>
      </c>
      <c r="AD230" s="27" t="s">
        <v>7</v>
      </c>
      <c r="AE230" s="27" t="s">
        <v>8</v>
      </c>
      <c r="AF230" s="27" t="s">
        <v>7</v>
      </c>
      <c r="AK230" s="27" t="s">
        <v>8</v>
      </c>
      <c r="AL230" s="27" t="s">
        <v>7</v>
      </c>
      <c r="AM230" s="27" t="s">
        <v>8</v>
      </c>
      <c r="AN230" s="27" t="s">
        <v>7</v>
      </c>
      <c r="AO230" s="27" t="s">
        <v>8</v>
      </c>
      <c r="AP230" s="27" t="s">
        <v>7</v>
      </c>
      <c r="AW230" s="31"/>
      <c r="BC230" s="27" t="s">
        <v>8</v>
      </c>
      <c r="BE230" s="27" t="s">
        <v>8</v>
      </c>
      <c r="BJ230" s="27" t="s">
        <v>7</v>
      </c>
      <c r="BK230" s="34" t="s">
        <v>8</v>
      </c>
      <c r="BM230" s="34" t="s">
        <v>8</v>
      </c>
      <c r="BU230" s="27" t="s">
        <v>8</v>
      </c>
      <c r="BV230" s="27" t="s">
        <v>7</v>
      </c>
      <c r="BW230" s="27" t="s">
        <v>8</v>
      </c>
      <c r="BX230" s="27" t="s">
        <v>7</v>
      </c>
      <c r="BZ230" s="31" t="s">
        <v>7</v>
      </c>
      <c r="CA230" s="27" t="s">
        <v>8</v>
      </c>
      <c r="CB230" s="27" t="s">
        <v>7</v>
      </c>
      <c r="CC230" s="31"/>
    </row>
    <row r="231" spans="1:90" x14ac:dyDescent="0.25">
      <c r="A231" s="30">
        <v>1.5513282159785162</v>
      </c>
      <c r="C231"/>
      <c r="D231"/>
      <c r="E231" t="s">
        <v>8</v>
      </c>
      <c r="AD231" s="27" t="s">
        <v>7</v>
      </c>
      <c r="AE231" s="27" t="s">
        <v>8</v>
      </c>
      <c r="AF231" s="27" t="s">
        <v>7</v>
      </c>
      <c r="AK231" s="27" t="s">
        <v>8</v>
      </c>
      <c r="AL231" s="27" t="s">
        <v>7</v>
      </c>
      <c r="AM231" s="27" t="s">
        <v>8</v>
      </c>
      <c r="AN231" s="27" t="s">
        <v>7</v>
      </c>
      <c r="AO231" s="27" t="s">
        <v>8</v>
      </c>
      <c r="AP231" s="27" t="s">
        <v>7</v>
      </c>
      <c r="AX231" s="31"/>
      <c r="BC231" s="27" t="s">
        <v>8</v>
      </c>
      <c r="BD231" s="27" t="s">
        <v>7</v>
      </c>
      <c r="BE231" s="27" t="s">
        <v>8</v>
      </c>
      <c r="BJ231" s="27" t="s">
        <v>7</v>
      </c>
      <c r="BK231" s="27" t="s">
        <v>8</v>
      </c>
      <c r="BL231" s="27" t="s">
        <v>7</v>
      </c>
      <c r="BM231" s="27" t="s">
        <v>8</v>
      </c>
      <c r="BN231" s="27" t="s">
        <v>7</v>
      </c>
      <c r="BU231" s="27" t="s">
        <v>8</v>
      </c>
      <c r="BV231" s="27" t="s">
        <v>7</v>
      </c>
      <c r="BW231" s="27" t="s">
        <v>8</v>
      </c>
      <c r="BY231" s="31"/>
      <c r="BZ231" s="27" t="s">
        <v>7</v>
      </c>
      <c r="CA231" s="27" t="s">
        <v>8</v>
      </c>
      <c r="CB231" s="27" t="s">
        <v>7</v>
      </c>
      <c r="CD231" s="31"/>
      <c r="CE231" s="35" t="s">
        <v>8</v>
      </c>
    </row>
    <row r="232" spans="1:90" x14ac:dyDescent="0.25">
      <c r="A232" s="30">
        <v>1.477455443789063</v>
      </c>
      <c r="E232" t="s">
        <v>8</v>
      </c>
      <c r="AD232" s="27" t="s">
        <v>7</v>
      </c>
      <c r="AE232" s="27" t="s">
        <v>8</v>
      </c>
      <c r="AF232" s="27" t="s">
        <v>7</v>
      </c>
      <c r="AI232" s="27" t="s">
        <v>8</v>
      </c>
      <c r="AK232" s="27" t="s">
        <v>8</v>
      </c>
      <c r="AL232" s="27" t="s">
        <v>7</v>
      </c>
      <c r="AM232" s="27" t="s">
        <v>8</v>
      </c>
      <c r="AN232" s="27" t="s">
        <v>7</v>
      </c>
      <c r="AP232" s="27" t="s">
        <v>7</v>
      </c>
      <c r="AY232" s="31"/>
      <c r="BC232" s="27" t="s">
        <v>8</v>
      </c>
      <c r="BD232" s="27" t="s">
        <v>7</v>
      </c>
      <c r="BE232" s="27" t="s">
        <v>8</v>
      </c>
      <c r="BJ232" s="27" t="s">
        <v>7</v>
      </c>
      <c r="BK232" s="27" t="s">
        <v>8</v>
      </c>
      <c r="BL232" s="27" t="s">
        <v>7</v>
      </c>
      <c r="BM232" s="27" t="s">
        <v>8</v>
      </c>
      <c r="BN232" s="27" t="s">
        <v>7</v>
      </c>
      <c r="BS232" s="27" t="s">
        <v>8</v>
      </c>
      <c r="BU232" s="27" t="s">
        <v>8</v>
      </c>
      <c r="BV232" s="27" t="s">
        <v>7</v>
      </c>
      <c r="BW232" s="27" t="s">
        <v>8</v>
      </c>
      <c r="BX232" s="31"/>
      <c r="BZ232" s="27" t="s">
        <v>7</v>
      </c>
      <c r="CB232" s="27" t="s">
        <v>7</v>
      </c>
      <c r="CC232" s="27" t="s">
        <v>8</v>
      </c>
      <c r="CE232" s="31" t="s">
        <v>8</v>
      </c>
      <c r="CF232" s="27" t="s">
        <v>7</v>
      </c>
    </row>
    <row r="233" spans="1:90" x14ac:dyDescent="0.25">
      <c r="A233" s="30">
        <v>1.4071004226562505</v>
      </c>
      <c r="E233" t="s">
        <v>8</v>
      </c>
      <c r="AD233" s="27" t="s">
        <v>7</v>
      </c>
      <c r="AE233" s="27" t="s">
        <v>8</v>
      </c>
      <c r="AF233" s="27" t="s">
        <v>7</v>
      </c>
      <c r="AG233" s="27" t="s">
        <v>8</v>
      </c>
      <c r="AI233" s="27" t="s">
        <v>8</v>
      </c>
      <c r="AJ233" s="27" t="s">
        <v>7</v>
      </c>
      <c r="AK233" s="27" t="s">
        <v>8</v>
      </c>
      <c r="AL233" s="27" t="s">
        <v>7</v>
      </c>
      <c r="AM233" s="27" t="s">
        <v>8</v>
      </c>
      <c r="AP233" s="32" t="s">
        <v>7</v>
      </c>
      <c r="AQ233" s="27" t="s">
        <v>8</v>
      </c>
      <c r="AZ233" s="31"/>
      <c r="BC233" s="27" t="s">
        <v>8</v>
      </c>
      <c r="BD233" s="27" t="s">
        <v>7</v>
      </c>
      <c r="BE233" s="27" t="s">
        <v>8</v>
      </c>
      <c r="BJ233" s="27" t="s">
        <v>7</v>
      </c>
      <c r="BK233" s="27" t="s">
        <v>8</v>
      </c>
      <c r="BL233" s="31" t="s">
        <v>7</v>
      </c>
      <c r="BM233" s="27" t="s">
        <v>8</v>
      </c>
      <c r="BN233" s="27" t="s">
        <v>7</v>
      </c>
      <c r="BO233" s="27" t="s">
        <v>8</v>
      </c>
      <c r="BS233" s="27" t="s">
        <v>8</v>
      </c>
      <c r="BT233" s="27" t="s">
        <v>7</v>
      </c>
      <c r="BU233" s="27" t="s">
        <v>8</v>
      </c>
      <c r="BV233" s="27" t="s">
        <v>7</v>
      </c>
      <c r="BW233" s="31"/>
      <c r="CB233" s="27" t="s">
        <v>7</v>
      </c>
      <c r="CC233" s="27" t="s">
        <v>8</v>
      </c>
      <c r="CD233" s="27" t="s">
        <v>7</v>
      </c>
      <c r="CE233" s="27" t="s">
        <v>8</v>
      </c>
      <c r="CF233" s="27" t="s">
        <v>7</v>
      </c>
    </row>
    <row r="234" spans="1:90" x14ac:dyDescent="0.25">
      <c r="A234" s="30">
        <v>1.3400956406250004</v>
      </c>
      <c r="E234" t="s">
        <v>8</v>
      </c>
      <c r="AD234" s="27" t="s">
        <v>7</v>
      </c>
      <c r="AE234" s="27" t="s">
        <v>8</v>
      </c>
      <c r="AF234" s="27" t="s">
        <v>7</v>
      </c>
      <c r="AG234" s="27" t="s">
        <v>8</v>
      </c>
      <c r="AH234" s="27" t="s">
        <v>7</v>
      </c>
      <c r="AI234" s="27" t="s">
        <v>8</v>
      </c>
      <c r="AJ234" s="27" t="s">
        <v>7</v>
      </c>
      <c r="AK234" s="27" t="s">
        <v>8</v>
      </c>
      <c r="AL234" s="27" t="s">
        <v>7</v>
      </c>
      <c r="AM234" s="27" t="s">
        <v>8</v>
      </c>
      <c r="AP234" s="27" t="s">
        <v>7</v>
      </c>
      <c r="AQ234" s="27" t="s">
        <v>8</v>
      </c>
      <c r="AR234" s="27" t="s">
        <v>7</v>
      </c>
      <c r="AY234" s="27" t="s">
        <v>8</v>
      </c>
      <c r="BA234" s="31"/>
      <c r="BC234" s="27" t="s">
        <v>8</v>
      </c>
      <c r="BD234" s="27" t="s">
        <v>7</v>
      </c>
      <c r="BJ234" s="34" t="s">
        <v>7</v>
      </c>
      <c r="BK234" s="31"/>
      <c r="BL234" s="34" t="s">
        <v>7</v>
      </c>
      <c r="BN234" s="27" t="s">
        <v>7</v>
      </c>
      <c r="BO234" s="27" t="s">
        <v>8</v>
      </c>
      <c r="BP234" s="27" t="s">
        <v>7</v>
      </c>
      <c r="BQ234" s="27" t="s">
        <v>8</v>
      </c>
      <c r="BS234" s="27" t="s">
        <v>8</v>
      </c>
      <c r="BT234" s="27" t="s">
        <v>7</v>
      </c>
      <c r="BU234" s="27" t="s">
        <v>8</v>
      </c>
      <c r="BV234" s="31"/>
      <c r="CB234" s="27" t="s">
        <v>7</v>
      </c>
      <c r="CC234" s="27" t="s">
        <v>8</v>
      </c>
      <c r="CD234" s="27" t="s">
        <v>7</v>
      </c>
      <c r="CE234" s="27" t="s">
        <v>8</v>
      </c>
      <c r="CF234" s="27" t="s">
        <v>7</v>
      </c>
    </row>
    <row r="235" spans="1:90" x14ac:dyDescent="0.25">
      <c r="A235" s="30">
        <v>1.2762815625000004</v>
      </c>
      <c r="C235"/>
      <c r="E235" t="s">
        <v>8</v>
      </c>
      <c r="AD235" s="27" t="s">
        <v>7</v>
      </c>
      <c r="AE235" s="27" t="s">
        <v>8</v>
      </c>
      <c r="AF235" s="27" t="s">
        <v>7</v>
      </c>
      <c r="AG235" s="27" t="s">
        <v>8</v>
      </c>
      <c r="AH235" s="27" t="s">
        <v>7</v>
      </c>
      <c r="AI235" s="27" t="s">
        <v>8</v>
      </c>
      <c r="AJ235" s="27" t="s">
        <v>7</v>
      </c>
      <c r="AK235" s="27" t="s">
        <v>8</v>
      </c>
      <c r="AL235" s="27" t="s">
        <v>7</v>
      </c>
      <c r="AP235" s="27" t="s">
        <v>7</v>
      </c>
      <c r="AQ235" s="27" t="s">
        <v>8</v>
      </c>
      <c r="AR235" s="27" t="s">
        <v>7</v>
      </c>
      <c r="AY235" s="27" t="s">
        <v>8</v>
      </c>
      <c r="AZ235" s="27" t="s">
        <v>7</v>
      </c>
      <c r="BB235" s="31"/>
      <c r="BC235" s="27" t="s">
        <v>8</v>
      </c>
      <c r="BJ235" s="31"/>
      <c r="BN235" s="27" t="s">
        <v>7</v>
      </c>
      <c r="BO235" s="27" t="s">
        <v>8</v>
      </c>
      <c r="BP235" s="27" t="s">
        <v>7</v>
      </c>
      <c r="BQ235" s="27" t="s">
        <v>8</v>
      </c>
      <c r="BR235" s="27" t="s">
        <v>7</v>
      </c>
      <c r="BS235" s="27" t="s">
        <v>8</v>
      </c>
      <c r="BT235" s="27" t="s">
        <v>7</v>
      </c>
      <c r="BU235" s="31" t="s">
        <v>8</v>
      </c>
      <c r="CB235" s="27" t="s">
        <v>7</v>
      </c>
      <c r="CC235" s="27" t="s">
        <v>8</v>
      </c>
      <c r="CD235" s="27" t="s">
        <v>7</v>
      </c>
      <c r="CF235" s="27" t="s">
        <v>7</v>
      </c>
    </row>
    <row r="236" spans="1:90" x14ac:dyDescent="0.25">
      <c r="A236" s="30">
        <v>1.2155062500000002</v>
      </c>
      <c r="E236" t="s">
        <v>8</v>
      </c>
      <c r="AD236" s="27" t="s">
        <v>7</v>
      </c>
      <c r="AF236" s="27" t="s">
        <v>7</v>
      </c>
      <c r="AG236" s="27" t="s">
        <v>8</v>
      </c>
      <c r="AH236" s="27" t="s">
        <v>7</v>
      </c>
      <c r="AI236" s="27" t="s">
        <v>8</v>
      </c>
      <c r="AJ236" s="27" t="s">
        <v>7</v>
      </c>
      <c r="AP236" s="27" t="s">
        <v>7</v>
      </c>
      <c r="AR236" s="27" t="s">
        <v>7</v>
      </c>
      <c r="AY236" s="27" t="s">
        <v>8</v>
      </c>
      <c r="AZ236" s="27" t="s">
        <v>7</v>
      </c>
      <c r="BC236" s="35" t="s">
        <v>8</v>
      </c>
      <c r="BI236" s="31"/>
      <c r="BN236" s="27" t="s">
        <v>7</v>
      </c>
      <c r="BO236" s="27" t="s">
        <v>8</v>
      </c>
      <c r="BP236" s="27" t="s">
        <v>7</v>
      </c>
      <c r="BQ236" s="27" t="s">
        <v>8</v>
      </c>
      <c r="BR236" s="27" t="s">
        <v>7</v>
      </c>
      <c r="BS236" s="27" t="s">
        <v>8</v>
      </c>
      <c r="BT236" s="31" t="s">
        <v>7</v>
      </c>
      <c r="CB236" s="27" t="s">
        <v>7</v>
      </c>
      <c r="CF236" s="27" t="s">
        <v>7</v>
      </c>
    </row>
    <row r="237" spans="1:9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AF237" s="27" t="s">
        <v>7</v>
      </c>
      <c r="AH237" s="27" t="s">
        <v>7</v>
      </c>
      <c r="AI237" s="27" t="s">
        <v>8</v>
      </c>
      <c r="AR237" s="27" t="s">
        <v>7</v>
      </c>
      <c r="AW237" s="27" t="s">
        <v>8</v>
      </c>
      <c r="AY237" s="27" t="s">
        <v>8</v>
      </c>
      <c r="AZ237" s="27" t="s">
        <v>7</v>
      </c>
      <c r="BA237" s="27" t="s">
        <v>8</v>
      </c>
      <c r="BC237" s="27" t="s">
        <v>8</v>
      </c>
      <c r="BH237" s="31"/>
      <c r="BN237" s="27" t="s">
        <v>7</v>
      </c>
      <c r="BO237" s="27" t="s">
        <v>8</v>
      </c>
      <c r="BP237" s="27" t="s">
        <v>7</v>
      </c>
      <c r="BQ237" s="27" t="s">
        <v>8</v>
      </c>
      <c r="BR237" s="27" t="s">
        <v>7</v>
      </c>
      <c r="CF237" s="27" t="s">
        <v>7</v>
      </c>
    </row>
    <row r="238" spans="1:90" x14ac:dyDescent="0.25">
      <c r="A238" s="30">
        <v>1.1025</v>
      </c>
      <c r="E238" t="s">
        <v>8</v>
      </c>
      <c r="AH238" s="27" t="s">
        <v>7</v>
      </c>
      <c r="AI238" s="27" t="s">
        <v>8</v>
      </c>
      <c r="AR238" s="27" t="s">
        <v>7</v>
      </c>
      <c r="AW238" s="27" t="s">
        <v>8</v>
      </c>
      <c r="AX238" s="27" t="s">
        <v>7</v>
      </c>
      <c r="AY238" s="27" t="s">
        <v>8</v>
      </c>
      <c r="AZ238" s="27" t="s">
        <v>7</v>
      </c>
      <c r="BA238" s="27" t="s">
        <v>8</v>
      </c>
      <c r="BB238" s="27" t="s">
        <v>7</v>
      </c>
      <c r="BC238" s="27" t="s">
        <v>8</v>
      </c>
      <c r="BG238" s="31"/>
      <c r="BN238" s="34" t="s">
        <v>7</v>
      </c>
      <c r="BP238" s="34" t="s">
        <v>7</v>
      </c>
      <c r="CF238" s="27" t="s">
        <v>7</v>
      </c>
    </row>
    <row r="239" spans="1:90" x14ac:dyDescent="0.25">
      <c r="A239" s="30">
        <v>1.05</v>
      </c>
      <c r="E239" t="s">
        <v>8</v>
      </c>
      <c r="AH239" s="27" t="s">
        <v>7</v>
      </c>
      <c r="AI239" s="27" t="s">
        <v>8</v>
      </c>
      <c r="AR239" s="27" t="s">
        <v>7</v>
      </c>
      <c r="AW239" s="33" t="s">
        <v>8</v>
      </c>
      <c r="AX239" s="27" t="s">
        <v>7</v>
      </c>
      <c r="AY239" s="27" t="s">
        <v>8</v>
      </c>
      <c r="AZ239" s="27" t="s">
        <v>7</v>
      </c>
      <c r="BA239" s="27" t="s">
        <v>8</v>
      </c>
      <c r="BB239" s="27" t="s">
        <v>7</v>
      </c>
      <c r="BC239" s="27" t="s">
        <v>8</v>
      </c>
      <c r="BF239" s="31"/>
      <c r="CF239" s="27" t="s">
        <v>7</v>
      </c>
      <c r="CG239" s="27" t="s">
        <v>8</v>
      </c>
      <c r="CK239" s="27" t="s">
        <v>8</v>
      </c>
    </row>
    <row r="240" spans="1:90" x14ac:dyDescent="0.25">
      <c r="A240" s="30">
        <v>1</v>
      </c>
      <c r="E240" s="29" t="s">
        <v>8</v>
      </c>
      <c r="AH240" s="27" t="s">
        <v>7</v>
      </c>
      <c r="AI240" s="27" t="s">
        <v>8</v>
      </c>
      <c r="AR240" s="27" t="s">
        <v>7</v>
      </c>
      <c r="AS240" s="27" t="s">
        <v>8</v>
      </c>
      <c r="AU240" s="27" t="s">
        <v>8</v>
      </c>
      <c r="AW240" s="27" t="s">
        <v>8</v>
      </c>
      <c r="AX240" s="27" t="s">
        <v>7</v>
      </c>
      <c r="AY240" s="27" t="s">
        <v>8</v>
      </c>
      <c r="AZ240" s="27" t="s">
        <v>7</v>
      </c>
      <c r="BA240" s="27" t="s">
        <v>8</v>
      </c>
      <c r="BB240" s="27" t="s">
        <v>7</v>
      </c>
      <c r="BC240" s="27" t="s">
        <v>8</v>
      </c>
      <c r="BE240" s="31"/>
      <c r="CF240" s="27" t="s">
        <v>7</v>
      </c>
      <c r="CG240" s="27" t="s">
        <v>8</v>
      </c>
      <c r="CH240" s="27" t="s">
        <v>7</v>
      </c>
      <c r="CI240" s="27" t="s">
        <v>8</v>
      </c>
      <c r="CK240" s="27" t="s">
        <v>8</v>
      </c>
      <c r="CL240" s="27" t="s">
        <v>7</v>
      </c>
    </row>
    <row r="241" spans="1:95" x14ac:dyDescent="0.25">
      <c r="A241" s="30">
        <v>0.952380952380952</v>
      </c>
      <c r="B241"/>
      <c r="C241"/>
      <c r="D241"/>
      <c r="E241"/>
      <c r="AH241" s="27" t="s">
        <v>7</v>
      </c>
      <c r="AI241" s="27" t="s">
        <v>8</v>
      </c>
      <c r="AR241" s="27" t="s">
        <v>7</v>
      </c>
      <c r="AS241" s="27" t="s">
        <v>8</v>
      </c>
      <c r="AT241" s="27" t="s">
        <v>7</v>
      </c>
      <c r="AU241" s="27" t="s">
        <v>8</v>
      </c>
      <c r="AV241" s="27" t="s">
        <v>7</v>
      </c>
      <c r="AW241" s="27" t="s">
        <v>8</v>
      </c>
      <c r="AX241" s="27" t="s">
        <v>7</v>
      </c>
      <c r="AZ241" s="27" t="s">
        <v>7</v>
      </c>
      <c r="BA241" s="27" t="s">
        <v>8</v>
      </c>
      <c r="BB241" s="27" t="s">
        <v>7</v>
      </c>
      <c r="BD241" s="31"/>
      <c r="CF241" s="27" t="s">
        <v>7</v>
      </c>
      <c r="CG241" s="27" t="s">
        <v>8</v>
      </c>
      <c r="CH241" s="27" t="s">
        <v>7</v>
      </c>
      <c r="CI241" s="27" t="s">
        <v>8</v>
      </c>
      <c r="CJ241" s="27" t="s">
        <v>7</v>
      </c>
      <c r="CK241" s="27" t="s">
        <v>8</v>
      </c>
      <c r="CL241" s="27" t="s">
        <v>7</v>
      </c>
    </row>
    <row r="242" spans="1:95" x14ac:dyDescent="0.25">
      <c r="A242" s="30">
        <v>0.90702947845804915</v>
      </c>
      <c r="B242"/>
      <c r="C242"/>
      <c r="D242"/>
      <c r="E242"/>
      <c r="AH242" s="27" t="s">
        <v>7</v>
      </c>
      <c r="AR242" s="27" t="s">
        <v>7</v>
      </c>
      <c r="AS242" s="27" t="s">
        <v>8</v>
      </c>
      <c r="AT242" s="27" t="s">
        <v>7</v>
      </c>
      <c r="AU242" s="27" t="s">
        <v>8</v>
      </c>
      <c r="AV242" s="27" t="s">
        <v>7</v>
      </c>
      <c r="AW242" s="27" t="s">
        <v>8</v>
      </c>
      <c r="AZ242" s="32" t="s">
        <v>7</v>
      </c>
      <c r="BA242" s="27" t="s">
        <v>8</v>
      </c>
      <c r="BC242" s="31"/>
      <c r="CF242" s="27" t="s">
        <v>7</v>
      </c>
      <c r="CG242" s="27" t="s">
        <v>8</v>
      </c>
      <c r="CH242" s="27" t="s">
        <v>7</v>
      </c>
      <c r="CI242" s="27" t="s">
        <v>8</v>
      </c>
      <c r="CJ242" s="27" t="s">
        <v>7</v>
      </c>
      <c r="CK242" s="27" t="s">
        <v>8</v>
      </c>
      <c r="CL242" s="27" t="s">
        <v>7</v>
      </c>
    </row>
    <row r="243" spans="1:95" x14ac:dyDescent="0.25">
      <c r="A243" s="30">
        <v>0.86383759853147501</v>
      </c>
      <c r="B243"/>
      <c r="C243"/>
      <c r="D243"/>
      <c r="E243"/>
      <c r="AR243" s="27" t="s">
        <v>7</v>
      </c>
      <c r="AS243" s="27" t="s">
        <v>8</v>
      </c>
      <c r="AT243" s="27" t="s">
        <v>7</v>
      </c>
      <c r="AU243" s="27" t="s">
        <v>8</v>
      </c>
      <c r="AV243" s="27" t="s">
        <v>7</v>
      </c>
      <c r="AW243" s="27" t="s">
        <v>8</v>
      </c>
      <c r="AZ243" s="27" t="s">
        <v>7</v>
      </c>
      <c r="BA243" s="27" t="s">
        <v>8</v>
      </c>
      <c r="BB243" s="31"/>
      <c r="CF243" s="27" t="s">
        <v>7</v>
      </c>
      <c r="CG243" s="27" t="s">
        <v>8</v>
      </c>
      <c r="CH243" s="27" t="s">
        <v>7</v>
      </c>
      <c r="CJ243" s="27" t="s">
        <v>7</v>
      </c>
      <c r="CK243" s="27" t="s">
        <v>8</v>
      </c>
      <c r="CL243" s="27" t="s">
        <v>7</v>
      </c>
    </row>
    <row r="244" spans="1:95" x14ac:dyDescent="0.25">
      <c r="A244" s="30">
        <v>0.82270247479188063</v>
      </c>
      <c r="B244"/>
      <c r="C244"/>
      <c r="D244"/>
      <c r="E244"/>
      <c r="AR244" s="27" t="s">
        <v>7</v>
      </c>
      <c r="AS244" s="27" t="s">
        <v>8</v>
      </c>
      <c r="AT244" s="27" t="s">
        <v>7</v>
      </c>
      <c r="AU244" s="27" t="s">
        <v>8</v>
      </c>
      <c r="AV244" s="27" t="s">
        <v>7</v>
      </c>
      <c r="AZ244" s="18" t="s">
        <v>7</v>
      </c>
      <c r="BA244" s="31" t="s">
        <v>8</v>
      </c>
      <c r="CF244" s="27" t="s">
        <v>7</v>
      </c>
      <c r="CG244" s="27" t="s">
        <v>8</v>
      </c>
      <c r="CJ244" s="27" t="s">
        <v>7</v>
      </c>
      <c r="CK244" s="27" t="s">
        <v>8</v>
      </c>
      <c r="CL244" s="27" t="s">
        <v>7</v>
      </c>
      <c r="CM244" s="27" t="s">
        <v>8</v>
      </c>
    </row>
    <row r="245" spans="1:95" x14ac:dyDescent="0.25">
      <c r="A245" s="30">
        <v>0.78352616646845741</v>
      </c>
      <c r="B245"/>
      <c r="C245"/>
      <c r="D245"/>
      <c r="E245"/>
      <c r="AR245" s="34" t="s">
        <v>7</v>
      </c>
      <c r="AT245" s="34" t="s">
        <v>7</v>
      </c>
      <c r="AZ245" s="31" t="s">
        <v>7</v>
      </c>
      <c r="CF245" s="27" t="s">
        <v>7</v>
      </c>
      <c r="CJ245" s="27" t="s">
        <v>7</v>
      </c>
      <c r="CL245" s="27" t="s">
        <v>7</v>
      </c>
      <c r="CM245" s="27" t="s">
        <v>8</v>
      </c>
      <c r="CN245" s="27" t="s">
        <v>7</v>
      </c>
    </row>
    <row r="246" spans="1:95" x14ac:dyDescent="0.25">
      <c r="A246" s="30">
        <v>0.74621539663662584</v>
      </c>
      <c r="B246"/>
      <c r="C246"/>
      <c r="D246"/>
      <c r="E246"/>
      <c r="CL246" s="27" t="s">
        <v>7</v>
      </c>
      <c r="CM246" s="27" t="s">
        <v>8</v>
      </c>
      <c r="CN246" s="27" t="s">
        <v>7</v>
      </c>
    </row>
    <row r="247" spans="1:95" x14ac:dyDescent="0.25">
      <c r="A247" s="30">
        <v>0.71068133013011958</v>
      </c>
      <c r="B247"/>
      <c r="C247"/>
      <c r="D247"/>
      <c r="E247"/>
      <c r="CL247" s="27" t="s">
        <v>7</v>
      </c>
      <c r="CM247" s="27" t="s">
        <v>8</v>
      </c>
      <c r="CN247" s="27" t="s">
        <v>7</v>
      </c>
    </row>
    <row r="248" spans="1:95" x14ac:dyDescent="0.25">
      <c r="A248" s="30">
        <v>0.676839362028685</v>
      </c>
      <c r="B248"/>
      <c r="C248"/>
      <c r="D248"/>
      <c r="E248"/>
      <c r="CL248" s="27" t="s">
        <v>7</v>
      </c>
      <c r="CN248" s="27" t="s">
        <v>7</v>
      </c>
    </row>
    <row r="249" spans="1:95" x14ac:dyDescent="0.25">
      <c r="A249" s="30">
        <v>0.64460891621779492</v>
      </c>
      <c r="B249"/>
      <c r="C249"/>
      <c r="D249"/>
      <c r="E249"/>
      <c r="CN249" s="27" t="s">
        <v>7</v>
      </c>
    </row>
    <row r="250" spans="1:95" x14ac:dyDescent="0.25">
      <c r="A250" s="30">
        <v>0.61391325354075688</v>
      </c>
      <c r="B250"/>
      <c r="C250"/>
      <c r="D250"/>
      <c r="E250"/>
      <c r="CN250" s="27" t="s">
        <v>7</v>
      </c>
    </row>
    <row r="251" spans="1:95" x14ac:dyDescent="0.25">
      <c r="A251" s="30">
        <v>0.58467928908643485</v>
      </c>
      <c r="B251"/>
      <c r="C251"/>
      <c r="D251"/>
      <c r="E251"/>
      <c r="CN251" s="27" t="s">
        <v>7</v>
      </c>
    </row>
    <row r="252" spans="1:95" x14ac:dyDescent="0.25">
      <c r="A252" s="30">
        <v>0.55683741817755672</v>
      </c>
      <c r="B252"/>
      <c r="C252"/>
      <c r="D252"/>
      <c r="E252"/>
      <c r="CN252" s="27" t="s">
        <v>7</v>
      </c>
    </row>
    <row r="253" spans="1:95" x14ac:dyDescent="0.25">
      <c r="A253" s="30">
        <v>0.53032135064529184</v>
      </c>
      <c r="B253"/>
      <c r="C253"/>
      <c r="D253"/>
      <c r="E253"/>
      <c r="CN253" s="27" t="s">
        <v>7</v>
      </c>
      <c r="CO253" s="27" t="s">
        <v>8</v>
      </c>
      <c r="CQ253" s="27" t="s">
        <v>8</v>
      </c>
    </row>
    <row r="254" spans="1:95" x14ac:dyDescent="0.25">
      <c r="A254" s="30">
        <v>0.50506795299551588</v>
      </c>
      <c r="B254"/>
      <c r="C254"/>
      <c r="D254"/>
      <c r="E254"/>
      <c r="CN254" s="27" t="s">
        <v>7</v>
      </c>
      <c r="CO254" s="27" t="s">
        <v>8</v>
      </c>
      <c r="CP254" s="27" t="s">
        <v>7</v>
      </c>
      <c r="CQ254" s="27" t="s">
        <v>8</v>
      </c>
    </row>
    <row r="255" spans="1:95" x14ac:dyDescent="0.25">
      <c r="A255" s="30">
        <v>0.48101709809096732</v>
      </c>
      <c r="E255"/>
      <c r="CN255" s="27" t="s">
        <v>7</v>
      </c>
      <c r="CO255" s="27" t="s">
        <v>8</v>
      </c>
      <c r="CP255" s="27" t="s">
        <v>7</v>
      </c>
      <c r="CQ255" s="27" t="s">
        <v>8</v>
      </c>
    </row>
    <row r="256" spans="1:95" x14ac:dyDescent="0.25">
      <c r="A256" s="30">
        <v>0.45811152199139726</v>
      </c>
      <c r="E256"/>
      <c r="CN256" s="27" t="s">
        <v>7</v>
      </c>
      <c r="CP256" s="27" t="s">
        <v>7</v>
      </c>
      <c r="CQ256" s="27" t="s">
        <v>8</v>
      </c>
    </row>
    <row r="257" spans="1:94" x14ac:dyDescent="0.25">
      <c r="A257" s="30">
        <v>0.43629668761085438</v>
      </c>
      <c r="B257"/>
      <c r="C257"/>
      <c r="D257"/>
      <c r="E257"/>
      <c r="CP257" s="27" t="s">
        <v>7</v>
      </c>
    </row>
    <row r="258" spans="1:94" x14ac:dyDescent="0.25">
      <c r="A258" s="30">
        <v>0.41552065486748019</v>
      </c>
      <c r="B258"/>
      <c r="C258"/>
      <c r="D258"/>
      <c r="E258"/>
    </row>
    <row r="259" spans="1:94" x14ac:dyDescent="0.25">
      <c r="A259" s="30">
        <v>0.39573395701664765</v>
      </c>
      <c r="B259"/>
      <c r="C259"/>
      <c r="D259"/>
      <c r="E259"/>
    </row>
    <row r="260" spans="1:94" x14ac:dyDescent="0.25">
      <c r="A260" s="30">
        <v>0.37688948287299762</v>
      </c>
      <c r="B260"/>
      <c r="C260"/>
      <c r="D260"/>
      <c r="E260"/>
    </row>
    <row r="261" spans="1:94" x14ac:dyDescent="0.25">
      <c r="A261" s="30">
        <v>0.35894236464094997</v>
      </c>
      <c r="B261"/>
      <c r="C261"/>
      <c r="D261"/>
      <c r="E261"/>
    </row>
    <row r="262" spans="1:94" x14ac:dyDescent="0.25">
      <c r="A262" s="30">
        <v>0.34184987108661891</v>
      </c>
      <c r="B262"/>
      <c r="C262"/>
      <c r="D262"/>
      <c r="E262"/>
    </row>
    <row r="263" spans="1:94" x14ac:dyDescent="0.25">
      <c r="A263" s="30">
        <v>0.32557130579677979</v>
      </c>
      <c r="B263"/>
      <c r="C263"/>
      <c r="D263"/>
      <c r="E263"/>
    </row>
    <row r="264" spans="1:94" x14ac:dyDescent="0.25">
      <c r="A264" s="30">
        <v>0.3100679102826473</v>
      </c>
      <c r="B264"/>
      <c r="C264"/>
      <c r="D264"/>
      <c r="E264"/>
    </row>
    <row r="265" spans="1:94" x14ac:dyDescent="0.25">
      <c r="A265" s="30">
        <v>0.2953027716977592</v>
      </c>
      <c r="B265"/>
      <c r="C265"/>
      <c r="D265"/>
      <c r="E265"/>
    </row>
    <row r="266" spans="1:94" x14ac:dyDescent="0.25">
      <c r="A266" s="30">
        <v>0.28124073495024676</v>
      </c>
      <c r="B266"/>
      <c r="C266"/>
      <c r="D266"/>
      <c r="E266"/>
    </row>
    <row r="267" spans="1:94" x14ac:dyDescent="0.25">
      <c r="A267" s="30">
        <v>0.26784831900023492</v>
      </c>
      <c r="B267"/>
      <c r="C267"/>
      <c r="D267"/>
      <c r="E267"/>
    </row>
    <row r="268" spans="1:94" x14ac:dyDescent="0.25">
      <c r="A268" s="30">
        <v>0.25509363714308075</v>
      </c>
      <c r="B268"/>
      <c r="C268"/>
      <c r="D268"/>
      <c r="E268"/>
    </row>
    <row r="269" spans="1:94" x14ac:dyDescent="0.25">
      <c r="A269" s="30">
        <v>0.24294632108864825</v>
      </c>
      <c r="B269"/>
      <c r="C269"/>
      <c r="D269"/>
      <c r="E269"/>
    </row>
    <row r="270" spans="1:94" x14ac:dyDescent="0.25">
      <c r="A270" s="30">
        <v>0.23137744865585538</v>
      </c>
      <c r="B270"/>
      <c r="C270"/>
      <c r="D270"/>
      <c r="E270"/>
    </row>
    <row r="271" spans="1:94" x14ac:dyDescent="0.25">
      <c r="A271" s="30">
        <v>0.22035947491033836</v>
      </c>
      <c r="B271"/>
      <c r="C271"/>
      <c r="D271"/>
      <c r="E271"/>
    </row>
    <row r="272" spans="1:94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63" operator="equal">
      <formula>$U$1</formula>
    </cfRule>
    <cfRule type="cellIs" dxfId="67" priority="764" operator="equal">
      <formula>$S$1</formula>
    </cfRule>
  </conditionalFormatting>
  <conditionalFormatting sqref="D136">
    <cfRule type="cellIs" dxfId="66" priority="761" operator="equal">
      <formula>$S$1</formula>
    </cfRule>
    <cfRule type="cellIs" dxfId="65" priority="762" operator="equal">
      <formula>$U$1</formula>
    </cfRule>
  </conditionalFormatting>
  <conditionalFormatting sqref="C162">
    <cfRule type="cellIs" dxfId="64" priority="759" operator="equal">
      <formula>$U$1</formula>
    </cfRule>
    <cfRule type="cellIs" dxfId="63" priority="760" operator="equal">
      <formula>$S$1</formula>
    </cfRule>
  </conditionalFormatting>
  <conditionalFormatting sqref="D162">
    <cfRule type="cellIs" dxfId="62" priority="757" operator="equal">
      <formula>$S$1</formula>
    </cfRule>
    <cfRule type="cellIs" dxfId="61" priority="758" operator="equal">
      <formula>$U$1</formula>
    </cfRule>
  </conditionalFormatting>
  <conditionalFormatting sqref="C187">
    <cfRule type="cellIs" dxfId="60" priority="755" operator="equal">
      <formula>$U$1</formula>
    </cfRule>
    <cfRule type="cellIs" dxfId="59" priority="756" operator="equal">
      <formula>$S$1</formula>
    </cfRule>
  </conditionalFormatting>
  <conditionalFormatting sqref="D187">
    <cfRule type="cellIs" dxfId="58" priority="753" operator="equal">
      <formula>$S$1</formula>
    </cfRule>
    <cfRule type="cellIs" dxfId="57" priority="754" operator="equal">
      <formula>$U$1</formula>
    </cfRule>
  </conditionalFormatting>
  <conditionalFormatting sqref="C212">
    <cfRule type="cellIs" dxfId="56" priority="751" operator="equal">
      <formula>$U$1</formula>
    </cfRule>
    <cfRule type="cellIs" dxfId="55" priority="752" operator="equal">
      <formula>$S$1</formula>
    </cfRule>
  </conditionalFormatting>
  <conditionalFormatting sqref="D212">
    <cfRule type="cellIs" dxfId="54" priority="749" operator="equal">
      <formula>$S$1</formula>
    </cfRule>
    <cfRule type="cellIs" dxfId="53" priority="750" operator="equal">
      <formula>$U$1</formula>
    </cfRule>
  </conditionalFormatting>
  <conditionalFormatting sqref="C237">
    <cfRule type="cellIs" dxfId="52" priority="747" operator="equal">
      <formula>$U$1</formula>
    </cfRule>
    <cfRule type="cellIs" dxfId="51" priority="748" operator="equal">
      <formula>$S$1</formula>
    </cfRule>
  </conditionalFormatting>
  <conditionalFormatting sqref="D237">
    <cfRule type="cellIs" dxfId="50" priority="745" operator="equal">
      <formula>$S$1</formula>
    </cfRule>
    <cfRule type="cellIs" dxfId="49" priority="746" operator="equal">
      <formula>$U$1</formula>
    </cfRule>
  </conditionalFormatting>
  <conditionalFormatting sqref="C106">
    <cfRule type="cellIs" dxfId="48" priority="743" operator="equal">
      <formula>$U$1</formula>
    </cfRule>
    <cfRule type="cellIs" dxfId="47" priority="744" operator="equal">
      <formula>$S$1</formula>
    </cfRule>
  </conditionalFormatting>
  <conditionalFormatting sqref="D106">
    <cfRule type="cellIs" dxfId="46" priority="741" operator="equal">
      <formula>$S$1</formula>
    </cfRule>
    <cfRule type="cellIs" dxfId="45" priority="742" operator="equal">
      <formula>$U$1</formula>
    </cfRule>
  </conditionalFormatting>
  <conditionalFormatting sqref="C81">
    <cfRule type="cellIs" dxfId="44" priority="739" operator="equal">
      <formula>$U$1</formula>
    </cfRule>
    <cfRule type="cellIs" dxfId="43" priority="740" operator="equal">
      <formula>$S$1</formula>
    </cfRule>
  </conditionalFormatting>
  <conditionalFormatting sqref="D81">
    <cfRule type="cellIs" dxfId="42" priority="737" operator="equal">
      <formula>$S$1</formula>
    </cfRule>
    <cfRule type="cellIs" dxfId="41" priority="738" operator="equal">
      <formula>$U$1</formula>
    </cfRule>
  </conditionalFormatting>
  <conditionalFormatting sqref="C56">
    <cfRule type="cellIs" dxfId="40" priority="735" operator="equal">
      <formula>$U$1</formula>
    </cfRule>
    <cfRule type="cellIs" dxfId="39" priority="736" operator="equal">
      <formula>$S$1</formula>
    </cfRule>
  </conditionalFormatting>
  <conditionalFormatting sqref="D56">
    <cfRule type="cellIs" dxfId="38" priority="733" operator="equal">
      <formula>$S$1</formula>
    </cfRule>
    <cfRule type="cellIs" dxfId="37" priority="734" operator="equal">
      <formula>$U$1</formula>
    </cfRule>
  </conditionalFormatting>
  <conditionalFormatting sqref="C31">
    <cfRule type="cellIs" dxfId="36" priority="731" operator="equal">
      <formula>$U$1</formula>
    </cfRule>
    <cfRule type="cellIs" dxfId="35" priority="732" operator="equal">
      <formula>$S$1</formula>
    </cfRule>
  </conditionalFormatting>
  <conditionalFormatting sqref="D31">
    <cfRule type="cellIs" dxfId="34" priority="729" operator="equal">
      <formula>$S$1</formula>
    </cfRule>
    <cfRule type="cellIs" dxfId="33" priority="73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2" zoomScale="90" zoomScaleNormal="90" workbookViewId="0">
      <pane xSplit="4" topLeftCell="G1" activePane="topRight" state="frozen"/>
      <selection activeCell="A109" sqref="A109"/>
      <selection pane="topRight" activeCell="AF129" sqref="AF12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27" x14ac:dyDescent="0.25">
      <c r="A97" s="30">
        <v>9.849732675807628</v>
      </c>
      <c r="E97"/>
    </row>
    <row r="98" spans="1:27" x14ac:dyDescent="0.25">
      <c r="A98" s="30">
        <v>8.9543024325523888</v>
      </c>
      <c r="C98" s="1" t="s">
        <v>13</v>
      </c>
      <c r="E98"/>
    </row>
    <row r="99" spans="1:27" x14ac:dyDescent="0.25">
      <c r="A99" s="30">
        <v>8.140274938683989</v>
      </c>
      <c r="C99" s="1">
        <f>C88</f>
        <v>0</v>
      </c>
      <c r="E99" t="s">
        <v>8</v>
      </c>
    </row>
    <row r="100" spans="1:27" x14ac:dyDescent="0.25">
      <c r="A100" s="30">
        <v>7.4002499442581717</v>
      </c>
      <c r="C100"/>
      <c r="D100"/>
      <c r="E100" t="s">
        <v>8</v>
      </c>
      <c r="F100" s="27" t="s">
        <v>7</v>
      </c>
    </row>
    <row r="101" spans="1:27" x14ac:dyDescent="0.25">
      <c r="A101" s="30">
        <v>6.72749994932561</v>
      </c>
      <c r="C101" s="1" t="s">
        <v>14</v>
      </c>
      <c r="E101" t="s">
        <v>8</v>
      </c>
      <c r="F101" s="27" t="s">
        <v>7</v>
      </c>
    </row>
    <row r="102" spans="1:27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</row>
    <row r="103" spans="1:27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O103" s="31" t="s">
        <v>8</v>
      </c>
    </row>
    <row r="104" spans="1:27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K104" s="27" t="s">
        <v>8</v>
      </c>
      <c r="O104" s="27" t="s">
        <v>8</v>
      </c>
      <c r="P104" s="31" t="s">
        <v>7</v>
      </c>
    </row>
    <row r="105" spans="1:27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I105" s="27" t="s">
        <v>8</v>
      </c>
      <c r="K105" s="27" t="s">
        <v>8</v>
      </c>
      <c r="L105" s="27" t="s">
        <v>7</v>
      </c>
      <c r="M105" s="27" t="s">
        <v>8</v>
      </c>
      <c r="O105" s="27" t="s">
        <v>8</v>
      </c>
      <c r="P105" s="27" t="s">
        <v>7</v>
      </c>
      <c r="Q105" s="31"/>
    </row>
    <row r="106" spans="1:27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I106" s="27" t="s">
        <v>8</v>
      </c>
      <c r="J106" s="27" t="s">
        <v>7</v>
      </c>
      <c r="K106" s="27" t="s">
        <v>8</v>
      </c>
      <c r="L106" s="27" t="s">
        <v>7</v>
      </c>
      <c r="M106" s="27" t="s">
        <v>8</v>
      </c>
      <c r="N106" s="27" t="s">
        <v>7</v>
      </c>
      <c r="O106" s="27" t="s">
        <v>8</v>
      </c>
      <c r="P106" s="27" t="s">
        <v>7</v>
      </c>
      <c r="Q106" s="27" t="s">
        <v>8</v>
      </c>
      <c r="R106" s="31"/>
    </row>
    <row r="107" spans="1:27" x14ac:dyDescent="0.25">
      <c r="A107" s="30">
        <v>3.7974983358324148</v>
      </c>
      <c r="E107" t="s">
        <v>8</v>
      </c>
      <c r="F107" s="27" t="s">
        <v>7</v>
      </c>
      <c r="H107" s="27" t="s">
        <v>7</v>
      </c>
      <c r="I107" s="27" t="s">
        <v>8</v>
      </c>
      <c r="J107" s="27" t="s">
        <v>7</v>
      </c>
      <c r="K107" s="27" t="s">
        <v>8</v>
      </c>
      <c r="L107" s="27" t="s">
        <v>7</v>
      </c>
      <c r="M107" s="27" t="s">
        <v>8</v>
      </c>
      <c r="N107" s="27" t="s">
        <v>7</v>
      </c>
      <c r="O107" s="27" t="s">
        <v>8</v>
      </c>
      <c r="P107" s="27" t="s">
        <v>7</v>
      </c>
      <c r="Q107" s="27" t="s">
        <v>8</v>
      </c>
      <c r="R107" s="27" t="s">
        <v>7</v>
      </c>
      <c r="S107" s="31"/>
    </row>
    <row r="108" spans="1:27" x14ac:dyDescent="0.25">
      <c r="A108" s="30">
        <v>3.4522712143931042</v>
      </c>
      <c r="E108" t="s">
        <v>8</v>
      </c>
      <c r="H108" s="27" t="s">
        <v>7</v>
      </c>
      <c r="J108" s="27" t="s">
        <v>7</v>
      </c>
      <c r="L108" s="27" t="s">
        <v>7</v>
      </c>
      <c r="M108" s="27" t="s">
        <v>8</v>
      </c>
      <c r="N108" s="27" t="s">
        <v>7</v>
      </c>
      <c r="P108" s="27" t="s">
        <v>7</v>
      </c>
      <c r="Q108" s="27" t="s">
        <v>8</v>
      </c>
      <c r="R108" s="27" t="s">
        <v>7</v>
      </c>
      <c r="T108" s="31"/>
    </row>
    <row r="109" spans="1:27" x14ac:dyDescent="0.25">
      <c r="A109" s="30">
        <v>3.1384283767210035</v>
      </c>
      <c r="E109" t="s">
        <v>8</v>
      </c>
      <c r="L109" s="27" t="s">
        <v>7</v>
      </c>
      <c r="P109" s="27" t="s">
        <v>7</v>
      </c>
      <c r="Q109" s="27" t="s">
        <v>8</v>
      </c>
      <c r="R109" s="27" t="s">
        <v>7</v>
      </c>
      <c r="U109" s="31"/>
    </row>
    <row r="110" spans="1:27" x14ac:dyDescent="0.25">
      <c r="A110" s="30">
        <v>2.8531167061100029</v>
      </c>
      <c r="E110" t="s">
        <v>8</v>
      </c>
      <c r="P110" s="27" t="s">
        <v>7</v>
      </c>
      <c r="Q110" s="27" t="s">
        <v>8</v>
      </c>
      <c r="R110" s="27" t="s">
        <v>7</v>
      </c>
      <c r="V110" s="31"/>
    </row>
    <row r="111" spans="1:27" x14ac:dyDescent="0.25">
      <c r="A111" s="30">
        <v>2.5937424601000023</v>
      </c>
      <c r="C111" s="1" t="str">
        <f>ADDRESS(C121-1,1,1,1)</f>
        <v>$A$128</v>
      </c>
      <c r="D111" s="1" t="str">
        <f>ADDRESS(C121-1,D121,1,1)</f>
        <v>$AF$128</v>
      </c>
      <c r="E111" t="s">
        <v>8</v>
      </c>
      <c r="P111" s="27" t="s">
        <v>7</v>
      </c>
      <c r="R111" s="27" t="s">
        <v>7</v>
      </c>
      <c r="W111" s="31"/>
    </row>
    <row r="112" spans="1:27" x14ac:dyDescent="0.25">
      <c r="A112" s="30">
        <v>2.3579476910000019</v>
      </c>
      <c r="C112" s="1" t="str">
        <f>ADDRESS(C121,1,1,1)</f>
        <v>$A$129</v>
      </c>
      <c r="D112" s="1" t="str">
        <f>ADDRESS(C121,D121-1,1,1)</f>
        <v>$AE$129</v>
      </c>
      <c r="E112" t="s">
        <v>8</v>
      </c>
      <c r="R112" s="27" t="s">
        <v>7</v>
      </c>
      <c r="X112" s="31"/>
      <c r="AA112" s="27" t="s">
        <v>8</v>
      </c>
    </row>
    <row r="113" spans="1:32" x14ac:dyDescent="0.25">
      <c r="A113" s="30">
        <v>2.1435888100000016</v>
      </c>
      <c r="C113" s="1" t="str">
        <f>ADDRESS(C121+1,1,1,1)</f>
        <v>$A$130</v>
      </c>
      <c r="D113" s="1" t="str">
        <f>ADDRESS(C121-1,D121+1,1,1)</f>
        <v>$AG$128</v>
      </c>
      <c r="E113" s="1" t="s">
        <v>8</v>
      </c>
      <c r="R113" s="27" t="s">
        <v>7</v>
      </c>
      <c r="Y113" s="31"/>
      <c r="AA113" s="27" t="s">
        <v>8</v>
      </c>
      <c r="AB113" s="27" t="s">
        <v>7</v>
      </c>
    </row>
    <row r="114" spans="1:32" x14ac:dyDescent="0.25">
      <c r="A114" s="30">
        <v>1.9487171000000014</v>
      </c>
      <c r="C114" s="1" t="str">
        <f>ADDRESS(C121,D121,1,1)</f>
        <v>$AF$129</v>
      </c>
      <c r="D114" s="1" t="str">
        <f>ADDRESS(C121+1,D121+1,1,1)</f>
        <v>$AG$130</v>
      </c>
      <c r="E114" s="1" t="s">
        <v>8</v>
      </c>
      <c r="R114" s="27" t="s">
        <v>7</v>
      </c>
      <c r="W114" s="27" t="s">
        <v>8</v>
      </c>
      <c r="Z114" s="31"/>
      <c r="AA114" s="27" t="s">
        <v>8</v>
      </c>
      <c r="AB114" s="27" t="s">
        <v>7</v>
      </c>
      <c r="AC114" s="34" t="s">
        <v>8</v>
      </c>
      <c r="AE114" s="34" t="s">
        <v>8</v>
      </c>
    </row>
    <row r="115" spans="1:32" x14ac:dyDescent="0.25">
      <c r="A115" s="30">
        <v>1.7715610000000011</v>
      </c>
      <c r="C115" s="1" t="str">
        <f>ADDRESS(C121+1,D121,1,1)</f>
        <v>$AF$130</v>
      </c>
      <c r="E115" s="1" t="s">
        <v>8</v>
      </c>
      <c r="R115" s="27" t="s">
        <v>7</v>
      </c>
      <c r="S115" s="27" t="s">
        <v>8</v>
      </c>
      <c r="U115" s="27" t="s">
        <v>8</v>
      </c>
      <c r="W115" s="27" t="s">
        <v>8</v>
      </c>
      <c r="X115" s="27" t="s">
        <v>7</v>
      </c>
      <c r="AA115" s="31" t="s">
        <v>8</v>
      </c>
      <c r="AB115" s="27" t="s">
        <v>7</v>
      </c>
      <c r="AC115" s="27" t="s">
        <v>8</v>
      </c>
      <c r="AD115" s="27" t="s">
        <v>7</v>
      </c>
      <c r="AE115" s="27" t="s">
        <v>8</v>
      </c>
      <c r="AF115" s="27" t="s">
        <v>7</v>
      </c>
    </row>
    <row r="116" spans="1:32" x14ac:dyDescent="0.25">
      <c r="A116" s="30">
        <v>1.6105100000000008</v>
      </c>
      <c r="C116" s="1">
        <f>C117-1</f>
        <v>128</v>
      </c>
      <c r="E116" s="1" t="s">
        <v>8</v>
      </c>
      <c r="R116" s="27" t="s">
        <v>7</v>
      </c>
      <c r="S116" s="27" t="s">
        <v>8</v>
      </c>
      <c r="T116" s="27" t="s">
        <v>7</v>
      </c>
      <c r="U116" s="27" t="s">
        <v>8</v>
      </c>
      <c r="V116" s="27" t="s">
        <v>7</v>
      </c>
      <c r="W116" s="27" t="s">
        <v>8</v>
      </c>
      <c r="X116" s="27" t="s">
        <v>7</v>
      </c>
      <c r="AA116" s="27" t="s">
        <v>8</v>
      </c>
      <c r="AB116" s="27" t="s">
        <v>7</v>
      </c>
      <c r="AC116" s="27" t="s">
        <v>8</v>
      </c>
      <c r="AD116" s="27" t="s">
        <v>7</v>
      </c>
      <c r="AE116" s="27" t="s">
        <v>8</v>
      </c>
      <c r="AF116" s="27" t="s">
        <v>7</v>
      </c>
    </row>
    <row r="117" spans="1:32" x14ac:dyDescent="0.25">
      <c r="A117" s="30">
        <v>1.4641000000000006</v>
      </c>
      <c r="C117" s="1">
        <f>C121</f>
        <v>129</v>
      </c>
      <c r="D117" s="1">
        <f>D121</f>
        <v>32</v>
      </c>
      <c r="E117" s="1" t="s">
        <v>8</v>
      </c>
      <c r="R117" s="27" t="s">
        <v>7</v>
      </c>
      <c r="S117" s="27" t="s">
        <v>8</v>
      </c>
      <c r="T117" s="27" t="s">
        <v>7</v>
      </c>
      <c r="U117" s="27" t="s">
        <v>8</v>
      </c>
      <c r="V117" s="27" t="s">
        <v>7</v>
      </c>
      <c r="W117" s="27" t="s">
        <v>8</v>
      </c>
      <c r="X117" s="27" t="s">
        <v>7</v>
      </c>
      <c r="AA117" s="27" t="s">
        <v>8</v>
      </c>
      <c r="AB117" s="27" t="s">
        <v>7</v>
      </c>
      <c r="AC117" s="27" t="s">
        <v>8</v>
      </c>
      <c r="AD117" s="27" t="s">
        <v>7</v>
      </c>
      <c r="AF117" s="31" t="s">
        <v>7</v>
      </c>
    </row>
    <row r="118" spans="1:32" x14ac:dyDescent="0.25">
      <c r="A118" s="30">
        <v>1.3310000000000004</v>
      </c>
      <c r="C118" s="1">
        <f>C117+1</f>
        <v>130</v>
      </c>
      <c r="D118" s="1">
        <f>D117+1</f>
        <v>33</v>
      </c>
      <c r="E118" s="1" t="s">
        <v>8</v>
      </c>
      <c r="R118" s="27" t="s">
        <v>7</v>
      </c>
      <c r="S118" s="27" t="s">
        <v>8</v>
      </c>
      <c r="T118" s="27" t="s">
        <v>7</v>
      </c>
      <c r="U118" s="27" t="s">
        <v>8</v>
      </c>
      <c r="V118" s="27" t="s">
        <v>7</v>
      </c>
      <c r="X118" s="27" t="s">
        <v>7</v>
      </c>
      <c r="Y118" s="27" t="s">
        <v>8</v>
      </c>
      <c r="AA118" s="27" t="s">
        <v>8</v>
      </c>
      <c r="AB118" s="27" t="s">
        <v>7</v>
      </c>
      <c r="AC118" s="27" t="s">
        <v>8</v>
      </c>
      <c r="AE118" s="31"/>
      <c r="AF118" s="32" t="s">
        <v>7</v>
      </c>
    </row>
    <row r="119" spans="1:32" x14ac:dyDescent="0.25">
      <c r="A119" s="30">
        <v>1.2100000000000002</v>
      </c>
      <c r="E119" s="1" t="s">
        <v>8</v>
      </c>
      <c r="R119" s="27" t="s">
        <v>7</v>
      </c>
      <c r="T119" s="27" t="s">
        <v>7</v>
      </c>
      <c r="U119" s="27" t="s">
        <v>8</v>
      </c>
      <c r="X119" s="27" t="s">
        <v>7</v>
      </c>
      <c r="Y119" s="27" t="s">
        <v>8</v>
      </c>
      <c r="Z119" s="27" t="s">
        <v>7</v>
      </c>
      <c r="AA119" s="27" t="s">
        <v>8</v>
      </c>
      <c r="AB119" s="27" t="s">
        <v>7</v>
      </c>
      <c r="AC119" s="27" t="s">
        <v>8</v>
      </c>
      <c r="AD119" s="31"/>
      <c r="AF119" s="27" t="s">
        <v>7</v>
      </c>
    </row>
    <row r="120" spans="1:32" x14ac:dyDescent="0.25">
      <c r="A120" s="30">
        <v>1.1000000000000001</v>
      </c>
      <c r="C120" s="1" t="s">
        <v>9</v>
      </c>
      <c r="E120" s="1" t="s">
        <v>8</v>
      </c>
      <c r="T120" s="27" t="s">
        <v>7</v>
      </c>
      <c r="U120" s="27" t="s">
        <v>8</v>
      </c>
      <c r="X120" s="27" t="s">
        <v>7</v>
      </c>
      <c r="Y120" s="27" t="s">
        <v>8</v>
      </c>
      <c r="Z120" s="27" t="s">
        <v>7</v>
      </c>
      <c r="AA120" s="27" t="s">
        <v>8</v>
      </c>
      <c r="AB120" s="27" t="s">
        <v>7</v>
      </c>
      <c r="AC120" s="31"/>
      <c r="AF120" s="27" t="s">
        <v>7</v>
      </c>
    </row>
    <row r="121" spans="1:32" x14ac:dyDescent="0.25">
      <c r="A121" s="30">
        <v>1</v>
      </c>
      <c r="C121" s="18">
        <v>129</v>
      </c>
      <c r="D121" s="19">
        <v>32</v>
      </c>
      <c r="E121" s="18" t="s">
        <v>8</v>
      </c>
      <c r="T121" s="27" t="s">
        <v>7</v>
      </c>
      <c r="U121" s="27" t="s">
        <v>8</v>
      </c>
      <c r="X121" s="27" t="s">
        <v>7</v>
      </c>
      <c r="Y121" s="27" t="s">
        <v>8</v>
      </c>
      <c r="Z121" s="27" t="s">
        <v>7</v>
      </c>
      <c r="AA121" s="27" t="s">
        <v>8</v>
      </c>
      <c r="AB121" s="31"/>
      <c r="AF121" s="27" t="s">
        <v>7</v>
      </c>
    </row>
    <row r="122" spans="1:32" x14ac:dyDescent="0.25">
      <c r="A122" s="30">
        <v>0.90909090909090895</v>
      </c>
      <c r="C122" s="1" t="str">
        <f>INDEX(1:1048576,C117,D117)</f>
        <v>O</v>
      </c>
      <c r="T122" s="27" t="s">
        <v>7</v>
      </c>
      <c r="X122" s="27" t="s">
        <v>7</v>
      </c>
      <c r="Y122" s="27" t="s">
        <v>8</v>
      </c>
      <c r="Z122" s="27" t="s">
        <v>7</v>
      </c>
      <c r="AA122" s="31" t="s">
        <v>8</v>
      </c>
      <c r="AF122" s="27" t="s">
        <v>7</v>
      </c>
    </row>
    <row r="123" spans="1:32" x14ac:dyDescent="0.25">
      <c r="A123" s="30">
        <v>0.82644628099173523</v>
      </c>
      <c r="C123" s="1" t="str">
        <f>"R"&amp;C121</f>
        <v>R129</v>
      </c>
      <c r="D123" s="1" t="str">
        <f>"C"&amp;D121</f>
        <v>C32</v>
      </c>
      <c r="X123" s="27" t="s">
        <v>7</v>
      </c>
      <c r="Z123" s="31" t="s">
        <v>7</v>
      </c>
      <c r="AF123" s="27" t="s">
        <v>7</v>
      </c>
    </row>
    <row r="124" spans="1:32" x14ac:dyDescent="0.25">
      <c r="A124" s="30">
        <v>0.75131480090157732</v>
      </c>
      <c r="C124" s="1">
        <f>SUM(C130:D130)</f>
        <v>0</v>
      </c>
      <c r="D124" s="1">
        <f>IF(C124=0,0,1)</f>
        <v>0</v>
      </c>
      <c r="AF124" s="27" t="s">
        <v>7</v>
      </c>
    </row>
    <row r="125" spans="1:32" x14ac:dyDescent="0.25">
      <c r="A125" s="30">
        <v>0.68301345536507019</v>
      </c>
      <c r="AF125" s="27" t="s">
        <v>7</v>
      </c>
    </row>
    <row r="126" spans="1:32" x14ac:dyDescent="0.25">
      <c r="A126" s="30">
        <v>0.6209213230591546</v>
      </c>
      <c r="C126" s="1" t="s">
        <v>10</v>
      </c>
      <c r="AF126" s="27" t="s">
        <v>7</v>
      </c>
    </row>
    <row r="127" spans="1:32" x14ac:dyDescent="0.25">
      <c r="A127" s="30">
        <v>0.56447393005377677</v>
      </c>
      <c r="C127" s="30">
        <v>0.46650738020973276</v>
      </c>
      <c r="D127"/>
      <c r="AF127" s="27" t="s">
        <v>7</v>
      </c>
    </row>
    <row r="128" spans="1:32" x14ac:dyDescent="0.25">
      <c r="A128" s="30">
        <v>0.51315811823070612</v>
      </c>
      <c r="AF128" s="27" t="s">
        <v>7</v>
      </c>
    </row>
    <row r="129" spans="1:32" x14ac:dyDescent="0.25">
      <c r="A129" s="30">
        <v>0.46650738020973276</v>
      </c>
      <c r="C129" s="1" t="s">
        <v>11</v>
      </c>
      <c r="D129" s="1" t="s">
        <v>12</v>
      </c>
      <c r="E129"/>
      <c r="AF129" s="27" t="s">
        <v>7</v>
      </c>
    </row>
    <row r="130" spans="1:32" x14ac:dyDescent="0.25">
      <c r="A130" s="30">
        <v>0.42409761837248428</v>
      </c>
      <c r="C130" s="6"/>
      <c r="D130" s="6"/>
      <c r="E130"/>
    </row>
    <row r="131" spans="1:32" x14ac:dyDescent="0.25">
      <c r="A131" s="30">
        <v>0.38554328942953109</v>
      </c>
      <c r="E131"/>
    </row>
    <row r="132" spans="1:32" x14ac:dyDescent="0.25">
      <c r="A132" s="30">
        <v>0.35049389948139187</v>
      </c>
      <c r="C132" s="1" t="s">
        <v>13</v>
      </c>
      <c r="E132"/>
    </row>
    <row r="133" spans="1:32" x14ac:dyDescent="0.25">
      <c r="A133" s="30">
        <v>0.31863081771035617</v>
      </c>
      <c r="C133" s="1" t="str">
        <f>C122</f>
        <v>O</v>
      </c>
      <c r="E133"/>
    </row>
    <row r="134" spans="1:32" x14ac:dyDescent="0.25">
      <c r="A134" s="30">
        <v>0.28966437973668741</v>
      </c>
      <c r="C134"/>
      <c r="D134"/>
      <c r="E134"/>
    </row>
    <row r="135" spans="1:32" x14ac:dyDescent="0.25">
      <c r="A135" s="30">
        <v>0.2633312543060794</v>
      </c>
      <c r="C135" s="1" t="s">
        <v>14</v>
      </c>
      <c r="E135"/>
    </row>
    <row r="136" spans="1:3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32" x14ac:dyDescent="0.25">
      <c r="A137" s="30">
        <v>0.2176291357901482</v>
      </c>
      <c r="E137"/>
    </row>
    <row r="138" spans="1:3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32" x14ac:dyDescent="0.25">
      <c r="A139" s="30">
        <v>0.17985878990921333</v>
      </c>
      <c r="E139"/>
    </row>
    <row r="140" spans="1:32" x14ac:dyDescent="0.25">
      <c r="A140" s="30">
        <v>0.16350799082655756</v>
      </c>
      <c r="C140" s="1">
        <v>0</v>
      </c>
      <c r="E140"/>
    </row>
    <row r="141" spans="1:32" x14ac:dyDescent="0.25">
      <c r="A141" s="30">
        <v>0.14864362802414322</v>
      </c>
      <c r="C141" s="1">
        <v>1</v>
      </c>
      <c r="E141"/>
    </row>
    <row r="142" spans="1:32" x14ac:dyDescent="0.25">
      <c r="A142" s="30">
        <v>0.13513057093103928</v>
      </c>
      <c r="C142" s="1">
        <v>2</v>
      </c>
      <c r="E142"/>
    </row>
    <row r="143" spans="1:32" x14ac:dyDescent="0.25">
      <c r="A143" s="30">
        <v>0.12284597357367205</v>
      </c>
      <c r="C143" s="1">
        <v>3</v>
      </c>
      <c r="E143"/>
    </row>
    <row r="144" spans="1:32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47" operator="equal">
      <formula>$U$1</formula>
    </cfRule>
    <cfRule type="cellIs" dxfId="30" priority="748" operator="equal">
      <formula>$S$1</formula>
    </cfRule>
  </conditionalFormatting>
  <conditionalFormatting sqref="D136">
    <cfRule type="cellIs" dxfId="29" priority="745" operator="equal">
      <formula>$S$1</formula>
    </cfRule>
    <cfRule type="cellIs" dxfId="28" priority="746" operator="equal">
      <formula>$U$1</formula>
    </cfRule>
  </conditionalFormatting>
  <conditionalFormatting sqref="C102">
    <cfRule type="cellIs" dxfId="27" priority="743" operator="equal">
      <formula>$U$1</formula>
    </cfRule>
    <cfRule type="cellIs" dxfId="26" priority="744" operator="equal">
      <formula>$S$1</formula>
    </cfRule>
  </conditionalFormatting>
  <conditionalFormatting sqref="D102">
    <cfRule type="cellIs" dxfId="25" priority="741" operator="equal">
      <formula>$S$1</formula>
    </cfRule>
    <cfRule type="cellIs" dxfId="24" priority="742" operator="equal">
      <formula>$U$1</formula>
    </cfRule>
  </conditionalFormatting>
  <conditionalFormatting sqref="C77">
    <cfRule type="cellIs" dxfId="23" priority="739" operator="equal">
      <formula>$U$1</formula>
    </cfRule>
    <cfRule type="cellIs" dxfId="22" priority="740" operator="equal">
      <formula>$S$1</formula>
    </cfRule>
  </conditionalFormatting>
  <conditionalFormatting sqref="D77">
    <cfRule type="cellIs" dxfId="21" priority="737" operator="equal">
      <formula>$S$1</formula>
    </cfRule>
    <cfRule type="cellIs" dxfId="20" priority="738" operator="equal">
      <formula>$U$1</formula>
    </cfRule>
  </conditionalFormatting>
  <conditionalFormatting sqref="C52">
    <cfRule type="cellIs" dxfId="19" priority="735" operator="equal">
      <formula>$U$1</formula>
    </cfRule>
    <cfRule type="cellIs" dxfId="18" priority="736" operator="equal">
      <formula>$S$1</formula>
    </cfRule>
  </conditionalFormatting>
  <conditionalFormatting sqref="D52">
    <cfRule type="cellIs" dxfId="17" priority="733" operator="equal">
      <formula>$S$1</formula>
    </cfRule>
    <cfRule type="cellIs" dxfId="16" priority="734" operator="equal">
      <formula>$U$1</formula>
    </cfRule>
  </conditionalFormatting>
  <conditionalFormatting sqref="C26">
    <cfRule type="cellIs" dxfId="15" priority="731" operator="equal">
      <formula>$U$1</formula>
    </cfRule>
    <cfRule type="cellIs" dxfId="14" priority="732" operator="equal">
      <formula>$S$1</formula>
    </cfRule>
  </conditionalFormatting>
  <conditionalFormatting sqref="D26">
    <cfRule type="cellIs" dxfId="13" priority="729" operator="equal">
      <formula>$S$1</formula>
    </cfRule>
    <cfRule type="cellIs" dxfId="12" priority="73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3" sqref="H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0.78352616646845741</v>
      </c>
      <c r="F3" s="30">
        <v>1</v>
      </c>
      <c r="G3" s="30">
        <v>1.628894626777442</v>
      </c>
      <c r="H3" s="25">
        <f>IF(G3="","",(3*(G3-F3))+E3)</f>
        <v>2.6702100468007837</v>
      </c>
      <c r="I3" s="7"/>
      <c r="J3" s="7">
        <f>(E3+G3)/2</f>
        <v>1.2062103966229496</v>
      </c>
      <c r="K3" s="7">
        <f>H3/2</f>
        <v>1.3351050234003918</v>
      </c>
      <c r="M3" s="26">
        <f>IF(OR(J3="",H3=""),"",H3/J3)</f>
        <v>2.2137183150440602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2022-01-28T01:15:58Z</dcterms:modified>
</cp:coreProperties>
</file>