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57B0E5D-3F99-444C-9FB3-4936DAF62E1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C136" i="4" s="1"/>
  <c r="C116" i="4"/>
  <c r="C118" i="4"/>
  <c r="R1194" i="1"/>
  <c r="S1194" i="1" s="1"/>
  <c r="T1194" i="1" s="1"/>
  <c r="C122" i="3"/>
  <c r="C133" i="3" s="1"/>
  <c r="D136" i="3" s="1"/>
  <c r="C118" i="3"/>
  <c r="D136" i="5" l="1"/>
  <c r="C138" i="5" s="1"/>
  <c r="R1193" i="1"/>
  <c r="R1192" i="1" s="1"/>
  <c r="D136" i="4"/>
  <c r="C138" i="4" s="1"/>
  <c r="C136" i="3"/>
  <c r="C138" i="3" s="1"/>
  <c r="S1193" i="1" l="1"/>
  <c r="T1193" i="1" s="1"/>
  <c r="R1191" i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<sst xmlns="http://schemas.openxmlformats.org/spreadsheetml/2006/main" count="10684" uniqueCount="34">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</sst>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5.1959999999999999E-2</c:v>
                </c:pt>
                <c:pt idx="1">
                  <c:v>5.3370000000000001E-2</c:v>
                </c:pt>
                <c:pt idx="2">
                  <c:v>5.3629999999999997E-2</c:v>
                </c:pt>
                <c:pt idx="3">
                  <c:v>5.142E-2</c:v>
                </c:pt>
                <c:pt idx="4">
                  <c:v>5.314E-2</c:v>
                </c:pt>
                <c:pt idx="5">
                  <c:v>5.1630000000000002E-2</c:v>
                </c:pt>
                <c:pt idx="6">
                  <c:v>5.7459999999999997E-2</c:v>
                </c:pt>
                <c:pt idx="7">
                  <c:v>6.7599999999999993E-2</c:v>
                </c:pt>
                <c:pt idx="8">
                  <c:v>7.0730000000000001E-2</c:v>
                </c:pt>
                <c:pt idx="9">
                  <c:v>7.4139999999999998E-2</c:v>
                </c:pt>
                <c:pt idx="10">
                  <c:v>7.5190000000000007E-2</c:v>
                </c:pt>
                <c:pt idx="11">
                  <c:v>7.8439999999999996E-2</c:v>
                </c:pt>
                <c:pt idx="12">
                  <c:v>7.8509999999999996E-2</c:v>
                </c:pt>
                <c:pt idx="13">
                  <c:v>7.8979999999999995E-2</c:v>
                </c:pt>
                <c:pt idx="14">
                  <c:v>7.7770000000000006E-2</c:v>
                </c:pt>
                <c:pt idx="15">
                  <c:v>8.2379999999999995E-2</c:v>
                </c:pt>
                <c:pt idx="16">
                  <c:v>7.6609999999999998E-2</c:v>
                </c:pt>
                <c:pt idx="17">
                  <c:v>7.3020000000000002E-2</c:v>
                </c:pt>
                <c:pt idx="18">
                  <c:v>7.6630000000000004E-2</c:v>
                </c:pt>
                <c:pt idx="19">
                  <c:v>7.5450000000000003E-2</c:v>
                </c:pt>
                <c:pt idx="20">
                  <c:v>7.8609999999999999E-2</c:v>
                </c:pt>
                <c:pt idx="21">
                  <c:v>8.2570000000000005E-2</c:v>
                </c:pt>
                <c:pt idx="22">
                  <c:v>8.4610000000000005E-2</c:v>
                </c:pt>
                <c:pt idx="23">
                  <c:v>8.5900000000000004E-2</c:v>
                </c:pt>
                <c:pt idx="24">
                  <c:v>8.5870000000000002E-2</c:v>
                </c:pt>
                <c:pt idx="25">
                  <c:v>8.7139999999999995E-2</c:v>
                </c:pt>
                <c:pt idx="26">
                  <c:v>8.6580000000000004E-2</c:v>
                </c:pt>
                <c:pt idx="27">
                  <c:v>8.2669999999999993E-2</c:v>
                </c:pt>
                <c:pt idx="28">
                  <c:v>8.4610000000000005E-2</c:v>
                </c:pt>
                <c:pt idx="29">
                  <c:v>8.2580000000000001E-2</c:v>
                </c:pt>
                <c:pt idx="30">
                  <c:v>8.7620000000000003E-2</c:v>
                </c:pt>
                <c:pt idx="31">
                  <c:v>9.7729999999999997E-2</c:v>
                </c:pt>
                <c:pt idx="32">
                  <c:v>9.4469999999999998E-2</c:v>
                </c:pt>
                <c:pt idx="33">
                  <c:v>9.468E-2</c:v>
                </c:pt>
                <c:pt idx="34">
                  <c:v>9.1850000000000001E-2</c:v>
                </c:pt>
                <c:pt idx="35">
                  <c:v>9.2990000000000003E-2</c:v>
                </c:pt>
                <c:pt idx="36">
                  <c:v>8.6840000000000001E-2</c:v>
                </c:pt>
                <c:pt idx="37">
                  <c:v>8.3260000000000001E-2</c:v>
                </c:pt>
                <c:pt idx="38">
                  <c:v>7.9500000000000001E-2</c:v>
                </c:pt>
                <c:pt idx="39">
                  <c:v>8.0259999999999998E-2</c:v>
                </c:pt>
                <c:pt idx="40">
                  <c:v>8.4129999999999996E-2</c:v>
                </c:pt>
                <c:pt idx="41">
                  <c:v>8.0079999999999998E-2</c:v>
                </c:pt>
                <c:pt idx="42">
                  <c:v>8.158E-2</c:v>
                </c:pt>
                <c:pt idx="43">
                  <c:v>8.3059999999999995E-2</c:v>
                </c:pt>
                <c:pt idx="44">
                  <c:v>7.9689999999999997E-2</c:v>
                </c:pt>
                <c:pt idx="45">
                  <c:v>7.7170000000000002E-2</c:v>
                </c:pt>
                <c:pt idx="46">
                  <c:v>8.6980000000000002E-2</c:v>
                </c:pt>
                <c:pt idx="47">
                  <c:v>8.2220000000000001E-2</c:v>
                </c:pt>
                <c:pt idx="48">
                  <c:v>8.0560000000000007E-2</c:v>
                </c:pt>
                <c:pt idx="49">
                  <c:v>8.5529999999999995E-2</c:v>
                </c:pt>
                <c:pt idx="50">
                  <c:v>9.4479999999999995E-2</c:v>
                </c:pt>
                <c:pt idx="51">
                  <c:v>9.1509999999999994E-2</c:v>
                </c:pt>
                <c:pt idx="52">
                  <c:v>9.3390000000000001E-2</c:v>
                </c:pt>
                <c:pt idx="53">
                  <c:v>8.9789999999999995E-2</c:v>
                </c:pt>
                <c:pt idx="54">
                  <c:v>9.6560000000000007E-2</c:v>
                </c:pt>
                <c:pt idx="55">
                  <c:v>0.10858</c:v>
                </c:pt>
                <c:pt idx="56">
                  <c:v>0.11582000000000001</c:v>
                </c:pt>
                <c:pt idx="57">
                  <c:v>0.1182</c:v>
                </c:pt>
                <c:pt idx="58">
                  <c:v>0.11917</c:v>
                </c:pt>
                <c:pt idx="59">
                  <c:v>0.12130000000000001</c:v>
                </c:pt>
                <c:pt idx="60">
                  <c:v>0.11638999999999999</c:v>
                </c:pt>
                <c:pt idx="61">
                  <c:v>0.11412</c:v>
                </c:pt>
                <c:pt idx="62">
                  <c:v>0.11336</c:v>
                </c:pt>
                <c:pt idx="63">
                  <c:v>0.12781999999999999</c:v>
                </c:pt>
                <c:pt idx="64">
                  <c:v>0.12520000000000001</c:v>
                </c:pt>
                <c:pt idx="65">
                  <c:v>0.13097</c:v>
                </c:pt>
                <c:pt idx="66">
                  <c:v>0.12656000000000001</c:v>
                </c:pt>
                <c:pt idx="67">
                  <c:v>0.13252</c:v>
                </c:pt>
                <c:pt idx="68">
                  <c:v>0.13952000000000001</c:v>
                </c:pt>
                <c:pt idx="69">
                  <c:v>0.13927</c:v>
                </c:pt>
                <c:pt idx="70">
                  <c:v>0.12889</c:v>
                </c:pt>
                <c:pt idx="71">
                  <c:v>0.14513999999999999</c:v>
                </c:pt>
                <c:pt idx="72">
                  <c:v>0.14427999999999999</c:v>
                </c:pt>
                <c:pt idx="73">
                  <c:v>0.16292000000000001</c:v>
                </c:pt>
                <c:pt idx="74">
                  <c:v>0.16169</c:v>
                </c:pt>
                <c:pt idx="75">
                  <c:v>0.16039</c:v>
                </c:pt>
                <c:pt idx="76">
                  <c:v>0.15866</c:v>
                </c:pt>
                <c:pt idx="77">
                  <c:v>0.16513</c:v>
                </c:pt>
                <c:pt idx="78">
                  <c:v>0.16256999999999999</c:v>
                </c:pt>
                <c:pt idx="79">
                  <c:v>0.17094999999999999</c:v>
                </c:pt>
                <c:pt idx="80">
                  <c:v>0.17602999999999999</c:v>
                </c:pt>
                <c:pt idx="81">
                  <c:v>0.15506</c:v>
                </c:pt>
                <c:pt idx="82">
                  <c:v>0.16056999999999999</c:v>
                </c:pt>
                <c:pt idx="83">
                  <c:v>0.15809999999999999</c:v>
                </c:pt>
                <c:pt idx="84">
                  <c:v>0.15264</c:v>
                </c:pt>
                <c:pt idx="85">
                  <c:v>0.13722000000000001</c:v>
                </c:pt>
                <c:pt idx="86">
                  <c:v>0.14015</c:v>
                </c:pt>
                <c:pt idx="87">
                  <c:v>0.13658000000000001</c:v>
                </c:pt>
                <c:pt idx="88">
                  <c:v>0.13311000000000001</c:v>
                </c:pt>
                <c:pt idx="89">
                  <c:v>0.13058</c:v>
                </c:pt>
                <c:pt idx="90">
                  <c:v>0.13746</c:v>
                </c:pt>
                <c:pt idx="91">
                  <c:v>0.13006999999999999</c:v>
                </c:pt>
                <c:pt idx="92">
                  <c:v>0.12415</c:v>
                </c:pt>
                <c:pt idx="93">
                  <c:v>0.14029</c:v>
                </c:pt>
                <c:pt idx="94">
                  <c:v>0.14248</c:v>
                </c:pt>
                <c:pt idx="95">
                  <c:v>0.13236999999999999</c:v>
                </c:pt>
                <c:pt idx="96">
                  <c:v>0.13596</c:v>
                </c:pt>
                <c:pt idx="97">
                  <c:v>0.13014999999999999</c:v>
                </c:pt>
                <c:pt idx="98">
                  <c:v>0.12953000000000001</c:v>
                </c:pt>
                <c:pt idx="99">
                  <c:v>0.12223000000000001</c:v>
                </c:pt>
                <c:pt idx="100">
                  <c:v>0.11608</c:v>
                </c:pt>
                <c:pt idx="101">
                  <c:v>0.11844</c:v>
                </c:pt>
                <c:pt idx="102">
                  <c:v>0.12223000000000001</c:v>
                </c:pt>
                <c:pt idx="103">
                  <c:v>0.11990000000000001</c:v>
                </c:pt>
                <c:pt idx="104">
                  <c:v>0.11987</c:v>
                </c:pt>
                <c:pt idx="105">
                  <c:v>0.11916</c:v>
                </c:pt>
                <c:pt idx="106">
                  <c:v>0.11552999999999999</c:v>
                </c:pt>
                <c:pt idx="107">
                  <c:v>0.10675</c:v>
                </c:pt>
                <c:pt idx="108">
                  <c:v>0.10911</c:v>
                </c:pt>
                <c:pt idx="109">
                  <c:v>0.11031000000000001</c:v>
                </c:pt>
                <c:pt idx="110">
                  <c:v>0.11892</c:v>
                </c:pt>
                <c:pt idx="111">
                  <c:v>0.11151999999999999</c:v>
                </c:pt>
                <c:pt idx="112">
                  <c:v>0.11169</c:v>
                </c:pt>
                <c:pt idx="113">
                  <c:v>0.11230999999999999</c:v>
                </c:pt>
                <c:pt idx="114">
                  <c:v>0.11342000000000001</c:v>
                </c:pt>
                <c:pt idx="115">
                  <c:v>0.10954</c:v>
                </c:pt>
                <c:pt idx="116">
                  <c:v>0.11069</c:v>
                </c:pt>
                <c:pt idx="117">
                  <c:v>0.11131000000000001</c:v>
                </c:pt>
                <c:pt idx="118">
                  <c:v>0.10825</c:v>
                </c:pt>
                <c:pt idx="119">
                  <c:v>9.5979999999999996E-2</c:v>
                </c:pt>
                <c:pt idx="120">
                  <c:v>8.4680000000000005E-2</c:v>
                </c:pt>
                <c:pt idx="121">
                  <c:v>8.1729999999999997E-2</c:v>
                </c:pt>
                <c:pt idx="122">
                  <c:v>8.634E-2</c:v>
                </c:pt>
                <c:pt idx="123">
                  <c:v>9.1490000000000002E-2</c:v>
                </c:pt>
                <c:pt idx="124">
                  <c:v>8.9940000000000006E-2</c:v>
                </c:pt>
                <c:pt idx="125">
                  <c:v>9.2289999999999997E-2</c:v>
                </c:pt>
                <c:pt idx="126">
                  <c:v>0.10202</c:v>
                </c:pt>
                <c:pt idx="127">
                  <c:v>9.9559999999999996E-2</c:v>
                </c:pt>
                <c:pt idx="128">
                  <c:v>8.6099999999999996E-2</c:v>
                </c:pt>
                <c:pt idx="129">
                  <c:v>9.8589999999999997E-2</c:v>
                </c:pt>
                <c:pt idx="130">
                  <c:v>0.10824</c:v>
                </c:pt>
                <c:pt idx="131">
                  <c:v>0.11297</c:v>
                </c:pt>
                <c:pt idx="132">
                  <c:v>0.11144999999999999</c:v>
                </c:pt>
                <c:pt idx="133">
                  <c:v>0.11669</c:v>
                </c:pt>
                <c:pt idx="134">
                  <c:v>0.12206</c:v>
                </c:pt>
                <c:pt idx="135">
                  <c:v>0.11763999999999999</c:v>
                </c:pt>
                <c:pt idx="136">
                  <c:v>0.11244999999999999</c:v>
                </c:pt>
                <c:pt idx="137">
                  <c:v>0.11984</c:v>
                </c:pt>
                <c:pt idx="138">
                  <c:v>0.11549</c:v>
                </c:pt>
                <c:pt idx="139">
                  <c:v>0.11252</c:v>
                </c:pt>
                <c:pt idx="140">
                  <c:v>0.12163</c:v>
                </c:pt>
                <c:pt idx="141">
                  <c:v>0.11837</c:v>
                </c:pt>
                <c:pt idx="142">
                  <c:v>0.12286</c:v>
                </c:pt>
                <c:pt idx="143">
                  <c:v>0.14998</c:v>
                </c:pt>
                <c:pt idx="144">
                  <c:v>0.15390999999999999</c:v>
                </c:pt>
                <c:pt idx="145">
                  <c:v>0.14477000000000001</c:v>
                </c:pt>
                <c:pt idx="146">
                  <c:v>0.14294000000000001</c:v>
                </c:pt>
                <c:pt idx="147">
                  <c:v>0.14307</c:v>
                </c:pt>
                <c:pt idx="148">
                  <c:v>0.13728000000000001</c:v>
                </c:pt>
                <c:pt idx="149">
                  <c:v>0.12282</c:v>
                </c:pt>
                <c:pt idx="150">
                  <c:v>0.11709</c:v>
                </c:pt>
                <c:pt idx="151">
                  <c:v>0.12352</c:v>
                </c:pt>
                <c:pt idx="152">
                  <c:v>0.12328</c:v>
                </c:pt>
                <c:pt idx="153">
                  <c:v>0.12803</c:v>
                </c:pt>
                <c:pt idx="154">
                  <c:v>0.11591</c:v>
                </c:pt>
                <c:pt idx="155">
                  <c:v>0.1275</c:v>
                </c:pt>
                <c:pt idx="156">
                  <c:v>0.12128</c:v>
                </c:pt>
                <c:pt idx="157">
                  <c:v>0.13164000000000001</c:v>
                </c:pt>
                <c:pt idx="158">
                  <c:v>0.13019</c:v>
                </c:pt>
                <c:pt idx="159">
                  <c:v>0.12822</c:v>
                </c:pt>
                <c:pt idx="160">
                  <c:v>0.13295000000000001</c:v>
                </c:pt>
                <c:pt idx="161">
                  <c:v>0.13013</c:v>
                </c:pt>
                <c:pt idx="162">
                  <c:v>0.11955</c:v>
                </c:pt>
                <c:pt idx="163">
                  <c:v>0.11816</c:v>
                </c:pt>
                <c:pt idx="164">
                  <c:v>0.12869</c:v>
                </c:pt>
                <c:pt idx="165">
                  <c:v>0.13936999999999999</c:v>
                </c:pt>
                <c:pt idx="166">
                  <c:v>0.13014000000000001</c:v>
                </c:pt>
                <c:pt idx="167">
                  <c:v>0.12083000000000001</c:v>
                </c:pt>
                <c:pt idx="168">
                  <c:v>0.10725</c:v>
                </c:pt>
                <c:pt idx="169">
                  <c:v>0.11096</c:v>
                </c:pt>
                <c:pt idx="170">
                  <c:v>0.10632999999999999</c:v>
                </c:pt>
                <c:pt idx="171">
                  <c:v>0.10574</c:v>
                </c:pt>
                <c:pt idx="172">
                  <c:v>0.1013</c:v>
                </c:pt>
                <c:pt idx="173">
                  <c:v>0.10371</c:v>
                </c:pt>
                <c:pt idx="174">
                  <c:v>9.665E-2</c:v>
                </c:pt>
                <c:pt idx="175">
                  <c:v>9.0819999999999998E-2</c:v>
                </c:pt>
                <c:pt idx="176">
                  <c:v>8.8410000000000002E-2</c:v>
                </c:pt>
                <c:pt idx="177">
                  <c:v>8.5400000000000004E-2</c:v>
                </c:pt>
                <c:pt idx="178">
                  <c:v>8.6059999999999998E-2</c:v>
                </c:pt>
                <c:pt idx="179">
                  <c:v>8.5739999999999997E-2</c:v>
                </c:pt>
                <c:pt idx="180">
                  <c:v>8.9620000000000005E-2</c:v>
                </c:pt>
                <c:pt idx="181">
                  <c:v>8.5959999999999995E-2</c:v>
                </c:pt>
                <c:pt idx="182">
                  <c:v>8.2659999999999997E-2</c:v>
                </c:pt>
                <c:pt idx="183">
                  <c:v>8.2830000000000001E-2</c:v>
                </c:pt>
                <c:pt idx="184">
                  <c:v>8.3960000000000007E-2</c:v>
                </c:pt>
                <c:pt idx="185">
                  <c:v>7.7539999999999998E-2</c:v>
                </c:pt>
                <c:pt idx="186">
                  <c:v>7.4380000000000002E-2</c:v>
                </c:pt>
                <c:pt idx="187">
                  <c:v>7.2190000000000004E-2</c:v>
                </c:pt>
                <c:pt idx="188">
                  <c:v>7.0989999999999998E-2</c:v>
                </c:pt>
                <c:pt idx="189">
                  <c:v>6.7769999999999997E-2</c:v>
                </c:pt>
                <c:pt idx="190">
                  <c:v>6.6049999999999998E-2</c:v>
                </c:pt>
                <c:pt idx="191">
                  <c:v>5.7729999999999997E-2</c:v>
                </c:pt>
                <c:pt idx="192">
                  <c:v>6.1800000000000001E-2</c:v>
                </c:pt>
                <c:pt idx="193">
                  <c:v>6.7549999999999999E-2</c:v>
                </c:pt>
                <c:pt idx="194">
                  <c:v>6.5500000000000003E-2</c:v>
                </c:pt>
                <c:pt idx="195">
                  <c:v>6.5210000000000004E-2</c:v>
                </c:pt>
                <c:pt idx="196">
                  <c:v>6.9040000000000004E-2</c:v>
                </c:pt>
                <c:pt idx="197">
                  <c:v>7.2559999999999999E-2</c:v>
                </c:pt>
                <c:pt idx="198">
                  <c:v>7.2940000000000005E-2</c:v>
                </c:pt>
                <c:pt idx="199">
                  <c:v>7.4950000000000003E-2</c:v>
                </c:pt>
                <c:pt idx="200">
                  <c:v>7.7679999999999999E-2</c:v>
                </c:pt>
                <c:pt idx="201">
                  <c:v>7.5969999999999996E-2</c:v>
                </c:pt>
                <c:pt idx="202">
                  <c:v>7.7030000000000001E-2</c:v>
                </c:pt>
                <c:pt idx="203">
                  <c:v>7.6069999999999999E-2</c:v>
                </c:pt>
                <c:pt idx="204">
                  <c:v>8.3400000000000002E-2</c:v>
                </c:pt>
                <c:pt idx="205">
                  <c:v>8.4459999999999993E-2</c:v>
                </c:pt>
                <c:pt idx="206">
                  <c:v>8.3419999999999994E-2</c:v>
                </c:pt>
                <c:pt idx="207">
                  <c:v>8.7779999999999997E-2</c:v>
                </c:pt>
                <c:pt idx="208">
                  <c:v>8.7359999999999993E-2</c:v>
                </c:pt>
                <c:pt idx="209">
                  <c:v>8.6550000000000002E-2</c:v>
                </c:pt>
                <c:pt idx="210">
                  <c:v>8.4239999999999995E-2</c:v>
                </c:pt>
                <c:pt idx="211">
                  <c:v>9.1340000000000005E-2</c:v>
                </c:pt>
                <c:pt idx="212">
                  <c:v>9.0079999999999993E-2</c:v>
                </c:pt>
                <c:pt idx="213">
                  <c:v>7.9420000000000004E-2</c:v>
                </c:pt>
                <c:pt idx="214">
                  <c:v>7.8060000000000004E-2</c:v>
                </c:pt>
                <c:pt idx="215">
                  <c:v>7.3999999999999996E-2</c:v>
                </c:pt>
                <c:pt idx="216">
                  <c:v>7.2090000000000001E-2</c:v>
                </c:pt>
                <c:pt idx="217">
                  <c:v>8.0769999999999995E-2</c:v>
                </c:pt>
                <c:pt idx="218">
                  <c:v>7.6139999999999999E-2</c:v>
                </c:pt>
                <c:pt idx="219">
                  <c:v>7.1760000000000004E-2</c:v>
                </c:pt>
                <c:pt idx="220">
                  <c:v>7.3319999999999996E-2</c:v>
                </c:pt>
                <c:pt idx="221">
                  <c:v>9.8400000000000001E-2</c:v>
                </c:pt>
                <c:pt idx="222">
                  <c:v>9.6390000000000003E-2</c:v>
                </c:pt>
                <c:pt idx="223">
                  <c:v>9.9570000000000006E-2</c:v>
                </c:pt>
                <c:pt idx="224">
                  <c:v>0.10725999999999999</c:v>
                </c:pt>
                <c:pt idx="225">
                  <c:v>0.10752</c:v>
                </c:pt>
                <c:pt idx="226">
                  <c:v>0.11135</c:v>
                </c:pt>
                <c:pt idx="227">
                  <c:v>0.11334</c:v>
                </c:pt>
                <c:pt idx="228">
                  <c:v>0.11244</c:v>
                </c:pt>
                <c:pt idx="229">
                  <c:v>0.10624</c:v>
                </c:pt>
                <c:pt idx="230">
                  <c:v>0.10482</c:v>
                </c:pt>
                <c:pt idx="231">
                  <c:v>0.11204</c:v>
                </c:pt>
                <c:pt idx="232">
                  <c:v>0.11996</c:v>
                </c:pt>
                <c:pt idx="233">
                  <c:v>0.11285000000000001</c:v>
                </c:pt>
                <c:pt idx="234">
                  <c:v>0.11458</c:v>
                </c:pt>
                <c:pt idx="235">
                  <c:v>0.12766</c:v>
                </c:pt>
                <c:pt idx="236">
                  <c:v>0.12534000000000001</c:v>
                </c:pt>
                <c:pt idx="237">
                  <c:v>0.12902</c:v>
                </c:pt>
                <c:pt idx="238">
                  <c:v>0.14323</c:v>
                </c:pt>
                <c:pt idx="239">
                  <c:v>0.12573000000000001</c:v>
                </c:pt>
                <c:pt idx="240">
                  <c:v>0.12068</c:v>
                </c:pt>
                <c:pt idx="241">
                  <c:v>0.12587999999999999</c:v>
                </c:pt>
                <c:pt idx="242">
                  <c:v>0.10752</c:v>
                </c:pt>
                <c:pt idx="243">
                  <c:v>9.8960000000000006E-2</c:v>
                </c:pt>
                <c:pt idx="244">
                  <c:v>0.10815</c:v>
                </c:pt>
                <c:pt idx="245">
                  <c:v>0.12379999999999999</c:v>
                </c:pt>
                <c:pt idx="246">
                  <c:v>0.13306000000000001</c:v>
                </c:pt>
                <c:pt idx="247">
                  <c:v>0.11267000000000001</c:v>
                </c:pt>
                <c:pt idx="248">
                  <c:v>0.1124</c:v>
                </c:pt>
                <c:pt idx="249">
                  <c:v>8.6379999999999998E-2</c:v>
                </c:pt>
                <c:pt idx="250">
                  <c:v>9.9440000000000001E-2</c:v>
                </c:pt>
                <c:pt idx="251">
                  <c:v>0.10813</c:v>
                </c:pt>
                <c:pt idx="252">
                  <c:v>0.13077</c:v>
                </c:pt>
                <c:pt idx="253">
                  <c:v>0.10532999999999999</c:v>
                </c:pt>
                <c:pt idx="254">
                  <c:v>0.16183</c:v>
                </c:pt>
                <c:pt idx="255">
                  <c:v>0.15775</c:v>
                </c:pt>
                <c:pt idx="256">
                  <c:v>0.17646000000000001</c:v>
                </c:pt>
                <c:pt idx="257">
                  <c:v>0.17254</c:v>
                </c:pt>
                <c:pt idx="258">
                  <c:v>0.18673999999999999</c:v>
                </c:pt>
                <c:pt idx="259">
                  <c:v>0.18221999999999999</c:v>
                </c:pt>
                <c:pt idx="260">
                  <c:v>0.1666</c:v>
                </c:pt>
                <c:pt idx="261">
                  <c:v>0.21268999999999999</c:v>
                </c:pt>
                <c:pt idx="262">
                  <c:v>0.20261999999999999</c:v>
                </c:pt>
                <c:pt idx="263">
                  <c:v>0.23386000000000001</c:v>
                </c:pt>
                <c:pt idx="264">
                  <c:v>0.22339999999999999</c:v>
                </c:pt>
                <c:pt idx="265">
                  <c:v>0.2306</c:v>
                </c:pt>
                <c:pt idx="266">
                  <c:v>0.21584</c:v>
                </c:pt>
                <c:pt idx="267">
                  <c:v>0.20705000000000001</c:v>
                </c:pt>
                <c:pt idx="268">
                  <c:v>0.18753</c:v>
                </c:pt>
                <c:pt idx="269">
                  <c:v>0.21084</c:v>
                </c:pt>
                <c:pt idx="270">
                  <c:v>0.21487999999999999</c:v>
                </c:pt>
                <c:pt idx="271">
                  <c:v>0.20422000000000001</c:v>
                </c:pt>
                <c:pt idx="272">
                  <c:v>0.20097999999999999</c:v>
                </c:pt>
                <c:pt idx="273">
                  <c:v>0.19127</c:v>
                </c:pt>
                <c:pt idx="274">
                  <c:v>0.19839999999999999</c:v>
                </c:pt>
                <c:pt idx="275">
                  <c:v>0.20810000000000001</c:v>
                </c:pt>
                <c:pt idx="276">
                  <c:v>0.18848999999999999</c:v>
                </c:pt>
                <c:pt idx="277">
                  <c:v>0.16830000000000001</c:v>
                </c:pt>
                <c:pt idx="278">
                  <c:v>0.178425</c:v>
                </c:pt>
                <c:pt idx="279">
                  <c:v>0.20208599999999999</c:v>
                </c:pt>
                <c:pt idx="280">
                  <c:v>0.19017400000000001</c:v>
                </c:pt>
                <c:pt idx="281">
                  <c:v>0.226271</c:v>
                </c:pt>
                <c:pt idx="282">
                  <c:v>0.25123699999999999</c:v>
                </c:pt>
                <c:pt idx="283">
                  <c:v>0.228215</c:v>
                </c:pt>
                <c:pt idx="284">
                  <c:v>0.25332100000000002</c:v>
                </c:pt>
                <c:pt idx="285">
                  <c:v>0.22642499999999999</c:v>
                </c:pt>
                <c:pt idx="286">
                  <c:v>0.234485</c:v>
                </c:pt>
                <c:pt idx="287">
                  <c:v>0.17560100000000001</c:v>
                </c:pt>
                <c:pt idx="288">
                  <c:v>0.16800399999999999</c:v>
                </c:pt>
                <c:pt idx="289">
                  <c:v>0.153447</c:v>
                </c:pt>
                <c:pt idx="290">
                  <c:v>0.12893099999999999</c:v>
                </c:pt>
                <c:pt idx="291">
                  <c:v>0.13939399999999999</c:v>
                </c:pt>
                <c:pt idx="292">
                  <c:v>0.14192199999999999</c:v>
                </c:pt>
                <c:pt idx="293">
                  <c:v>0.125996</c:v>
                </c:pt>
                <c:pt idx="294">
                  <c:v>0.116636</c:v>
                </c:pt>
                <c:pt idx="295">
                  <c:v>0.105908</c:v>
                </c:pt>
                <c:pt idx="296">
                  <c:v>0.111808</c:v>
                </c:pt>
                <c:pt idx="297">
                  <c:v>0.102343</c:v>
                </c:pt>
                <c:pt idx="298">
                  <c:v>9.2423000000000005E-2</c:v>
                </c:pt>
                <c:pt idx="299">
                  <c:v>8.7306999999999996E-2</c:v>
                </c:pt>
                <c:pt idx="300">
                  <c:v>9.4022999999999995E-2</c:v>
                </c:pt>
                <c:pt idx="301">
                  <c:v>8.8055999999999995E-2</c:v>
                </c:pt>
                <c:pt idx="302">
                  <c:v>8.7720999999999993E-2</c:v>
                </c:pt>
                <c:pt idx="303">
                  <c:v>8.9330999999999994E-2</c:v>
                </c:pt>
                <c:pt idx="304">
                  <c:v>9.2003000000000001E-2</c:v>
                </c:pt>
                <c:pt idx="305">
                  <c:v>9.0732999999999994E-2</c:v>
                </c:pt>
                <c:pt idx="306">
                  <c:v>8.8444999999999996E-2</c:v>
                </c:pt>
                <c:pt idx="307">
                  <c:v>9.0047000000000002E-2</c:v>
                </c:pt>
                <c:pt idx="308">
                  <c:v>8.0762E-2</c:v>
                </c:pt>
                <c:pt idx="309">
                  <c:v>8.4599999999999995E-2</c:v>
                </c:pt>
                <c:pt idx="310">
                  <c:v>8.3028000000000005E-2</c:v>
                </c:pt>
                <c:pt idx="311">
                  <c:v>8.8369000000000003E-2</c:v>
                </c:pt>
                <c:pt idx="312">
                  <c:v>9.3801999999999996E-2</c:v>
                </c:pt>
                <c:pt idx="313">
                  <c:v>8.9496000000000006E-2</c:v>
                </c:pt>
                <c:pt idx="314">
                  <c:v>8.0765000000000003E-2</c:v>
                </c:pt>
                <c:pt idx="315">
                  <c:v>7.7475000000000002E-2</c:v>
                </c:pt>
                <c:pt idx="316">
                  <c:v>7.6673000000000005E-2</c:v>
                </c:pt>
                <c:pt idx="317">
                  <c:v>7.4411000000000005E-2</c:v>
                </c:pt>
                <c:pt idx="318">
                  <c:v>7.8900999999999999E-2</c:v>
                </c:pt>
                <c:pt idx="319">
                  <c:v>6.6073999999999994E-2</c:v>
                </c:pt>
                <c:pt idx="320">
                  <c:v>6.7523E-2</c:v>
                </c:pt>
                <c:pt idx="321">
                  <c:v>6.5551999999999999E-2</c:v>
                </c:pt>
                <c:pt idx="322">
                  <c:v>6.7237000000000005E-2</c:v>
                </c:pt>
                <c:pt idx="323">
                  <c:v>6.1343000000000002E-2</c:v>
                </c:pt>
                <c:pt idx="324">
                  <c:v>6.4429E-2</c:v>
                </c:pt>
                <c:pt idx="325">
                  <c:v>6.5315999999999999E-2</c:v>
                </c:pt>
                <c:pt idx="326">
                  <c:v>5.6669999999999998E-2</c:v>
                </c:pt>
                <c:pt idx="327">
                  <c:v>5.3272E-2</c:v>
                </c:pt>
                <c:pt idx="328">
                  <c:v>5.2010000000000001E-2</c:v>
                </c:pt>
                <c:pt idx="329">
                  <c:v>5.0284000000000002E-2</c:v>
                </c:pt>
                <c:pt idx="330">
                  <c:v>5.2864000000000001E-2</c:v>
                </c:pt>
                <c:pt idx="331">
                  <c:v>4.3803000000000002E-2</c:v>
                </c:pt>
                <c:pt idx="332">
                  <c:v>4.5728999999999999E-2</c:v>
                </c:pt>
                <c:pt idx="333">
                  <c:v>3.9734999999999999E-2</c:v>
                </c:pt>
                <c:pt idx="334">
                  <c:v>4.0821999999999997E-2</c:v>
                </c:pt>
                <c:pt idx="335">
                  <c:v>3.9453000000000002E-2</c:v>
                </c:pt>
                <c:pt idx="336">
                  <c:v>3.9342000000000002E-2</c:v>
                </c:pt>
                <c:pt idx="337">
                  <c:v>4.2694000000000003E-2</c:v>
                </c:pt>
                <c:pt idx="338">
                  <c:v>4.2223999999999998E-2</c:v>
                </c:pt>
                <c:pt idx="339">
                  <c:v>5.0146999999999997E-2</c:v>
                </c:pt>
                <c:pt idx="340">
                  <c:v>5.4826E-2</c:v>
                </c:pt>
                <c:pt idx="341">
                  <c:v>5.3553999999999997E-2</c:v>
                </c:pt>
                <c:pt idx="342">
                  <c:v>5.3601999999999997E-2</c:v>
                </c:pt>
                <c:pt idx="343">
                  <c:v>5.4482999999999997E-2</c:v>
                </c:pt>
                <c:pt idx="344">
                  <c:v>5.1195999999999998E-2</c:v>
                </c:pt>
                <c:pt idx="345">
                  <c:v>4.9319000000000002E-2</c:v>
                </c:pt>
                <c:pt idx="346">
                  <c:v>5.1032000000000001E-2</c:v>
                </c:pt>
                <c:pt idx="347">
                  <c:v>5.2160999999999999E-2</c:v>
                </c:pt>
                <c:pt idx="348">
                  <c:v>5.4766000000000002E-2</c:v>
                </c:pt>
                <c:pt idx="349">
                  <c:v>5.4358999999999998E-2</c:v>
                </c:pt>
                <c:pt idx="350">
                  <c:v>4.2557999999999999E-2</c:v>
                </c:pt>
                <c:pt idx="351">
                  <c:v>3.5688999999999999E-2</c:v>
                </c:pt>
                <c:pt idx="352">
                  <c:v>3.5374999999999997E-2</c:v>
                </c:pt>
                <c:pt idx="353">
                  <c:v>3.1326E-2</c:v>
                </c:pt>
                <c:pt idx="354">
                  <c:v>2.9139000000000002E-2</c:v>
                </c:pt>
                <c:pt idx="355">
                  <c:v>2.9946E-2</c:v>
                </c:pt>
                <c:pt idx="356">
                  <c:v>3.2096E-2</c:v>
                </c:pt>
                <c:pt idx="357">
                  <c:v>2.7709999999999999E-2</c:v>
                </c:pt>
                <c:pt idx="358">
                  <c:v>2.9177000000000002E-2</c:v>
                </c:pt>
                <c:pt idx="359">
                  <c:v>2.8126999999999999E-2</c:v>
                </c:pt>
                <c:pt idx="360">
                  <c:v>2.9381999999999998E-2</c:v>
                </c:pt>
                <c:pt idx="361">
                  <c:v>2.5396999999999999E-2</c:v>
                </c:pt>
                <c:pt idx="362">
                  <c:v>2.6842000000000001E-2</c:v>
                </c:pt>
                <c:pt idx="363">
                  <c:v>2.7830000000000001E-2</c:v>
                </c:pt>
                <c:pt idx="364">
                  <c:v>2.7389E-2</c:v>
                </c:pt>
                <c:pt idx="365">
                  <c:v>2.6360999999999999E-2</c:v>
                </c:pt>
                <c:pt idx="366">
                  <c:v>2.9444000000000001E-2</c:v>
                </c:pt>
                <c:pt idx="367">
                  <c:v>2.9758E-2</c:v>
                </c:pt>
                <c:pt idx="368">
                  <c:v>3.0606000000000001E-2</c:v>
                </c:pt>
                <c:pt idx="369">
                  <c:v>3.0068000000000001E-2</c:v>
                </c:pt>
                <c:pt idx="370">
                  <c:v>3.1267999999999997E-2</c:v>
                </c:pt>
                <c:pt idx="371">
                  <c:v>2.7917999999999998E-2</c:v>
                </c:pt>
                <c:pt idx="372">
                  <c:v>3.4595000000000001E-2</c:v>
                </c:pt>
                <c:pt idx="373">
                  <c:v>2.9014999999999999E-2</c:v>
                </c:pt>
                <c:pt idx="374">
                  <c:v>3.0803000000000001E-2</c:v>
                </c:pt>
                <c:pt idx="375">
                  <c:v>2.7151999999999999E-2</c:v>
                </c:pt>
                <c:pt idx="376">
                  <c:v>2.6863000000000001E-2</c:v>
                </c:pt>
                <c:pt idx="377">
                  <c:v>2.5305999999999999E-2</c:v>
                </c:pt>
                <c:pt idx="378">
                  <c:v>2.5742999999999999E-2</c:v>
                </c:pt>
                <c:pt idx="379">
                  <c:v>2.6072999999999999E-2</c:v>
                </c:pt>
                <c:pt idx="380">
                  <c:v>2.299E-2</c:v>
                </c:pt>
                <c:pt idx="381">
                  <c:v>2.4344000000000001E-2</c:v>
                </c:pt>
                <c:pt idx="382">
                  <c:v>2.707E-2</c:v>
                </c:pt>
                <c:pt idx="383">
                  <c:v>2.8812000000000001E-2</c:v>
                </c:pt>
                <c:pt idx="384">
                  <c:v>2.7299E-2</c:v>
                </c:pt>
                <c:pt idx="385">
                  <c:v>2.8673000000000001E-2</c:v>
                </c:pt>
                <c:pt idx="386">
                  <c:v>3.0818999999999999E-2</c:v>
                </c:pt>
                <c:pt idx="387">
                  <c:v>2.7963999999999999E-2</c:v>
                </c:pt>
                <c:pt idx="388">
                  <c:v>2.4597999999999998E-2</c:v>
                </c:pt>
                <c:pt idx="389">
                  <c:v>2.6225999999999999E-2</c:v>
                </c:pt>
                <c:pt idx="390">
                  <c:v>1.9993E-2</c:v>
                </c:pt>
                <c:pt idx="391">
                  <c:v>1.9051999999999999E-2</c:v>
                </c:pt>
                <c:pt idx="392">
                  <c:v>1.8754E-2</c:v>
                </c:pt>
                <c:pt idx="393">
                  <c:v>2.0199999999999999E-2</c:v>
                </c:pt>
                <c:pt idx="394">
                  <c:v>2.1135000000000001E-2</c:v>
                </c:pt>
                <c:pt idx="395">
                  <c:v>2.0212000000000001E-2</c:v>
                </c:pt>
                <c:pt idx="396">
                  <c:v>1.6542000000000001E-2</c:v>
                </c:pt>
                <c:pt idx="397">
                  <c:v>1.6471E-2</c:v>
                </c:pt>
                <c:pt idx="398">
                  <c:v>1.4598E-2</c:v>
                </c:pt>
                <c:pt idx="399">
                  <c:v>1.4893E-2</c:v>
                </c:pt>
                <c:pt idx="400">
                  <c:v>1.3236E-2</c:v>
                </c:pt>
                <c:pt idx="401">
                  <c:v>1.5854E-2</c:v>
                </c:pt>
                <c:pt idx="402">
                  <c:v>1.5523E-2</c:v>
                </c:pt>
                <c:pt idx="403">
                  <c:v>1.6324999999999999E-2</c:v>
                </c:pt>
                <c:pt idx="404">
                  <c:v>1.7373E-2</c:v>
                </c:pt>
                <c:pt idx="405">
                  <c:v>1.7423999999999999E-2</c:v>
                </c:pt>
                <c:pt idx="406">
                  <c:v>1.7092E-2</c:v>
                </c:pt>
                <c:pt idx="407">
                  <c:v>1.7274000000000001E-2</c:v>
                </c:pt>
                <c:pt idx="408">
                  <c:v>1.6500999999999998E-2</c:v>
                </c:pt>
                <c:pt idx="409">
                  <c:v>1.6369999999999999E-2</c:v>
                </c:pt>
                <c:pt idx="410">
                  <c:v>1.6469999999999999E-2</c:v>
                </c:pt>
                <c:pt idx="411">
                  <c:v>1.6497000000000001E-2</c:v>
                </c:pt>
                <c:pt idx="412">
                  <c:v>1.5587E-2</c:v>
                </c:pt>
                <c:pt idx="413">
                  <c:v>1.5937E-2</c:v>
                </c:pt>
                <c:pt idx="414">
                  <c:v>1.6757999999999999E-2</c:v>
                </c:pt>
                <c:pt idx="415">
                  <c:v>1.6382000000000001E-2</c:v>
                </c:pt>
                <c:pt idx="416">
                  <c:v>1.8137E-2</c:v>
                </c:pt>
                <c:pt idx="417">
                  <c:v>1.7144E-2</c:v>
                </c:pt>
                <c:pt idx="418">
                  <c:v>1.7484E-2</c:v>
                </c:pt>
                <c:pt idx="419">
                  <c:v>1.5698E-2</c:v>
                </c:pt>
                <c:pt idx="420">
                  <c:v>1.7396999999999999E-2</c:v>
                </c:pt>
                <c:pt idx="421">
                  <c:v>1.6404999999999999E-2</c:v>
                </c:pt>
                <c:pt idx="422">
                  <c:v>1.4737E-2</c:v>
                </c:pt>
                <c:pt idx="423">
                  <c:v>1.5972E-2</c:v>
                </c:pt>
                <c:pt idx="424">
                  <c:v>1.5151E-2</c:v>
                </c:pt>
                <c:pt idx="425">
                  <c:v>1.5350000000000001E-2</c:v>
                </c:pt>
                <c:pt idx="426">
                  <c:v>1.4487E-2</c:v>
                </c:pt>
                <c:pt idx="427">
                  <c:v>1.4626999999999999E-2</c:v>
                </c:pt>
                <c:pt idx="428">
                  <c:v>1.6548E-2</c:v>
                </c:pt>
                <c:pt idx="429">
                  <c:v>1.6174000000000001E-2</c:v>
                </c:pt>
                <c:pt idx="430">
                  <c:v>1.6022999999999999E-2</c:v>
                </c:pt>
                <c:pt idx="431">
                  <c:v>1.3905000000000001E-2</c:v>
                </c:pt>
                <c:pt idx="432">
                  <c:v>1.4426E-2</c:v>
                </c:pt>
                <c:pt idx="433">
                  <c:v>1.2059E-2</c:v>
                </c:pt>
                <c:pt idx="434">
                  <c:v>1.1504E-2</c:v>
                </c:pt>
                <c:pt idx="435">
                  <c:v>1.1776999999999999E-2</c:v>
                </c:pt>
                <c:pt idx="436">
                  <c:v>1.2345999999999999E-2</c:v>
                </c:pt>
                <c:pt idx="437">
                  <c:v>1.1336000000000001E-2</c:v>
                </c:pt>
                <c:pt idx="438">
                  <c:v>1.1039E-2</c:v>
                </c:pt>
                <c:pt idx="439">
                  <c:v>1.1245E-2</c:v>
                </c:pt>
                <c:pt idx="440">
                  <c:v>1.1814E-2</c:v>
                </c:pt>
                <c:pt idx="441">
                  <c:v>1.0644000000000001E-2</c:v>
                </c:pt>
                <c:pt idx="442">
                  <c:v>1.1339999999999999E-2</c:v>
                </c:pt>
                <c:pt idx="443">
                  <c:v>1.1583E-2</c:v>
                </c:pt>
                <c:pt idx="444">
                  <c:v>1.1035E-2</c:v>
                </c:pt>
                <c:pt idx="445">
                  <c:v>1.1122E-2</c:v>
                </c:pt>
                <c:pt idx="446">
                  <c:v>1.0383E-2</c:v>
                </c:pt>
                <c:pt idx="447">
                  <c:v>1.1195999999999999E-2</c:v>
                </c:pt>
                <c:pt idx="448">
                  <c:v>9.7210000000000005E-3</c:v>
                </c:pt>
                <c:pt idx="449">
                  <c:v>9.3980000000000001E-3</c:v>
                </c:pt>
                <c:pt idx="450">
                  <c:v>9.2499999999999995E-3</c:v>
                </c:pt>
                <c:pt idx="451">
                  <c:v>1.005E-2</c:v>
                </c:pt>
                <c:pt idx="452">
                  <c:v>1.0505E-2</c:v>
                </c:pt>
                <c:pt idx="453">
                  <c:v>9.8949999999999993E-3</c:v>
                </c:pt>
                <c:pt idx="454">
                  <c:v>1.008E-2</c:v>
                </c:pt>
                <c:pt idx="455">
                  <c:v>1.0186000000000001E-2</c:v>
                </c:pt>
                <c:pt idx="456">
                  <c:v>1.0638E-2</c:v>
                </c:pt>
                <c:pt idx="457">
                  <c:v>1.137E-2</c:v>
                </c:pt>
                <c:pt idx="458">
                  <c:v>1.1368E-2</c:v>
                </c:pt>
                <c:pt idx="459">
                  <c:v>1.179E-2</c:v>
                </c:pt>
                <c:pt idx="460">
                  <c:v>1.2282E-2</c:v>
                </c:pt>
                <c:pt idx="461">
                  <c:v>1.2218E-2</c:v>
                </c:pt>
                <c:pt idx="462">
                  <c:v>1.2154999999999999E-2</c:v>
                </c:pt>
                <c:pt idx="463">
                  <c:v>1.1339E-2</c:v>
                </c:pt>
                <c:pt idx="464">
                  <c:v>1.0781000000000001E-2</c:v>
                </c:pt>
                <c:pt idx="465">
                  <c:v>1.1396E-2</c:v>
                </c:pt>
                <c:pt idx="466">
                  <c:v>1.1627E-2</c:v>
                </c:pt>
                <c:pt idx="467">
                  <c:v>1.0988E-2</c:v>
                </c:pt>
                <c:pt idx="468">
                  <c:v>1.0591E-2</c:v>
                </c:pt>
                <c:pt idx="469">
                  <c:v>1.0963000000000001E-2</c:v>
                </c:pt>
                <c:pt idx="470">
                  <c:v>1.1139E-2</c:v>
                </c:pt>
                <c:pt idx="471">
                  <c:v>1.1481999999999999E-2</c:v>
                </c:pt>
                <c:pt idx="472">
                  <c:v>1.1377E-2</c:v>
                </c:pt>
                <c:pt idx="473">
                  <c:v>1.1436E-2</c:v>
                </c:pt>
                <c:pt idx="474">
                  <c:v>1.14E-2</c:v>
                </c:pt>
                <c:pt idx="475">
                  <c:v>1.1455E-2</c:v>
                </c:pt>
                <c:pt idx="476">
                  <c:v>1.1011999999999999E-2</c:v>
                </c:pt>
                <c:pt idx="477">
                  <c:v>1.1227000000000001E-2</c:v>
                </c:pt>
                <c:pt idx="478">
                  <c:v>1.0106E-2</c:v>
                </c:pt>
                <c:pt idx="479">
                  <c:v>1.1383000000000001E-2</c:v>
                </c:pt>
                <c:pt idx="480">
                  <c:v>1.1657000000000001E-2</c:v>
                </c:pt>
                <c:pt idx="481">
                  <c:v>1.1738999999999999E-2</c:v>
                </c:pt>
                <c:pt idx="482">
                  <c:v>1.1859E-2</c:v>
                </c:pt>
                <c:pt idx="483">
                  <c:v>1.2732E-2</c:v>
                </c:pt>
                <c:pt idx="484">
                  <c:v>1.3519E-2</c:v>
                </c:pt>
                <c:pt idx="485">
                  <c:v>1.3169E-2</c:v>
                </c:pt>
                <c:pt idx="486">
                  <c:v>1.2765E-2</c:v>
                </c:pt>
                <c:pt idx="487">
                  <c:v>1.2741000000000001E-2</c:v>
                </c:pt>
                <c:pt idx="488">
                  <c:v>1.2851E-2</c:v>
                </c:pt>
                <c:pt idx="489">
                  <c:v>1.2909E-2</c:v>
                </c:pt>
                <c:pt idx="490">
                  <c:v>1.2385E-2</c:v>
                </c:pt>
                <c:pt idx="491">
                  <c:v>1.1381E-2</c:v>
                </c:pt>
                <c:pt idx="492">
                  <c:v>1.234E-2</c:v>
                </c:pt>
                <c:pt idx="493">
                  <c:v>1.2605E-2</c:v>
                </c:pt>
                <c:pt idx="494">
                  <c:v>1.4475999999999999E-2</c:v>
                </c:pt>
                <c:pt idx="495">
                  <c:v>1.5265000000000001E-2</c:v>
                </c:pt>
                <c:pt idx="496">
                  <c:v>1.443E-2</c:v>
                </c:pt>
                <c:pt idx="497">
                  <c:v>1.3514E-2</c:v>
                </c:pt>
                <c:pt idx="498">
                  <c:v>1.2460000000000001E-2</c:v>
                </c:pt>
                <c:pt idx="499">
                  <c:v>1.2569E-2</c:v>
                </c:pt>
                <c:pt idx="500">
                  <c:v>1.2860999999999999E-2</c:v>
                </c:pt>
                <c:pt idx="501">
                  <c:v>1.281E-2</c:v>
                </c:pt>
                <c:pt idx="502">
                  <c:v>1.3419E-2</c:v>
                </c:pt>
                <c:pt idx="503">
                  <c:v>1.3239000000000001E-2</c:v>
                </c:pt>
                <c:pt idx="504">
                  <c:v>1.3004999999999999E-2</c:v>
                </c:pt>
                <c:pt idx="505">
                  <c:v>1.2841E-2</c:v>
                </c:pt>
                <c:pt idx="506">
                  <c:v>1.2119E-2</c:v>
                </c:pt>
                <c:pt idx="507">
                  <c:v>1.2201E-2</c:v>
                </c:pt>
                <c:pt idx="508">
                  <c:v>1.2354E-2</c:v>
                </c:pt>
                <c:pt idx="509">
                  <c:v>1.2101000000000001E-2</c:v>
                </c:pt>
                <c:pt idx="510">
                  <c:v>1.4267999999999999E-2</c:v>
                </c:pt>
                <c:pt idx="511">
                  <c:v>1.2343E-2</c:v>
                </c:pt>
                <c:pt idx="512">
                  <c:v>1.5994999999999999E-2</c:v>
                </c:pt>
                <c:pt idx="513">
                  <c:v>1.6989000000000001E-2</c:v>
                </c:pt>
                <c:pt idx="514">
                  <c:v>1.7371999999999999E-2</c:v>
                </c:pt>
                <c:pt idx="515">
                  <c:v>1.7113E-2</c:v>
                </c:pt>
                <c:pt idx="516">
                  <c:v>1.6743999999999998E-2</c:v>
                </c:pt>
                <c:pt idx="517">
                  <c:v>1.6317000000000002E-2</c:v>
                </c:pt>
                <c:pt idx="518">
                  <c:v>1.5932999999999999E-2</c:v>
                </c:pt>
                <c:pt idx="519">
                  <c:v>1.7113E-2</c:v>
                </c:pt>
                <c:pt idx="520">
                  <c:v>1.6882999999999999E-2</c:v>
                </c:pt>
                <c:pt idx="521">
                  <c:v>1.8169999999999999E-2</c:v>
                </c:pt>
                <c:pt idx="522">
                  <c:v>1.7888999999999999E-2</c:v>
                </c:pt>
                <c:pt idx="523">
                  <c:v>1.8165000000000001E-2</c:v>
                </c:pt>
                <c:pt idx="524">
                  <c:v>1.7961999999999999E-2</c:v>
                </c:pt>
                <c:pt idx="525">
                  <c:v>1.9392E-2</c:v>
                </c:pt>
                <c:pt idx="526">
                  <c:v>1.7857000000000001E-2</c:v>
                </c:pt>
                <c:pt idx="527">
                  <c:v>1.9088999999999998E-2</c:v>
                </c:pt>
                <c:pt idx="528">
                  <c:v>2.002E-2</c:v>
                </c:pt>
                <c:pt idx="529">
                  <c:v>1.9841999999999999E-2</c:v>
                </c:pt>
                <c:pt idx="530">
                  <c:v>1.9574999999999999E-2</c:v>
                </c:pt>
                <c:pt idx="531">
                  <c:v>2.0513E-2</c:v>
                </c:pt>
                <c:pt idx="532">
                  <c:v>1.9598000000000001E-2</c:v>
                </c:pt>
                <c:pt idx="533">
                  <c:v>2.0428999999999999E-2</c:v>
                </c:pt>
                <c:pt idx="534">
                  <c:v>1.9966000000000001E-2</c:v>
                </c:pt>
                <c:pt idx="535">
                  <c:v>2.1422E-2</c:v>
                </c:pt>
                <c:pt idx="536">
                  <c:v>2.1929000000000001E-2</c:v>
                </c:pt>
                <c:pt idx="537">
                  <c:v>2.0815E-2</c:v>
                </c:pt>
                <c:pt idx="538">
                  <c:v>1.8671E-2</c:v>
                </c:pt>
                <c:pt idx="539">
                  <c:v>1.9703999999999999E-2</c:v>
                </c:pt>
                <c:pt idx="540">
                  <c:v>1.8793000000000001E-2</c:v>
                </c:pt>
                <c:pt idx="541">
                  <c:v>1.8734000000000001E-2</c:v>
                </c:pt>
                <c:pt idx="542">
                  <c:v>1.67E-2</c:v>
                </c:pt>
                <c:pt idx="543">
                  <c:v>1.6206999999999999E-2</c:v>
                </c:pt>
                <c:pt idx="544">
                  <c:v>1.7319000000000001E-2</c:v>
                </c:pt>
                <c:pt idx="545">
                  <c:v>1.7204000000000001E-2</c:v>
                </c:pt>
                <c:pt idx="546">
                  <c:v>1.7315000000000001E-2</c:v>
                </c:pt>
                <c:pt idx="547">
                  <c:v>1.5583E-2</c:v>
                </c:pt>
                <c:pt idx="548">
                  <c:v>1.5980000000000001E-2</c:v>
                </c:pt>
                <c:pt idx="549">
                  <c:v>1.5640999999999999E-2</c:v>
                </c:pt>
                <c:pt idx="550">
                  <c:v>1.7554E-2</c:v>
                </c:pt>
                <c:pt idx="551">
                  <c:v>1.8218000000000002E-2</c:v>
                </c:pt>
                <c:pt idx="552">
                  <c:v>1.6995E-2</c:v>
                </c:pt>
                <c:pt idx="553">
                  <c:v>1.7381000000000001E-2</c:v>
                </c:pt>
                <c:pt idx="554">
                  <c:v>1.7467E-2</c:v>
                </c:pt>
                <c:pt idx="555">
                  <c:v>1.7500000000000002E-2</c:v>
                </c:pt>
                <c:pt idx="556">
                  <c:v>1.6074000000000001E-2</c:v>
                </c:pt>
                <c:pt idx="557">
                  <c:v>1.8016999999999998E-2</c:v>
                </c:pt>
                <c:pt idx="558">
                  <c:v>1.8168E-2</c:v>
                </c:pt>
                <c:pt idx="559">
                  <c:v>1.8211000000000001E-2</c:v>
                </c:pt>
                <c:pt idx="560">
                  <c:v>1.8036E-2</c:v>
                </c:pt>
                <c:pt idx="561">
                  <c:v>1.8995999999999999E-2</c:v>
                </c:pt>
                <c:pt idx="562">
                  <c:v>1.8450000000000001E-2</c:v>
                </c:pt>
                <c:pt idx="563">
                  <c:v>1.8461000000000002E-2</c:v>
                </c:pt>
                <c:pt idx="564">
                  <c:v>1.8155000000000001E-2</c:v>
                </c:pt>
                <c:pt idx="565">
                  <c:v>1.8534999999999999E-2</c:v>
                </c:pt>
                <c:pt idx="566">
                  <c:v>1.7118999999999999E-2</c:v>
                </c:pt>
                <c:pt idx="567">
                  <c:v>1.8249999999999999E-2</c:v>
                </c:pt>
                <c:pt idx="568">
                  <c:v>1.9931999999999998E-2</c:v>
                </c:pt>
                <c:pt idx="569">
                  <c:v>1.7325E-2</c:v>
                </c:pt>
                <c:pt idx="570">
                  <c:v>1.4420000000000001E-2</c:v>
                </c:pt>
                <c:pt idx="571">
                  <c:v>1.4307E-2</c:v>
                </c:pt>
                <c:pt idx="572">
                  <c:v>1.2525E-2</c:v>
                </c:pt>
                <c:pt idx="573">
                  <c:v>1.0222999999999999E-2</c:v>
                </c:pt>
                <c:pt idx="574">
                  <c:v>9.5560000000000003E-3</c:v>
                </c:pt>
                <c:pt idx="575">
                  <c:v>9.4359999999999999E-3</c:v>
                </c:pt>
                <c:pt idx="576">
                  <c:v>8.8369999999999994E-3</c:v>
                </c:pt>
                <c:pt idx="577">
                  <c:v>8.6910000000000008E-3</c:v>
                </c:pt>
                <c:pt idx="578">
                  <c:v>8.6899999999999998E-3</c:v>
                </c:pt>
                <c:pt idx="579">
                  <c:v>8.6079999999999993E-3</c:v>
                </c:pt>
                <c:pt idx="580">
                  <c:v>8.9490000000000004E-3</c:v>
                </c:pt>
                <c:pt idx="581">
                  <c:v>8.8819999999999993E-3</c:v>
                </c:pt>
                <c:pt idx="582">
                  <c:v>8.9960000000000005E-3</c:v>
                </c:pt>
                <c:pt idx="583">
                  <c:v>8.9029999999999995E-3</c:v>
                </c:pt>
                <c:pt idx="584">
                  <c:v>9.2829999999999996E-3</c:v>
                </c:pt>
                <c:pt idx="585">
                  <c:v>8.626E-3</c:v>
                </c:pt>
                <c:pt idx="586">
                  <c:v>8.2900000000000005E-3</c:v>
                </c:pt>
                <c:pt idx="587">
                  <c:v>8.3789999999999993E-3</c:v>
                </c:pt>
                <c:pt idx="588">
                  <c:v>8.6599999999999993E-3</c:v>
                </c:pt>
                <c:pt idx="589">
                  <c:v>9.0130000000000002E-3</c:v>
                </c:pt>
                <c:pt idx="590">
                  <c:v>9.0609999999999996E-3</c:v>
                </c:pt>
                <c:pt idx="591">
                  <c:v>9.0100000000000006E-3</c:v>
                </c:pt>
                <c:pt idx="592">
                  <c:v>8.6400000000000001E-3</c:v>
                </c:pt>
                <c:pt idx="593">
                  <c:v>9.5969999999999996E-3</c:v>
                </c:pt>
                <c:pt idx="594">
                  <c:v>9.7099999999999999E-3</c:v>
                </c:pt>
                <c:pt idx="595">
                  <c:v>8.7620000000000007E-3</c:v>
                </c:pt>
                <c:pt idx="596">
                  <c:v>9.0080000000000004E-3</c:v>
                </c:pt>
                <c:pt idx="597">
                  <c:v>8.1810000000000008E-3</c:v>
                </c:pt>
                <c:pt idx="598">
                  <c:v>7.7869999999999997E-3</c:v>
                </c:pt>
                <c:pt idx="599">
                  <c:v>7.2459999999999998E-3</c:v>
                </c:pt>
                <c:pt idx="600">
                  <c:v>7.3010000000000002E-3</c:v>
                </c:pt>
                <c:pt idx="601">
                  <c:v>6.6930000000000002E-3</c:v>
                </c:pt>
                <c:pt idx="602">
                  <c:v>6.7320000000000001E-3</c:v>
                </c:pt>
                <c:pt idx="603">
                  <c:v>7.0990000000000003E-3</c:v>
                </c:pt>
                <c:pt idx="604">
                  <c:v>7.2500000000000004E-3</c:v>
                </c:pt>
                <c:pt idx="605">
                  <c:v>6.6550000000000003E-3</c:v>
                </c:pt>
                <c:pt idx="606">
                  <c:v>6.2469999999999999E-3</c:v>
                </c:pt>
                <c:pt idx="607">
                  <c:v>6.2269999999999999E-3</c:v>
                </c:pt>
                <c:pt idx="608">
                  <c:v>5.5469999999999998E-3</c:v>
                </c:pt>
                <c:pt idx="609">
                  <c:v>5.5079999999999999E-3</c:v>
                </c:pt>
                <c:pt idx="610">
                  <c:v>4.8960000000000002E-3</c:v>
                </c:pt>
                <c:pt idx="611">
                  <c:v>4.8710000000000003E-3</c:v>
                </c:pt>
                <c:pt idx="612">
                  <c:v>5.0639999999999999E-3</c:v>
                </c:pt>
                <c:pt idx="613">
                  <c:v>4.4669999999999996E-3</c:v>
                </c:pt>
                <c:pt idx="614">
                  <c:v>4.6090000000000002E-3</c:v>
                </c:pt>
                <c:pt idx="615">
                  <c:v>4.64E-3</c:v>
                </c:pt>
                <c:pt idx="616">
                  <c:v>4.2370000000000003E-3</c:v>
                </c:pt>
                <c:pt idx="617">
                  <c:v>4.5250000000000004E-3</c:v>
                </c:pt>
                <c:pt idx="618">
                  <c:v>4.5339999999999998E-3</c:v>
                </c:pt>
                <c:pt idx="619">
                  <c:v>4.4869999999999997E-3</c:v>
                </c:pt>
                <c:pt idx="620">
                  <c:v>4.4260000000000002E-3</c:v>
                </c:pt>
                <c:pt idx="621">
                  <c:v>4.4489999999999998E-3</c:v>
                </c:pt>
                <c:pt idx="622">
                  <c:v>4.3769999999999998E-3</c:v>
                </c:pt>
                <c:pt idx="623">
                  <c:v>4.4939999999999997E-3</c:v>
                </c:pt>
                <c:pt idx="624">
                  <c:v>4.4590000000000003E-3</c:v>
                </c:pt>
                <c:pt idx="625">
                  <c:v>4.2430000000000002E-3</c:v>
                </c:pt>
                <c:pt idx="626">
                  <c:v>4.1130000000000003E-3</c:v>
                </c:pt>
                <c:pt idx="627">
                  <c:v>4.1650000000000003E-3</c:v>
                </c:pt>
                <c:pt idx="628">
                  <c:v>4.5490000000000001E-3</c:v>
                </c:pt>
                <c:pt idx="629">
                  <c:v>4.7829999999999999E-3</c:v>
                </c:pt>
                <c:pt idx="630">
                  <c:v>4.5100000000000001E-3</c:v>
                </c:pt>
                <c:pt idx="631">
                  <c:v>4.2500000000000003E-3</c:v>
                </c:pt>
                <c:pt idx="632">
                  <c:v>4.4190000000000002E-3</c:v>
                </c:pt>
                <c:pt idx="633">
                  <c:v>4.444E-3</c:v>
                </c:pt>
                <c:pt idx="634">
                  <c:v>4.3319999999999999E-3</c:v>
                </c:pt>
                <c:pt idx="635">
                  <c:v>4.5149999999999999E-3</c:v>
                </c:pt>
                <c:pt idx="636">
                  <c:v>4.437E-3</c:v>
                </c:pt>
                <c:pt idx="637">
                  <c:v>4.3530000000000001E-3</c:v>
                </c:pt>
                <c:pt idx="638">
                  <c:v>4.7660000000000003E-3</c:v>
                </c:pt>
                <c:pt idx="639">
                  <c:v>4.287E-3</c:v>
                </c:pt>
                <c:pt idx="640">
                  <c:v>4.3559999999999996E-3</c:v>
                </c:pt>
                <c:pt idx="641">
                  <c:v>4.4799999999999996E-3</c:v>
                </c:pt>
                <c:pt idx="642">
                  <c:v>4.2160000000000001E-3</c:v>
                </c:pt>
                <c:pt idx="643">
                  <c:v>4.0850000000000001E-3</c:v>
                </c:pt>
                <c:pt idx="644">
                  <c:v>3.9519999999999998E-3</c:v>
                </c:pt>
                <c:pt idx="645">
                  <c:v>3.898E-3</c:v>
                </c:pt>
                <c:pt idx="646">
                  <c:v>3.6770000000000001E-3</c:v>
                </c:pt>
                <c:pt idx="647">
                  <c:v>3.6440000000000001E-3</c:v>
                </c:pt>
                <c:pt idx="648">
                  <c:v>3.9039999999999999E-3</c:v>
                </c:pt>
                <c:pt idx="649">
                  <c:v>3.9680000000000002E-3</c:v>
                </c:pt>
                <c:pt idx="650">
                  <c:v>3.7829999999999999E-3</c:v>
                </c:pt>
                <c:pt idx="651">
                  <c:v>3.8279999999999998E-3</c:v>
                </c:pt>
                <c:pt idx="652">
                  <c:v>3.6579999999999998E-3</c:v>
                </c:pt>
                <c:pt idx="653">
                  <c:v>3.6670000000000001E-3</c:v>
                </c:pt>
                <c:pt idx="654">
                  <c:v>3.6089999999999998E-3</c:v>
                </c:pt>
                <c:pt idx="655">
                  <c:v>3.6809999999999998E-3</c:v>
                </c:pt>
                <c:pt idx="656">
                  <c:v>3.679E-3</c:v>
                </c:pt>
                <c:pt idx="657">
                  <c:v>3.6080000000000001E-3</c:v>
                </c:pt>
                <c:pt idx="658">
                  <c:v>3.8660000000000001E-3</c:v>
                </c:pt>
                <c:pt idx="659">
                  <c:v>3.9789999999999999E-3</c:v>
                </c:pt>
                <c:pt idx="660">
                  <c:v>3.872E-3</c:v>
                </c:pt>
                <c:pt idx="661">
                  <c:v>3.643E-3</c:v>
                </c:pt>
                <c:pt idx="662">
                  <c:v>3.2299999999999998E-3</c:v>
                </c:pt>
                <c:pt idx="663">
                  <c:v>3.2450000000000001E-3</c:v>
                </c:pt>
                <c:pt idx="664">
                  <c:v>3.2599999999999999E-3</c:v>
                </c:pt>
                <c:pt idx="665">
                  <c:v>3.228E-3</c:v>
                </c:pt>
                <c:pt idx="666">
                  <c:v>3.153E-3</c:v>
                </c:pt>
                <c:pt idx="667">
                  <c:v>3.1080000000000001E-3</c:v>
                </c:pt>
                <c:pt idx="668">
                  <c:v>2.9329999999999998E-3</c:v>
                </c:pt>
                <c:pt idx="669">
                  <c:v>2.7209999999999999E-3</c:v>
                </c:pt>
                <c:pt idx="670">
                  <c:v>2.9689999999999999E-3</c:v>
                </c:pt>
                <c:pt idx="671">
                  <c:v>2.9979999999999998E-3</c:v>
                </c:pt>
                <c:pt idx="672">
                  <c:v>3.0790000000000001E-3</c:v>
                </c:pt>
                <c:pt idx="673">
                  <c:v>3.0560000000000001E-3</c:v>
                </c:pt>
                <c:pt idx="674">
                  <c:v>3.0599999999999998E-3</c:v>
                </c:pt>
                <c:pt idx="675">
                  <c:v>2.859E-3</c:v>
                </c:pt>
                <c:pt idx="676">
                  <c:v>2.6099999999999999E-3</c:v>
                </c:pt>
                <c:pt idx="677">
                  <c:v>2.8969999999999998E-3</c:v>
                </c:pt>
                <c:pt idx="678">
                  <c:v>2.8449999999999999E-3</c:v>
                </c:pt>
                <c:pt idx="679">
                  <c:v>2.9069999999999999E-3</c:v>
                </c:pt>
                <c:pt idx="680">
                  <c:v>2.5439999999999998E-3</c:v>
                </c:pt>
                <c:pt idx="681">
                  <c:v>2.467E-3</c:v>
                </c:pt>
                <c:pt idx="682">
                  <c:v>2.2599999999999999E-3</c:v>
                </c:pt>
                <c:pt idx="683">
                  <c:v>2.5240000000000002E-3</c:v>
                </c:pt>
                <c:pt idx="684">
                  <c:v>2.545E-3</c:v>
                </c:pt>
                <c:pt idx="685">
                  <c:v>2.823E-3</c:v>
                </c:pt>
                <c:pt idx="686">
                  <c:v>2.2829999999999999E-3</c:v>
                </c:pt>
                <c:pt idx="687">
                  <c:v>4.4619999999999998E-3</c:v>
                </c:pt>
                <c:pt idx="688">
                  <c:v>4.6909999999999999E-3</c:v>
                </c:pt>
                <c:pt idx="689">
                  <c:v>4.6740000000000002E-3</c:v>
                </c:pt>
                <c:pt idx="690">
                  <c:v>4.6979999999999999E-3</c:v>
                </c:pt>
                <c:pt idx="691">
                  <c:v>5.7879999999999997E-3</c:v>
                </c:pt>
                <c:pt idx="692">
                  <c:v>6.1399999999999996E-3</c:v>
                </c:pt>
                <c:pt idx="693">
                  <c:v>6.1289999999999999E-3</c:v>
                </c:pt>
                <c:pt idx="694">
                  <c:v>6.0350000000000004E-3</c:v>
                </c:pt>
                <c:pt idx="695">
                  <c:v>5.7730000000000004E-3</c:v>
                </c:pt>
                <c:pt idx="696">
                  <c:v>5.8370000000000002E-3</c:v>
                </c:pt>
                <c:pt idx="697">
                  <c:v>5.4270000000000004E-3</c:v>
                </c:pt>
                <c:pt idx="698">
                  <c:v>5.6150000000000002E-3</c:v>
                </c:pt>
                <c:pt idx="699">
                  <c:v>5.7499999999999999E-3</c:v>
                </c:pt>
                <c:pt idx="700">
                  <c:v>5.8060000000000004E-3</c:v>
                </c:pt>
                <c:pt idx="701">
                  <c:v>5.5539999999999999E-3</c:v>
                </c:pt>
                <c:pt idx="702">
                  <c:v>6.2110000000000004E-3</c:v>
                </c:pt>
                <c:pt idx="703">
                  <c:v>6.7130000000000002E-3</c:v>
                </c:pt>
                <c:pt idx="704">
                  <c:v>6.9550000000000002E-3</c:v>
                </c:pt>
                <c:pt idx="705">
                  <c:v>6.5929999999999999E-3</c:v>
                </c:pt>
                <c:pt idx="706">
                  <c:v>6.633E-3</c:v>
                </c:pt>
                <c:pt idx="707">
                  <c:v>6.4900000000000001E-3</c:v>
                </c:pt>
                <c:pt idx="708">
                  <c:v>6.4840000000000002E-3</c:v>
                </c:pt>
                <c:pt idx="709">
                  <c:v>7.058E-3</c:v>
                </c:pt>
                <c:pt idx="710">
                  <c:v>6.7429999999999999E-3</c:v>
                </c:pt>
                <c:pt idx="711">
                  <c:v>7.0809999999999996E-3</c:v>
                </c:pt>
                <c:pt idx="712">
                  <c:v>7.4700000000000001E-3</c:v>
                </c:pt>
                <c:pt idx="713">
                  <c:v>8.3009999999999994E-3</c:v>
                </c:pt>
                <c:pt idx="714">
                  <c:v>8.0590000000000002E-3</c:v>
                </c:pt>
                <c:pt idx="715">
                  <c:v>7.4700000000000001E-3</c:v>
                </c:pt>
                <c:pt idx="716">
                  <c:v>7.4850000000000003E-3</c:v>
                </c:pt>
                <c:pt idx="717">
                  <c:v>6.5100000000000002E-3</c:v>
                </c:pt>
                <c:pt idx="718">
                  <c:v>6.8250000000000003E-3</c:v>
                </c:pt>
                <c:pt idx="719">
                  <c:v>6.6689999999999996E-3</c:v>
                </c:pt>
                <c:pt idx="720">
                  <c:v>6.8170000000000001E-3</c:v>
                </c:pt>
                <c:pt idx="721">
                  <c:v>6.7999999999999996E-3</c:v>
                </c:pt>
                <c:pt idx="722">
                  <c:v>6.4720000000000003E-3</c:v>
                </c:pt>
                <c:pt idx="723">
                  <c:v>6.5319999999999996E-3</c:v>
                </c:pt>
                <c:pt idx="724">
                  <c:v>6.3039999999999997E-3</c:v>
                </c:pt>
                <c:pt idx="725">
                  <c:v>6.2290000000000002E-3</c:v>
                </c:pt>
                <c:pt idx="726">
                  <c:v>5.9969999999999997E-3</c:v>
                </c:pt>
                <c:pt idx="727">
                  <c:v>5.7660000000000003E-3</c:v>
                </c:pt>
                <c:pt idx="728">
                  <c:v>5.6870000000000002E-3</c:v>
                </c:pt>
                <c:pt idx="729">
                  <c:v>5.7330000000000002E-3</c:v>
                </c:pt>
                <c:pt idx="730">
                  <c:v>5.7999999999999996E-3</c:v>
                </c:pt>
                <c:pt idx="731">
                  <c:v>5.7479999999999996E-3</c:v>
                </c:pt>
                <c:pt idx="732">
                  <c:v>5.7299999999999999E-3</c:v>
                </c:pt>
                <c:pt idx="733">
                  <c:v>5.6230000000000004E-3</c:v>
                </c:pt>
                <c:pt idx="734">
                  <c:v>5.5799999999999999E-3</c:v>
                </c:pt>
                <c:pt idx="735">
                  <c:v>5.607E-3</c:v>
                </c:pt>
                <c:pt idx="736">
                  <c:v>5.8630000000000002E-3</c:v>
                </c:pt>
                <c:pt idx="737">
                  <c:v>5.9639999999999997E-3</c:v>
                </c:pt>
                <c:pt idx="738">
                  <c:v>5.8139999999999997E-3</c:v>
                </c:pt>
                <c:pt idx="739">
                  <c:v>5.862E-3</c:v>
                </c:pt>
                <c:pt idx="740">
                  <c:v>6.2389999999999998E-3</c:v>
                </c:pt>
                <c:pt idx="741">
                  <c:v>6.3920000000000001E-3</c:v>
                </c:pt>
                <c:pt idx="742">
                  <c:v>5.8849999999999996E-3</c:v>
                </c:pt>
                <c:pt idx="743">
                  <c:v>6.0029999999999997E-3</c:v>
                </c:pt>
                <c:pt idx="744">
                  <c:v>5.9940000000000002E-3</c:v>
                </c:pt>
                <c:pt idx="745">
                  <c:v>5.4070000000000003E-3</c:v>
                </c:pt>
                <c:pt idx="746">
                  <c:v>5.5230000000000001E-3</c:v>
                </c:pt>
                <c:pt idx="747">
                  <c:v>5.5259999999999997E-3</c:v>
                </c:pt>
                <c:pt idx="748">
                  <c:v>5.4539999999999996E-3</c:v>
                </c:pt>
                <c:pt idx="749">
                  <c:v>5.3189999999999999E-3</c:v>
                </c:pt>
                <c:pt idx="750">
                  <c:v>5.4920000000000004E-3</c:v>
                </c:pt>
                <c:pt idx="751">
                  <c:v>5.5779999999999996E-3</c:v>
                </c:pt>
                <c:pt idx="752">
                  <c:v>5.7299999999999999E-3</c:v>
                </c:pt>
                <c:pt idx="753">
                  <c:v>5.4650000000000002E-3</c:v>
                </c:pt>
                <c:pt idx="754">
                  <c:v>5.62E-3</c:v>
                </c:pt>
                <c:pt idx="755">
                  <c:v>5.3270000000000001E-3</c:v>
                </c:pt>
                <c:pt idx="756">
                  <c:v>5.0939999999999996E-3</c:v>
                </c:pt>
                <c:pt idx="757">
                  <c:v>5.3579999999999999E-3</c:v>
                </c:pt>
                <c:pt idx="758">
                  <c:v>5.2420000000000001E-3</c:v>
                </c:pt>
                <c:pt idx="759">
                  <c:v>5.4270000000000004E-3</c:v>
                </c:pt>
                <c:pt idx="760">
                  <c:v>5.5760000000000002E-3</c:v>
                </c:pt>
                <c:pt idx="761">
                  <c:v>5.666E-3</c:v>
                </c:pt>
                <c:pt idx="762">
                  <c:v>5.6649999999999999E-3</c:v>
                </c:pt>
                <c:pt idx="763">
                  <c:v>5.4850000000000003E-3</c:v>
                </c:pt>
                <c:pt idx="764">
                  <c:v>5.8479999999999999E-3</c:v>
                </c:pt>
                <c:pt idx="765">
                  <c:v>5.9740000000000001E-3</c:v>
                </c:pt>
                <c:pt idx="766">
                  <c:v>5.9170000000000004E-3</c:v>
                </c:pt>
                <c:pt idx="767">
                  <c:v>5.5139999999999998E-3</c:v>
                </c:pt>
                <c:pt idx="768">
                  <c:v>5.3160000000000004E-3</c:v>
                </c:pt>
                <c:pt idx="769">
                  <c:v>5.3949999999999996E-3</c:v>
                </c:pt>
                <c:pt idx="770">
                  <c:v>5.0499999999999998E-3</c:v>
                </c:pt>
                <c:pt idx="771">
                  <c:v>5.3090000000000004E-3</c:v>
                </c:pt>
                <c:pt idx="772">
                  <c:v>4.6439999999999997E-3</c:v>
                </c:pt>
                <c:pt idx="773">
                  <c:v>5.0340000000000003E-3</c:v>
                </c:pt>
                <c:pt idx="774">
                  <c:v>5.5690000000000002E-3</c:v>
                </c:pt>
                <c:pt idx="775">
                  <c:v>5.4510000000000001E-3</c:v>
                </c:pt>
                <c:pt idx="776">
                  <c:v>5.8919999999999997E-3</c:v>
                </c:pt>
                <c:pt idx="777">
                  <c:v>6.2110000000000004E-3</c:v>
                </c:pt>
                <c:pt idx="778">
                  <c:v>6.0730000000000003E-3</c:v>
                </c:pt>
                <c:pt idx="779">
                  <c:v>6.2160000000000002E-3</c:v>
                </c:pt>
                <c:pt idx="780">
                  <c:v>6.8279999999999999E-3</c:v>
                </c:pt>
                <c:pt idx="781">
                  <c:v>7.1269999999999997E-3</c:v>
                </c:pt>
                <c:pt idx="782">
                  <c:v>6.8019999999999999E-3</c:v>
                </c:pt>
                <c:pt idx="783">
                  <c:v>6.9449999999999998E-3</c:v>
                </c:pt>
                <c:pt idx="784">
                  <c:v>6.8719999999999996E-3</c:v>
                </c:pt>
                <c:pt idx="785">
                  <c:v>6.8840000000000004E-3</c:v>
                </c:pt>
                <c:pt idx="786">
                  <c:v>6.9690000000000004E-3</c:v>
                </c:pt>
                <c:pt idx="787">
                  <c:v>7.4180000000000001E-3</c:v>
                </c:pt>
                <c:pt idx="788">
                  <c:v>7.1029999999999999E-3</c:v>
                </c:pt>
                <c:pt idx="789">
                  <c:v>6.0850000000000001E-3</c:v>
                </c:pt>
                <c:pt idx="790">
                  <c:v>6.4790000000000004E-3</c:v>
                </c:pt>
                <c:pt idx="791">
                  <c:v>6.352E-3</c:v>
                </c:pt>
                <c:pt idx="792">
                  <c:v>6.496E-3</c:v>
                </c:pt>
                <c:pt idx="793">
                  <c:v>6.3330000000000001E-3</c:v>
                </c:pt>
                <c:pt idx="794">
                  <c:v>5.829E-3</c:v>
                </c:pt>
                <c:pt idx="795">
                  <c:v>5.2440000000000004E-3</c:v>
                </c:pt>
                <c:pt idx="796">
                  <c:v>5.7559999999999998E-3</c:v>
                </c:pt>
                <c:pt idx="797">
                  <c:v>5.1659999999999996E-3</c:v>
                </c:pt>
                <c:pt idx="798">
                  <c:v>5.7250000000000001E-3</c:v>
                </c:pt>
                <c:pt idx="799">
                  <c:v>6.1330000000000004E-3</c:v>
                </c:pt>
                <c:pt idx="800">
                  <c:v>6.8799999999999998E-3</c:v>
                </c:pt>
                <c:pt idx="801">
                  <c:v>7.3879999999999996E-3</c:v>
                </c:pt>
                <c:pt idx="802">
                  <c:v>7.6579999999999999E-3</c:v>
                </c:pt>
                <c:pt idx="803">
                  <c:v>7.2500000000000004E-3</c:v>
                </c:pt>
                <c:pt idx="804">
                  <c:v>7.8209999999999998E-3</c:v>
                </c:pt>
                <c:pt idx="805">
                  <c:v>7.2940000000000001E-3</c:v>
                </c:pt>
                <c:pt idx="806">
                  <c:v>6.2789999999999999E-3</c:v>
                </c:pt>
                <c:pt idx="807">
                  <c:v>6.5430000000000002E-3</c:v>
                </c:pt>
                <c:pt idx="808">
                  <c:v>6.0600000000000003E-3</c:v>
                </c:pt>
                <c:pt idx="809">
                  <c:v>5.7390000000000002E-3</c:v>
                </c:pt>
                <c:pt idx="810">
                  <c:v>5.1219999999999998E-3</c:v>
                </c:pt>
                <c:pt idx="811">
                  <c:v>5.3049999999999998E-3</c:v>
                </c:pt>
                <c:pt idx="812">
                  <c:v>5.6160000000000003E-3</c:v>
                </c:pt>
                <c:pt idx="813">
                  <c:v>5.2399999999999999E-3</c:v>
                </c:pt>
                <c:pt idx="814">
                  <c:v>4.8910000000000004E-3</c:v>
                </c:pt>
                <c:pt idx="815">
                  <c:v>4.3860000000000001E-3</c:v>
                </c:pt>
                <c:pt idx="816">
                  <c:v>4.2339999999999999E-3</c:v>
                </c:pt>
                <c:pt idx="817">
                  <c:v>4.2040000000000003E-3</c:v>
                </c:pt>
                <c:pt idx="818">
                  <c:v>3.9810000000000002E-3</c:v>
                </c:pt>
                <c:pt idx="819">
                  <c:v>4.0969999999999999E-3</c:v>
                </c:pt>
                <c:pt idx="820">
                  <c:v>4.1349999999999998E-3</c:v>
                </c:pt>
                <c:pt idx="821">
                  <c:v>4.2199999999999998E-3</c:v>
                </c:pt>
                <c:pt idx="822">
                  <c:v>3.8E-3</c:v>
                </c:pt>
                <c:pt idx="823">
                  <c:v>4.1229999999999999E-3</c:v>
                </c:pt>
                <c:pt idx="824">
                  <c:v>3.3800000000000002E-3</c:v>
                </c:pt>
                <c:pt idx="825">
                  <c:v>3.3760000000000001E-3</c:v>
                </c:pt>
                <c:pt idx="826">
                  <c:v>2.9979999999999998E-3</c:v>
                </c:pt>
                <c:pt idx="827">
                  <c:v>2.9949999999999998E-3</c:v>
                </c:pt>
                <c:pt idx="828">
                  <c:v>3.258E-3</c:v>
                </c:pt>
                <c:pt idx="829">
                  <c:v>3.326E-3</c:v>
                </c:pt>
                <c:pt idx="830">
                  <c:v>3.3639999999999998E-3</c:v>
                </c:pt>
                <c:pt idx="831">
                  <c:v>3.336E-3</c:v>
                </c:pt>
                <c:pt idx="832">
                  <c:v>3.375E-3</c:v>
                </c:pt>
                <c:pt idx="833">
                  <c:v>3.4350000000000001E-3</c:v>
                </c:pt>
                <c:pt idx="834">
                  <c:v>3.32E-3</c:v>
                </c:pt>
                <c:pt idx="835">
                  <c:v>3.444E-3</c:v>
                </c:pt>
                <c:pt idx="836">
                  <c:v>3.6319999999999998E-3</c:v>
                </c:pt>
                <c:pt idx="837">
                  <c:v>3.5839999999999999E-3</c:v>
                </c:pt>
                <c:pt idx="838">
                  <c:v>3.679E-3</c:v>
                </c:pt>
                <c:pt idx="839">
                  <c:v>3.6350000000000002E-3</c:v>
                </c:pt>
                <c:pt idx="840">
                  <c:v>3.7369999999999999E-3</c:v>
                </c:pt>
                <c:pt idx="841">
                  <c:v>3.8140000000000001E-3</c:v>
                </c:pt>
                <c:pt idx="842">
                  <c:v>3.5839999999999999E-3</c:v>
                </c:pt>
                <c:pt idx="843">
                  <c:v>3.4770000000000001E-3</c:v>
                </c:pt>
                <c:pt idx="844">
                  <c:v>3.3509999999999998E-3</c:v>
                </c:pt>
                <c:pt idx="845">
                  <c:v>3.4160000000000002E-3</c:v>
                </c:pt>
                <c:pt idx="846">
                  <c:v>3.437E-3</c:v>
                </c:pt>
                <c:pt idx="847">
                  <c:v>3.4199999999999999E-3</c:v>
                </c:pt>
                <c:pt idx="848">
                  <c:v>3.4740000000000001E-3</c:v>
                </c:pt>
                <c:pt idx="849">
                  <c:v>3.4199999999999999E-3</c:v>
                </c:pt>
                <c:pt idx="850">
                  <c:v>3.4749999999999998E-3</c:v>
                </c:pt>
                <c:pt idx="851">
                  <c:v>3.339E-3</c:v>
                </c:pt>
                <c:pt idx="852">
                  <c:v>3.434E-3</c:v>
                </c:pt>
                <c:pt idx="853">
                  <c:v>3.3899999999999998E-3</c:v>
                </c:pt>
                <c:pt idx="854">
                  <c:v>3.3089999999999999E-3</c:v>
                </c:pt>
                <c:pt idx="855">
                  <c:v>3.4020000000000001E-3</c:v>
                </c:pt>
                <c:pt idx="856">
                  <c:v>3.3270000000000001E-3</c:v>
                </c:pt>
                <c:pt idx="857">
                  <c:v>3.9060000000000002E-3</c:v>
                </c:pt>
                <c:pt idx="858">
                  <c:v>4.0350000000000004E-3</c:v>
                </c:pt>
                <c:pt idx="859">
                  <c:v>4.1349999999999998E-3</c:v>
                </c:pt>
                <c:pt idx="860">
                  <c:v>4.1790000000000004E-3</c:v>
                </c:pt>
                <c:pt idx="861">
                  <c:v>4.2059999999999997E-3</c:v>
                </c:pt>
                <c:pt idx="862">
                  <c:v>4.28E-3</c:v>
                </c:pt>
                <c:pt idx="863">
                  <c:v>4.1850000000000004E-3</c:v>
                </c:pt>
                <c:pt idx="864">
                  <c:v>4.032E-3</c:v>
                </c:pt>
                <c:pt idx="865">
                  <c:v>3.7160000000000001E-3</c:v>
                </c:pt>
                <c:pt idx="866">
                  <c:v>3.6600000000000001E-3</c:v>
                </c:pt>
                <c:pt idx="867">
                  <c:v>3.7320000000000001E-3</c:v>
                </c:pt>
                <c:pt idx="868">
                  <c:v>3.7420000000000001E-3</c:v>
                </c:pt>
                <c:pt idx="869">
                  <c:v>3.7620000000000002E-3</c:v>
                </c:pt>
                <c:pt idx="870">
                  <c:v>3.9119999999999997E-3</c:v>
                </c:pt>
                <c:pt idx="871">
                  <c:v>3.9659999999999999E-3</c:v>
                </c:pt>
                <c:pt idx="872">
                  <c:v>3.9960000000000004E-3</c:v>
                </c:pt>
                <c:pt idx="873">
                  <c:v>3.8379999999999998E-3</c:v>
                </c:pt>
                <c:pt idx="874">
                  <c:v>3.741E-3</c:v>
                </c:pt>
                <c:pt idx="875">
                  <c:v>3.9139999999999999E-3</c:v>
                </c:pt>
                <c:pt idx="876">
                  <c:v>4.1390000000000003E-3</c:v>
                </c:pt>
                <c:pt idx="877">
                  <c:v>4.2700000000000004E-3</c:v>
                </c:pt>
                <c:pt idx="878">
                  <c:v>4.3600000000000002E-3</c:v>
                </c:pt>
                <c:pt idx="879">
                  <c:v>4.0949999999999997E-3</c:v>
                </c:pt>
                <c:pt idx="880">
                  <c:v>4.0899999999999999E-3</c:v>
                </c:pt>
                <c:pt idx="881">
                  <c:v>4.0749999999999996E-3</c:v>
                </c:pt>
                <c:pt idx="882">
                  <c:v>4.0749999999999996E-3</c:v>
                </c:pt>
                <c:pt idx="883">
                  <c:v>4.2379999999999996E-3</c:v>
                </c:pt>
                <c:pt idx="884">
                  <c:v>4.5399999999999998E-3</c:v>
                </c:pt>
                <c:pt idx="885">
                  <c:v>4.5560000000000002E-3</c:v>
                </c:pt>
                <c:pt idx="886">
                  <c:v>4.4809999999999997E-3</c:v>
                </c:pt>
                <c:pt idx="887">
                  <c:v>4.9049999999999996E-3</c:v>
                </c:pt>
                <c:pt idx="888">
                  <c:v>4.594E-3</c:v>
                </c:pt>
                <c:pt idx="889">
                  <c:v>4.4650000000000002E-3</c:v>
                </c:pt>
                <c:pt idx="890">
                  <c:v>4.3689999999999996E-3</c:v>
                </c:pt>
                <c:pt idx="891">
                  <c:v>4.5500000000000002E-3</c:v>
                </c:pt>
                <c:pt idx="892">
                  <c:v>4.6600000000000001E-3</c:v>
                </c:pt>
                <c:pt idx="893">
                  <c:v>4.4949999999999999E-3</c:v>
                </c:pt>
                <c:pt idx="894">
                  <c:v>4.4539999999999996E-3</c:v>
                </c:pt>
                <c:pt idx="895">
                  <c:v>4.4929999999999996E-3</c:v>
                </c:pt>
                <c:pt idx="896">
                  <c:v>4.5799999999999999E-3</c:v>
                </c:pt>
                <c:pt idx="897">
                  <c:v>4.6299999999999996E-3</c:v>
                </c:pt>
                <c:pt idx="898">
                  <c:v>4.9150000000000001E-3</c:v>
                </c:pt>
                <c:pt idx="899">
                  <c:v>5.1130000000000004E-3</c:v>
                </c:pt>
                <c:pt idx="900">
                  <c:v>5.1139999999999996E-3</c:v>
                </c:pt>
                <c:pt idx="901">
                  <c:v>4.9100000000000003E-3</c:v>
                </c:pt>
                <c:pt idx="902">
                  <c:v>4.9059999999999998E-3</c:v>
                </c:pt>
                <c:pt idx="903">
                  <c:v>4.9750000000000003E-3</c:v>
                </c:pt>
                <c:pt idx="904">
                  <c:v>5.0140000000000002E-3</c:v>
                </c:pt>
                <c:pt idx="905">
                  <c:v>4.8739999999999999E-3</c:v>
                </c:pt>
                <c:pt idx="906">
                  <c:v>5.2350000000000001E-3</c:v>
                </c:pt>
                <c:pt idx="907">
                  <c:v>5.3200000000000001E-3</c:v>
                </c:pt>
                <c:pt idx="908">
                  <c:v>5.4799999999999996E-3</c:v>
                </c:pt>
                <c:pt idx="909">
                  <c:v>5.4809999999999998E-3</c:v>
                </c:pt>
                <c:pt idx="910">
                  <c:v>5.4089999999999997E-3</c:v>
                </c:pt>
                <c:pt idx="911">
                  <c:v>5.6100000000000004E-3</c:v>
                </c:pt>
                <c:pt idx="912">
                  <c:v>5.5310000000000003E-3</c:v>
                </c:pt>
                <c:pt idx="913">
                  <c:v>5.574E-3</c:v>
                </c:pt>
                <c:pt idx="914">
                  <c:v>5.6449999999999998E-3</c:v>
                </c:pt>
                <c:pt idx="915">
                  <c:v>5.6969999999999998E-3</c:v>
                </c:pt>
                <c:pt idx="916">
                  <c:v>5.9350000000000002E-3</c:v>
                </c:pt>
                <c:pt idx="917">
                  <c:v>5.855E-3</c:v>
                </c:pt>
                <c:pt idx="918">
                  <c:v>5.9049999999999997E-3</c:v>
                </c:pt>
                <c:pt idx="919">
                  <c:v>5.8279999999999998E-3</c:v>
                </c:pt>
                <c:pt idx="920">
                  <c:v>6.1970000000000003E-3</c:v>
                </c:pt>
                <c:pt idx="921">
                  <c:v>6.0870000000000004E-3</c:v>
                </c:pt>
                <c:pt idx="922">
                  <c:v>6.0670000000000003E-3</c:v>
                </c:pt>
                <c:pt idx="923">
                  <c:v>5.8310000000000002E-3</c:v>
                </c:pt>
                <c:pt idx="924">
                  <c:v>5.6829999999999997E-3</c:v>
                </c:pt>
                <c:pt idx="925">
                  <c:v>5.4299999999999999E-3</c:v>
                </c:pt>
                <c:pt idx="926">
                  <c:v>5.2160000000000002E-3</c:v>
                </c:pt>
                <c:pt idx="927">
                  <c:v>5.6259999999999999E-3</c:v>
                </c:pt>
                <c:pt idx="928">
                  <c:v>5.6540000000000002E-3</c:v>
                </c:pt>
                <c:pt idx="929">
                  <c:v>6.4679999999999998E-3</c:v>
                </c:pt>
                <c:pt idx="930">
                  <c:v>6.868E-3</c:v>
                </c:pt>
                <c:pt idx="931">
                  <c:v>6.0130000000000001E-3</c:v>
                </c:pt>
                <c:pt idx="932">
                  <c:v>6.9430000000000004E-3</c:v>
                </c:pt>
                <c:pt idx="933">
                  <c:v>7.241E-3</c:v>
                </c:pt>
                <c:pt idx="934">
                  <c:v>7.221E-3</c:v>
                </c:pt>
                <c:pt idx="935">
                  <c:v>7.456E-3</c:v>
                </c:pt>
                <c:pt idx="936">
                  <c:v>7.4669999999999997E-3</c:v>
                </c:pt>
                <c:pt idx="937">
                  <c:v>7.4419999999999998E-3</c:v>
                </c:pt>
                <c:pt idx="938">
                  <c:v>7.2899999999999996E-3</c:v>
                </c:pt>
                <c:pt idx="939">
                  <c:v>7.8390000000000005E-3</c:v>
                </c:pt>
                <c:pt idx="940">
                  <c:v>7.6160000000000004E-3</c:v>
                </c:pt>
                <c:pt idx="941">
                  <c:v>8.0859999999999994E-3</c:v>
                </c:pt>
                <c:pt idx="942">
                  <c:v>8.1960000000000002E-3</c:v>
                </c:pt>
                <c:pt idx="943">
                  <c:v>9.1210000000000006E-3</c:v>
                </c:pt>
                <c:pt idx="944">
                  <c:v>8.3409999999999995E-3</c:v>
                </c:pt>
                <c:pt idx="945">
                  <c:v>7.842E-3</c:v>
                </c:pt>
                <c:pt idx="946">
                  <c:v>8.1189999999999995E-3</c:v>
                </c:pt>
                <c:pt idx="947">
                  <c:v>9.3270000000000002E-3</c:v>
                </c:pt>
                <c:pt idx="948">
                  <c:v>7.1040000000000001E-3</c:v>
                </c:pt>
                <c:pt idx="949">
                  <c:v>7.2179999999999996E-3</c:v>
                </c:pt>
                <c:pt idx="950">
                  <c:v>6.9969999999999997E-3</c:v>
                </c:pt>
                <c:pt idx="951">
                  <c:v>6.7320000000000001E-3</c:v>
                </c:pt>
                <c:pt idx="952">
                  <c:v>6.8739999999999999E-3</c:v>
                </c:pt>
                <c:pt idx="953">
                  <c:v>7.3020000000000003E-3</c:v>
                </c:pt>
                <c:pt idx="954">
                  <c:v>7.365E-3</c:v>
                </c:pt>
                <c:pt idx="955">
                  <c:v>7.3689999999999997E-3</c:v>
                </c:pt>
                <c:pt idx="956">
                  <c:v>7.2570000000000004E-3</c:v>
                </c:pt>
                <c:pt idx="957">
                  <c:v>7.3330000000000001E-3</c:v>
                </c:pt>
                <c:pt idx="958">
                  <c:v>7.2709999999999997E-3</c:v>
                </c:pt>
                <c:pt idx="959">
                  <c:v>7.5589999999999997E-3</c:v>
                </c:pt>
                <c:pt idx="960">
                  <c:v>7.5760000000000003E-3</c:v>
                </c:pt>
                <c:pt idx="961">
                  <c:v>7.4400000000000004E-3</c:v>
                </c:pt>
                <c:pt idx="962">
                  <c:v>7.7029999999999998E-3</c:v>
                </c:pt>
                <c:pt idx="963">
                  <c:v>7.2290000000000002E-3</c:v>
                </c:pt>
                <c:pt idx="964">
                  <c:v>7.607E-3</c:v>
                </c:pt>
                <c:pt idx="965">
                  <c:v>7.7039999999999999E-3</c:v>
                </c:pt>
                <c:pt idx="966">
                  <c:v>7.6800000000000002E-3</c:v>
                </c:pt>
                <c:pt idx="967">
                  <c:v>7.6519999999999999E-3</c:v>
                </c:pt>
                <c:pt idx="968">
                  <c:v>7.4149999999999997E-3</c:v>
                </c:pt>
                <c:pt idx="969">
                  <c:v>7.1700000000000002E-3</c:v>
                </c:pt>
                <c:pt idx="970">
                  <c:v>7.724E-3</c:v>
                </c:pt>
                <c:pt idx="971">
                  <c:v>7.404E-3</c:v>
                </c:pt>
                <c:pt idx="972">
                  <c:v>7.6559999999999996E-3</c:v>
                </c:pt>
                <c:pt idx="973">
                  <c:v>7.4700000000000001E-3</c:v>
                </c:pt>
                <c:pt idx="974">
                  <c:v>7.6439999999999998E-3</c:v>
                </c:pt>
                <c:pt idx="975">
                  <c:v>7.7739999999999997E-3</c:v>
                </c:pt>
                <c:pt idx="976">
                  <c:v>7.9699999999999997E-3</c:v>
                </c:pt>
                <c:pt idx="977">
                  <c:v>7.5230000000000002E-3</c:v>
                </c:pt>
                <c:pt idx="978">
                  <c:v>7.3439999999999998E-3</c:v>
                </c:pt>
                <c:pt idx="979">
                  <c:v>7.3610000000000004E-3</c:v>
                </c:pt>
                <c:pt idx="980">
                  <c:v>7.45E-3</c:v>
                </c:pt>
                <c:pt idx="981">
                  <c:v>7.11E-3</c:v>
                </c:pt>
                <c:pt idx="982">
                  <c:v>7.7029999999999998E-3</c:v>
                </c:pt>
                <c:pt idx="983">
                  <c:v>7.6649999999999999E-3</c:v>
                </c:pt>
                <c:pt idx="984">
                  <c:v>7.8790000000000006E-3</c:v>
                </c:pt>
                <c:pt idx="985">
                  <c:v>7.7289999999999998E-3</c:v>
                </c:pt>
                <c:pt idx="986">
                  <c:v>7.5500000000000003E-3</c:v>
                </c:pt>
                <c:pt idx="987">
                  <c:v>8.1600000000000006E-3</c:v>
                </c:pt>
                <c:pt idx="988">
                  <c:v>7.9150000000000002E-3</c:v>
                </c:pt>
                <c:pt idx="989">
                  <c:v>7.0400000000000003E-3</c:v>
                </c:pt>
                <c:pt idx="990">
                  <c:v>6.3670000000000003E-3</c:v>
                </c:pt>
                <c:pt idx="991">
                  <c:v>6.1110000000000001E-3</c:v>
                </c:pt>
                <c:pt idx="992">
                  <c:v>6.3150000000000003E-3</c:v>
                </c:pt>
                <c:pt idx="993">
                  <c:v>6.1050000000000002E-3</c:v>
                </c:pt>
                <c:pt idx="994">
                  <c:v>6.0309999999999999E-3</c:v>
                </c:pt>
                <c:pt idx="995">
                  <c:v>6.2740000000000001E-3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F3-44F7-A5D2-F579D25B1B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942.81419528856395</c:v>
                </c:pt>
                <c:pt idx="1">
                  <c:v>943.33229885251922</c:v>
                </c:pt>
                <c:pt idx="2">
                  <c:v>950.08341767345394</c:v>
                </c:pt>
                <c:pt idx="3">
                  <c:v>943.40129448968923</c:v>
                </c:pt>
                <c:pt idx="4">
                  <c:v>930.58336528455379</c:v>
                </c:pt>
                <c:pt idx="5">
                  <c:v>926.54180688930546</c:v>
                </c:pt>
                <c:pt idx="6">
                  <c:v>927.73452813005542</c:v>
                </c:pt>
                <c:pt idx="7">
                  <c:v>938.17154435153782</c:v>
                </c:pt>
                <c:pt idx="8">
                  <c:v>942.82983105148628</c:v>
                </c:pt>
                <c:pt idx="9">
                  <c:v>946.00537223781828</c:v>
                </c:pt>
                <c:pt idx="10">
                  <c:v>945.85340626419804</c:v>
                </c:pt>
                <c:pt idx="11">
                  <c:v>947.65392419875525</c:v>
                </c:pt>
                <c:pt idx="12">
                  <c:v>947.66543319631671</c:v>
                </c:pt>
                <c:pt idx="13">
                  <c:v>948.32612492838405</c:v>
                </c:pt>
                <c:pt idx="14">
                  <c:v>945.48757591640242</c:v>
                </c:pt>
                <c:pt idx="15">
                  <c:v>950.14225964973048</c:v>
                </c:pt>
                <c:pt idx="16">
                  <c:v>944.45295238277617</c:v>
                </c:pt>
                <c:pt idx="17">
                  <c:v>939.94885100014335</c:v>
                </c:pt>
                <c:pt idx="18">
                  <c:v>940.42922527043334</c:v>
                </c:pt>
                <c:pt idx="19">
                  <c:v>940.67717775446454</c:v>
                </c:pt>
                <c:pt idx="20">
                  <c:v>942.00303670854078</c:v>
                </c:pt>
                <c:pt idx="21">
                  <c:v>944.57181158196215</c:v>
                </c:pt>
                <c:pt idx="22">
                  <c:v>944.83976780716648</c:v>
                </c:pt>
                <c:pt idx="23">
                  <c:v>950.20558569397849</c:v>
                </c:pt>
                <c:pt idx="24">
                  <c:v>951.93401481843352</c:v>
                </c:pt>
                <c:pt idx="25">
                  <c:v>953.57519352648546</c:v>
                </c:pt>
                <c:pt idx="26">
                  <c:v>952.9590038146481</c:v>
                </c:pt>
                <c:pt idx="27">
                  <c:v>950.38998418872791</c:v>
                </c:pt>
                <c:pt idx="28">
                  <c:v>952.54757884276455</c:v>
                </c:pt>
                <c:pt idx="29">
                  <c:v>950.79175728274765</c:v>
                </c:pt>
                <c:pt idx="30">
                  <c:v>956.65574744816752</c:v>
                </c:pt>
                <c:pt idx="31">
                  <c:v>965.19047089588901</c:v>
                </c:pt>
                <c:pt idx="32">
                  <c:v>967.23757404568482</c:v>
                </c:pt>
                <c:pt idx="33">
                  <c:v>964.09366453201289</c:v>
                </c:pt>
                <c:pt idx="34">
                  <c:v>961.60146180411834</c:v>
                </c:pt>
                <c:pt idx="35">
                  <c:v>965.52072725058486</c:v>
                </c:pt>
                <c:pt idx="36">
                  <c:v>959.67970851532198</c:v>
                </c:pt>
                <c:pt idx="37">
                  <c:v>957.20211638124192</c:v>
                </c:pt>
                <c:pt idx="38">
                  <c:v>953.2522030174224</c:v>
                </c:pt>
                <c:pt idx="39">
                  <c:v>951.52944179377994</c:v>
                </c:pt>
                <c:pt idx="40">
                  <c:v>955.60120551837417</c:v>
                </c:pt>
                <c:pt idx="41">
                  <c:v>951.68524456972455</c:v>
                </c:pt>
                <c:pt idx="42">
                  <c:v>953.50685655992936</c:v>
                </c:pt>
                <c:pt idx="43">
                  <c:v>959.01674392809105</c:v>
                </c:pt>
                <c:pt idx="44">
                  <c:v>953.01527627732003</c:v>
                </c:pt>
                <c:pt idx="45">
                  <c:v>948.96958618231986</c:v>
                </c:pt>
                <c:pt idx="46">
                  <c:v>955.60165086128336</c:v>
                </c:pt>
                <c:pt idx="47">
                  <c:v>953.0252483284595</c:v>
                </c:pt>
                <c:pt idx="48">
                  <c:v>952.49171725760959</c:v>
                </c:pt>
                <c:pt idx="49">
                  <c:v>959.78398981539806</c:v>
                </c:pt>
                <c:pt idx="50">
                  <c:v>967.52986729432052</c:v>
                </c:pt>
                <c:pt idx="51">
                  <c:v>961.98129120514875</c:v>
                </c:pt>
                <c:pt idx="52">
                  <c:v>967.72139250678276</c:v>
                </c:pt>
                <c:pt idx="53">
                  <c:v>953.68431041247027</c:v>
                </c:pt>
                <c:pt idx="54">
                  <c:v>958.02279617255056</c:v>
                </c:pt>
                <c:pt idx="55">
                  <c:v>948.69321703614798</c:v>
                </c:pt>
                <c:pt idx="56">
                  <c:v>953.0799810989447</c:v>
                </c:pt>
                <c:pt idx="57">
                  <c:v>954.42635556745563</c:v>
                </c:pt>
                <c:pt idx="58">
                  <c:v>959.86809187388724</c:v>
                </c:pt>
                <c:pt idx="59">
                  <c:v>962.65154150193814</c:v>
                </c:pt>
                <c:pt idx="60">
                  <c:v>956.12630443997239</c:v>
                </c:pt>
                <c:pt idx="61">
                  <c:v>946.06731570463955</c:v>
                </c:pt>
                <c:pt idx="62">
                  <c:v>949.15020999497915</c:v>
                </c:pt>
                <c:pt idx="63">
                  <c:v>959.60984312676169</c:v>
                </c:pt>
                <c:pt idx="64">
                  <c:v>958.49300772399852</c:v>
                </c:pt>
                <c:pt idx="65">
                  <c:v>960.27232312708725</c:v>
                </c:pt>
                <c:pt idx="66">
                  <c:v>953.75545422083758</c:v>
                </c:pt>
                <c:pt idx="67">
                  <c:v>959.03273966871848</c:v>
                </c:pt>
                <c:pt idx="68">
                  <c:v>964.6707613361483</c:v>
                </c:pt>
                <c:pt idx="69">
                  <c:v>960.2486675253009</c:v>
                </c:pt>
                <c:pt idx="70">
                  <c:v>952.44003513029236</c:v>
                </c:pt>
                <c:pt idx="71">
                  <c:v>961.11617681189841</c:v>
                </c:pt>
                <c:pt idx="72">
                  <c:v>953.83973696139083</c:v>
                </c:pt>
                <c:pt idx="73">
                  <c:v>960.89714094770716</c:v>
                </c:pt>
                <c:pt idx="74">
                  <c:v>972.5943179861589</c:v>
                </c:pt>
                <c:pt idx="75">
                  <c:v>968.91078340609147</c:v>
                </c:pt>
                <c:pt idx="76">
                  <c:v>968.32186834134836</c:v>
                </c:pt>
                <c:pt idx="77">
                  <c:v>968.01402600746178</c:v>
                </c:pt>
                <c:pt idx="78">
                  <c:v>966.02658117355008</c:v>
                </c:pt>
                <c:pt idx="79">
                  <c:v>969.12765466195174</c:v>
                </c:pt>
                <c:pt idx="80">
                  <c:v>987.94544605844271</c:v>
                </c:pt>
                <c:pt idx="81">
                  <c:v>971.19609041198112</c:v>
                </c:pt>
                <c:pt idx="82">
                  <c:v>976.31179836694696</c:v>
                </c:pt>
                <c:pt idx="83">
                  <c:v>969.58128260318176</c:v>
                </c:pt>
                <c:pt idx="84">
                  <c:v>961.54217167675984</c:v>
                </c:pt>
                <c:pt idx="85">
                  <c:v>944.99199423496577</c:v>
                </c:pt>
                <c:pt idx="86">
                  <c:v>943.6664727845905</c:v>
                </c:pt>
                <c:pt idx="87">
                  <c:v>940.04044187560487</c:v>
                </c:pt>
                <c:pt idx="88">
                  <c:v>933.84127570180965</c:v>
                </c:pt>
                <c:pt idx="89">
                  <c:v>930.45118876711933</c:v>
                </c:pt>
                <c:pt idx="90">
                  <c:v>933.03116065170889</c:v>
                </c:pt>
                <c:pt idx="91">
                  <c:v>928.96941764460678</c:v>
                </c:pt>
                <c:pt idx="92">
                  <c:v>925.73652344935226</c:v>
                </c:pt>
                <c:pt idx="93">
                  <c:v>932.89125474917773</c:v>
                </c:pt>
                <c:pt idx="94">
                  <c:v>939.88248451326592</c:v>
                </c:pt>
                <c:pt idx="95">
                  <c:v>932.22840934474152</c:v>
                </c:pt>
                <c:pt idx="96">
                  <c:v>934.51531271400904</c:v>
                </c:pt>
                <c:pt idx="97">
                  <c:v>930.50920103362273</c:v>
                </c:pt>
                <c:pt idx="98">
                  <c:v>933.75482000799855</c:v>
                </c:pt>
                <c:pt idx="99">
                  <c:v>932.23254667707977</c:v>
                </c:pt>
                <c:pt idx="100">
                  <c:v>926.86796666418502</c:v>
                </c:pt>
                <c:pt idx="101">
                  <c:v>929.10270482759336</c:v>
                </c:pt>
                <c:pt idx="102">
                  <c:v>932.82245352905136</c:v>
                </c:pt>
                <c:pt idx="103">
                  <c:v>932.32126686636855</c:v>
                </c:pt>
                <c:pt idx="104">
                  <c:v>935.67613791426379</c:v>
                </c:pt>
                <c:pt idx="105">
                  <c:v>933.29689976601105</c:v>
                </c:pt>
                <c:pt idx="106">
                  <c:v>933.59765088039615</c:v>
                </c:pt>
                <c:pt idx="107">
                  <c:v>923.53876781169606</c:v>
                </c:pt>
                <c:pt idx="108">
                  <c:v>919.63088619814994</c:v>
                </c:pt>
                <c:pt idx="109">
                  <c:v>922.10812571035717</c:v>
                </c:pt>
                <c:pt idx="110">
                  <c:v>927.15957008945475</c:v>
                </c:pt>
                <c:pt idx="111">
                  <c:v>923.27438932832399</c:v>
                </c:pt>
                <c:pt idx="112">
                  <c:v>926.77805341114799</c:v>
                </c:pt>
                <c:pt idx="113">
                  <c:v>930.47059324363488</c:v>
                </c:pt>
                <c:pt idx="114">
                  <c:v>926.1512083807886</c:v>
                </c:pt>
                <c:pt idx="115">
                  <c:v>923.50539178444319</c:v>
                </c:pt>
                <c:pt idx="116">
                  <c:v>921.06962657653116</c:v>
                </c:pt>
                <c:pt idx="117">
                  <c:v>922.87135805421542</c:v>
                </c:pt>
                <c:pt idx="118">
                  <c:v>922.87135805421542</c:v>
                </c:pt>
                <c:pt idx="119">
                  <c:v>911.25267337658465</c:v>
                </c:pt>
                <c:pt idx="120">
                  <c:v>901.17574217143977</c:v>
                </c:pt>
                <c:pt idx="121">
                  <c:v>900.99624109524973</c:v>
                </c:pt>
                <c:pt idx="122">
                  <c:v>907.92747166563288</c:v>
                </c:pt>
                <c:pt idx="123">
                  <c:v>914.18884918669312</c:v>
                </c:pt>
                <c:pt idx="124">
                  <c:v>909.30005386900916</c:v>
                </c:pt>
                <c:pt idx="125">
                  <c:v>912.87114860654981</c:v>
                </c:pt>
                <c:pt idx="126">
                  <c:v>918.32042871347301</c:v>
                </c:pt>
                <c:pt idx="127">
                  <c:v>912.65497727387469</c:v>
                </c:pt>
                <c:pt idx="128">
                  <c:v>901.35016670818402</c:v>
                </c:pt>
                <c:pt idx="129">
                  <c:v>911.83346789101586</c:v>
                </c:pt>
                <c:pt idx="130">
                  <c:v>916.27936346500894</c:v>
                </c:pt>
                <c:pt idx="131">
                  <c:v>918.65256019886158</c:v>
                </c:pt>
                <c:pt idx="132">
                  <c:v>918.93119535090193</c:v>
                </c:pt>
                <c:pt idx="133">
                  <c:v>923.00871579816874</c:v>
                </c:pt>
                <c:pt idx="134">
                  <c:v>926.14362349832379</c:v>
                </c:pt>
                <c:pt idx="135">
                  <c:v>921.17381430030423</c:v>
                </c:pt>
                <c:pt idx="136">
                  <c:v>916.24055055041606</c:v>
                </c:pt>
                <c:pt idx="137">
                  <c:v>920.50806165902964</c:v>
                </c:pt>
                <c:pt idx="138">
                  <c:v>918.5846930889038</c:v>
                </c:pt>
                <c:pt idx="139">
                  <c:v>918.13683592588177</c:v>
                </c:pt>
                <c:pt idx="140">
                  <c:v>926.84891122659781</c:v>
                </c:pt>
                <c:pt idx="141">
                  <c:v>928.77458615305875</c:v>
                </c:pt>
                <c:pt idx="142">
                  <c:v>925.02652744748013</c:v>
                </c:pt>
                <c:pt idx="143">
                  <c:v>927.85150866082415</c:v>
                </c:pt>
                <c:pt idx="144">
                  <c:v>930.84207802418064</c:v>
                </c:pt>
                <c:pt idx="145">
                  <c:v>922.05998285525573</c:v>
                </c:pt>
                <c:pt idx="146">
                  <c:v>927.59504991849656</c:v>
                </c:pt>
                <c:pt idx="147">
                  <c:v>928.94321758581009</c:v>
                </c:pt>
                <c:pt idx="148">
                  <c:v>924.10826732104692</c:v>
                </c:pt>
                <c:pt idx="149">
                  <c:v>907.84407067507061</c:v>
                </c:pt>
                <c:pt idx="150">
                  <c:v>905.34526707663906</c:v>
                </c:pt>
                <c:pt idx="151">
                  <c:v>913.41946206548505</c:v>
                </c:pt>
                <c:pt idx="152">
                  <c:v>911.38436315793285</c:v>
                </c:pt>
                <c:pt idx="153">
                  <c:v>913.87087561958924</c:v>
                </c:pt>
                <c:pt idx="154">
                  <c:v>903.70640672109641</c:v>
                </c:pt>
                <c:pt idx="155">
                  <c:v>913.9405920767166</c:v>
                </c:pt>
                <c:pt idx="156">
                  <c:v>906.02435479059807</c:v>
                </c:pt>
                <c:pt idx="157">
                  <c:v>919.65400670213171</c:v>
                </c:pt>
                <c:pt idx="158">
                  <c:v>917.47611697805883</c:v>
                </c:pt>
                <c:pt idx="159">
                  <c:v>915.88806401869874</c:v>
                </c:pt>
                <c:pt idx="160">
                  <c:v>924.01356817266696</c:v>
                </c:pt>
                <c:pt idx="161">
                  <c:v>924.18238502381303</c:v>
                </c:pt>
                <c:pt idx="162">
                  <c:v>909.71467545678468</c:v>
                </c:pt>
                <c:pt idx="163">
                  <c:v>911.33311879473308</c:v>
                </c:pt>
                <c:pt idx="164">
                  <c:v>925.66170898336816</c:v>
                </c:pt>
                <c:pt idx="165">
                  <c:v>938.48666433277742</c:v>
                </c:pt>
                <c:pt idx="166">
                  <c:v>927.02572225692529</c:v>
                </c:pt>
                <c:pt idx="167">
                  <c:v>917.49321289762202</c:v>
                </c:pt>
                <c:pt idx="168">
                  <c:v>908.52315262323123</c:v>
                </c:pt>
                <c:pt idx="169">
                  <c:v>913.39478007724415</c:v>
                </c:pt>
                <c:pt idx="170">
                  <c:v>915.57915689195295</c:v>
                </c:pt>
                <c:pt idx="171">
                  <c:v>913.07707200361085</c:v>
                </c:pt>
                <c:pt idx="172">
                  <c:v>906.17900086644795</c:v>
                </c:pt>
                <c:pt idx="173">
                  <c:v>912.80364736954186</c:v>
                </c:pt>
                <c:pt idx="174">
                  <c:v>908.67669518643822</c:v>
                </c:pt>
                <c:pt idx="175">
                  <c:v>901.67233025414725</c:v>
                </c:pt>
                <c:pt idx="176">
                  <c:v>896.57255835038086</c:v>
                </c:pt>
                <c:pt idx="177">
                  <c:v>893.95494072271117</c:v>
                </c:pt>
                <c:pt idx="178">
                  <c:v>892.39867642824686</c:v>
                </c:pt>
                <c:pt idx="179">
                  <c:v>893.56455230220672</c:v>
                </c:pt>
                <c:pt idx="180">
                  <c:v>901.49634171108414</c:v>
                </c:pt>
                <c:pt idx="181">
                  <c:v>894.69020755453096</c:v>
                </c:pt>
                <c:pt idx="182">
                  <c:v>886.67937306787758</c:v>
                </c:pt>
                <c:pt idx="183">
                  <c:v>885.51562372007822</c:v>
                </c:pt>
                <c:pt idx="184">
                  <c:v>887.30940302099293</c:v>
                </c:pt>
                <c:pt idx="185">
                  <c:v>880.28280925330796</c:v>
                </c:pt>
                <c:pt idx="186">
                  <c:v>893.73787429095557</c:v>
                </c:pt>
                <c:pt idx="187">
                  <c:v>887.66662468994787</c:v>
                </c:pt>
                <c:pt idx="188">
                  <c:v>885.09558787527396</c:v>
                </c:pt>
                <c:pt idx="189">
                  <c:v>877.23454631074287</c:v>
                </c:pt>
                <c:pt idx="190">
                  <c:v>872.84939427561051</c:v>
                </c:pt>
                <c:pt idx="191">
                  <c:v>863.25828124645659</c:v>
                </c:pt>
                <c:pt idx="192">
                  <c:v>868.60890581653871</c:v>
                </c:pt>
                <c:pt idx="193">
                  <c:v>874.92658809653869</c:v>
                </c:pt>
                <c:pt idx="194">
                  <c:v>872.82410106199779</c:v>
                </c:pt>
                <c:pt idx="195">
                  <c:v>870.95035532166332</c:v>
                </c:pt>
                <c:pt idx="196">
                  <c:v>877.66840457916703</c:v>
                </c:pt>
                <c:pt idx="197">
                  <c:v>881.44382463648776</c:v>
                </c:pt>
                <c:pt idx="198">
                  <c:v>877.33644599523905</c:v>
                </c:pt>
                <c:pt idx="199">
                  <c:v>879.13750548989697</c:v>
                </c:pt>
                <c:pt idx="200">
                  <c:v>881.81778538726792</c:v>
                </c:pt>
                <c:pt idx="201">
                  <c:v>880.55236617781236</c:v>
                </c:pt>
                <c:pt idx="202">
                  <c:v>882.16903542099419</c:v>
                </c:pt>
                <c:pt idx="203">
                  <c:v>877.34071162160319</c:v>
                </c:pt>
                <c:pt idx="204">
                  <c:v>885.20360086082076</c:v>
                </c:pt>
                <c:pt idx="205">
                  <c:v>890.68170066841878</c:v>
                </c:pt>
                <c:pt idx="206">
                  <c:v>892.89456372700067</c:v>
                </c:pt>
                <c:pt idx="207">
                  <c:v>896.4843318664465</c:v>
                </c:pt>
                <c:pt idx="208">
                  <c:v>895.39985020722804</c:v>
                </c:pt>
                <c:pt idx="209">
                  <c:v>895.00417369235811</c:v>
                </c:pt>
                <c:pt idx="210">
                  <c:v>888.22698215199796</c:v>
                </c:pt>
                <c:pt idx="211">
                  <c:v>895.61974985210873</c:v>
                </c:pt>
                <c:pt idx="212">
                  <c:v>886.66885565282212</c:v>
                </c:pt>
                <c:pt idx="213">
                  <c:v>879.41755742687803</c:v>
                </c:pt>
                <c:pt idx="214">
                  <c:v>877.36617290452091</c:v>
                </c:pt>
                <c:pt idx="215">
                  <c:v>869.36773935485792</c:v>
                </c:pt>
                <c:pt idx="216">
                  <c:v>863.09861237820235</c:v>
                </c:pt>
                <c:pt idx="217">
                  <c:v>878.16320557163976</c:v>
                </c:pt>
                <c:pt idx="218">
                  <c:v>868.5520949899327</c:v>
                </c:pt>
                <c:pt idx="219">
                  <c:v>868.78068862598582</c:v>
                </c:pt>
                <c:pt idx="220">
                  <c:v>862.45242085497694</c:v>
                </c:pt>
                <c:pt idx="221">
                  <c:v>884.14999354417921</c:v>
                </c:pt>
                <c:pt idx="222">
                  <c:v>877.70972548921418</c:v>
                </c:pt>
                <c:pt idx="223">
                  <c:v>884.20302374924586</c:v>
                </c:pt>
                <c:pt idx="224">
                  <c:v>887.61211510448322</c:v>
                </c:pt>
                <c:pt idx="225">
                  <c:v>889.29721791959798</c:v>
                </c:pt>
                <c:pt idx="226">
                  <c:v>894.41588875306491</c:v>
                </c:pt>
                <c:pt idx="227">
                  <c:v>899.4739276172387</c:v>
                </c:pt>
                <c:pt idx="228">
                  <c:v>896.41282232349033</c:v>
                </c:pt>
                <c:pt idx="229">
                  <c:v>887.40491834116324</c:v>
                </c:pt>
                <c:pt idx="230">
                  <c:v>874.27728022714552</c:v>
                </c:pt>
                <c:pt idx="231">
                  <c:v>887.41492919699624</c:v>
                </c:pt>
                <c:pt idx="232">
                  <c:v>898.51957850348731</c:v>
                </c:pt>
                <c:pt idx="233">
                  <c:v>871.09991842097497</c:v>
                </c:pt>
                <c:pt idx="234">
                  <c:v>855.44003072927092</c:v>
                </c:pt>
                <c:pt idx="235">
                  <c:v>874.22108336163637</c:v>
                </c:pt>
                <c:pt idx="236">
                  <c:v>879.43333158946029</c:v>
                </c:pt>
                <c:pt idx="237">
                  <c:v>892.69056847436525</c:v>
                </c:pt>
                <c:pt idx="238">
                  <c:v>911.35139385904961</c:v>
                </c:pt>
                <c:pt idx="239">
                  <c:v>891.98803601941631</c:v>
                </c:pt>
                <c:pt idx="240">
                  <c:v>889.30721319332531</c:v>
                </c:pt>
                <c:pt idx="241">
                  <c:v>900.21524335588617</c:v>
                </c:pt>
                <c:pt idx="242">
                  <c:v>876.12541444632745</c:v>
                </c:pt>
                <c:pt idx="243">
                  <c:v>866.89785272576887</c:v>
                </c:pt>
                <c:pt idx="244">
                  <c:v>877.43806348072985</c:v>
                </c:pt>
                <c:pt idx="245">
                  <c:v>894.1609059083421</c:v>
                </c:pt>
                <c:pt idx="246">
                  <c:v>904.94193618475344</c:v>
                </c:pt>
                <c:pt idx="247">
                  <c:v>884.84853889827741</c:v>
                </c:pt>
                <c:pt idx="248">
                  <c:v>883.8095798744381</c:v>
                </c:pt>
                <c:pt idx="249">
                  <c:v>848.45752638934039</c:v>
                </c:pt>
                <c:pt idx="250">
                  <c:v>846.08040733949815</c:v>
                </c:pt>
                <c:pt idx="251">
                  <c:v>856.6435050781206</c:v>
                </c:pt>
                <c:pt idx="252">
                  <c:v>870.70451036856264</c:v>
                </c:pt>
                <c:pt idx="253">
                  <c:v>845.47417456806261</c:v>
                </c:pt>
                <c:pt idx="254">
                  <c:v>849.76675599491693</c:v>
                </c:pt>
                <c:pt idx="255">
                  <c:v>854.49808678347108</c:v>
                </c:pt>
                <c:pt idx="256">
                  <c:v>864.64749234520991</c:v>
                </c:pt>
                <c:pt idx="257">
                  <c:v>864.64052599277159</c:v>
                </c:pt>
                <c:pt idx="258">
                  <c:v>875.09216958542504</c:v>
                </c:pt>
                <c:pt idx="259">
                  <c:v>872.18848340441241</c:v>
                </c:pt>
                <c:pt idx="260">
                  <c:v>853.43803314509387</c:v>
                </c:pt>
                <c:pt idx="261">
                  <c:v>867.9798701532311</c:v>
                </c:pt>
                <c:pt idx="262">
                  <c:v>854.96852413567251</c:v>
                </c:pt>
                <c:pt idx="263">
                  <c:v>862.27195359282325</c:v>
                </c:pt>
                <c:pt idx="264">
                  <c:v>849.71265923193721</c:v>
                </c:pt>
                <c:pt idx="265">
                  <c:v>855.58874971127352</c:v>
                </c:pt>
                <c:pt idx="266">
                  <c:v>857.82509627156116</c:v>
                </c:pt>
                <c:pt idx="267">
                  <c:v>850.35321721460662</c:v>
                </c:pt>
                <c:pt idx="268">
                  <c:v>834.73103884004797</c:v>
                </c:pt>
                <c:pt idx="269">
                  <c:v>854.70152562979524</c:v>
                </c:pt>
                <c:pt idx="270">
                  <c:v>861.17342926773176</c:v>
                </c:pt>
                <c:pt idx="271">
                  <c:v>853.915506221285</c:v>
                </c:pt>
                <c:pt idx="272">
                  <c:v>847.78540712185531</c:v>
                </c:pt>
                <c:pt idx="273">
                  <c:v>837.42075845921045</c:v>
                </c:pt>
                <c:pt idx="274">
                  <c:v>836.86635414285138</c:v>
                </c:pt>
                <c:pt idx="275">
                  <c:v>841.17116691273554</c:v>
                </c:pt>
                <c:pt idx="276">
                  <c:v>835.14804125109299</c:v>
                </c:pt>
                <c:pt idx="277">
                  <c:v>822.33951654882867</c:v>
                </c:pt>
                <c:pt idx="278">
                  <c:v>827.25052385796243</c:v>
                </c:pt>
                <c:pt idx="279">
                  <c:v>855.85039117834435</c:v>
                </c:pt>
                <c:pt idx="280">
                  <c:v>784.55100279422641</c:v>
                </c:pt>
                <c:pt idx="281">
                  <c:v>807.31213362244102</c:v>
                </c:pt>
                <c:pt idx="282">
                  <c:v>823.99741662046324</c:v>
                </c:pt>
                <c:pt idx="283">
                  <c:v>804.89427347556671</c:v>
                </c:pt>
                <c:pt idx="284">
                  <c:v>835.62119394122101</c:v>
                </c:pt>
                <c:pt idx="285">
                  <c:v>784.6398496052152</c:v>
                </c:pt>
                <c:pt idx="286">
                  <c:v>827.19012405630451</c:v>
                </c:pt>
                <c:pt idx="287">
                  <c:v>780.80774757418749</c:v>
                </c:pt>
                <c:pt idx="288">
                  <c:v>789.32762709082181</c:v>
                </c:pt>
                <c:pt idx="289">
                  <c:v>775.77674533032302</c:v>
                </c:pt>
                <c:pt idx="290">
                  <c:v>758.65763318026859</c:v>
                </c:pt>
                <c:pt idx="291">
                  <c:v>771.24855749840685</c:v>
                </c:pt>
                <c:pt idx="292">
                  <c:v>767.13580464301026</c:v>
                </c:pt>
                <c:pt idx="293">
                  <c:v>749.2625294145621</c:v>
                </c:pt>
                <c:pt idx="294">
                  <c:v>746.58862010368614</c:v>
                </c:pt>
                <c:pt idx="295">
                  <c:v>735.44211375813791</c:v>
                </c:pt>
                <c:pt idx="296">
                  <c:v>746.01722133551823</c:v>
                </c:pt>
                <c:pt idx="297">
                  <c:v>731.00990070799719</c:v>
                </c:pt>
                <c:pt idx="298">
                  <c:v>719.23784433501919</c:v>
                </c:pt>
                <c:pt idx="299">
                  <c:v>712.19719138570883</c:v>
                </c:pt>
                <c:pt idx="300">
                  <c:v>726.14565937910186</c:v>
                </c:pt>
                <c:pt idx="301">
                  <c:v>715.5594814727126</c:v>
                </c:pt>
                <c:pt idx="302">
                  <c:v>720.5989613983453</c:v>
                </c:pt>
                <c:pt idx="303">
                  <c:v>714.72750474640088</c:v>
                </c:pt>
                <c:pt idx="304">
                  <c:v>718.88833783440987</c:v>
                </c:pt>
                <c:pt idx="305">
                  <c:v>714.24113438777374</c:v>
                </c:pt>
                <c:pt idx="306">
                  <c:v>715.04687595425924</c:v>
                </c:pt>
                <c:pt idx="307">
                  <c:v>733.37133196157106</c:v>
                </c:pt>
                <c:pt idx="308">
                  <c:v>719.52177711425952</c:v>
                </c:pt>
                <c:pt idx="309">
                  <c:v>722.28640749776321</c:v>
                </c:pt>
                <c:pt idx="310">
                  <c:v>738.58957259581234</c:v>
                </c:pt>
                <c:pt idx="311">
                  <c:v>747.63621239611552</c:v>
                </c:pt>
                <c:pt idx="312">
                  <c:v>760.16703264066336</c:v>
                </c:pt>
                <c:pt idx="313">
                  <c:v>742.87574133902331</c:v>
                </c:pt>
                <c:pt idx="314">
                  <c:v>734.15870662183465</c:v>
                </c:pt>
                <c:pt idx="315">
                  <c:v>733.757318096787</c:v>
                </c:pt>
                <c:pt idx="316">
                  <c:v>745.34042470489044</c:v>
                </c:pt>
                <c:pt idx="317">
                  <c:v>732.87828014097045</c:v>
                </c:pt>
                <c:pt idx="318">
                  <c:v>742.87033736068008</c:v>
                </c:pt>
                <c:pt idx="319">
                  <c:v>718.35343992884123</c:v>
                </c:pt>
                <c:pt idx="320">
                  <c:v>721.26706756622275</c:v>
                </c:pt>
                <c:pt idx="321">
                  <c:v>715.0175412365893</c:v>
                </c:pt>
                <c:pt idx="322">
                  <c:v>730.75798032137197</c:v>
                </c:pt>
                <c:pt idx="323">
                  <c:v>717.60747033342602</c:v>
                </c:pt>
                <c:pt idx="324">
                  <c:v>727.98551132405885</c:v>
                </c:pt>
                <c:pt idx="325">
                  <c:v>732.70732316433589</c:v>
                </c:pt>
                <c:pt idx="326">
                  <c:v>704.28409436273932</c:v>
                </c:pt>
                <c:pt idx="327">
                  <c:v>703.86783649278118</c:v>
                </c:pt>
                <c:pt idx="328">
                  <c:v>696.1496403731586</c:v>
                </c:pt>
                <c:pt idx="329">
                  <c:v>684.16417709288316</c:v>
                </c:pt>
                <c:pt idx="330">
                  <c:v>689.09962259171277</c:v>
                </c:pt>
                <c:pt idx="331">
                  <c:v>670.98668241714483</c:v>
                </c:pt>
                <c:pt idx="332">
                  <c:v>672.13682022517833</c:v>
                </c:pt>
                <c:pt idx="333">
                  <c:v>658.48072379969972</c:v>
                </c:pt>
                <c:pt idx="334">
                  <c:v>652.58991864728296</c:v>
                </c:pt>
                <c:pt idx="335">
                  <c:v>655.07853719760806</c:v>
                </c:pt>
                <c:pt idx="336">
                  <c:v>657.11827289820542</c:v>
                </c:pt>
                <c:pt idx="337">
                  <c:v>672.21388013968635</c:v>
                </c:pt>
                <c:pt idx="338">
                  <c:v>675.45208513863315</c:v>
                </c:pt>
                <c:pt idx="339">
                  <c:v>677.87037376999342</c:v>
                </c:pt>
                <c:pt idx="340">
                  <c:v>664.50435436226655</c:v>
                </c:pt>
                <c:pt idx="341">
                  <c:v>658.41068165614058</c:v>
                </c:pt>
                <c:pt idx="342">
                  <c:v>669.56352897137265</c:v>
                </c:pt>
                <c:pt idx="343">
                  <c:v>669.62369790728599</c:v>
                </c:pt>
                <c:pt idx="344">
                  <c:v>667.28386533754122</c:v>
                </c:pt>
                <c:pt idx="345">
                  <c:v>658.58279383314255</c:v>
                </c:pt>
                <c:pt idx="346">
                  <c:v>668.7739643686773</c:v>
                </c:pt>
                <c:pt idx="347">
                  <c:v>662.04827044043896</c:v>
                </c:pt>
                <c:pt idx="348">
                  <c:v>674.08132403740376</c:v>
                </c:pt>
                <c:pt idx="349">
                  <c:v>673.912549736242</c:v>
                </c:pt>
                <c:pt idx="350">
                  <c:v>647.49803338284164</c:v>
                </c:pt>
                <c:pt idx="351">
                  <c:v>613.35986537453402</c:v>
                </c:pt>
                <c:pt idx="352">
                  <c:v>605.95331244240845</c:v>
                </c:pt>
                <c:pt idx="353">
                  <c:v>584.37630064356392</c:v>
                </c:pt>
                <c:pt idx="354">
                  <c:v>570.81196521941104</c:v>
                </c:pt>
                <c:pt idx="355">
                  <c:v>566.95532582928274</c:v>
                </c:pt>
                <c:pt idx="356">
                  <c:v>573.3459847080311</c:v>
                </c:pt>
                <c:pt idx="357">
                  <c:v>552.26769291521146</c:v>
                </c:pt>
                <c:pt idx="358">
                  <c:v>559.45826475189926</c:v>
                </c:pt>
                <c:pt idx="359">
                  <c:v>558.687546900656</c:v>
                </c:pt>
                <c:pt idx="360">
                  <c:v>569.03612874307282</c:v>
                </c:pt>
                <c:pt idx="361">
                  <c:v>542.33842519763095</c:v>
                </c:pt>
                <c:pt idx="362">
                  <c:v>548.84535882205148</c:v>
                </c:pt>
                <c:pt idx="363">
                  <c:v>555.53099951329727</c:v>
                </c:pt>
                <c:pt idx="364">
                  <c:v>558.26431346524794</c:v>
                </c:pt>
                <c:pt idx="365">
                  <c:v>558.1742364569767</c:v>
                </c:pt>
                <c:pt idx="366">
                  <c:v>569.60361521944321</c:v>
                </c:pt>
                <c:pt idx="367">
                  <c:v>567.68014285519621</c:v>
                </c:pt>
                <c:pt idx="368">
                  <c:v>580.60440185044217</c:v>
                </c:pt>
                <c:pt idx="369">
                  <c:v>581.89512389913182</c:v>
                </c:pt>
                <c:pt idx="370">
                  <c:v>588.07310056285439</c:v>
                </c:pt>
                <c:pt idx="371">
                  <c:v>567.50863724043074</c:v>
                </c:pt>
                <c:pt idx="372">
                  <c:v>606.43484286342277</c:v>
                </c:pt>
                <c:pt idx="373">
                  <c:v>559.67780878526173</c:v>
                </c:pt>
                <c:pt idx="374">
                  <c:v>568.68125350920786</c:v>
                </c:pt>
                <c:pt idx="375">
                  <c:v>542.47030501446852</c:v>
                </c:pt>
                <c:pt idx="376">
                  <c:v>536.03287217182958</c:v>
                </c:pt>
                <c:pt idx="377">
                  <c:v>539.56058631799544</c:v>
                </c:pt>
                <c:pt idx="378">
                  <c:v>534.41852608516467</c:v>
                </c:pt>
                <c:pt idx="379">
                  <c:v>534.15095511364427</c:v>
                </c:pt>
                <c:pt idx="380">
                  <c:v>517.92749236287909</c:v>
                </c:pt>
                <c:pt idx="381">
                  <c:v>528.34502300168401</c:v>
                </c:pt>
                <c:pt idx="382">
                  <c:v>515.60744235024936</c:v>
                </c:pt>
                <c:pt idx="383">
                  <c:v>520.47292436591931</c:v>
                </c:pt>
                <c:pt idx="384">
                  <c:v>512.35307233418393</c:v>
                </c:pt>
                <c:pt idx="385">
                  <c:v>504.17589980387129</c:v>
                </c:pt>
                <c:pt idx="386">
                  <c:v>514.97045346729249</c:v>
                </c:pt>
                <c:pt idx="387">
                  <c:v>494.61297863253287</c:v>
                </c:pt>
                <c:pt idx="388">
                  <c:v>467.58211638722514</c:v>
                </c:pt>
                <c:pt idx="389">
                  <c:v>461.09845071728574</c:v>
                </c:pt>
                <c:pt idx="390">
                  <c:v>412.40465413277502</c:v>
                </c:pt>
                <c:pt idx="391">
                  <c:v>409.82732805026956</c:v>
                </c:pt>
                <c:pt idx="392">
                  <c:v>414.29662969998935</c:v>
                </c:pt>
                <c:pt idx="393">
                  <c:v>421.59690508596992</c:v>
                </c:pt>
                <c:pt idx="394">
                  <c:v>421.587341583446</c:v>
                </c:pt>
                <c:pt idx="395">
                  <c:v>380.90071326335084</c:v>
                </c:pt>
                <c:pt idx="396">
                  <c:v>349.79905566366597</c:v>
                </c:pt>
                <c:pt idx="397">
                  <c:v>361.60516765462972</c:v>
                </c:pt>
                <c:pt idx="398">
                  <c:v>351.45084756121355</c:v>
                </c:pt>
                <c:pt idx="399">
                  <c:v>353.21186005498049</c:v>
                </c:pt>
                <c:pt idx="400">
                  <c:v>338.54830287046224</c:v>
                </c:pt>
                <c:pt idx="401">
                  <c:v>343.26504919418005</c:v>
                </c:pt>
                <c:pt idx="402">
                  <c:v>339.1098706171959</c:v>
                </c:pt>
                <c:pt idx="403">
                  <c:v>343.43447389415792</c:v>
                </c:pt>
                <c:pt idx="404">
                  <c:v>346.36405993785399</c:v>
                </c:pt>
                <c:pt idx="405">
                  <c:v>352.22625502140579</c:v>
                </c:pt>
                <c:pt idx="406">
                  <c:v>347.38931343821173</c:v>
                </c:pt>
                <c:pt idx="407">
                  <c:v>351.51326836200548</c:v>
                </c:pt>
                <c:pt idx="408">
                  <c:v>343.1394469143998</c:v>
                </c:pt>
                <c:pt idx="409">
                  <c:v>342.75767543046845</c:v>
                </c:pt>
                <c:pt idx="410">
                  <c:v>342.8616159193262</c:v>
                </c:pt>
                <c:pt idx="411">
                  <c:v>345.70021645084296</c:v>
                </c:pt>
                <c:pt idx="412">
                  <c:v>340.78654854289118</c:v>
                </c:pt>
                <c:pt idx="413">
                  <c:v>339.52376017711572</c:v>
                </c:pt>
                <c:pt idx="414">
                  <c:v>343.75949894679007</c:v>
                </c:pt>
                <c:pt idx="415">
                  <c:v>333.20277346013967</c:v>
                </c:pt>
                <c:pt idx="416">
                  <c:v>342.77314204655119</c:v>
                </c:pt>
                <c:pt idx="417">
                  <c:v>330.35768218273495</c:v>
                </c:pt>
                <c:pt idx="418">
                  <c:v>328.74966738640472</c:v>
                </c:pt>
                <c:pt idx="419">
                  <c:v>317.75127883964024</c:v>
                </c:pt>
                <c:pt idx="420">
                  <c:v>328.10013460973335</c:v>
                </c:pt>
                <c:pt idx="421">
                  <c:v>319.77623950345287</c:v>
                </c:pt>
                <c:pt idx="422">
                  <c:v>310.33117584553781</c:v>
                </c:pt>
                <c:pt idx="423">
                  <c:v>317.21600130850015</c:v>
                </c:pt>
                <c:pt idx="424">
                  <c:v>310.29903404657421</c:v>
                </c:pt>
                <c:pt idx="425">
                  <c:v>313.68140185648042</c:v>
                </c:pt>
                <c:pt idx="426">
                  <c:v>309.03928139209091</c:v>
                </c:pt>
                <c:pt idx="427">
                  <c:v>309.24560934137583</c:v>
                </c:pt>
                <c:pt idx="428">
                  <c:v>309.78874366768093</c:v>
                </c:pt>
                <c:pt idx="429">
                  <c:v>325.37339062173339</c:v>
                </c:pt>
                <c:pt idx="430">
                  <c:v>325.28833081917713</c:v>
                </c:pt>
                <c:pt idx="431">
                  <c:v>305.17240395849933</c:v>
                </c:pt>
                <c:pt idx="432">
                  <c:v>299.71671143668016</c:v>
                </c:pt>
                <c:pt idx="433">
                  <c:v>276.00149559968054</c:v>
                </c:pt>
                <c:pt idx="434">
                  <c:v>266.99836030736935</c:v>
                </c:pt>
                <c:pt idx="435">
                  <c:v>266.70178393461072</c:v>
                </c:pt>
                <c:pt idx="436">
                  <c:v>269.00609484244023</c:v>
                </c:pt>
                <c:pt idx="437">
                  <c:v>259.01089436606554</c:v>
                </c:pt>
                <c:pt idx="438">
                  <c:v>255.53755683107346</c:v>
                </c:pt>
                <c:pt idx="439">
                  <c:v>257.45771489784727</c:v>
                </c:pt>
                <c:pt idx="440">
                  <c:v>260.56363377286345</c:v>
                </c:pt>
                <c:pt idx="441">
                  <c:v>246.93919114598407</c:v>
                </c:pt>
                <c:pt idx="442">
                  <c:v>254.68336434108193</c:v>
                </c:pt>
                <c:pt idx="443">
                  <c:v>264.63413534320546</c:v>
                </c:pt>
                <c:pt idx="444">
                  <c:v>259.24789275711942</c:v>
                </c:pt>
                <c:pt idx="445">
                  <c:v>261.98180145182533</c:v>
                </c:pt>
                <c:pt idx="446">
                  <c:v>256.22460931486251</c:v>
                </c:pt>
                <c:pt idx="447">
                  <c:v>277.01852474470905</c:v>
                </c:pt>
                <c:pt idx="448">
                  <c:v>260.0710092985114</c:v>
                </c:pt>
                <c:pt idx="449">
                  <c:v>251.60175507165255</c:v>
                </c:pt>
                <c:pt idx="450">
                  <c:v>243.32448277165261</c:v>
                </c:pt>
                <c:pt idx="451">
                  <c:v>253.99752631523955</c:v>
                </c:pt>
                <c:pt idx="452">
                  <c:v>258.76695721416201</c:v>
                </c:pt>
                <c:pt idx="453">
                  <c:v>252.52771510249534</c:v>
                </c:pt>
                <c:pt idx="454">
                  <c:v>257.37183036693978</c:v>
                </c:pt>
                <c:pt idx="455">
                  <c:v>252.89318236384284</c:v>
                </c:pt>
                <c:pt idx="456">
                  <c:v>257.02102257779632</c:v>
                </c:pt>
                <c:pt idx="457">
                  <c:v>263.39446058193494</c:v>
                </c:pt>
                <c:pt idx="458">
                  <c:v>263.08412977801174</c:v>
                </c:pt>
                <c:pt idx="459">
                  <c:v>266.87865557196119</c:v>
                </c:pt>
                <c:pt idx="460">
                  <c:v>273.88275115764606</c:v>
                </c:pt>
                <c:pt idx="461">
                  <c:v>271.88209995951519</c:v>
                </c:pt>
                <c:pt idx="462">
                  <c:v>269.52932391024586</c:v>
                </c:pt>
                <c:pt idx="463">
                  <c:v>260.70789110287416</c:v>
                </c:pt>
                <c:pt idx="464">
                  <c:v>255.32235425630267</c:v>
                </c:pt>
                <c:pt idx="465">
                  <c:v>261.85922061107772</c:v>
                </c:pt>
                <c:pt idx="466">
                  <c:v>266.83427038319275</c:v>
                </c:pt>
                <c:pt idx="467">
                  <c:v>262.74911700496187</c:v>
                </c:pt>
                <c:pt idx="468">
                  <c:v>258.10664301395474</c:v>
                </c:pt>
                <c:pt idx="469">
                  <c:v>261.67728591874106</c:v>
                </c:pt>
                <c:pt idx="470">
                  <c:v>262.47753672927098</c:v>
                </c:pt>
                <c:pt idx="471">
                  <c:v>264.25898813582666</c:v>
                </c:pt>
                <c:pt idx="472">
                  <c:v>267.27469294277552</c:v>
                </c:pt>
                <c:pt idx="473">
                  <c:v>266.92628951897422</c:v>
                </c:pt>
                <c:pt idx="474">
                  <c:v>271.98314649695686</c:v>
                </c:pt>
                <c:pt idx="475">
                  <c:v>282.74957663074059</c:v>
                </c:pt>
                <c:pt idx="476">
                  <c:v>277.48196790021274</c:v>
                </c:pt>
                <c:pt idx="477">
                  <c:v>275.35908637674339</c:v>
                </c:pt>
                <c:pt idx="478">
                  <c:v>254.70693373142504</c:v>
                </c:pt>
                <c:pt idx="479">
                  <c:v>273.55932489221357</c:v>
                </c:pt>
                <c:pt idx="480">
                  <c:v>280.0834724469504</c:v>
                </c:pt>
                <c:pt idx="481">
                  <c:v>278.08907468331398</c:v>
                </c:pt>
                <c:pt idx="482">
                  <c:v>285.71068577980526</c:v>
                </c:pt>
                <c:pt idx="483">
                  <c:v>294.9141647412431</c:v>
                </c:pt>
                <c:pt idx="484">
                  <c:v>302.26939717187128</c:v>
                </c:pt>
                <c:pt idx="485">
                  <c:v>290.29198407563587</c:v>
                </c:pt>
                <c:pt idx="486">
                  <c:v>275.30631167180729</c:v>
                </c:pt>
                <c:pt idx="487">
                  <c:v>291.38200850324921</c:v>
                </c:pt>
                <c:pt idx="488">
                  <c:v>289.52390657650648</c:v>
                </c:pt>
                <c:pt idx="489">
                  <c:v>290.71617815457176</c:v>
                </c:pt>
                <c:pt idx="490">
                  <c:v>281.23622653353368</c:v>
                </c:pt>
                <c:pt idx="491">
                  <c:v>272.41374294229581</c:v>
                </c:pt>
                <c:pt idx="492">
                  <c:v>285.71080603745907</c:v>
                </c:pt>
                <c:pt idx="493">
                  <c:v>291.50938497033769</c:v>
                </c:pt>
                <c:pt idx="494">
                  <c:v>310.09092213399288</c:v>
                </c:pt>
                <c:pt idx="495">
                  <c:v>316.16583694672414</c:v>
                </c:pt>
                <c:pt idx="496">
                  <c:v>303.77919469606712</c:v>
                </c:pt>
                <c:pt idx="497">
                  <c:v>301.82384132876001</c:v>
                </c:pt>
                <c:pt idx="498">
                  <c:v>291.3033096687318</c:v>
                </c:pt>
                <c:pt idx="499">
                  <c:v>287.45366483302479</c:v>
                </c:pt>
                <c:pt idx="500">
                  <c:v>300.6757263319675</c:v>
                </c:pt>
                <c:pt idx="501">
                  <c:v>300.34068571492867</c:v>
                </c:pt>
                <c:pt idx="502">
                  <c:v>305.39239649105031</c:v>
                </c:pt>
                <c:pt idx="503">
                  <c:v>296.06459349486408</c:v>
                </c:pt>
                <c:pt idx="504">
                  <c:v>286.7422311960691</c:v>
                </c:pt>
                <c:pt idx="505">
                  <c:v>296.96163436483943</c:v>
                </c:pt>
                <c:pt idx="506">
                  <c:v>287.08884472960045</c:v>
                </c:pt>
                <c:pt idx="507">
                  <c:v>303.68160911867858</c:v>
                </c:pt>
                <c:pt idx="508">
                  <c:v>290.37815187805245</c:v>
                </c:pt>
                <c:pt idx="509">
                  <c:v>280.94190617822767</c:v>
                </c:pt>
                <c:pt idx="510">
                  <c:v>295.69581917034355</c:v>
                </c:pt>
                <c:pt idx="511">
                  <c:v>259.91824941274837</c:v>
                </c:pt>
                <c:pt idx="512">
                  <c:v>281.10954726901701</c:v>
                </c:pt>
                <c:pt idx="513">
                  <c:v>284.23847182180032</c:v>
                </c:pt>
                <c:pt idx="514">
                  <c:v>291.05438271648711</c:v>
                </c:pt>
                <c:pt idx="515">
                  <c:v>302.57939605182236</c:v>
                </c:pt>
                <c:pt idx="516">
                  <c:v>300.81649561845438</c:v>
                </c:pt>
                <c:pt idx="517">
                  <c:v>298.52211792645443</c:v>
                </c:pt>
                <c:pt idx="518">
                  <c:v>297.6735376647992</c:v>
                </c:pt>
                <c:pt idx="519">
                  <c:v>301.79497778089285</c:v>
                </c:pt>
                <c:pt idx="520">
                  <c:v>300.34918601934419</c:v>
                </c:pt>
                <c:pt idx="521">
                  <c:v>304.694738757148</c:v>
                </c:pt>
                <c:pt idx="522">
                  <c:v>304.92347159714797</c:v>
                </c:pt>
                <c:pt idx="523">
                  <c:v>308.10912183549863</c:v>
                </c:pt>
                <c:pt idx="524">
                  <c:v>301.91332583460303</c:v>
                </c:pt>
                <c:pt idx="525">
                  <c:v>317.84226612139264</c:v>
                </c:pt>
                <c:pt idx="526">
                  <c:v>303.15896070930137</c:v>
                </c:pt>
                <c:pt idx="527">
                  <c:v>310.4862767853254</c:v>
                </c:pt>
                <c:pt idx="528">
                  <c:v>317.82586925107307</c:v>
                </c:pt>
                <c:pt idx="529">
                  <c:v>325.16403222988606</c:v>
                </c:pt>
                <c:pt idx="530">
                  <c:v>319.58599308019103</c:v>
                </c:pt>
                <c:pt idx="531">
                  <c:v>323.6274663904976</c:v>
                </c:pt>
                <c:pt idx="532">
                  <c:v>318.09233328410892</c:v>
                </c:pt>
                <c:pt idx="533">
                  <c:v>321.67421678901906</c:v>
                </c:pt>
                <c:pt idx="534">
                  <c:v>310.85707666597733</c:v>
                </c:pt>
                <c:pt idx="535">
                  <c:v>317.39234654895949</c:v>
                </c:pt>
                <c:pt idx="536">
                  <c:v>309.01578413067887</c:v>
                </c:pt>
                <c:pt idx="537">
                  <c:v>302.75968257587971</c:v>
                </c:pt>
                <c:pt idx="538">
                  <c:v>286.86065677780391</c:v>
                </c:pt>
                <c:pt idx="539">
                  <c:v>295.68337189501563</c:v>
                </c:pt>
                <c:pt idx="540">
                  <c:v>286.47188652141455</c:v>
                </c:pt>
                <c:pt idx="541">
                  <c:v>280.24735802261819</c:v>
                </c:pt>
                <c:pt idx="542">
                  <c:v>260.06174706492118</c:v>
                </c:pt>
                <c:pt idx="543">
                  <c:v>252.92677707769226</c:v>
                </c:pt>
                <c:pt idx="544">
                  <c:v>250.36021901118821</c:v>
                </c:pt>
                <c:pt idx="545">
                  <c:v>241.20382112521563</c:v>
                </c:pt>
                <c:pt idx="546">
                  <c:v>254.71307133772569</c:v>
                </c:pt>
                <c:pt idx="547">
                  <c:v>239.47787807136859</c:v>
                </c:pt>
                <c:pt idx="548">
                  <c:v>248.30751792175698</c:v>
                </c:pt>
                <c:pt idx="549">
                  <c:v>250.54904364421131</c:v>
                </c:pt>
                <c:pt idx="550">
                  <c:v>256.37807308134137</c:v>
                </c:pt>
                <c:pt idx="551">
                  <c:v>262.77570222927073</c:v>
                </c:pt>
                <c:pt idx="552">
                  <c:v>250.15945846681231</c:v>
                </c:pt>
                <c:pt idx="553">
                  <c:v>251.72283962985941</c:v>
                </c:pt>
                <c:pt idx="554">
                  <c:v>256.57778817590071</c:v>
                </c:pt>
                <c:pt idx="555">
                  <c:v>254.48062479495306</c:v>
                </c:pt>
                <c:pt idx="556">
                  <c:v>253.17743703933505</c:v>
                </c:pt>
                <c:pt idx="557">
                  <c:v>273.81975173390862</c:v>
                </c:pt>
                <c:pt idx="558">
                  <c:v>269.62205931877952</c:v>
                </c:pt>
                <c:pt idx="559">
                  <c:v>272.45190363471426</c:v>
                </c:pt>
                <c:pt idx="560">
                  <c:v>278.89480227421387</c:v>
                </c:pt>
                <c:pt idx="561">
                  <c:v>282.45517760294177</c:v>
                </c:pt>
                <c:pt idx="562">
                  <c:v>288.91260062398203</c:v>
                </c:pt>
                <c:pt idx="563">
                  <c:v>277.96012841541426</c:v>
                </c:pt>
                <c:pt idx="564">
                  <c:v>297.27373121466513</c:v>
                </c:pt>
                <c:pt idx="565">
                  <c:v>293.22746688044788</c:v>
                </c:pt>
                <c:pt idx="566">
                  <c:v>260.01795500794117</c:v>
                </c:pt>
                <c:pt idx="567">
                  <c:v>242.40527243101809</c:v>
                </c:pt>
                <c:pt idx="568">
                  <c:v>252.55676834035066</c:v>
                </c:pt>
                <c:pt idx="569">
                  <c:v>228.29737727062491</c:v>
                </c:pt>
                <c:pt idx="570">
                  <c:v>194.38940307799095</c:v>
                </c:pt>
                <c:pt idx="571">
                  <c:v>235.16718930829441</c:v>
                </c:pt>
                <c:pt idx="572">
                  <c:v>242.34441252278449</c:v>
                </c:pt>
                <c:pt idx="573">
                  <c:v>205.79540001368218</c:v>
                </c:pt>
                <c:pt idx="574">
                  <c:v>189.4562904643914</c:v>
                </c:pt>
                <c:pt idx="575">
                  <c:v>179.27649021403212</c:v>
                </c:pt>
                <c:pt idx="576">
                  <c:v>163.08194996389261</c:v>
                </c:pt>
                <c:pt idx="577">
                  <c:v>156.45471214608443</c:v>
                </c:pt>
                <c:pt idx="578">
                  <c:v>154.32881608216027</c:v>
                </c:pt>
                <c:pt idx="579">
                  <c:v>149.70070927618559</c:v>
                </c:pt>
                <c:pt idx="580">
                  <c:v>151.38153214750193</c:v>
                </c:pt>
                <c:pt idx="581">
                  <c:v>146.43725574641493</c:v>
                </c:pt>
                <c:pt idx="582">
                  <c:v>147.22530405793782</c:v>
                </c:pt>
                <c:pt idx="583">
                  <c:v>145.09981020904169</c:v>
                </c:pt>
                <c:pt idx="584">
                  <c:v>159.66992283821656</c:v>
                </c:pt>
                <c:pt idx="585">
                  <c:v>146.33095807229449</c:v>
                </c:pt>
                <c:pt idx="586">
                  <c:v>144.02077659893288</c:v>
                </c:pt>
                <c:pt idx="587">
                  <c:v>143.11598666500524</c:v>
                </c:pt>
                <c:pt idx="588">
                  <c:v>153.48686739510012</c:v>
                </c:pt>
                <c:pt idx="589">
                  <c:v>155.7455543823248</c:v>
                </c:pt>
                <c:pt idx="590">
                  <c:v>149.39404548363186</c:v>
                </c:pt>
                <c:pt idx="591">
                  <c:v>153.12254621523567</c:v>
                </c:pt>
                <c:pt idx="592">
                  <c:v>118.77460551695198</c:v>
                </c:pt>
                <c:pt idx="593">
                  <c:v>140.58409729244735</c:v>
                </c:pt>
                <c:pt idx="594">
                  <c:v>137.53855564056309</c:v>
                </c:pt>
                <c:pt idx="595">
                  <c:v>103.70005336338443</c:v>
                </c:pt>
                <c:pt idx="596">
                  <c:v>207.24490074398039</c:v>
                </c:pt>
                <c:pt idx="597">
                  <c:v>175.01422067570451</c:v>
                </c:pt>
                <c:pt idx="598">
                  <c:v>160.62615280374914</c:v>
                </c:pt>
                <c:pt idx="599">
                  <c:v>143.49017416171844</c:v>
                </c:pt>
                <c:pt idx="600">
                  <c:v>139.20977031892946</c:v>
                </c:pt>
                <c:pt idx="601">
                  <c:v>123.59174303351276</c:v>
                </c:pt>
                <c:pt idx="602">
                  <c:v>135.20307289019564</c:v>
                </c:pt>
                <c:pt idx="603">
                  <c:v>146.20321644258235</c:v>
                </c:pt>
                <c:pt idx="604">
                  <c:v>152.49221436645374</c:v>
                </c:pt>
                <c:pt idx="605">
                  <c:v>142.85778822956266</c:v>
                </c:pt>
                <c:pt idx="606">
                  <c:v>132.21072847890741</c:v>
                </c:pt>
                <c:pt idx="607">
                  <c:v>152.72090384404657</c:v>
                </c:pt>
                <c:pt idx="608">
                  <c:v>130.02726455947933</c:v>
                </c:pt>
                <c:pt idx="609">
                  <c:v>120.74041694255627</c:v>
                </c:pt>
                <c:pt idx="610">
                  <c:v>94.98317404033078</c:v>
                </c:pt>
                <c:pt idx="611">
                  <c:v>94.850725018902182</c:v>
                </c:pt>
                <c:pt idx="612">
                  <c:v>97.10969499556883</c:v>
                </c:pt>
                <c:pt idx="613">
                  <c:v>71.69546497467455</c:v>
                </c:pt>
                <c:pt idx="614">
                  <c:v>85.36808064592087</c:v>
                </c:pt>
                <c:pt idx="615">
                  <c:v>89.751761363468034</c:v>
                </c:pt>
                <c:pt idx="616">
                  <c:v>77.524342648110249</c:v>
                </c:pt>
                <c:pt idx="617">
                  <c:v>82.818127053910644</c:v>
                </c:pt>
                <c:pt idx="618">
                  <c:v>81.68941931698204</c:v>
                </c:pt>
                <c:pt idx="619">
                  <c:v>71.25378991163322</c:v>
                </c:pt>
                <c:pt idx="620">
                  <c:v>75.604078679706632</c:v>
                </c:pt>
                <c:pt idx="621">
                  <c:v>80.80024848754978</c:v>
                </c:pt>
                <c:pt idx="622">
                  <c:v>76.442922944216448</c:v>
                </c:pt>
                <c:pt idx="623">
                  <c:v>85.068706428973755</c:v>
                </c:pt>
                <c:pt idx="624">
                  <c:v>80.855136549790075</c:v>
                </c:pt>
                <c:pt idx="625">
                  <c:v>75.039001441854396</c:v>
                </c:pt>
                <c:pt idx="626">
                  <c:v>64.698873394781231</c:v>
                </c:pt>
                <c:pt idx="627">
                  <c:v>59.660266201196755</c:v>
                </c:pt>
                <c:pt idx="628">
                  <c:v>59.552021313655736</c:v>
                </c:pt>
                <c:pt idx="629">
                  <c:v>70.67084109637338</c:v>
                </c:pt>
                <c:pt idx="630">
                  <c:v>59.753726697750828</c:v>
                </c:pt>
                <c:pt idx="631">
                  <c:v>47.310362709223668</c:v>
                </c:pt>
                <c:pt idx="632">
                  <c:v>63.598024918538663</c:v>
                </c:pt>
                <c:pt idx="633">
                  <c:v>55.175999060356858</c:v>
                </c:pt>
                <c:pt idx="634">
                  <c:v>45.209272027313361</c:v>
                </c:pt>
                <c:pt idx="635">
                  <c:v>52.435293906631543</c:v>
                </c:pt>
                <c:pt idx="636">
                  <c:v>46.764982346631506</c:v>
                </c:pt>
                <c:pt idx="637">
                  <c:v>53.388892965155001</c:v>
                </c:pt>
                <c:pt idx="638">
                  <c:v>68.64167565208507</c:v>
                </c:pt>
                <c:pt idx="639">
                  <c:v>52.207390718104456</c:v>
                </c:pt>
                <c:pt idx="640">
                  <c:v>60.603077959034721</c:v>
                </c:pt>
                <c:pt idx="641">
                  <c:v>63.060698494287273</c:v>
                </c:pt>
                <c:pt idx="642">
                  <c:v>50.90088390758487</c:v>
                </c:pt>
                <c:pt idx="643">
                  <c:v>44.895941307727234</c:v>
                </c:pt>
                <c:pt idx="644">
                  <c:v>38.472902169110618</c:v>
                </c:pt>
                <c:pt idx="645">
                  <c:v>37.265826732698869</c:v>
                </c:pt>
                <c:pt idx="646">
                  <c:v>30.6671663161971</c:v>
                </c:pt>
                <c:pt idx="647">
                  <c:v>33.241610158419292</c:v>
                </c:pt>
                <c:pt idx="648">
                  <c:v>44.961863684909346</c:v>
                </c:pt>
                <c:pt idx="649">
                  <c:v>46.26891371188497</c:v>
                </c:pt>
                <c:pt idx="650">
                  <c:v>42.344792576074674</c:v>
                </c:pt>
                <c:pt idx="651">
                  <c:v>45.434248067567196</c:v>
                </c:pt>
                <c:pt idx="652">
                  <c:v>32.456099587751893</c:v>
                </c:pt>
                <c:pt idx="653">
                  <c:v>39.896945099131209</c:v>
                </c:pt>
                <c:pt idx="654">
                  <c:v>38.349089190320626</c:v>
                </c:pt>
                <c:pt idx="655">
                  <c:v>33.503368470236957</c:v>
                </c:pt>
                <c:pt idx="656">
                  <c:v>34.948718384625451</c:v>
                </c:pt>
                <c:pt idx="657">
                  <c:v>31.873732925328973</c:v>
                </c:pt>
                <c:pt idx="658">
                  <c:v>36.43367774820026</c:v>
                </c:pt>
                <c:pt idx="659">
                  <c:v>38.005544231258099</c:v>
                </c:pt>
                <c:pt idx="660">
                  <c:v>28.924593545568442</c:v>
                </c:pt>
                <c:pt idx="661">
                  <c:v>48.74997568196337</c:v>
                </c:pt>
                <c:pt idx="662">
                  <c:v>32.685349310071459</c:v>
                </c:pt>
                <c:pt idx="663">
                  <c:v>31.955583657227454</c:v>
                </c:pt>
                <c:pt idx="664">
                  <c:v>29.709655343033873</c:v>
                </c:pt>
                <c:pt idx="665">
                  <c:v>24.600036949956959</c:v>
                </c:pt>
                <c:pt idx="666">
                  <c:v>29.648146698577641</c:v>
                </c:pt>
                <c:pt idx="667">
                  <c:v>19.437337717885001</c:v>
                </c:pt>
                <c:pt idx="668">
                  <c:v>18.471914526409602</c:v>
                </c:pt>
                <c:pt idx="669">
                  <c:v>12.492580894403725</c:v>
                </c:pt>
                <c:pt idx="670">
                  <c:v>21.372311101494645</c:v>
                </c:pt>
                <c:pt idx="671">
                  <c:v>17.120713710854293</c:v>
                </c:pt>
                <c:pt idx="672">
                  <c:v>43.449852950423434</c:v>
                </c:pt>
                <c:pt idx="673">
                  <c:v>38.920826819910602</c:v>
                </c:pt>
                <c:pt idx="674">
                  <c:v>41.700878844816231</c:v>
                </c:pt>
                <c:pt idx="675">
                  <c:v>28.662929343289559</c:v>
                </c:pt>
                <c:pt idx="676">
                  <c:v>19.824205065024714</c:v>
                </c:pt>
                <c:pt idx="677">
                  <c:v>32.712529334129201</c:v>
                </c:pt>
                <c:pt idx="678">
                  <c:v>25.906053316372212</c:v>
                </c:pt>
                <c:pt idx="679">
                  <c:v>28.282236905463133</c:v>
                </c:pt>
                <c:pt idx="680">
                  <c:v>19.205778271812939</c:v>
                </c:pt>
                <c:pt idx="681">
                  <c:v>4.9019014237213536</c:v>
                </c:pt>
                <c:pt idx="682">
                  <c:v>-5.3671273609669727</c:v>
                </c:pt>
                <c:pt idx="683">
                  <c:v>-1.4050594960562302</c:v>
                </c:pt>
                <c:pt idx="684">
                  <c:v>9.9484809341812142</c:v>
                </c:pt>
                <c:pt idx="685">
                  <c:v>23.806007013625667</c:v>
                </c:pt>
                <c:pt idx="686">
                  <c:v>-6.8695747100875524</c:v>
                </c:pt>
                <c:pt idx="687">
                  <c:v>35.22059214006682</c:v>
                </c:pt>
                <c:pt idx="688">
                  <c:v>33.301921222396636</c:v>
                </c:pt>
                <c:pt idx="689">
                  <c:v>39.396284712836248</c:v>
                </c:pt>
                <c:pt idx="690">
                  <c:v>34.515796315759275</c:v>
                </c:pt>
                <c:pt idx="691">
                  <c:v>49.652056764752345</c:v>
                </c:pt>
                <c:pt idx="692">
                  <c:v>53.674904398995892</c:v>
                </c:pt>
                <c:pt idx="693">
                  <c:v>50.79445043089639</c:v>
                </c:pt>
                <c:pt idx="694">
                  <c:v>53.199442653517089</c:v>
                </c:pt>
                <c:pt idx="695">
                  <c:v>49.179055367107424</c:v>
                </c:pt>
                <c:pt idx="696">
                  <c:v>47.706663475139528</c:v>
                </c:pt>
                <c:pt idx="697">
                  <c:v>40.705822663309732</c:v>
                </c:pt>
                <c:pt idx="698">
                  <c:v>46.250067082574752</c:v>
                </c:pt>
                <c:pt idx="699">
                  <c:v>52.148813792574749</c:v>
                </c:pt>
                <c:pt idx="700">
                  <c:v>47.34539349257475</c:v>
                </c:pt>
                <c:pt idx="701">
                  <c:v>34.980642797234687</c:v>
                </c:pt>
                <c:pt idx="702">
                  <c:v>46.91182993680551</c:v>
                </c:pt>
                <c:pt idx="703">
                  <c:v>55.244007689643986</c:v>
                </c:pt>
                <c:pt idx="704">
                  <c:v>65.59688511957053</c:v>
                </c:pt>
                <c:pt idx="705">
                  <c:v>61.564635973311006</c:v>
                </c:pt>
                <c:pt idx="706">
                  <c:v>60.122880280399613</c:v>
                </c:pt>
                <c:pt idx="707">
                  <c:v>60.304999307049506</c:v>
                </c:pt>
                <c:pt idx="708">
                  <c:v>58.400546690090955</c:v>
                </c:pt>
                <c:pt idx="709">
                  <c:v>64.597000725875489</c:v>
                </c:pt>
                <c:pt idx="710">
                  <c:v>58.796714958759502</c:v>
                </c:pt>
                <c:pt idx="711">
                  <c:v>57.22857188944446</c:v>
                </c:pt>
                <c:pt idx="712">
                  <c:v>58.276482516774252</c:v>
                </c:pt>
                <c:pt idx="713">
                  <c:v>70.280094397333102</c:v>
                </c:pt>
                <c:pt idx="714">
                  <c:v>58.509276097110366</c:v>
                </c:pt>
                <c:pt idx="715">
                  <c:v>43.962870258805751</c:v>
                </c:pt>
                <c:pt idx="716">
                  <c:v>57.78131515988489</c:v>
                </c:pt>
                <c:pt idx="717">
                  <c:v>40.715133501670586</c:v>
                </c:pt>
                <c:pt idx="718">
                  <c:v>45.658566238157071</c:v>
                </c:pt>
                <c:pt idx="719">
                  <c:v>42.478594374720927</c:v>
                </c:pt>
                <c:pt idx="720">
                  <c:v>41.904752910443854</c:v>
                </c:pt>
                <c:pt idx="721">
                  <c:v>41.614332102499915</c:v>
                </c:pt>
                <c:pt idx="722">
                  <c:v>36.518925677857055</c:v>
                </c:pt>
                <c:pt idx="723">
                  <c:v>38.9002120097825</c:v>
                </c:pt>
                <c:pt idx="724">
                  <c:v>32.183589440875622</c:v>
                </c:pt>
                <c:pt idx="725">
                  <c:v>29.049763204444876</c:v>
                </c:pt>
                <c:pt idx="726">
                  <c:v>26.165855201122135</c:v>
                </c:pt>
                <c:pt idx="727">
                  <c:v>24.166168914622155</c:v>
                </c:pt>
                <c:pt idx="728">
                  <c:v>18.67991261033643</c:v>
                </c:pt>
                <c:pt idx="729">
                  <c:v>22.697563560445115</c:v>
                </c:pt>
                <c:pt idx="730">
                  <c:v>24.996599648059782</c:v>
                </c:pt>
                <c:pt idx="731">
                  <c:v>26.24379833839096</c:v>
                </c:pt>
                <c:pt idx="732">
                  <c:v>27.072043618555586</c:v>
                </c:pt>
                <c:pt idx="733">
                  <c:v>24.452102418986215</c:v>
                </c:pt>
                <c:pt idx="734">
                  <c:v>23.217259218319544</c:v>
                </c:pt>
                <c:pt idx="735">
                  <c:v>22.592350583926486</c:v>
                </c:pt>
                <c:pt idx="736">
                  <c:v>24.519135447921649</c:v>
                </c:pt>
                <c:pt idx="737">
                  <c:v>25.53477615018295</c:v>
                </c:pt>
                <c:pt idx="738">
                  <c:v>22.201160843914298</c:v>
                </c:pt>
                <c:pt idx="739">
                  <c:v>22.782418136751183</c:v>
                </c:pt>
                <c:pt idx="740">
                  <c:v>29.091274561589884</c:v>
                </c:pt>
                <c:pt idx="741">
                  <c:v>29.437467941950548</c:v>
                </c:pt>
                <c:pt idx="742">
                  <c:v>22.021253001950541</c:v>
                </c:pt>
                <c:pt idx="743">
                  <c:v>21.749542260068193</c:v>
                </c:pt>
                <c:pt idx="744">
                  <c:v>21.05361345415383</c:v>
                </c:pt>
                <c:pt idx="745">
                  <c:v>7.1105966413666906</c:v>
                </c:pt>
                <c:pt idx="746">
                  <c:v>8.2141024904627251</c:v>
                </c:pt>
                <c:pt idx="747">
                  <c:v>7.214140651382265</c:v>
                </c:pt>
                <c:pt idx="748">
                  <c:v>2.563845826582297</c:v>
                </c:pt>
                <c:pt idx="749">
                  <c:v>1.7122677819669287</c:v>
                </c:pt>
                <c:pt idx="750">
                  <c:v>5.256341615300256</c:v>
                </c:pt>
                <c:pt idx="751">
                  <c:v>1.026716288808583</c:v>
                </c:pt>
                <c:pt idx="752">
                  <c:v>3.0750123334792447</c:v>
                </c:pt>
                <c:pt idx="753">
                  <c:v>-5.3853475737554897</c:v>
                </c:pt>
                <c:pt idx="754">
                  <c:v>-1.7228397197482872</c:v>
                </c:pt>
                <c:pt idx="755">
                  <c:v>-5.5873817607686886</c:v>
                </c:pt>
                <c:pt idx="756">
                  <c:v>-8.2598743507459194</c:v>
                </c:pt>
                <c:pt idx="757">
                  <c:v>-4.9304360424750122</c:v>
                </c:pt>
                <c:pt idx="758">
                  <c:v>-4.3478384018668939</c:v>
                </c:pt>
                <c:pt idx="759">
                  <c:v>-2.400152326261364</c:v>
                </c:pt>
                <c:pt idx="760">
                  <c:v>2.3397505770999634</c:v>
                </c:pt>
                <c:pt idx="761">
                  <c:v>9.1567039087724034</c:v>
                </c:pt>
                <c:pt idx="762">
                  <c:v>8.9325506574958222</c:v>
                </c:pt>
                <c:pt idx="763">
                  <c:v>4.7217696187861566</c:v>
                </c:pt>
                <c:pt idx="764">
                  <c:v>12.317811451133538</c:v>
                </c:pt>
                <c:pt idx="765">
                  <c:v>16.306951149461302</c:v>
                </c:pt>
                <c:pt idx="766">
                  <c:v>20.376584184102065</c:v>
                </c:pt>
                <c:pt idx="767">
                  <c:v>16.131333407705409</c:v>
                </c:pt>
                <c:pt idx="768">
                  <c:v>13.705843131906587</c:v>
                </c:pt>
                <c:pt idx="769">
                  <c:v>17.269411195546159</c:v>
                </c:pt>
                <c:pt idx="770">
                  <c:v>12.372472811672001</c:v>
                </c:pt>
                <c:pt idx="771">
                  <c:v>14.708137975005339</c:v>
                </c:pt>
                <c:pt idx="772">
                  <c:v>1.1683513630421294</c:v>
                </c:pt>
                <c:pt idx="773">
                  <c:v>9.7752613003853295</c:v>
                </c:pt>
                <c:pt idx="774">
                  <c:v>16.503679296738646</c:v>
                </c:pt>
                <c:pt idx="775">
                  <c:v>11.592190327768675</c:v>
                </c:pt>
                <c:pt idx="776">
                  <c:v>19.117163233901788</c:v>
                </c:pt>
                <c:pt idx="777">
                  <c:v>33.361264429684944</c:v>
                </c:pt>
                <c:pt idx="778">
                  <c:v>26.909558506575074</c:v>
                </c:pt>
                <c:pt idx="779">
                  <c:v>33.691788325741733</c:v>
                </c:pt>
                <c:pt idx="780">
                  <c:v>41.080234203110152</c:v>
                </c:pt>
                <c:pt idx="781">
                  <c:v>49.553022138930096</c:v>
                </c:pt>
                <c:pt idx="782">
                  <c:v>42.830596806902889</c:v>
                </c:pt>
                <c:pt idx="783">
                  <c:v>54.995332239575106</c:v>
                </c:pt>
                <c:pt idx="784">
                  <c:v>40.134494615036374</c:v>
                </c:pt>
                <c:pt idx="785">
                  <c:v>40.921773782631341</c:v>
                </c:pt>
                <c:pt idx="786">
                  <c:v>65.536627745329881</c:v>
                </c:pt>
                <c:pt idx="787">
                  <c:v>79.200300825583597</c:v>
                </c:pt>
                <c:pt idx="788">
                  <c:v>92.780439631343242</c:v>
                </c:pt>
                <c:pt idx="789">
                  <c:v>64.131058561829036</c:v>
                </c:pt>
                <c:pt idx="790">
                  <c:v>69.823083216516537</c:v>
                </c:pt>
                <c:pt idx="791">
                  <c:v>61.965654504024101</c:v>
                </c:pt>
                <c:pt idx="792">
                  <c:v>69.197085257796275</c:v>
                </c:pt>
                <c:pt idx="793">
                  <c:v>49.73217768047666</c:v>
                </c:pt>
                <c:pt idx="794">
                  <c:v>27.358157134930696</c:v>
                </c:pt>
                <c:pt idx="795">
                  <c:v>4.6656460776380539</c:v>
                </c:pt>
                <c:pt idx="796">
                  <c:v>34.800802703690394</c:v>
                </c:pt>
                <c:pt idx="797">
                  <c:v>8.7540224814805647</c:v>
                </c:pt>
                <c:pt idx="798">
                  <c:v>13.516253256659736</c:v>
                </c:pt>
                <c:pt idx="799">
                  <c:v>24.263885668333955</c:v>
                </c:pt>
                <c:pt idx="800">
                  <c:v>42.534181322443501</c:v>
                </c:pt>
                <c:pt idx="801">
                  <c:v>49.006214745751009</c:v>
                </c:pt>
                <c:pt idx="802">
                  <c:v>48.153993310717496</c:v>
                </c:pt>
                <c:pt idx="803">
                  <c:v>33.565227078113359</c:v>
                </c:pt>
                <c:pt idx="804">
                  <c:v>55.466065896016552</c:v>
                </c:pt>
                <c:pt idx="805">
                  <c:v>27.745909839828467</c:v>
                </c:pt>
                <c:pt idx="806">
                  <c:v>10.554844264061666</c:v>
                </c:pt>
                <c:pt idx="807">
                  <c:v>14.823959452523201</c:v>
                </c:pt>
                <c:pt idx="808">
                  <c:v>2.751260468420631</c:v>
                </c:pt>
                <c:pt idx="809">
                  <c:v>-9.0093068525861053</c:v>
                </c:pt>
                <c:pt idx="810">
                  <c:v>-17.409032730152965</c:v>
                </c:pt>
                <c:pt idx="811">
                  <c:v>-12.593638801581541</c:v>
                </c:pt>
                <c:pt idx="812">
                  <c:v>-0.49448372980686545</c:v>
                </c:pt>
                <c:pt idx="813">
                  <c:v>-7.0504691591844821</c:v>
                </c:pt>
                <c:pt idx="814">
                  <c:v>-13.713472362016326</c:v>
                </c:pt>
                <c:pt idx="815">
                  <c:v>-19.653148571642241</c:v>
                </c:pt>
                <c:pt idx="816">
                  <c:v>-21.486906645603284</c:v>
                </c:pt>
                <c:pt idx="817">
                  <c:v>-20.802972094530322</c:v>
                </c:pt>
                <c:pt idx="818">
                  <c:v>-22.571976164042535</c:v>
                </c:pt>
                <c:pt idx="819">
                  <c:v>-21.379870447816121</c:v>
                </c:pt>
                <c:pt idx="820">
                  <c:v>-23.305074716207283</c:v>
                </c:pt>
                <c:pt idx="821">
                  <c:v>-23.360271194936558</c:v>
                </c:pt>
                <c:pt idx="822">
                  <c:v>-27.7553543639713</c:v>
                </c:pt>
                <c:pt idx="823">
                  <c:v>-18.351413083971302</c:v>
                </c:pt>
                <c:pt idx="824">
                  <c:v>-23.083475410887438</c:v>
                </c:pt>
                <c:pt idx="825">
                  <c:v>-21.306995517282552</c:v>
                </c:pt>
                <c:pt idx="826">
                  <c:v>-23.508418643993664</c:v>
                </c:pt>
                <c:pt idx="827">
                  <c:v>-24.17703023973624</c:v>
                </c:pt>
                <c:pt idx="828">
                  <c:v>-23.815324394646947</c:v>
                </c:pt>
                <c:pt idx="829">
                  <c:v>-23.426050833335477</c:v>
                </c:pt>
                <c:pt idx="830">
                  <c:v>-23.319825963091574</c:v>
                </c:pt>
                <c:pt idx="831">
                  <c:v>-23.942578197091574</c:v>
                </c:pt>
                <c:pt idx="832">
                  <c:v>-23.775185371698317</c:v>
                </c:pt>
                <c:pt idx="833">
                  <c:v>-23.767686162562512</c:v>
                </c:pt>
                <c:pt idx="834">
                  <c:v>-24.411832324534345</c:v>
                </c:pt>
                <c:pt idx="835">
                  <c:v>-23.784576915859649</c:v>
                </c:pt>
                <c:pt idx="836">
                  <c:v>-23.010377787347249</c:v>
                </c:pt>
                <c:pt idx="837">
                  <c:v>-23.914664774989525</c:v>
                </c:pt>
                <c:pt idx="838">
                  <c:v>-23.037420043830107</c:v>
                </c:pt>
                <c:pt idx="839">
                  <c:v>-22.781900591292786</c:v>
                </c:pt>
                <c:pt idx="840">
                  <c:v>-22.098509349678441</c:v>
                </c:pt>
                <c:pt idx="841">
                  <c:v>-20.969232973233996</c:v>
                </c:pt>
                <c:pt idx="842">
                  <c:v>-24.820758773233997</c:v>
                </c:pt>
                <c:pt idx="843">
                  <c:v>-25.934110305456215</c:v>
                </c:pt>
                <c:pt idx="844">
                  <c:v>-26.817202865045253</c:v>
                </c:pt>
                <c:pt idx="845">
                  <c:v>-26.796416476245248</c:v>
                </c:pt>
                <c:pt idx="846">
                  <c:v>-26.692493699473602</c:v>
                </c:pt>
                <c:pt idx="847">
                  <c:v>-26.871660892450699</c:v>
                </c:pt>
                <c:pt idx="848">
                  <c:v>-26.764432273403084</c:v>
                </c:pt>
                <c:pt idx="849">
                  <c:v>-27.081241958209283</c:v>
                </c:pt>
                <c:pt idx="850">
                  <c:v>-26.495178940516976</c:v>
                </c:pt>
                <c:pt idx="851">
                  <c:v>-27.206281082183644</c:v>
                </c:pt>
                <c:pt idx="852">
                  <c:v>-27.079325837580466</c:v>
                </c:pt>
                <c:pt idx="853">
                  <c:v>-27.190255927054153</c:v>
                </c:pt>
                <c:pt idx="854">
                  <c:v>-27.951625411161295</c:v>
                </c:pt>
                <c:pt idx="855">
                  <c:v>-28.59250397737906</c:v>
                </c:pt>
                <c:pt idx="856">
                  <c:v>-28.912316470800114</c:v>
                </c:pt>
                <c:pt idx="857">
                  <c:v>-27.912754699486861</c:v>
                </c:pt>
                <c:pt idx="858">
                  <c:v>-27.183964345042419</c:v>
                </c:pt>
                <c:pt idx="859">
                  <c:v>-26.873887200107362</c:v>
                </c:pt>
                <c:pt idx="860">
                  <c:v>-26.429798095635309</c:v>
                </c:pt>
                <c:pt idx="861">
                  <c:v>-26.217144268784487</c:v>
                </c:pt>
                <c:pt idx="862">
                  <c:v>-27.022530594065383</c:v>
                </c:pt>
                <c:pt idx="863">
                  <c:v>-26.6625852416824</c:v>
                </c:pt>
                <c:pt idx="864">
                  <c:v>-27.278928631053034</c:v>
                </c:pt>
                <c:pt idx="865">
                  <c:v>-27.365883204955086</c:v>
                </c:pt>
                <c:pt idx="866">
                  <c:v>-27.651738053929446</c:v>
                </c:pt>
                <c:pt idx="867">
                  <c:v>-27.81620601521977</c:v>
                </c:pt>
                <c:pt idx="868">
                  <c:v>-28.372943202342071</c:v>
                </c:pt>
                <c:pt idx="869">
                  <c:v>-29.078975598631384</c:v>
                </c:pt>
                <c:pt idx="870">
                  <c:v>-28.508572628790116</c:v>
                </c:pt>
                <c:pt idx="871">
                  <c:v>-28.245649457335567</c:v>
                </c:pt>
                <c:pt idx="872">
                  <c:v>-28.494529026529875</c:v>
                </c:pt>
                <c:pt idx="873">
                  <c:v>-29.081947386849027</c:v>
                </c:pt>
                <c:pt idx="874">
                  <c:v>-29.406009291059551</c:v>
                </c:pt>
                <c:pt idx="875">
                  <c:v>-28.103100776852649</c:v>
                </c:pt>
                <c:pt idx="876">
                  <c:v>-27.450730011378393</c:v>
                </c:pt>
                <c:pt idx="877">
                  <c:v>-27.003140159312274</c:v>
                </c:pt>
                <c:pt idx="878">
                  <c:v>-26.770470738525763</c:v>
                </c:pt>
                <c:pt idx="879">
                  <c:v>-27.827750667097195</c:v>
                </c:pt>
                <c:pt idx="880">
                  <c:v>-28.022503983763862</c:v>
                </c:pt>
                <c:pt idx="881">
                  <c:v>-28.072538116947719</c:v>
                </c:pt>
                <c:pt idx="882">
                  <c:v>-28.289247783614385</c:v>
                </c:pt>
                <c:pt idx="883">
                  <c:v>-27.683937366146026</c:v>
                </c:pt>
                <c:pt idx="884">
                  <c:v>-26.694542162447398</c:v>
                </c:pt>
                <c:pt idx="885">
                  <c:v>-26.716390200723257</c:v>
                </c:pt>
                <c:pt idx="886">
                  <c:v>-26.761249847552524</c:v>
                </c:pt>
                <c:pt idx="887">
                  <c:v>-24.497448238232128</c:v>
                </c:pt>
                <c:pt idx="888">
                  <c:v>-26.382843424664991</c:v>
                </c:pt>
                <c:pt idx="889">
                  <c:v>-26.871216423345842</c:v>
                </c:pt>
                <c:pt idx="890">
                  <c:v>-27.162504863874478</c:v>
                </c:pt>
                <c:pt idx="891">
                  <c:v>-27.226358839976566</c:v>
                </c:pt>
                <c:pt idx="892">
                  <c:v>-26.709443919148168</c:v>
                </c:pt>
                <c:pt idx="893">
                  <c:v>-28.115523614540333</c:v>
                </c:pt>
                <c:pt idx="894">
                  <c:v>-27.834586584540329</c:v>
                </c:pt>
                <c:pt idx="895">
                  <c:v>-27.485071332267598</c:v>
                </c:pt>
                <c:pt idx="896">
                  <c:v>-26.831123651299855</c:v>
                </c:pt>
                <c:pt idx="897">
                  <c:v>-26.420017228838311</c:v>
                </c:pt>
                <c:pt idx="898">
                  <c:v>-25.769171634535276</c:v>
                </c:pt>
                <c:pt idx="899">
                  <c:v>-25.079607965785272</c:v>
                </c:pt>
                <c:pt idx="900">
                  <c:v>-24.564425455704956</c:v>
                </c:pt>
                <c:pt idx="901">
                  <c:v>-24.399895652012646</c:v>
                </c:pt>
                <c:pt idx="902">
                  <c:v>-24.410443783864498</c:v>
                </c:pt>
                <c:pt idx="903">
                  <c:v>-22.24603699681942</c:v>
                </c:pt>
                <c:pt idx="904">
                  <c:v>-22.651143884652125</c:v>
                </c:pt>
                <c:pt idx="905">
                  <c:v>-18.41781828300223</c:v>
                </c:pt>
                <c:pt idx="906">
                  <c:v>-15.499565722684775</c:v>
                </c:pt>
                <c:pt idx="907">
                  <c:v>-13.121664640437583</c:v>
                </c:pt>
                <c:pt idx="908">
                  <c:v>-12.196294128327033</c:v>
                </c:pt>
                <c:pt idx="909">
                  <c:v>-11.849286789036249</c:v>
                </c:pt>
                <c:pt idx="910">
                  <c:v>-12.241854041278401</c:v>
                </c:pt>
                <c:pt idx="911">
                  <c:v>-11.874495956292019</c:v>
                </c:pt>
                <c:pt idx="912">
                  <c:v>-12.383238230138188</c:v>
                </c:pt>
                <c:pt idx="913">
                  <c:v>-12.041615889673075</c:v>
                </c:pt>
                <c:pt idx="914">
                  <c:v>-11.477450317033485</c:v>
                </c:pt>
                <c:pt idx="915">
                  <c:v>-11.964728975438797</c:v>
                </c:pt>
                <c:pt idx="916">
                  <c:v>-11.19039108587358</c:v>
                </c:pt>
                <c:pt idx="917">
                  <c:v>-11.742574242046421</c:v>
                </c:pt>
                <c:pt idx="918">
                  <c:v>-10.55281044545888</c:v>
                </c:pt>
                <c:pt idx="919">
                  <c:v>-12.283203897553266</c:v>
                </c:pt>
                <c:pt idx="920">
                  <c:v>-10.798824271729506</c:v>
                </c:pt>
                <c:pt idx="921">
                  <c:v>-10.223809985590895</c:v>
                </c:pt>
                <c:pt idx="922">
                  <c:v>-11.118781887212519</c:v>
                </c:pt>
                <c:pt idx="923">
                  <c:v>-11.693036688234423</c:v>
                </c:pt>
                <c:pt idx="924">
                  <c:v>-13.083997386802558</c:v>
                </c:pt>
                <c:pt idx="925">
                  <c:v>-15.089180275883438</c:v>
                </c:pt>
                <c:pt idx="926">
                  <c:v>-15.637929292227524</c:v>
                </c:pt>
                <c:pt idx="927">
                  <c:v>-13.243468848358717</c:v>
                </c:pt>
                <c:pt idx="928">
                  <c:v>-13.953687364712509</c:v>
                </c:pt>
                <c:pt idx="929">
                  <c:v>-11.591482616206017</c:v>
                </c:pt>
                <c:pt idx="930">
                  <c:v>-9.8544085674748736</c:v>
                </c:pt>
                <c:pt idx="931">
                  <c:v>-12.003293459678261</c:v>
                </c:pt>
                <c:pt idx="932">
                  <c:v>-8.901567000834131</c:v>
                </c:pt>
                <c:pt idx="933">
                  <c:v>-7.1890779141304364</c:v>
                </c:pt>
                <c:pt idx="934">
                  <c:v>-6.1753340721457022</c:v>
                </c:pt>
                <c:pt idx="935">
                  <c:v>-4.430723441164103</c:v>
                </c:pt>
                <c:pt idx="936">
                  <c:v>-4.5066793330391048</c:v>
                </c:pt>
                <c:pt idx="937">
                  <c:v>-3.5241899103467857</c:v>
                </c:pt>
                <c:pt idx="938">
                  <c:v>-2.4517431059329851</c:v>
                </c:pt>
                <c:pt idx="939">
                  <c:v>0.80717222764404173</c:v>
                </c:pt>
                <c:pt idx="940">
                  <c:v>-0.35679884608146906</c:v>
                </c:pt>
                <c:pt idx="941">
                  <c:v>1.2912324250949965</c:v>
                </c:pt>
                <c:pt idx="942">
                  <c:v>1.9750478745359945</c:v>
                </c:pt>
                <c:pt idx="943">
                  <c:v>14.196132049018741</c:v>
                </c:pt>
                <c:pt idx="944">
                  <c:v>7.5575395611645151</c:v>
                </c:pt>
                <c:pt idx="945">
                  <c:v>3.938660910272596</c:v>
                </c:pt>
                <c:pt idx="946">
                  <c:v>9.4297906146793729</c:v>
                </c:pt>
                <c:pt idx="947">
                  <c:v>30.09279181901902</c:v>
                </c:pt>
                <c:pt idx="948">
                  <c:v>24.429648146678684</c:v>
                </c:pt>
                <c:pt idx="949">
                  <c:v>24.745008747878678</c:v>
                </c:pt>
                <c:pt idx="950">
                  <c:v>25.617731466197771</c:v>
                </c:pt>
                <c:pt idx="951">
                  <c:v>26.510592607733699</c:v>
                </c:pt>
                <c:pt idx="952">
                  <c:v>28.313164373616047</c:v>
                </c:pt>
                <c:pt idx="953">
                  <c:v>31.004119360909282</c:v>
                </c:pt>
                <c:pt idx="954">
                  <c:v>31.917905514693057</c:v>
                </c:pt>
                <c:pt idx="955">
                  <c:v>29.610838136493065</c:v>
                </c:pt>
                <c:pt idx="956">
                  <c:v>30.796725438123509</c:v>
                </c:pt>
                <c:pt idx="957">
                  <c:v>29.626435889643254</c:v>
                </c:pt>
                <c:pt idx="958">
                  <c:v>30.186166545740811</c:v>
                </c:pt>
                <c:pt idx="959">
                  <c:v>31.41668778707087</c:v>
                </c:pt>
                <c:pt idx="960">
                  <c:v>31.818662459858327</c:v>
                </c:pt>
                <c:pt idx="961">
                  <c:v>31.190914820116056</c:v>
                </c:pt>
                <c:pt idx="962">
                  <c:v>32.085199967231432</c:v>
                </c:pt>
                <c:pt idx="963">
                  <c:v>29.03895585014406</c:v>
                </c:pt>
                <c:pt idx="964">
                  <c:v>29.864008072882356</c:v>
                </c:pt>
                <c:pt idx="965">
                  <c:v>29.758121388934136</c:v>
                </c:pt>
                <c:pt idx="966">
                  <c:v>29.996483175571303</c:v>
                </c:pt>
                <c:pt idx="967">
                  <c:v>30.115693566474533</c:v>
                </c:pt>
                <c:pt idx="968">
                  <c:v>28.545499573747264</c:v>
                </c:pt>
                <c:pt idx="969">
                  <c:v>24.723433702946785</c:v>
                </c:pt>
                <c:pt idx="970">
                  <c:v>28.334579245450957</c:v>
                </c:pt>
                <c:pt idx="971">
                  <c:v>25.868003257450969</c:v>
                </c:pt>
                <c:pt idx="972">
                  <c:v>28.16485705259382</c:v>
                </c:pt>
                <c:pt idx="973">
                  <c:v>25.566496390530336</c:v>
                </c:pt>
                <c:pt idx="974">
                  <c:v>30.094591265082066</c:v>
                </c:pt>
                <c:pt idx="975">
                  <c:v>30.26486774811465</c:v>
                </c:pt>
                <c:pt idx="976">
                  <c:v>34.360809156948584</c:v>
                </c:pt>
                <c:pt idx="977">
                  <c:v>29.434990872410424</c:v>
                </c:pt>
                <c:pt idx="978">
                  <c:v>26.188468677410423</c:v>
                </c:pt>
                <c:pt idx="979">
                  <c:v>26.900017836975639</c:v>
                </c:pt>
                <c:pt idx="980">
                  <c:v>28.203251475308971</c:v>
                </c:pt>
                <c:pt idx="981">
                  <c:v>24.338936749635213</c:v>
                </c:pt>
                <c:pt idx="982">
                  <c:v>29.274232131951006</c:v>
                </c:pt>
                <c:pt idx="983">
                  <c:v>32.747730922745049</c:v>
                </c:pt>
                <c:pt idx="984">
                  <c:v>32.041970780022609</c:v>
                </c:pt>
                <c:pt idx="985">
                  <c:v>31.706215889175816</c:v>
                </c:pt>
                <c:pt idx="986">
                  <c:v>30.931857692595077</c:v>
                </c:pt>
                <c:pt idx="987">
                  <c:v>31.146233165602119</c:v>
                </c:pt>
                <c:pt idx="988">
                  <c:v>29.366007764532345</c:v>
                </c:pt>
                <c:pt idx="989">
                  <c:v>24.618180893397525</c:v>
                </c:pt>
                <c:pt idx="990">
                  <c:v>20.020806260454304</c:v>
                </c:pt>
                <c:pt idx="991">
                  <c:v>20.161445197503483</c:v>
                </c:pt>
                <c:pt idx="992">
                  <c:v>21.650195946900702</c:v>
                </c:pt>
                <c:pt idx="993">
                  <c:v>20.145754790164411</c:v>
                </c:pt>
                <c:pt idx="994">
                  <c:v>17.901906087098865</c:v>
                </c:pt>
                <c:pt idx="995">
                  <c:v>18.883534540978044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F3-44F7-A5D2-F579D25B1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1104911"/>
        <c:axId val="241131951"/>
      </c:lineChart>
      <c:dateAx>
        <c:axId val="2411049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31951"/>
        <c:crosses val="autoZero"/>
        <c:auto val="1"/>
        <c:lblOffset val="100"/>
        <c:baseTimeUnit val="days"/>
      </c:dateAx>
      <c:valAx>
        <c:axId val="24113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04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433360-55CB-4F85-9386-4BCDEC06B906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0A58F4-5062-406F-8AFB-8D5DD8FDDE2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0.27982899999999999</v>
      </c>
      <c r="D2" s="4">
        <f>MIN(D3:D1912)</f>
        <v>1.565E-3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5.3370000000000001E-2</v>
      </c>
      <c r="C5">
        <v>5.3920000000000003E-2</v>
      </c>
      <c r="D5">
        <v>5.1909999999999998E-2</v>
      </c>
      <c r="E5">
        <v>5.1959999999999999E-2</v>
      </c>
      <c r="F5">
        <v>54522940.5</v>
      </c>
      <c r="G5">
        <v>5.1959999999999999E-2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-0.95024875621890414</v>
      </c>
      <c r="Q5">
        <f t="shared" ref="Q5" si="1">F5*P5</f>
        <v>-51810356.395522319</v>
      </c>
      <c r="R5">
        <f t="shared" ref="R5" si="2">R6+Q5</f>
        <v>94281419528.8564</v>
      </c>
      <c r="S5">
        <f t="shared" ref="S5" si="3">R5/100000</f>
        <v>942814.19528856396</v>
      </c>
      <c r="T5">
        <f t="shared" ref="T5" si="4">S5/1000</f>
        <v>942.81419528856395</v>
      </c>
    </row>
    <row r="6" spans="1:20" x14ac:dyDescent="0.25">
      <c r="A6" s="5">
        <v>44587</v>
      </c>
      <c r="B6">
        <v>5.3629999999999997E-2</v>
      </c>
      <c r="C6">
        <v>5.8880000000000002E-2</v>
      </c>
      <c r="D6">
        <v>5.1529999999999999E-2</v>
      </c>
      <c r="E6">
        <v>5.3370000000000001E-2</v>
      </c>
      <c r="F6">
        <v>1352063306.0999999</v>
      </c>
      <c r="G6">
        <v>5.3370000000000001E-2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-0.49931972789115625</v>
      </c>
      <c r="Q6">
        <f t="shared" ref="Q6" si="6">F6*P6</f>
        <v>-675111882.09346902</v>
      </c>
      <c r="R6">
        <f t="shared" ref="R6" si="7">R7+Q6</f>
        <v>94333229885.251923</v>
      </c>
      <c r="S6">
        <f t="shared" ref="S6" si="8">R6/100000</f>
        <v>943332.29885251925</v>
      </c>
      <c r="T6">
        <f t="shared" ref="T6" si="9">S6/1000</f>
        <v>943.33229885251922</v>
      </c>
    </row>
    <row r="7" spans="1:20" x14ac:dyDescent="0.25">
      <c r="A7" s="5">
        <v>44586</v>
      </c>
      <c r="B7">
        <v>5.1380000000000002E-2</v>
      </c>
      <c r="C7">
        <v>5.4300000000000001E-2</v>
      </c>
      <c r="D7">
        <v>4.9540000000000001E-2</v>
      </c>
      <c r="E7">
        <v>5.3629999999999997E-2</v>
      </c>
      <c r="F7">
        <v>930026501.60000002</v>
      </c>
      <c r="G7">
        <v>5.3629999999999997E-2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0.71848739495798153</v>
      </c>
      <c r="Q7">
        <f t="shared" ref="Q7" si="11">F7*P7</f>
        <v>668212318.37646902</v>
      </c>
      <c r="R7">
        <f t="shared" ref="R7" si="12">R8+Q7</f>
        <v>95008341767.345398</v>
      </c>
      <c r="S7">
        <f t="shared" ref="S7" si="13">R7/100000</f>
        <v>950083.41767345392</v>
      </c>
      <c r="T7">
        <f t="shared" ref="T7" si="14">S7/1000</f>
        <v>950.08341767345394</v>
      </c>
    </row>
    <row r="8" spans="1:20" x14ac:dyDescent="0.25">
      <c r="A8" s="5">
        <v>44585</v>
      </c>
      <c r="B8">
        <v>5.3150000000000003E-2</v>
      </c>
      <c r="C8">
        <v>5.3150000000000003E-2</v>
      </c>
      <c r="D8">
        <v>4.385E-2</v>
      </c>
      <c r="E8">
        <v>5.142E-2</v>
      </c>
      <c r="F8">
        <v>2041211328.9000001</v>
      </c>
      <c r="G8">
        <v>5.142E-2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0.62795698924731147</v>
      </c>
      <c r="Q8">
        <f t="shared" ref="Q8" si="16">F8*P8</f>
        <v>1281792920.5135477</v>
      </c>
      <c r="R8">
        <f t="shared" ref="R8" si="17">R9+Q8</f>
        <v>94340129448.968933</v>
      </c>
      <c r="S8">
        <f t="shared" ref="S8" si="18">R8/100000</f>
        <v>943401.29448968929</v>
      </c>
      <c r="T8">
        <f t="shared" ref="T8" si="19">S8/1000</f>
        <v>943.40129448968923</v>
      </c>
    </row>
    <row r="9" spans="1:20" x14ac:dyDescent="0.25">
      <c r="A9" s="5">
        <v>44584</v>
      </c>
      <c r="B9">
        <v>5.1619999999999999E-2</v>
      </c>
      <c r="C9">
        <v>5.4629999999999998E-2</v>
      </c>
      <c r="D9">
        <v>0.05</v>
      </c>
      <c r="E9">
        <v>5.314E-2</v>
      </c>
      <c r="F9">
        <v>1134085780</v>
      </c>
      <c r="G9">
        <v>5.314E-2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0.35637149028077764</v>
      </c>
      <c r="Q9">
        <f t="shared" ref="Q9" si="21">F9*P9</f>
        <v>404155839.52483815</v>
      </c>
      <c r="R9">
        <f t="shared" ref="R9" si="22">R10+Q9</f>
        <v>93058336528.455383</v>
      </c>
      <c r="S9">
        <f t="shared" ref="S9" si="23">R9/100000</f>
        <v>930583.36528455385</v>
      </c>
      <c r="T9">
        <f t="shared" ref="T9" si="24">S9/1000</f>
        <v>930.58336528455379</v>
      </c>
    </row>
    <row r="10" spans="1:20" x14ac:dyDescent="0.25">
      <c r="A10" s="5">
        <v>44583</v>
      </c>
      <c r="B10">
        <v>5.7410000000000003E-2</v>
      </c>
      <c r="C10">
        <v>5.9220000000000002E-2</v>
      </c>
      <c r="D10">
        <v>4.4819999999999999E-2</v>
      </c>
      <c r="E10">
        <v>5.1630000000000002E-2</v>
      </c>
      <c r="F10">
        <v>2201946906</v>
      </c>
      <c r="G10">
        <v>5.1630000000000002E-2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-5.4166666666666377E-2</v>
      </c>
      <c r="Q10">
        <f t="shared" ref="Q10" si="26">F10*P10</f>
        <v>-119272124.07499936</v>
      </c>
      <c r="R10">
        <f t="shared" ref="R10" si="27">R11+Q10</f>
        <v>92654180688.930542</v>
      </c>
      <c r="S10">
        <f t="shared" ref="S10" si="28">R10/100000</f>
        <v>926541.80688930547</v>
      </c>
      <c r="T10">
        <f t="shared" ref="T10" si="29">S10/1000</f>
        <v>926.54180688930546</v>
      </c>
    </row>
    <row r="11" spans="1:20" x14ac:dyDescent="0.25">
      <c r="A11" s="5">
        <v>44582</v>
      </c>
      <c r="B11">
        <v>6.7589999999999997E-2</v>
      </c>
      <c r="C11">
        <v>6.8890000000000007E-2</v>
      </c>
      <c r="D11">
        <v>5.5559999999999998E-2</v>
      </c>
      <c r="E11">
        <v>5.7459999999999997E-2</v>
      </c>
      <c r="F11">
        <v>1459868061.2</v>
      </c>
      <c r="G11">
        <v>5.7459999999999997E-2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-0.71492873218304609</v>
      </c>
      <c r="Q11">
        <f t="shared" ref="Q11" si="31">F11*P11</f>
        <v>-1043701622.1482376</v>
      </c>
      <c r="R11">
        <f t="shared" ref="R11" si="32">R12+Q11</f>
        <v>92773452813.005539</v>
      </c>
      <c r="S11">
        <f t="shared" ref="S11" si="33">R11/100000</f>
        <v>927734.52813005541</v>
      </c>
      <c r="T11">
        <f t="shared" ref="T11" si="34">S11/1000</f>
        <v>927.73452813005542</v>
      </c>
    </row>
    <row r="12" spans="1:20" x14ac:dyDescent="0.25">
      <c r="A12" s="5">
        <v>44581</v>
      </c>
      <c r="B12">
        <v>7.0730000000000001E-2</v>
      </c>
      <c r="C12">
        <v>7.4810000000000001E-2</v>
      </c>
      <c r="D12">
        <v>6.7030000000000006E-2</v>
      </c>
      <c r="E12">
        <v>6.7599999999999993E-2</v>
      </c>
      <c r="F12">
        <v>545805279</v>
      </c>
      <c r="G12">
        <v>6.7599999999999993E-2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-0.85347043701799807</v>
      </c>
      <c r="Q12">
        <f t="shared" ref="Q12" si="36">F12*P12</f>
        <v>-465828669.99486035</v>
      </c>
      <c r="R12">
        <f t="shared" ref="R12" si="37">R13+Q12</f>
        <v>93817154435.153778</v>
      </c>
      <c r="S12">
        <f t="shared" ref="S12" si="38">R12/100000</f>
        <v>938171.54435153783</v>
      </c>
      <c r="T12">
        <f t="shared" ref="T12" si="39">S12/1000</f>
        <v>938.17154435153782</v>
      </c>
    </row>
    <row r="13" spans="1:20" x14ac:dyDescent="0.25">
      <c r="A13" s="5">
        <v>44580</v>
      </c>
      <c r="B13">
        <v>7.4130000000000001E-2</v>
      </c>
      <c r="C13">
        <v>7.4759999999999993E-2</v>
      </c>
      <c r="D13">
        <v>7.0180000000000006E-2</v>
      </c>
      <c r="E13">
        <v>7.0730000000000001E-2</v>
      </c>
      <c r="F13">
        <v>417930420.5</v>
      </c>
      <c r="G13">
        <v>7.0730000000000001E-2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-0.75982532751091858</v>
      </c>
      <c r="Q13">
        <f t="shared" ref="Q13" si="41">F13*P13</f>
        <v>-317554118.63318843</v>
      </c>
      <c r="R13">
        <f t="shared" ref="R13" si="42">R14+Q13</f>
        <v>94282983105.148636</v>
      </c>
      <c r="S13">
        <f t="shared" ref="S13" si="43">R13/100000</f>
        <v>942829.83105148631</v>
      </c>
      <c r="T13">
        <f t="shared" ref="T13" si="44">S13/1000</f>
        <v>942.82983105148628</v>
      </c>
    </row>
    <row r="14" spans="1:20" x14ac:dyDescent="0.25">
      <c r="A14" s="5">
        <v>44579</v>
      </c>
      <c r="B14">
        <v>7.5230000000000005E-2</v>
      </c>
      <c r="C14">
        <v>7.6050000000000006E-2</v>
      </c>
      <c r="D14">
        <v>7.2099999999999997E-2</v>
      </c>
      <c r="E14">
        <v>7.4139999999999998E-2</v>
      </c>
      <c r="F14">
        <v>461742766</v>
      </c>
      <c r="G14">
        <v>7.4139999999999998E-2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3.2911392405060996E-2</v>
      </c>
      <c r="Q14">
        <f t="shared" ref="Q14" si="46">F14*P14</f>
        <v>15196597.362024257</v>
      </c>
      <c r="R14">
        <f t="shared" ref="R14" si="47">R15+Q14</f>
        <v>94600537223.78183</v>
      </c>
      <c r="S14">
        <f t="shared" ref="S14" si="48">R14/100000</f>
        <v>946005.37223781832</v>
      </c>
      <c r="T14">
        <f t="shared" ref="T14" si="49">S14/1000</f>
        <v>946.00537223781828</v>
      </c>
    </row>
    <row r="15" spans="1:20" x14ac:dyDescent="0.25">
      <c r="A15" s="5">
        <v>44578</v>
      </c>
      <c r="B15">
        <v>7.843E-2</v>
      </c>
      <c r="C15">
        <v>7.8589999999999993E-2</v>
      </c>
      <c r="D15">
        <v>7.3709999999999998E-2</v>
      </c>
      <c r="E15">
        <v>7.5190000000000007E-2</v>
      </c>
      <c r="F15">
        <v>457631641.69999999</v>
      </c>
      <c r="G15">
        <v>7.5190000000000007E-2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-0.39344262295081539</v>
      </c>
      <c r="Q15">
        <f t="shared" ref="Q15" si="51">F15*P15</f>
        <v>-180051793.45573574</v>
      </c>
      <c r="R15">
        <f t="shared" ref="R15" si="52">R16+Q15</f>
        <v>94585340626.4198</v>
      </c>
      <c r="S15">
        <f t="shared" ref="S15" si="53">R15/100000</f>
        <v>945853.40626419801</v>
      </c>
      <c r="T15">
        <f t="shared" ref="T15" si="54">S15/1000</f>
        <v>945.85340626419804</v>
      </c>
    </row>
    <row r="16" spans="1:20" x14ac:dyDescent="0.25">
      <c r="A16" s="5">
        <v>44577</v>
      </c>
      <c r="B16">
        <v>7.8509999999999996E-2</v>
      </c>
      <c r="C16">
        <v>7.979E-2</v>
      </c>
      <c r="D16">
        <v>7.7100000000000002E-2</v>
      </c>
      <c r="E16">
        <v>7.8439999999999996E-2</v>
      </c>
      <c r="F16">
        <v>309592034.39999998</v>
      </c>
      <c r="G16">
        <v>7.8439999999999996E-2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-3.7174721189628286E-3</v>
      </c>
      <c r="Q16">
        <f t="shared" ref="Q16" si="56">F16*P16</f>
        <v>-1150899.7561349808</v>
      </c>
      <c r="R16">
        <f t="shared" ref="R16" si="57">R17+Q16</f>
        <v>94765392419.875534</v>
      </c>
      <c r="S16">
        <f t="shared" ref="S16" si="58">R16/100000</f>
        <v>947653.9241987553</v>
      </c>
      <c r="T16">
        <f t="shared" ref="T16" si="59">S16/1000</f>
        <v>947.65392419875525</v>
      </c>
    </row>
    <row r="17" spans="1:20" x14ac:dyDescent="0.25">
      <c r="A17" s="5">
        <v>44576</v>
      </c>
      <c r="B17">
        <v>7.9009999999999997E-2</v>
      </c>
      <c r="C17">
        <v>8.0130000000000007E-2</v>
      </c>
      <c r="D17">
        <v>7.7460000000000001E-2</v>
      </c>
      <c r="E17">
        <v>7.8509999999999996E-2</v>
      </c>
      <c r="F17">
        <v>309481916.60000002</v>
      </c>
      <c r="G17">
        <v>7.8509999999999996E-2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-0.21348314606742086</v>
      </c>
      <c r="Q17">
        <f t="shared" ref="Q17" si="61">F17*P17</f>
        <v>-66069173.206743166</v>
      </c>
      <c r="R17">
        <f t="shared" ref="R17" si="62">R18+Q17</f>
        <v>94766543319.631668</v>
      </c>
      <c r="S17">
        <f t="shared" ref="S17" si="63">R17/100000</f>
        <v>947665.43319631671</v>
      </c>
      <c r="T17">
        <f t="shared" ref="T17" si="64">S17/1000</f>
        <v>947.66543319631671</v>
      </c>
    </row>
    <row r="18" spans="1:20" x14ac:dyDescent="0.25">
      <c r="A18" s="5">
        <v>44575</v>
      </c>
      <c r="B18">
        <v>7.7770000000000006E-2</v>
      </c>
      <c r="C18">
        <v>7.9799999999999996E-2</v>
      </c>
      <c r="D18">
        <v>7.5420000000000001E-2</v>
      </c>
      <c r="E18">
        <v>7.8979999999999995E-2</v>
      </c>
      <c r="F18">
        <v>453753455.19999999</v>
      </c>
      <c r="G18">
        <v>7.8979999999999995E-2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0.62557077625570678</v>
      </c>
      <c r="Q18">
        <f t="shared" ref="Q18" si="66">F18*P18</f>
        <v>283854901.19817305</v>
      </c>
      <c r="R18">
        <f t="shared" ref="R18" si="67">R19+Q18</f>
        <v>94832612492.838409</v>
      </c>
      <c r="S18">
        <f t="shared" ref="S18" si="68">R18/100000</f>
        <v>948326.12492838409</v>
      </c>
      <c r="T18">
        <f t="shared" ref="T18" si="69">S18/1000</f>
        <v>948.32612492838405</v>
      </c>
    </row>
    <row r="19" spans="1:20" x14ac:dyDescent="0.25">
      <c r="A19" s="5">
        <v>44574</v>
      </c>
      <c r="B19">
        <v>8.2379999999999995E-2</v>
      </c>
      <c r="C19">
        <v>8.3140000000000006E-2</v>
      </c>
      <c r="D19">
        <v>7.6740000000000003E-2</v>
      </c>
      <c r="E19">
        <v>7.7770000000000006E-2</v>
      </c>
      <c r="F19">
        <v>686404974.5</v>
      </c>
      <c r="G19">
        <v>7.7770000000000006E-2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-0.6781249999999992</v>
      </c>
      <c r="Q19">
        <f t="shared" ref="Q19" si="71">F19*P19</f>
        <v>-465468373.33281195</v>
      </c>
      <c r="R19">
        <f t="shared" ref="R19" si="72">R20+Q19</f>
        <v>94548757591.640244</v>
      </c>
      <c r="S19">
        <f t="shared" ref="S19" si="73">R19/100000</f>
        <v>945487.57591640239</v>
      </c>
      <c r="T19">
        <f t="shared" ref="T19" si="74">S19/1000</f>
        <v>945.48757591640242</v>
      </c>
    </row>
    <row r="20" spans="1:20" x14ac:dyDescent="0.25">
      <c r="A20" s="5">
        <v>44573</v>
      </c>
      <c r="B20">
        <v>7.6679999999999998E-2</v>
      </c>
      <c r="C20">
        <v>8.2559999999999995E-2</v>
      </c>
      <c r="D20">
        <v>7.6649999999999996E-2</v>
      </c>
      <c r="E20">
        <v>8.2379999999999995E-2</v>
      </c>
      <c r="F20">
        <v>605834341.39999998</v>
      </c>
      <c r="G20">
        <v>8.2379999999999995E-2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0.93908629441624381</v>
      </c>
      <c r="Q20">
        <f t="shared" ref="Q20" si="76">F20*P20</f>
        <v>568930726.69543159</v>
      </c>
      <c r="R20">
        <f t="shared" ref="R20" si="77">R21+Q20</f>
        <v>95014225964.973053</v>
      </c>
      <c r="S20">
        <f t="shared" ref="S20" si="78">R20/100000</f>
        <v>950142.25964973052</v>
      </c>
      <c r="T20">
        <f t="shared" ref="T20" si="79">S20/1000</f>
        <v>950.14225964973048</v>
      </c>
    </row>
    <row r="21" spans="1:20" x14ac:dyDescent="0.25">
      <c r="A21" s="5">
        <v>44572</v>
      </c>
      <c r="B21">
        <v>7.3029999999999998E-2</v>
      </c>
      <c r="C21">
        <v>7.6920000000000002E-2</v>
      </c>
      <c r="D21">
        <v>7.2069999999999995E-2</v>
      </c>
      <c r="E21">
        <v>7.6609999999999998E-2</v>
      </c>
      <c r="F21">
        <v>516427699.89999998</v>
      </c>
      <c r="G21">
        <v>7.6609999999999998E-2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0.87216494845360648</v>
      </c>
      <c r="Q21">
        <f t="shared" ref="Q21" si="81">F21*P21</f>
        <v>450410138.26329803</v>
      </c>
      <c r="R21">
        <f t="shared" ref="R21" si="82">R22+Q21</f>
        <v>94445295238.277618</v>
      </c>
      <c r="S21">
        <f t="shared" ref="S21" si="83">R21/100000</f>
        <v>944452.95238277619</v>
      </c>
      <c r="T21">
        <f t="shared" ref="T21" si="84">S21/1000</f>
        <v>944.45295238277617</v>
      </c>
    </row>
    <row r="22" spans="1:20" x14ac:dyDescent="0.25">
      <c r="A22" s="5">
        <v>44571</v>
      </c>
      <c r="B22">
        <v>7.6609999999999998E-2</v>
      </c>
      <c r="C22">
        <v>7.7689999999999995E-2</v>
      </c>
      <c r="D22">
        <v>6.8900000000000003E-2</v>
      </c>
      <c r="E22">
        <v>7.3020000000000002E-2</v>
      </c>
      <c r="F22">
        <v>767725424.70000005</v>
      </c>
      <c r="G22">
        <v>7.3020000000000002E-2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-6.2571103526734409E-2</v>
      </c>
      <c r="Q22">
        <f t="shared" ref="Q22" si="86">F22*P22</f>
        <v>-48037427.029009841</v>
      </c>
      <c r="R22">
        <f t="shared" ref="R22" si="87">R23+Q22</f>
        <v>93994885100.014328</v>
      </c>
      <c r="S22">
        <f t="shared" ref="S22" si="88">R22/100000</f>
        <v>939948.85100014333</v>
      </c>
      <c r="T22">
        <f t="shared" ref="T22" si="89">S22/1000</f>
        <v>939.94885100014335</v>
      </c>
    </row>
    <row r="23" spans="1:20" x14ac:dyDescent="0.25">
      <c r="A23" s="5">
        <v>44570</v>
      </c>
      <c r="B23">
        <v>7.5490000000000002E-2</v>
      </c>
      <c r="C23">
        <v>7.8990000000000005E-2</v>
      </c>
      <c r="D23">
        <v>7.4499999999999997E-2</v>
      </c>
      <c r="E23">
        <v>7.6630000000000004E-2</v>
      </c>
      <c r="F23">
        <v>484046371</v>
      </c>
      <c r="G23">
        <v>7.6630000000000004E-2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-5.1224944320711292E-2</v>
      </c>
      <c r="Q23">
        <f t="shared" ref="Q23" si="91">F23*P23</f>
        <v>-24795248.403117362</v>
      </c>
      <c r="R23">
        <f t="shared" ref="R23" si="92">R24+Q23</f>
        <v>94042922527.043335</v>
      </c>
      <c r="S23">
        <f t="shared" ref="S23" si="93">R23/100000</f>
        <v>940429.22527043335</v>
      </c>
      <c r="T23">
        <f t="shared" ref="T23" si="94">S23/1000</f>
        <v>940.42922527043334</v>
      </c>
    </row>
    <row r="24" spans="1:20" x14ac:dyDescent="0.25">
      <c r="A24" s="5">
        <v>44569</v>
      </c>
      <c r="B24">
        <v>7.8619999999999995E-2</v>
      </c>
      <c r="C24">
        <v>8.0799999999999997E-2</v>
      </c>
      <c r="D24">
        <v>7.1879999999999999E-2</v>
      </c>
      <c r="E24">
        <v>7.5450000000000003E-2</v>
      </c>
      <c r="F24">
        <v>664419206.20000005</v>
      </c>
      <c r="G24">
        <v>7.5450000000000003E-2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-0.1995515695067254</v>
      </c>
      <c r="Q24">
        <f t="shared" ref="Q24" si="96">F24*P24</f>
        <v>-132585895.40762262</v>
      </c>
      <c r="R24">
        <f t="shared" ref="R24" si="97">R25+Q24</f>
        <v>94067717775.446457</v>
      </c>
      <c r="S24">
        <f t="shared" ref="S24" si="98">R24/100000</f>
        <v>940677.17775446456</v>
      </c>
      <c r="T24">
        <f t="shared" ref="T24" si="99">S24/1000</f>
        <v>940.67717775446454</v>
      </c>
    </row>
    <row r="25" spans="1:20" x14ac:dyDescent="0.25">
      <c r="A25" s="5">
        <v>44568</v>
      </c>
      <c r="B25">
        <v>8.2530000000000006E-2</v>
      </c>
      <c r="C25">
        <v>8.2949999999999996E-2</v>
      </c>
      <c r="D25">
        <v>7.621E-2</v>
      </c>
      <c r="E25">
        <v>7.8609999999999999E-2</v>
      </c>
      <c r="F25">
        <v>892450651.89999998</v>
      </c>
      <c r="G25">
        <v>7.8609999999999999E-2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-0.28783382789317485</v>
      </c>
      <c r="Q25">
        <f t="shared" ref="Q25" si="101">F25*P25</f>
        <v>-256877487.34213629</v>
      </c>
      <c r="R25">
        <f t="shared" ref="R25" si="102">R26+Q25</f>
        <v>94200303670.85408</v>
      </c>
      <c r="S25">
        <f t="shared" ref="S25" si="103">R25/100000</f>
        <v>942003.03670854075</v>
      </c>
      <c r="T25">
        <f t="shared" ref="T25" si="104">S25/1000</f>
        <v>942.00303670854078</v>
      </c>
    </row>
    <row r="26" spans="1:20" x14ac:dyDescent="0.25">
      <c r="A26" s="5">
        <v>44567</v>
      </c>
      <c r="B26">
        <v>8.4620000000000001E-2</v>
      </c>
      <c r="C26">
        <v>8.4940000000000002E-2</v>
      </c>
      <c r="D26">
        <v>8.0339999999999995E-2</v>
      </c>
      <c r="E26">
        <v>8.2570000000000005E-2</v>
      </c>
      <c r="F26">
        <v>880427597.10000002</v>
      </c>
      <c r="G26">
        <v>8.2570000000000005E-2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-3.0434782608692857E-2</v>
      </c>
      <c r="Q26">
        <f t="shared" ref="Q26" si="106">F26*P26</f>
        <v>-26795622.520432323</v>
      </c>
      <c r="R26">
        <f t="shared" ref="R26" si="107">R27+Q26</f>
        <v>94457181158.196213</v>
      </c>
      <c r="S26">
        <f t="shared" ref="S26" si="108">R26/100000</f>
        <v>944571.81158196216</v>
      </c>
      <c r="T26">
        <f t="shared" ref="T26" si="109">S26/1000</f>
        <v>944.57181158196215</v>
      </c>
    </row>
    <row r="27" spans="1:20" x14ac:dyDescent="0.25">
      <c r="A27" s="5">
        <v>44566</v>
      </c>
      <c r="B27">
        <v>8.5889999999999994E-2</v>
      </c>
      <c r="C27">
        <v>9.6000000000000002E-2</v>
      </c>
      <c r="D27">
        <v>7.8549999999999995E-2</v>
      </c>
      <c r="E27">
        <v>8.4610000000000005E-2</v>
      </c>
      <c r="F27">
        <v>1756726493.9000001</v>
      </c>
      <c r="G27">
        <v>8.4610000000000005E-2</v>
      </c>
      <c r="L27" t="s">
        <v>8</v>
      </c>
      <c r="M27" t="s">
        <v>7</v>
      </c>
      <c r="N27" t="s">
        <v>8</v>
      </c>
      <c r="P27">
        <f t="shared" ref="P27" si="110">IF(C27=D27,0,((E27-D27)-(C27-E27))/(C27-D27))</f>
        <v>-0.30544412607449772</v>
      </c>
      <c r="Q27">
        <f t="shared" ref="Q27" si="111">F27*P27</f>
        <v>-536581788.68120199</v>
      </c>
      <c r="R27">
        <f t="shared" ref="R27" si="112">R28+Q27</f>
        <v>94483976780.716644</v>
      </c>
      <c r="S27">
        <f t="shared" ref="S27" si="113">R27/100000</f>
        <v>944839.76780716644</v>
      </c>
      <c r="T27">
        <f t="shared" ref="T27" si="114">S27/1000</f>
        <v>944.83976780716648</v>
      </c>
    </row>
    <row r="28" spans="1:20" x14ac:dyDescent="0.25">
      <c r="A28" s="5">
        <v>44565</v>
      </c>
      <c r="B28">
        <v>8.5889999999999994E-2</v>
      </c>
      <c r="C28">
        <v>8.9800000000000005E-2</v>
      </c>
      <c r="D28">
        <v>8.3669999999999994E-2</v>
      </c>
      <c r="E28">
        <v>8.5900000000000004E-2</v>
      </c>
      <c r="F28">
        <v>634447337.29999995</v>
      </c>
      <c r="G28">
        <v>8.5900000000000004E-2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-0.27243066884175987</v>
      </c>
      <c r="Q28">
        <f t="shared" ref="Q28" si="116">F28*P28</f>
        <v>-172842912.44551262</v>
      </c>
      <c r="R28">
        <f t="shared" ref="R28" si="117">R29+Q28</f>
        <v>95020558569.397842</v>
      </c>
      <c r="S28">
        <f t="shared" ref="S28" si="118">R28/100000</f>
        <v>950205.58569397847</v>
      </c>
      <c r="T28">
        <f t="shared" ref="T28" si="119">S28/1000</f>
        <v>950.20558569397849</v>
      </c>
    </row>
    <row r="29" spans="1:20" x14ac:dyDescent="0.25">
      <c r="A29" s="5">
        <v>44564</v>
      </c>
      <c r="B29">
        <v>8.7120000000000003E-2</v>
      </c>
      <c r="C29">
        <v>8.8900000000000007E-2</v>
      </c>
      <c r="D29">
        <v>8.4279999999999994E-2</v>
      </c>
      <c r="E29">
        <v>8.5870000000000002E-2</v>
      </c>
      <c r="F29">
        <v>526544835.5</v>
      </c>
      <c r="G29">
        <v>8.5870000000000002E-2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-0.31168831168831013</v>
      </c>
      <c r="Q29">
        <f t="shared" ref="Q29" si="121">F29*P29</f>
        <v>-164117870.80519399</v>
      </c>
      <c r="R29">
        <f t="shared" ref="R29" si="122">R30+Q29</f>
        <v>95193401481.843353</v>
      </c>
      <c r="S29">
        <f t="shared" ref="S29" si="123">R29/100000</f>
        <v>951934.01481843356</v>
      </c>
      <c r="T29">
        <f t="shared" ref="T29" si="124">S29/1000</f>
        <v>951.93401481843352</v>
      </c>
    </row>
    <row r="30" spans="1:20" x14ac:dyDescent="0.25">
      <c r="A30" s="5">
        <v>44563</v>
      </c>
      <c r="B30">
        <v>8.6620000000000003E-2</v>
      </c>
      <c r="C30">
        <v>8.8840000000000002E-2</v>
      </c>
      <c r="D30">
        <v>8.4659999999999999E-2</v>
      </c>
      <c r="E30">
        <v>8.7139999999999995E-2</v>
      </c>
      <c r="F30">
        <v>330214486.60000002</v>
      </c>
      <c r="G30">
        <v>8.7139999999999995E-2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0.18660287081339436</v>
      </c>
      <c r="Q30">
        <f t="shared" ref="Q30" si="126">F30*P30</f>
        <v>61618971.183731146</v>
      </c>
      <c r="R30">
        <f t="shared" ref="R30" si="127">R31+Q30</f>
        <v>95357519352.648544</v>
      </c>
      <c r="S30">
        <f t="shared" ref="S30" si="128">R30/100000</f>
        <v>953575.19352648547</v>
      </c>
      <c r="T30">
        <f t="shared" ref="T30" si="129">S30/1000</f>
        <v>953.57519352648546</v>
      </c>
    </row>
    <row r="31" spans="1:20" x14ac:dyDescent="0.25">
      <c r="A31" s="5">
        <v>44562</v>
      </c>
      <c r="B31">
        <v>8.2659999999999997E-2</v>
      </c>
      <c r="C31">
        <v>8.6900000000000005E-2</v>
      </c>
      <c r="D31">
        <v>8.2640000000000005E-2</v>
      </c>
      <c r="E31">
        <v>8.6580000000000004E-2</v>
      </c>
      <c r="F31">
        <v>302321094.10000002</v>
      </c>
      <c r="G31">
        <v>8.6580000000000004E-2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0.84976525821596205</v>
      </c>
      <c r="Q31">
        <f t="shared" ref="Q31" si="131">F31*P31</f>
        <v>256901962.59201869</v>
      </c>
      <c r="R31">
        <f t="shared" ref="R31" si="132">R32+Q31</f>
        <v>95295900381.464813</v>
      </c>
      <c r="S31">
        <f t="shared" ref="S31" si="133">R31/100000</f>
        <v>952959.00381464814</v>
      </c>
      <c r="T31">
        <f t="shared" ref="T31" si="134">S31/1000</f>
        <v>952.9590038146481</v>
      </c>
    </row>
    <row r="32" spans="1:20" x14ac:dyDescent="0.25">
      <c r="A32" s="5">
        <v>44561</v>
      </c>
      <c r="B32">
        <v>8.4620000000000001E-2</v>
      </c>
      <c r="C32">
        <v>8.7389999999999995E-2</v>
      </c>
      <c r="D32">
        <v>8.0860000000000001E-2</v>
      </c>
      <c r="E32">
        <v>8.2669999999999993E-2</v>
      </c>
      <c r="F32">
        <v>484161274.60000002</v>
      </c>
      <c r="G32">
        <v>8.2669999999999993E-2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-0.4456355283307829</v>
      </c>
      <c r="Q32">
        <f t="shared" ref="Q32" si="136">F32*P32</f>
        <v>-215759465.40367627</v>
      </c>
      <c r="R32">
        <f t="shared" ref="R32" si="137">R33+Q32</f>
        <v>95038998418.872787</v>
      </c>
      <c r="S32">
        <f t="shared" ref="S32" si="138">R32/100000</f>
        <v>950389.98418872792</v>
      </c>
      <c r="T32">
        <f t="shared" ref="T32" si="139">S32/1000</f>
        <v>950.38998418872791</v>
      </c>
    </row>
    <row r="33" spans="1:20" x14ac:dyDescent="0.25">
      <c r="A33" s="5">
        <v>44560</v>
      </c>
      <c r="B33">
        <v>8.2580000000000001E-2</v>
      </c>
      <c r="C33">
        <v>8.6550000000000002E-2</v>
      </c>
      <c r="D33">
        <v>8.0649999999999999E-2</v>
      </c>
      <c r="E33">
        <v>8.4610000000000005E-2</v>
      </c>
      <c r="F33">
        <v>512838970.5</v>
      </c>
      <c r="G33">
        <v>8.4610000000000005E-2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0.34237288135593341</v>
      </c>
      <c r="Q33">
        <f t="shared" ref="Q33" si="141">F33*P33</f>
        <v>175582156.00169554</v>
      </c>
      <c r="R33">
        <f t="shared" ref="R33" si="142">R34+Q33</f>
        <v>95254757884.276459</v>
      </c>
      <c r="S33">
        <f t="shared" ref="S33" si="143">R33/100000</f>
        <v>952547.5788427646</v>
      </c>
      <c r="T33">
        <f t="shared" ref="T33" si="144">S33/1000</f>
        <v>952.54757884276455</v>
      </c>
    </row>
    <row r="34" spans="1:20" x14ac:dyDescent="0.25">
      <c r="A34" s="5">
        <v>44559</v>
      </c>
      <c r="B34">
        <v>8.7650000000000006E-2</v>
      </c>
      <c r="C34">
        <v>9.0130000000000002E-2</v>
      </c>
      <c r="D34">
        <v>8.1890000000000004E-2</v>
      </c>
      <c r="E34">
        <v>8.2580000000000001E-2</v>
      </c>
      <c r="F34">
        <v>704362667.10000002</v>
      </c>
      <c r="G34">
        <v>8.2580000000000001E-2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-0.83252427184466105</v>
      </c>
      <c r="Q34">
        <f t="shared" ref="Q34" si="146">F34*P34</f>
        <v>-586399016.54199088</v>
      </c>
      <c r="R34">
        <f t="shared" ref="R34" si="147">R35+Q34</f>
        <v>95079175728.274765</v>
      </c>
      <c r="S34">
        <f t="shared" ref="S34" si="148">R34/100000</f>
        <v>950791.75728274765</v>
      </c>
      <c r="T34">
        <f t="shared" ref="T34" si="149">S34/1000</f>
        <v>950.79175728274765</v>
      </c>
    </row>
    <row r="35" spans="1:20" x14ac:dyDescent="0.25">
      <c r="A35" s="5">
        <v>44558</v>
      </c>
      <c r="B35">
        <v>9.7710000000000005E-2</v>
      </c>
      <c r="C35">
        <v>9.776E-2</v>
      </c>
      <c r="D35">
        <v>8.6989999999999998E-2</v>
      </c>
      <c r="E35">
        <v>8.7620000000000003E-2</v>
      </c>
      <c r="F35">
        <v>966550699.60000002</v>
      </c>
      <c r="G35">
        <v>8.7620000000000003E-2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-0.88300835654595999</v>
      </c>
      <c r="Q35">
        <f t="shared" ref="Q35" si="151">F35*P35</f>
        <v>-853472344.77214384</v>
      </c>
      <c r="R35">
        <f t="shared" ref="R35" si="152">R36+Q35</f>
        <v>95665574744.816757</v>
      </c>
      <c r="S35">
        <f t="shared" ref="S35" si="153">R35/100000</f>
        <v>956655.74744816753</v>
      </c>
      <c r="T35">
        <f t="shared" ref="T35" si="154">S35/1000</f>
        <v>956.65574744816752</v>
      </c>
    </row>
    <row r="36" spans="1:20" x14ac:dyDescent="0.25">
      <c r="A36" s="5">
        <v>44557</v>
      </c>
      <c r="B36">
        <v>9.4460000000000002E-2</v>
      </c>
      <c r="C36">
        <v>0.10298</v>
      </c>
      <c r="D36">
        <v>9.4460000000000002E-2</v>
      </c>
      <c r="E36">
        <v>9.7729999999999997E-2</v>
      </c>
      <c r="F36">
        <v>880874688.70000005</v>
      </c>
      <c r="G36">
        <v>9.7729999999999997E-2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-0.23239436619718423</v>
      </c>
      <c r="Q36">
        <f t="shared" ref="Q36" si="156">F36*P36</f>
        <v>-204710314.97957847</v>
      </c>
      <c r="R36">
        <f t="shared" ref="R36" si="157">R37+Q36</f>
        <v>96519047089.588898</v>
      </c>
      <c r="S36">
        <f t="shared" ref="S36" si="158">R36/100000</f>
        <v>965190.47089588898</v>
      </c>
      <c r="T36">
        <f t="shared" ref="T36" si="159">S36/1000</f>
        <v>965.19047089588901</v>
      </c>
    </row>
    <row r="37" spans="1:20" x14ac:dyDescent="0.25">
      <c r="A37" s="5">
        <v>44556</v>
      </c>
      <c r="B37">
        <v>9.468E-2</v>
      </c>
      <c r="C37">
        <v>9.5140000000000002E-2</v>
      </c>
      <c r="D37">
        <v>9.1300000000000006E-2</v>
      </c>
      <c r="E37">
        <v>9.4469999999999998E-2</v>
      </c>
      <c r="F37">
        <v>482904501.30000001</v>
      </c>
      <c r="G37">
        <v>9.4469999999999998E-2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0.6510416666666643</v>
      </c>
      <c r="Q37">
        <f t="shared" ref="Q37" si="161">F37*P37</f>
        <v>314390951.36718637</v>
      </c>
      <c r="R37">
        <f t="shared" ref="R37" si="162">R38+Q37</f>
        <v>96723757404.568481</v>
      </c>
      <c r="S37">
        <f t="shared" ref="S37" si="163">R37/100000</f>
        <v>967237.57404568477</v>
      </c>
      <c r="T37">
        <f t="shared" ref="T37" si="164">S37/1000</f>
        <v>967.23757404568482</v>
      </c>
    </row>
    <row r="38" spans="1:20" x14ac:dyDescent="0.25">
      <c r="A38" s="5">
        <v>44555</v>
      </c>
      <c r="B38">
        <v>9.1859999999999997E-2</v>
      </c>
      <c r="C38">
        <v>9.5399999999999999E-2</v>
      </c>
      <c r="D38">
        <v>9.1130000000000003E-2</v>
      </c>
      <c r="E38">
        <v>9.468E-2</v>
      </c>
      <c r="F38">
        <v>376032001.69999999</v>
      </c>
      <c r="G38">
        <v>9.468E-2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0.66276346604215497</v>
      </c>
      <c r="Q38">
        <f t="shared" ref="Q38" si="166">F38*P38</f>
        <v>249220272.78946149</v>
      </c>
      <c r="R38">
        <f t="shared" ref="R38" si="167">R39+Q38</f>
        <v>96409366453.201294</v>
      </c>
      <c r="S38">
        <f t="shared" ref="S38" si="168">R38/100000</f>
        <v>964093.66453201289</v>
      </c>
      <c r="T38">
        <f t="shared" ref="T38" si="169">S38/1000</f>
        <v>964.09366453201289</v>
      </c>
    </row>
    <row r="39" spans="1:20" x14ac:dyDescent="0.25">
      <c r="A39" s="5">
        <v>44554</v>
      </c>
      <c r="B39">
        <v>9.3009999999999995E-2</v>
      </c>
      <c r="C39">
        <v>9.6049999999999996E-2</v>
      </c>
      <c r="D39">
        <v>9.0819999999999998E-2</v>
      </c>
      <c r="E39">
        <v>9.1850000000000001E-2</v>
      </c>
      <c r="F39">
        <v>646616980.60000002</v>
      </c>
      <c r="G39">
        <v>9.1850000000000001E-2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-0.60611854684512301</v>
      </c>
      <c r="Q39">
        <f t="shared" ref="Q39" si="171">F39*P39</f>
        <v>-391926544.64665312</v>
      </c>
      <c r="R39">
        <f t="shared" ref="R39" si="172">R40+Q39</f>
        <v>96160146180.411835</v>
      </c>
      <c r="S39">
        <f t="shared" ref="S39" si="173">R39/100000</f>
        <v>961601.46180411836</v>
      </c>
      <c r="T39">
        <f t="shared" ref="T39" si="174">S39/1000</f>
        <v>961.60146180411834</v>
      </c>
    </row>
    <row r="40" spans="1:20" x14ac:dyDescent="0.25">
      <c r="A40" s="5">
        <v>44553</v>
      </c>
      <c r="B40">
        <v>8.6860000000000007E-2</v>
      </c>
      <c r="C40">
        <v>9.4259999999999997E-2</v>
      </c>
      <c r="D40">
        <v>8.4599999999999995E-2</v>
      </c>
      <c r="E40">
        <v>9.2990000000000003E-2</v>
      </c>
      <c r="F40">
        <v>792475294.70000005</v>
      </c>
      <c r="G40">
        <v>9.2990000000000003E-2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0.73706004140786896</v>
      </c>
      <c r="Q40">
        <f t="shared" ref="Q40" si="176">F40*P40</f>
        <v>584101873.52629519</v>
      </c>
      <c r="R40">
        <f t="shared" ref="R40" si="177">R41+Q40</f>
        <v>96552072725.058487</v>
      </c>
      <c r="S40">
        <f t="shared" ref="S40" si="178">R40/100000</f>
        <v>965520.72725058487</v>
      </c>
      <c r="T40">
        <f t="shared" ref="T40" si="179">S40/1000</f>
        <v>965.52072725058486</v>
      </c>
    </row>
    <row r="41" spans="1:20" x14ac:dyDescent="0.25">
      <c r="A41" s="5">
        <v>44552</v>
      </c>
      <c r="B41">
        <v>8.3250000000000005E-2</v>
      </c>
      <c r="C41">
        <v>8.8950000000000001E-2</v>
      </c>
      <c r="D41">
        <v>8.2699999999999996E-2</v>
      </c>
      <c r="E41">
        <v>8.6840000000000001E-2</v>
      </c>
      <c r="F41">
        <v>762805460</v>
      </c>
      <c r="G41">
        <v>8.6840000000000001E-2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0.32480000000000037</v>
      </c>
      <c r="Q41">
        <f t="shared" ref="Q41" si="181">F41*P41</f>
        <v>247759213.40800029</v>
      </c>
      <c r="R41">
        <f t="shared" ref="R41" si="182">R42+Q41</f>
        <v>95967970851.532196</v>
      </c>
      <c r="S41">
        <f t="shared" ref="S41" si="183">R41/100000</f>
        <v>959679.70851532195</v>
      </c>
      <c r="T41">
        <f t="shared" ref="T41" si="184">S41/1000</f>
        <v>959.67970851532198</v>
      </c>
    </row>
    <row r="42" spans="1:20" x14ac:dyDescent="0.25">
      <c r="A42" s="5">
        <v>44551</v>
      </c>
      <c r="B42">
        <v>7.9509999999999997E-2</v>
      </c>
      <c r="C42">
        <v>8.3760000000000001E-2</v>
      </c>
      <c r="D42">
        <v>7.8439999999999996E-2</v>
      </c>
      <c r="E42">
        <v>8.3260000000000001E-2</v>
      </c>
      <c r="F42">
        <v>486424516.10000002</v>
      </c>
      <c r="G42">
        <v>8.3260000000000001E-2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0.81203007518796999</v>
      </c>
      <c r="Q42">
        <f t="shared" ref="Q42" si="186">F42*P42</f>
        <v>394991336.38195497</v>
      </c>
      <c r="R42">
        <f t="shared" ref="R42" si="187">R43+Q42</f>
        <v>95720211638.124191</v>
      </c>
      <c r="S42">
        <f t="shared" ref="S42" si="188">R42/100000</f>
        <v>957202.11638124194</v>
      </c>
      <c r="T42">
        <f t="shared" ref="T42" si="189">S42/1000</f>
        <v>957.20211638124192</v>
      </c>
    </row>
    <row r="43" spans="1:20" x14ac:dyDescent="0.25">
      <c r="A43" s="5">
        <v>44550</v>
      </c>
      <c r="B43">
        <v>8.0299999999999996E-2</v>
      </c>
      <c r="C43">
        <v>8.133E-2</v>
      </c>
      <c r="D43">
        <v>7.6100000000000001E-2</v>
      </c>
      <c r="E43">
        <v>7.9500000000000001E-2</v>
      </c>
      <c r="F43">
        <v>573887974.5</v>
      </c>
      <c r="G43">
        <v>7.9500000000000001E-2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0.30019120458891058</v>
      </c>
      <c r="Q43">
        <f t="shared" ref="Q43" si="191">F43*P43</f>
        <v>172276122.364245</v>
      </c>
      <c r="R43">
        <f t="shared" ref="R43" si="192">R44+Q43</f>
        <v>95325220301.742233</v>
      </c>
      <c r="S43">
        <f t="shared" ref="S43" si="193">R43/100000</f>
        <v>953252.20301742235</v>
      </c>
      <c r="T43">
        <f t="shared" ref="T43" si="194">S43/1000</f>
        <v>953.2522030174224</v>
      </c>
    </row>
    <row r="44" spans="1:20" x14ac:dyDescent="0.25">
      <c r="A44" s="5">
        <v>44549</v>
      </c>
      <c r="B44">
        <v>8.4110000000000004E-2</v>
      </c>
      <c r="C44">
        <v>8.4949999999999998E-2</v>
      </c>
      <c r="D44">
        <v>8.0019999999999994E-2</v>
      </c>
      <c r="E44">
        <v>8.0259999999999998E-2</v>
      </c>
      <c r="F44">
        <v>451096520.5</v>
      </c>
      <c r="G44">
        <v>8.0259999999999998E-2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-0.90263691683569824</v>
      </c>
      <c r="Q44">
        <f t="shared" ref="Q44" si="196">F44*P44</f>
        <v>-407176372.45943135</v>
      </c>
      <c r="R44">
        <f t="shared" ref="R44" si="197">R45+Q44</f>
        <v>95152944179.377991</v>
      </c>
      <c r="S44">
        <f t="shared" ref="S44" si="198">R44/100000</f>
        <v>951529.44179377996</v>
      </c>
      <c r="T44">
        <f t="shared" ref="T44" si="199">S44/1000</f>
        <v>951.52944179377994</v>
      </c>
    </row>
    <row r="45" spans="1:20" x14ac:dyDescent="0.25">
      <c r="A45" s="5">
        <v>44548</v>
      </c>
      <c r="B45">
        <v>8.0079999999999998E-2</v>
      </c>
      <c r="C45">
        <v>8.4720000000000004E-2</v>
      </c>
      <c r="D45">
        <v>7.8869999999999996E-2</v>
      </c>
      <c r="E45">
        <v>8.4129999999999996E-2</v>
      </c>
      <c r="F45">
        <v>490543288</v>
      </c>
      <c r="G45">
        <v>8.4129999999999996E-2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0.79829059829059612</v>
      </c>
      <c r="Q45">
        <f t="shared" ref="Q45" si="201">F45*P45</f>
        <v>391596094.8649562</v>
      </c>
      <c r="R45">
        <f t="shared" ref="R45" si="202">R46+Q45</f>
        <v>95560120551.837418</v>
      </c>
      <c r="S45">
        <f t="shared" ref="S45" si="203">R45/100000</f>
        <v>955601.20551837422</v>
      </c>
      <c r="T45">
        <f t="shared" ref="T45" si="204">S45/1000</f>
        <v>955.60120551837417</v>
      </c>
    </row>
    <row r="46" spans="1:20" x14ac:dyDescent="0.25">
      <c r="A46" s="5">
        <v>44547</v>
      </c>
      <c r="B46">
        <v>8.1559999999999994E-2</v>
      </c>
      <c r="C46">
        <v>8.4320000000000006E-2</v>
      </c>
      <c r="D46">
        <v>7.7679999999999999E-2</v>
      </c>
      <c r="E46">
        <v>8.0079999999999998E-2</v>
      </c>
      <c r="F46">
        <v>657364326.89999998</v>
      </c>
      <c r="G46">
        <v>8.0079999999999998E-2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-0.27710843373494071</v>
      </c>
      <c r="Q46">
        <f t="shared" ref="Q46" si="206">F46*P46</f>
        <v>-182161199.02048254</v>
      </c>
      <c r="R46">
        <f t="shared" ref="R46" si="207">R47+Q46</f>
        <v>95168524456.972458</v>
      </c>
      <c r="S46">
        <f t="shared" ref="S46" si="208">R46/100000</f>
        <v>951685.24456972454</v>
      </c>
      <c r="T46">
        <f t="shared" ref="T46" si="209">S46/1000</f>
        <v>951.68524456972455</v>
      </c>
    </row>
    <row r="47" spans="1:20" x14ac:dyDescent="0.25">
      <c r="A47" s="5">
        <v>44546</v>
      </c>
      <c r="B47">
        <v>8.3070000000000005E-2</v>
      </c>
      <c r="C47">
        <v>8.7790000000000007E-2</v>
      </c>
      <c r="D47">
        <v>8.1110000000000002E-2</v>
      </c>
      <c r="E47">
        <v>8.158E-2</v>
      </c>
      <c r="F47">
        <v>641220341.79999995</v>
      </c>
      <c r="G47">
        <v>8.158E-2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-0.85928143712574911</v>
      </c>
      <c r="Q47">
        <f t="shared" ref="Q47" si="211">F47*P47</f>
        <v>-550988736.81616807</v>
      </c>
      <c r="R47">
        <f t="shared" ref="R47" si="212">R48+Q47</f>
        <v>95350685655.992935</v>
      </c>
      <c r="S47">
        <f t="shared" ref="S47" si="213">R47/100000</f>
        <v>953506.85655992932</v>
      </c>
      <c r="T47">
        <f t="shared" ref="T47" si="214">S47/1000</f>
        <v>953.50685655992936</v>
      </c>
    </row>
    <row r="48" spans="1:20" x14ac:dyDescent="0.25">
      <c r="A48" s="5">
        <v>44545</v>
      </c>
      <c r="B48">
        <v>7.9689999999999997E-2</v>
      </c>
      <c r="C48">
        <v>8.448E-2</v>
      </c>
      <c r="D48">
        <v>7.4520000000000003E-2</v>
      </c>
      <c r="E48">
        <v>8.3059999999999995E-2</v>
      </c>
      <c r="F48">
        <v>839531148.89999998</v>
      </c>
      <c r="G48">
        <v>8.3059999999999995E-2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0.71485943775100302</v>
      </c>
      <c r="Q48">
        <f t="shared" ref="Q48" si="216">F48*P48</f>
        <v>600146765.07710755</v>
      </c>
      <c r="R48">
        <f t="shared" ref="R48" si="217">R49+Q48</f>
        <v>95901674392.809097</v>
      </c>
      <c r="S48">
        <f t="shared" ref="S48" si="218">R48/100000</f>
        <v>959016.74392809102</v>
      </c>
      <c r="T48">
        <f t="shared" ref="T48" si="219">S48/1000</f>
        <v>959.01674392809105</v>
      </c>
    </row>
    <row r="49" spans="1:20" x14ac:dyDescent="0.25">
      <c r="A49" s="5">
        <v>44544</v>
      </c>
      <c r="B49">
        <v>7.7189999999999995E-2</v>
      </c>
      <c r="C49">
        <v>8.0990000000000006E-2</v>
      </c>
      <c r="D49">
        <v>7.4910000000000004E-2</v>
      </c>
      <c r="E49">
        <v>7.9689999999999997E-2</v>
      </c>
      <c r="F49">
        <v>706833212</v>
      </c>
      <c r="G49">
        <v>7.9689999999999997E-2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0.57236842105262864</v>
      </c>
      <c r="Q49">
        <f t="shared" ref="Q49" si="221">F49*P49</f>
        <v>404569009.49999791</v>
      </c>
      <c r="R49">
        <f t="shared" ref="R49" si="222">R50+Q49</f>
        <v>95301527627.731995</v>
      </c>
      <c r="S49">
        <f t="shared" ref="S49" si="223">R49/100000</f>
        <v>953015.27627731999</v>
      </c>
      <c r="T49">
        <f t="shared" ref="T49" si="224">S49/1000</f>
        <v>953.01527627732003</v>
      </c>
    </row>
    <row r="50" spans="1:20" x14ac:dyDescent="0.25">
      <c r="A50" s="5">
        <v>44543</v>
      </c>
      <c r="B50">
        <v>8.6959999999999996E-2</v>
      </c>
      <c r="C50">
        <v>8.8450000000000001E-2</v>
      </c>
      <c r="D50">
        <v>7.5329999999999994E-2</v>
      </c>
      <c r="E50">
        <v>7.7170000000000002E-2</v>
      </c>
      <c r="F50">
        <v>921744582.5</v>
      </c>
      <c r="G50">
        <v>7.7170000000000002E-2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-0.71951219512195008</v>
      </c>
      <c r="Q50">
        <f t="shared" ref="Q50" si="226">F50*P50</f>
        <v>-663206467.89634037</v>
      </c>
      <c r="R50">
        <f t="shared" ref="R50" si="227">R51+Q50</f>
        <v>94896958618.231995</v>
      </c>
      <c r="S50">
        <f t="shared" ref="S50" si="228">R50/100000</f>
        <v>948969.58618231991</v>
      </c>
      <c r="T50">
        <f t="shared" ref="T50" si="229">S50/1000</f>
        <v>948.96958618231986</v>
      </c>
    </row>
    <row r="51" spans="1:20" x14ac:dyDescent="0.25">
      <c r="A51" s="5">
        <v>44542</v>
      </c>
      <c r="B51">
        <v>8.616E-2</v>
      </c>
      <c r="C51">
        <v>8.8109999999999994E-2</v>
      </c>
      <c r="D51">
        <v>8.2769999999999996E-2</v>
      </c>
      <c r="E51">
        <v>8.6980000000000002E-2</v>
      </c>
      <c r="F51">
        <v>446687971.60000002</v>
      </c>
      <c r="G51">
        <v>8.6980000000000002E-2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0.57677902621723121</v>
      </c>
      <c r="Q51">
        <f t="shared" ref="Q51" si="231">F51*P51</f>
        <v>257640253.28239825</v>
      </c>
      <c r="R51">
        <f t="shared" ref="R51" si="232">R52+Q51</f>
        <v>95560165086.128342</v>
      </c>
      <c r="S51">
        <f t="shared" ref="S51" si="233">R51/100000</f>
        <v>955601.65086128341</v>
      </c>
      <c r="T51">
        <f t="shared" ref="T51" si="234">S51/1000</f>
        <v>955.60165086128336</v>
      </c>
    </row>
    <row r="52" spans="1:20" x14ac:dyDescent="0.25">
      <c r="A52" s="5">
        <v>44541</v>
      </c>
      <c r="B52">
        <v>8.0570000000000003E-2</v>
      </c>
      <c r="C52">
        <v>8.2650000000000001E-2</v>
      </c>
      <c r="D52">
        <v>7.9119999999999996E-2</v>
      </c>
      <c r="E52">
        <v>8.2220000000000001E-2</v>
      </c>
      <c r="F52">
        <v>70538003</v>
      </c>
      <c r="G52">
        <v>8.2220000000000001E-2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0.7563739376770543</v>
      </c>
      <c r="Q52">
        <f t="shared" ref="Q52" si="236">F52*P52</f>
        <v>53353107.084985867</v>
      </c>
      <c r="R52">
        <f t="shared" ref="R52" si="237">R53+Q52</f>
        <v>95302524832.845947</v>
      </c>
      <c r="S52">
        <f t="shared" ref="S52" si="238">R52/100000</f>
        <v>953025.24832845945</v>
      </c>
      <c r="T52">
        <f t="shared" ref="T52" si="239">S52/1000</f>
        <v>953.0252483284595</v>
      </c>
    </row>
    <row r="53" spans="1:20" x14ac:dyDescent="0.25">
      <c r="A53" s="5">
        <v>44540</v>
      </c>
      <c r="B53">
        <v>8.548E-2</v>
      </c>
      <c r="C53">
        <v>8.8959999999999997E-2</v>
      </c>
      <c r="D53">
        <v>8.0170000000000005E-2</v>
      </c>
      <c r="E53">
        <v>8.0560000000000007E-2</v>
      </c>
      <c r="F53">
        <v>800238149.60000002</v>
      </c>
      <c r="G53">
        <v>8.0560000000000007E-2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-0.91126279863481185</v>
      </c>
      <c r="Q53">
        <f t="shared" ref="Q53" si="241">F53*P53</f>
        <v>-729227255.77883923</v>
      </c>
      <c r="R53">
        <f t="shared" ref="R53" si="242">R54+Q53</f>
        <v>95249171725.760956</v>
      </c>
      <c r="S53">
        <f t="shared" ref="S53" si="243">R53/100000</f>
        <v>952491.71725760959</v>
      </c>
      <c r="T53">
        <f t="shared" ref="T53" si="244">S53/1000</f>
        <v>952.49171725760959</v>
      </c>
    </row>
    <row r="54" spans="1:20" x14ac:dyDescent="0.25">
      <c r="A54" s="5">
        <v>44539</v>
      </c>
      <c r="B54">
        <v>9.4469999999999998E-2</v>
      </c>
      <c r="C54">
        <v>9.5920000000000005E-2</v>
      </c>
      <c r="D54">
        <v>8.5339999999999999E-2</v>
      </c>
      <c r="E54">
        <v>8.5529999999999995E-2</v>
      </c>
      <c r="F54">
        <v>803444938.5</v>
      </c>
      <c r="G54">
        <v>8.5529999999999995E-2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-0.96408317580340352</v>
      </c>
      <c r="Q54">
        <f t="shared" ref="Q54" si="246">F54*P54</f>
        <v>-774587747.89225018</v>
      </c>
      <c r="R54">
        <f t="shared" ref="R54" si="247">R55+Q54</f>
        <v>95978398981.539795</v>
      </c>
      <c r="S54">
        <f t="shared" ref="S54" si="248">R54/100000</f>
        <v>959783.989815398</v>
      </c>
      <c r="T54">
        <f t="shared" ref="T54" si="249">S54/1000</f>
        <v>959.78398981539806</v>
      </c>
    </row>
    <row r="55" spans="1:20" x14ac:dyDescent="0.25">
      <c r="A55" s="5">
        <v>44538</v>
      </c>
      <c r="B55">
        <v>9.1509999999999994E-2</v>
      </c>
      <c r="C55">
        <v>9.6100000000000005E-2</v>
      </c>
      <c r="D55">
        <v>8.8010000000000005E-2</v>
      </c>
      <c r="E55">
        <v>9.4479999999999995E-2</v>
      </c>
      <c r="F55">
        <v>925525372.39999998</v>
      </c>
      <c r="G55">
        <v>9.4479999999999995E-2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0.59950556242274156</v>
      </c>
      <c r="Q55">
        <f t="shared" ref="Q55" si="251">F55*P55</f>
        <v>554857608.91717935</v>
      </c>
      <c r="R55">
        <f t="shared" ref="R55" si="252">R56+Q55</f>
        <v>96752986729.432053</v>
      </c>
      <c r="S55">
        <f t="shared" ref="S55" si="253">R55/100000</f>
        <v>967529.86729432049</v>
      </c>
      <c r="T55">
        <f t="shared" ref="T55" si="254">S55/1000</f>
        <v>967.52986729432052</v>
      </c>
    </row>
    <row r="56" spans="1:20" x14ac:dyDescent="0.25">
      <c r="A56" s="5">
        <v>44537</v>
      </c>
      <c r="B56">
        <v>9.3420000000000003E-2</v>
      </c>
      <c r="C56">
        <v>9.8000000000000004E-2</v>
      </c>
      <c r="D56">
        <v>8.9829999999999993E-2</v>
      </c>
      <c r="E56">
        <v>9.1509999999999994E-2</v>
      </c>
      <c r="F56">
        <v>974981863.5</v>
      </c>
      <c r="G56">
        <v>9.1509999999999994E-2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-0.5887392900856796</v>
      </c>
      <c r="Q56">
        <f t="shared" ref="Q56" si="256">F56*P56</f>
        <v>-574010130.16340292</v>
      </c>
      <c r="R56">
        <f t="shared" ref="R56" si="257">R57+Q56</f>
        <v>96198129120.514877</v>
      </c>
      <c r="S56">
        <f t="shared" ref="S56" si="258">R56/100000</f>
        <v>961981.29120514879</v>
      </c>
      <c r="T56">
        <f t="shared" ref="T56" si="259">S56/1000</f>
        <v>961.98129120514875</v>
      </c>
    </row>
    <row r="57" spans="1:20" x14ac:dyDescent="0.25">
      <c r="A57" s="5">
        <v>44536</v>
      </c>
      <c r="B57">
        <v>8.9789999999999995E-2</v>
      </c>
      <c r="C57">
        <v>9.3869999999999995E-2</v>
      </c>
      <c r="D57">
        <v>7.9280000000000003E-2</v>
      </c>
      <c r="E57">
        <v>9.3390000000000001E-2</v>
      </c>
      <c r="F57">
        <v>1502575405.4000001</v>
      </c>
      <c r="G57">
        <v>9.3390000000000001E-2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0.93420150788211176</v>
      </c>
      <c r="Q57">
        <f t="shared" ref="Q57" si="261">F57*P57</f>
        <v>1403708209.4312556</v>
      </c>
      <c r="R57">
        <f t="shared" ref="R57" si="262">R58+Q57</f>
        <v>96772139250.678284</v>
      </c>
      <c r="S57">
        <f t="shared" ref="S57" si="263">R57/100000</f>
        <v>967721.39250678278</v>
      </c>
      <c r="T57">
        <f t="shared" ref="T57" si="264">S57/1000</f>
        <v>967.72139250678276</v>
      </c>
    </row>
    <row r="58" spans="1:20" x14ac:dyDescent="0.25">
      <c r="A58" s="5">
        <v>44535</v>
      </c>
      <c r="B58">
        <v>9.6560000000000007E-2</v>
      </c>
      <c r="C58">
        <v>9.8089999999999997E-2</v>
      </c>
      <c r="D58">
        <v>8.6129999999999998E-2</v>
      </c>
      <c r="E58">
        <v>8.9789999999999995E-2</v>
      </c>
      <c r="F58">
        <v>1118282105.4000001</v>
      </c>
      <c r="G58">
        <v>8.9789999999999995E-2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-0.38795986622073625</v>
      </c>
      <c r="Q58">
        <f t="shared" ref="Q58" si="266">F58*P58</f>
        <v>-433848576.00802732</v>
      </c>
      <c r="R58">
        <f t="shared" ref="R58" si="267">R59+Q58</f>
        <v>95368431041.247025</v>
      </c>
      <c r="S58">
        <f t="shared" ref="S58" si="268">R58/100000</f>
        <v>953684.31041247025</v>
      </c>
      <c r="T58">
        <f t="shared" ref="T58" si="269">S58/1000</f>
        <v>953.68431041247027</v>
      </c>
    </row>
    <row r="59" spans="1:20" x14ac:dyDescent="0.25">
      <c r="A59" s="5">
        <v>44534</v>
      </c>
      <c r="B59">
        <v>0.10857</v>
      </c>
      <c r="C59">
        <v>0.1089</v>
      </c>
      <c r="D59">
        <v>7.0000000000000007E-2</v>
      </c>
      <c r="E59">
        <v>9.6560000000000007E-2</v>
      </c>
      <c r="F59">
        <v>2552184447.3000002</v>
      </c>
      <c r="G59">
        <v>9.6560000000000007E-2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0.36555269922879213</v>
      </c>
      <c r="Q59">
        <f t="shared" ref="Q59" si="271">F59*P59</f>
        <v>932957913.64025807</v>
      </c>
      <c r="R59">
        <f t="shared" ref="R59" si="272">R60+Q59</f>
        <v>95802279617.255051</v>
      </c>
      <c r="S59">
        <f t="shared" ref="S59" si="273">R59/100000</f>
        <v>958022.79617255053</v>
      </c>
      <c r="T59">
        <f t="shared" ref="T59" si="274">S59/1000</f>
        <v>958.02279617255056</v>
      </c>
    </row>
    <row r="60" spans="1:20" x14ac:dyDescent="0.25">
      <c r="A60" s="5">
        <v>44533</v>
      </c>
      <c r="B60">
        <v>0.1158</v>
      </c>
      <c r="C60">
        <v>0.11946</v>
      </c>
      <c r="D60">
        <v>0.1043</v>
      </c>
      <c r="E60">
        <v>0.10858</v>
      </c>
      <c r="F60">
        <v>1007626412</v>
      </c>
      <c r="G60">
        <v>0.10858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-0.43535620052770524</v>
      </c>
      <c r="Q60">
        <f t="shared" ref="Q60" si="276">F60*P60</f>
        <v>-438676406.27968413</v>
      </c>
      <c r="R60">
        <f t="shared" ref="R60" si="277">R61+Q60</f>
        <v>94869321703.614792</v>
      </c>
      <c r="S60">
        <f t="shared" ref="S60" si="278">R60/100000</f>
        <v>948693.21703614795</v>
      </c>
      <c r="T60">
        <f t="shared" ref="T60" si="279">S60/1000</f>
        <v>948.69321703614798</v>
      </c>
    </row>
    <row r="61" spans="1:20" x14ac:dyDescent="0.25">
      <c r="A61" s="5">
        <v>44532</v>
      </c>
      <c r="B61">
        <v>0.11821</v>
      </c>
      <c r="C61">
        <v>0.11917</v>
      </c>
      <c r="D61">
        <v>0.11369</v>
      </c>
      <c r="E61">
        <v>0.11582000000000001</v>
      </c>
      <c r="F61">
        <v>604764925.20000005</v>
      </c>
      <c r="G61">
        <v>0.11582000000000001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-0.22262773722627469</v>
      </c>
      <c r="Q61">
        <f t="shared" ref="Q61" si="281">F61*P61</f>
        <v>-134637446.85109326</v>
      </c>
      <c r="R61">
        <f t="shared" ref="R61" si="282">R62+Q61</f>
        <v>95307998109.89447</v>
      </c>
      <c r="S61">
        <f t="shared" ref="S61" si="283">R61/100000</f>
        <v>953079.98109894467</v>
      </c>
      <c r="T61">
        <f t="shared" ref="T61" si="284">S61/1000</f>
        <v>953.0799810989447</v>
      </c>
    </row>
    <row r="62" spans="1:20" x14ac:dyDescent="0.25">
      <c r="A62" s="5">
        <v>44531</v>
      </c>
      <c r="B62">
        <v>0.11921</v>
      </c>
      <c r="C62">
        <v>0.12545000000000001</v>
      </c>
      <c r="D62">
        <v>0.11683</v>
      </c>
      <c r="E62">
        <v>0.1182</v>
      </c>
      <c r="F62">
        <v>797751138.79999995</v>
      </c>
      <c r="G62">
        <v>0.1182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-0.6821345707656622</v>
      </c>
      <c r="Q62">
        <f t="shared" ref="Q62" si="286">F62*P62</f>
        <v>-544173630.64315617</v>
      </c>
      <c r="R62">
        <f t="shared" ref="R62" si="287">R63+Q62</f>
        <v>95442635556.74556</v>
      </c>
      <c r="S62">
        <f t="shared" ref="S62" si="288">R62/100000</f>
        <v>954426.35556745564</v>
      </c>
      <c r="T62">
        <f t="shared" ref="T62" si="289">S62/1000</f>
        <v>954.42635556745563</v>
      </c>
    </row>
    <row r="63" spans="1:20" x14ac:dyDescent="0.25">
      <c r="A63" s="5">
        <v>44530</v>
      </c>
      <c r="B63">
        <v>0.12128</v>
      </c>
      <c r="C63">
        <v>0.1255</v>
      </c>
      <c r="D63">
        <v>0.11551</v>
      </c>
      <c r="E63">
        <v>0.11917</v>
      </c>
      <c r="F63">
        <v>1041448006.9</v>
      </c>
      <c r="G63">
        <v>0.11917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-0.26726726726726785</v>
      </c>
      <c r="Q63">
        <f t="shared" ref="Q63" si="291">F63*P63</f>
        <v>-278344962.80510569</v>
      </c>
      <c r="R63">
        <f t="shared" ref="R63" si="292">R64+Q63</f>
        <v>95986809187.388718</v>
      </c>
      <c r="S63">
        <f t="shared" ref="S63" si="293">R63/100000</f>
        <v>959868.09187388723</v>
      </c>
      <c r="T63">
        <f t="shared" ref="T63" si="294">S63/1000</f>
        <v>959.86809187388724</v>
      </c>
    </row>
    <row r="64" spans="1:20" x14ac:dyDescent="0.25">
      <c r="A64" s="5">
        <v>44529</v>
      </c>
      <c r="B64">
        <v>0.11633</v>
      </c>
      <c r="C64">
        <v>0.12227</v>
      </c>
      <c r="D64">
        <v>0.11408</v>
      </c>
      <c r="E64">
        <v>0.12130000000000001</v>
      </c>
      <c r="F64">
        <v>855067064.60000002</v>
      </c>
      <c r="G64">
        <v>0.12130000000000001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0.76312576312576352</v>
      </c>
      <c r="Q64">
        <f t="shared" ref="Q64" si="296">F64*P64</f>
        <v>652523706.1965816</v>
      </c>
      <c r="R64">
        <f t="shared" ref="R64" si="297">R65+Q64</f>
        <v>96265154150.193817</v>
      </c>
      <c r="S64">
        <f t="shared" ref="S64" si="298">R64/100000</f>
        <v>962651.54150193813</v>
      </c>
      <c r="T64">
        <f t="shared" ref="T64" si="299">S64/1000</f>
        <v>962.65154150193814</v>
      </c>
    </row>
    <row r="65" spans="1:20" x14ac:dyDescent="0.25">
      <c r="A65" s="5">
        <v>44528</v>
      </c>
      <c r="B65">
        <v>0.11413</v>
      </c>
      <c r="C65">
        <v>0.11656</v>
      </c>
      <c r="D65">
        <v>0.104</v>
      </c>
      <c r="E65">
        <v>0.11638999999999999</v>
      </c>
      <c r="F65">
        <v>1033886239.9</v>
      </c>
      <c r="G65">
        <v>0.11638999999999999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0.97292993630573188</v>
      </c>
      <c r="Q65">
        <f t="shared" ref="Q65" si="301">F65*P65</f>
        <v>1005898873.5332797</v>
      </c>
      <c r="R65">
        <f t="shared" ref="R65" si="302">R66+Q65</f>
        <v>95612630443.997238</v>
      </c>
      <c r="S65">
        <f t="shared" ref="S65" si="303">R65/100000</f>
        <v>956126.30443997239</v>
      </c>
      <c r="T65">
        <f t="shared" ref="T65" si="304">S65/1000</f>
        <v>956.12630443997239</v>
      </c>
    </row>
    <row r="66" spans="1:20" x14ac:dyDescent="0.25">
      <c r="A66" s="5">
        <v>44527</v>
      </c>
      <c r="B66">
        <v>0.11344</v>
      </c>
      <c r="C66">
        <v>0.11853</v>
      </c>
      <c r="D66">
        <v>0.11269999999999999</v>
      </c>
      <c r="E66">
        <v>0.11412</v>
      </c>
      <c r="F66">
        <v>601112833.20000005</v>
      </c>
      <c r="G66">
        <v>0.11412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-0.51286449399656808</v>
      </c>
      <c r="Q66">
        <f t="shared" ref="Q66" si="306">F66*P66</f>
        <v>-308289429.03396147</v>
      </c>
      <c r="R66">
        <f t="shared" ref="R66" si="307">R67+Q66</f>
        <v>94606731570.463959</v>
      </c>
      <c r="S66">
        <f t="shared" ref="S66" si="308">R66/100000</f>
        <v>946067.31570463954</v>
      </c>
      <c r="T66">
        <f t="shared" ref="T66" si="309">S66/1000</f>
        <v>946.06731570463955</v>
      </c>
    </row>
    <row r="67" spans="1:20" x14ac:dyDescent="0.25">
      <c r="A67" s="5">
        <v>44526</v>
      </c>
      <c r="B67">
        <v>0.1278</v>
      </c>
      <c r="C67">
        <v>0.12844</v>
      </c>
      <c r="D67">
        <v>0.1105</v>
      </c>
      <c r="E67">
        <v>0.11336</v>
      </c>
      <c r="F67">
        <v>1535563161.9000001</v>
      </c>
      <c r="G67">
        <v>0.11336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-0.68115942028985488</v>
      </c>
      <c r="Q67">
        <f t="shared" ref="Q67" si="311">F67*P67</f>
        <v>-1045963313.1782607</v>
      </c>
      <c r="R67">
        <f t="shared" ref="R67" si="312">R68+Q67</f>
        <v>94915020999.497925</v>
      </c>
      <c r="S67">
        <f t="shared" ref="S67" si="313">R67/100000</f>
        <v>949150.2099949792</v>
      </c>
      <c r="T67">
        <f t="shared" ref="T67" si="314">S67/1000</f>
        <v>949.15020999497915</v>
      </c>
    </row>
    <row r="68" spans="1:20" x14ac:dyDescent="0.25">
      <c r="A68" s="5">
        <v>44525</v>
      </c>
      <c r="B68">
        <v>0.1221</v>
      </c>
      <c r="C68">
        <v>0.13328999999999999</v>
      </c>
      <c r="D68">
        <v>0.12103999999999999</v>
      </c>
      <c r="E68">
        <v>0.12781999999999999</v>
      </c>
      <c r="F68">
        <v>1044368983.5</v>
      </c>
      <c r="G68">
        <v>0.12781999999999999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0.10693877551020343</v>
      </c>
      <c r="Q68">
        <f t="shared" ref="Q68" si="316">F68*P68</f>
        <v>111683540.27632585</v>
      </c>
      <c r="R68">
        <f t="shared" ref="R68" si="317">R69+Q68</f>
        <v>95960984312.676178</v>
      </c>
      <c r="S68">
        <f t="shared" ref="S68" si="318">R68/100000</f>
        <v>959609.84312676173</v>
      </c>
      <c r="T68">
        <f t="shared" ref="T68" si="319">S68/1000</f>
        <v>959.60984312676169</v>
      </c>
    </row>
    <row r="69" spans="1:20" x14ac:dyDescent="0.25">
      <c r="A69" s="5">
        <v>44524</v>
      </c>
      <c r="B69">
        <v>0.13094</v>
      </c>
      <c r="C69">
        <v>0.13206999999999999</v>
      </c>
      <c r="D69">
        <v>0.12372</v>
      </c>
      <c r="E69">
        <v>0.12520000000000001</v>
      </c>
      <c r="F69">
        <v>275645336.10000002</v>
      </c>
      <c r="G69">
        <v>0.12520000000000001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-0.64550898203592577</v>
      </c>
      <c r="Q69">
        <f t="shared" ref="Q69" si="321">F69*P69</f>
        <v>-177931540.30886164</v>
      </c>
      <c r="R69">
        <f t="shared" ref="R69" si="322">R70+Q69</f>
        <v>95849300772.399857</v>
      </c>
      <c r="S69">
        <f t="shared" ref="S69" si="323">R69/100000</f>
        <v>958493.00772399851</v>
      </c>
      <c r="T69">
        <f t="shared" ref="T69" si="324">S69/1000</f>
        <v>958.49300772399852</v>
      </c>
    </row>
    <row r="70" spans="1:20" x14ac:dyDescent="0.25">
      <c r="A70" s="5">
        <v>44523</v>
      </c>
      <c r="B70">
        <v>0.12656000000000001</v>
      </c>
      <c r="C70">
        <v>0.13222</v>
      </c>
      <c r="D70">
        <v>0.12413</v>
      </c>
      <c r="E70">
        <v>0.13097</v>
      </c>
      <c r="F70">
        <v>943138988.39999998</v>
      </c>
      <c r="G70">
        <v>0.13097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0.69097651421508011</v>
      </c>
      <c r="Q70">
        <f t="shared" ref="Q70" si="326">F70*P70</f>
        <v>651686890.62496889</v>
      </c>
      <c r="R70">
        <f t="shared" ref="R70" si="327">R71+Q70</f>
        <v>96027232312.708725</v>
      </c>
      <c r="S70">
        <f t="shared" ref="S70" si="328">R70/100000</f>
        <v>960272.32312708721</v>
      </c>
      <c r="T70">
        <f t="shared" ref="T70" si="329">S70/1000</f>
        <v>960.27232312708725</v>
      </c>
    </row>
    <row r="71" spans="1:20" x14ac:dyDescent="0.25">
      <c r="A71" s="5">
        <v>44522</v>
      </c>
      <c r="B71">
        <v>0.13253000000000001</v>
      </c>
      <c r="C71">
        <v>0.13314999999999999</v>
      </c>
      <c r="D71">
        <v>0.1245</v>
      </c>
      <c r="E71">
        <v>0.12656000000000001</v>
      </c>
      <c r="F71">
        <v>1007693578.9</v>
      </c>
      <c r="G71">
        <v>0.12656000000000001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-0.52369942196531594</v>
      </c>
      <c r="Q71">
        <f t="shared" ref="Q71" si="331">F71*P71</f>
        <v>-527728544.78809047</v>
      </c>
      <c r="R71">
        <f t="shared" ref="R71" si="332">R72+Q71</f>
        <v>95375545422.083755</v>
      </c>
      <c r="S71">
        <f t="shared" ref="S71" si="333">R71/100000</f>
        <v>953755.45422083756</v>
      </c>
      <c r="T71">
        <f t="shared" ref="T71" si="334">S71/1000</f>
        <v>953.75545422083758</v>
      </c>
    </row>
    <row r="72" spans="1:20" x14ac:dyDescent="0.25">
      <c r="A72" s="5">
        <v>44521</v>
      </c>
      <c r="B72">
        <v>0.13952999999999999</v>
      </c>
      <c r="C72">
        <v>0.13974</v>
      </c>
      <c r="D72">
        <v>0.13155</v>
      </c>
      <c r="E72">
        <v>0.13252</v>
      </c>
      <c r="F72">
        <v>738806359.29999995</v>
      </c>
      <c r="G72">
        <v>0.13252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-0.76312576312576352</v>
      </c>
      <c r="Q72">
        <f t="shared" ref="Q72" si="336">F72*P72</f>
        <v>-563802166.74297953</v>
      </c>
      <c r="R72">
        <f t="shared" ref="R72" si="337">R73+Q72</f>
        <v>95903273966.871841</v>
      </c>
      <c r="S72">
        <f t="shared" ref="S72" si="338">R72/100000</f>
        <v>959032.73966871842</v>
      </c>
      <c r="T72">
        <f t="shared" ref="T72" si="339">S72/1000</f>
        <v>959.03273966871848</v>
      </c>
    </row>
    <row r="73" spans="1:20" x14ac:dyDescent="0.25">
      <c r="A73" s="5">
        <v>44520</v>
      </c>
      <c r="B73">
        <v>0.13933000000000001</v>
      </c>
      <c r="C73">
        <v>0.14169000000000001</v>
      </c>
      <c r="D73">
        <v>0.13252</v>
      </c>
      <c r="E73">
        <v>0.13952000000000001</v>
      </c>
      <c r="F73">
        <v>839556940.89999998</v>
      </c>
      <c r="G73">
        <v>0.13952000000000001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0.52671755725190783</v>
      </c>
      <c r="Q73">
        <f t="shared" ref="Q73" si="341">F73*P73</f>
        <v>442209381.08473235</v>
      </c>
      <c r="R73">
        <f t="shared" ref="R73" si="342">R74+Q73</f>
        <v>96467076133.614822</v>
      </c>
      <c r="S73">
        <f t="shared" ref="S73" si="343">R73/100000</f>
        <v>964670.76133614825</v>
      </c>
      <c r="T73">
        <f t="shared" ref="T73" si="344">S73/1000</f>
        <v>964.6707613361483</v>
      </c>
    </row>
    <row r="74" spans="1:20" x14ac:dyDescent="0.25">
      <c r="A74" s="5">
        <v>44519</v>
      </c>
      <c r="B74">
        <v>0.12876000000000001</v>
      </c>
      <c r="C74">
        <v>0.14174999999999999</v>
      </c>
      <c r="D74">
        <v>0.12537000000000001</v>
      </c>
      <c r="E74">
        <v>0.13927</v>
      </c>
      <c r="F74">
        <v>1120012247.2</v>
      </c>
      <c r="G74">
        <v>0.13927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0.69719169719169893</v>
      </c>
      <c r="Q74">
        <f t="shared" ref="Q74" si="346">F74*P74</f>
        <v>780863239.50085664</v>
      </c>
      <c r="R74">
        <f t="shared" ref="R74" si="347">R75+Q74</f>
        <v>96024866752.53009</v>
      </c>
      <c r="S74">
        <f t="shared" ref="S74" si="348">R74/100000</f>
        <v>960248.66752530087</v>
      </c>
      <c r="T74">
        <f t="shared" ref="T74" si="349">S74/1000</f>
        <v>960.2486675253009</v>
      </c>
    </row>
    <row r="75" spans="1:20" x14ac:dyDescent="0.25">
      <c r="A75" s="5">
        <v>44518</v>
      </c>
      <c r="B75">
        <v>0.14509</v>
      </c>
      <c r="C75">
        <v>0.14710999999999999</v>
      </c>
      <c r="D75">
        <v>0.123</v>
      </c>
      <c r="E75">
        <v>0.12889</v>
      </c>
      <c r="F75">
        <v>1696526974.4000001</v>
      </c>
      <c r="G75">
        <v>0.12889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-0.51140605557859742</v>
      </c>
      <c r="Q75">
        <f t="shared" ref="Q75" si="351">F75*P75</f>
        <v>-867614168.16059613</v>
      </c>
      <c r="R75">
        <f t="shared" ref="R75" si="352">R76+Q75</f>
        <v>95244003513.029236</v>
      </c>
      <c r="S75">
        <f t="shared" ref="S75" si="353">R75/100000</f>
        <v>952440.03513029241</v>
      </c>
      <c r="T75">
        <f t="shared" ref="T75" si="354">S75/1000</f>
        <v>952.44003513029236</v>
      </c>
    </row>
    <row r="76" spans="1:20" x14ac:dyDescent="0.25">
      <c r="A76" s="5">
        <v>44517</v>
      </c>
      <c r="B76">
        <v>0.14419000000000001</v>
      </c>
      <c r="C76">
        <v>0.14793000000000001</v>
      </c>
      <c r="D76">
        <v>0.1366</v>
      </c>
      <c r="E76">
        <v>0.14513999999999999</v>
      </c>
      <c r="F76">
        <v>1433775017.5</v>
      </c>
      <c r="G76">
        <v>0.14513999999999999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0.50750220653133049</v>
      </c>
      <c r="Q76">
        <f t="shared" ref="Q76" si="356">F76*P76</f>
        <v>727643985.05074704</v>
      </c>
      <c r="R76">
        <f t="shared" ref="R76" si="357">R77+Q76</f>
        <v>96111617681.189835</v>
      </c>
      <c r="S76">
        <f t="shared" ref="S76" si="358">R76/100000</f>
        <v>961116.17681189836</v>
      </c>
      <c r="T76">
        <f t="shared" ref="T76" si="359">S76/1000</f>
        <v>961.11617681189841</v>
      </c>
    </row>
    <row r="77" spans="1:20" x14ac:dyDescent="0.25">
      <c r="A77" s="5">
        <v>44516</v>
      </c>
      <c r="B77">
        <v>0.16292000000000001</v>
      </c>
      <c r="C77">
        <v>0.16295999999999999</v>
      </c>
      <c r="D77">
        <v>0.13500000000000001</v>
      </c>
      <c r="E77">
        <v>0.14427999999999999</v>
      </c>
      <c r="F77">
        <v>2099202292.0999999</v>
      </c>
      <c r="G77">
        <v>0.14427999999999999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-0.33619456366237571</v>
      </c>
      <c r="Q77">
        <f t="shared" ref="Q77" si="361">F77*P77</f>
        <v>-705740398.63161838</v>
      </c>
      <c r="R77">
        <f t="shared" ref="R77" si="362">R78+Q77</f>
        <v>95383973696.139084</v>
      </c>
      <c r="S77">
        <f t="shared" ref="S77" si="363">R77/100000</f>
        <v>953839.73696139082</v>
      </c>
      <c r="T77">
        <f t="shared" ref="T77" si="364">S77/1000</f>
        <v>953.83973696139083</v>
      </c>
    </row>
    <row r="78" spans="1:20" x14ac:dyDescent="0.25">
      <c r="A78" s="5">
        <v>44515</v>
      </c>
      <c r="B78">
        <v>0.16175</v>
      </c>
      <c r="C78">
        <v>0.17749000000000001</v>
      </c>
      <c r="D78">
        <v>0.16159999999999999</v>
      </c>
      <c r="E78">
        <v>0.16292000000000001</v>
      </c>
      <c r="F78">
        <v>1402778438.8</v>
      </c>
      <c r="G78">
        <v>0.16292000000000001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-0.83385777218376156</v>
      </c>
      <c r="Q78">
        <f t="shared" ref="Q78" si="366">F78*P78</f>
        <v>-1169717703.8451831</v>
      </c>
      <c r="R78">
        <f t="shared" ref="R78" si="367">R79+Q78</f>
        <v>96089714094.770706</v>
      </c>
      <c r="S78">
        <f t="shared" ref="S78" si="368">R78/100000</f>
        <v>960897.14094770711</v>
      </c>
      <c r="T78">
        <f t="shared" ref="T78" si="369">S78/1000</f>
        <v>960.89714094770716</v>
      </c>
    </row>
    <row r="79" spans="1:20" x14ac:dyDescent="0.25">
      <c r="A79" s="5">
        <v>44514</v>
      </c>
      <c r="B79">
        <v>0.16037999999999999</v>
      </c>
      <c r="C79">
        <v>0.16345000000000001</v>
      </c>
      <c r="D79">
        <v>0.15365999999999999</v>
      </c>
      <c r="E79">
        <v>0.16169</v>
      </c>
      <c r="F79">
        <v>575148381.79999995</v>
      </c>
      <c r="G79">
        <v>0.16169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0.64044943820224565</v>
      </c>
      <c r="Q79">
        <f t="shared" ref="Q79" si="371">F79*P79</f>
        <v>368353458.00674063</v>
      </c>
      <c r="R79">
        <f t="shared" ref="R79" si="372">R80+Q79</f>
        <v>97259431798.615891</v>
      </c>
      <c r="S79">
        <f t="shared" ref="S79" si="373">R79/100000</f>
        <v>972594.31798615889</v>
      </c>
      <c r="T79">
        <f t="shared" ref="T79" si="374">S79/1000</f>
        <v>972.5943179861589</v>
      </c>
    </row>
    <row r="80" spans="1:20" x14ac:dyDescent="0.25">
      <c r="A80" s="5">
        <v>44513</v>
      </c>
      <c r="B80">
        <v>0.15866</v>
      </c>
      <c r="C80">
        <v>0.16500000000000001</v>
      </c>
      <c r="D80">
        <v>0.15487999999999999</v>
      </c>
      <c r="E80">
        <v>0.16039</v>
      </c>
      <c r="F80">
        <v>662202272.79999995</v>
      </c>
      <c r="G80">
        <v>0.16039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8.8932806324111685E-2</v>
      </c>
      <c r="Q80">
        <f t="shared" ref="Q80" si="376">F80*P80</f>
        <v>58891506.474308968</v>
      </c>
      <c r="R80">
        <f t="shared" ref="R80" si="377">R81+Q80</f>
        <v>96891078340.609146</v>
      </c>
      <c r="S80">
        <f t="shared" ref="S80" si="378">R80/100000</f>
        <v>968910.7834060915</v>
      </c>
      <c r="T80">
        <f t="shared" ref="T80" si="379">S80/1000</f>
        <v>968.91078340609147</v>
      </c>
    </row>
    <row r="81" spans="1:20" x14ac:dyDescent="0.25">
      <c r="A81" s="5">
        <v>44512</v>
      </c>
      <c r="B81">
        <v>0.16514999999999999</v>
      </c>
      <c r="C81">
        <v>0.16564000000000001</v>
      </c>
      <c r="D81">
        <v>0.15118000000000001</v>
      </c>
      <c r="E81">
        <v>0.15866</v>
      </c>
      <c r="F81">
        <v>890280029.60000002</v>
      </c>
      <c r="G81">
        <v>0.15866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3.457814661133974E-2</v>
      </c>
      <c r="Q81">
        <f t="shared" ref="Q81" si="381">F81*P81</f>
        <v>30784233.388656683</v>
      </c>
      <c r="R81">
        <f t="shared" ref="R81" si="382">R82+Q81</f>
        <v>96832186834.134842</v>
      </c>
      <c r="S81">
        <f t="shared" ref="S81" si="383">R81/100000</f>
        <v>968321.86834134837</v>
      </c>
      <c r="T81">
        <f t="shared" ref="T81" si="384">S81/1000</f>
        <v>968.32186834134836</v>
      </c>
    </row>
    <row r="82" spans="1:20" x14ac:dyDescent="0.25">
      <c r="A82" s="5">
        <v>44511</v>
      </c>
      <c r="B82">
        <v>0.16253999999999999</v>
      </c>
      <c r="C82">
        <v>0.16941999999999999</v>
      </c>
      <c r="D82">
        <v>0.15842999999999999</v>
      </c>
      <c r="E82">
        <v>0.16513</v>
      </c>
      <c r="F82">
        <v>906307830.89999998</v>
      </c>
      <c r="G82">
        <v>0.16513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0.21929026387625325</v>
      </c>
      <c r="Q82">
        <f t="shared" ref="Q82" si="386">F82*P82</f>
        <v>198744483.39117572</v>
      </c>
      <c r="R82">
        <f t="shared" ref="R82" si="387">R83+Q82</f>
        <v>96801402600.746185</v>
      </c>
      <c r="S82">
        <f t="shared" ref="S82" si="388">R82/100000</f>
        <v>968014.02600746183</v>
      </c>
      <c r="T82">
        <f t="shared" ref="T82" si="389">S82/1000</f>
        <v>968.01402600746178</v>
      </c>
    </row>
    <row r="83" spans="1:20" x14ac:dyDescent="0.25">
      <c r="A83" s="5">
        <v>44510</v>
      </c>
      <c r="B83">
        <v>0.17094000000000001</v>
      </c>
      <c r="C83">
        <v>0.18276000000000001</v>
      </c>
      <c r="D83">
        <v>0.14817</v>
      </c>
      <c r="E83">
        <v>0.16256999999999999</v>
      </c>
      <c r="F83">
        <v>1852610223.9000001</v>
      </c>
      <c r="G83">
        <v>0.16256999999999999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-0.16738941890719908</v>
      </c>
      <c r="Q83">
        <f t="shared" ref="Q83" si="391">F83*P83</f>
        <v>-310107348.84015697</v>
      </c>
      <c r="R83">
        <f t="shared" ref="R83" si="392">R84+Q83</f>
        <v>96602658117.355011</v>
      </c>
      <c r="S83">
        <f t="shared" ref="S83" si="393">R83/100000</f>
        <v>966026.5811735501</v>
      </c>
      <c r="T83">
        <f t="shared" ref="T83" si="394">S83/1000</f>
        <v>966.02658117355008</v>
      </c>
    </row>
    <row r="84" spans="1:20" x14ac:dyDescent="0.25">
      <c r="A84" s="5">
        <v>44509</v>
      </c>
      <c r="B84">
        <v>0.17605000000000001</v>
      </c>
      <c r="C84">
        <v>0.18754999999999999</v>
      </c>
      <c r="D84">
        <v>0.17011000000000001</v>
      </c>
      <c r="E84">
        <v>0.17094999999999999</v>
      </c>
      <c r="F84">
        <v>2082374885.5</v>
      </c>
      <c r="G84">
        <v>0.17094999999999999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-0.90366972477064444</v>
      </c>
      <c r="Q84">
        <f t="shared" ref="Q84" si="396">F84*P84</f>
        <v>-1881779139.6490872</v>
      </c>
      <c r="R84">
        <f t="shared" ref="R84" si="397">R85+Q84</f>
        <v>96912765466.195175</v>
      </c>
      <c r="S84">
        <f t="shared" ref="S84" si="398">R84/100000</f>
        <v>969127.6546619517</v>
      </c>
      <c r="T84">
        <f t="shared" ref="T84" si="399">S84/1000</f>
        <v>969.12765466195174</v>
      </c>
    </row>
    <row r="85" spans="1:20" x14ac:dyDescent="0.25">
      <c r="A85" s="5">
        <v>44508</v>
      </c>
      <c r="B85">
        <v>0.15501999999999999</v>
      </c>
      <c r="C85">
        <v>0.17605999999999999</v>
      </c>
      <c r="D85">
        <v>0.15117</v>
      </c>
      <c r="E85">
        <v>0.17602999999999999</v>
      </c>
      <c r="F85">
        <v>1678982932.0999999</v>
      </c>
      <c r="G85">
        <v>0.17602999999999999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0.99758939333065466</v>
      </c>
      <c r="Q85">
        <f t="shared" ref="Q85" si="401">F85*P85</f>
        <v>1674935564.6461627</v>
      </c>
      <c r="R85">
        <f t="shared" ref="R85" si="402">R86+Q85</f>
        <v>98794544605.844269</v>
      </c>
      <c r="S85">
        <f t="shared" ref="S85" si="403">R85/100000</f>
        <v>987945.4460584427</v>
      </c>
      <c r="T85">
        <f t="shared" ref="T85" si="404">S85/1000</f>
        <v>987.94544605844271</v>
      </c>
    </row>
    <row r="86" spans="1:20" x14ac:dyDescent="0.25">
      <c r="A86" s="5">
        <v>44507</v>
      </c>
      <c r="B86">
        <v>0.16056000000000001</v>
      </c>
      <c r="C86">
        <v>0.16209000000000001</v>
      </c>
      <c r="D86">
        <v>0.15414</v>
      </c>
      <c r="E86">
        <v>0.15506</v>
      </c>
      <c r="F86">
        <v>665628121.79999995</v>
      </c>
      <c r="G86">
        <v>0.15506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-0.76855345911949613</v>
      </c>
      <c r="Q86">
        <f t="shared" ref="Q86" si="406">F86*P86</f>
        <v>-511570795.49660325</v>
      </c>
      <c r="R86">
        <f t="shared" ref="R86" si="407">R87+Q86</f>
        <v>97119609041.198105</v>
      </c>
      <c r="S86">
        <f t="shared" ref="S86" si="408">R86/100000</f>
        <v>971196.0904119811</v>
      </c>
      <c r="T86">
        <f t="shared" ref="T86" si="409">S86/1000</f>
        <v>971.19609041198112</v>
      </c>
    </row>
    <row r="87" spans="1:20" x14ac:dyDescent="0.25">
      <c r="A87" s="5">
        <v>44506</v>
      </c>
      <c r="B87">
        <v>0.15811</v>
      </c>
      <c r="C87">
        <v>0.16400000000000001</v>
      </c>
      <c r="D87">
        <v>0.14917</v>
      </c>
      <c r="E87">
        <v>0.16056999999999999</v>
      </c>
      <c r="F87">
        <v>1252365731.2</v>
      </c>
      <c r="G87">
        <v>0.16056999999999999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0.53742414025623542</v>
      </c>
      <c r="Q87">
        <f t="shared" ref="Q87" si="411">F87*P87</f>
        <v>673051576.3765316</v>
      </c>
      <c r="R87">
        <f t="shared" ref="R87" si="412">R88+Q87</f>
        <v>97631179836.694702</v>
      </c>
      <c r="S87">
        <f t="shared" ref="S87" si="413">R87/100000</f>
        <v>976311.79836694698</v>
      </c>
      <c r="T87">
        <f t="shared" ref="T87" si="414">S87/1000</f>
        <v>976.31179836694696</v>
      </c>
    </row>
    <row r="88" spans="1:20" x14ac:dyDescent="0.25">
      <c r="A88" s="5">
        <v>44505</v>
      </c>
      <c r="B88">
        <v>0.15265999999999999</v>
      </c>
      <c r="C88">
        <v>0.16438</v>
      </c>
      <c r="D88">
        <v>0.14521000000000001</v>
      </c>
      <c r="E88">
        <v>0.15809999999999999</v>
      </c>
      <c r="F88">
        <v>2331463789.0999999</v>
      </c>
      <c r="G88">
        <v>0.15809999999999999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0.344809598330724</v>
      </c>
      <c r="Q88">
        <f t="shared" ref="Q88" si="416">F88*P88</f>
        <v>803911092.6421988</v>
      </c>
      <c r="R88">
        <f t="shared" ref="R88" si="417">R89+Q88</f>
        <v>96958128260.318176</v>
      </c>
      <c r="S88">
        <f t="shared" ref="S88" si="418">R88/100000</f>
        <v>969581.28260318178</v>
      </c>
      <c r="T88">
        <f t="shared" ref="T88" si="419">S88/1000</f>
        <v>969.58128260318176</v>
      </c>
    </row>
    <row r="89" spans="1:20" x14ac:dyDescent="0.25">
      <c r="A89" s="5">
        <v>44504</v>
      </c>
      <c r="B89">
        <v>0.13725000000000001</v>
      </c>
      <c r="C89">
        <v>0.15351999999999999</v>
      </c>
      <c r="D89">
        <v>0.13536999999999999</v>
      </c>
      <c r="E89">
        <v>0.15264</v>
      </c>
      <c r="F89">
        <v>1832737770.4000001</v>
      </c>
      <c r="G89">
        <v>0.15264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0.90303030303030396</v>
      </c>
      <c r="Q89">
        <f t="shared" ref="Q89" si="421">F89*P89</f>
        <v>1655017744.1793957</v>
      </c>
      <c r="R89">
        <f t="shared" ref="R89" si="422">R90+Q89</f>
        <v>96154217167.67598</v>
      </c>
      <c r="S89">
        <f t="shared" ref="S89" si="423">R89/100000</f>
        <v>961542.17167675984</v>
      </c>
      <c r="T89">
        <f t="shared" ref="T89" si="424">S89/1000</f>
        <v>961.54217167675984</v>
      </c>
    </row>
    <row r="90" spans="1:20" x14ac:dyDescent="0.25">
      <c r="A90" s="5">
        <v>44503</v>
      </c>
      <c r="B90">
        <v>0.14013</v>
      </c>
      <c r="C90">
        <v>0.14107</v>
      </c>
      <c r="D90">
        <v>0.13200999999999999</v>
      </c>
      <c r="E90">
        <v>0.13722000000000001</v>
      </c>
      <c r="F90">
        <v>883031201.5</v>
      </c>
      <c r="G90">
        <v>0.13722000000000001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0.15011037527594107</v>
      </c>
      <c r="Q90">
        <f t="shared" ref="Q90" si="426">F90*P90</f>
        <v>132552145.03753014</v>
      </c>
      <c r="R90">
        <f t="shared" ref="R90" si="427">R91+Q90</f>
        <v>94499199423.496582</v>
      </c>
      <c r="S90">
        <f t="shared" ref="S90" si="428">R90/100000</f>
        <v>944991.99423496576</v>
      </c>
      <c r="T90">
        <f t="shared" ref="T90" si="429">S90/1000</f>
        <v>944.99199423496577</v>
      </c>
    </row>
    <row r="91" spans="1:20" x14ac:dyDescent="0.25">
      <c r="A91" s="5">
        <v>44502</v>
      </c>
      <c r="B91">
        <v>0.13661000000000001</v>
      </c>
      <c r="C91">
        <v>0.14299999999999999</v>
      </c>
      <c r="D91">
        <v>0.13331999999999999</v>
      </c>
      <c r="E91">
        <v>0.14015</v>
      </c>
      <c r="F91">
        <v>881909025.10000002</v>
      </c>
      <c r="G91">
        <v>0.14015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0.41115702479338984</v>
      </c>
      <c r="Q91">
        <f t="shared" ref="Q91" si="431">F91*P91</f>
        <v>362603090.89855498</v>
      </c>
      <c r="R91">
        <f t="shared" ref="R91" si="432">R92+Q91</f>
        <v>94366647278.459045</v>
      </c>
      <c r="S91">
        <f t="shared" ref="S91" si="433">R91/100000</f>
        <v>943666.47278459044</v>
      </c>
      <c r="T91">
        <f t="shared" ref="T91" si="434">S91/1000</f>
        <v>943.6664727845905</v>
      </c>
    </row>
    <row r="92" spans="1:20" x14ac:dyDescent="0.25">
      <c r="A92" s="5">
        <v>44501</v>
      </c>
      <c r="B92">
        <v>0.1331</v>
      </c>
      <c r="C92">
        <v>0.13785</v>
      </c>
      <c r="D92">
        <v>0.1275</v>
      </c>
      <c r="E92">
        <v>0.13658000000000001</v>
      </c>
      <c r="F92">
        <v>821528423.79999995</v>
      </c>
      <c r="G92">
        <v>0.13658000000000001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0.75458937198067755</v>
      </c>
      <c r="Q92">
        <f t="shared" ref="Q92" si="436">F92*P92</f>
        <v>619916617.37951791</v>
      </c>
      <c r="R92">
        <f t="shared" ref="R92" si="437">R93+Q92</f>
        <v>94004044187.560486</v>
      </c>
      <c r="S92">
        <f t="shared" ref="S92" si="438">R92/100000</f>
        <v>940040.44187560491</v>
      </c>
      <c r="T92">
        <f t="shared" ref="T92" si="439">S92/1000</f>
        <v>940.04044187560487</v>
      </c>
    </row>
    <row r="93" spans="1:20" x14ac:dyDescent="0.25">
      <c r="A93" s="5">
        <v>44500</v>
      </c>
      <c r="B93">
        <v>0.13058</v>
      </c>
      <c r="C93">
        <v>0.13558999999999999</v>
      </c>
      <c r="D93">
        <v>0.126</v>
      </c>
      <c r="E93">
        <v>0.13311000000000001</v>
      </c>
      <c r="F93">
        <v>702179993.60000002</v>
      </c>
      <c r="G93">
        <v>0.13311000000000001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0.48279457768509165</v>
      </c>
      <c r="Q93">
        <f t="shared" ref="Q93" si="441">F93*P93</f>
        <v>339008693.46903235</v>
      </c>
      <c r="R93">
        <f t="shared" ref="R93" si="442">R94+Q93</f>
        <v>93384127570.180969</v>
      </c>
      <c r="S93">
        <f t="shared" ref="S93" si="443">R93/100000</f>
        <v>933841.27570180967</v>
      </c>
      <c r="T93">
        <f t="shared" ref="T93" si="444">S93/1000</f>
        <v>933.84127570180965</v>
      </c>
    </row>
    <row r="94" spans="1:20" x14ac:dyDescent="0.25">
      <c r="A94" s="5">
        <v>44499</v>
      </c>
      <c r="B94">
        <v>0.13747000000000001</v>
      </c>
      <c r="C94">
        <v>0.13866000000000001</v>
      </c>
      <c r="D94">
        <v>0.12698999999999999</v>
      </c>
      <c r="E94">
        <v>0.13058</v>
      </c>
      <c r="F94">
        <v>670562848.39999998</v>
      </c>
      <c r="G94">
        <v>0.13058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-0.38474721508140436</v>
      </c>
      <c r="Q94">
        <f t="shared" ref="Q94" si="446">F94*P94</f>
        <v>-257997188.45895395</v>
      </c>
      <c r="R94">
        <f t="shared" ref="R94" si="447">R95+Q94</f>
        <v>93045118876.711929</v>
      </c>
      <c r="S94">
        <f t="shared" ref="S94" si="448">R94/100000</f>
        <v>930451.18876711931</v>
      </c>
      <c r="T94">
        <f t="shared" ref="T94" si="449">S94/1000</f>
        <v>930.45118876711933</v>
      </c>
    </row>
    <row r="95" spans="1:20" x14ac:dyDescent="0.25">
      <c r="A95" s="5">
        <v>44498</v>
      </c>
      <c r="B95">
        <v>0.13014000000000001</v>
      </c>
      <c r="C95">
        <v>0.14000000000000001</v>
      </c>
      <c r="D95">
        <v>0.12923000000000001</v>
      </c>
      <c r="E95">
        <v>0.13746</v>
      </c>
      <c r="F95">
        <v>768804432.10000002</v>
      </c>
      <c r="G95">
        <v>0.13746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0.52831940575672909</v>
      </c>
      <c r="Q95">
        <f t="shared" ref="Q95" si="451">F95*P95</f>
        <v>406174300.71021158</v>
      </c>
      <c r="R95">
        <f t="shared" ref="R95" si="452">R96+Q95</f>
        <v>93303116065.170883</v>
      </c>
      <c r="S95">
        <f t="shared" ref="S95" si="453">R95/100000</f>
        <v>933031.16065170884</v>
      </c>
      <c r="T95">
        <f t="shared" ref="T95" si="454">S95/1000</f>
        <v>933.03116065170889</v>
      </c>
    </row>
    <row r="96" spans="1:20" x14ac:dyDescent="0.25">
      <c r="A96" s="5">
        <v>44497</v>
      </c>
      <c r="B96">
        <v>0.12421</v>
      </c>
      <c r="C96">
        <v>0.13389999999999999</v>
      </c>
      <c r="D96">
        <v>0.12325</v>
      </c>
      <c r="E96">
        <v>0.13006999999999999</v>
      </c>
      <c r="F96">
        <v>1151515825.4000001</v>
      </c>
      <c r="G96">
        <v>0.13006999999999999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0.28075117370891967</v>
      </c>
      <c r="Q96">
        <f t="shared" ref="Q96" si="456">F96*P96</f>
        <v>323289419.52544546</v>
      </c>
      <c r="R96">
        <f t="shared" ref="R96" si="457">R97+Q96</f>
        <v>92896941764.460678</v>
      </c>
      <c r="S96">
        <f t="shared" ref="S96" si="458">R96/100000</f>
        <v>928969.41764460679</v>
      </c>
      <c r="T96">
        <f t="shared" ref="T96" si="459">S96/1000</f>
        <v>928.96941764460678</v>
      </c>
    </row>
    <row r="97" spans="1:20" x14ac:dyDescent="0.25">
      <c r="A97" s="5">
        <v>44496</v>
      </c>
      <c r="B97">
        <v>0.14027000000000001</v>
      </c>
      <c r="C97">
        <v>0.14327999999999999</v>
      </c>
      <c r="D97">
        <v>0.11692</v>
      </c>
      <c r="E97">
        <v>0.12415</v>
      </c>
      <c r="F97">
        <v>1584863168.5999999</v>
      </c>
      <c r="G97">
        <v>0.12415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-0.45144157814871005</v>
      </c>
      <c r="Q97">
        <f t="shared" ref="Q97" si="461">F97*P97</f>
        <v>-715473129.98254907</v>
      </c>
      <c r="R97">
        <f t="shared" ref="R97" si="462">R98+Q97</f>
        <v>92573652344.935226</v>
      </c>
      <c r="S97">
        <f t="shared" ref="S97" si="463">R97/100000</f>
        <v>925736.52344935224</v>
      </c>
      <c r="T97">
        <f t="shared" ref="T97" si="464">S97/1000</f>
        <v>925.73652344935226</v>
      </c>
    </row>
    <row r="98" spans="1:20" x14ac:dyDescent="0.25">
      <c r="A98" s="5">
        <v>44495</v>
      </c>
      <c r="B98">
        <v>0.14251</v>
      </c>
      <c r="C98">
        <v>0.14785000000000001</v>
      </c>
      <c r="D98">
        <v>0.13900000000000001</v>
      </c>
      <c r="E98">
        <v>0.14029</v>
      </c>
      <c r="F98">
        <v>986800373.39999998</v>
      </c>
      <c r="G98">
        <v>0.14029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-0.70847457627118959</v>
      </c>
      <c r="Q98">
        <f t="shared" ref="Q98" si="466">F98*P98</f>
        <v>-699122976.4088167</v>
      </c>
      <c r="R98">
        <f t="shared" ref="R98" si="467">R99+Q98</f>
        <v>93289125474.91777</v>
      </c>
      <c r="S98">
        <f t="shared" ref="S98" si="468">R98/100000</f>
        <v>932891.25474917772</v>
      </c>
      <c r="T98">
        <f t="shared" ref="T98" si="469">S98/1000</f>
        <v>932.89125474917773</v>
      </c>
    </row>
    <row r="99" spans="1:20" x14ac:dyDescent="0.25">
      <c r="A99" s="5">
        <v>44494</v>
      </c>
      <c r="B99">
        <v>0.13241</v>
      </c>
      <c r="C99">
        <v>0.14334</v>
      </c>
      <c r="D99">
        <v>0.13123000000000001</v>
      </c>
      <c r="E99">
        <v>0.14248</v>
      </c>
      <c r="F99">
        <v>892115979.70000005</v>
      </c>
      <c r="G99">
        <v>0.14248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0.85796862097440119</v>
      </c>
      <c r="Q99">
        <f t="shared" ref="Q99" si="471">F99*P99</f>
        <v>765407516.85243595</v>
      </c>
      <c r="R99">
        <f t="shared" ref="R99" si="472">R100+Q99</f>
        <v>93988248451.326584</v>
      </c>
      <c r="S99">
        <f t="shared" ref="S99" si="473">R99/100000</f>
        <v>939882.4845132659</v>
      </c>
      <c r="T99">
        <f t="shared" ref="T99" si="474">S99/1000</f>
        <v>939.88248451326592</v>
      </c>
    </row>
    <row r="100" spans="1:20" x14ac:dyDescent="0.25">
      <c r="A100" s="5">
        <v>44493</v>
      </c>
      <c r="B100">
        <v>0.13597000000000001</v>
      </c>
      <c r="C100">
        <v>0.13944000000000001</v>
      </c>
      <c r="D100">
        <v>0.12845000000000001</v>
      </c>
      <c r="E100">
        <v>0.13236999999999999</v>
      </c>
      <c r="F100">
        <v>797875175.5</v>
      </c>
      <c r="G100">
        <v>0.13236999999999999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-0.28662420382165987</v>
      </c>
      <c r="Q100">
        <f t="shared" ref="Q100" si="476">F100*P100</f>
        <v>-228690336.92675465</v>
      </c>
      <c r="R100">
        <f t="shared" ref="R100" si="477">R101+Q100</f>
        <v>93222840934.474152</v>
      </c>
      <c r="S100">
        <f t="shared" ref="S100" si="478">R100/100000</f>
        <v>932228.40934474149</v>
      </c>
      <c r="T100">
        <f t="shared" ref="T100" si="479">S100/1000</f>
        <v>932.22840934474152</v>
      </c>
    </row>
    <row r="101" spans="1:20" x14ac:dyDescent="0.25">
      <c r="A101" s="5">
        <v>44492</v>
      </c>
      <c r="B101">
        <v>0.13014999999999999</v>
      </c>
      <c r="C101">
        <v>0.1386</v>
      </c>
      <c r="D101">
        <v>0.12866</v>
      </c>
      <c r="E101">
        <v>0.13596</v>
      </c>
      <c r="F101">
        <v>854522534.39999998</v>
      </c>
      <c r="G101">
        <v>0.13596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0.46881287726358101</v>
      </c>
      <c r="Q101">
        <f t="shared" ref="Q101" si="481">F101*P101</f>
        <v>400611168.03863138</v>
      </c>
      <c r="R101">
        <f t="shared" ref="R101" si="482">R102+Q101</f>
        <v>93451531271.400909</v>
      </c>
      <c r="S101">
        <f t="shared" ref="S101" si="483">R101/100000</f>
        <v>934515.31271400908</v>
      </c>
      <c r="T101">
        <f t="shared" ref="T101" si="484">S101/1000</f>
        <v>934.51531271400904</v>
      </c>
    </row>
    <row r="102" spans="1:20" x14ac:dyDescent="0.25">
      <c r="A102" s="5">
        <v>44491</v>
      </c>
      <c r="B102">
        <v>0.12959999999999999</v>
      </c>
      <c r="C102">
        <v>0.13700000000000001</v>
      </c>
      <c r="D102">
        <v>0.12645999999999999</v>
      </c>
      <c r="E102">
        <v>0.13014999999999999</v>
      </c>
      <c r="F102">
        <v>1082557721.2</v>
      </c>
      <c r="G102">
        <v>0.13014999999999999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-0.29981024667931855</v>
      </c>
      <c r="Q102">
        <f t="shared" ref="Q102" si="486">F102*P102</f>
        <v>-324561897.43757296</v>
      </c>
      <c r="R102">
        <f t="shared" ref="R102" si="487">R103+Q102</f>
        <v>93050920103.362274</v>
      </c>
      <c r="S102">
        <f t="shared" ref="S102" si="488">R102/100000</f>
        <v>930509.20103362272</v>
      </c>
      <c r="T102">
        <f t="shared" ref="T102" si="489">S102/1000</f>
        <v>930.50920103362273</v>
      </c>
    </row>
    <row r="103" spans="1:20" x14ac:dyDescent="0.25">
      <c r="A103" s="5">
        <v>44490</v>
      </c>
      <c r="B103">
        <v>0.12223000000000001</v>
      </c>
      <c r="C103">
        <v>0.13603000000000001</v>
      </c>
      <c r="D103">
        <v>0.12188</v>
      </c>
      <c r="E103">
        <v>0.12953000000000001</v>
      </c>
      <c r="F103">
        <v>1873058055</v>
      </c>
      <c r="G103">
        <v>0.12953000000000001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8.1272084805653524E-2</v>
      </c>
      <c r="Q103">
        <f t="shared" ref="Q103" si="491">F103*P103</f>
        <v>152227333.09187245</v>
      </c>
      <c r="R103">
        <f t="shared" ref="R103" si="492">R104+Q103</f>
        <v>93375482000.79985</v>
      </c>
      <c r="S103">
        <f t="shared" ref="S103" si="493">R103/100000</f>
        <v>933754.8200079985</v>
      </c>
      <c r="T103">
        <f t="shared" ref="T103" si="494">S103/1000</f>
        <v>933.75482000799855</v>
      </c>
    </row>
    <row r="104" spans="1:20" x14ac:dyDescent="0.25">
      <c r="A104" s="5">
        <v>44489</v>
      </c>
      <c r="B104">
        <v>0.11611</v>
      </c>
      <c r="C104">
        <v>0.12307</v>
      </c>
      <c r="D104">
        <v>0.11509</v>
      </c>
      <c r="E104">
        <v>0.12223000000000001</v>
      </c>
      <c r="F104">
        <v>679513468.29999995</v>
      </c>
      <c r="G104">
        <v>0.12223000000000001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0.78947368421052799</v>
      </c>
      <c r="Q104">
        <f t="shared" ref="Q104" si="496">F104*P104</f>
        <v>536458001.28947479</v>
      </c>
      <c r="R104">
        <f t="shared" ref="R104" si="497">R105+Q104</f>
        <v>93223254667.707977</v>
      </c>
      <c r="S104">
        <f t="shared" ref="S104" si="498">R104/100000</f>
        <v>932232.54667707975</v>
      </c>
      <c r="T104">
        <f t="shared" ref="T104" si="499">S104/1000</f>
        <v>932.23254667707977</v>
      </c>
    </row>
    <row r="105" spans="1:20" x14ac:dyDescent="0.25">
      <c r="A105" s="5">
        <v>44488</v>
      </c>
      <c r="B105">
        <v>0.11849999999999999</v>
      </c>
      <c r="C105">
        <v>0.11941</v>
      </c>
      <c r="D105">
        <v>0.11466</v>
      </c>
      <c r="E105">
        <v>0.11608</v>
      </c>
      <c r="F105">
        <v>555759490.89999998</v>
      </c>
      <c r="G105">
        <v>0.11608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-0.40210526315789336</v>
      </c>
      <c r="Q105">
        <f t="shared" ref="Q105" si="501">F105*P105</f>
        <v>-223473816.34084132</v>
      </c>
      <c r="R105">
        <f t="shared" ref="R105" si="502">R106+Q105</f>
        <v>92686796666.418503</v>
      </c>
      <c r="S105">
        <f t="shared" ref="S105" si="503">R105/100000</f>
        <v>926867.96666418505</v>
      </c>
      <c r="T105">
        <f t="shared" ref="T105" si="504">S105/1000</f>
        <v>926.86796666418502</v>
      </c>
    </row>
    <row r="106" spans="1:20" x14ac:dyDescent="0.25">
      <c r="A106" s="5">
        <v>44487</v>
      </c>
      <c r="B106">
        <v>0.12222</v>
      </c>
      <c r="C106">
        <v>0.12383</v>
      </c>
      <c r="D106">
        <v>0.1168</v>
      </c>
      <c r="E106">
        <v>0.11844</v>
      </c>
      <c r="F106">
        <v>697328889.89999998</v>
      </c>
      <c r="G106">
        <v>0.11844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-0.53342816500711132</v>
      </c>
      <c r="Q106">
        <f t="shared" ref="Q106" si="506">F106*P106</f>
        <v>-371974870.14580297</v>
      </c>
      <c r="R106">
        <f t="shared" ref="R106" si="507">R107+Q106</f>
        <v>92910270482.759338</v>
      </c>
      <c r="S106">
        <f t="shared" ref="S106" si="508">R106/100000</f>
        <v>929102.70482759341</v>
      </c>
      <c r="T106">
        <f t="shared" ref="T106" si="509">S106/1000</f>
        <v>929.10270482759336</v>
      </c>
    </row>
    <row r="107" spans="1:20" x14ac:dyDescent="0.25">
      <c r="A107" s="5">
        <v>44486</v>
      </c>
      <c r="B107">
        <v>0.11989</v>
      </c>
      <c r="C107">
        <v>0.12776999999999999</v>
      </c>
      <c r="D107">
        <v>0.11623</v>
      </c>
      <c r="E107">
        <v>0.12223000000000001</v>
      </c>
      <c r="F107">
        <v>1257324801.5999999</v>
      </c>
      <c r="G107">
        <v>0.12223000000000001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3.9861351819758764E-2</v>
      </c>
      <c r="Q107">
        <f t="shared" ref="Q107" si="511">F107*P107</f>
        <v>50118666.268285982</v>
      </c>
      <c r="R107">
        <f t="shared" ref="R107" si="512">R108+Q107</f>
        <v>93282245352.905136</v>
      </c>
      <c r="S107">
        <f t="shared" ref="S107" si="513">R107/100000</f>
        <v>932822.45352905139</v>
      </c>
      <c r="T107">
        <f t="shared" ref="T107" si="514">S107/1000</f>
        <v>932.82245352905136</v>
      </c>
    </row>
    <row r="108" spans="1:20" x14ac:dyDescent="0.25">
      <c r="A108" s="5">
        <v>44485</v>
      </c>
      <c r="B108">
        <v>0.11985</v>
      </c>
      <c r="C108">
        <v>0.12452000000000001</v>
      </c>
      <c r="D108">
        <v>0.11841</v>
      </c>
      <c r="E108">
        <v>0.11990000000000001</v>
      </c>
      <c r="F108">
        <v>654896552.79999995</v>
      </c>
      <c r="G108">
        <v>0.11990000000000001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-0.51227495908346832</v>
      </c>
      <c r="Q108">
        <f t="shared" ref="Q108" si="516">F108*P108</f>
        <v>-335487104.78952444</v>
      </c>
      <c r="R108">
        <f t="shared" ref="R108" si="517">R109+Q108</f>
        <v>93232126686.636856</v>
      </c>
      <c r="S108">
        <f t="shared" ref="S108" si="518">R108/100000</f>
        <v>932321.26686636859</v>
      </c>
      <c r="T108">
        <f t="shared" ref="T108" si="519">S108/1000</f>
        <v>932.32126686636855</v>
      </c>
    </row>
    <row r="109" spans="1:20" x14ac:dyDescent="0.25">
      <c r="A109" s="5">
        <v>44484</v>
      </c>
      <c r="B109">
        <v>0.11917999999999999</v>
      </c>
      <c r="C109">
        <v>0.12520000000000001</v>
      </c>
      <c r="D109">
        <v>0.11222</v>
      </c>
      <c r="E109">
        <v>0.11987</v>
      </c>
      <c r="F109">
        <v>1331142722.5999999</v>
      </c>
      <c r="G109">
        <v>0.11987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0.17873651771956869</v>
      </c>
      <c r="Q109">
        <f t="shared" ref="Q109" si="521">F109*P109</f>
        <v>237923814.82526979</v>
      </c>
      <c r="R109">
        <f t="shared" ref="R109" si="522">R110+Q109</f>
        <v>93567613791.426376</v>
      </c>
      <c r="S109">
        <f t="shared" ref="S109" si="523">R109/100000</f>
        <v>935676.13791426376</v>
      </c>
      <c r="T109">
        <f t="shared" ref="T109" si="524">S109/1000</f>
        <v>935.67613791426379</v>
      </c>
    </row>
    <row r="110" spans="1:20" x14ac:dyDescent="0.25">
      <c r="A110" s="5">
        <v>44483</v>
      </c>
      <c r="B110">
        <v>0.11552999999999999</v>
      </c>
      <c r="C110">
        <v>0.123</v>
      </c>
      <c r="D110">
        <v>0.11552</v>
      </c>
      <c r="E110">
        <v>0.11916</v>
      </c>
      <c r="F110">
        <v>1124809167.8</v>
      </c>
      <c r="G110">
        <v>0.11916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-2.6737967914437413E-2</v>
      </c>
      <c r="Q110">
        <f t="shared" ref="Q110" si="526">F110*P110</f>
        <v>-30075111.438501447</v>
      </c>
      <c r="R110">
        <f t="shared" ref="R110" si="527">R111+Q110</f>
        <v>93329689976.601105</v>
      </c>
      <c r="S110">
        <f t="shared" ref="S110" si="528">R110/100000</f>
        <v>933296.89976601105</v>
      </c>
      <c r="T110">
        <f t="shared" ref="T110" si="529">S110/1000</f>
        <v>933.29689976601105</v>
      </c>
    </row>
    <row r="111" spans="1:20" x14ac:dyDescent="0.25">
      <c r="A111" s="5">
        <v>44482</v>
      </c>
      <c r="B111">
        <v>0.10671</v>
      </c>
      <c r="C111">
        <v>0.11647</v>
      </c>
      <c r="D111">
        <v>0.10453</v>
      </c>
      <c r="E111">
        <v>0.11552999999999999</v>
      </c>
      <c r="F111">
        <v>1193867433.8</v>
      </c>
      <c r="G111">
        <v>0.11552999999999999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0.84254606365158968</v>
      </c>
      <c r="Q111">
        <f t="shared" ref="Q111" si="531">F111*P111</f>
        <v>1005888306.8700148</v>
      </c>
      <c r="R111">
        <f t="shared" ref="R111" si="532">R112+Q111</f>
        <v>93359765088.039612</v>
      </c>
      <c r="S111">
        <f t="shared" ref="S111" si="533">R111/100000</f>
        <v>933597.65088039613</v>
      </c>
      <c r="T111">
        <f t="shared" ref="T111" si="534">S111/1000</f>
        <v>933.59765088039615</v>
      </c>
    </row>
    <row r="112" spans="1:20" x14ac:dyDescent="0.25">
      <c r="A112" s="5">
        <v>44481</v>
      </c>
      <c r="B112">
        <v>0.10911</v>
      </c>
      <c r="C112">
        <v>0.10915999999999999</v>
      </c>
      <c r="D112">
        <v>0.10057000000000001</v>
      </c>
      <c r="E112">
        <v>0.10675</v>
      </c>
      <c r="F112">
        <v>890416526.79999995</v>
      </c>
      <c r="G112">
        <v>0.10675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0.4388824214202563</v>
      </c>
      <c r="Q112">
        <f t="shared" ref="Q112" si="536">F112*P112</f>
        <v>390788161.35459852</v>
      </c>
      <c r="R112">
        <f t="shared" ref="R112" si="537">R113+Q112</f>
        <v>92353876781.169601</v>
      </c>
      <c r="S112">
        <f t="shared" ref="S112" si="538">R112/100000</f>
        <v>923538.76781169605</v>
      </c>
      <c r="T112">
        <f t="shared" ref="T112" si="539">S112/1000</f>
        <v>923.53876781169606</v>
      </c>
    </row>
    <row r="113" spans="1:20" x14ac:dyDescent="0.25">
      <c r="A113" s="5">
        <v>44480</v>
      </c>
      <c r="B113">
        <v>0.11026</v>
      </c>
      <c r="C113">
        <v>0.11537</v>
      </c>
      <c r="D113">
        <v>0.10639</v>
      </c>
      <c r="E113">
        <v>0.10911</v>
      </c>
      <c r="F113">
        <v>628407085.29999995</v>
      </c>
      <c r="G113">
        <v>0.10911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-0.39420935412026736</v>
      </c>
      <c r="Q113">
        <f t="shared" ref="Q113" si="541">F113*P113</f>
        <v>-247723951.22071275</v>
      </c>
      <c r="R113">
        <f t="shared" ref="R113" si="542">R114+Q113</f>
        <v>91963088619.815002</v>
      </c>
      <c r="S113">
        <f t="shared" ref="S113" si="543">R113/100000</f>
        <v>919630.88619814999</v>
      </c>
      <c r="T113">
        <f t="shared" ref="T113" si="544">S113/1000</f>
        <v>919.63088619814994</v>
      </c>
    </row>
    <row r="114" spans="1:20" x14ac:dyDescent="0.25">
      <c r="A114" s="5">
        <v>44479</v>
      </c>
      <c r="B114">
        <v>0.11897000000000001</v>
      </c>
      <c r="C114">
        <v>0.11928999999999999</v>
      </c>
      <c r="D114">
        <v>0.10976</v>
      </c>
      <c r="E114">
        <v>0.11031000000000001</v>
      </c>
      <c r="F114">
        <v>571058896</v>
      </c>
      <c r="G114">
        <v>0.11031000000000001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-0.8845750262329467</v>
      </c>
      <c r="Q114">
        <f t="shared" ref="Q114" si="546">F114*P114</f>
        <v>-505144437.90975755</v>
      </c>
      <c r="R114">
        <f t="shared" ref="R114" si="547">R115+Q114</f>
        <v>92210812571.035721</v>
      </c>
      <c r="S114">
        <f t="shared" ref="S114" si="548">R114/100000</f>
        <v>922108.12571035721</v>
      </c>
      <c r="T114">
        <f t="shared" ref="T114" si="549">S114/1000</f>
        <v>922.10812571035717</v>
      </c>
    </row>
    <row r="115" spans="1:20" x14ac:dyDescent="0.25">
      <c r="A115" s="5">
        <v>44478</v>
      </c>
      <c r="B115">
        <v>0.11157</v>
      </c>
      <c r="C115">
        <v>0.12311</v>
      </c>
      <c r="D115">
        <v>0.10951</v>
      </c>
      <c r="E115">
        <v>0.11892</v>
      </c>
      <c r="F115">
        <v>1012231002.9</v>
      </c>
      <c r="G115">
        <v>0.11892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0.38382352941176484</v>
      </c>
      <c r="Q115">
        <f t="shared" ref="Q115" si="551">F115*P115</f>
        <v>388518076.11308837</v>
      </c>
      <c r="R115">
        <f t="shared" ref="R115" si="552">R116+Q115</f>
        <v>92715957008.94548</v>
      </c>
      <c r="S115">
        <f t="shared" ref="S115" si="553">R115/100000</f>
        <v>927159.57008945476</v>
      </c>
      <c r="T115">
        <f t="shared" ref="T115" si="554">S115/1000</f>
        <v>927.15957008945475</v>
      </c>
    </row>
    <row r="116" spans="1:20" x14ac:dyDescent="0.25">
      <c r="A116" s="5">
        <v>44477</v>
      </c>
      <c r="B116">
        <v>0.11172</v>
      </c>
      <c r="C116">
        <v>0.11541</v>
      </c>
      <c r="D116">
        <v>0.11051999999999999</v>
      </c>
      <c r="E116">
        <v>0.11151999999999999</v>
      </c>
      <c r="F116">
        <v>592834510.89999998</v>
      </c>
      <c r="G116">
        <v>0.11151999999999999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-0.59100204498977515</v>
      </c>
      <c r="Q116">
        <f t="shared" ref="Q116" si="556">F116*P116</f>
        <v>-350366408.28241313</v>
      </c>
      <c r="R116">
        <f t="shared" ref="R116" si="557">R117+Q116</f>
        <v>92327438932.832397</v>
      </c>
      <c r="S116">
        <f t="shared" ref="S116" si="558">R116/100000</f>
        <v>923274.389328324</v>
      </c>
      <c r="T116">
        <f t="shared" ref="T116" si="559">S116/1000</f>
        <v>923.27438932832399</v>
      </c>
    </row>
    <row r="117" spans="1:20" x14ac:dyDescent="0.25">
      <c r="A117" s="5">
        <v>44476</v>
      </c>
      <c r="B117">
        <v>0.11228</v>
      </c>
      <c r="C117">
        <v>0.11788999999999999</v>
      </c>
      <c r="D117">
        <v>0.10911999999999999</v>
      </c>
      <c r="E117">
        <v>0.11169</v>
      </c>
      <c r="F117">
        <v>892109485.70000005</v>
      </c>
      <c r="G117">
        <v>0.11169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-0.41391106043329468</v>
      </c>
      <c r="Q117">
        <f t="shared" ref="Q117" si="561">F117*P117</f>
        <v>-369253983.24868816</v>
      </c>
      <c r="R117">
        <f t="shared" ref="R117" si="562">R118+Q117</f>
        <v>92677805341.114807</v>
      </c>
      <c r="S117">
        <f t="shared" ref="S117" si="563">R117/100000</f>
        <v>926778.05341114802</v>
      </c>
      <c r="T117">
        <f t="shared" ref="T117" si="564">S117/1000</f>
        <v>926.77805341114799</v>
      </c>
    </row>
    <row r="118" spans="1:20" x14ac:dyDescent="0.25">
      <c r="A118" s="5">
        <v>44475</v>
      </c>
      <c r="B118">
        <v>0.11345</v>
      </c>
      <c r="C118">
        <v>0.11497</v>
      </c>
      <c r="D118">
        <v>0.10514</v>
      </c>
      <c r="E118">
        <v>0.11230999999999999</v>
      </c>
      <c r="F118">
        <v>941453507.79999995</v>
      </c>
      <c r="G118">
        <v>0.11230999999999999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0.45879959308239915</v>
      </c>
      <c r="Q118">
        <f t="shared" ref="Q118" si="566">F118*P118</f>
        <v>431938486.28463727</v>
      </c>
      <c r="R118">
        <f t="shared" ref="R118" si="567">R119+Q118</f>
        <v>93047059324.363495</v>
      </c>
      <c r="S118">
        <f t="shared" ref="S118" si="568">R118/100000</f>
        <v>930470.59324363491</v>
      </c>
      <c r="T118">
        <f t="shared" ref="T118" si="569">S118/1000</f>
        <v>930.47059324363488</v>
      </c>
    </row>
    <row r="119" spans="1:20" x14ac:dyDescent="0.25">
      <c r="A119" s="5">
        <v>44474</v>
      </c>
      <c r="B119">
        <v>0.10944</v>
      </c>
      <c r="C119">
        <v>0.11600000000000001</v>
      </c>
      <c r="D119">
        <v>0.10853</v>
      </c>
      <c r="E119">
        <v>0.11342000000000001</v>
      </c>
      <c r="F119">
        <v>855595237</v>
      </c>
      <c r="G119">
        <v>0.11342000000000001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0.30923694779116534</v>
      </c>
      <c r="Q119">
        <f t="shared" ref="Q119" si="571">F119*P119</f>
        <v>264581659.63453874</v>
      </c>
      <c r="R119">
        <f t="shared" ref="R119" si="572">R120+Q119</f>
        <v>92615120838.078857</v>
      </c>
      <c r="S119">
        <f t="shared" ref="S119" si="573">R119/100000</f>
        <v>926151.20838078856</v>
      </c>
      <c r="T119">
        <f t="shared" ref="T119" si="574">S119/1000</f>
        <v>926.1512083807886</v>
      </c>
    </row>
    <row r="120" spans="1:20" x14ac:dyDescent="0.25">
      <c r="A120" s="5">
        <v>44473</v>
      </c>
      <c r="B120">
        <v>0.11042</v>
      </c>
      <c r="C120">
        <v>0.11292000000000001</v>
      </c>
      <c r="D120">
        <v>0.10406</v>
      </c>
      <c r="E120">
        <v>0.10954</v>
      </c>
      <c r="F120">
        <v>1027660940.1</v>
      </c>
      <c r="G120">
        <v>0.10954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0.23702031602708681</v>
      </c>
      <c r="Q120">
        <f t="shared" ref="Q120" si="576">F120*P120</f>
        <v>243576520.79119512</v>
      </c>
      <c r="R120">
        <f t="shared" ref="R120" si="577">R121+Q120</f>
        <v>92350539178.444321</v>
      </c>
      <c r="S120">
        <f t="shared" ref="S120" si="578">R120/100000</f>
        <v>923505.39178444317</v>
      </c>
      <c r="T120">
        <f t="shared" ref="T120" si="579">S120/1000</f>
        <v>923.50539178444319</v>
      </c>
    </row>
    <row r="121" spans="1:20" x14ac:dyDescent="0.25">
      <c r="A121" s="5">
        <v>44472</v>
      </c>
      <c r="B121">
        <v>0.11133999999999999</v>
      </c>
      <c r="C121">
        <v>0.11459999999999999</v>
      </c>
      <c r="D121">
        <v>0.10814</v>
      </c>
      <c r="E121">
        <v>0.11069</v>
      </c>
      <c r="F121">
        <v>855822451.89999998</v>
      </c>
      <c r="G121">
        <v>0.11069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-0.21052631578947392</v>
      </c>
      <c r="Q121">
        <f t="shared" ref="Q121" si="581">F121*P121</f>
        <v>-180173147.76842126</v>
      </c>
      <c r="R121">
        <f t="shared" ref="R121" si="582">R122+Q121</f>
        <v>92106962657.653122</v>
      </c>
      <c r="S121">
        <f t="shared" ref="S121" si="583">R121/100000</f>
        <v>921069.62657653121</v>
      </c>
      <c r="T121">
        <f t="shared" ref="T121" si="584">S121/1000</f>
        <v>921.06962657653116</v>
      </c>
    </row>
    <row r="122" spans="1:20" x14ac:dyDescent="0.25">
      <c r="A122" s="5">
        <v>44471</v>
      </c>
      <c r="B122">
        <v>0.10825</v>
      </c>
      <c r="C122">
        <v>0.11666</v>
      </c>
      <c r="D122">
        <v>0.10596</v>
      </c>
      <c r="E122">
        <v>0.11131000000000001</v>
      </c>
      <c r="F122">
        <v>997348499.60000002</v>
      </c>
      <c r="G122">
        <v>0.11131000000000001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1.2969895147490145E-15</v>
      </c>
      <c r="Q122">
        <f t="shared" ref="Q122" si="586">F122*P122</f>
        <v>1.2935505465318617E-6</v>
      </c>
      <c r="R122">
        <f t="shared" ref="R122" si="587">R123+Q122</f>
        <v>92287135805.421539</v>
      </c>
      <c r="S122">
        <f t="shared" ref="S122" si="588">R122/100000</f>
        <v>922871.35805421544</v>
      </c>
      <c r="T122">
        <f t="shared" ref="T122" si="589">S122/1000</f>
        <v>922.87135805421542</v>
      </c>
    </row>
    <row r="123" spans="1:20" x14ac:dyDescent="0.25">
      <c r="A123" s="5">
        <v>44470</v>
      </c>
      <c r="B123">
        <v>9.6000000000000002E-2</v>
      </c>
      <c r="C123">
        <v>0.11146</v>
      </c>
      <c r="D123">
        <v>9.5100000000000004E-2</v>
      </c>
      <c r="E123">
        <v>0.10825</v>
      </c>
      <c r="F123">
        <v>1912290556.5999999</v>
      </c>
      <c r="G123">
        <v>0.10825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0.60757946210268887</v>
      </c>
      <c r="Q123">
        <f t="shared" ref="Q123" si="591">F123*P123</f>
        <v>1161868467.7630794</v>
      </c>
      <c r="R123">
        <f t="shared" ref="R123" si="592">R124+Q123</f>
        <v>92287135805.421539</v>
      </c>
      <c r="S123">
        <f t="shared" ref="S123" si="593">R123/100000</f>
        <v>922871.35805421544</v>
      </c>
      <c r="T123">
        <f t="shared" ref="T123" si="594">S123/1000</f>
        <v>922.87135805421542</v>
      </c>
    </row>
    <row r="124" spans="1:20" x14ac:dyDescent="0.25">
      <c r="A124" s="5">
        <v>44469</v>
      </c>
      <c r="B124">
        <v>8.4659999999999999E-2</v>
      </c>
      <c r="C124">
        <v>9.6000000000000002E-2</v>
      </c>
      <c r="D124">
        <v>8.4260000000000002E-2</v>
      </c>
      <c r="E124">
        <v>9.5979999999999996E-2</v>
      </c>
      <c r="F124">
        <v>1011138225.2</v>
      </c>
      <c r="G124">
        <v>9.5979999999999996E-2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0.99659284497444534</v>
      </c>
      <c r="Q124">
        <f t="shared" ref="Q124" si="596">F124*P124</f>
        <v>1007693120.5144794</v>
      </c>
      <c r="R124">
        <f t="shared" ref="R124" si="597">R125+Q124</f>
        <v>91125267337.658463</v>
      </c>
      <c r="S124">
        <f t="shared" ref="S124" si="598">R124/100000</f>
        <v>911252.67337658466</v>
      </c>
      <c r="T124">
        <f t="shared" ref="T124" si="599">S124/1000</f>
        <v>911.25267337658465</v>
      </c>
    </row>
    <row r="125" spans="1:20" x14ac:dyDescent="0.25">
      <c r="A125" s="5">
        <v>44468</v>
      </c>
      <c r="B125">
        <v>8.1729999999999997E-2</v>
      </c>
      <c r="C125">
        <v>8.7620000000000003E-2</v>
      </c>
      <c r="D125">
        <v>8.1570000000000004E-2</v>
      </c>
      <c r="E125">
        <v>8.4680000000000005E-2</v>
      </c>
      <c r="F125">
        <v>638812653.5</v>
      </c>
      <c r="G125">
        <v>8.4680000000000005E-2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2.8099173553719586E-2</v>
      </c>
      <c r="Q125">
        <f t="shared" ref="Q125" si="601">F125*P125</f>
        <v>17950107.619008634</v>
      </c>
      <c r="R125">
        <f t="shared" ref="R125" si="602">R126+Q125</f>
        <v>90117574217.143982</v>
      </c>
      <c r="S125">
        <f t="shared" ref="S125" si="603">R125/100000</f>
        <v>901175.74217143981</v>
      </c>
      <c r="T125">
        <f t="shared" ref="T125" si="604">S125/1000</f>
        <v>901.17574217143977</v>
      </c>
    </row>
    <row r="126" spans="1:20" x14ac:dyDescent="0.25">
      <c r="A126" s="5">
        <v>44467</v>
      </c>
      <c r="B126">
        <v>8.634E-2</v>
      </c>
      <c r="C126">
        <v>8.8709999999999997E-2</v>
      </c>
      <c r="D126">
        <v>8.1610000000000002E-2</v>
      </c>
      <c r="E126">
        <v>8.1729999999999997E-2</v>
      </c>
      <c r="F126">
        <v>717372260.20000005</v>
      </c>
      <c r="G126">
        <v>8.1729999999999997E-2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-0.96619718309859293</v>
      </c>
      <c r="Q126">
        <f t="shared" ref="Q126" si="606">F126*P126</f>
        <v>-693123057.03831089</v>
      </c>
      <c r="R126">
        <f t="shared" ref="R126" si="607">R127+Q126</f>
        <v>90099624109.524979</v>
      </c>
      <c r="S126">
        <f t="shared" ref="S126" si="608">R126/100000</f>
        <v>900996.24109524977</v>
      </c>
      <c r="T126">
        <f t="shared" ref="T126" si="609">S126/1000</f>
        <v>900.99624109524973</v>
      </c>
    </row>
    <row r="127" spans="1:20" x14ac:dyDescent="0.25">
      <c r="A127" s="5">
        <v>44466</v>
      </c>
      <c r="B127">
        <v>9.146E-2</v>
      </c>
      <c r="C127">
        <v>9.4259999999999997E-2</v>
      </c>
      <c r="D127">
        <v>8.6279999999999996E-2</v>
      </c>
      <c r="E127">
        <v>8.634E-2</v>
      </c>
      <c r="F127">
        <v>635697107.10000002</v>
      </c>
      <c r="G127">
        <v>8.634E-2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-0.98496240601503648</v>
      </c>
      <c r="Q127">
        <f t="shared" ref="Q127" si="611">F127*P127</f>
        <v>-626137752.10601437</v>
      </c>
      <c r="R127">
        <f t="shared" ref="R127" si="612">R128+Q127</f>
        <v>90792747166.563293</v>
      </c>
      <c r="S127">
        <f t="shared" ref="S127" si="613">R127/100000</f>
        <v>907927.47166563291</v>
      </c>
      <c r="T127">
        <f t="shared" ref="T127" si="614">S127/1000</f>
        <v>907.92747166563288</v>
      </c>
    </row>
    <row r="128" spans="1:20" x14ac:dyDescent="0.25">
      <c r="A128" s="5">
        <v>44465</v>
      </c>
      <c r="B128">
        <v>8.9950000000000002E-2</v>
      </c>
      <c r="C128">
        <v>9.3259999999999996E-2</v>
      </c>
      <c r="D128">
        <v>8.405E-2</v>
      </c>
      <c r="E128">
        <v>9.1490000000000002E-2</v>
      </c>
      <c r="F128">
        <v>794105906.10000002</v>
      </c>
      <c r="G128">
        <v>9.1490000000000002E-2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0.61563517915309562</v>
      </c>
      <c r="Q128">
        <f t="shared" ref="Q128" si="616">F128*P128</f>
        <v>488879531.76840484</v>
      </c>
      <c r="R128">
        <f t="shared" ref="R128" si="617">R129+Q128</f>
        <v>91418884918.669312</v>
      </c>
      <c r="S128">
        <f t="shared" ref="S128" si="618">R128/100000</f>
        <v>914188.84918669309</v>
      </c>
      <c r="T128">
        <f t="shared" ref="T128" si="619">S128/1000</f>
        <v>914.18884918669312</v>
      </c>
    </row>
    <row r="129" spans="1:20" x14ac:dyDescent="0.25">
      <c r="A129" s="5">
        <v>44464</v>
      </c>
      <c r="B129">
        <v>9.2289999999999997E-2</v>
      </c>
      <c r="C129">
        <v>9.4E-2</v>
      </c>
      <c r="D129">
        <v>8.8599999999999998E-2</v>
      </c>
      <c r="E129">
        <v>8.9940000000000006E-2</v>
      </c>
      <c r="F129">
        <v>708967337.60000002</v>
      </c>
      <c r="G129">
        <v>8.9940000000000006E-2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-0.50370370370370099</v>
      </c>
      <c r="Q129">
        <f t="shared" ref="Q129" si="621">F129*P129</f>
        <v>-357109473.75407219</v>
      </c>
      <c r="R129">
        <f t="shared" ref="R129" si="622">R130+Q129</f>
        <v>90930005386.900909</v>
      </c>
      <c r="S129">
        <f t="shared" ref="S129" si="623">R129/100000</f>
        <v>909300.05386900913</v>
      </c>
      <c r="T129">
        <f t="shared" ref="T129" si="624">S129/1000</f>
        <v>909.30005386900916</v>
      </c>
    </row>
    <row r="130" spans="1:20" x14ac:dyDescent="0.25">
      <c r="A130" s="5">
        <v>44463</v>
      </c>
      <c r="B130">
        <v>0.10203</v>
      </c>
      <c r="C130">
        <v>0.10314</v>
      </c>
      <c r="D130">
        <v>8.7760000000000005E-2</v>
      </c>
      <c r="E130">
        <v>9.2289999999999997E-2</v>
      </c>
      <c r="F130">
        <v>1326106456.4000001</v>
      </c>
      <c r="G130">
        <v>9.2289999999999997E-2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-0.41092327698309555</v>
      </c>
      <c r="Q130">
        <f t="shared" ref="Q130" si="626">F130*P130</f>
        <v>-544928010.69232857</v>
      </c>
      <c r="R130">
        <f t="shared" ref="R130" si="627">R131+Q130</f>
        <v>91287114860.654984</v>
      </c>
      <c r="S130">
        <f t="shared" ref="S130" si="628">R130/100000</f>
        <v>912871.14860654983</v>
      </c>
      <c r="T130">
        <f t="shared" ref="T130" si="629">S130/1000</f>
        <v>912.87114860654981</v>
      </c>
    </row>
    <row r="131" spans="1:20" x14ac:dyDescent="0.25">
      <c r="A131" s="5">
        <v>44462</v>
      </c>
      <c r="B131">
        <v>9.9500000000000005E-2</v>
      </c>
      <c r="C131">
        <v>0.10324</v>
      </c>
      <c r="D131">
        <v>9.7189999999999999E-2</v>
      </c>
      <c r="E131">
        <v>0.10202</v>
      </c>
      <c r="F131">
        <v>949473163.70000005</v>
      </c>
      <c r="G131">
        <v>0.10202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0.59669421487603347</v>
      </c>
      <c r="Q131">
        <f t="shared" ref="Q131" si="631">F131*P131</f>
        <v>566545143.95983517</v>
      </c>
      <c r="R131">
        <f t="shared" ref="R131" si="632">R132+Q131</f>
        <v>91832042871.347305</v>
      </c>
      <c r="S131">
        <f t="shared" ref="S131" si="633">R131/100000</f>
        <v>918320.42871347303</v>
      </c>
      <c r="T131">
        <f t="shared" ref="T131" si="634">S131/1000</f>
        <v>918.32042871347301</v>
      </c>
    </row>
    <row r="132" spans="1:20" x14ac:dyDescent="0.25">
      <c r="A132" s="5">
        <v>44461</v>
      </c>
      <c r="B132">
        <v>8.609E-2</v>
      </c>
      <c r="C132">
        <v>9.9599999999999994E-2</v>
      </c>
      <c r="D132">
        <v>8.4830000000000003E-2</v>
      </c>
      <c r="E132">
        <v>9.9559999999999996E-2</v>
      </c>
      <c r="F132">
        <v>1136637522.5</v>
      </c>
      <c r="G132">
        <v>9.9559999999999996E-2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0.99458361543669627</v>
      </c>
      <c r="Q132">
        <f t="shared" ref="Q132" si="636">F132*P132</f>
        <v>1130481056.5690591</v>
      </c>
      <c r="R132">
        <f t="shared" ref="R132" si="637">R133+Q132</f>
        <v>91265497727.387466</v>
      </c>
      <c r="S132">
        <f t="shared" ref="S132" si="638">R132/100000</f>
        <v>912654.97727387468</v>
      </c>
      <c r="T132">
        <f t="shared" ref="T132" si="639">S132/1000</f>
        <v>912.65497727387469</v>
      </c>
    </row>
    <row r="133" spans="1:20" x14ac:dyDescent="0.25">
      <c r="A133" s="5">
        <v>44460</v>
      </c>
      <c r="B133">
        <v>9.1749999999999998E-2</v>
      </c>
      <c r="C133">
        <v>9.7559999999999994E-2</v>
      </c>
      <c r="D133">
        <v>8.4430000000000005E-2</v>
      </c>
      <c r="E133">
        <v>8.6099999999999996E-2</v>
      </c>
      <c r="F133">
        <v>1405983090.2</v>
      </c>
      <c r="G133">
        <v>8.6099999999999996E-2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-0.74562071591774681</v>
      </c>
      <c r="Q133">
        <f t="shared" ref="Q133" si="641">F133*P133</f>
        <v>-1048330118.28317</v>
      </c>
      <c r="R133">
        <f t="shared" ref="R133" si="642">R134+Q133</f>
        <v>90135016670.818405</v>
      </c>
      <c r="S133">
        <f t="shared" ref="S133" si="643">R133/100000</f>
        <v>901350.16670818406</v>
      </c>
      <c r="T133">
        <f t="shared" ref="T133" si="644">S133/1000</f>
        <v>901.35016670818402</v>
      </c>
    </row>
    <row r="134" spans="1:20" x14ac:dyDescent="0.25">
      <c r="A134" s="5">
        <v>44459</v>
      </c>
      <c r="B134">
        <v>0.10824</v>
      </c>
      <c r="C134">
        <v>0.10845</v>
      </c>
      <c r="D134">
        <v>9.6869999999999998E-2</v>
      </c>
      <c r="E134">
        <v>9.8589999999999997E-2</v>
      </c>
      <c r="F134">
        <v>632475070.60000002</v>
      </c>
      <c r="G134">
        <v>9.8589999999999997E-2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-0.70293609671848045</v>
      </c>
      <c r="Q134">
        <f t="shared" ref="Q134" si="646">F134*P134</f>
        <v>-444589557.3993094</v>
      </c>
      <c r="R134">
        <f t="shared" ref="R134" si="647">R135+Q134</f>
        <v>91183346789.101578</v>
      </c>
      <c r="S134">
        <f t="shared" ref="S134" si="648">R134/100000</f>
        <v>911833.46789101581</v>
      </c>
      <c r="T134">
        <f t="shared" ref="T134" si="649">S134/1000</f>
        <v>911.83346789101586</v>
      </c>
    </row>
    <row r="135" spans="1:20" x14ac:dyDescent="0.25">
      <c r="A135" s="5">
        <v>44458</v>
      </c>
      <c r="B135">
        <v>0.11297</v>
      </c>
      <c r="C135">
        <v>0.11407</v>
      </c>
      <c r="D135">
        <v>0.1066</v>
      </c>
      <c r="E135">
        <v>0.10824</v>
      </c>
      <c r="F135">
        <v>423097365.19999999</v>
      </c>
      <c r="G135">
        <v>0.10824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-0.56091030789825924</v>
      </c>
      <c r="Q135">
        <f t="shared" ref="Q135" si="651">F135*P135</f>
        <v>-237319673.38527423</v>
      </c>
      <c r="R135">
        <f t="shared" ref="R135" si="652">R136+Q135</f>
        <v>91627936346.500885</v>
      </c>
      <c r="S135">
        <f t="shared" ref="S135" si="653">R135/100000</f>
        <v>916279.36346500891</v>
      </c>
      <c r="T135">
        <f t="shared" ref="T135" si="654">S135/1000</f>
        <v>916.27936346500894</v>
      </c>
    </row>
    <row r="136" spans="1:20" x14ac:dyDescent="0.25">
      <c r="A136" s="5">
        <v>44457</v>
      </c>
      <c r="B136">
        <v>0.11142000000000001</v>
      </c>
      <c r="C136">
        <v>0.11613</v>
      </c>
      <c r="D136">
        <v>0.11018</v>
      </c>
      <c r="E136">
        <v>0.11297</v>
      </c>
      <c r="F136">
        <v>448075447.19999999</v>
      </c>
      <c r="G136">
        <v>0.11297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-6.2184873949579077E-2</v>
      </c>
      <c r="Q136">
        <f t="shared" ref="Q136" si="656">F136*P136</f>
        <v>-27863515.204033274</v>
      </c>
      <c r="R136">
        <f t="shared" ref="R136" si="657">R137+Q136</f>
        <v>91865256019.886154</v>
      </c>
      <c r="S136">
        <f t="shared" ref="S136" si="658">R136/100000</f>
        <v>918652.56019886152</v>
      </c>
      <c r="T136">
        <f t="shared" ref="T136" si="659">S136/1000</f>
        <v>918.65256019886158</v>
      </c>
    </row>
    <row r="137" spans="1:20" x14ac:dyDescent="0.25">
      <c r="A137" s="5">
        <v>44456</v>
      </c>
      <c r="B137">
        <v>0.11665</v>
      </c>
      <c r="C137">
        <v>0.11788</v>
      </c>
      <c r="D137">
        <v>0.11046</v>
      </c>
      <c r="E137">
        <v>0.11144999999999999</v>
      </c>
      <c r="F137">
        <v>556161796.29999995</v>
      </c>
      <c r="G137">
        <v>0.11144999999999999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-0.73315363881401852</v>
      </c>
      <c r="Q137">
        <f t="shared" ref="Q137" si="661">F137*P137</f>
        <v>-407752044.72668588</v>
      </c>
      <c r="R137">
        <f t="shared" ref="R137" si="662">R138+Q137</f>
        <v>91893119535.090195</v>
      </c>
      <c r="S137">
        <f t="shared" ref="S137" si="663">R137/100000</f>
        <v>918931.19535090192</v>
      </c>
      <c r="T137">
        <f t="shared" ref="T137" si="664">S137/1000</f>
        <v>918.93119535090193</v>
      </c>
    </row>
    <row r="138" spans="1:20" x14ac:dyDescent="0.25">
      <c r="A138" s="5">
        <v>44455</v>
      </c>
      <c r="B138">
        <v>0.12206</v>
      </c>
      <c r="C138">
        <v>0.12343</v>
      </c>
      <c r="D138">
        <v>0.11414000000000001</v>
      </c>
      <c r="E138">
        <v>0.11669</v>
      </c>
      <c r="F138">
        <v>695066647.60000002</v>
      </c>
      <c r="G138">
        <v>0.11669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-0.4510226049515611</v>
      </c>
      <c r="Q138">
        <f t="shared" ref="Q138" si="666">F138*P138</f>
        <v>-313490770.01550072</v>
      </c>
      <c r="R138">
        <f t="shared" ref="R138" si="667">R139+Q138</f>
        <v>92300871579.816879</v>
      </c>
      <c r="S138">
        <f t="shared" ref="S138" si="668">R138/100000</f>
        <v>923008.71579816879</v>
      </c>
      <c r="T138">
        <f t="shared" ref="T138" si="669">S138/1000</f>
        <v>923.00871579816874</v>
      </c>
    </row>
    <row r="139" spans="1:20" x14ac:dyDescent="0.25">
      <c r="A139" s="5">
        <v>44454</v>
      </c>
      <c r="B139">
        <v>0.11762</v>
      </c>
      <c r="C139">
        <v>0.12336999999999999</v>
      </c>
      <c r="D139">
        <v>0.11519</v>
      </c>
      <c r="E139">
        <v>0.12206</v>
      </c>
      <c r="F139">
        <v>731169770.5</v>
      </c>
      <c r="G139">
        <v>0.12206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0.67970660146699435</v>
      </c>
      <c r="Q139">
        <f t="shared" ref="Q139" si="671">F139*P139</f>
        <v>496980919.80195725</v>
      </c>
      <c r="R139">
        <f t="shared" ref="R139" si="672">R140+Q139</f>
        <v>92614362349.832382</v>
      </c>
      <c r="S139">
        <f t="shared" ref="S139" si="673">R139/100000</f>
        <v>926143.62349832384</v>
      </c>
      <c r="T139">
        <f t="shared" ref="T139" si="674">S139/1000</f>
        <v>926.14362349832379</v>
      </c>
    </row>
    <row r="140" spans="1:20" x14ac:dyDescent="0.25">
      <c r="A140" s="5">
        <v>44453</v>
      </c>
      <c r="B140">
        <v>0.11243</v>
      </c>
      <c r="C140">
        <v>0.11837</v>
      </c>
      <c r="D140">
        <v>0.11166</v>
      </c>
      <c r="E140">
        <v>0.11763999999999999</v>
      </c>
      <c r="F140">
        <v>630518090.70000005</v>
      </c>
      <c r="G140">
        <v>0.11763999999999999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0.78241430700446868</v>
      </c>
      <c r="Q140">
        <f t="shared" ref="Q140" si="676">F140*P140</f>
        <v>493326374.98882127</v>
      </c>
      <c r="R140">
        <f t="shared" ref="R140" si="677">R141+Q140</f>
        <v>92117381430.030426</v>
      </c>
      <c r="S140">
        <f t="shared" ref="S140" si="678">R140/100000</f>
        <v>921173.81430030428</v>
      </c>
      <c r="T140">
        <f t="shared" ref="T140" si="679">S140/1000</f>
        <v>921.17381430030423</v>
      </c>
    </row>
    <row r="141" spans="1:20" x14ac:dyDescent="0.25">
      <c r="A141" s="5">
        <v>44452</v>
      </c>
      <c r="B141">
        <v>0.11991</v>
      </c>
      <c r="C141">
        <v>0.12211</v>
      </c>
      <c r="D141">
        <v>0.1085</v>
      </c>
      <c r="E141">
        <v>0.11244999999999999</v>
      </c>
      <c r="F141">
        <v>1017177341.3</v>
      </c>
      <c r="G141">
        <v>0.11244999999999999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-0.41954445260837681</v>
      </c>
      <c r="Q141">
        <f t="shared" ref="Q141" si="681">F141*P141</f>
        <v>-426751110.86135256</v>
      </c>
      <c r="R141">
        <f t="shared" ref="R141" si="682">R142+Q141</f>
        <v>91624055055.041611</v>
      </c>
      <c r="S141">
        <f t="shared" ref="S141" si="683">R141/100000</f>
        <v>916240.55055041611</v>
      </c>
      <c r="T141">
        <f t="shared" ref="T141" si="684">S141/1000</f>
        <v>916.24055055041606</v>
      </c>
    </row>
    <row r="142" spans="1:20" x14ac:dyDescent="0.25">
      <c r="A142" s="5">
        <v>44451</v>
      </c>
      <c r="B142">
        <v>0.11552999999999999</v>
      </c>
      <c r="C142">
        <v>0.12441000000000001</v>
      </c>
      <c r="D142">
        <v>0.11280999999999999</v>
      </c>
      <c r="E142">
        <v>0.11984</v>
      </c>
      <c r="F142">
        <v>906954285.10000002</v>
      </c>
      <c r="G142">
        <v>0.11984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0.21206896551724147</v>
      </c>
      <c r="Q142">
        <f t="shared" ref="Q142" si="686">F142*P142</f>
        <v>192336857.0125863</v>
      </c>
      <c r="R142">
        <f t="shared" ref="R142" si="687">R143+Q142</f>
        <v>92050806165.902969</v>
      </c>
      <c r="S142">
        <f t="shared" ref="S142" si="688">R142/100000</f>
        <v>920508.06165902968</v>
      </c>
      <c r="T142">
        <f t="shared" ref="T142" si="689">S142/1000</f>
        <v>920.50806165902964</v>
      </c>
    </row>
    <row r="143" spans="1:20" x14ac:dyDescent="0.25">
      <c r="A143" s="5">
        <v>44450</v>
      </c>
      <c r="B143">
        <v>0.11249000000000001</v>
      </c>
      <c r="C143">
        <v>0.11935999999999999</v>
      </c>
      <c r="D143">
        <v>0.11117</v>
      </c>
      <c r="E143">
        <v>0.11549</v>
      </c>
      <c r="F143">
        <v>815100036.70000005</v>
      </c>
      <c r="G143">
        <v>0.11549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5.4945054945054049E-2</v>
      </c>
      <c r="Q143">
        <f t="shared" ref="Q143" si="691">F143*P143</f>
        <v>44785716.302197076</v>
      </c>
      <c r="R143">
        <f t="shared" ref="R143" si="692">R144+Q143</f>
        <v>91858469308.890381</v>
      </c>
      <c r="S143">
        <f t="shared" ref="S143" si="693">R143/100000</f>
        <v>918584.69308890379</v>
      </c>
      <c r="T143">
        <f t="shared" ref="T143" si="694">S143/1000</f>
        <v>918.5846930889038</v>
      </c>
    </row>
    <row r="144" spans="1:20" x14ac:dyDescent="0.25">
      <c r="A144" s="5">
        <v>44449</v>
      </c>
      <c r="B144">
        <v>0.12167</v>
      </c>
      <c r="C144">
        <v>0.127</v>
      </c>
      <c r="D144">
        <v>0.11022999999999999</v>
      </c>
      <c r="E144">
        <v>0.11252</v>
      </c>
      <c r="F144">
        <v>1198535707.9000001</v>
      </c>
      <c r="G144">
        <v>0.11252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-0.72689326177698277</v>
      </c>
      <c r="Q144">
        <f t="shared" ref="Q144" si="696">F144*P144</f>
        <v>-871207530.07161617</v>
      </c>
      <c r="R144">
        <f t="shared" ref="R144" si="697">R145+Q144</f>
        <v>91813683592.588181</v>
      </c>
      <c r="S144">
        <f t="shared" ref="S144" si="698">R144/100000</f>
        <v>918136.83592588175</v>
      </c>
      <c r="T144">
        <f t="shared" ref="T144" si="699">S144/1000</f>
        <v>918.13683592588177</v>
      </c>
    </row>
    <row r="145" spans="1:20" x14ac:dyDescent="0.25">
      <c r="A145" s="5">
        <v>44448</v>
      </c>
      <c r="B145">
        <v>0.11837</v>
      </c>
      <c r="C145">
        <v>0.12766</v>
      </c>
      <c r="D145">
        <v>0.11705</v>
      </c>
      <c r="E145">
        <v>0.12163</v>
      </c>
      <c r="F145">
        <v>1409062825.5</v>
      </c>
      <c r="G145">
        <v>0.12163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-0.13666352497643672</v>
      </c>
      <c r="Q145">
        <f t="shared" ref="Q145" si="701">F145*P145</f>
        <v>-192567492.64608774</v>
      </c>
      <c r="R145">
        <f t="shared" ref="R145" si="702">R146+Q145</f>
        <v>92684891122.65979</v>
      </c>
      <c r="S145">
        <f t="shared" ref="S145" si="703">R145/100000</f>
        <v>926848.91122659785</v>
      </c>
      <c r="T145">
        <f t="shared" ref="T145" si="704">S145/1000</f>
        <v>926.84891122659781</v>
      </c>
    </row>
    <row r="146" spans="1:20" x14ac:dyDescent="0.25">
      <c r="A146" s="5">
        <v>44447</v>
      </c>
      <c r="B146">
        <v>0.12281</v>
      </c>
      <c r="C146">
        <v>0.12642999999999999</v>
      </c>
      <c r="D146">
        <v>0.10614</v>
      </c>
      <c r="E146">
        <v>0.11837</v>
      </c>
      <c r="F146">
        <v>1823695710.7</v>
      </c>
      <c r="G146">
        <v>0.11837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0.20551996057171135</v>
      </c>
      <c r="Q146">
        <f t="shared" ref="Q146" si="706">F146*P146</f>
        <v>374805870.55786312</v>
      </c>
      <c r="R146">
        <f t="shared" ref="R146" si="707">R147+Q146</f>
        <v>92877458615.305878</v>
      </c>
      <c r="S146">
        <f t="shared" ref="S146" si="708">R146/100000</f>
        <v>928774.5861530588</v>
      </c>
      <c r="T146">
        <f t="shared" ref="T146" si="709">S146/1000</f>
        <v>928.77458615305875</v>
      </c>
    </row>
    <row r="147" spans="1:20" x14ac:dyDescent="0.25">
      <c r="A147" s="5">
        <v>44446</v>
      </c>
      <c r="B147">
        <v>0.14998</v>
      </c>
      <c r="C147">
        <v>0.153</v>
      </c>
      <c r="D147">
        <v>9.8000000000000004E-2</v>
      </c>
      <c r="E147">
        <v>0.12286</v>
      </c>
      <c r="F147">
        <v>2942688763.9000001</v>
      </c>
      <c r="G147">
        <v>0.12286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-9.6000000000000141E-2</v>
      </c>
      <c r="Q147">
        <f t="shared" ref="Q147" si="711">F147*P147</f>
        <v>-282498121.33440042</v>
      </c>
      <c r="R147">
        <f t="shared" ref="R147" si="712">R148+Q147</f>
        <v>92502652744.748016</v>
      </c>
      <c r="S147">
        <f t="shared" ref="S147" si="713">R147/100000</f>
        <v>925026.52744748013</v>
      </c>
      <c r="T147">
        <f t="shared" ref="T147" si="714">S147/1000</f>
        <v>925.02652744748013</v>
      </c>
    </row>
    <row r="148" spans="1:20" x14ac:dyDescent="0.25">
      <c r="A148" s="5">
        <v>44445</v>
      </c>
      <c r="B148">
        <v>0.15392</v>
      </c>
      <c r="C148">
        <v>0.15722</v>
      </c>
      <c r="D148">
        <v>0.14582999999999999</v>
      </c>
      <c r="E148">
        <v>0.14998</v>
      </c>
      <c r="F148">
        <v>1102349030.7</v>
      </c>
      <c r="G148">
        <v>0.14998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-0.27129060579455477</v>
      </c>
      <c r="Q148">
        <f t="shared" ref="Q148" si="716">F148*P148</f>
        <v>-299056936.33564329</v>
      </c>
      <c r="R148">
        <f t="shared" ref="R148" si="717">R149+Q148</f>
        <v>92785150866.082413</v>
      </c>
      <c r="S148">
        <f t="shared" ref="S148" si="718">R148/100000</f>
        <v>927851.50866082415</v>
      </c>
      <c r="T148">
        <f t="shared" ref="T148" si="719">S148/1000</f>
        <v>927.85150866082415</v>
      </c>
    </row>
    <row r="149" spans="1:20" x14ac:dyDescent="0.25">
      <c r="A149" s="5">
        <v>44444</v>
      </c>
      <c r="B149">
        <v>0.14480000000000001</v>
      </c>
      <c r="C149">
        <v>0.15418000000000001</v>
      </c>
      <c r="D149">
        <v>0.14380000000000001</v>
      </c>
      <c r="E149">
        <v>0.15390999999999999</v>
      </c>
      <c r="F149">
        <v>926403941.60000002</v>
      </c>
      <c r="G149">
        <v>0.15390999999999999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0.94797687861271285</v>
      </c>
      <c r="Q149">
        <f t="shared" ref="Q149" si="721">F149*P149</f>
        <v>878209516.89248192</v>
      </c>
      <c r="R149">
        <f t="shared" ref="R149" si="722">R150+Q149</f>
        <v>93084207802.41806</v>
      </c>
      <c r="S149">
        <f t="shared" ref="S149" si="723">R149/100000</f>
        <v>930842.07802418061</v>
      </c>
      <c r="T149">
        <f t="shared" ref="T149" si="724">S149/1000</f>
        <v>930.84207802418064</v>
      </c>
    </row>
    <row r="150" spans="1:20" x14ac:dyDescent="0.25">
      <c r="A150" s="5">
        <v>44443</v>
      </c>
      <c r="B150">
        <v>0.14294000000000001</v>
      </c>
      <c r="C150">
        <v>0.15287999999999999</v>
      </c>
      <c r="D150">
        <v>0.14199999999999999</v>
      </c>
      <c r="E150">
        <v>0.14477000000000001</v>
      </c>
      <c r="F150">
        <v>1127744000.9000001</v>
      </c>
      <c r="G150">
        <v>0.14477000000000001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-0.49080882352940769</v>
      </c>
      <c r="Q150">
        <f t="shared" ref="Q150" si="726">F150*P150</f>
        <v>-553506706.32407629</v>
      </c>
      <c r="R150">
        <f t="shared" ref="R150" si="727">R151+Q150</f>
        <v>92205998285.525574</v>
      </c>
      <c r="S150">
        <f t="shared" ref="S150" si="728">R150/100000</f>
        <v>922059.98285525572</v>
      </c>
      <c r="T150">
        <f t="shared" ref="T150" si="729">S150/1000</f>
        <v>922.05998285525573</v>
      </c>
    </row>
    <row r="151" spans="1:20" x14ac:dyDescent="0.25">
      <c r="A151" s="5">
        <v>44442</v>
      </c>
      <c r="B151">
        <v>0.14308999999999999</v>
      </c>
      <c r="C151">
        <v>0.14777000000000001</v>
      </c>
      <c r="D151">
        <v>0.13900000000000001</v>
      </c>
      <c r="E151">
        <v>0.14294000000000001</v>
      </c>
      <c r="F151">
        <v>1328475330.5999999</v>
      </c>
      <c r="G151">
        <v>0.14294000000000001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-0.10148232611174481</v>
      </c>
      <c r="Q151">
        <f t="shared" ref="Q151" si="731">F151*P151</f>
        <v>-134816766.73135719</v>
      </c>
      <c r="R151">
        <f t="shared" ref="R151" si="732">R152+Q151</f>
        <v>92759504991.849655</v>
      </c>
      <c r="S151">
        <f t="shared" ref="S151" si="733">R151/100000</f>
        <v>927595.04991849652</v>
      </c>
      <c r="T151">
        <f t="shared" ref="T151" si="734">S151/1000</f>
        <v>927.59504991849656</v>
      </c>
    </row>
    <row r="152" spans="1:20" x14ac:dyDescent="0.25">
      <c r="A152" s="5">
        <v>44441</v>
      </c>
      <c r="B152">
        <v>0.13728000000000001</v>
      </c>
      <c r="C152">
        <v>0.14835999999999999</v>
      </c>
      <c r="D152">
        <v>0.13442999999999999</v>
      </c>
      <c r="E152">
        <v>0.14307</v>
      </c>
      <c r="F152">
        <v>2010473348.9000001</v>
      </c>
      <c r="G152">
        <v>0.14307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0.24048815506102084</v>
      </c>
      <c r="Q152">
        <f t="shared" ref="Q152" si="736">F152*P152</f>
        <v>483495026.47631305</v>
      </c>
      <c r="R152">
        <f t="shared" ref="R152" si="737">R153+Q152</f>
        <v>92894321758.581009</v>
      </c>
      <c r="S152">
        <f t="shared" ref="S152" si="738">R152/100000</f>
        <v>928943.21758581011</v>
      </c>
      <c r="T152">
        <f t="shared" ref="T152" si="739">S152/1000</f>
        <v>928.94321758581009</v>
      </c>
    </row>
    <row r="153" spans="1:20" x14ac:dyDescent="0.25">
      <c r="A153" s="5">
        <v>44440</v>
      </c>
      <c r="B153">
        <v>0.12279</v>
      </c>
      <c r="C153">
        <v>0.13975000000000001</v>
      </c>
      <c r="D153">
        <v>0.11914</v>
      </c>
      <c r="E153">
        <v>0.13728000000000001</v>
      </c>
      <c r="F153">
        <v>2139151837.0999999</v>
      </c>
      <c r="G153">
        <v>0.13728000000000001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0.76031052886948103</v>
      </c>
      <c r="Q153">
        <f t="shared" ref="Q153" si="741">F153*P153</f>
        <v>1626419664.5976229</v>
      </c>
      <c r="R153">
        <f t="shared" ref="R153" si="742">R154+Q153</f>
        <v>92410826732.104691</v>
      </c>
      <c r="S153">
        <f t="shared" ref="S153" si="743">R153/100000</f>
        <v>924108.26732104691</v>
      </c>
      <c r="T153">
        <f t="shared" ref="T153" si="744">S153/1000</f>
        <v>924.10826732104692</v>
      </c>
    </row>
    <row r="154" spans="1:20" x14ac:dyDescent="0.25">
      <c r="A154" s="5">
        <v>44439</v>
      </c>
      <c r="B154">
        <v>0.1171</v>
      </c>
      <c r="C154">
        <v>0.1273</v>
      </c>
      <c r="D154">
        <v>0.11627</v>
      </c>
      <c r="E154">
        <v>0.12282</v>
      </c>
      <c r="F154">
        <v>1331488101</v>
      </c>
      <c r="G154">
        <v>0.12282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0.18766999093381712</v>
      </c>
      <c r="Q154">
        <f t="shared" ref="Q154" si="746">F154*P154</f>
        <v>249880359.84315535</v>
      </c>
      <c r="R154">
        <f t="shared" ref="R154" si="747">R155+Q154</f>
        <v>90784407067.507065</v>
      </c>
      <c r="S154">
        <f t="shared" ref="S154" si="748">R154/100000</f>
        <v>907844.07067507063</v>
      </c>
      <c r="T154">
        <f t="shared" ref="T154" si="749">S154/1000</f>
        <v>907.84407067507061</v>
      </c>
    </row>
    <row r="155" spans="1:20" x14ac:dyDescent="0.25">
      <c r="A155" s="5">
        <v>44438</v>
      </c>
      <c r="B155">
        <v>0.12354</v>
      </c>
      <c r="C155">
        <v>0.12402000000000001</v>
      </c>
      <c r="D155">
        <v>0.11662</v>
      </c>
      <c r="E155">
        <v>0.11709</v>
      </c>
      <c r="F155">
        <v>924907785.10000002</v>
      </c>
      <c r="G155">
        <v>0.11709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-0.87297297297297349</v>
      </c>
      <c r="Q155">
        <f t="shared" ref="Q155" si="751">F155*P155</f>
        <v>-807419498.88459516</v>
      </c>
      <c r="R155">
        <f t="shared" ref="R155" si="752">R156+Q155</f>
        <v>90534526707.66391</v>
      </c>
      <c r="S155">
        <f t="shared" ref="S155" si="753">R155/100000</f>
        <v>905345.26707663911</v>
      </c>
      <c r="T155">
        <f t="shared" ref="T155" si="754">S155/1000</f>
        <v>905.34526707663906</v>
      </c>
    </row>
    <row r="156" spans="1:20" x14ac:dyDescent="0.25">
      <c r="A156" s="5">
        <v>44437</v>
      </c>
      <c r="B156">
        <v>0.12330000000000001</v>
      </c>
      <c r="C156">
        <v>0.12584000000000001</v>
      </c>
      <c r="D156">
        <v>0.11914</v>
      </c>
      <c r="E156">
        <v>0.12352</v>
      </c>
      <c r="F156">
        <v>661901101</v>
      </c>
      <c r="G156">
        <v>0.12352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0.30746268656716458</v>
      </c>
      <c r="Q156">
        <f t="shared" ref="Q156" si="756">F156*P156</f>
        <v>203509890.75522414</v>
      </c>
      <c r="R156">
        <f t="shared" ref="R156" si="757">R157+Q156</f>
        <v>91341946206.548508</v>
      </c>
      <c r="S156">
        <f t="shared" ref="S156" si="758">R156/100000</f>
        <v>913419.46206548507</v>
      </c>
      <c r="T156">
        <f t="shared" ref="T156" si="759">S156/1000</f>
        <v>913.41946206548505</v>
      </c>
    </row>
    <row r="157" spans="1:20" x14ac:dyDescent="0.25">
      <c r="A157" s="5">
        <v>44436</v>
      </c>
      <c r="B157">
        <v>0.12809999999999999</v>
      </c>
      <c r="C157">
        <v>0.12831000000000001</v>
      </c>
      <c r="D157">
        <v>0.12121</v>
      </c>
      <c r="E157">
        <v>0.12328</v>
      </c>
      <c r="F157">
        <v>596426975.60000002</v>
      </c>
      <c r="G157">
        <v>0.12328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-0.41690140845070428</v>
      </c>
      <c r="Q157">
        <f t="shared" ref="Q157" si="761">F157*P157</f>
        <v>-248651246.16563386</v>
      </c>
      <c r="R157">
        <f t="shared" ref="R157" si="762">R158+Q157</f>
        <v>91138436315.793289</v>
      </c>
      <c r="S157">
        <f t="shared" ref="S157" si="763">R157/100000</f>
        <v>911384.36315793288</v>
      </c>
      <c r="T157">
        <f t="shared" ref="T157" si="764">S157/1000</f>
        <v>911.38436315793285</v>
      </c>
    </row>
    <row r="158" spans="1:20" x14ac:dyDescent="0.25">
      <c r="A158" s="5">
        <v>44435</v>
      </c>
      <c r="B158">
        <v>0.11591</v>
      </c>
      <c r="C158">
        <v>0.12839999999999999</v>
      </c>
      <c r="D158">
        <v>0.11359</v>
      </c>
      <c r="E158">
        <v>0.12803</v>
      </c>
      <c r="F158">
        <v>1069906072.4</v>
      </c>
      <c r="G158">
        <v>0.12803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0.95003376097231851</v>
      </c>
      <c r="Q158">
        <f t="shared" ref="Q158" si="766">F158*P158</f>
        <v>1016446889.8492937</v>
      </c>
      <c r="R158">
        <f t="shared" ref="R158" si="767">R159+Q158</f>
        <v>91387087561.958923</v>
      </c>
      <c r="S158">
        <f t="shared" ref="S158" si="768">R158/100000</f>
        <v>913870.87561958923</v>
      </c>
      <c r="T158">
        <f t="shared" ref="T158" si="769">S158/1000</f>
        <v>913.87087561958924</v>
      </c>
    </row>
    <row r="159" spans="1:20" x14ac:dyDescent="0.25">
      <c r="A159" s="5">
        <v>44434</v>
      </c>
      <c r="B159">
        <v>0.1275</v>
      </c>
      <c r="C159">
        <v>0.12945000000000001</v>
      </c>
      <c r="D159">
        <v>0.11502</v>
      </c>
      <c r="E159">
        <v>0.11591</v>
      </c>
      <c r="F159">
        <v>1167425254.4000001</v>
      </c>
      <c r="G159">
        <v>0.11591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-0.87664587664587645</v>
      </c>
      <c r="Q159">
        <f t="shared" ref="Q159" si="771">F159*P159</f>
        <v>-1023418535.5620234</v>
      </c>
      <c r="R159">
        <f t="shared" ref="R159" si="772">R160+Q159</f>
        <v>90370640672.109634</v>
      </c>
      <c r="S159">
        <f t="shared" ref="S159" si="773">R159/100000</f>
        <v>903706.40672109637</v>
      </c>
      <c r="T159">
        <f t="shared" ref="T159" si="774">S159/1000</f>
        <v>903.70640672109641</v>
      </c>
    </row>
    <row r="160" spans="1:20" x14ac:dyDescent="0.25">
      <c r="A160" s="5">
        <v>44433</v>
      </c>
      <c r="B160">
        <v>0.12128</v>
      </c>
      <c r="C160">
        <v>0.12998999999999999</v>
      </c>
      <c r="D160">
        <v>0.11752</v>
      </c>
      <c r="E160">
        <v>0.1275</v>
      </c>
      <c r="F160">
        <v>1317963671</v>
      </c>
      <c r="G160">
        <v>0.1275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0.60064153969526968</v>
      </c>
      <c r="Q160">
        <f t="shared" ref="Q160" si="776">F160*P160</f>
        <v>791623728.61186981</v>
      </c>
      <c r="R160">
        <f t="shared" ref="R160" si="777">R161+Q160</f>
        <v>91394059207.671661</v>
      </c>
      <c r="S160">
        <f t="shared" ref="S160" si="778">R160/100000</f>
        <v>913940.5920767166</v>
      </c>
      <c r="T160">
        <f t="shared" ref="T160" si="779">S160/1000</f>
        <v>913.9405920767166</v>
      </c>
    </row>
    <row r="161" spans="1:20" x14ac:dyDescent="0.25">
      <c r="A161" s="5">
        <v>44432</v>
      </c>
      <c r="B161">
        <v>0.13164999999999999</v>
      </c>
      <c r="C161">
        <v>0.13718</v>
      </c>
      <c r="D161">
        <v>0.11978999999999999</v>
      </c>
      <c r="E161">
        <v>0.12128</v>
      </c>
      <c r="F161">
        <v>1644827527.7</v>
      </c>
      <c r="G161">
        <v>0.12128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-0.82863714778608344</v>
      </c>
      <c r="Q161">
        <f t="shared" ref="Q161" si="781">F161*P161</f>
        <v>-1362965191.1533632</v>
      </c>
      <c r="R161">
        <f t="shared" ref="R161" si="782">R162+Q161</f>
        <v>90602435479.059799</v>
      </c>
      <c r="S161">
        <f t="shared" ref="S161" si="783">R161/100000</f>
        <v>906024.35479059804</v>
      </c>
      <c r="T161">
        <f t="shared" ref="T161" si="784">S161/1000</f>
        <v>906.02435479059807</v>
      </c>
    </row>
    <row r="162" spans="1:20" x14ac:dyDescent="0.25">
      <c r="A162" s="5">
        <v>44431</v>
      </c>
      <c r="B162">
        <v>0.12819</v>
      </c>
      <c r="C162">
        <v>0.1348</v>
      </c>
      <c r="D162">
        <v>0.12712000000000001</v>
      </c>
      <c r="E162">
        <v>0.13164000000000001</v>
      </c>
      <c r="F162">
        <v>1229867138.3</v>
      </c>
      <c r="G162">
        <v>0.13164000000000001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0.17708333333333351</v>
      </c>
      <c r="Q162">
        <f t="shared" ref="Q162" si="786">F162*P162</f>
        <v>217788972.40729189</v>
      </c>
      <c r="R162">
        <f t="shared" ref="R162" si="787">R163+Q162</f>
        <v>91965400670.213165</v>
      </c>
      <c r="S162">
        <f t="shared" ref="S162" si="788">R162/100000</f>
        <v>919654.00670213171</v>
      </c>
      <c r="T162">
        <f t="shared" ref="T162" si="789">S162/1000</f>
        <v>919.65400670213171</v>
      </c>
    </row>
    <row r="163" spans="1:20" x14ac:dyDescent="0.25">
      <c r="A163" s="5">
        <v>44430</v>
      </c>
      <c r="B163">
        <v>0.12822</v>
      </c>
      <c r="C163">
        <v>0.13056999999999999</v>
      </c>
      <c r="D163">
        <v>0.12756999999999999</v>
      </c>
      <c r="E163">
        <v>0.13019</v>
      </c>
      <c r="F163">
        <v>212685664.19999999</v>
      </c>
      <c r="G163">
        <v>0.13019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0.74666666666667258</v>
      </c>
      <c r="Q163">
        <f t="shared" ref="Q163" si="791">F163*P163</f>
        <v>158805295.93600124</v>
      </c>
      <c r="R163">
        <f t="shared" ref="R163" si="792">R164+Q163</f>
        <v>91747611697.805878</v>
      </c>
      <c r="S163">
        <f t="shared" ref="S163" si="793">R163/100000</f>
        <v>917476.11697805882</v>
      </c>
      <c r="T163">
        <f t="shared" ref="T163" si="794">S163/1000</f>
        <v>917.47611697805883</v>
      </c>
    </row>
    <row r="164" spans="1:20" x14ac:dyDescent="0.25">
      <c r="A164" s="5">
        <v>44429</v>
      </c>
      <c r="B164">
        <v>0.13295000000000001</v>
      </c>
      <c r="C164">
        <v>0.13489999999999999</v>
      </c>
      <c r="D164">
        <v>0.12734000000000001</v>
      </c>
      <c r="E164">
        <v>0.12822</v>
      </c>
      <c r="F164">
        <v>1059117438</v>
      </c>
      <c r="G164">
        <v>0.12822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-0.76719576719576887</v>
      </c>
      <c r="Q164">
        <f t="shared" ref="Q164" si="796">F164*P164</f>
        <v>-812550415.39682722</v>
      </c>
      <c r="R164">
        <f t="shared" ref="R164" si="797">R165+Q164</f>
        <v>91588806401.869873</v>
      </c>
      <c r="S164">
        <f t="shared" ref="S164" si="798">R164/100000</f>
        <v>915888.06401869876</v>
      </c>
      <c r="T164">
        <f t="shared" ref="T164" si="799">S164/1000</f>
        <v>915.88806401869874</v>
      </c>
    </row>
    <row r="165" spans="1:20" x14ac:dyDescent="0.25">
      <c r="A165" s="5">
        <v>44428</v>
      </c>
      <c r="B165">
        <v>0.13020000000000001</v>
      </c>
      <c r="C165">
        <v>0.13789999999999999</v>
      </c>
      <c r="D165">
        <v>0.12811</v>
      </c>
      <c r="E165">
        <v>0.13295000000000001</v>
      </c>
      <c r="F165">
        <v>1502469975.2</v>
      </c>
      <c r="G165">
        <v>0.13295000000000001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-1.1235955056176845E-2</v>
      </c>
      <c r="Q165">
        <f t="shared" ref="Q165" si="801">F165*P165</f>
        <v>-16881685.114602339</v>
      </c>
      <c r="R165">
        <f t="shared" ref="R165" si="802">R166+Q165</f>
        <v>92401356817.266693</v>
      </c>
      <c r="S165">
        <f t="shared" ref="S165" si="803">R165/100000</f>
        <v>924013.56817266694</v>
      </c>
      <c r="T165">
        <f t="shared" ref="T165" si="804">S165/1000</f>
        <v>924.01356817266696</v>
      </c>
    </row>
    <row r="166" spans="1:20" x14ac:dyDescent="0.25">
      <c r="A166" s="5">
        <v>44427</v>
      </c>
      <c r="B166">
        <v>0.1196</v>
      </c>
      <c r="C166">
        <v>0.13028000000000001</v>
      </c>
      <c r="D166">
        <v>0.11405999999999999</v>
      </c>
      <c r="E166">
        <v>0.13013</v>
      </c>
      <c r="F166">
        <v>1474034228.5</v>
      </c>
      <c r="G166">
        <v>0.13013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0.98150431565967799</v>
      </c>
      <c r="Q166">
        <f t="shared" ref="Q166" si="806">F166*P166</f>
        <v>1446770956.7028339</v>
      </c>
      <c r="R166">
        <f t="shared" ref="R166" si="807">R167+Q166</f>
        <v>92418238502.381302</v>
      </c>
      <c r="S166">
        <f t="shared" ref="S166" si="808">R166/100000</f>
        <v>924182.385023813</v>
      </c>
      <c r="T166">
        <f t="shared" ref="T166" si="809">S166/1000</f>
        <v>924.18238502381303</v>
      </c>
    </row>
    <row r="167" spans="1:20" x14ac:dyDescent="0.25">
      <c r="A167" s="5">
        <v>44426</v>
      </c>
      <c r="B167">
        <v>0.11819</v>
      </c>
      <c r="C167">
        <v>0.128</v>
      </c>
      <c r="D167">
        <v>0.1125</v>
      </c>
      <c r="E167">
        <v>0.11955</v>
      </c>
      <c r="F167">
        <v>1791847981.3</v>
      </c>
      <c r="G167">
        <v>0.11955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-9.0322580645161188E-2</v>
      </c>
      <c r="Q167">
        <f t="shared" ref="Q167" si="811">F167*P167</f>
        <v>-161844333.79483852</v>
      </c>
      <c r="R167">
        <f t="shared" ref="R167" si="812">R168+Q167</f>
        <v>90971467545.678467</v>
      </c>
      <c r="S167">
        <f t="shared" ref="S167" si="813">R167/100000</f>
        <v>909714.67545678467</v>
      </c>
      <c r="T167">
        <f t="shared" ref="T167" si="814">S167/1000</f>
        <v>909.71467545678468</v>
      </c>
    </row>
    <row r="168" spans="1:20" x14ac:dyDescent="0.25">
      <c r="A168" s="5">
        <v>44425</v>
      </c>
      <c r="B168">
        <v>0.12869</v>
      </c>
      <c r="C168">
        <v>0.13578000000000001</v>
      </c>
      <c r="D168">
        <v>0.11602999999999999</v>
      </c>
      <c r="E168">
        <v>0.11816</v>
      </c>
      <c r="F168">
        <v>1826918374.5999999</v>
      </c>
      <c r="G168">
        <v>0.11816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-0.78430379746835388</v>
      </c>
      <c r="Q168">
        <f t="shared" ref="Q168" si="816">F168*P168</f>
        <v>-1432859018.8634925</v>
      </c>
      <c r="R168">
        <f t="shared" ref="R168" si="817">R169+Q168</f>
        <v>91133311879.473312</v>
      </c>
      <c r="S168">
        <f t="shared" ref="S168" si="818">R168/100000</f>
        <v>911333.11879473308</v>
      </c>
      <c r="T168">
        <f t="shared" ref="T168" si="819">S168/1000</f>
        <v>911.33311879473308</v>
      </c>
    </row>
    <row r="169" spans="1:20" x14ac:dyDescent="0.25">
      <c r="A169" s="5">
        <v>44424</v>
      </c>
      <c r="B169">
        <v>0.13938</v>
      </c>
      <c r="C169">
        <v>0.14419999999999999</v>
      </c>
      <c r="D169">
        <v>0.127</v>
      </c>
      <c r="E169">
        <v>0.12869</v>
      </c>
      <c r="F169">
        <v>1596159421.2</v>
      </c>
      <c r="G169">
        <v>0.12869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-0.80348837209302348</v>
      </c>
      <c r="Q169">
        <f t="shared" ref="Q169" si="821">F169*P169</f>
        <v>-1282495534.9409306</v>
      </c>
      <c r="R169">
        <f t="shared" ref="R169" si="822">R170+Q169</f>
        <v>92566170898.336807</v>
      </c>
      <c r="S169">
        <f t="shared" ref="S169" si="823">R169/100000</f>
        <v>925661.70898336812</v>
      </c>
      <c r="T169">
        <f t="shared" ref="T169" si="824">S169/1000</f>
        <v>925.66170898336816</v>
      </c>
    </row>
    <row r="170" spans="1:20" x14ac:dyDescent="0.25">
      <c r="A170" s="5">
        <v>44423</v>
      </c>
      <c r="B170">
        <v>0.13012000000000001</v>
      </c>
      <c r="C170">
        <v>0.14198</v>
      </c>
      <c r="D170">
        <v>0.12413</v>
      </c>
      <c r="E170">
        <v>0.13936999999999999</v>
      </c>
      <c r="F170">
        <v>1619776849.2</v>
      </c>
      <c r="G170">
        <v>0.13936999999999999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0.70756302521008374</v>
      </c>
      <c r="Q170">
        <f t="shared" ref="Q170" si="826">F170*P170</f>
        <v>1146094207.5852096</v>
      </c>
      <c r="R170">
        <f t="shared" ref="R170" si="827">R171+Q170</f>
        <v>93848666433.27774</v>
      </c>
      <c r="S170">
        <f t="shared" ref="S170" si="828">R170/100000</f>
        <v>938486.66433277738</v>
      </c>
      <c r="T170">
        <f t="shared" ref="T170" si="829">S170/1000</f>
        <v>938.48666433277742</v>
      </c>
    </row>
    <row r="171" spans="1:20" x14ac:dyDescent="0.25">
      <c r="A171" s="5">
        <v>44422</v>
      </c>
      <c r="B171">
        <v>0.12082</v>
      </c>
      <c r="C171">
        <v>0.1333</v>
      </c>
      <c r="D171">
        <v>0.11919</v>
      </c>
      <c r="E171">
        <v>0.13014000000000001</v>
      </c>
      <c r="F171">
        <v>1726620116.3</v>
      </c>
      <c r="G171">
        <v>0.13014000000000001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0.55209071580439451</v>
      </c>
      <c r="Q171">
        <f t="shared" ref="Q171" si="831">F171*P171</f>
        <v>953250935.93033385</v>
      </c>
      <c r="R171">
        <f t="shared" ref="R171" si="832">R172+Q171</f>
        <v>92702572225.692535</v>
      </c>
      <c r="S171">
        <f t="shared" ref="S171" si="833">R171/100000</f>
        <v>927025.72225692531</v>
      </c>
      <c r="T171">
        <f t="shared" ref="T171" si="834">S171/1000</f>
        <v>927.02572225692529</v>
      </c>
    </row>
    <row r="172" spans="1:20" x14ac:dyDescent="0.25">
      <c r="A172" s="5">
        <v>44421</v>
      </c>
      <c r="B172">
        <v>0.10725</v>
      </c>
      <c r="C172">
        <v>0.121</v>
      </c>
      <c r="D172">
        <v>0.10606</v>
      </c>
      <c r="E172">
        <v>0.12083000000000001</v>
      </c>
      <c r="F172">
        <v>917895208.89999998</v>
      </c>
      <c r="G172">
        <v>0.12083000000000001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0.97724230254350875</v>
      </c>
      <c r="Q172">
        <f t="shared" ref="Q172" si="836">F172*P172</f>
        <v>897006027.43909097</v>
      </c>
      <c r="R172">
        <f t="shared" ref="R172" si="837">R173+Q172</f>
        <v>91749321289.762207</v>
      </c>
      <c r="S172">
        <f t="shared" ref="S172" si="838">R172/100000</f>
        <v>917493.21289762203</v>
      </c>
      <c r="T172">
        <f t="shared" ref="T172" si="839">S172/1000</f>
        <v>917.49321289762202</v>
      </c>
    </row>
    <row r="173" spans="1:20" x14ac:dyDescent="0.25">
      <c r="A173" s="5">
        <v>44420</v>
      </c>
      <c r="B173">
        <v>0.11096</v>
      </c>
      <c r="C173">
        <v>0.11703</v>
      </c>
      <c r="D173">
        <v>0.10314</v>
      </c>
      <c r="E173">
        <v>0.10725</v>
      </c>
      <c r="F173">
        <v>1193419847.2</v>
      </c>
      <c r="G173">
        <v>0.10725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-0.40820734341252662</v>
      </c>
      <c r="Q173">
        <f t="shared" ref="Q173" si="841">F173*P173</f>
        <v>-487162745.40129548</v>
      </c>
      <c r="R173">
        <f t="shared" ref="R173" si="842">R174+Q173</f>
        <v>90852315262.32312</v>
      </c>
      <c r="S173">
        <f t="shared" ref="S173" si="843">R173/100000</f>
        <v>908523.15262323117</v>
      </c>
      <c r="T173">
        <f t="shared" ref="T173" si="844">S173/1000</f>
        <v>908.52315262323123</v>
      </c>
    </row>
    <row r="174" spans="1:20" x14ac:dyDescent="0.25">
      <c r="A174" s="5">
        <v>44419</v>
      </c>
      <c r="B174">
        <v>0.10637000000000001</v>
      </c>
      <c r="C174">
        <v>0.11786000000000001</v>
      </c>
      <c r="D174">
        <v>0.10600999999999999</v>
      </c>
      <c r="E174">
        <v>0.11096</v>
      </c>
      <c r="F174">
        <v>1327428987.4000001</v>
      </c>
      <c r="G174">
        <v>0.11096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-0.16455696202531572</v>
      </c>
      <c r="Q174">
        <f t="shared" ref="Q174" si="846">F174*P174</f>
        <v>-218437681.47088513</v>
      </c>
      <c r="R174">
        <f t="shared" ref="R174" si="847">R175+Q174</f>
        <v>91339478007.724411</v>
      </c>
      <c r="S174">
        <f t="shared" ref="S174" si="848">R174/100000</f>
        <v>913394.78007724416</v>
      </c>
      <c r="T174">
        <f t="shared" ref="T174" si="849">S174/1000</f>
        <v>913.39478007724415</v>
      </c>
    </row>
    <row r="175" spans="1:20" x14ac:dyDescent="0.25">
      <c r="A175" s="5">
        <v>44418</v>
      </c>
      <c r="B175">
        <v>0.10574</v>
      </c>
      <c r="C175">
        <v>0.10845</v>
      </c>
      <c r="D175">
        <v>0.10242999999999999</v>
      </c>
      <c r="E175">
        <v>0.10632999999999999</v>
      </c>
      <c r="F175">
        <v>846210731.89999998</v>
      </c>
      <c r="G175">
        <v>0.10632999999999999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0.29568106312292136</v>
      </c>
      <c r="Q175">
        <f t="shared" ref="Q175" si="851">F175*P175</f>
        <v>250208488.83421737</v>
      </c>
      <c r="R175">
        <f t="shared" ref="R175" si="852">R176+Q175</f>
        <v>91557915689.195297</v>
      </c>
      <c r="S175">
        <f t="shared" ref="S175" si="853">R175/100000</f>
        <v>915579.15689195297</v>
      </c>
      <c r="T175">
        <f t="shared" ref="T175" si="854">S175/1000</f>
        <v>915.57915689195295</v>
      </c>
    </row>
    <row r="176" spans="1:20" x14ac:dyDescent="0.25">
      <c r="A176" s="5">
        <v>44417</v>
      </c>
      <c r="B176">
        <v>0.10125000000000001</v>
      </c>
      <c r="C176">
        <v>0.10780000000000001</v>
      </c>
      <c r="D176">
        <v>9.7000000000000003E-2</v>
      </c>
      <c r="E176">
        <v>0.10574</v>
      </c>
      <c r="F176">
        <v>1115257010.2</v>
      </c>
      <c r="G176">
        <v>0.10574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0.61851851851851747</v>
      </c>
      <c r="Q176">
        <f t="shared" ref="Q176" si="856">F176*P176</f>
        <v>689807113.71629512</v>
      </c>
      <c r="R176">
        <f t="shared" ref="R176" si="857">R177+Q176</f>
        <v>91307707200.361084</v>
      </c>
      <c r="S176">
        <f t="shared" ref="S176" si="858">R176/100000</f>
        <v>913077.0720036109</v>
      </c>
      <c r="T176">
        <f t="shared" ref="T176" si="859">S176/1000</f>
        <v>913.07707200361085</v>
      </c>
    </row>
    <row r="177" spans="1:20" x14ac:dyDescent="0.25">
      <c r="A177" s="5">
        <v>44416</v>
      </c>
      <c r="B177">
        <v>0.1036</v>
      </c>
      <c r="C177">
        <v>0.11069</v>
      </c>
      <c r="D177">
        <v>9.8540000000000003E-2</v>
      </c>
      <c r="E177">
        <v>0.1013</v>
      </c>
      <c r="F177">
        <v>1214018929.3</v>
      </c>
      <c r="G177">
        <v>0.1013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-0.54567901234567906</v>
      </c>
      <c r="Q177">
        <f t="shared" ref="Q177" si="861">F177*P177</f>
        <v>-662464650.3093828</v>
      </c>
      <c r="R177">
        <f t="shared" ref="R177" si="862">R178+Q177</f>
        <v>90617900086.644791</v>
      </c>
      <c r="S177">
        <f t="shared" ref="S177" si="863">R177/100000</f>
        <v>906179.00086644792</v>
      </c>
      <c r="T177">
        <f t="shared" ref="T177" si="864">S177/1000</f>
        <v>906.17900086644795</v>
      </c>
    </row>
    <row r="178" spans="1:20" x14ac:dyDescent="0.25">
      <c r="A178" s="5">
        <v>44415</v>
      </c>
      <c r="B178">
        <v>9.6640000000000004E-2</v>
      </c>
      <c r="C178">
        <v>0.10886</v>
      </c>
      <c r="D178">
        <v>9.5140000000000002E-2</v>
      </c>
      <c r="E178">
        <v>0.10371</v>
      </c>
      <c r="F178">
        <v>1655607717.9000001</v>
      </c>
      <c r="G178">
        <v>0.10371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0.2492711370262386</v>
      </c>
      <c r="Q178">
        <f t="shared" ref="Q178" si="866">F178*P178</f>
        <v>412695218.31034911</v>
      </c>
      <c r="R178">
        <f t="shared" ref="R178" si="867">R179+Q178</f>
        <v>91280364736.954178</v>
      </c>
      <c r="S178">
        <f t="shared" ref="S178" si="868">R178/100000</f>
        <v>912803.64736954181</v>
      </c>
      <c r="T178">
        <f t="shared" ref="T178" si="869">S178/1000</f>
        <v>912.80364736954186</v>
      </c>
    </row>
    <row r="179" spans="1:20" x14ac:dyDescent="0.25">
      <c r="A179" s="5">
        <v>44414</v>
      </c>
      <c r="B179">
        <v>9.085E-2</v>
      </c>
      <c r="C179">
        <v>9.7600000000000006E-2</v>
      </c>
      <c r="D179">
        <v>8.9349999999999999E-2</v>
      </c>
      <c r="E179">
        <v>9.665E-2</v>
      </c>
      <c r="F179">
        <v>910015916.39999998</v>
      </c>
      <c r="G179">
        <v>9.665E-2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0.76969696969696833</v>
      </c>
      <c r="Q179">
        <f t="shared" ref="Q179" si="871">F179*P179</f>
        <v>700436493.22908962</v>
      </c>
      <c r="R179">
        <f t="shared" ref="R179" si="872">R180+Q179</f>
        <v>90867669518.643829</v>
      </c>
      <c r="S179">
        <f t="shared" ref="S179" si="873">R179/100000</f>
        <v>908676.69518643827</v>
      </c>
      <c r="T179">
        <f t="shared" ref="T179" si="874">S179/1000</f>
        <v>908.67669518643822</v>
      </c>
    </row>
    <row r="180" spans="1:20" x14ac:dyDescent="0.25">
      <c r="A180" s="5">
        <v>44413</v>
      </c>
      <c r="B180">
        <v>8.8349999999999998E-2</v>
      </c>
      <c r="C180">
        <v>9.1999999999999998E-2</v>
      </c>
      <c r="D180">
        <v>8.5190000000000002E-2</v>
      </c>
      <c r="E180">
        <v>9.0819999999999998E-2</v>
      </c>
      <c r="F180">
        <v>780437003.70000005</v>
      </c>
      <c r="G180">
        <v>9.0819999999999998E-2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0.6534508076358293</v>
      </c>
      <c r="Q180">
        <f t="shared" ref="Q180" si="876">F180*P180</f>
        <v>509977190.3766517</v>
      </c>
      <c r="R180">
        <f t="shared" ref="R180" si="877">R181+Q180</f>
        <v>90167233025.414734</v>
      </c>
      <c r="S180">
        <f t="shared" ref="S180" si="878">R180/100000</f>
        <v>901672.33025414729</v>
      </c>
      <c r="T180">
        <f t="shared" ref="T180" si="879">S180/1000</f>
        <v>901.67233025414725</v>
      </c>
    </row>
    <row r="181" spans="1:20" x14ac:dyDescent="0.25">
      <c r="A181" s="5">
        <v>44412</v>
      </c>
      <c r="B181">
        <v>8.5440000000000002E-2</v>
      </c>
      <c r="C181">
        <v>9.0389999999999998E-2</v>
      </c>
      <c r="D181">
        <v>8.3849999999999994E-2</v>
      </c>
      <c r="E181">
        <v>8.8410000000000002E-2</v>
      </c>
      <c r="F181">
        <v>663535631.20000005</v>
      </c>
      <c r="G181">
        <v>8.8410000000000002E-2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0.39449541284403838</v>
      </c>
      <c r="Q181">
        <f t="shared" ref="Q181" si="881">F181*P181</f>
        <v>261761762.76697361</v>
      </c>
      <c r="R181">
        <f t="shared" ref="R181" si="882">R182+Q181</f>
        <v>89657255835.038086</v>
      </c>
      <c r="S181">
        <f t="shared" ref="S181" si="883">R181/100000</f>
        <v>896572.55835038086</v>
      </c>
      <c r="T181">
        <f t="shared" ref="T181" si="884">S181/1000</f>
        <v>896.57255835038086</v>
      </c>
    </row>
    <row r="182" spans="1:20" x14ac:dyDescent="0.25">
      <c r="A182" s="5">
        <v>44411</v>
      </c>
      <c r="B182">
        <v>8.6059999999999998E-2</v>
      </c>
      <c r="C182">
        <v>8.727E-2</v>
      </c>
      <c r="D182">
        <v>8.2229999999999998E-2</v>
      </c>
      <c r="E182">
        <v>8.5400000000000004E-2</v>
      </c>
      <c r="F182">
        <v>603351695.70000005</v>
      </c>
      <c r="G182">
        <v>8.5400000000000004E-2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0.25793650793650968</v>
      </c>
      <c r="Q182">
        <f t="shared" ref="Q182" si="886">F182*P182</f>
        <v>155626429.44642964</v>
      </c>
      <c r="R182">
        <f t="shared" ref="R182" si="887">R183+Q182</f>
        <v>89395494072.271118</v>
      </c>
      <c r="S182">
        <f t="shared" ref="S182" si="888">R182/100000</f>
        <v>893954.94072271115</v>
      </c>
      <c r="T182">
        <f t="shared" ref="T182" si="889">S182/1000</f>
        <v>893.95494072271117</v>
      </c>
    </row>
    <row r="183" spans="1:20" x14ac:dyDescent="0.25">
      <c r="A183" s="5">
        <v>44410</v>
      </c>
      <c r="B183">
        <v>8.5739999999999997E-2</v>
      </c>
      <c r="C183">
        <v>8.8980000000000004E-2</v>
      </c>
      <c r="D183">
        <v>8.4000000000000005E-2</v>
      </c>
      <c r="E183">
        <v>8.6059999999999998E-2</v>
      </c>
      <c r="F183">
        <v>675123471.20000005</v>
      </c>
      <c r="G183">
        <v>8.6059999999999998E-2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-0.17269076305221162</v>
      </c>
      <c r="Q183">
        <f t="shared" ref="Q183" si="891">F183*P183</f>
        <v>-116587587.39598583</v>
      </c>
      <c r="R183">
        <f t="shared" ref="R183" si="892">R184+Q183</f>
        <v>89239867642.824692</v>
      </c>
      <c r="S183">
        <f t="shared" ref="S183" si="893">R183/100000</f>
        <v>892398.67642824689</v>
      </c>
      <c r="T183">
        <f t="shared" ref="T183" si="894">S183/1000</f>
        <v>892.39867642824686</v>
      </c>
    </row>
    <row r="184" spans="1:20" x14ac:dyDescent="0.25">
      <c r="A184" s="5">
        <v>44409</v>
      </c>
      <c r="B184">
        <v>8.9630000000000001E-2</v>
      </c>
      <c r="C184">
        <v>9.2999999999999999E-2</v>
      </c>
      <c r="D184">
        <v>8.5169999999999996E-2</v>
      </c>
      <c r="E184">
        <v>8.5739999999999997E-2</v>
      </c>
      <c r="F184">
        <v>928339477.89999998</v>
      </c>
      <c r="G184">
        <v>8.5739999999999997E-2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-0.854406130268199</v>
      </c>
      <c r="Q184">
        <f t="shared" ref="Q184" si="896">F184*P184</f>
        <v>-793178940.88773918</v>
      </c>
      <c r="R184">
        <f t="shared" ref="R184" si="897">R185+Q184</f>
        <v>89356455230.220673</v>
      </c>
      <c r="S184">
        <f t="shared" ref="S184" si="898">R184/100000</f>
        <v>893564.55230220675</v>
      </c>
      <c r="T184">
        <f t="shared" ref="T184" si="899">S184/1000</f>
        <v>893.56455230220672</v>
      </c>
    </row>
    <row r="185" spans="1:20" x14ac:dyDescent="0.25">
      <c r="A185" s="5">
        <v>44408</v>
      </c>
      <c r="B185">
        <v>8.5959999999999995E-2</v>
      </c>
      <c r="C185">
        <v>9.0380000000000002E-2</v>
      </c>
      <c r="D185">
        <v>8.4449999999999997E-2</v>
      </c>
      <c r="E185">
        <v>8.9620000000000005E-2</v>
      </c>
      <c r="F185">
        <v>915201259.60000002</v>
      </c>
      <c r="G185">
        <v>8.9620000000000005E-2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0.74367622259696586</v>
      </c>
      <c r="Q185">
        <f t="shared" ref="Q185" si="901">F185*P185</f>
        <v>680613415.65531313</v>
      </c>
      <c r="R185">
        <f t="shared" ref="R185" si="902">R186+Q185</f>
        <v>90149634171.108414</v>
      </c>
      <c r="S185">
        <f t="shared" ref="S185" si="903">R185/100000</f>
        <v>901496.34171108413</v>
      </c>
      <c r="T185">
        <f t="shared" ref="T185" si="904">S185/1000</f>
        <v>901.49634171108414</v>
      </c>
    </row>
    <row r="186" spans="1:20" x14ac:dyDescent="0.25">
      <c r="A186" s="5">
        <v>44407</v>
      </c>
      <c r="B186">
        <v>8.2669999999999993E-2</v>
      </c>
      <c r="C186">
        <v>8.5999999999999993E-2</v>
      </c>
      <c r="D186">
        <v>8.0030000000000004E-2</v>
      </c>
      <c r="E186">
        <v>8.5959999999999995E-2</v>
      </c>
      <c r="F186">
        <v>811964038.79999995</v>
      </c>
      <c r="G186">
        <v>8.5959999999999995E-2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0.98659966499162532</v>
      </c>
      <c r="Q186">
        <f t="shared" ref="Q186" si="906">F186*P186</f>
        <v>801083448.66532707</v>
      </c>
      <c r="R186">
        <f t="shared" ref="R186" si="907">R187+Q186</f>
        <v>89469020755.453094</v>
      </c>
      <c r="S186">
        <f t="shared" ref="S186" si="908">R186/100000</f>
        <v>894690.20755453093</v>
      </c>
      <c r="T186">
        <f t="shared" ref="T186" si="909">S186/1000</f>
        <v>894.69020755453096</v>
      </c>
    </row>
    <row r="187" spans="1:20" x14ac:dyDescent="0.25">
      <c r="A187" s="5">
        <v>44406</v>
      </c>
      <c r="B187">
        <v>8.2799999999999999E-2</v>
      </c>
      <c r="C187">
        <v>8.3949999999999997E-2</v>
      </c>
      <c r="D187">
        <v>8.0659999999999996E-2</v>
      </c>
      <c r="E187">
        <v>8.2659999999999997E-2</v>
      </c>
      <c r="F187">
        <v>539258500.60000002</v>
      </c>
      <c r="G187">
        <v>8.2659999999999997E-2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0.21580547112462067</v>
      </c>
      <c r="Q187">
        <f t="shared" ref="Q187" si="911">F187*P187</f>
        <v>116374934.77993955</v>
      </c>
      <c r="R187">
        <f t="shared" ref="R187" si="912">R188+Q187</f>
        <v>88667937306.787766</v>
      </c>
      <c r="S187">
        <f t="shared" ref="S187" si="913">R187/100000</f>
        <v>886679.3730678776</v>
      </c>
      <c r="T187">
        <f t="shared" ref="T187" si="914">S187/1000</f>
        <v>886.67937306787758</v>
      </c>
    </row>
    <row r="188" spans="1:20" x14ac:dyDescent="0.25">
      <c r="A188" s="5">
        <v>44405</v>
      </c>
      <c r="B188">
        <v>8.3930000000000005E-2</v>
      </c>
      <c r="C188">
        <v>8.6309999999999998E-2</v>
      </c>
      <c r="D188">
        <v>8.0339999999999995E-2</v>
      </c>
      <c r="E188">
        <v>8.2830000000000001E-2</v>
      </c>
      <c r="F188">
        <v>1081703275.4000001</v>
      </c>
      <c r="G188">
        <v>8.2830000000000001E-2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-0.1658291457286416</v>
      </c>
      <c r="Q188">
        <f t="shared" ref="Q188" si="916">F188*P188</f>
        <v>-179377930.09145555</v>
      </c>
      <c r="R188">
        <f t="shared" ref="R188" si="917">R189+Q188</f>
        <v>88551562372.007828</v>
      </c>
      <c r="S188">
        <f t="shared" ref="S188" si="918">R188/100000</f>
        <v>885515.62372007826</v>
      </c>
      <c r="T188">
        <f t="shared" ref="T188" si="919">S188/1000</f>
        <v>885.51562372007822</v>
      </c>
    </row>
    <row r="189" spans="1:20" x14ac:dyDescent="0.25">
      <c r="A189" s="5">
        <v>44404</v>
      </c>
      <c r="B189">
        <v>7.7590000000000006E-2</v>
      </c>
      <c r="C189">
        <v>8.7499999999999994E-2</v>
      </c>
      <c r="D189">
        <v>7.4679999999999996E-2</v>
      </c>
      <c r="E189">
        <v>8.3960000000000007E-2</v>
      </c>
      <c r="F189">
        <v>1569354217.8</v>
      </c>
      <c r="G189">
        <v>8.3960000000000007E-2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0.44773790951638248</v>
      </c>
      <c r="Q189">
        <f t="shared" ref="Q189" si="921">F189*P189</f>
        <v>702659376.7684896</v>
      </c>
      <c r="R189">
        <f t="shared" ref="R189" si="922">R190+Q189</f>
        <v>88730940302.099289</v>
      </c>
      <c r="S189">
        <f t="shared" ref="S189" si="923">R189/100000</f>
        <v>887309.40302099288</v>
      </c>
      <c r="T189">
        <f t="shared" ref="T189" si="924">S189/1000</f>
        <v>887.30940302099293</v>
      </c>
    </row>
    <row r="190" spans="1:20" x14ac:dyDescent="0.25">
      <c r="A190" s="5">
        <v>44403</v>
      </c>
      <c r="B190">
        <v>7.4389999999999998E-2</v>
      </c>
      <c r="C190">
        <v>8.9819999999999997E-2</v>
      </c>
      <c r="D190">
        <v>7.3669999999999999E-2</v>
      </c>
      <c r="E190">
        <v>7.7539999999999998E-2</v>
      </c>
      <c r="F190">
        <v>2583820456.0999999</v>
      </c>
      <c r="G190">
        <v>7.7539999999999998E-2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-0.52074303405572764</v>
      </c>
      <c r="Q190">
        <f t="shared" ref="Q190" si="926">F190*P190</f>
        <v>-1345506503.7647679</v>
      </c>
      <c r="R190">
        <f t="shared" ref="R190" si="927">R191+Q190</f>
        <v>88028280925.330795</v>
      </c>
      <c r="S190">
        <f t="shared" ref="S190" si="928">R190/100000</f>
        <v>880282.80925330799</v>
      </c>
      <c r="T190">
        <f t="shared" ref="T190" si="929">S190/1000</f>
        <v>880.28280925330796</v>
      </c>
    </row>
    <row r="191" spans="1:20" x14ac:dyDescent="0.25">
      <c r="A191" s="5">
        <v>44402</v>
      </c>
      <c r="B191">
        <v>7.2209999999999996E-2</v>
      </c>
      <c r="C191">
        <v>7.4399999999999994E-2</v>
      </c>
      <c r="D191">
        <v>6.93E-2</v>
      </c>
      <c r="E191">
        <v>7.4380000000000002E-2</v>
      </c>
      <c r="F191">
        <v>611924366.89999998</v>
      </c>
      <c r="G191">
        <v>7.4380000000000002E-2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0.99215686274510106</v>
      </c>
      <c r="Q191">
        <f t="shared" ref="Q191" si="931">F191*P191</f>
        <v>607124960.10078609</v>
      </c>
      <c r="R191">
        <f t="shared" ref="R191" si="932">R192+Q191</f>
        <v>89373787429.095566</v>
      </c>
      <c r="S191">
        <f t="shared" ref="S191" si="933">R191/100000</f>
        <v>893737.8742909556</v>
      </c>
      <c r="T191">
        <f t="shared" ref="T191:T197" si="934">S191/1000</f>
        <v>893.73787429095557</v>
      </c>
    </row>
    <row r="192" spans="1:20" x14ac:dyDescent="0.25">
      <c r="A192" s="5">
        <v>44401</v>
      </c>
      <c r="B192">
        <v>7.0999999999999994E-2</v>
      </c>
      <c r="C192">
        <v>7.3429999999999995E-2</v>
      </c>
      <c r="D192">
        <v>6.9629999999999997E-2</v>
      </c>
      <c r="E192">
        <v>7.2190000000000004E-2</v>
      </c>
      <c r="F192">
        <v>740146961.79999995</v>
      </c>
      <c r="G192">
        <v>7.2190000000000004E-2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0.34736842105263588</v>
      </c>
      <c r="Q192">
        <f t="shared" ref="Q192" si="936">F192*P192</f>
        <v>257103681.46737158</v>
      </c>
      <c r="R192">
        <f t="shared" ref="R192" si="937">R193+Q192</f>
        <v>88766662468.994781</v>
      </c>
      <c r="S192">
        <f t="shared" ref="S192" si="938">R192/100000</f>
        <v>887666.62468994781</v>
      </c>
      <c r="T192">
        <f t="shared" si="934"/>
        <v>887.66662468994787</v>
      </c>
    </row>
    <row r="193" spans="1:20" x14ac:dyDescent="0.25">
      <c r="A193" s="5">
        <v>44400</v>
      </c>
      <c r="B193">
        <v>6.7769999999999997E-2</v>
      </c>
      <c r="C193">
        <v>7.1029999999999996E-2</v>
      </c>
      <c r="D193">
        <v>6.4140000000000003E-2</v>
      </c>
      <c r="E193">
        <v>7.0989999999999998E-2</v>
      </c>
      <c r="F193">
        <v>795338860.20000005</v>
      </c>
      <c r="G193">
        <v>7.0989999999999998E-2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0.98838896952104549</v>
      </c>
      <c r="Q193">
        <f t="shared" ref="Q193" si="940">F193*P193</f>
        <v>786104156.45312095</v>
      </c>
      <c r="R193">
        <f t="shared" ref="R193" si="941">R194+Q193</f>
        <v>88509558787.527405</v>
      </c>
      <c r="S193">
        <f t="shared" ref="S193" si="942">R193/100000</f>
        <v>885095.58787527401</v>
      </c>
      <c r="T193">
        <f t="shared" si="934"/>
        <v>885.09558787527396</v>
      </c>
    </row>
    <row r="194" spans="1:20" x14ac:dyDescent="0.25">
      <c r="A194" s="5">
        <v>44399</v>
      </c>
      <c r="B194">
        <v>6.6049999999999998E-2</v>
      </c>
      <c r="C194">
        <v>6.9000000000000006E-2</v>
      </c>
      <c r="D194">
        <v>6.4089999999999994E-2</v>
      </c>
      <c r="E194">
        <v>6.7769999999999997E-2</v>
      </c>
      <c r="F194">
        <v>878820265</v>
      </c>
      <c r="G194">
        <v>6.7769999999999997E-2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0.49898167006109739</v>
      </c>
      <c r="Q194">
        <f t="shared" ref="Q194" si="944">F194*P194</f>
        <v>438515203.51323617</v>
      </c>
      <c r="R194">
        <f t="shared" ref="R194" si="945">R195+Q194</f>
        <v>87723454631.07428</v>
      </c>
      <c r="S194">
        <f t="shared" ref="S194" si="946">R194/100000</f>
        <v>877234.54631074285</v>
      </c>
      <c r="T194">
        <f t="shared" si="934"/>
        <v>877.23454631074287</v>
      </c>
    </row>
    <row r="195" spans="1:20" x14ac:dyDescent="0.25">
      <c r="A195" s="5">
        <v>44398</v>
      </c>
      <c r="B195">
        <v>5.7759999999999999E-2</v>
      </c>
      <c r="C195">
        <v>6.8330000000000002E-2</v>
      </c>
      <c r="D195">
        <v>5.5980000000000002E-2</v>
      </c>
      <c r="E195">
        <v>6.6049999999999998E-2</v>
      </c>
      <c r="F195">
        <v>1520542309.5</v>
      </c>
      <c r="G195">
        <v>6.6049999999999998E-2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0.63076923076923008</v>
      </c>
      <c r="Q195">
        <f t="shared" ref="Q195" si="948">F195*P195</f>
        <v>959111302.91538358</v>
      </c>
      <c r="R195">
        <f t="shared" ref="R195" si="949">R196+Q195</f>
        <v>87284939427.56105</v>
      </c>
      <c r="S195">
        <f t="shared" ref="S195" si="950">R195/100000</f>
        <v>872849.39427561045</v>
      </c>
      <c r="T195">
        <f t="shared" si="934"/>
        <v>872.84939427561051</v>
      </c>
    </row>
    <row r="196" spans="1:20" x14ac:dyDescent="0.25">
      <c r="A196" s="5">
        <v>44397</v>
      </c>
      <c r="B196">
        <v>6.1800000000000001E-2</v>
      </c>
      <c r="C196">
        <v>6.2850000000000003E-2</v>
      </c>
      <c r="D196">
        <v>5.6030000000000003E-2</v>
      </c>
      <c r="E196">
        <v>5.7729999999999997E-2</v>
      </c>
      <c r="F196">
        <v>1066995893.8</v>
      </c>
      <c r="G196">
        <v>5.7729999999999997E-2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-0.50146627565982604</v>
      </c>
      <c r="Q196">
        <f t="shared" ref="Q196" si="952">F196*P196</f>
        <v>-535062457.00821322</v>
      </c>
      <c r="R196">
        <f t="shared" ref="R196" si="953">R197+Q196</f>
        <v>86325828124.64566</v>
      </c>
      <c r="S196">
        <f t="shared" ref="S196" si="954">R196/100000</f>
        <v>863258.28124645655</v>
      </c>
      <c r="T196">
        <f t="shared" si="934"/>
        <v>863.25828124645659</v>
      </c>
    </row>
    <row r="197" spans="1:20" x14ac:dyDescent="0.25">
      <c r="A197" s="5">
        <v>44396</v>
      </c>
      <c r="B197">
        <v>6.7580000000000001E-2</v>
      </c>
      <c r="C197">
        <v>6.7729999999999999E-2</v>
      </c>
      <c r="D197">
        <v>6.1469999999999997E-2</v>
      </c>
      <c r="E197">
        <v>6.1800000000000001E-2</v>
      </c>
      <c r="F197">
        <v>706226626.29999995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-0.89456869009584539</v>
      </c>
      <c r="Q197">
        <f t="shared" ref="Q197" si="956">F197*P197</f>
        <v>-631768227.99999905</v>
      </c>
      <c r="R197">
        <f t="shared" ref="R197" si="957">R198+Q197</f>
        <v>86860890581.65387</v>
      </c>
      <c r="S197">
        <f t="shared" ref="S197" si="958">R197/100000</f>
        <v>868608.90581653873</v>
      </c>
      <c r="T197">
        <f t="shared" si="934"/>
        <v>868.60890581653871</v>
      </c>
    </row>
    <row r="198" spans="1:20" x14ac:dyDescent="0.25">
      <c r="A198" s="5">
        <v>44395</v>
      </c>
      <c r="B198">
        <v>6.5500000000000003E-2</v>
      </c>
      <c r="C198">
        <v>6.8860000000000005E-2</v>
      </c>
      <c r="D198">
        <v>6.4939999999999998E-2</v>
      </c>
      <c r="E198">
        <v>6.7549999999999999E-2</v>
      </c>
      <c r="F198">
        <v>633980705.79999995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0.3316326530612228</v>
      </c>
      <c r="Q198">
        <f t="shared" ref="Q198:Q261" si="960">F198*P198</f>
        <v>210248703.45408055</v>
      </c>
      <c r="R198">
        <f t="shared" ref="R198:R261" si="961">R199+Q198</f>
        <v>87492658809.65387</v>
      </c>
      <c r="S198">
        <f t="shared" ref="S198:S261" si="962">R198/100000</f>
        <v>874926.58809653868</v>
      </c>
      <c r="T198">
        <f t="shared" ref="T198:T261" si="963">S198/1000</f>
        <v>874.92658809653869</v>
      </c>
    </row>
    <row r="199" spans="1:20" x14ac:dyDescent="0.25">
      <c r="A199" s="5">
        <v>44394</v>
      </c>
      <c r="B199">
        <v>6.5229999999999996E-2</v>
      </c>
      <c r="C199">
        <v>6.6589999999999996E-2</v>
      </c>
      <c r="D199">
        <v>6.3420000000000004E-2</v>
      </c>
      <c r="E199">
        <v>6.5500000000000003E-2</v>
      </c>
      <c r="F199">
        <v>599977171.39999998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0.31230283911672152</v>
      </c>
      <c r="Q199">
        <f t="shared" si="960"/>
        <v>187374574.03343984</v>
      </c>
      <c r="R199">
        <f t="shared" si="961"/>
        <v>87282410106.199783</v>
      </c>
      <c r="S199">
        <f t="shared" si="962"/>
        <v>872824.10106199782</v>
      </c>
      <c r="T199">
        <f t="shared" si="963"/>
        <v>872.82410106199779</v>
      </c>
    </row>
    <row r="200" spans="1:20" x14ac:dyDescent="0.25">
      <c r="A200" s="5">
        <v>44393</v>
      </c>
      <c r="B200">
        <v>6.8989999999999996E-2</v>
      </c>
      <c r="C200">
        <v>7.0489999999999997E-2</v>
      </c>
      <c r="D200">
        <v>6.5009999999999998E-2</v>
      </c>
      <c r="E200">
        <v>6.5210000000000004E-2</v>
      </c>
      <c r="F200">
        <v>724702951.39999998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-0.92700729927007086</v>
      </c>
      <c r="Q200">
        <f t="shared" si="960"/>
        <v>-671804925.75036335</v>
      </c>
      <c r="R200">
        <f t="shared" si="961"/>
        <v>87095035532.166336</v>
      </c>
      <c r="S200">
        <f t="shared" si="962"/>
        <v>870950.35532166332</v>
      </c>
      <c r="T200">
        <f t="shared" si="963"/>
        <v>870.95035532166332</v>
      </c>
    </row>
    <row r="201" spans="1:20" x14ac:dyDescent="0.25">
      <c r="A201" s="5">
        <v>44392</v>
      </c>
      <c r="B201">
        <v>7.2559999999999999E-2</v>
      </c>
      <c r="C201">
        <v>7.3959999999999998E-2</v>
      </c>
      <c r="D201">
        <v>6.7599999999999993E-2</v>
      </c>
      <c r="E201">
        <v>6.9040000000000004E-2</v>
      </c>
      <c r="F201">
        <v>689990562.20000005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-0.54716981132075171</v>
      </c>
      <c r="Q201">
        <f t="shared" si="960"/>
        <v>-377542005.73207343</v>
      </c>
      <c r="R201">
        <f t="shared" si="961"/>
        <v>87766840457.916702</v>
      </c>
      <c r="S201">
        <f t="shared" si="962"/>
        <v>877668.40457916702</v>
      </c>
      <c r="T201">
        <f t="shared" si="963"/>
        <v>877.66840457916703</v>
      </c>
    </row>
    <row r="202" spans="1:20" x14ac:dyDescent="0.25">
      <c r="A202" s="5">
        <v>44391</v>
      </c>
      <c r="B202">
        <v>7.2969999999999993E-2</v>
      </c>
      <c r="C202">
        <v>7.3700000000000002E-2</v>
      </c>
      <c r="D202">
        <v>6.8390000000000006E-2</v>
      </c>
      <c r="E202">
        <v>7.2559999999999999E-2</v>
      </c>
      <c r="F202">
        <v>719807940.10000002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0.57062146892655252</v>
      </c>
      <c r="Q202">
        <f t="shared" si="960"/>
        <v>410737864.12485796</v>
      </c>
      <c r="R202">
        <f t="shared" si="961"/>
        <v>88144382463.648773</v>
      </c>
      <c r="S202">
        <f t="shared" si="962"/>
        <v>881443.82463648776</v>
      </c>
      <c r="T202">
        <f t="shared" si="963"/>
        <v>881.44382463648776</v>
      </c>
    </row>
    <row r="203" spans="1:20" x14ac:dyDescent="0.25">
      <c r="A203" s="5">
        <v>44390</v>
      </c>
      <c r="B203">
        <v>7.4950000000000003E-2</v>
      </c>
      <c r="C203">
        <v>7.5730000000000006E-2</v>
      </c>
      <c r="D203">
        <v>7.1580000000000005E-2</v>
      </c>
      <c r="E203">
        <v>7.2940000000000005E-2</v>
      </c>
      <c r="F203">
        <v>522685098.10000002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-0.34457831325301214</v>
      </c>
      <c r="Q203">
        <f t="shared" si="960"/>
        <v>-180105949.46578318</v>
      </c>
      <c r="R203">
        <f t="shared" si="961"/>
        <v>87733644599.523911</v>
      </c>
      <c r="S203">
        <f t="shared" si="962"/>
        <v>877336.44599523908</v>
      </c>
      <c r="T203">
        <f t="shared" si="963"/>
        <v>877.33644599523905</v>
      </c>
    </row>
    <row r="204" spans="1:20" x14ac:dyDescent="0.25">
      <c r="A204" s="5">
        <v>44389</v>
      </c>
      <c r="B204">
        <v>7.7679999999999999E-2</v>
      </c>
      <c r="C204">
        <v>7.9009999999999997E-2</v>
      </c>
      <c r="D204">
        <v>7.3779999999999998E-2</v>
      </c>
      <c r="E204">
        <v>7.4950000000000003E-2</v>
      </c>
      <c r="F204">
        <v>485047192.5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-0.55258126195028501</v>
      </c>
      <c r="Q204">
        <f t="shared" si="960"/>
        <v>-268027989.73709282</v>
      </c>
      <c r="R204">
        <f t="shared" si="961"/>
        <v>87913750548.9897</v>
      </c>
      <c r="S204">
        <f t="shared" si="962"/>
        <v>879137.50548989698</v>
      </c>
      <c r="T204">
        <f t="shared" si="963"/>
        <v>879.13750548989697</v>
      </c>
    </row>
    <row r="205" spans="1:20" x14ac:dyDescent="0.25">
      <c r="A205" s="5">
        <v>44388</v>
      </c>
      <c r="B205">
        <v>7.5990000000000002E-2</v>
      </c>
      <c r="C205">
        <v>7.9100000000000004E-2</v>
      </c>
      <c r="D205">
        <v>7.4929999999999997E-2</v>
      </c>
      <c r="E205">
        <v>7.7679999999999999E-2</v>
      </c>
      <c r="F205">
        <v>396751737.10000002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0.3189448441246992</v>
      </c>
      <c r="Q205">
        <f t="shared" si="960"/>
        <v>126541920.94556314</v>
      </c>
      <c r="R205">
        <f t="shared" si="961"/>
        <v>88181778538.726791</v>
      </c>
      <c r="S205">
        <f t="shared" si="962"/>
        <v>881817.78538726794</v>
      </c>
      <c r="T205">
        <f t="shared" si="963"/>
        <v>881.81778538726792</v>
      </c>
    </row>
    <row r="206" spans="1:20" x14ac:dyDescent="0.25">
      <c r="A206" s="5">
        <v>44387</v>
      </c>
      <c r="B206">
        <v>7.7009999999999995E-2</v>
      </c>
      <c r="C206">
        <v>7.8789999999999999E-2</v>
      </c>
      <c r="D206">
        <v>7.4499999999999997E-2</v>
      </c>
      <c r="E206">
        <v>7.5969999999999996E-2</v>
      </c>
      <c r="F206">
        <v>513741559.5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-0.31468531468531546</v>
      </c>
      <c r="Q206">
        <f t="shared" si="960"/>
        <v>-161666924.31818223</v>
      </c>
      <c r="R206">
        <f t="shared" si="961"/>
        <v>88055236617.781235</v>
      </c>
      <c r="S206">
        <f t="shared" si="962"/>
        <v>880552.36617781234</v>
      </c>
      <c r="T206">
        <f t="shared" si="963"/>
        <v>880.55236617781236</v>
      </c>
    </row>
    <row r="207" spans="1:20" x14ac:dyDescent="0.25">
      <c r="A207" s="5">
        <v>44386</v>
      </c>
      <c r="B207">
        <v>7.6050000000000006E-2</v>
      </c>
      <c r="C207">
        <v>7.8240000000000004E-2</v>
      </c>
      <c r="D207">
        <v>7.2330000000000005E-2</v>
      </c>
      <c r="E207">
        <v>7.7030000000000001E-2</v>
      </c>
      <c r="F207">
        <v>817633056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0.59052453468697019</v>
      </c>
      <c r="Q207">
        <f t="shared" si="960"/>
        <v>482832379.93908542</v>
      </c>
      <c r="R207">
        <f t="shared" si="961"/>
        <v>88216903542.099411</v>
      </c>
      <c r="S207">
        <f t="shared" si="962"/>
        <v>882169.03542099416</v>
      </c>
      <c r="T207">
        <f t="shared" si="963"/>
        <v>882.16903542099419</v>
      </c>
    </row>
    <row r="208" spans="1:20" x14ac:dyDescent="0.25">
      <c r="A208" s="5">
        <v>44385</v>
      </c>
      <c r="B208">
        <v>8.337E-2</v>
      </c>
      <c r="C208">
        <v>8.3659999999999998E-2</v>
      </c>
      <c r="D208">
        <v>7.5109999999999996E-2</v>
      </c>
      <c r="E208">
        <v>7.6069999999999999E-2</v>
      </c>
      <c r="F208">
        <v>1013992503.7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-0.77543859649122748</v>
      </c>
      <c r="Q208">
        <f t="shared" si="960"/>
        <v>-786288923.92175388</v>
      </c>
      <c r="R208">
        <f t="shared" si="961"/>
        <v>87734071162.160324</v>
      </c>
      <c r="S208">
        <f t="shared" si="962"/>
        <v>877340.71162160323</v>
      </c>
      <c r="T208">
        <f t="shared" si="963"/>
        <v>877.34071162160319</v>
      </c>
    </row>
    <row r="209" spans="1:20" x14ac:dyDescent="0.25">
      <c r="A209" s="5">
        <v>44384</v>
      </c>
      <c r="B209">
        <v>8.4459999999999993E-2</v>
      </c>
      <c r="C209">
        <v>8.6110000000000006E-2</v>
      </c>
      <c r="D209">
        <v>8.3199999999999996E-2</v>
      </c>
      <c r="E209">
        <v>8.3400000000000002E-2</v>
      </c>
      <c r="F209">
        <v>635110376.10000002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-0.86254295532645697</v>
      </c>
      <c r="Q209">
        <f t="shared" si="960"/>
        <v>-547809980.75979161</v>
      </c>
      <c r="R209">
        <f t="shared" si="961"/>
        <v>88520360086.082077</v>
      </c>
      <c r="S209">
        <f t="shared" si="962"/>
        <v>885203.60086082073</v>
      </c>
      <c r="T209">
        <f t="shared" si="963"/>
        <v>885.20360086082076</v>
      </c>
    </row>
    <row r="210" spans="1:20" x14ac:dyDescent="0.25">
      <c r="A210" s="5">
        <v>44383</v>
      </c>
      <c r="B210">
        <v>8.3449999999999996E-2</v>
      </c>
      <c r="C210">
        <v>8.7150000000000005E-2</v>
      </c>
      <c r="D210">
        <v>8.294E-2</v>
      </c>
      <c r="E210">
        <v>8.4459999999999993E-2</v>
      </c>
      <c r="F210">
        <v>796252433.89999998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-0.27790973871734365</v>
      </c>
      <c r="Q210">
        <f t="shared" si="960"/>
        <v>-221286305.85819793</v>
      </c>
      <c r="R210">
        <f t="shared" si="961"/>
        <v>89068170066.841873</v>
      </c>
      <c r="S210">
        <f t="shared" si="962"/>
        <v>890681.70066841878</v>
      </c>
      <c r="T210">
        <f t="shared" si="963"/>
        <v>890.68170066841878</v>
      </c>
    </row>
    <row r="211" spans="1:20" x14ac:dyDescent="0.25">
      <c r="A211" s="5">
        <v>44382</v>
      </c>
      <c r="B211">
        <v>8.7800000000000003E-2</v>
      </c>
      <c r="C211">
        <v>8.7859999999999994E-2</v>
      </c>
      <c r="D211">
        <v>8.1309999999999993E-2</v>
      </c>
      <c r="E211">
        <v>8.3419999999999994E-2</v>
      </c>
      <c r="F211">
        <v>1009140828.9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-0.35572519083969445</v>
      </c>
      <c r="Q211">
        <f t="shared" si="960"/>
        <v>-358976813.94457996</v>
      </c>
      <c r="R211">
        <f t="shared" si="961"/>
        <v>89289456372.700073</v>
      </c>
      <c r="S211">
        <f t="shared" si="962"/>
        <v>892894.56372700073</v>
      </c>
      <c r="T211">
        <f t="shared" si="963"/>
        <v>892.89456372700067</v>
      </c>
    </row>
    <row r="212" spans="1:20" x14ac:dyDescent="0.25">
      <c r="A212" s="5">
        <v>44381</v>
      </c>
      <c r="B212">
        <v>8.7319999999999995E-2</v>
      </c>
      <c r="C212">
        <v>9.0060000000000001E-2</v>
      </c>
      <c r="D212">
        <v>8.4839999999999999E-2</v>
      </c>
      <c r="E212">
        <v>8.7779999999999997E-2</v>
      </c>
      <c r="F212">
        <v>857726403.20000005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0.12643678160919419</v>
      </c>
      <c r="Q212">
        <f t="shared" si="960"/>
        <v>108448165.92183805</v>
      </c>
      <c r="R212">
        <f t="shared" si="961"/>
        <v>89648433186.644653</v>
      </c>
      <c r="S212">
        <f t="shared" si="962"/>
        <v>896484.33186644653</v>
      </c>
      <c r="T212">
        <f t="shared" si="963"/>
        <v>896.4843318664465</v>
      </c>
    </row>
    <row r="213" spans="1:20" x14ac:dyDescent="0.25">
      <c r="A213" s="5">
        <v>44380</v>
      </c>
      <c r="B213">
        <v>8.6559999999999998E-2</v>
      </c>
      <c r="C213">
        <v>9.0230000000000005E-2</v>
      </c>
      <c r="D213">
        <v>8.4229999999999999E-2</v>
      </c>
      <c r="E213">
        <v>8.7359999999999993E-2</v>
      </c>
      <c r="F213">
        <v>913099649.70000005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4.3333333333330372E-2</v>
      </c>
      <c r="Q213">
        <f t="shared" si="960"/>
        <v>39567651.486997299</v>
      </c>
      <c r="R213">
        <f t="shared" si="961"/>
        <v>89539985020.722809</v>
      </c>
      <c r="S213">
        <f t="shared" si="962"/>
        <v>895399.8502072281</v>
      </c>
      <c r="T213">
        <f t="shared" si="963"/>
        <v>895.39985020722804</v>
      </c>
    </row>
    <row r="214" spans="1:20" x14ac:dyDescent="0.25">
      <c r="A214" s="5">
        <v>44379</v>
      </c>
      <c r="B214">
        <v>8.4250000000000005E-2</v>
      </c>
      <c r="C214">
        <v>8.77E-2</v>
      </c>
      <c r="D214">
        <v>8.1979999999999997E-2</v>
      </c>
      <c r="E214">
        <v>8.6550000000000002E-2</v>
      </c>
      <c r="F214">
        <v>1133495193.3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0.59790209790209869</v>
      </c>
      <c r="Q214">
        <f t="shared" si="960"/>
        <v>677719154.03601491</v>
      </c>
      <c r="R214">
        <f t="shared" si="961"/>
        <v>89500417369.235809</v>
      </c>
      <c r="S214">
        <f t="shared" si="962"/>
        <v>895004.17369235808</v>
      </c>
      <c r="T214">
        <f t="shared" si="963"/>
        <v>895.00417369235811</v>
      </c>
    </row>
    <row r="215" spans="1:20" x14ac:dyDescent="0.25">
      <c r="A215" s="5">
        <v>44378</v>
      </c>
      <c r="B215">
        <v>9.1329999999999995E-2</v>
      </c>
      <c r="C215">
        <v>9.1329999999999995E-2</v>
      </c>
      <c r="D215">
        <v>8.2479999999999998E-2</v>
      </c>
      <c r="E215">
        <v>8.4239999999999995E-2</v>
      </c>
      <c r="F215">
        <v>1227504580.5999999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-0.60225988700565014</v>
      </c>
      <c r="Q215">
        <f t="shared" si="960"/>
        <v>-739276770.01107395</v>
      </c>
      <c r="R215">
        <f t="shared" si="961"/>
        <v>88822698215.199799</v>
      </c>
      <c r="S215">
        <f t="shared" si="962"/>
        <v>888226.98215199797</v>
      </c>
      <c r="T215">
        <f t="shared" si="963"/>
        <v>888.22698215199796</v>
      </c>
    </row>
    <row r="216" spans="1:20" x14ac:dyDescent="0.25">
      <c r="A216" s="5">
        <v>44377</v>
      </c>
      <c r="B216">
        <v>9.0010000000000007E-2</v>
      </c>
      <c r="C216">
        <v>9.4420000000000004E-2</v>
      </c>
      <c r="D216">
        <v>8.1720000000000001E-2</v>
      </c>
      <c r="E216">
        <v>9.1340000000000005E-2</v>
      </c>
      <c r="F216">
        <v>1738170586.0999999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0.51496062992126002</v>
      </c>
      <c r="Q216">
        <f t="shared" si="960"/>
        <v>895089419.9286617</v>
      </c>
      <c r="R216">
        <f t="shared" si="961"/>
        <v>89561974985.210876</v>
      </c>
      <c r="S216">
        <f t="shared" si="962"/>
        <v>895619.74985210877</v>
      </c>
      <c r="T216">
        <f t="shared" si="963"/>
        <v>895.61974985210873</v>
      </c>
    </row>
    <row r="217" spans="1:20" x14ac:dyDescent="0.25">
      <c r="A217" s="5">
        <v>44376</v>
      </c>
      <c r="B217">
        <v>7.9430000000000001E-2</v>
      </c>
      <c r="C217">
        <v>9.5039999999999999E-2</v>
      </c>
      <c r="D217">
        <v>7.8950000000000006E-2</v>
      </c>
      <c r="E217">
        <v>9.0079999999999993E-2</v>
      </c>
      <c r="F217">
        <v>1890978743.2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0.38346799254195052</v>
      </c>
      <c r="Q217">
        <f t="shared" si="960"/>
        <v>725129822.59440458</v>
      </c>
      <c r="R217">
        <f t="shared" si="961"/>
        <v>88666885565.282211</v>
      </c>
      <c r="S217">
        <f t="shared" si="962"/>
        <v>886668.85565282207</v>
      </c>
      <c r="T217">
        <f t="shared" si="963"/>
        <v>886.66885565282212</v>
      </c>
    </row>
    <row r="218" spans="1:20" x14ac:dyDescent="0.25">
      <c r="A218" s="5">
        <v>44375</v>
      </c>
      <c r="B218">
        <v>7.8049999999999994E-2</v>
      </c>
      <c r="C218">
        <v>8.1839999999999996E-2</v>
      </c>
      <c r="D218">
        <v>7.5679999999999997E-2</v>
      </c>
      <c r="E218">
        <v>7.9420000000000004E-2</v>
      </c>
      <c r="F218">
        <v>957312777.10000002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0.21428571428571686</v>
      </c>
      <c r="Q218">
        <f t="shared" si="960"/>
        <v>205138452.23571676</v>
      </c>
      <c r="R218">
        <f t="shared" si="961"/>
        <v>87941755742.687805</v>
      </c>
      <c r="S218">
        <f t="shared" si="962"/>
        <v>879417.55742687802</v>
      </c>
      <c r="T218">
        <f t="shared" si="963"/>
        <v>879.41755742687803</v>
      </c>
    </row>
    <row r="219" spans="1:20" x14ac:dyDescent="0.25">
      <c r="A219" s="5">
        <v>44374</v>
      </c>
      <c r="B219">
        <v>7.399E-2</v>
      </c>
      <c r="C219">
        <v>7.8420000000000004E-2</v>
      </c>
      <c r="D219">
        <v>7.1300000000000002E-2</v>
      </c>
      <c r="E219">
        <v>7.8060000000000004E-2</v>
      </c>
      <c r="F219">
        <v>889825732.39999998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0.89887640449438222</v>
      </c>
      <c r="Q219">
        <f t="shared" si="960"/>
        <v>799843354.96629226</v>
      </c>
      <c r="R219">
        <f t="shared" si="961"/>
        <v>87736617290.452087</v>
      </c>
      <c r="S219">
        <f t="shared" si="962"/>
        <v>877366.17290452088</v>
      </c>
      <c r="T219">
        <f t="shared" si="963"/>
        <v>877.36617290452091</v>
      </c>
    </row>
    <row r="220" spans="1:20" x14ac:dyDescent="0.25">
      <c r="A220" s="5">
        <v>44373</v>
      </c>
      <c r="B220">
        <v>7.2069999999999995E-2</v>
      </c>
      <c r="C220">
        <v>7.5910000000000005E-2</v>
      </c>
      <c r="D220">
        <v>6.9000000000000006E-2</v>
      </c>
      <c r="E220">
        <v>7.3999999999999996E-2</v>
      </c>
      <c r="F220">
        <v>1401930984.0999999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0.44717800289435339</v>
      </c>
      <c r="Q220">
        <f t="shared" si="960"/>
        <v>626912697.66555345</v>
      </c>
      <c r="R220">
        <f t="shared" si="961"/>
        <v>86936773935.485794</v>
      </c>
      <c r="S220">
        <f t="shared" si="962"/>
        <v>869367.73935485794</v>
      </c>
      <c r="T220">
        <f t="shared" si="963"/>
        <v>869.36773935485792</v>
      </c>
    </row>
    <row r="221" spans="1:20" x14ac:dyDescent="0.25">
      <c r="A221" s="5">
        <v>44372</v>
      </c>
      <c r="B221">
        <v>8.0740000000000006E-2</v>
      </c>
      <c r="C221">
        <v>8.3229999999999998E-2</v>
      </c>
      <c r="D221">
        <v>7.1160000000000001E-2</v>
      </c>
      <c r="E221">
        <v>7.2090000000000001E-2</v>
      </c>
      <c r="F221">
        <v>1780897549.9000001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-0.84589892294946145</v>
      </c>
      <c r="Q221">
        <f t="shared" si="960"/>
        <v>-1506459319.3437448</v>
      </c>
      <c r="R221">
        <f t="shared" si="961"/>
        <v>86309861237.820236</v>
      </c>
      <c r="S221">
        <f t="shared" si="962"/>
        <v>863098.61237820238</v>
      </c>
      <c r="T221">
        <f t="shared" si="963"/>
        <v>863.09861237820235</v>
      </c>
    </row>
    <row r="222" spans="1:20" x14ac:dyDescent="0.25">
      <c r="A222" s="5">
        <v>44371</v>
      </c>
      <c r="B222">
        <v>7.6139999999999999E-2</v>
      </c>
      <c r="C222">
        <v>8.3269999999999997E-2</v>
      </c>
      <c r="D222">
        <v>7.2239999999999999E-2</v>
      </c>
      <c r="E222">
        <v>8.0769999999999995E-2</v>
      </c>
      <c r="F222">
        <v>1758052234.0999999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0.54669084315503125</v>
      </c>
      <c r="Q222">
        <f t="shared" si="960"/>
        <v>961111058.17071533</v>
      </c>
      <c r="R222">
        <f t="shared" si="961"/>
        <v>87816320557.163986</v>
      </c>
      <c r="S222">
        <f t="shared" si="962"/>
        <v>878163.20557163982</v>
      </c>
      <c r="T222">
        <f t="shared" si="963"/>
        <v>878.16320557163976</v>
      </c>
    </row>
    <row r="223" spans="1:20" x14ac:dyDescent="0.25">
      <c r="A223" s="5">
        <v>44370</v>
      </c>
      <c r="B223">
        <v>7.1720000000000006E-2</v>
      </c>
      <c r="C223">
        <v>8.4470000000000003E-2</v>
      </c>
      <c r="D223">
        <v>6.7930000000000004E-2</v>
      </c>
      <c r="E223">
        <v>7.6139999999999999E-2</v>
      </c>
      <c r="F223">
        <v>3150782283.5999999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-7.2551390568324665E-3</v>
      </c>
      <c r="Q223">
        <f t="shared" si="960"/>
        <v>-22859363.605322149</v>
      </c>
      <c r="R223">
        <f t="shared" si="961"/>
        <v>86855209498.993271</v>
      </c>
      <c r="S223">
        <f t="shared" si="962"/>
        <v>868552.09498993272</v>
      </c>
      <c r="T223">
        <f t="shared" si="963"/>
        <v>868.5520949899327</v>
      </c>
    </row>
    <row r="224" spans="1:20" x14ac:dyDescent="0.25">
      <c r="A224" s="5">
        <v>44369</v>
      </c>
      <c r="B224">
        <v>7.3300000000000004E-2</v>
      </c>
      <c r="C224">
        <v>8.1079999999999999E-2</v>
      </c>
      <c r="D224">
        <v>5.9549999999999999E-2</v>
      </c>
      <c r="E224">
        <v>7.1760000000000004E-2</v>
      </c>
      <c r="F224">
        <v>4714450003.8000002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0.13423130515559734</v>
      </c>
      <c r="Q224">
        <f t="shared" si="960"/>
        <v>632826777.1008848</v>
      </c>
      <c r="R224">
        <f t="shared" si="961"/>
        <v>86878068862.598587</v>
      </c>
      <c r="S224">
        <f t="shared" si="962"/>
        <v>868780.68862598587</v>
      </c>
      <c r="T224">
        <f t="shared" si="963"/>
        <v>868.78068862598582</v>
      </c>
    </row>
    <row r="225" spans="1:20" x14ac:dyDescent="0.25">
      <c r="A225" s="5">
        <v>44368</v>
      </c>
      <c r="B225">
        <v>9.8369999999999999E-2</v>
      </c>
      <c r="C225">
        <v>9.8809999999999995E-2</v>
      </c>
      <c r="D225">
        <v>7.3010000000000005E-2</v>
      </c>
      <c r="E225">
        <v>7.3319999999999996E-2</v>
      </c>
      <c r="F225">
        <v>2223182586.9000001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-0.97596899224806266</v>
      </c>
      <c r="Q225">
        <f t="shared" si="960"/>
        <v>-2169757268.9202342</v>
      </c>
      <c r="R225">
        <f t="shared" si="961"/>
        <v>86245242085.497696</v>
      </c>
      <c r="S225">
        <f t="shared" si="962"/>
        <v>862452.42085497698</v>
      </c>
      <c r="T225">
        <f t="shared" si="963"/>
        <v>862.45242085497694</v>
      </c>
    </row>
    <row r="226" spans="1:20" x14ac:dyDescent="0.25">
      <c r="A226" s="5">
        <v>44367</v>
      </c>
      <c r="B226">
        <v>9.6409999999999996E-2</v>
      </c>
      <c r="C226">
        <v>0.10077</v>
      </c>
      <c r="D226">
        <v>8.8160000000000002E-2</v>
      </c>
      <c r="E226">
        <v>9.8400000000000001E-2</v>
      </c>
      <c r="F226">
        <v>1031915885.3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0.62410785091197496</v>
      </c>
      <c r="Q226">
        <f t="shared" si="960"/>
        <v>644026805.49651098</v>
      </c>
      <c r="R226">
        <f t="shared" si="961"/>
        <v>88414999354.417923</v>
      </c>
      <c r="S226">
        <f t="shared" si="962"/>
        <v>884149.99354417925</v>
      </c>
      <c r="T226">
        <f t="shared" si="963"/>
        <v>884.14999354417921</v>
      </c>
    </row>
    <row r="227" spans="1:20" x14ac:dyDescent="0.25">
      <c r="A227" s="5">
        <v>44366</v>
      </c>
      <c r="B227">
        <v>9.9570000000000006E-2</v>
      </c>
      <c r="C227">
        <v>0.10204000000000001</v>
      </c>
      <c r="D227">
        <v>9.6360000000000001E-2</v>
      </c>
      <c r="E227">
        <v>9.6390000000000003E-2</v>
      </c>
      <c r="F227">
        <v>656262172.89999998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-0.9894366197183091</v>
      </c>
      <c r="Q227">
        <f t="shared" si="960"/>
        <v>-649329826.00316846</v>
      </c>
      <c r="R227">
        <f t="shared" si="961"/>
        <v>87770972548.921417</v>
      </c>
      <c r="S227">
        <f t="shared" si="962"/>
        <v>877709.72548921418</v>
      </c>
      <c r="T227">
        <f t="shared" si="963"/>
        <v>877.70972548921418</v>
      </c>
    </row>
    <row r="228" spans="1:20" x14ac:dyDescent="0.25">
      <c r="A228" s="5">
        <v>44365</v>
      </c>
      <c r="B228">
        <v>0.10731</v>
      </c>
      <c r="C228">
        <v>0.10759000000000001</v>
      </c>
      <c r="D228">
        <v>9.6129999999999993E-2</v>
      </c>
      <c r="E228">
        <v>9.9570000000000006E-2</v>
      </c>
      <c r="F228">
        <v>853017181.89999998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-0.3996509598603824</v>
      </c>
      <c r="Q228">
        <f t="shared" si="960"/>
        <v>-340909135.52373338</v>
      </c>
      <c r="R228">
        <f t="shared" si="961"/>
        <v>88420302374.924591</v>
      </c>
      <c r="S228">
        <f t="shared" si="962"/>
        <v>884203.02374924591</v>
      </c>
      <c r="T228">
        <f t="shared" si="963"/>
        <v>884.20302374924586</v>
      </c>
    </row>
    <row r="229" spans="1:20" x14ac:dyDescent="0.25">
      <c r="A229" s="5">
        <v>44364</v>
      </c>
      <c r="B229">
        <v>0.10752</v>
      </c>
      <c r="C229">
        <v>0.1115</v>
      </c>
      <c r="D229">
        <v>0.10488</v>
      </c>
      <c r="E229">
        <v>0.10725999999999999</v>
      </c>
      <c r="F229">
        <v>599751647.10000002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-0.28096676737160337</v>
      </c>
      <c r="Q229">
        <f t="shared" si="960"/>
        <v>-168510281.51148167</v>
      </c>
      <c r="R229">
        <f t="shared" si="961"/>
        <v>88761211510.448318</v>
      </c>
      <c r="S229">
        <f t="shared" si="962"/>
        <v>887612.11510448321</v>
      </c>
      <c r="T229">
        <f t="shared" si="963"/>
        <v>887.61211510448322</v>
      </c>
    </row>
    <row r="230" spans="1:20" x14ac:dyDescent="0.25">
      <c r="A230" s="5">
        <v>44363</v>
      </c>
      <c r="B230">
        <v>0.11133999999999999</v>
      </c>
      <c r="C230">
        <v>0.11445</v>
      </c>
      <c r="D230">
        <v>0.10567</v>
      </c>
      <c r="E230">
        <v>0.10752</v>
      </c>
      <c r="F230">
        <v>884683659.79999995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-0.57858769931662746</v>
      </c>
      <c r="Q230">
        <f t="shared" si="960"/>
        <v>-511867083.3466959</v>
      </c>
      <c r="R230">
        <f t="shared" si="961"/>
        <v>88929721791.959793</v>
      </c>
      <c r="S230">
        <f t="shared" si="962"/>
        <v>889297.21791959798</v>
      </c>
      <c r="T230">
        <f t="shared" si="963"/>
        <v>889.29721791959798</v>
      </c>
    </row>
    <row r="231" spans="1:20" x14ac:dyDescent="0.25">
      <c r="A231" s="5">
        <v>44362</v>
      </c>
      <c r="B231">
        <v>0.11328000000000001</v>
      </c>
      <c r="C231">
        <v>0.11552</v>
      </c>
      <c r="D231">
        <v>0.11</v>
      </c>
      <c r="E231">
        <v>0.11135</v>
      </c>
      <c r="F231">
        <v>990084203.20000005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-0.51086956521738958</v>
      </c>
      <c r="Q231">
        <f t="shared" si="960"/>
        <v>-505803886.41738963</v>
      </c>
      <c r="R231">
        <f t="shared" si="961"/>
        <v>89441588875.306488</v>
      </c>
      <c r="S231">
        <f t="shared" si="962"/>
        <v>894415.88875306491</v>
      </c>
      <c r="T231">
        <f t="shared" si="963"/>
        <v>894.41588875306491</v>
      </c>
    </row>
    <row r="232" spans="1:20" x14ac:dyDescent="0.25">
      <c r="A232" s="5">
        <v>44361</v>
      </c>
      <c r="B232">
        <v>0.11244</v>
      </c>
      <c r="C232">
        <v>0.11654</v>
      </c>
      <c r="D232">
        <v>0.10827000000000001</v>
      </c>
      <c r="E232">
        <v>0.11334</v>
      </c>
      <c r="F232">
        <v>1353761539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0.22611850060459285</v>
      </c>
      <c r="Q232">
        <f t="shared" si="960"/>
        <v>306110529.37484604</v>
      </c>
      <c r="R232">
        <f t="shared" si="961"/>
        <v>89947392761.723877</v>
      </c>
      <c r="S232">
        <f t="shared" si="962"/>
        <v>899473.92761723872</v>
      </c>
      <c r="T232">
        <f t="shared" si="963"/>
        <v>899.4739276172387</v>
      </c>
    </row>
    <row r="233" spans="1:20" x14ac:dyDescent="0.25">
      <c r="A233" s="5">
        <v>44360</v>
      </c>
      <c r="B233">
        <v>0.10624</v>
      </c>
      <c r="C233">
        <v>0.11550000000000001</v>
      </c>
      <c r="D233">
        <v>9.9849999999999994E-2</v>
      </c>
      <c r="E233">
        <v>0.11244</v>
      </c>
      <c r="F233">
        <v>1479262301.4000001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0.60894568690095785</v>
      </c>
      <c r="Q233">
        <f t="shared" si="960"/>
        <v>900790398.23271477</v>
      </c>
      <c r="R233">
        <f t="shared" si="961"/>
        <v>89641282232.34903</v>
      </c>
      <c r="S233">
        <f t="shared" si="962"/>
        <v>896412.82232349028</v>
      </c>
      <c r="T233">
        <f t="shared" si="963"/>
        <v>896.41282232349033</v>
      </c>
    </row>
    <row r="234" spans="1:20" x14ac:dyDescent="0.25">
      <c r="A234" s="5">
        <v>44359</v>
      </c>
      <c r="B234">
        <v>0.10482</v>
      </c>
      <c r="C234">
        <v>0.10792</v>
      </c>
      <c r="D234">
        <v>9.6540000000000001E-2</v>
      </c>
      <c r="E234">
        <v>0.10624</v>
      </c>
      <c r="F234">
        <v>1862749647.5999999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0.70474516695957812</v>
      </c>
      <c r="Q234">
        <f t="shared" si="960"/>
        <v>1312763811.4017572</v>
      </c>
      <c r="R234">
        <f t="shared" si="961"/>
        <v>88740491834.116318</v>
      </c>
      <c r="S234">
        <f t="shared" si="962"/>
        <v>887404.9183411632</v>
      </c>
      <c r="T234">
        <f t="shared" si="963"/>
        <v>887.40491834116324</v>
      </c>
    </row>
    <row r="235" spans="1:20" x14ac:dyDescent="0.25">
      <c r="A235" s="5">
        <v>44358</v>
      </c>
      <c r="B235">
        <v>0.11205</v>
      </c>
      <c r="C235">
        <v>0.11466999999999999</v>
      </c>
      <c r="D235">
        <v>0.10341</v>
      </c>
      <c r="E235">
        <v>0.10482</v>
      </c>
      <c r="F235">
        <v>1752724258.3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-0.74955595026643063</v>
      </c>
      <c r="Q235">
        <f t="shared" si="960"/>
        <v>-1313764896.9850812</v>
      </c>
      <c r="R235">
        <f t="shared" si="961"/>
        <v>87427728022.714554</v>
      </c>
      <c r="S235">
        <f t="shared" si="962"/>
        <v>874277.28022714553</v>
      </c>
      <c r="T235">
        <f t="shared" si="963"/>
        <v>874.27728022714552</v>
      </c>
    </row>
    <row r="236" spans="1:20" x14ac:dyDescent="0.25">
      <c r="A236" s="5">
        <v>44357</v>
      </c>
      <c r="B236">
        <v>0.11998</v>
      </c>
      <c r="C236">
        <v>0.12267</v>
      </c>
      <c r="D236">
        <v>0.10892</v>
      </c>
      <c r="E236">
        <v>0.11204</v>
      </c>
      <c r="F236">
        <v>2033141517.5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-0.54618181818181843</v>
      </c>
      <c r="Q236">
        <f t="shared" si="960"/>
        <v>-1110464930.6490915</v>
      </c>
      <c r="R236">
        <f t="shared" si="961"/>
        <v>88741492919.699631</v>
      </c>
      <c r="S236">
        <f t="shared" si="962"/>
        <v>887414.92919699627</v>
      </c>
      <c r="T236">
        <f t="shared" si="963"/>
        <v>887.41492919699624</v>
      </c>
    </row>
    <row r="237" spans="1:20" x14ac:dyDescent="0.25">
      <c r="A237" s="5">
        <v>44356</v>
      </c>
      <c r="B237">
        <v>0.11287</v>
      </c>
      <c r="C237">
        <v>0.12</v>
      </c>
      <c r="D237">
        <v>0.10557</v>
      </c>
      <c r="E237">
        <v>0.11996</v>
      </c>
      <c r="F237">
        <v>2757252229.9000001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0.99445599445599464</v>
      </c>
      <c r="Q237">
        <f t="shared" si="960"/>
        <v>2741966008.2512136</v>
      </c>
      <c r="R237">
        <f t="shared" si="961"/>
        <v>89851957850.348724</v>
      </c>
      <c r="S237">
        <f t="shared" si="962"/>
        <v>898519.57850348728</v>
      </c>
      <c r="T237">
        <f t="shared" si="963"/>
        <v>898.51957850348731</v>
      </c>
    </row>
    <row r="238" spans="1:20" x14ac:dyDescent="0.25">
      <c r="A238" s="5">
        <v>44355</v>
      </c>
      <c r="B238">
        <v>0.11459999999999999</v>
      </c>
      <c r="C238">
        <v>0.11846</v>
      </c>
      <c r="D238">
        <v>9.9000000000000005E-2</v>
      </c>
      <c r="E238">
        <v>0.11285000000000001</v>
      </c>
      <c r="F238">
        <v>3698318136.9000001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0.42343268242548893</v>
      </c>
      <c r="Q238">
        <f t="shared" si="960"/>
        <v>1565988769.1704037</v>
      </c>
      <c r="R238">
        <f t="shared" si="961"/>
        <v>87109991842.097504</v>
      </c>
      <c r="S238">
        <f t="shared" si="962"/>
        <v>871099.91842097498</v>
      </c>
      <c r="T238">
        <f t="shared" si="963"/>
        <v>871.09991842097497</v>
      </c>
    </row>
    <row r="239" spans="1:20" x14ac:dyDescent="0.25">
      <c r="A239" s="5">
        <v>44354</v>
      </c>
      <c r="B239">
        <v>0.12766</v>
      </c>
      <c r="C239">
        <v>0.13650000000000001</v>
      </c>
      <c r="D239">
        <v>0.1128</v>
      </c>
      <c r="E239">
        <v>0.11458</v>
      </c>
      <c r="F239">
        <v>2210084147.9000001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-0.84978902953586477</v>
      </c>
      <c r="Q239">
        <f t="shared" si="960"/>
        <v>-1878105263.2365396</v>
      </c>
      <c r="R239">
        <f t="shared" si="961"/>
        <v>85544003072.927094</v>
      </c>
      <c r="S239">
        <f t="shared" si="962"/>
        <v>855440.03072927089</v>
      </c>
      <c r="T239">
        <f t="shared" si="963"/>
        <v>855.44003072927092</v>
      </c>
    </row>
    <row r="240" spans="1:20" x14ac:dyDescent="0.25">
      <c r="A240" s="5">
        <v>44353</v>
      </c>
      <c r="B240">
        <v>0.12533</v>
      </c>
      <c r="C240">
        <v>0.13399</v>
      </c>
      <c r="D240">
        <v>0.12445000000000001</v>
      </c>
      <c r="E240">
        <v>0.12766</v>
      </c>
      <c r="F240">
        <v>1593745131.2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-0.32704402515723419</v>
      </c>
      <c r="Q240">
        <f t="shared" si="960"/>
        <v>-521224822.78239232</v>
      </c>
      <c r="R240">
        <f t="shared" si="961"/>
        <v>87422108336.163635</v>
      </c>
      <c r="S240">
        <f t="shared" si="962"/>
        <v>874221.08336163638</v>
      </c>
      <c r="T240">
        <f t="shared" si="963"/>
        <v>874.22108336163637</v>
      </c>
    </row>
    <row r="241" spans="1:20" x14ac:dyDescent="0.25">
      <c r="A241" s="5">
        <v>44352</v>
      </c>
      <c r="B241">
        <v>0.12908</v>
      </c>
      <c r="C241">
        <v>0.14188999999999999</v>
      </c>
      <c r="D241">
        <v>0.12</v>
      </c>
      <c r="E241">
        <v>0.12534000000000001</v>
      </c>
      <c r="F241">
        <v>2588768201.6999998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-0.51210598446779232</v>
      </c>
      <c r="Q241">
        <f t="shared" si="960"/>
        <v>-1325723688.4904947</v>
      </c>
      <c r="R241">
        <f t="shared" si="961"/>
        <v>87943333158.94603</v>
      </c>
      <c r="S241">
        <f t="shared" si="962"/>
        <v>879433.33158946026</v>
      </c>
      <c r="T241">
        <f t="shared" si="963"/>
        <v>879.43333158946029</v>
      </c>
    </row>
    <row r="242" spans="1:20" x14ac:dyDescent="0.25">
      <c r="A242" s="5">
        <v>44351</v>
      </c>
      <c r="B242">
        <v>0.14323</v>
      </c>
      <c r="C242">
        <v>0.15285000000000001</v>
      </c>
      <c r="D242">
        <v>0.11971</v>
      </c>
      <c r="E242">
        <v>0.12902</v>
      </c>
      <c r="F242">
        <v>4259089209.6999998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-0.43814121907060988</v>
      </c>
      <c r="Q242">
        <f t="shared" si="960"/>
        <v>-1866082538.4684384</v>
      </c>
      <c r="R242">
        <f t="shared" si="961"/>
        <v>89269056847.436523</v>
      </c>
      <c r="S242">
        <f t="shared" si="962"/>
        <v>892690.56847436528</v>
      </c>
      <c r="T242">
        <f t="shared" si="963"/>
        <v>892.69056847436525</v>
      </c>
    </row>
    <row r="243" spans="1:20" x14ac:dyDescent="0.25">
      <c r="A243" s="5">
        <v>44350</v>
      </c>
      <c r="B243">
        <v>0.12565000000000001</v>
      </c>
      <c r="C243">
        <v>0.14509</v>
      </c>
      <c r="D243">
        <v>0.12305000000000001</v>
      </c>
      <c r="E243">
        <v>0.14323</v>
      </c>
      <c r="F243">
        <v>2329521871.0999999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0.83121597096188737</v>
      </c>
      <c r="Q243">
        <f t="shared" si="960"/>
        <v>1936335783.9633391</v>
      </c>
      <c r="R243">
        <f t="shared" si="961"/>
        <v>91135139385.904968</v>
      </c>
      <c r="S243">
        <f t="shared" si="962"/>
        <v>911351.39385904965</v>
      </c>
      <c r="T243">
        <f t="shared" si="963"/>
        <v>911.35139385904961</v>
      </c>
    </row>
    <row r="244" spans="1:20" x14ac:dyDescent="0.25">
      <c r="A244" s="5">
        <v>44349</v>
      </c>
      <c r="B244">
        <v>0.12063</v>
      </c>
      <c r="C244">
        <v>0.13199</v>
      </c>
      <c r="D244">
        <v>0.11703</v>
      </c>
      <c r="E244">
        <v>0.12573000000000001</v>
      </c>
      <c r="F244">
        <v>1643652027.8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0.16310160427807655</v>
      </c>
      <c r="Q244">
        <f t="shared" si="960"/>
        <v>268082282.60909367</v>
      </c>
      <c r="R244">
        <f t="shared" si="961"/>
        <v>89198803601.941635</v>
      </c>
      <c r="S244">
        <f t="shared" si="962"/>
        <v>891988.03601941629</v>
      </c>
      <c r="T244">
        <f t="shared" si="963"/>
        <v>891.98803601941631</v>
      </c>
    </row>
    <row r="245" spans="1:20" x14ac:dyDescent="0.25">
      <c r="A245" s="5">
        <v>44348</v>
      </c>
      <c r="B245">
        <v>0.12592</v>
      </c>
      <c r="C245">
        <v>0.12973000000000001</v>
      </c>
      <c r="D245">
        <v>0.11774999999999999</v>
      </c>
      <c r="E245">
        <v>0.12068</v>
      </c>
      <c r="F245">
        <v>2135264727.9000001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-0.51085141903171993</v>
      </c>
      <c r="Q245">
        <f t="shared" si="960"/>
        <v>-1090803016.2560945</v>
      </c>
      <c r="R245">
        <f t="shared" si="961"/>
        <v>88930721319.332535</v>
      </c>
      <c r="S245">
        <f t="shared" si="962"/>
        <v>889307.21319332533</v>
      </c>
      <c r="T245">
        <f t="shared" si="963"/>
        <v>889.30721319332531</v>
      </c>
    </row>
    <row r="246" spans="1:20" x14ac:dyDescent="0.25">
      <c r="A246" s="5">
        <v>44347</v>
      </c>
      <c r="B246">
        <v>0.10741000000000001</v>
      </c>
      <c r="C246">
        <v>0.12626000000000001</v>
      </c>
      <c r="D246">
        <v>0.10203</v>
      </c>
      <c r="E246">
        <v>0.12587999999999999</v>
      </c>
      <c r="F246">
        <v>2486990006.3000002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0.9686339248865028</v>
      </c>
      <c r="Q246">
        <f t="shared" si="960"/>
        <v>2408982890.9558773</v>
      </c>
      <c r="R246">
        <f t="shared" si="961"/>
        <v>90021524335.588623</v>
      </c>
      <c r="S246">
        <f t="shared" si="962"/>
        <v>900215.2433558862</v>
      </c>
      <c r="T246">
        <f t="shared" si="963"/>
        <v>900.21524335588617</v>
      </c>
    </row>
    <row r="247" spans="1:20" x14ac:dyDescent="0.25">
      <c r="A247" s="5">
        <v>44346</v>
      </c>
      <c r="B247">
        <v>9.8960000000000006E-2</v>
      </c>
      <c r="C247">
        <v>0.11475</v>
      </c>
      <c r="D247">
        <v>9.2299999999999993E-2</v>
      </c>
      <c r="E247">
        <v>0.10752</v>
      </c>
      <c r="F247">
        <v>2592725414.5999999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0.35590200445434328</v>
      </c>
      <c r="Q247">
        <f t="shared" si="960"/>
        <v>922756172.05585814</v>
      </c>
      <c r="R247">
        <f t="shared" si="961"/>
        <v>87612541444.632751</v>
      </c>
      <c r="S247">
        <f t="shared" si="962"/>
        <v>876125.41444632749</v>
      </c>
      <c r="T247">
        <f t="shared" si="963"/>
        <v>876.12541444632745</v>
      </c>
    </row>
    <row r="248" spans="1:20" x14ac:dyDescent="0.25">
      <c r="A248" s="5">
        <v>44345</v>
      </c>
      <c r="B248">
        <v>0.10811999999999999</v>
      </c>
      <c r="C248">
        <v>0.114</v>
      </c>
      <c r="D248">
        <v>9.2499999999999999E-2</v>
      </c>
      <c r="E248">
        <v>9.8960000000000006E-2</v>
      </c>
      <c r="F248">
        <v>2641195002.6999998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-0.3990697674418599</v>
      </c>
      <c r="Q248">
        <f t="shared" si="960"/>
        <v>-1054021075.4960915</v>
      </c>
      <c r="R248">
        <f t="shared" si="961"/>
        <v>86689785272.576889</v>
      </c>
      <c r="S248">
        <f t="shared" si="962"/>
        <v>866897.85272576893</v>
      </c>
      <c r="T248">
        <f t="shared" si="963"/>
        <v>866.89785272576887</v>
      </c>
    </row>
    <row r="249" spans="1:20" x14ac:dyDescent="0.25">
      <c r="A249" s="5">
        <v>44344</v>
      </c>
      <c r="B249">
        <v>0.12379999999999999</v>
      </c>
      <c r="C249">
        <v>0.12545000000000001</v>
      </c>
      <c r="D249">
        <v>0.10213</v>
      </c>
      <c r="E249">
        <v>0.10815</v>
      </c>
      <c r="F249">
        <v>3457240118.9000001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-0.48370497427101239</v>
      </c>
      <c r="Q249">
        <f t="shared" si="960"/>
        <v>-1672284242.7612364</v>
      </c>
      <c r="R249">
        <f t="shared" si="961"/>
        <v>87743806348.072983</v>
      </c>
      <c r="S249">
        <f t="shared" si="962"/>
        <v>877438.06348072982</v>
      </c>
      <c r="T249">
        <f t="shared" si="963"/>
        <v>877.43806348072985</v>
      </c>
    </row>
    <row r="250" spans="1:20" x14ac:dyDescent="0.25">
      <c r="A250" s="5">
        <v>44343</v>
      </c>
      <c r="B250">
        <v>0.13297999999999999</v>
      </c>
      <c r="C250">
        <v>0.13594999999999999</v>
      </c>
      <c r="D250">
        <v>0.11866</v>
      </c>
      <c r="E250">
        <v>0.12379999999999999</v>
      </c>
      <c r="F250">
        <v>2659115741.5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-0.40543666859456379</v>
      </c>
      <c r="Q250">
        <f t="shared" si="960"/>
        <v>-1078103027.6411233</v>
      </c>
      <c r="R250">
        <f t="shared" si="961"/>
        <v>89416090590.834213</v>
      </c>
      <c r="S250">
        <f t="shared" si="962"/>
        <v>894160.9059083421</v>
      </c>
      <c r="T250">
        <f t="shared" si="963"/>
        <v>894.1609059083421</v>
      </c>
    </row>
    <row r="251" spans="1:20" x14ac:dyDescent="0.25">
      <c r="A251" s="5">
        <v>44342</v>
      </c>
      <c r="B251">
        <v>0.11260000000000001</v>
      </c>
      <c r="C251">
        <v>0.14119999999999999</v>
      </c>
      <c r="D251">
        <v>0.1096</v>
      </c>
      <c r="E251">
        <v>0.13306000000000001</v>
      </c>
      <c r="F251">
        <v>4144591085.1999998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0.48481012658227951</v>
      </c>
      <c r="Q251">
        <f t="shared" si="960"/>
        <v>2009339728.6475992</v>
      </c>
      <c r="R251">
        <f t="shared" si="961"/>
        <v>90494193618.475342</v>
      </c>
      <c r="S251">
        <f t="shared" si="962"/>
        <v>904941.93618475343</v>
      </c>
      <c r="T251">
        <f t="shared" si="963"/>
        <v>904.94193618475344</v>
      </c>
    </row>
    <row r="252" spans="1:20" x14ac:dyDescent="0.25">
      <c r="A252" s="5">
        <v>44341</v>
      </c>
      <c r="B252">
        <v>0.11244</v>
      </c>
      <c r="C252">
        <v>0.12053999999999999</v>
      </c>
      <c r="D252">
        <v>0.10431</v>
      </c>
      <c r="E252">
        <v>0.11267000000000001</v>
      </c>
      <c r="F252">
        <v>3441286725.9000001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3.0191004313001747E-2</v>
      </c>
      <c r="Q252">
        <f t="shared" si="960"/>
        <v>103895902.38392256</v>
      </c>
      <c r="R252">
        <f t="shared" si="961"/>
        <v>88484853889.827744</v>
      </c>
      <c r="S252">
        <f t="shared" si="962"/>
        <v>884848.53889827745</v>
      </c>
      <c r="T252">
        <f t="shared" si="963"/>
        <v>884.84853889827741</v>
      </c>
    </row>
    <row r="253" spans="1:20" x14ac:dyDescent="0.25">
      <c r="A253" s="5">
        <v>44340</v>
      </c>
      <c r="B253">
        <v>8.6260000000000003E-2</v>
      </c>
      <c r="C253">
        <v>0.11783</v>
      </c>
      <c r="D253">
        <v>8.5000000000000006E-2</v>
      </c>
      <c r="E253">
        <v>0.1124</v>
      </c>
      <c r="F253">
        <v>5282694200.8000002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0.66920499543100798</v>
      </c>
      <c r="Q253">
        <f t="shared" si="960"/>
        <v>3535205348.5097766</v>
      </c>
      <c r="R253">
        <f t="shared" si="961"/>
        <v>88380957987.443817</v>
      </c>
      <c r="S253">
        <f t="shared" si="962"/>
        <v>883809.57987443812</v>
      </c>
      <c r="T253">
        <f t="shared" si="963"/>
        <v>883.8095798744381</v>
      </c>
    </row>
    <row r="254" spans="1:20" x14ac:dyDescent="0.25">
      <c r="A254" s="5">
        <v>44339</v>
      </c>
      <c r="B254">
        <v>9.9529999999999993E-2</v>
      </c>
      <c r="C254">
        <v>0.10564</v>
      </c>
      <c r="D254">
        <v>6.5600000000000006E-2</v>
      </c>
      <c r="E254">
        <v>8.6379999999999998E-2</v>
      </c>
      <c r="F254">
        <v>6261832023.3999996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3.7962037962037808E-2</v>
      </c>
      <c r="Q254">
        <f t="shared" si="960"/>
        <v>237711904.98421481</v>
      </c>
      <c r="R254">
        <f t="shared" si="961"/>
        <v>84845752638.934036</v>
      </c>
      <c r="S254">
        <f t="shared" si="962"/>
        <v>848457.5263893404</v>
      </c>
      <c r="T254">
        <f t="shared" si="963"/>
        <v>848.45752638934039</v>
      </c>
    </row>
    <row r="255" spans="1:20" x14ac:dyDescent="0.25">
      <c r="A255" s="5">
        <v>44338</v>
      </c>
      <c r="B255">
        <v>0.1082</v>
      </c>
      <c r="C255">
        <v>0.11182</v>
      </c>
      <c r="D255">
        <v>9.2799999999999994E-2</v>
      </c>
      <c r="E255">
        <v>9.9440000000000001E-2</v>
      </c>
      <c r="F255">
        <v>3500176289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-0.30178759200841182</v>
      </c>
      <c r="Q255">
        <f t="shared" si="960"/>
        <v>-1056309773.8622489</v>
      </c>
      <c r="R255">
        <f t="shared" si="961"/>
        <v>84608040733.949814</v>
      </c>
      <c r="S255">
        <f t="shared" si="962"/>
        <v>846080.40733949817</v>
      </c>
      <c r="T255">
        <f t="shared" si="963"/>
        <v>846.08040733949815</v>
      </c>
    </row>
    <row r="256" spans="1:20" x14ac:dyDescent="0.25">
      <c r="A256" s="5">
        <v>44337</v>
      </c>
      <c r="B256">
        <v>0.13074</v>
      </c>
      <c r="C256">
        <v>0.13922999999999999</v>
      </c>
      <c r="D256">
        <v>0.09</v>
      </c>
      <c r="E256">
        <v>0.10813</v>
      </c>
      <c r="F256">
        <v>5337110951.8000002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-0.26345724151939837</v>
      </c>
      <c r="Q256">
        <f t="shared" si="960"/>
        <v>-1406100529.0441988</v>
      </c>
      <c r="R256">
        <f t="shared" si="961"/>
        <v>85664350507.812057</v>
      </c>
      <c r="S256">
        <f t="shared" si="962"/>
        <v>856643.50507812062</v>
      </c>
      <c r="T256">
        <f t="shared" si="963"/>
        <v>856.6435050781206</v>
      </c>
    </row>
    <row r="257" spans="1:20" x14ac:dyDescent="0.25">
      <c r="A257" s="5">
        <v>44336</v>
      </c>
      <c r="B257">
        <v>0.10532999999999999</v>
      </c>
      <c r="C257">
        <v>0.14599999999999999</v>
      </c>
      <c r="D257">
        <v>0.09</v>
      </c>
      <c r="E257">
        <v>0.13077</v>
      </c>
      <c r="F257">
        <v>5532101820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0.45607142857142874</v>
      </c>
      <c r="Q257">
        <f t="shared" si="960"/>
        <v>2523033580.0500011</v>
      </c>
      <c r="R257">
        <f t="shared" si="961"/>
        <v>87070451036.856262</v>
      </c>
      <c r="S257">
        <f t="shared" si="962"/>
        <v>870704.51036856265</v>
      </c>
      <c r="T257">
        <f t="shared" si="963"/>
        <v>870.70451036856264</v>
      </c>
    </row>
    <row r="258" spans="1:20" x14ac:dyDescent="0.25">
      <c r="A258" s="5">
        <v>44335</v>
      </c>
      <c r="B258">
        <v>0.16184999999999999</v>
      </c>
      <c r="C258">
        <v>0.16447999999999999</v>
      </c>
      <c r="D258">
        <v>5.1999999999999998E-2</v>
      </c>
      <c r="E258">
        <v>0.10532999999999999</v>
      </c>
      <c r="F258">
        <v>8296040530.8000002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-5.1742532005689894E-2</v>
      </c>
      <c r="Q258">
        <f t="shared" si="960"/>
        <v>-429258142.68541956</v>
      </c>
      <c r="R258">
        <f t="shared" si="961"/>
        <v>84547417456.806259</v>
      </c>
      <c r="S258">
        <f t="shared" si="962"/>
        <v>845474.17456806265</v>
      </c>
      <c r="T258">
        <f t="shared" si="963"/>
        <v>845.47417456806261</v>
      </c>
    </row>
    <row r="259" spans="1:20" x14ac:dyDescent="0.25">
      <c r="A259" s="5">
        <v>44334</v>
      </c>
      <c r="B259">
        <v>0.15773000000000001</v>
      </c>
      <c r="C259">
        <v>0.17144000000000001</v>
      </c>
      <c r="D259">
        <v>0.15603</v>
      </c>
      <c r="E259">
        <v>0.16183</v>
      </c>
      <c r="F259">
        <v>1913643240.2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-0.24724205061648319</v>
      </c>
      <c r="Q259">
        <f t="shared" si="960"/>
        <v>-473133078.85541934</v>
      </c>
      <c r="R259">
        <f t="shared" si="961"/>
        <v>84976675599.491684</v>
      </c>
      <c r="S259">
        <f t="shared" si="962"/>
        <v>849766.75599491689</v>
      </c>
      <c r="T259">
        <f t="shared" si="963"/>
        <v>849.76675599491693</v>
      </c>
    </row>
    <row r="260" spans="1:20" x14ac:dyDescent="0.25">
      <c r="A260" s="5">
        <v>44333</v>
      </c>
      <c r="B260">
        <v>0.17652000000000001</v>
      </c>
      <c r="C260">
        <v>0.17752000000000001</v>
      </c>
      <c r="D260">
        <v>0.14888000000000001</v>
      </c>
      <c r="E260">
        <v>0.15775</v>
      </c>
      <c r="F260">
        <v>2666779589.8000002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-0.38058659217877167</v>
      </c>
      <c r="Q260">
        <f t="shared" si="960"/>
        <v>-1014940556.1738846</v>
      </c>
      <c r="R260">
        <f t="shared" si="961"/>
        <v>85449808678.347107</v>
      </c>
      <c r="S260">
        <f t="shared" si="962"/>
        <v>854498.08678347105</v>
      </c>
      <c r="T260">
        <f t="shared" si="963"/>
        <v>854.49808678347108</v>
      </c>
    </row>
    <row r="261" spans="1:20" x14ac:dyDescent="0.25">
      <c r="A261" s="5">
        <v>44332</v>
      </c>
      <c r="B261">
        <v>0.17254</v>
      </c>
      <c r="C261">
        <v>0.19272</v>
      </c>
      <c r="D261">
        <v>0.16019</v>
      </c>
      <c r="E261">
        <v>0.17646000000000001</v>
      </c>
      <c r="F261">
        <v>2266154448.1999998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3.0740854595788503E-4</v>
      </c>
      <c r="Q261">
        <f t="shared" si="960"/>
        <v>696635.24383715529</v>
      </c>
      <c r="R261">
        <f t="shared" si="961"/>
        <v>86464749234.520996</v>
      </c>
      <c r="S261">
        <f t="shared" si="962"/>
        <v>864647.49234520993</v>
      </c>
      <c r="T261">
        <f t="shared" si="963"/>
        <v>864.64749234520991</v>
      </c>
    </row>
    <row r="262" spans="1:20" x14ac:dyDescent="0.25">
      <c r="A262" s="5">
        <v>44331</v>
      </c>
      <c r="B262">
        <v>0.18662999999999999</v>
      </c>
      <c r="C262">
        <v>0.18812999999999999</v>
      </c>
      <c r="D262">
        <v>0.16972000000000001</v>
      </c>
      <c r="E262">
        <v>0.17254</v>
      </c>
      <c r="F262">
        <v>1506771797.5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-0.69364475828354244</v>
      </c>
      <c r="Q262">
        <f t="shared" ref="Q262:Q325" si="965">F262*P262</f>
        <v>-1045164359.2653463</v>
      </c>
      <c r="R262">
        <f t="shared" ref="R262:R325" si="966">R263+Q262</f>
        <v>86464052599.277161</v>
      </c>
      <c r="S262">
        <f t="shared" ref="S262:S325" si="967">R262/100000</f>
        <v>864640.52599277161</v>
      </c>
      <c r="T262">
        <f t="shared" ref="T262:T325" si="968">S262/1000</f>
        <v>864.64052599277159</v>
      </c>
    </row>
    <row r="263" spans="1:20" x14ac:dyDescent="0.25">
      <c r="A263" s="5">
        <v>44330</v>
      </c>
      <c r="B263">
        <v>0.18225</v>
      </c>
      <c r="C263">
        <v>0.19287000000000001</v>
      </c>
      <c r="D263">
        <v>0.17727999999999999</v>
      </c>
      <c r="E263">
        <v>0.18673999999999999</v>
      </c>
      <c r="F263">
        <v>1359413440.3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0.21359846055163359</v>
      </c>
      <c r="Q263">
        <f t="shared" si="965"/>
        <v>290368618.10128003</v>
      </c>
      <c r="R263">
        <f t="shared" si="966"/>
        <v>87509216958.542511</v>
      </c>
      <c r="S263">
        <f t="shared" si="967"/>
        <v>875092.16958542506</v>
      </c>
      <c r="T263">
        <f t="shared" si="968"/>
        <v>875.09216958542504</v>
      </c>
    </row>
    <row r="264" spans="1:20" x14ac:dyDescent="0.25">
      <c r="A264" s="5">
        <v>44329</v>
      </c>
      <c r="B264">
        <v>0.16697000000000001</v>
      </c>
      <c r="C264">
        <v>0.18998999999999999</v>
      </c>
      <c r="D264">
        <v>0.15570999999999999</v>
      </c>
      <c r="E264">
        <v>0.18221999999999999</v>
      </c>
      <c r="F264">
        <v>3429911605.5999999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0.54667444574095692</v>
      </c>
      <c r="Q264">
        <f t="shared" si="965"/>
        <v>1875045025.9318557</v>
      </c>
      <c r="R264">
        <f t="shared" si="966"/>
        <v>87218848340.441238</v>
      </c>
      <c r="S264">
        <f t="shared" si="967"/>
        <v>872188.4834044124</v>
      </c>
      <c r="T264">
        <f t="shared" si="968"/>
        <v>872.18848340441241</v>
      </c>
    </row>
    <row r="265" spans="1:20" x14ac:dyDescent="0.25">
      <c r="A265" s="5">
        <v>44328</v>
      </c>
      <c r="B265">
        <v>0.21268999999999999</v>
      </c>
      <c r="C265">
        <v>0.21496000000000001</v>
      </c>
      <c r="D265">
        <v>0.16161</v>
      </c>
      <c r="E265">
        <v>0.1666</v>
      </c>
      <c r="F265">
        <v>1788810247.5999999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-0.81293345829428332</v>
      </c>
      <c r="Q265">
        <f t="shared" si="965"/>
        <v>-1454183700.8137212</v>
      </c>
      <c r="R265">
        <f t="shared" si="966"/>
        <v>85343803314.509384</v>
      </c>
      <c r="S265">
        <f t="shared" si="967"/>
        <v>853438.03314509382</v>
      </c>
      <c r="T265">
        <f t="shared" si="968"/>
        <v>853.43803314509387</v>
      </c>
    </row>
    <row r="266" spans="1:20" x14ac:dyDescent="0.25">
      <c r="A266" s="5">
        <v>44327</v>
      </c>
      <c r="B266">
        <v>0.20277999999999999</v>
      </c>
      <c r="C266">
        <v>0.21354000000000001</v>
      </c>
      <c r="D266">
        <v>0.19520999999999999</v>
      </c>
      <c r="E266">
        <v>0.21268999999999999</v>
      </c>
      <c r="F266">
        <v>1434142949.5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0.90725586470267139</v>
      </c>
      <c r="Q266">
        <f t="shared" si="965"/>
        <v>1301134601.755862</v>
      </c>
      <c r="R266">
        <f t="shared" si="966"/>
        <v>86797987015.323105</v>
      </c>
      <c r="S266">
        <f t="shared" si="967"/>
        <v>867979.87015323108</v>
      </c>
      <c r="T266">
        <f t="shared" si="968"/>
        <v>867.9798701532311</v>
      </c>
    </row>
    <row r="267" spans="1:20" x14ac:dyDescent="0.25">
      <c r="A267" s="5">
        <v>44326</v>
      </c>
      <c r="B267">
        <v>0.23380000000000001</v>
      </c>
      <c r="C267">
        <v>0.23943</v>
      </c>
      <c r="D267">
        <v>0.1875</v>
      </c>
      <c r="E267">
        <v>0.20261999999999999</v>
      </c>
      <c r="F267">
        <v>1748580413.5999999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-0.41767764298093613</v>
      </c>
      <c r="Q267">
        <f t="shared" si="965"/>
        <v>-730342945.71507835</v>
      </c>
      <c r="R267">
        <f t="shared" si="966"/>
        <v>85496852413.567245</v>
      </c>
      <c r="S267">
        <f t="shared" si="967"/>
        <v>854968.52413567249</v>
      </c>
      <c r="T267">
        <f t="shared" si="968"/>
        <v>854.96852413567251</v>
      </c>
    </row>
    <row r="268" spans="1:20" x14ac:dyDescent="0.25">
      <c r="A268" s="5">
        <v>44325</v>
      </c>
      <c r="B268">
        <v>0.2233</v>
      </c>
      <c r="C268">
        <v>0.23744000000000001</v>
      </c>
      <c r="D268">
        <v>0.20799999999999999</v>
      </c>
      <c r="E268">
        <v>0.23386000000000001</v>
      </c>
      <c r="F268">
        <v>1659540511.5999999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0.75679347826086973</v>
      </c>
      <c r="Q268">
        <f t="shared" si="965"/>
        <v>1255929436.088587</v>
      </c>
      <c r="R268">
        <f t="shared" si="966"/>
        <v>86227195359.282318</v>
      </c>
      <c r="S268">
        <f t="shared" si="967"/>
        <v>862271.95359282324</v>
      </c>
      <c r="T268">
        <f t="shared" si="968"/>
        <v>862.27195359282325</v>
      </c>
    </row>
    <row r="269" spans="1:20" x14ac:dyDescent="0.25">
      <c r="A269" s="5">
        <v>44324</v>
      </c>
      <c r="B269">
        <v>0.23050000000000001</v>
      </c>
      <c r="C269">
        <v>0.23666000000000001</v>
      </c>
      <c r="D269">
        <v>0.21858</v>
      </c>
      <c r="E269">
        <v>0.22339999999999999</v>
      </c>
      <c r="F269">
        <v>1258764406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-0.46681415929203679</v>
      </c>
      <c r="Q269">
        <f t="shared" si="965"/>
        <v>-587609047.93363011</v>
      </c>
      <c r="R269">
        <f t="shared" si="966"/>
        <v>84971265923.193726</v>
      </c>
      <c r="S269">
        <f t="shared" si="967"/>
        <v>849712.65923193726</v>
      </c>
      <c r="T269">
        <f t="shared" si="968"/>
        <v>849.71265923193721</v>
      </c>
    </row>
    <row r="270" spans="1:20" x14ac:dyDescent="0.25">
      <c r="A270" s="5">
        <v>44323</v>
      </c>
      <c r="B270">
        <v>0.21573999999999999</v>
      </c>
      <c r="C270">
        <v>0.25</v>
      </c>
      <c r="D270">
        <v>0.21328</v>
      </c>
      <c r="E270">
        <v>0.2306</v>
      </c>
      <c r="F270">
        <v>3948011812.1999998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-5.6644880174291895E-2</v>
      </c>
      <c r="Q270">
        <f t="shared" si="965"/>
        <v>-223634656.02875799</v>
      </c>
      <c r="R270">
        <f t="shared" si="966"/>
        <v>85558874971.12735</v>
      </c>
      <c r="S270">
        <f t="shared" si="967"/>
        <v>855588.74971127347</v>
      </c>
      <c r="T270">
        <f t="shared" si="968"/>
        <v>855.58874971127352</v>
      </c>
    </row>
    <row r="271" spans="1:20" x14ac:dyDescent="0.25">
      <c r="A271" s="5">
        <v>44322</v>
      </c>
      <c r="B271">
        <v>0.20705999999999999</v>
      </c>
      <c r="C271">
        <v>0.22359999999999999</v>
      </c>
      <c r="D271">
        <v>0.20074</v>
      </c>
      <c r="E271">
        <v>0.21584</v>
      </c>
      <c r="F271">
        <v>2327072959.6999998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0.32108486439195172</v>
      </c>
      <c r="Q271">
        <f t="shared" si="965"/>
        <v>747187905.69545221</v>
      </c>
      <c r="R271">
        <f t="shared" si="966"/>
        <v>85782509627.156113</v>
      </c>
      <c r="S271">
        <f t="shared" si="967"/>
        <v>857825.09627156111</v>
      </c>
      <c r="T271">
        <f t="shared" si="968"/>
        <v>857.82509627156116</v>
      </c>
    </row>
    <row r="272" spans="1:20" x14ac:dyDescent="0.25">
      <c r="A272" s="5">
        <v>44321</v>
      </c>
      <c r="B272">
        <v>0.18751999999999999</v>
      </c>
      <c r="C272">
        <v>0.20888000000000001</v>
      </c>
      <c r="D272">
        <v>0.186</v>
      </c>
      <c r="E272">
        <v>0.20705000000000001</v>
      </c>
      <c r="F272">
        <v>1859705729.5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0.84003496503496522</v>
      </c>
      <c r="Q272">
        <f t="shared" si="965"/>
        <v>1562217837.455857</v>
      </c>
      <c r="R272">
        <f t="shared" si="966"/>
        <v>85035321721.460663</v>
      </c>
      <c r="S272">
        <f t="shared" si="967"/>
        <v>850353.21721460659</v>
      </c>
      <c r="T272">
        <f t="shared" si="968"/>
        <v>850.35321721460662</v>
      </c>
    </row>
    <row r="273" spans="1:20" x14ac:dyDescent="0.25">
      <c r="A273" s="5">
        <v>44320</v>
      </c>
      <c r="B273">
        <v>0.21087</v>
      </c>
      <c r="C273">
        <v>0.21137</v>
      </c>
      <c r="D273">
        <v>0.18456</v>
      </c>
      <c r="E273">
        <v>0.18753</v>
      </c>
      <c r="F273">
        <v>2565446817.5999999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-0.77844088026855651</v>
      </c>
      <c r="Q273">
        <f t="shared" si="965"/>
        <v>-1997048678.9747109</v>
      </c>
      <c r="R273">
        <f t="shared" si="966"/>
        <v>83473103884.004807</v>
      </c>
      <c r="S273">
        <f t="shared" si="967"/>
        <v>834731.03884004802</v>
      </c>
      <c r="T273">
        <f t="shared" si="968"/>
        <v>834.73103884004797</v>
      </c>
    </row>
    <row r="274" spans="1:20" x14ac:dyDescent="0.25">
      <c r="A274" s="5">
        <v>44319</v>
      </c>
      <c r="B274">
        <v>0.21487999999999999</v>
      </c>
      <c r="C274">
        <v>0.22241</v>
      </c>
      <c r="D274">
        <v>0.20599999999999999</v>
      </c>
      <c r="E274">
        <v>0.21084</v>
      </c>
      <c r="F274">
        <v>1578067439.8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-0.41011578305910923</v>
      </c>
      <c r="Q274">
        <f t="shared" si="965"/>
        <v>-647190363.79366064</v>
      </c>
      <c r="R274">
        <f t="shared" si="966"/>
        <v>85470152562.979523</v>
      </c>
      <c r="S274">
        <f t="shared" si="967"/>
        <v>854701.52562979527</v>
      </c>
      <c r="T274">
        <f t="shared" si="968"/>
        <v>854.70152562979524</v>
      </c>
    </row>
    <row r="275" spans="1:20" x14ac:dyDescent="0.25">
      <c r="A275" s="5">
        <v>44318</v>
      </c>
      <c r="B275">
        <v>0.20430000000000001</v>
      </c>
      <c r="C275">
        <v>0.22505</v>
      </c>
      <c r="D275">
        <v>0.19706000000000001</v>
      </c>
      <c r="E275">
        <v>0.21487999999999999</v>
      </c>
      <c r="F275">
        <v>2655545961.6999998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0.27331189710610809</v>
      </c>
      <c r="Q275">
        <f t="shared" si="965"/>
        <v>725792304.64469123</v>
      </c>
      <c r="R275">
        <f t="shared" si="966"/>
        <v>86117342926.773178</v>
      </c>
      <c r="S275">
        <f t="shared" si="967"/>
        <v>861173.42926773173</v>
      </c>
      <c r="T275">
        <f t="shared" si="968"/>
        <v>861.17342926773176</v>
      </c>
    </row>
    <row r="276" spans="1:20" x14ac:dyDescent="0.25">
      <c r="A276" s="5">
        <v>44317</v>
      </c>
      <c r="B276">
        <v>0.2011</v>
      </c>
      <c r="C276">
        <v>0.20805000000000001</v>
      </c>
      <c r="D276">
        <v>0.19227</v>
      </c>
      <c r="E276">
        <v>0.20422000000000001</v>
      </c>
      <c r="F276">
        <v>1191292657.5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0.51457541191381539</v>
      </c>
      <c r="Q276">
        <f t="shared" si="965"/>
        <v>613009909.94296634</v>
      </c>
      <c r="R276">
        <f t="shared" si="966"/>
        <v>85391550622.128494</v>
      </c>
      <c r="S276">
        <f t="shared" si="967"/>
        <v>853915.50622128497</v>
      </c>
      <c r="T276">
        <f t="shared" si="968"/>
        <v>853.915506221285</v>
      </c>
    </row>
    <row r="277" spans="1:20" x14ac:dyDescent="0.25">
      <c r="A277" s="5">
        <v>44316</v>
      </c>
      <c r="B277">
        <v>0.19128999999999999</v>
      </c>
      <c r="C277">
        <v>0.20362</v>
      </c>
      <c r="D277">
        <v>0.18637999999999999</v>
      </c>
      <c r="E277">
        <v>0.20097999999999999</v>
      </c>
      <c r="F277">
        <v>1494034640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0.69373549883990693</v>
      </c>
      <c r="Q277">
        <f t="shared" si="965"/>
        <v>1036464866.2645007</v>
      </c>
      <c r="R277">
        <f t="shared" si="966"/>
        <v>84778540712.185532</v>
      </c>
      <c r="S277">
        <f t="shared" si="967"/>
        <v>847785.4071218553</v>
      </c>
      <c r="T277">
        <f t="shared" si="968"/>
        <v>847.78540712185531</v>
      </c>
    </row>
    <row r="278" spans="1:20" x14ac:dyDescent="0.25">
      <c r="A278" s="5">
        <v>44315</v>
      </c>
      <c r="B278">
        <v>0.19849</v>
      </c>
      <c r="C278">
        <v>0.20061000000000001</v>
      </c>
      <c r="D278">
        <v>0.18132999999999999</v>
      </c>
      <c r="E278">
        <v>0.19127</v>
      </c>
      <c r="F278">
        <v>1781485869.9000001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3.112033195020689E-2</v>
      </c>
      <c r="Q278">
        <f t="shared" si="965"/>
        <v>55440431.635891087</v>
      </c>
      <c r="R278">
        <f t="shared" si="966"/>
        <v>83742075845.921036</v>
      </c>
      <c r="S278">
        <f t="shared" si="967"/>
        <v>837420.7584592104</v>
      </c>
      <c r="T278">
        <f t="shared" si="968"/>
        <v>837.42075845921045</v>
      </c>
    </row>
    <row r="279" spans="1:20" x14ac:dyDescent="0.25">
      <c r="A279" s="5">
        <v>44314</v>
      </c>
      <c r="B279">
        <v>0.20796000000000001</v>
      </c>
      <c r="C279">
        <v>0.215</v>
      </c>
      <c r="D279">
        <v>0.18701999999999999</v>
      </c>
      <c r="E279">
        <v>0.19839999999999999</v>
      </c>
      <c r="F279">
        <v>2307445618.8000002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-0.18656182987848469</v>
      </c>
      <c r="Q279">
        <f t="shared" si="965"/>
        <v>-430481276.98842049</v>
      </c>
      <c r="R279">
        <f t="shared" si="966"/>
        <v>83686635414.285141</v>
      </c>
      <c r="S279">
        <f t="shared" si="967"/>
        <v>836866.35414285143</v>
      </c>
      <c r="T279">
        <f t="shared" si="968"/>
        <v>836.86635414285138</v>
      </c>
    </row>
    <row r="280" spans="1:20" x14ac:dyDescent="0.25">
      <c r="A280" s="5">
        <v>44313</v>
      </c>
      <c r="B280">
        <v>0.18848999999999999</v>
      </c>
      <c r="C280">
        <v>0.22389999999999999</v>
      </c>
      <c r="D280">
        <v>0.18487000000000001</v>
      </c>
      <c r="E280">
        <v>0.20810000000000001</v>
      </c>
      <c r="F280">
        <v>3163964933.6999998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0.19036638483218096</v>
      </c>
      <c r="Q280">
        <f t="shared" si="965"/>
        <v>602312566.16426003</v>
      </c>
      <c r="R280">
        <f t="shared" si="966"/>
        <v>84117116691.27356</v>
      </c>
      <c r="S280">
        <f t="shared" si="967"/>
        <v>841171.16691273556</v>
      </c>
      <c r="T280">
        <f t="shared" si="968"/>
        <v>841.17116691273554</v>
      </c>
    </row>
    <row r="281" spans="1:20" x14ac:dyDescent="0.25">
      <c r="A281" s="5">
        <v>44312</v>
      </c>
      <c r="B281">
        <v>0.16830000000000001</v>
      </c>
      <c r="C281">
        <v>0.19919999999999999</v>
      </c>
      <c r="D281">
        <v>0.16453000000000001</v>
      </c>
      <c r="E281">
        <v>0.18848999999999999</v>
      </c>
      <c r="F281">
        <v>3351483407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0.38217479088549156</v>
      </c>
      <c r="Q281">
        <f t="shared" si="965"/>
        <v>1280852470.2264197</v>
      </c>
      <c r="R281">
        <f t="shared" si="966"/>
        <v>83514804125.109299</v>
      </c>
      <c r="S281">
        <f t="shared" si="967"/>
        <v>835148.04125109303</v>
      </c>
      <c r="T281">
        <f t="shared" si="968"/>
        <v>835.14804125109299</v>
      </c>
    </row>
    <row r="282" spans="1:20" x14ac:dyDescent="0.25">
      <c r="A282" s="5">
        <v>44311</v>
      </c>
      <c r="B282">
        <v>0.178424</v>
      </c>
      <c r="C282">
        <v>0.18826000000000001</v>
      </c>
      <c r="D282">
        <v>0.15476000000000001</v>
      </c>
      <c r="E282">
        <v>0.16830000000000001</v>
      </c>
      <c r="F282">
        <v>2562597271.9000001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-0.19164179104477638</v>
      </c>
      <c r="Q282">
        <f t="shared" si="965"/>
        <v>-491100730.91337383</v>
      </c>
      <c r="R282">
        <f t="shared" si="966"/>
        <v>82233951654.882874</v>
      </c>
      <c r="S282">
        <f t="shared" si="967"/>
        <v>822339.51654882869</v>
      </c>
      <c r="T282">
        <f t="shared" si="968"/>
        <v>822.33951654882867</v>
      </c>
    </row>
    <row r="283" spans="1:20" x14ac:dyDescent="0.25">
      <c r="A283" s="5">
        <v>44310</v>
      </c>
      <c r="B283">
        <v>0.20186200000000001</v>
      </c>
      <c r="C283">
        <v>0.20599999999999999</v>
      </c>
      <c r="D283">
        <v>0.1772</v>
      </c>
      <c r="E283">
        <v>0.178425</v>
      </c>
      <c r="F283">
        <v>3125905802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-0.91493055555555525</v>
      </c>
      <c r="Q283">
        <f t="shared" si="965"/>
        <v>-2859986732.0381937</v>
      </c>
      <c r="R283">
        <f t="shared" si="966"/>
        <v>82725052385.796249</v>
      </c>
      <c r="S283">
        <f t="shared" si="967"/>
        <v>827250.52385796246</v>
      </c>
      <c r="T283">
        <f t="shared" si="968"/>
        <v>827.25052385796243</v>
      </c>
    </row>
    <row r="284" spans="1:20" x14ac:dyDescent="0.25">
      <c r="A284" s="5">
        <v>44309</v>
      </c>
      <c r="B284">
        <v>0.19011500000000001</v>
      </c>
      <c r="C284">
        <v>0.20673</v>
      </c>
      <c r="D284">
        <v>0.13100000000000001</v>
      </c>
      <c r="E284">
        <v>0.20208599999999999</v>
      </c>
      <c r="F284">
        <v>8126640803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0.87735375676746308</v>
      </c>
      <c r="Q284">
        <f t="shared" si="965"/>
        <v>7129938838.4118032</v>
      </c>
      <c r="R284">
        <f t="shared" si="966"/>
        <v>85585039117.834442</v>
      </c>
      <c r="S284">
        <f t="shared" si="967"/>
        <v>855850.39117834438</v>
      </c>
      <c r="T284">
        <f t="shared" si="968"/>
        <v>855.85039117834435</v>
      </c>
    </row>
    <row r="285" spans="1:20" x14ac:dyDescent="0.25">
      <c r="A285" s="5">
        <v>44308</v>
      </c>
      <c r="B285">
        <v>0.22598299999999999</v>
      </c>
      <c r="C285">
        <v>0.23579900000000001</v>
      </c>
      <c r="D285">
        <v>0.17599999999999999</v>
      </c>
      <c r="E285">
        <v>0.19017400000000001</v>
      </c>
      <c r="F285">
        <v>4327661640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-0.52594524992056668</v>
      </c>
      <c r="Q285">
        <f t="shared" si="965"/>
        <v>-2276113082.8214493</v>
      </c>
      <c r="R285">
        <f t="shared" si="966"/>
        <v>78455100279.422638</v>
      </c>
      <c r="S285">
        <f t="shared" si="967"/>
        <v>784551.0027942264</v>
      </c>
      <c r="T285">
        <f t="shared" si="968"/>
        <v>784.55100279422641</v>
      </c>
    </row>
    <row r="286" spans="1:20" x14ac:dyDescent="0.25">
      <c r="A286" s="5">
        <v>44307</v>
      </c>
      <c r="B286">
        <v>0.25099500000000002</v>
      </c>
      <c r="C286">
        <v>0.25536300000000001</v>
      </c>
      <c r="D286">
        <v>0.221385</v>
      </c>
      <c r="E286">
        <v>0.226271</v>
      </c>
      <c r="F286">
        <v>2342115780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-0.71240214256283474</v>
      </c>
      <c r="Q286">
        <f t="shared" si="965"/>
        <v>-1668528299.8022249</v>
      </c>
      <c r="R286">
        <f t="shared" si="966"/>
        <v>80731213362.244095</v>
      </c>
      <c r="S286">
        <f t="shared" si="967"/>
        <v>807312.13362244098</v>
      </c>
      <c r="T286">
        <f t="shared" si="968"/>
        <v>807.31213362244102</v>
      </c>
    </row>
    <row r="287" spans="1:20" x14ac:dyDescent="0.25">
      <c r="A287" s="5">
        <v>44306</v>
      </c>
      <c r="B287">
        <v>0.228383</v>
      </c>
      <c r="C287">
        <v>0.26600000000000001</v>
      </c>
      <c r="D287">
        <v>0.20522199999999999</v>
      </c>
      <c r="E287">
        <v>0.25123699999999999</v>
      </c>
      <c r="F287">
        <v>3715124901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0.51419921682187564</v>
      </c>
      <c r="Q287">
        <f t="shared" si="965"/>
        <v>1910314314.4896483</v>
      </c>
      <c r="R287">
        <f t="shared" si="966"/>
        <v>82399741662.046326</v>
      </c>
      <c r="S287">
        <f t="shared" si="967"/>
        <v>823997.41662046325</v>
      </c>
      <c r="T287">
        <f t="shared" si="968"/>
        <v>823.99741662046324</v>
      </c>
    </row>
    <row r="288" spans="1:20" x14ac:dyDescent="0.25">
      <c r="A288" s="5">
        <v>44305</v>
      </c>
      <c r="B288">
        <v>0.25356800000000002</v>
      </c>
      <c r="C288">
        <v>0.26867999999999997</v>
      </c>
      <c r="D288">
        <v>0.22140099999999999</v>
      </c>
      <c r="E288">
        <v>0.228215</v>
      </c>
      <c r="F288">
        <v>4317072517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-0.71175363269104608</v>
      </c>
      <c r="Q288">
        <f t="shared" si="965"/>
        <v>-3072692046.5654278</v>
      </c>
      <c r="R288">
        <f t="shared" si="966"/>
        <v>80489427347.556671</v>
      </c>
      <c r="S288">
        <f t="shared" si="967"/>
        <v>804894.27347556676</v>
      </c>
      <c r="T288">
        <f t="shared" si="968"/>
        <v>804.89427347556671</v>
      </c>
    </row>
    <row r="289" spans="1:20" x14ac:dyDescent="0.25">
      <c r="A289" s="5">
        <v>44304</v>
      </c>
      <c r="B289">
        <v>0.226462</v>
      </c>
      <c r="C289">
        <v>0.255</v>
      </c>
      <c r="D289">
        <v>0.16950000000000001</v>
      </c>
      <c r="E289">
        <v>0.25332100000000002</v>
      </c>
      <c r="F289">
        <v>5306548344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0.96072514619883076</v>
      </c>
      <c r="Q289">
        <f t="shared" si="965"/>
        <v>5098134433.600563</v>
      </c>
      <c r="R289">
        <f t="shared" si="966"/>
        <v>83562119394.122101</v>
      </c>
      <c r="S289">
        <f t="shared" si="967"/>
        <v>835621.19394122099</v>
      </c>
      <c r="T289">
        <f t="shared" si="968"/>
        <v>835.62119394122101</v>
      </c>
    </row>
    <row r="290" spans="1:20" x14ac:dyDescent="0.25">
      <c r="A290" s="5">
        <v>44303</v>
      </c>
      <c r="B290">
        <v>0.234485</v>
      </c>
      <c r="C290">
        <v>0.27982899999999999</v>
      </c>
      <c r="D290">
        <v>0.214087</v>
      </c>
      <c r="E290">
        <v>0.22642499999999999</v>
      </c>
      <c r="F290">
        <v>6811815475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-0.62465395029052995</v>
      </c>
      <c r="Q290">
        <f t="shared" si="965"/>
        <v>-4255027445.1089125</v>
      </c>
      <c r="R290">
        <f t="shared" si="966"/>
        <v>78463984960.52153</v>
      </c>
      <c r="S290">
        <f t="shared" si="967"/>
        <v>784639.84960521525</v>
      </c>
      <c r="T290">
        <f t="shared" si="968"/>
        <v>784.6398496052152</v>
      </c>
    </row>
    <row r="291" spans="1:20" x14ac:dyDescent="0.25">
      <c r="A291" s="5">
        <v>44302</v>
      </c>
      <c r="B291">
        <v>0.17558599999999999</v>
      </c>
      <c r="C291">
        <v>0.24554999999999999</v>
      </c>
      <c r="D291">
        <v>0.15721499999999999</v>
      </c>
      <c r="E291">
        <v>0.234485</v>
      </c>
      <c r="F291">
        <v>6188637152.1000004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0.74947642497311395</v>
      </c>
      <c r="Q291">
        <f t="shared" si="965"/>
        <v>4638237648.2117014</v>
      </c>
      <c r="R291">
        <f t="shared" si="966"/>
        <v>82719012405.630447</v>
      </c>
      <c r="S291">
        <f t="shared" si="967"/>
        <v>827190.12405630446</v>
      </c>
      <c r="T291">
        <f t="shared" si="968"/>
        <v>827.19012405630451</v>
      </c>
    </row>
    <row r="292" spans="1:20" x14ac:dyDescent="0.25">
      <c r="A292" s="5">
        <v>44301</v>
      </c>
      <c r="B292">
        <v>0.167986</v>
      </c>
      <c r="C292">
        <v>0.189</v>
      </c>
      <c r="D292">
        <v>0.167931</v>
      </c>
      <c r="E292">
        <v>0.17560100000000001</v>
      </c>
      <c r="F292">
        <v>3133275293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-0.27191608524372218</v>
      </c>
      <c r="Q292">
        <f t="shared" si="965"/>
        <v>-851987951.66343665</v>
      </c>
      <c r="R292">
        <f t="shared" si="966"/>
        <v>78080774757.418747</v>
      </c>
      <c r="S292">
        <f t="shared" si="967"/>
        <v>780807.74757418747</v>
      </c>
      <c r="T292">
        <f t="shared" si="968"/>
        <v>780.80774757418749</v>
      </c>
    </row>
    <row r="293" spans="1:20" x14ac:dyDescent="0.25">
      <c r="A293" s="5">
        <v>44300</v>
      </c>
      <c r="B293">
        <v>0.153223</v>
      </c>
      <c r="C293">
        <v>0.176179</v>
      </c>
      <c r="D293">
        <v>0.153118</v>
      </c>
      <c r="E293">
        <v>0.16800399999999999</v>
      </c>
      <c r="F293">
        <v>4656487621.5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0.29101079745023928</v>
      </c>
      <c r="Q293">
        <f t="shared" si="965"/>
        <v>1355088176.0498829</v>
      </c>
      <c r="R293">
        <f t="shared" si="966"/>
        <v>78932762709.082184</v>
      </c>
      <c r="S293">
        <f t="shared" si="967"/>
        <v>789327.62709082186</v>
      </c>
      <c r="T293">
        <f t="shared" si="968"/>
        <v>789.32762709082181</v>
      </c>
    </row>
    <row r="294" spans="1:20" x14ac:dyDescent="0.25">
      <c r="A294" s="5">
        <v>44299</v>
      </c>
      <c r="B294">
        <v>0.12890599999999999</v>
      </c>
      <c r="C294">
        <v>0.159382</v>
      </c>
      <c r="D294">
        <v>0.128751</v>
      </c>
      <c r="E294">
        <v>0.153447</v>
      </c>
      <c r="F294">
        <v>2795029712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0.6124840847507429</v>
      </c>
      <c r="Q294">
        <f t="shared" si="965"/>
        <v>1711911215.0054524</v>
      </c>
      <c r="R294">
        <f t="shared" si="966"/>
        <v>77577674533.032303</v>
      </c>
      <c r="S294">
        <f t="shared" si="967"/>
        <v>775776.745330323</v>
      </c>
      <c r="T294">
        <f t="shared" si="968"/>
        <v>775.77674533032302</v>
      </c>
    </row>
    <row r="295" spans="1:20" x14ac:dyDescent="0.25">
      <c r="A295" s="5">
        <v>44298</v>
      </c>
      <c r="B295">
        <v>0.13939399999999999</v>
      </c>
      <c r="C295">
        <v>0.14039699999999999</v>
      </c>
      <c r="D295">
        <v>0.12676399999999999</v>
      </c>
      <c r="E295">
        <v>0.12893099999999999</v>
      </c>
      <c r="F295">
        <v>1845919682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-0.68209491674613054</v>
      </c>
      <c r="Q295">
        <f t="shared" si="965"/>
        <v>-1259092431.8138337</v>
      </c>
      <c r="R295">
        <f t="shared" si="966"/>
        <v>75865763318.026855</v>
      </c>
      <c r="S295">
        <f t="shared" si="967"/>
        <v>758657.63318026857</v>
      </c>
      <c r="T295">
        <f t="shared" si="968"/>
        <v>758.65763318026859</v>
      </c>
    </row>
    <row r="296" spans="1:20" x14ac:dyDescent="0.25">
      <c r="A296" s="5">
        <v>44297</v>
      </c>
      <c r="B296">
        <v>0.14192099999999999</v>
      </c>
      <c r="C296">
        <v>0.14535899999999999</v>
      </c>
      <c r="D296">
        <v>0.130635</v>
      </c>
      <c r="E296">
        <v>0.13939399999999999</v>
      </c>
      <c r="F296">
        <v>2167364819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0.18975821787557684</v>
      </c>
      <c r="Q296">
        <f t="shared" si="965"/>
        <v>411275285.53966218</v>
      </c>
      <c r="R296">
        <f t="shared" si="966"/>
        <v>77124855749.840683</v>
      </c>
      <c r="S296">
        <f t="shared" si="967"/>
        <v>771248.55749840685</v>
      </c>
      <c r="T296">
        <f t="shared" si="968"/>
        <v>771.24855749840685</v>
      </c>
    </row>
    <row r="297" spans="1:20" x14ac:dyDescent="0.25">
      <c r="A297" s="5">
        <v>44296</v>
      </c>
      <c r="B297">
        <v>0.125975</v>
      </c>
      <c r="C297">
        <v>0.14779999999999999</v>
      </c>
      <c r="D297">
        <v>0.12468</v>
      </c>
      <c r="E297">
        <v>0.14192199999999999</v>
      </c>
      <c r="F297">
        <v>3636308723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0.49152249134948117</v>
      </c>
      <c r="Q297">
        <f t="shared" si="965"/>
        <v>1787327522.8448105</v>
      </c>
      <c r="R297">
        <f t="shared" si="966"/>
        <v>76713580464.301025</v>
      </c>
      <c r="S297">
        <f t="shared" si="967"/>
        <v>767135.80464301025</v>
      </c>
      <c r="T297">
        <f t="shared" si="968"/>
        <v>767.13580464301026</v>
      </c>
    </row>
    <row r="298" spans="1:20" x14ac:dyDescent="0.25">
      <c r="A298" s="5">
        <v>44295</v>
      </c>
      <c r="B298">
        <v>0.116745</v>
      </c>
      <c r="C298">
        <v>0.13422999999999999</v>
      </c>
      <c r="D298">
        <v>0.11600000000000001</v>
      </c>
      <c r="E298">
        <v>0.125996</v>
      </c>
      <c r="F298">
        <v>2766479383.5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9.6653867251782849E-2</v>
      </c>
      <c r="Q298">
        <f t="shared" si="965"/>
        <v>267390931.08760306</v>
      </c>
      <c r="R298">
        <f t="shared" si="966"/>
        <v>74926252941.456207</v>
      </c>
      <c r="S298">
        <f t="shared" si="967"/>
        <v>749262.52941456204</v>
      </c>
      <c r="T298">
        <f t="shared" si="968"/>
        <v>749.2625294145621</v>
      </c>
    </row>
    <row r="299" spans="1:20" x14ac:dyDescent="0.25">
      <c r="A299" s="5">
        <v>44294</v>
      </c>
      <c r="B299">
        <v>0.105998</v>
      </c>
      <c r="C299">
        <v>0.11799999999999999</v>
      </c>
      <c r="D299">
        <v>0.104855</v>
      </c>
      <c r="E299">
        <v>0.116636</v>
      </c>
      <c r="F299">
        <v>1406554919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0.79246861924686329</v>
      </c>
      <c r="Q299">
        <f t="shared" si="965"/>
        <v>1114650634.5548136</v>
      </c>
      <c r="R299">
        <f t="shared" si="966"/>
        <v>74658862010.368607</v>
      </c>
      <c r="S299">
        <f t="shared" si="967"/>
        <v>746588.62010368612</v>
      </c>
      <c r="T299">
        <f t="shared" si="968"/>
        <v>746.58862010368614</v>
      </c>
    </row>
    <row r="300" spans="1:20" x14ac:dyDescent="0.25">
      <c r="A300" s="5">
        <v>44293</v>
      </c>
      <c r="B300">
        <v>0.111833</v>
      </c>
      <c r="C300">
        <v>0.121</v>
      </c>
      <c r="D300">
        <v>9.8349000000000006E-2</v>
      </c>
      <c r="E300">
        <v>0.105908</v>
      </c>
      <c r="F300">
        <v>3179832228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-0.3325680985386959</v>
      </c>
      <c r="Q300">
        <f t="shared" si="965"/>
        <v>-1057510757.738025</v>
      </c>
      <c r="R300">
        <f t="shared" si="966"/>
        <v>73544211375.813797</v>
      </c>
      <c r="S300">
        <f t="shared" si="967"/>
        <v>735442.11375813792</v>
      </c>
      <c r="T300">
        <f t="shared" si="968"/>
        <v>735.44211375813791</v>
      </c>
    </row>
    <row r="301" spans="1:20" x14ac:dyDescent="0.25">
      <c r="A301" s="5">
        <v>44292</v>
      </c>
      <c r="B301">
        <v>0.102343</v>
      </c>
      <c r="C301">
        <v>0.11509999999999999</v>
      </c>
      <c r="D301">
        <v>9.9832000000000004E-2</v>
      </c>
      <c r="E301">
        <v>0.111808</v>
      </c>
      <c r="F301">
        <v>2638551028.8000002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0.5687712863505382</v>
      </c>
      <c r="Q301">
        <f t="shared" si="965"/>
        <v>1500732062.7521122</v>
      </c>
      <c r="R301">
        <f t="shared" si="966"/>
        <v>74601722133.551819</v>
      </c>
      <c r="S301">
        <f t="shared" si="967"/>
        <v>746017.22133551817</v>
      </c>
      <c r="T301">
        <f t="shared" si="968"/>
        <v>746.01722133551823</v>
      </c>
    </row>
    <row r="302" spans="1:20" x14ac:dyDescent="0.25">
      <c r="A302" s="5">
        <v>44291</v>
      </c>
      <c r="B302">
        <v>9.2448000000000002E-2</v>
      </c>
      <c r="C302">
        <v>0.107</v>
      </c>
      <c r="D302">
        <v>9.0314000000000005E-2</v>
      </c>
      <c r="E302">
        <v>0.102343</v>
      </c>
      <c r="F302">
        <v>2664521603.9000001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0.44180750329617685</v>
      </c>
      <c r="Q302">
        <f t="shared" si="965"/>
        <v>1177205637.2977836</v>
      </c>
      <c r="R302">
        <f t="shared" si="966"/>
        <v>73100990070.799713</v>
      </c>
      <c r="S302">
        <f t="shared" si="967"/>
        <v>731009.90070799715</v>
      </c>
      <c r="T302">
        <f t="shared" si="968"/>
        <v>731.00990070799719</v>
      </c>
    </row>
    <row r="303" spans="1:20" x14ac:dyDescent="0.25">
      <c r="A303" s="5">
        <v>44290</v>
      </c>
      <c r="B303">
        <v>8.7271000000000001E-2</v>
      </c>
      <c r="C303">
        <v>9.3060000000000004E-2</v>
      </c>
      <c r="D303">
        <v>8.6564000000000002E-2</v>
      </c>
      <c r="E303">
        <v>9.2423000000000005E-2</v>
      </c>
      <c r="F303">
        <v>875834576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0.80387931034482807</v>
      </c>
      <c r="Q303">
        <f t="shared" si="965"/>
        <v>704065294.93103492</v>
      </c>
      <c r="R303">
        <f t="shared" si="966"/>
        <v>71923784433.501923</v>
      </c>
      <c r="S303">
        <f t="shared" si="967"/>
        <v>719237.84433501924</v>
      </c>
      <c r="T303">
        <f t="shared" si="968"/>
        <v>719.23784433501919</v>
      </c>
    </row>
    <row r="304" spans="1:20" x14ac:dyDescent="0.25">
      <c r="A304" s="5">
        <v>44289</v>
      </c>
      <c r="B304">
        <v>9.3970999999999999E-2</v>
      </c>
      <c r="C304">
        <v>9.7222000000000003E-2</v>
      </c>
      <c r="D304">
        <v>8.7160000000000001E-2</v>
      </c>
      <c r="E304">
        <v>8.7306999999999996E-2</v>
      </c>
      <c r="F304">
        <v>1436829289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-0.97078115682766963</v>
      </c>
      <c r="Q304">
        <f t="shared" si="965"/>
        <v>-1394846799.339298</v>
      </c>
      <c r="R304">
        <f t="shared" si="966"/>
        <v>71219719138.570892</v>
      </c>
      <c r="S304">
        <f t="shared" si="967"/>
        <v>712197.19138570887</v>
      </c>
      <c r="T304">
        <f t="shared" si="968"/>
        <v>712.19719138570883</v>
      </c>
    </row>
    <row r="305" spans="1:20" x14ac:dyDescent="0.25">
      <c r="A305" s="5">
        <v>44288</v>
      </c>
      <c r="B305">
        <v>8.8054999999999994E-2</v>
      </c>
      <c r="C305">
        <v>9.5352999999999993E-2</v>
      </c>
      <c r="D305">
        <v>8.6337999999999998E-2</v>
      </c>
      <c r="E305">
        <v>9.4022999999999995E-2</v>
      </c>
      <c r="F305">
        <v>1501721382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0.70493621741541912</v>
      </c>
      <c r="Q305">
        <f t="shared" si="965"/>
        <v>1058617790.6389357</v>
      </c>
      <c r="R305">
        <f t="shared" si="966"/>
        <v>72614565937.910187</v>
      </c>
      <c r="S305">
        <f t="shared" si="967"/>
        <v>726145.65937910182</v>
      </c>
      <c r="T305">
        <f t="shared" si="968"/>
        <v>726.14565937910186</v>
      </c>
    </row>
    <row r="306" spans="1:20" x14ac:dyDescent="0.25">
      <c r="A306" s="5">
        <v>44287</v>
      </c>
      <c r="B306">
        <v>8.77E-2</v>
      </c>
      <c r="C306">
        <v>9.1615000000000002E-2</v>
      </c>
      <c r="D306">
        <v>8.6637000000000006E-2</v>
      </c>
      <c r="E306">
        <v>8.8055999999999995E-2</v>
      </c>
      <c r="F306">
        <v>1172267807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-0.42989152269988318</v>
      </c>
      <c r="Q306">
        <f t="shared" si="965"/>
        <v>-503947992.56328279</v>
      </c>
      <c r="R306">
        <f t="shared" si="966"/>
        <v>71555948147.271255</v>
      </c>
      <c r="S306">
        <f t="shared" si="967"/>
        <v>715559.48147271259</v>
      </c>
      <c r="T306">
        <f t="shared" si="968"/>
        <v>715.5594814727126</v>
      </c>
    </row>
    <row r="307" spans="1:20" x14ac:dyDescent="0.25">
      <c r="A307" s="5">
        <v>44286</v>
      </c>
      <c r="B307">
        <v>8.9358999999999994E-2</v>
      </c>
      <c r="C307">
        <v>8.9915999999999996E-2</v>
      </c>
      <c r="D307">
        <v>8.2500000000000004E-2</v>
      </c>
      <c r="E307">
        <v>8.7720999999999993E-2</v>
      </c>
      <c r="F307">
        <v>1438953157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0.4080366774541519</v>
      </c>
      <c r="Q307">
        <f t="shared" si="965"/>
        <v>587145665.19444263</v>
      </c>
      <c r="R307">
        <f t="shared" si="966"/>
        <v>72059896139.834534</v>
      </c>
      <c r="S307">
        <f t="shared" si="967"/>
        <v>720598.9613983453</v>
      </c>
      <c r="T307">
        <f t="shared" si="968"/>
        <v>720.5989613983453</v>
      </c>
    </row>
    <row r="308" spans="1:20" x14ac:dyDescent="0.25">
      <c r="A308" s="5">
        <v>44285</v>
      </c>
      <c r="B308">
        <v>9.1972999999999999E-2</v>
      </c>
      <c r="C308">
        <v>9.2200000000000004E-2</v>
      </c>
      <c r="D308">
        <v>8.8000999999999996E-2</v>
      </c>
      <c r="E308">
        <v>8.9330999999999994E-2</v>
      </c>
      <c r="F308">
        <v>1135239645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-0.36651583710407465</v>
      </c>
      <c r="Q308">
        <f t="shared" si="965"/>
        <v>-416083308.80090755</v>
      </c>
      <c r="R308">
        <f t="shared" si="966"/>
        <v>71472750474.640091</v>
      </c>
      <c r="S308">
        <f t="shared" si="967"/>
        <v>714727.50474640087</v>
      </c>
      <c r="T308">
        <f t="shared" si="968"/>
        <v>714.72750474640088</v>
      </c>
    </row>
    <row r="309" spans="1:20" x14ac:dyDescent="0.25">
      <c r="A309" s="5">
        <v>44284</v>
      </c>
      <c r="B309">
        <v>9.0732999999999994E-2</v>
      </c>
      <c r="C309">
        <v>9.3438999999999994E-2</v>
      </c>
      <c r="D309">
        <v>8.8400000000000006E-2</v>
      </c>
      <c r="E309">
        <v>9.2003000000000001E-2</v>
      </c>
      <c r="F309">
        <v>1080630280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0.43004564397698103</v>
      </c>
      <c r="Q309">
        <f t="shared" si="965"/>
        <v>464720344.6636253</v>
      </c>
      <c r="R309">
        <f t="shared" si="966"/>
        <v>71888833783.440994</v>
      </c>
      <c r="S309">
        <f t="shared" si="967"/>
        <v>718888.3378344099</v>
      </c>
      <c r="T309">
        <f t="shared" si="968"/>
        <v>718.88833783440987</v>
      </c>
    </row>
    <row r="310" spans="1:20" x14ac:dyDescent="0.25">
      <c r="A310" s="5">
        <v>44283</v>
      </c>
      <c r="B310">
        <v>8.8441000000000006E-2</v>
      </c>
      <c r="C310">
        <v>9.3867000000000006E-2</v>
      </c>
      <c r="D310">
        <v>8.7999999999999995E-2</v>
      </c>
      <c r="E310">
        <v>9.0732999999999994E-2</v>
      </c>
      <c r="F310">
        <v>1178874257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-6.8348389296064724E-2</v>
      </c>
      <c r="Q310">
        <f t="shared" si="965"/>
        <v>-80574156.648545057</v>
      </c>
      <c r="R310">
        <f t="shared" si="966"/>
        <v>71424113438.777374</v>
      </c>
      <c r="S310">
        <f t="shared" si="967"/>
        <v>714241.13438777369</v>
      </c>
      <c r="T310">
        <f t="shared" si="968"/>
        <v>714.24113438777374</v>
      </c>
    </row>
    <row r="311" spans="1:20" x14ac:dyDescent="0.25">
      <c r="A311" s="5">
        <v>44282</v>
      </c>
      <c r="B311">
        <v>8.9899999999999994E-2</v>
      </c>
      <c r="C311">
        <v>9.6834000000000003E-2</v>
      </c>
      <c r="D311">
        <v>8.8289000000000006E-2</v>
      </c>
      <c r="E311">
        <v>8.8444999999999996E-2</v>
      </c>
      <c r="F311">
        <v>1901888456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-0.96348741954359518</v>
      </c>
      <c r="Q311">
        <f t="shared" si="965"/>
        <v>-1832445600.7311924</v>
      </c>
      <c r="R311">
        <f t="shared" si="966"/>
        <v>71504687595.425919</v>
      </c>
      <c r="S311">
        <f t="shared" si="967"/>
        <v>715046.87595425919</v>
      </c>
      <c r="T311">
        <f t="shared" si="968"/>
        <v>715.04687595425924</v>
      </c>
    </row>
    <row r="312" spans="1:20" x14ac:dyDescent="0.25">
      <c r="A312" s="5">
        <v>44281</v>
      </c>
      <c r="B312">
        <v>8.0762E-2</v>
      </c>
      <c r="C312">
        <v>9.0841000000000005E-2</v>
      </c>
      <c r="D312">
        <v>8.0612000000000003E-2</v>
      </c>
      <c r="E312">
        <v>9.0047000000000002E-2</v>
      </c>
      <c r="F312">
        <v>1639475715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0.84475510802619946</v>
      </c>
      <c r="Q312">
        <f t="shared" si="965"/>
        <v>1384955484.7311556</v>
      </c>
      <c r="R312">
        <f t="shared" si="966"/>
        <v>73337133196.157104</v>
      </c>
      <c r="S312">
        <f t="shared" si="967"/>
        <v>733371.33196157101</v>
      </c>
      <c r="T312">
        <f t="shared" si="968"/>
        <v>733.37133196157106</v>
      </c>
    </row>
    <row r="313" spans="1:20" x14ac:dyDescent="0.25">
      <c r="A313" s="5">
        <v>44280</v>
      </c>
      <c r="B313">
        <v>8.4639000000000006E-2</v>
      </c>
      <c r="C313">
        <v>8.6499999999999994E-2</v>
      </c>
      <c r="D313">
        <v>7.6050999999999994E-2</v>
      </c>
      <c r="E313">
        <v>8.0762E-2</v>
      </c>
      <c r="F313">
        <v>2812816249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-9.8286917408363123E-2</v>
      </c>
      <c r="Q313">
        <f t="shared" si="965"/>
        <v>-276463038.35036474</v>
      </c>
      <c r="R313">
        <f t="shared" si="966"/>
        <v>71952177711.425949</v>
      </c>
      <c r="S313">
        <f t="shared" si="967"/>
        <v>719521.77711425954</v>
      </c>
      <c r="T313">
        <f t="shared" si="968"/>
        <v>719.52177711425952</v>
      </c>
    </row>
    <row r="314" spans="1:20" x14ac:dyDescent="0.25">
      <c r="A314" s="5">
        <v>44279</v>
      </c>
      <c r="B314">
        <v>8.3025000000000002E-2</v>
      </c>
      <c r="C314">
        <v>9.5634999999999998E-2</v>
      </c>
      <c r="D314">
        <v>8.1000000000000003E-2</v>
      </c>
      <c r="E314">
        <v>8.4599999999999995E-2</v>
      </c>
      <c r="F314">
        <v>3209103177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-0.50802869832593189</v>
      </c>
      <c r="Q314">
        <f t="shared" si="965"/>
        <v>-1630316509.8049226</v>
      </c>
      <c r="R314">
        <f t="shared" si="966"/>
        <v>72228640749.776321</v>
      </c>
      <c r="S314">
        <f t="shared" si="967"/>
        <v>722286.40749776317</v>
      </c>
      <c r="T314">
        <f t="shared" si="968"/>
        <v>722.28640749776321</v>
      </c>
    </row>
    <row r="315" spans="1:20" x14ac:dyDescent="0.25">
      <c r="A315" s="5">
        <v>44278</v>
      </c>
      <c r="B315">
        <v>8.8370000000000004E-2</v>
      </c>
      <c r="C315">
        <v>9.0976000000000001E-2</v>
      </c>
      <c r="D315">
        <v>7.9071000000000002E-2</v>
      </c>
      <c r="E315">
        <v>8.3028000000000005E-2</v>
      </c>
      <c r="F315">
        <v>2698577971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-0.33523729525409451</v>
      </c>
      <c r="Q315">
        <f t="shared" si="965"/>
        <v>-904663980.03032231</v>
      </c>
      <c r="R315">
        <f t="shared" si="966"/>
        <v>73858957259.581238</v>
      </c>
      <c r="S315">
        <f t="shared" si="967"/>
        <v>738589.57259581238</v>
      </c>
      <c r="T315">
        <f t="shared" si="968"/>
        <v>738.58957259581234</v>
      </c>
    </row>
    <row r="316" spans="1:20" x14ac:dyDescent="0.25">
      <c r="A316" s="5">
        <v>44277</v>
      </c>
      <c r="B316">
        <v>9.3711000000000003E-2</v>
      </c>
      <c r="C316">
        <v>9.8977999999999997E-2</v>
      </c>
      <c r="D316">
        <v>8.3699999999999997E-2</v>
      </c>
      <c r="E316">
        <v>8.8369000000000003E-2</v>
      </c>
      <c r="F316">
        <v>3222994473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-0.38879434480952918</v>
      </c>
      <c r="Q316">
        <f t="shared" si="965"/>
        <v>-1253082024.4547689</v>
      </c>
      <c r="R316">
        <f t="shared" si="966"/>
        <v>74763621239.611557</v>
      </c>
      <c r="S316">
        <f t="shared" si="967"/>
        <v>747636.21239611553</v>
      </c>
      <c r="T316">
        <f t="shared" si="968"/>
        <v>747.63621239611552</v>
      </c>
    </row>
    <row r="317" spans="1:20" x14ac:dyDescent="0.25">
      <c r="A317" s="5">
        <v>44276</v>
      </c>
      <c r="B317">
        <v>8.9504E-2</v>
      </c>
      <c r="C317">
        <v>9.5200000000000007E-2</v>
      </c>
      <c r="D317">
        <v>8.72E-2</v>
      </c>
      <c r="E317">
        <v>9.3801999999999996E-2</v>
      </c>
      <c r="F317">
        <v>2658153928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0.65049999999999775</v>
      </c>
      <c r="Q317">
        <f t="shared" si="965"/>
        <v>1729129130.1639941</v>
      </c>
      <c r="R317">
        <f t="shared" si="966"/>
        <v>76016703264.06633</v>
      </c>
      <c r="S317">
        <f t="shared" si="967"/>
        <v>760167.03264066332</v>
      </c>
      <c r="T317">
        <f t="shared" si="968"/>
        <v>760.16703264066336</v>
      </c>
    </row>
    <row r="318" spans="1:20" x14ac:dyDescent="0.25">
      <c r="A318" s="5">
        <v>44275</v>
      </c>
      <c r="B318">
        <v>8.0828999999999998E-2</v>
      </c>
      <c r="C318">
        <v>9.4313999999999995E-2</v>
      </c>
      <c r="D318">
        <v>8.0542000000000002E-2</v>
      </c>
      <c r="E318">
        <v>8.9496000000000006E-2</v>
      </c>
      <c r="F318">
        <v>2902587092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0.30031948881789261</v>
      </c>
      <c r="Q318">
        <f t="shared" si="965"/>
        <v>871703471.71885347</v>
      </c>
      <c r="R318">
        <f t="shared" si="966"/>
        <v>74287574133.902328</v>
      </c>
      <c r="S318">
        <f t="shared" si="967"/>
        <v>742875.74133902334</v>
      </c>
      <c r="T318">
        <f t="shared" si="968"/>
        <v>742.87574133902331</v>
      </c>
    </row>
    <row r="319" spans="1:20" x14ac:dyDescent="0.25">
      <c r="A319" s="5">
        <v>44274</v>
      </c>
      <c r="B319">
        <v>7.7504000000000003E-2</v>
      </c>
      <c r="C319">
        <v>8.5879999999999998E-2</v>
      </c>
      <c r="D319">
        <v>7.5399999999999995E-2</v>
      </c>
      <c r="E319">
        <v>8.0765000000000003E-2</v>
      </c>
      <c r="F319">
        <v>1682620697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2.3854961832062406E-2</v>
      </c>
      <c r="Q319">
        <f t="shared" si="965"/>
        <v>40138852.504773244</v>
      </c>
      <c r="R319">
        <f t="shared" si="966"/>
        <v>73415870662.183472</v>
      </c>
      <c r="S319">
        <f t="shared" si="967"/>
        <v>734158.70662183466</v>
      </c>
      <c r="T319">
        <f t="shared" si="968"/>
        <v>734.15870662183465</v>
      </c>
    </row>
    <row r="320" spans="1:20" x14ac:dyDescent="0.25">
      <c r="A320" s="5">
        <v>44273</v>
      </c>
      <c r="B320">
        <v>7.6673000000000005E-2</v>
      </c>
      <c r="C320">
        <v>8.2827999999999999E-2</v>
      </c>
      <c r="D320">
        <v>7.6220999999999997E-2</v>
      </c>
      <c r="E320">
        <v>7.7475000000000002E-2</v>
      </c>
      <c r="F320">
        <v>1867030626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-0.62040260329952934</v>
      </c>
      <c r="Q320">
        <f t="shared" si="965"/>
        <v>-1158310660.8103499</v>
      </c>
      <c r="R320">
        <f t="shared" si="966"/>
        <v>73375731809.678696</v>
      </c>
      <c r="S320">
        <f t="shared" si="967"/>
        <v>733757.31809678697</v>
      </c>
      <c r="T320">
        <f t="shared" si="968"/>
        <v>733.757318096787</v>
      </c>
    </row>
    <row r="321" spans="1:20" x14ac:dyDescent="0.25">
      <c r="A321" s="5">
        <v>44272</v>
      </c>
      <c r="B321">
        <v>7.4411000000000005E-2</v>
      </c>
      <c r="C321">
        <v>7.7719999999999997E-2</v>
      </c>
      <c r="D321">
        <v>7.1230000000000002E-2</v>
      </c>
      <c r="E321">
        <v>7.6673000000000005E-2</v>
      </c>
      <c r="F321">
        <v>1839838904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0.67734976887519471</v>
      </c>
      <c r="Q321">
        <f t="shared" si="965"/>
        <v>1246214456.3919916</v>
      </c>
      <c r="R321">
        <f t="shared" si="966"/>
        <v>74534042470.489044</v>
      </c>
      <c r="S321">
        <f t="shared" si="967"/>
        <v>745340.42470489047</v>
      </c>
      <c r="T321">
        <f t="shared" si="968"/>
        <v>745.34042470489044</v>
      </c>
    </row>
    <row r="322" spans="1:20" x14ac:dyDescent="0.25">
      <c r="A322" s="5">
        <v>44271</v>
      </c>
      <c r="B322">
        <v>7.8880000000000006E-2</v>
      </c>
      <c r="C322">
        <v>8.3230999999999999E-2</v>
      </c>
      <c r="D322">
        <v>6.9800000000000001E-2</v>
      </c>
      <c r="E322">
        <v>7.4411000000000005E-2</v>
      </c>
      <c r="F322">
        <v>3188484688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-0.31337949519767633</v>
      </c>
      <c r="Q322">
        <f t="shared" si="965"/>
        <v>-999205721.9709605</v>
      </c>
      <c r="R322">
        <f t="shared" si="966"/>
        <v>73287828014.097046</v>
      </c>
      <c r="S322">
        <f t="shared" si="967"/>
        <v>732878.28014097048</v>
      </c>
      <c r="T322">
        <f t="shared" si="968"/>
        <v>732.87828014097045</v>
      </c>
    </row>
    <row r="323" spans="1:20" x14ac:dyDescent="0.25">
      <c r="A323" s="5">
        <v>44270</v>
      </c>
      <c r="B323">
        <v>6.6171999999999995E-2</v>
      </c>
      <c r="C323">
        <v>8.3571000000000006E-2</v>
      </c>
      <c r="D323">
        <v>6.5629999999999994E-2</v>
      </c>
      <c r="E323">
        <v>7.8900999999999999E-2</v>
      </c>
      <c r="F323">
        <v>5114029262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0.47940471545621716</v>
      </c>
      <c r="Q323">
        <f t="shared" si="965"/>
        <v>2451689743.1838784</v>
      </c>
      <c r="R323">
        <f t="shared" si="966"/>
        <v>74287033736.068008</v>
      </c>
      <c r="S323">
        <f t="shared" si="967"/>
        <v>742870.3373606801</v>
      </c>
      <c r="T323">
        <f t="shared" si="968"/>
        <v>742.87033736068008</v>
      </c>
    </row>
    <row r="324" spans="1:20" x14ac:dyDescent="0.25">
      <c r="A324" s="5">
        <v>44269</v>
      </c>
      <c r="B324">
        <v>6.7523E-2</v>
      </c>
      <c r="C324">
        <v>6.8676000000000001E-2</v>
      </c>
      <c r="D324">
        <v>6.4440999999999998E-2</v>
      </c>
      <c r="E324">
        <v>6.6073999999999994E-2</v>
      </c>
      <c r="F324">
        <v>1273396599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-0.22880755608028594</v>
      </c>
      <c r="Q324">
        <f t="shared" si="965"/>
        <v>-291362763.7381379</v>
      </c>
      <c r="R324">
        <f t="shared" si="966"/>
        <v>71835343992.884125</v>
      </c>
      <c r="S324">
        <f t="shared" si="967"/>
        <v>718353.4399288412</v>
      </c>
      <c r="T324">
        <f t="shared" si="968"/>
        <v>718.35343992884123</v>
      </c>
    </row>
    <row r="325" spans="1:20" x14ac:dyDescent="0.25">
      <c r="A325" s="5">
        <v>44268</v>
      </c>
      <c r="B325">
        <v>6.5605999999999998E-2</v>
      </c>
      <c r="C325">
        <v>7.0169999999999996E-2</v>
      </c>
      <c r="D325">
        <v>6.1769999999999999E-2</v>
      </c>
      <c r="E325">
        <v>6.7523E-2</v>
      </c>
      <c r="F325">
        <v>1690148782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0.3697619047619054</v>
      </c>
      <c r="Q325">
        <f t="shared" si="965"/>
        <v>624952632.96333444</v>
      </c>
      <c r="R325">
        <f t="shared" si="966"/>
        <v>72126706756.622269</v>
      </c>
      <c r="S325">
        <f t="shared" si="967"/>
        <v>721267.06756622274</v>
      </c>
      <c r="T325">
        <f t="shared" si="968"/>
        <v>721.26706756622275</v>
      </c>
    </row>
    <row r="326" spans="1:20" x14ac:dyDescent="0.25">
      <c r="A326" s="5">
        <v>44267</v>
      </c>
      <c r="B326">
        <v>6.7264000000000004E-2</v>
      </c>
      <c r="C326">
        <v>7.2499999999999995E-2</v>
      </c>
      <c r="D326">
        <v>6.3621999999999998E-2</v>
      </c>
      <c r="E326">
        <v>6.5551999999999999E-2</v>
      </c>
      <c r="F326">
        <v>2784846915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-0.56521739130434745</v>
      </c>
      <c r="Q326">
        <f t="shared" ref="Q326:Q389" si="970">F326*P326</f>
        <v>-1574043908.4782598</v>
      </c>
      <c r="R326">
        <f t="shared" ref="R326:R389" si="971">R327+Q326</f>
        <v>71501754123.658936</v>
      </c>
      <c r="S326">
        <f t="shared" ref="S326:S389" si="972">R326/100000</f>
        <v>715017.54123658931</v>
      </c>
      <c r="T326">
        <f t="shared" ref="T326:T389" si="973">S326/1000</f>
        <v>715.0175412365893</v>
      </c>
    </row>
    <row r="327" spans="1:20" x14ac:dyDescent="0.25">
      <c r="A327" s="5">
        <v>44266</v>
      </c>
      <c r="B327">
        <v>6.1325999999999999E-2</v>
      </c>
      <c r="C327">
        <v>6.9863999999999996E-2</v>
      </c>
      <c r="D327">
        <v>5.8151000000000001E-2</v>
      </c>
      <c r="E327">
        <v>6.7237000000000005E-2</v>
      </c>
      <c r="F327">
        <v>2384764259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0.55143857252625428</v>
      </c>
      <c r="Q327">
        <f t="shared" si="970"/>
        <v>1315050998.7945905</v>
      </c>
      <c r="R327">
        <f t="shared" si="971"/>
        <v>73075798032.137192</v>
      </c>
      <c r="S327">
        <f t="shared" si="972"/>
        <v>730757.98032137193</v>
      </c>
      <c r="T327">
        <f t="shared" si="973"/>
        <v>730.75798032137197</v>
      </c>
    </row>
    <row r="328" spans="1:20" x14ac:dyDescent="0.25">
      <c r="A328" s="5">
        <v>44265</v>
      </c>
      <c r="B328">
        <v>6.4445000000000002E-2</v>
      </c>
      <c r="C328">
        <v>6.5360000000000001E-2</v>
      </c>
      <c r="D328">
        <v>6.0287E-2</v>
      </c>
      <c r="E328">
        <v>6.1343000000000002E-2</v>
      </c>
      <c r="F328">
        <v>1778041268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-0.58367829686575945</v>
      </c>
      <c r="Q328">
        <f t="shared" si="970"/>
        <v>-1037804099.0632753</v>
      </c>
      <c r="R328">
        <f t="shared" si="971"/>
        <v>71760747033.342606</v>
      </c>
      <c r="S328">
        <f t="shared" si="972"/>
        <v>717607.47033342603</v>
      </c>
      <c r="T328">
        <f t="shared" si="973"/>
        <v>717.60747033342602</v>
      </c>
    </row>
    <row r="329" spans="1:20" x14ac:dyDescent="0.25">
      <c r="A329" s="5">
        <v>44264</v>
      </c>
      <c r="B329">
        <v>6.5349000000000004E-2</v>
      </c>
      <c r="C329">
        <v>6.7900000000000002E-2</v>
      </c>
      <c r="D329">
        <v>6.2052999999999997E-2</v>
      </c>
      <c r="E329">
        <v>6.4429E-2</v>
      </c>
      <c r="F329">
        <v>2521318158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-0.18727552591072308</v>
      </c>
      <c r="Q329">
        <f t="shared" si="970"/>
        <v>-472181184.02770561</v>
      </c>
      <c r="R329">
        <f t="shared" si="971"/>
        <v>72798551132.405884</v>
      </c>
      <c r="S329">
        <f t="shared" si="972"/>
        <v>727985.51132405887</v>
      </c>
      <c r="T329">
        <f t="shared" si="973"/>
        <v>727.98551132405885</v>
      </c>
    </row>
    <row r="330" spans="1:20" x14ac:dyDescent="0.25">
      <c r="A330" s="5">
        <v>44263</v>
      </c>
      <c r="B330">
        <v>5.6668999999999997E-2</v>
      </c>
      <c r="C330">
        <v>6.6223000000000004E-2</v>
      </c>
      <c r="D330">
        <v>5.5500000000000001E-2</v>
      </c>
      <c r="E330">
        <v>6.5315999999999999E-2</v>
      </c>
      <c r="F330">
        <v>3421060528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0.83083092418166471</v>
      </c>
      <c r="Q330">
        <f t="shared" si="970"/>
        <v>2842322880.1596537</v>
      </c>
      <c r="R330">
        <f t="shared" si="971"/>
        <v>73270732316.433594</v>
      </c>
      <c r="S330">
        <f t="shared" si="972"/>
        <v>732707.32316433592</v>
      </c>
      <c r="T330">
        <f t="shared" si="973"/>
        <v>732.70732316433589</v>
      </c>
    </row>
    <row r="331" spans="1:20" x14ac:dyDescent="0.25">
      <c r="A331" s="5">
        <v>44262</v>
      </c>
      <c r="B331">
        <v>5.3272E-2</v>
      </c>
      <c r="C331">
        <v>5.9984000000000003E-2</v>
      </c>
      <c r="D331">
        <v>5.3272E-2</v>
      </c>
      <c r="E331">
        <v>5.6669999999999998E-2</v>
      </c>
      <c r="F331">
        <v>3326098599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1.2514898688914446E-2</v>
      </c>
      <c r="Q331">
        <f t="shared" si="970"/>
        <v>41625786.995825276</v>
      </c>
      <c r="R331">
        <f t="shared" si="971"/>
        <v>70428409436.273941</v>
      </c>
      <c r="S331">
        <f t="shared" si="972"/>
        <v>704284.09436273936</v>
      </c>
      <c r="T331">
        <f t="shared" si="973"/>
        <v>704.28409436273932</v>
      </c>
    </row>
    <row r="332" spans="1:20" x14ac:dyDescent="0.25">
      <c r="A332" s="5">
        <v>44261</v>
      </c>
      <c r="B332">
        <v>5.1997000000000002E-2</v>
      </c>
      <c r="C332">
        <v>5.4655000000000002E-2</v>
      </c>
      <c r="D332">
        <v>4.9433999999999999E-2</v>
      </c>
      <c r="E332">
        <v>5.3272E-2</v>
      </c>
      <c r="F332">
        <v>1641413521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0.47021643363340304</v>
      </c>
      <c r="Q332">
        <f t="shared" si="970"/>
        <v>771819611.96226692</v>
      </c>
      <c r="R332">
        <f t="shared" si="971"/>
        <v>70386783649.278122</v>
      </c>
      <c r="S332">
        <f t="shared" si="972"/>
        <v>703867.83649278118</v>
      </c>
      <c r="T332">
        <f t="shared" si="973"/>
        <v>703.86783649278118</v>
      </c>
    </row>
    <row r="333" spans="1:20" x14ac:dyDescent="0.25">
      <c r="A333" s="5">
        <v>44260</v>
      </c>
      <c r="B333">
        <v>5.0342999999999999E-2</v>
      </c>
      <c r="C333">
        <v>5.3499999999999999E-2</v>
      </c>
      <c r="D333">
        <v>4.6022E-2</v>
      </c>
      <c r="E333">
        <v>5.2010000000000001E-2</v>
      </c>
      <c r="F333">
        <v>1992603255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0.60149772666488399</v>
      </c>
      <c r="Q333">
        <f t="shared" si="970"/>
        <v>1198546328.0275481</v>
      </c>
      <c r="R333">
        <f t="shared" si="971"/>
        <v>69614964037.315857</v>
      </c>
      <c r="S333">
        <f t="shared" si="972"/>
        <v>696149.64037315862</v>
      </c>
      <c r="T333">
        <f t="shared" si="973"/>
        <v>696.1496403731586</v>
      </c>
    </row>
    <row r="334" spans="1:20" x14ac:dyDescent="0.25">
      <c r="A334" s="5">
        <v>44259</v>
      </c>
      <c r="B334">
        <v>5.2864000000000001E-2</v>
      </c>
      <c r="C334">
        <v>5.5053999999999999E-2</v>
      </c>
      <c r="D334">
        <v>4.6970999999999999E-2</v>
      </c>
      <c r="E334">
        <v>5.0284000000000002E-2</v>
      </c>
      <c r="F334">
        <v>2738037472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-0.18025485587034432</v>
      </c>
      <c r="Q334">
        <f t="shared" si="970"/>
        <v>-493544549.88296193</v>
      </c>
      <c r="R334">
        <f t="shared" si="971"/>
        <v>68416417709.288315</v>
      </c>
      <c r="S334">
        <f t="shared" si="972"/>
        <v>684164.17709288315</v>
      </c>
      <c r="T334">
        <f t="shared" si="973"/>
        <v>684.16417709288316</v>
      </c>
    </row>
    <row r="335" spans="1:20" x14ac:dyDescent="0.25">
      <c r="A335" s="5">
        <v>44258</v>
      </c>
      <c r="B335">
        <v>4.3852000000000002E-2</v>
      </c>
      <c r="C335">
        <v>5.4538999999999997E-2</v>
      </c>
      <c r="D335">
        <v>4.3154999999999999E-2</v>
      </c>
      <c r="E335">
        <v>5.2864000000000001E-2</v>
      </c>
      <c r="F335">
        <v>2566563492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0.70572733661279052</v>
      </c>
      <c r="Q335">
        <f t="shared" si="970"/>
        <v>1811294017.4567831</v>
      </c>
      <c r="R335">
        <f t="shared" si="971"/>
        <v>68909962259.17128</v>
      </c>
      <c r="S335">
        <f t="shared" si="972"/>
        <v>689099.62259171274</v>
      </c>
      <c r="T335">
        <f t="shared" si="973"/>
        <v>689.09962259171277</v>
      </c>
    </row>
    <row r="336" spans="1:20" x14ac:dyDescent="0.25">
      <c r="A336" s="5">
        <v>44257</v>
      </c>
      <c r="B336">
        <v>4.5727999999999998E-2</v>
      </c>
      <c r="C336">
        <v>4.6597E-2</v>
      </c>
      <c r="D336">
        <v>4.1456E-2</v>
      </c>
      <c r="E336">
        <v>4.3803000000000002E-2</v>
      </c>
      <c r="F336">
        <v>1322787130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-8.694806457887494E-2</v>
      </c>
      <c r="Q336">
        <f t="shared" si="970"/>
        <v>-115013780.80334464</v>
      </c>
      <c r="R336">
        <f t="shared" si="971"/>
        <v>67098668241.714493</v>
      </c>
      <c r="S336">
        <f t="shared" si="972"/>
        <v>670986.68241714488</v>
      </c>
      <c r="T336">
        <f t="shared" si="973"/>
        <v>670.98668241714483</v>
      </c>
    </row>
    <row r="337" spans="1:20" x14ac:dyDescent="0.25">
      <c r="A337" s="5">
        <v>44256</v>
      </c>
      <c r="B337">
        <v>3.9734999999999999E-2</v>
      </c>
      <c r="C337">
        <v>4.5749999999999999E-2</v>
      </c>
      <c r="D337">
        <v>3.9419999999999997E-2</v>
      </c>
      <c r="E337">
        <v>4.5728999999999999E-2</v>
      </c>
      <c r="F337">
        <v>1374731081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0.99336492890995254</v>
      </c>
      <c r="Q337">
        <f t="shared" si="970"/>
        <v>1365609642.5478673</v>
      </c>
      <c r="R337">
        <f t="shared" si="971"/>
        <v>67213682022.517838</v>
      </c>
      <c r="S337">
        <f t="shared" si="972"/>
        <v>672136.82022517838</v>
      </c>
      <c r="T337">
        <f t="shared" si="973"/>
        <v>672.13682022517833</v>
      </c>
    </row>
    <row r="338" spans="1:20" x14ac:dyDescent="0.25">
      <c r="A338" s="5">
        <v>44255</v>
      </c>
      <c r="B338">
        <v>4.0812000000000001E-2</v>
      </c>
      <c r="C338">
        <v>4.1190999999999998E-2</v>
      </c>
      <c r="D338">
        <v>3.6325000000000003E-2</v>
      </c>
      <c r="E338">
        <v>3.9734999999999999E-2</v>
      </c>
      <c r="F338">
        <v>1466973279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0.40156185778873804</v>
      </c>
      <c r="Q338">
        <f t="shared" si="970"/>
        <v>589080515.24167669</v>
      </c>
      <c r="R338">
        <f t="shared" si="971"/>
        <v>65848072379.969971</v>
      </c>
      <c r="S338">
        <f t="shared" si="972"/>
        <v>658480.72379969968</v>
      </c>
      <c r="T338">
        <f t="shared" si="973"/>
        <v>658.48072379969972</v>
      </c>
    </row>
    <row r="339" spans="1:20" x14ac:dyDescent="0.25">
      <c r="A339" s="5">
        <v>44254</v>
      </c>
      <c r="B339">
        <v>3.9523999999999997E-2</v>
      </c>
      <c r="C339">
        <v>4.2599999999999999E-2</v>
      </c>
      <c r="D339">
        <v>3.9523999999999997E-2</v>
      </c>
      <c r="E339">
        <v>4.0821999999999997E-2</v>
      </c>
      <c r="F339">
        <v>1594789721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-0.15604681404421356</v>
      </c>
      <c r="Q339">
        <f t="shared" si="970"/>
        <v>-248861855.03251022</v>
      </c>
      <c r="R339">
        <f t="shared" si="971"/>
        <v>65258991864.728294</v>
      </c>
      <c r="S339">
        <f t="shared" si="972"/>
        <v>652589.91864728299</v>
      </c>
      <c r="T339">
        <f t="shared" si="973"/>
        <v>652.58991864728296</v>
      </c>
    </row>
    <row r="340" spans="1:20" x14ac:dyDescent="0.25">
      <c r="A340" s="5">
        <v>44253</v>
      </c>
      <c r="B340">
        <v>3.9342000000000002E-2</v>
      </c>
      <c r="C340">
        <v>4.2999999999999997E-2</v>
      </c>
      <c r="D340">
        <v>3.6471999999999997E-2</v>
      </c>
      <c r="E340">
        <v>3.9453000000000002E-2</v>
      </c>
      <c r="F340">
        <v>2352543225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-8.6703431372547518E-2</v>
      </c>
      <c r="Q340">
        <f t="shared" si="970"/>
        <v>-203973570.05973911</v>
      </c>
      <c r="R340">
        <f t="shared" si="971"/>
        <v>65507853719.760803</v>
      </c>
      <c r="S340">
        <f t="shared" si="972"/>
        <v>655078.53719760804</v>
      </c>
      <c r="T340">
        <f t="shared" si="973"/>
        <v>655.07853719760806</v>
      </c>
    </row>
    <row r="341" spans="1:20" x14ac:dyDescent="0.25">
      <c r="A341" s="5">
        <v>44252</v>
      </c>
      <c r="B341">
        <v>4.2788E-2</v>
      </c>
      <c r="C341">
        <v>4.4719000000000002E-2</v>
      </c>
      <c r="D341">
        <v>3.8885000000000003E-2</v>
      </c>
      <c r="E341">
        <v>3.9342000000000002E-2</v>
      </c>
      <c r="F341">
        <v>1789995379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-0.8433321906067881</v>
      </c>
      <c r="Q341">
        <f t="shared" si="970"/>
        <v>-1509560724.148098</v>
      </c>
      <c r="R341">
        <f t="shared" si="971"/>
        <v>65711827289.820541</v>
      </c>
      <c r="S341">
        <f t="shared" si="972"/>
        <v>657118.27289820544</v>
      </c>
      <c r="T341">
        <f t="shared" si="973"/>
        <v>657.11827289820542</v>
      </c>
    </row>
    <row r="342" spans="1:20" x14ac:dyDescent="0.25">
      <c r="A342" s="5">
        <v>44251</v>
      </c>
      <c r="B342">
        <v>4.2167999999999997E-2</v>
      </c>
      <c r="C342">
        <v>4.6577E-2</v>
      </c>
      <c r="D342">
        <v>3.9703000000000002E-2</v>
      </c>
      <c r="E342">
        <v>4.2694000000000003E-2</v>
      </c>
      <c r="F342">
        <v>2495450803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-0.12976432935699697</v>
      </c>
      <c r="Q342">
        <f t="shared" si="970"/>
        <v>-323820499.89467454</v>
      </c>
      <c r="R342">
        <f t="shared" si="971"/>
        <v>67221388013.968643</v>
      </c>
      <c r="S342">
        <f t="shared" si="972"/>
        <v>672213.8801396864</v>
      </c>
      <c r="T342">
        <f t="shared" si="973"/>
        <v>672.21388013968635</v>
      </c>
    </row>
    <row r="343" spans="1:20" x14ac:dyDescent="0.25">
      <c r="A343" s="5">
        <v>44250</v>
      </c>
      <c r="B343">
        <v>5.0192000000000001E-2</v>
      </c>
      <c r="C343">
        <v>5.0437999999999997E-2</v>
      </c>
      <c r="D343">
        <v>3.4691E-2</v>
      </c>
      <c r="E343">
        <v>4.2223999999999998E-2</v>
      </c>
      <c r="F343">
        <v>5591892963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-4.3246332634787651E-2</v>
      </c>
      <c r="Q343">
        <f t="shared" si="970"/>
        <v>-241828863.13602632</v>
      </c>
      <c r="R343">
        <f t="shared" si="971"/>
        <v>67545208513.863319</v>
      </c>
      <c r="S343">
        <f t="shared" si="972"/>
        <v>675452.08513863315</v>
      </c>
      <c r="T343">
        <f t="shared" si="973"/>
        <v>675.45208513863315</v>
      </c>
    </row>
    <row r="344" spans="1:20" x14ac:dyDescent="0.25">
      <c r="A344" s="5">
        <v>44249</v>
      </c>
      <c r="B344">
        <v>5.4789999999999998E-2</v>
      </c>
      <c r="C344">
        <v>5.4975000000000003E-2</v>
      </c>
      <c r="D344">
        <v>0.04</v>
      </c>
      <c r="E344">
        <v>5.0146999999999997E-2</v>
      </c>
      <c r="F344">
        <v>3763040809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0.35519198664440665</v>
      </c>
      <c r="Q344">
        <f t="shared" si="970"/>
        <v>1336601940.7726853</v>
      </c>
      <c r="R344">
        <f t="shared" si="971"/>
        <v>67787037376.999344</v>
      </c>
      <c r="S344">
        <f t="shared" si="972"/>
        <v>677870.37376999343</v>
      </c>
      <c r="T344">
        <f t="shared" si="973"/>
        <v>677.87037376999342</v>
      </c>
    </row>
    <row r="345" spans="1:20" x14ac:dyDescent="0.25">
      <c r="A345" s="5">
        <v>44248</v>
      </c>
      <c r="B345">
        <v>5.3525000000000003E-2</v>
      </c>
      <c r="C345">
        <v>5.6326000000000001E-2</v>
      </c>
      <c r="D345">
        <v>5.2040999999999997E-2</v>
      </c>
      <c r="E345">
        <v>5.4826E-2</v>
      </c>
      <c r="F345">
        <v>2032014595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0.29988331388564765</v>
      </c>
      <c r="Q345">
        <f t="shared" si="970"/>
        <v>609367270.61260223</v>
      </c>
      <c r="R345">
        <f t="shared" si="971"/>
        <v>66450435436.226662</v>
      </c>
      <c r="S345">
        <f t="shared" si="972"/>
        <v>664504.3543622666</v>
      </c>
      <c r="T345">
        <f t="shared" si="973"/>
        <v>664.50435436226655</v>
      </c>
    </row>
    <row r="346" spans="1:20" x14ac:dyDescent="0.25">
      <c r="A346" s="5">
        <v>44247</v>
      </c>
      <c r="B346">
        <v>5.3592000000000001E-2</v>
      </c>
      <c r="C346">
        <v>0.06</v>
      </c>
      <c r="D346">
        <v>0.05</v>
      </c>
      <c r="E346">
        <v>5.3553999999999997E-2</v>
      </c>
      <c r="F346">
        <v>3856447896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-0.28920000000000073</v>
      </c>
      <c r="Q346">
        <f t="shared" si="970"/>
        <v>-1115284731.5232029</v>
      </c>
      <c r="R346">
        <f t="shared" si="971"/>
        <v>65841068165.614059</v>
      </c>
      <c r="S346">
        <f t="shared" si="972"/>
        <v>658410.6816561406</v>
      </c>
      <c r="T346">
        <f t="shared" si="973"/>
        <v>658.41068165614058</v>
      </c>
    </row>
    <row r="347" spans="1:20" x14ac:dyDescent="0.25">
      <c r="A347" s="5">
        <v>44246</v>
      </c>
      <c r="B347">
        <v>5.4481000000000002E-2</v>
      </c>
      <c r="C347">
        <v>5.6217000000000003E-2</v>
      </c>
      <c r="D347">
        <v>5.0999999999999997E-2</v>
      </c>
      <c r="E347">
        <v>5.3601999999999997E-2</v>
      </c>
      <c r="F347">
        <v>2414625682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-2.4918535556845019E-3</v>
      </c>
      <c r="Q347">
        <f t="shared" si="970"/>
        <v>-6016893.5913388152</v>
      </c>
      <c r="R347">
        <f t="shared" si="971"/>
        <v>66956352897.13726</v>
      </c>
      <c r="S347">
        <f t="shared" si="972"/>
        <v>669563.52897137264</v>
      </c>
      <c r="T347">
        <f t="shared" si="973"/>
        <v>669.56352897137265</v>
      </c>
    </row>
    <row r="348" spans="1:20" x14ac:dyDescent="0.25">
      <c r="A348" s="5">
        <v>44245</v>
      </c>
      <c r="B348">
        <v>5.1249000000000003E-2</v>
      </c>
      <c r="C348">
        <v>5.7299999999999997E-2</v>
      </c>
      <c r="D348">
        <v>5.1109000000000002E-2</v>
      </c>
      <c r="E348">
        <v>5.4482999999999997E-2</v>
      </c>
      <c r="F348">
        <v>2600700797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8.9969310289128648E-2</v>
      </c>
      <c r="Q348">
        <f t="shared" si="970"/>
        <v>233983256.97447717</v>
      </c>
      <c r="R348">
        <f t="shared" si="971"/>
        <v>66962369790.7286</v>
      </c>
      <c r="S348">
        <f t="shared" si="972"/>
        <v>669623.697907286</v>
      </c>
      <c r="T348">
        <f t="shared" si="973"/>
        <v>669.62369790728599</v>
      </c>
    </row>
    <row r="349" spans="1:20" x14ac:dyDescent="0.25">
      <c r="A349" s="5">
        <v>44244</v>
      </c>
      <c r="B349">
        <v>4.9336999999999999E-2</v>
      </c>
      <c r="C349">
        <v>5.3891000000000001E-2</v>
      </c>
      <c r="D349">
        <v>4.6025000000000003E-2</v>
      </c>
      <c r="E349">
        <v>5.1195999999999998E-2</v>
      </c>
      <c r="F349">
        <v>2764241860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0.31477243834223145</v>
      </c>
      <c r="Q349">
        <f t="shared" si="970"/>
        <v>870107150.43986523</v>
      </c>
      <c r="R349">
        <f t="shared" si="971"/>
        <v>66728386533.75412</v>
      </c>
      <c r="S349">
        <f t="shared" si="972"/>
        <v>667283.86533754121</v>
      </c>
      <c r="T349">
        <f t="shared" si="973"/>
        <v>667.28386533754122</v>
      </c>
    </row>
    <row r="350" spans="1:20" x14ac:dyDescent="0.25">
      <c r="A350" s="5">
        <v>44243</v>
      </c>
      <c r="B350">
        <v>5.1034999999999997E-2</v>
      </c>
      <c r="C350">
        <v>5.3821000000000001E-2</v>
      </c>
      <c r="D350">
        <v>4.7379999999999999E-2</v>
      </c>
      <c r="E350">
        <v>4.9319000000000002E-2</v>
      </c>
      <c r="F350">
        <v>2561113126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-0.39791957770532449</v>
      </c>
      <c r="Q350">
        <f t="shared" si="970"/>
        <v>-1019117053.5534835</v>
      </c>
      <c r="R350">
        <f t="shared" si="971"/>
        <v>65858279383.314255</v>
      </c>
      <c r="S350">
        <f t="shared" si="972"/>
        <v>658582.7938331425</v>
      </c>
      <c r="T350">
        <f t="shared" si="973"/>
        <v>658.58279383314255</v>
      </c>
    </row>
    <row r="351" spans="1:20" x14ac:dyDescent="0.25">
      <c r="A351" s="5">
        <v>44242</v>
      </c>
      <c r="B351">
        <v>5.2247000000000002E-2</v>
      </c>
      <c r="C351">
        <v>5.7443000000000001E-2</v>
      </c>
      <c r="D351">
        <v>4.24E-2</v>
      </c>
      <c r="E351">
        <v>5.1032000000000001E-2</v>
      </c>
      <c r="F351">
        <v>4555363069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0.14764342218972284</v>
      </c>
      <c r="Q351">
        <f t="shared" si="970"/>
        <v>672569392.82383859</v>
      </c>
      <c r="R351">
        <f t="shared" si="971"/>
        <v>66877396436.867737</v>
      </c>
      <c r="S351">
        <f t="shared" si="972"/>
        <v>668773.96436867735</v>
      </c>
      <c r="T351">
        <f t="shared" si="973"/>
        <v>668.7739643686773</v>
      </c>
    </row>
    <row r="352" spans="1:20" x14ac:dyDescent="0.25">
      <c r="A352" s="5">
        <v>44241</v>
      </c>
      <c r="B352">
        <v>5.4722E-2</v>
      </c>
      <c r="C352">
        <v>5.9073000000000001E-2</v>
      </c>
      <c r="D352">
        <v>4.8941999999999999E-2</v>
      </c>
      <c r="E352">
        <v>5.2160999999999999E-2</v>
      </c>
      <c r="F352">
        <v>3301025345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-0.36452472608824416</v>
      </c>
      <c r="Q352">
        <f t="shared" si="970"/>
        <v>-1203305359.6964767</v>
      </c>
      <c r="R352">
        <f t="shared" si="971"/>
        <v>66204827044.0439</v>
      </c>
      <c r="S352">
        <f t="shared" si="972"/>
        <v>662048.270440439</v>
      </c>
      <c r="T352">
        <f t="shared" si="973"/>
        <v>662.04827044043896</v>
      </c>
    </row>
    <row r="353" spans="1:20" x14ac:dyDescent="0.25">
      <c r="A353" s="5">
        <v>44240</v>
      </c>
      <c r="B353">
        <v>5.4357999999999997E-2</v>
      </c>
      <c r="C353">
        <v>6.0499999999999998E-2</v>
      </c>
      <c r="D353">
        <v>4.9000000000000002E-2</v>
      </c>
      <c r="E353">
        <v>5.4766000000000002E-2</v>
      </c>
      <c r="F353">
        <v>6065326448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2.782608695652544E-3</v>
      </c>
      <c r="Q353">
        <f t="shared" si="970"/>
        <v>16877430.116176158</v>
      </c>
      <c r="R353">
        <f t="shared" si="971"/>
        <v>67408132403.740379</v>
      </c>
      <c r="S353">
        <f t="shared" si="972"/>
        <v>674081.3240374038</v>
      </c>
      <c r="T353">
        <f t="shared" si="973"/>
        <v>674.08132403740376</v>
      </c>
    </row>
    <row r="354" spans="1:20" x14ac:dyDescent="0.25">
      <c r="A354" s="5">
        <v>44239</v>
      </c>
      <c r="B354">
        <v>4.2585999999999999E-2</v>
      </c>
      <c r="C354">
        <v>6.0774000000000002E-2</v>
      </c>
      <c r="D354">
        <v>4.2312000000000002E-2</v>
      </c>
      <c r="E354">
        <v>5.4358999999999998E-2</v>
      </c>
      <c r="F354">
        <v>8658821039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0.30505904019066143</v>
      </c>
      <c r="Q354">
        <f t="shared" si="970"/>
        <v>2641451635.3400459</v>
      </c>
      <c r="R354">
        <f t="shared" si="971"/>
        <v>67391254973.624207</v>
      </c>
      <c r="S354">
        <f t="shared" si="972"/>
        <v>673912.54973624204</v>
      </c>
      <c r="T354">
        <f t="shared" si="973"/>
        <v>673.912549736242</v>
      </c>
    </row>
    <row r="355" spans="1:20" x14ac:dyDescent="0.25">
      <c r="A355" s="5">
        <v>44238</v>
      </c>
      <c r="B355">
        <v>3.5736999999999998E-2</v>
      </c>
      <c r="C355">
        <v>4.3263999999999997E-2</v>
      </c>
      <c r="D355">
        <v>3.4530999999999999E-2</v>
      </c>
      <c r="E355">
        <v>4.2557999999999999E-2</v>
      </c>
      <c r="F355">
        <v>4072239055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0.83831443948242335</v>
      </c>
      <c r="Q355">
        <f t="shared" si="970"/>
        <v>3413816800.8307586</v>
      </c>
      <c r="R355">
        <f t="shared" si="971"/>
        <v>64749803338.284164</v>
      </c>
      <c r="S355">
        <f t="shared" si="972"/>
        <v>647498.03338284162</v>
      </c>
      <c r="T355">
        <f t="shared" si="973"/>
        <v>647.49803338284164</v>
      </c>
    </row>
    <row r="356" spans="1:20" x14ac:dyDescent="0.25">
      <c r="A356" s="5">
        <v>44237</v>
      </c>
      <c r="B356">
        <v>3.5374000000000003E-2</v>
      </c>
      <c r="C356">
        <v>3.8427000000000003E-2</v>
      </c>
      <c r="D356">
        <v>3.1493E-2</v>
      </c>
      <c r="E356">
        <v>3.5688999999999999E-2</v>
      </c>
      <c r="F356">
        <v>3522430592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0.21026824343813</v>
      </c>
      <c r="Q356">
        <f t="shared" si="970"/>
        <v>740655293.21257234</v>
      </c>
      <c r="R356">
        <f t="shared" si="971"/>
        <v>61335986537.453407</v>
      </c>
      <c r="S356">
        <f t="shared" si="972"/>
        <v>613359.86537453404</v>
      </c>
      <c r="T356">
        <f t="shared" si="973"/>
        <v>613.35986537453402</v>
      </c>
    </row>
    <row r="357" spans="1:20" x14ac:dyDescent="0.25">
      <c r="A357" s="5">
        <v>44236</v>
      </c>
      <c r="B357">
        <v>3.1331999999999999E-2</v>
      </c>
      <c r="C357">
        <v>3.6880000000000003E-2</v>
      </c>
      <c r="D357">
        <v>3.058E-2</v>
      </c>
      <c r="E357">
        <v>3.5374999999999997E-2</v>
      </c>
      <c r="F357">
        <v>4131768216.8000002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0.52222222222222048</v>
      </c>
      <c r="Q357">
        <f t="shared" si="970"/>
        <v>2157701179.8844376</v>
      </c>
      <c r="R357">
        <f t="shared" si="971"/>
        <v>60595331244.240837</v>
      </c>
      <c r="S357">
        <f t="shared" si="972"/>
        <v>605953.31244240841</v>
      </c>
      <c r="T357">
        <f t="shared" si="973"/>
        <v>605.95331244240845</v>
      </c>
    </row>
    <row r="358" spans="1:20" x14ac:dyDescent="0.25">
      <c r="A358" s="5">
        <v>44235</v>
      </c>
      <c r="B358">
        <v>2.9152000000000001E-2</v>
      </c>
      <c r="C358">
        <v>3.2232999999999998E-2</v>
      </c>
      <c r="D358">
        <v>2.8361000000000001E-2</v>
      </c>
      <c r="E358">
        <v>3.1326E-2</v>
      </c>
      <c r="F358">
        <v>2552046004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0.53150826446281052</v>
      </c>
      <c r="Q358">
        <f t="shared" si="970"/>
        <v>1356433542.4152908</v>
      </c>
      <c r="R358">
        <f t="shared" si="971"/>
        <v>58437630064.3564</v>
      </c>
      <c r="S358">
        <f t="shared" si="972"/>
        <v>584376.30064356397</v>
      </c>
      <c r="T358">
        <f t="shared" si="973"/>
        <v>584.37630064356392</v>
      </c>
    </row>
    <row r="359" spans="1:20" x14ac:dyDescent="0.25">
      <c r="A359" s="5">
        <v>44234</v>
      </c>
      <c r="B359">
        <v>2.9928E-2</v>
      </c>
      <c r="C359">
        <v>3.0766000000000002E-2</v>
      </c>
      <c r="D359">
        <v>2.6714000000000002E-2</v>
      </c>
      <c r="E359">
        <v>2.9139000000000002E-2</v>
      </c>
      <c r="F359">
        <v>1958283560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0.19693978282329716</v>
      </c>
      <c r="Q359">
        <f t="shared" si="970"/>
        <v>385663939.01283324</v>
      </c>
      <c r="R359">
        <f t="shared" si="971"/>
        <v>57081196521.941109</v>
      </c>
      <c r="S359">
        <f t="shared" si="972"/>
        <v>570811.96521941107</v>
      </c>
      <c r="T359">
        <f t="shared" si="973"/>
        <v>570.81196521941104</v>
      </c>
    </row>
    <row r="360" spans="1:20" x14ac:dyDescent="0.25">
      <c r="A360" s="5">
        <v>44233</v>
      </c>
      <c r="B360">
        <v>3.2063000000000001E-2</v>
      </c>
      <c r="C360">
        <v>3.3092999999999997E-2</v>
      </c>
      <c r="D360">
        <v>2.8124E-2</v>
      </c>
      <c r="E360">
        <v>2.9946E-2</v>
      </c>
      <c r="F360">
        <v>2396617658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-0.26665325015093516</v>
      </c>
      <c r="Q360">
        <f t="shared" si="970"/>
        <v>-639065887.87482238</v>
      </c>
      <c r="R360">
        <f t="shared" si="971"/>
        <v>56695532582.928276</v>
      </c>
      <c r="S360">
        <f t="shared" si="972"/>
        <v>566955.32582928275</v>
      </c>
      <c r="T360">
        <f t="shared" si="973"/>
        <v>566.95532582928274</v>
      </c>
    </row>
    <row r="361" spans="1:20" x14ac:dyDescent="0.25">
      <c r="A361" s="5">
        <v>44232</v>
      </c>
      <c r="B361">
        <v>2.7684E-2</v>
      </c>
      <c r="C361">
        <v>3.2300000000000002E-2</v>
      </c>
      <c r="D361">
        <v>2.7615000000000001E-2</v>
      </c>
      <c r="E361">
        <v>3.2096E-2</v>
      </c>
      <c r="F361">
        <v>2308903368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0.91291355389540974</v>
      </c>
      <c r="Q361">
        <f t="shared" si="970"/>
        <v>2107829179.281961</v>
      </c>
      <c r="R361">
        <f t="shared" si="971"/>
        <v>57334598470.803101</v>
      </c>
      <c r="S361">
        <f t="shared" si="972"/>
        <v>573345.98470803106</v>
      </c>
      <c r="T361">
        <f t="shared" si="973"/>
        <v>573.3459847080311</v>
      </c>
    </row>
    <row r="362" spans="1:20" x14ac:dyDescent="0.25">
      <c r="A362" s="5">
        <v>44231</v>
      </c>
      <c r="B362">
        <v>2.9179E-2</v>
      </c>
      <c r="C362">
        <v>2.9468000000000001E-2</v>
      </c>
      <c r="D362">
        <v>2.6956000000000001E-2</v>
      </c>
      <c r="E362">
        <v>2.7709999999999999E-2</v>
      </c>
      <c r="F362">
        <v>1799075344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-0.39968152866242229</v>
      </c>
      <c r="Q362">
        <f t="shared" si="970"/>
        <v>-719057183.6687932</v>
      </c>
      <c r="R362">
        <f t="shared" si="971"/>
        <v>55226769291.521141</v>
      </c>
      <c r="S362">
        <f t="shared" si="972"/>
        <v>552267.69291521143</v>
      </c>
      <c r="T362">
        <f t="shared" si="973"/>
        <v>552.26769291521146</v>
      </c>
    </row>
    <row r="363" spans="1:20" x14ac:dyDescent="0.25">
      <c r="A363" s="5">
        <v>44230</v>
      </c>
      <c r="B363">
        <v>2.8132000000000001E-2</v>
      </c>
      <c r="C363">
        <v>3.0252999999999999E-2</v>
      </c>
      <c r="D363">
        <v>2.8001000000000002E-2</v>
      </c>
      <c r="E363">
        <v>2.9177000000000002E-2</v>
      </c>
      <c r="F363">
        <v>1735656601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4.4404973357017319E-2</v>
      </c>
      <c r="Q363">
        <f t="shared" si="970"/>
        <v>77071785.124336243</v>
      </c>
      <c r="R363">
        <f t="shared" si="971"/>
        <v>55945826475.189934</v>
      </c>
      <c r="S363">
        <f t="shared" si="972"/>
        <v>559458.26475189929</v>
      </c>
      <c r="T363">
        <f t="shared" si="973"/>
        <v>559.45826475189926</v>
      </c>
    </row>
    <row r="364" spans="1:20" x14ac:dyDescent="0.25">
      <c r="A364" s="5">
        <v>44229</v>
      </c>
      <c r="B364">
        <v>2.9378000000000001E-2</v>
      </c>
      <c r="C364">
        <v>2.9683000000000001E-2</v>
      </c>
      <c r="D364">
        <v>2.7730000000000001E-2</v>
      </c>
      <c r="E364">
        <v>2.8126999999999999E-2</v>
      </c>
      <c r="F364">
        <v>1743811936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-0.59344598054275666</v>
      </c>
      <c r="Q364">
        <f t="shared" si="970"/>
        <v>-1034858184.2416828</v>
      </c>
      <c r="R364">
        <f t="shared" si="971"/>
        <v>55868754690.065598</v>
      </c>
      <c r="S364">
        <f t="shared" si="972"/>
        <v>558687.54690065596</v>
      </c>
      <c r="T364">
        <f t="shared" si="973"/>
        <v>558.687546900656</v>
      </c>
    </row>
    <row r="365" spans="1:20" x14ac:dyDescent="0.25">
      <c r="A365" s="5">
        <v>44228</v>
      </c>
      <c r="B365">
        <v>2.5367000000000001E-2</v>
      </c>
      <c r="C365">
        <v>2.98E-2</v>
      </c>
      <c r="D365">
        <v>2.4368000000000001E-2</v>
      </c>
      <c r="E365">
        <v>2.9381999999999998E-2</v>
      </c>
      <c r="F365">
        <v>3155394379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0.84609720176730419</v>
      </c>
      <c r="Q365">
        <f t="shared" si="970"/>
        <v>2669770354.5441804</v>
      </c>
      <c r="R365">
        <f t="shared" si="971"/>
        <v>56903612874.307281</v>
      </c>
      <c r="S365">
        <f t="shared" si="972"/>
        <v>569036.12874307286</v>
      </c>
      <c r="T365">
        <f t="shared" si="973"/>
        <v>569.03612874307282</v>
      </c>
    </row>
    <row r="366" spans="1:20" x14ac:dyDescent="0.25">
      <c r="A366" s="5">
        <v>44227</v>
      </c>
      <c r="B366">
        <v>2.6842000000000001E-2</v>
      </c>
      <c r="C366">
        <v>2.7191E-2</v>
      </c>
      <c r="D366">
        <v>2.4603E-2</v>
      </c>
      <c r="E366">
        <v>2.5396999999999999E-2</v>
      </c>
      <c r="F366">
        <v>1683994422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-0.38639876352395708</v>
      </c>
      <c r="Q366">
        <f t="shared" si="970"/>
        <v>-650693362.4420408</v>
      </c>
      <c r="R366">
        <f t="shared" si="971"/>
        <v>54233842519.7631</v>
      </c>
      <c r="S366">
        <f t="shared" si="972"/>
        <v>542338.425197631</v>
      </c>
      <c r="T366">
        <f t="shared" si="973"/>
        <v>542.33842519763095</v>
      </c>
    </row>
    <row r="367" spans="1:20" x14ac:dyDescent="0.25">
      <c r="A367" s="5">
        <v>44226</v>
      </c>
      <c r="B367">
        <v>2.7843E-2</v>
      </c>
      <c r="C367">
        <v>2.8167999999999999E-2</v>
      </c>
      <c r="D367">
        <v>2.6338E-2</v>
      </c>
      <c r="E367">
        <v>2.6842000000000001E-2</v>
      </c>
      <c r="F367">
        <v>1488409059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-0.44918032786885087</v>
      </c>
      <c r="Q367">
        <f t="shared" si="970"/>
        <v>-668564069.12458777</v>
      </c>
      <c r="R367">
        <f t="shared" si="971"/>
        <v>54884535882.205139</v>
      </c>
      <c r="S367">
        <f t="shared" si="972"/>
        <v>548845.35882205144</v>
      </c>
      <c r="T367">
        <f t="shared" si="973"/>
        <v>548.84535882205148</v>
      </c>
    </row>
    <row r="368" spans="1:20" x14ac:dyDescent="0.25">
      <c r="A368" s="5">
        <v>44225</v>
      </c>
      <c r="B368">
        <v>2.7417E-2</v>
      </c>
      <c r="C368">
        <v>2.9482000000000001E-2</v>
      </c>
      <c r="D368">
        <v>2.6483E-2</v>
      </c>
      <c r="E368">
        <v>2.7830000000000001E-2</v>
      </c>
      <c r="F368">
        <v>2687609358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-0.10170056685561839</v>
      </c>
      <c r="Q368">
        <f t="shared" si="970"/>
        <v>-273331395.1950646</v>
      </c>
      <c r="R368">
        <f t="shared" si="971"/>
        <v>55553099951.329727</v>
      </c>
      <c r="S368">
        <f t="shared" si="972"/>
        <v>555530.99951329723</v>
      </c>
      <c r="T368">
        <f t="shared" si="973"/>
        <v>555.53099951329727</v>
      </c>
    </row>
    <row r="369" spans="1:20" x14ac:dyDescent="0.25">
      <c r="A369" s="5">
        <v>44224</v>
      </c>
      <c r="B369">
        <v>2.6363000000000001E-2</v>
      </c>
      <c r="C369">
        <v>2.8840999999999999E-2</v>
      </c>
      <c r="D369">
        <v>2.5919999999999999E-2</v>
      </c>
      <c r="E369">
        <v>2.7389E-2</v>
      </c>
      <c r="F369">
        <v>1547734948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5.8199246833286972E-3</v>
      </c>
      <c r="Q369">
        <f t="shared" si="970"/>
        <v>9007700.8271156568</v>
      </c>
      <c r="R369">
        <f t="shared" si="971"/>
        <v>55826431346.524796</v>
      </c>
      <c r="S369">
        <f t="shared" si="972"/>
        <v>558264.31346524798</v>
      </c>
      <c r="T369">
        <f t="shared" si="973"/>
        <v>558.26431346524794</v>
      </c>
    </row>
    <row r="370" spans="1:20" x14ac:dyDescent="0.25">
      <c r="A370" s="5">
        <v>44223</v>
      </c>
      <c r="B370">
        <v>2.9419000000000001E-2</v>
      </c>
      <c r="C370">
        <v>2.9468000000000001E-2</v>
      </c>
      <c r="D370">
        <v>2.5600000000000001E-2</v>
      </c>
      <c r="E370">
        <v>2.6360999999999999E-2</v>
      </c>
      <c r="F370">
        <v>1884434657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-0.60651499482937032</v>
      </c>
      <c r="Q370">
        <f t="shared" si="970"/>
        <v>-1142937876.2466412</v>
      </c>
      <c r="R370">
        <f t="shared" si="971"/>
        <v>55817423645.697678</v>
      </c>
      <c r="S370">
        <f t="shared" si="972"/>
        <v>558174.23645697674</v>
      </c>
      <c r="T370">
        <f t="shared" si="973"/>
        <v>558.1742364569767</v>
      </c>
    </row>
    <row r="371" spans="1:20" x14ac:dyDescent="0.25">
      <c r="A371" s="5">
        <v>44222</v>
      </c>
      <c r="B371">
        <v>2.9735000000000001E-2</v>
      </c>
      <c r="C371">
        <v>3.0491000000000001E-2</v>
      </c>
      <c r="D371">
        <v>2.8060999999999999E-2</v>
      </c>
      <c r="E371">
        <v>2.9444000000000001E-2</v>
      </c>
      <c r="F371">
        <v>1391082692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0.13827160493827273</v>
      </c>
      <c r="Q371">
        <f t="shared" si="970"/>
        <v>192347236.42469293</v>
      </c>
      <c r="R371">
        <f t="shared" si="971"/>
        <v>56960361521.944321</v>
      </c>
      <c r="S371">
        <f t="shared" si="972"/>
        <v>569603.61521944322</v>
      </c>
      <c r="T371">
        <f t="shared" si="973"/>
        <v>569.60361521944321</v>
      </c>
    </row>
    <row r="372" spans="1:20" x14ac:dyDescent="0.25">
      <c r="A372" s="5">
        <v>44221</v>
      </c>
      <c r="B372">
        <v>3.0655999999999999E-2</v>
      </c>
      <c r="C372">
        <v>3.2445000000000002E-2</v>
      </c>
      <c r="D372">
        <v>2.9333999999999999E-2</v>
      </c>
      <c r="E372">
        <v>2.9758E-2</v>
      </c>
      <c r="F372">
        <v>1776728667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-0.72741883638701355</v>
      </c>
      <c r="Q372">
        <f t="shared" si="970"/>
        <v>-1292425899.5245898</v>
      </c>
      <c r="R372">
        <f t="shared" si="971"/>
        <v>56768014285.51963</v>
      </c>
      <c r="S372">
        <f t="shared" si="972"/>
        <v>567680.14285519626</v>
      </c>
      <c r="T372">
        <f t="shared" si="973"/>
        <v>567.68014285519621</v>
      </c>
    </row>
    <row r="373" spans="1:20" x14ac:dyDescent="0.25">
      <c r="A373" s="5">
        <v>44220</v>
      </c>
      <c r="B373">
        <v>3.0061000000000001E-2</v>
      </c>
      <c r="C373">
        <v>3.1895E-2</v>
      </c>
      <c r="D373">
        <v>2.9513999999999999E-2</v>
      </c>
      <c r="E373">
        <v>3.0606000000000001E-2</v>
      </c>
      <c r="F373">
        <v>1560004669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-8.2738345233093535E-2</v>
      </c>
      <c r="Q373">
        <f t="shared" si="970"/>
        <v>-129072204.86895981</v>
      </c>
      <c r="R373">
        <f t="shared" si="971"/>
        <v>58060440185.04422</v>
      </c>
      <c r="S373">
        <f t="shared" si="972"/>
        <v>580604.40185044217</v>
      </c>
      <c r="T373">
        <f t="shared" si="973"/>
        <v>580.60440185044217</v>
      </c>
    </row>
    <row r="374" spans="1:20" x14ac:dyDescent="0.25">
      <c r="A374" s="5">
        <v>44219</v>
      </c>
      <c r="B374">
        <v>3.1267000000000003E-2</v>
      </c>
      <c r="C374">
        <v>3.1982999999999998E-2</v>
      </c>
      <c r="D374">
        <v>2.92E-2</v>
      </c>
      <c r="E374">
        <v>3.0068000000000001E-2</v>
      </c>
      <c r="F374">
        <v>1642149862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-0.37621272008623674</v>
      </c>
      <c r="Q374">
        <f t="shared" si="970"/>
        <v>-617797666.37225831</v>
      </c>
      <c r="R374">
        <f t="shared" si="971"/>
        <v>58189512389.913177</v>
      </c>
      <c r="S374">
        <f t="shared" si="972"/>
        <v>581895.12389913178</v>
      </c>
      <c r="T374">
        <f t="shared" si="973"/>
        <v>581.89512389913182</v>
      </c>
    </row>
    <row r="375" spans="1:20" x14ac:dyDescent="0.25">
      <c r="A375" s="5">
        <v>44218</v>
      </c>
      <c r="B375">
        <v>2.7899E-2</v>
      </c>
      <c r="C375">
        <v>3.2554E-2</v>
      </c>
      <c r="D375">
        <v>2.5111000000000001E-2</v>
      </c>
      <c r="E375">
        <v>3.1267999999999997E-2</v>
      </c>
      <c r="F375">
        <v>3142297280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0.65444041381163431</v>
      </c>
      <c r="Q375">
        <f t="shared" si="970"/>
        <v>2056446332.242373</v>
      </c>
      <c r="R375">
        <f t="shared" si="971"/>
        <v>58807310056.285439</v>
      </c>
      <c r="S375">
        <f t="shared" si="972"/>
        <v>588073.10056285444</v>
      </c>
      <c r="T375">
        <f t="shared" si="973"/>
        <v>588.07310056285439</v>
      </c>
    </row>
    <row r="376" spans="1:20" x14ac:dyDescent="0.25">
      <c r="A376" s="5">
        <v>44217</v>
      </c>
      <c r="B376">
        <v>3.4595000000000001E-2</v>
      </c>
      <c r="C376">
        <v>3.5367999999999997E-2</v>
      </c>
      <c r="D376">
        <v>2.7279999999999999E-2</v>
      </c>
      <c r="E376">
        <v>2.7917999999999998E-2</v>
      </c>
      <c r="F376">
        <v>4621772623</v>
      </c>
      <c r="G376">
        <v>0</v>
      </c>
      <c r="L376" t="s">
        <v>8</v>
      </c>
      <c r="M376" t="s">
        <v>7</v>
      </c>
      <c r="N376" t="s">
        <v>8</v>
      </c>
      <c r="P376">
        <f t="shared" si="969"/>
        <v>-0.84223541048466866</v>
      </c>
      <c r="Q376">
        <f t="shared" si="970"/>
        <v>-3892620562.2992086</v>
      </c>
      <c r="R376">
        <f t="shared" si="971"/>
        <v>56750863724.043068</v>
      </c>
      <c r="S376">
        <f t="shared" si="972"/>
        <v>567508.63724043069</v>
      </c>
      <c r="T376">
        <f t="shared" si="973"/>
        <v>567.50863724043074</v>
      </c>
    </row>
    <row r="377" spans="1:20" x14ac:dyDescent="0.25">
      <c r="A377" s="5">
        <v>44216</v>
      </c>
      <c r="B377">
        <v>2.9061E-2</v>
      </c>
      <c r="C377">
        <v>3.4981999999999999E-2</v>
      </c>
      <c r="D377">
        <v>2.8500000000000001E-2</v>
      </c>
      <c r="E377">
        <v>3.4595000000000001E-2</v>
      </c>
      <c r="F377">
        <v>5309724858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0.88059240975007758</v>
      </c>
      <c r="Q377">
        <f t="shared" si="970"/>
        <v>4675703407.8161087</v>
      </c>
      <c r="R377">
        <f t="shared" si="971"/>
        <v>60643484286.342278</v>
      </c>
      <c r="S377">
        <f t="shared" si="972"/>
        <v>606434.84286342282</v>
      </c>
      <c r="T377">
        <f t="shared" si="973"/>
        <v>606.43484286342277</v>
      </c>
    </row>
    <row r="378" spans="1:20" x14ac:dyDescent="0.25">
      <c r="A378" s="5">
        <v>44215</v>
      </c>
      <c r="B378">
        <v>3.0800999999999999E-2</v>
      </c>
      <c r="C378">
        <v>3.1677999999999998E-2</v>
      </c>
      <c r="D378">
        <v>2.8001000000000002E-2</v>
      </c>
      <c r="E378">
        <v>2.9014999999999999E-2</v>
      </c>
      <c r="F378">
        <v>2007620755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-0.44846342126733829</v>
      </c>
      <c r="Q378">
        <f t="shared" si="970"/>
        <v>-900344472.39461672</v>
      </c>
      <c r="R378">
        <f t="shared" si="971"/>
        <v>55967780878.526169</v>
      </c>
      <c r="S378">
        <f t="shared" si="972"/>
        <v>559677.8087852617</v>
      </c>
      <c r="T378">
        <f t="shared" si="973"/>
        <v>559.67780878526173</v>
      </c>
    </row>
    <row r="379" spans="1:20" x14ac:dyDescent="0.25">
      <c r="A379" s="5">
        <v>44214</v>
      </c>
      <c r="B379">
        <v>2.7157000000000001E-2</v>
      </c>
      <c r="C379">
        <v>3.0832999999999999E-2</v>
      </c>
      <c r="D379">
        <v>2.6286E-2</v>
      </c>
      <c r="E379">
        <v>3.0803000000000001E-2</v>
      </c>
      <c r="F379">
        <v>2656144034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0.98680448647459917</v>
      </c>
      <c r="Q379">
        <f t="shared" si="970"/>
        <v>2621094849.4739404</v>
      </c>
      <c r="R379">
        <f t="shared" si="971"/>
        <v>56868125350.920784</v>
      </c>
      <c r="S379">
        <f t="shared" si="972"/>
        <v>568681.25350920786</v>
      </c>
      <c r="T379">
        <f t="shared" si="973"/>
        <v>568.68125350920786</v>
      </c>
    </row>
    <row r="380" spans="1:20" x14ac:dyDescent="0.25">
      <c r="A380" s="5">
        <v>44213</v>
      </c>
      <c r="B380">
        <v>2.6842000000000001E-2</v>
      </c>
      <c r="C380">
        <v>2.826E-2</v>
      </c>
      <c r="D380">
        <v>2.5000999999999999E-2</v>
      </c>
      <c r="E380">
        <v>2.7151999999999999E-2</v>
      </c>
      <c r="F380">
        <v>2011466312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0.32003682111076964</v>
      </c>
      <c r="Q380">
        <f t="shared" si="970"/>
        <v>643743284.26388359</v>
      </c>
      <c r="R380">
        <f t="shared" si="971"/>
        <v>54247030501.446846</v>
      </c>
      <c r="S380">
        <f t="shared" si="972"/>
        <v>542470.3050144685</v>
      </c>
      <c r="T380">
        <f t="shared" si="973"/>
        <v>542.47030501446852</v>
      </c>
    </row>
    <row r="381" spans="1:20" x14ac:dyDescent="0.25">
      <c r="A381" s="5">
        <v>44212</v>
      </c>
      <c r="B381">
        <v>2.53E-2</v>
      </c>
      <c r="C381">
        <v>2.896E-2</v>
      </c>
      <c r="D381">
        <v>2.5259E-2</v>
      </c>
      <c r="E381">
        <v>2.6863000000000001E-2</v>
      </c>
      <c r="F381">
        <v>2648290072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-0.13320724128613806</v>
      </c>
      <c r="Q381">
        <f t="shared" si="970"/>
        <v>-352771414.61658794</v>
      </c>
      <c r="R381">
        <f t="shared" si="971"/>
        <v>53603287217.182961</v>
      </c>
      <c r="S381">
        <f t="shared" si="972"/>
        <v>536032.87217182957</v>
      </c>
      <c r="T381">
        <f t="shared" si="973"/>
        <v>536.03287217182958</v>
      </c>
    </row>
    <row r="382" spans="1:20" x14ac:dyDescent="0.25">
      <c r="A382" s="5">
        <v>44211</v>
      </c>
      <c r="B382">
        <v>2.5732999999999999E-2</v>
      </c>
      <c r="C382">
        <v>2.7E-2</v>
      </c>
      <c r="D382">
        <v>2.2714999999999999E-2</v>
      </c>
      <c r="E382">
        <v>2.5305999999999999E-2</v>
      </c>
      <c r="F382">
        <v>2456379944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0.20933488914819098</v>
      </c>
      <c r="Q382">
        <f t="shared" si="970"/>
        <v>514206023.28307956</v>
      </c>
      <c r="R382">
        <f t="shared" si="971"/>
        <v>53956058631.799545</v>
      </c>
      <c r="S382">
        <f t="shared" si="972"/>
        <v>539560.58631799545</v>
      </c>
      <c r="T382">
        <f t="shared" si="973"/>
        <v>539.56058631799544</v>
      </c>
    </row>
    <row r="383" spans="1:20" x14ac:dyDescent="0.25">
      <c r="A383" s="5">
        <v>44210</v>
      </c>
      <c r="B383">
        <v>2.6072999999999999E-2</v>
      </c>
      <c r="C383">
        <v>2.7E-2</v>
      </c>
      <c r="D383">
        <v>2.4448000000000001E-2</v>
      </c>
      <c r="E383">
        <v>2.5742999999999999E-2</v>
      </c>
      <c r="F383">
        <v>1796950314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1.4890282131660028E-2</v>
      </c>
      <c r="Q383">
        <f t="shared" si="970"/>
        <v>26757097.152035076</v>
      </c>
      <c r="R383">
        <f t="shared" si="971"/>
        <v>53441852608.516464</v>
      </c>
      <c r="S383">
        <f t="shared" si="972"/>
        <v>534418.52608516463</v>
      </c>
      <c r="T383">
        <f t="shared" si="973"/>
        <v>534.41852608516467</v>
      </c>
    </row>
    <row r="384" spans="1:20" x14ac:dyDescent="0.25">
      <c r="A384" s="5">
        <v>44209</v>
      </c>
      <c r="B384">
        <v>2.299E-2</v>
      </c>
      <c r="C384">
        <v>2.6499999999999999E-2</v>
      </c>
      <c r="D384">
        <v>2.1926000000000001E-2</v>
      </c>
      <c r="E384">
        <v>2.6072999999999999E-2</v>
      </c>
      <c r="F384">
        <v>1994788135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0.81329252295583709</v>
      </c>
      <c r="Q384">
        <f t="shared" si="970"/>
        <v>1622346275.076519</v>
      </c>
      <c r="R384">
        <f t="shared" si="971"/>
        <v>53415095511.364426</v>
      </c>
      <c r="S384">
        <f t="shared" si="972"/>
        <v>534150.95511364425</v>
      </c>
      <c r="T384">
        <f t="shared" si="973"/>
        <v>534.15095511364427</v>
      </c>
    </row>
    <row r="385" spans="1:20" x14ac:dyDescent="0.25">
      <c r="A385" s="5">
        <v>44208</v>
      </c>
      <c r="B385">
        <v>2.4393000000000001E-2</v>
      </c>
      <c r="C385">
        <v>2.5725999999999999E-2</v>
      </c>
      <c r="D385">
        <v>2.1701000000000002E-2</v>
      </c>
      <c r="E385">
        <v>2.299E-2</v>
      </c>
      <c r="F385">
        <v>2897758177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-0.35950310559006243</v>
      </c>
      <c r="Q385">
        <f t="shared" si="970"/>
        <v>-1041753063.8804978</v>
      </c>
      <c r="R385">
        <f t="shared" si="971"/>
        <v>51792749236.287903</v>
      </c>
      <c r="S385">
        <f t="shared" si="972"/>
        <v>517927.49236287904</v>
      </c>
      <c r="T385">
        <f t="shared" si="973"/>
        <v>517.92749236287909</v>
      </c>
    </row>
    <row r="386" spans="1:20" x14ac:dyDescent="0.25">
      <c r="A386" s="5">
        <v>44207</v>
      </c>
      <c r="B386">
        <v>2.707E-2</v>
      </c>
      <c r="C386">
        <v>2.7178999999999998E-2</v>
      </c>
      <c r="D386">
        <v>1.9400000000000001E-2</v>
      </c>
      <c r="E386">
        <v>2.4344000000000001E-2</v>
      </c>
      <c r="F386">
        <v>4698228539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0.27111453914384931</v>
      </c>
      <c r="Q386">
        <f t="shared" si="970"/>
        <v>1273758065.1434655</v>
      </c>
      <c r="R386">
        <f t="shared" si="971"/>
        <v>52834502300.168404</v>
      </c>
      <c r="S386">
        <f t="shared" si="972"/>
        <v>528345.02300168399</v>
      </c>
      <c r="T386">
        <f t="shared" si="973"/>
        <v>528.34502300168401</v>
      </c>
    </row>
    <row r="387" spans="1:20" x14ac:dyDescent="0.25">
      <c r="A387" s="5">
        <v>44206</v>
      </c>
      <c r="B387">
        <v>2.8811E-2</v>
      </c>
      <c r="C387">
        <v>3.09E-2</v>
      </c>
      <c r="D387">
        <v>2.4295000000000001E-2</v>
      </c>
      <c r="E387">
        <v>2.707E-2</v>
      </c>
      <c r="F387">
        <v>3046114570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-0.1597274791824376</v>
      </c>
      <c r="Q387">
        <f t="shared" si="970"/>
        <v>-486548201.56699485</v>
      </c>
      <c r="R387">
        <f t="shared" si="971"/>
        <v>51560744235.02494</v>
      </c>
      <c r="S387">
        <f t="shared" si="972"/>
        <v>515607.44235024939</v>
      </c>
      <c r="T387">
        <f t="shared" si="973"/>
        <v>515.60744235024936</v>
      </c>
    </row>
    <row r="388" spans="1:20" x14ac:dyDescent="0.25">
      <c r="A388" s="5">
        <v>44205</v>
      </c>
      <c r="B388">
        <v>2.7279999999999999E-2</v>
      </c>
      <c r="C388">
        <v>2.9950000000000001E-2</v>
      </c>
      <c r="D388">
        <v>2.6262000000000001E-2</v>
      </c>
      <c r="E388">
        <v>2.8812000000000001E-2</v>
      </c>
      <c r="F388">
        <v>2120822542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0.38286334056399129</v>
      </c>
      <c r="Q388">
        <f t="shared" si="970"/>
        <v>811985203.1735357</v>
      </c>
      <c r="R388">
        <f t="shared" si="971"/>
        <v>52047292436.591934</v>
      </c>
      <c r="S388">
        <f t="shared" si="972"/>
        <v>520472.92436591932</v>
      </c>
      <c r="T388">
        <f t="shared" si="973"/>
        <v>520.47292436591931</v>
      </c>
    </row>
    <row r="389" spans="1:20" x14ac:dyDescent="0.25">
      <c r="A389" s="5">
        <v>44204</v>
      </c>
      <c r="B389">
        <v>2.8660999999999999E-2</v>
      </c>
      <c r="C389">
        <v>2.8913999999999999E-2</v>
      </c>
      <c r="D389">
        <v>2.4500000000000001E-2</v>
      </c>
      <c r="E389">
        <v>2.7299E-2</v>
      </c>
      <c r="F389">
        <v>3048483070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0.26823742637063924</v>
      </c>
      <c r="Q389">
        <f t="shared" si="970"/>
        <v>817717253.03126526</v>
      </c>
      <c r="R389">
        <f t="shared" si="971"/>
        <v>51235307233.418396</v>
      </c>
      <c r="S389">
        <f t="shared" si="972"/>
        <v>512353.07233418396</v>
      </c>
      <c r="T389">
        <f t="shared" si="973"/>
        <v>512.35307233418393</v>
      </c>
    </row>
    <row r="390" spans="1:20" x14ac:dyDescent="0.25">
      <c r="A390" s="5">
        <v>44203</v>
      </c>
      <c r="B390">
        <v>3.0817000000000001E-2</v>
      </c>
      <c r="C390">
        <v>3.1900999999999999E-2</v>
      </c>
      <c r="D390">
        <v>2.7122E-2</v>
      </c>
      <c r="E390">
        <v>2.8673000000000001E-2</v>
      </c>
      <c r="F390">
        <v>3076158137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-0.35091023226616413</v>
      </c>
      <c r="Q390">
        <f t="shared" ref="Q390:Q453" si="975">F390*P390</f>
        <v>-1079455366.3421206</v>
      </c>
      <c r="R390">
        <f t="shared" ref="R390:R453" si="976">R391+Q390</f>
        <v>50417589980.387131</v>
      </c>
      <c r="S390">
        <f t="shared" ref="S390:S453" si="977">R390/100000</f>
        <v>504175.89980387129</v>
      </c>
      <c r="T390">
        <f t="shared" ref="T390:T453" si="978">S390/1000</f>
        <v>504.17589980387129</v>
      </c>
    </row>
    <row r="391" spans="1:20" x14ac:dyDescent="0.25">
      <c r="A391" s="5">
        <v>44202</v>
      </c>
      <c r="B391">
        <v>2.7963999999999999E-2</v>
      </c>
      <c r="C391">
        <v>3.2265000000000002E-2</v>
      </c>
      <c r="D391">
        <v>2.7147000000000001E-2</v>
      </c>
      <c r="E391">
        <v>3.0818999999999999E-2</v>
      </c>
      <c r="F391">
        <v>4680573055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0.43493552168815847</v>
      </c>
      <c r="Q391">
        <f t="shared" si="975"/>
        <v>2035747483.4759626</v>
      </c>
      <c r="R391">
        <f t="shared" si="976"/>
        <v>51497045346.729248</v>
      </c>
      <c r="S391">
        <f t="shared" si="977"/>
        <v>514970.45346729248</v>
      </c>
      <c r="T391">
        <f t="shared" si="978"/>
        <v>514.97045346729249</v>
      </c>
    </row>
    <row r="392" spans="1:20" x14ac:dyDescent="0.25">
      <c r="A392" s="5">
        <v>44201</v>
      </c>
      <c r="B392">
        <v>2.4622000000000002E-2</v>
      </c>
      <c r="C392">
        <v>2.9000000000000001E-2</v>
      </c>
      <c r="D392">
        <v>2.3175999999999999E-2</v>
      </c>
      <c r="E392">
        <v>2.7963999999999999E-2</v>
      </c>
      <c r="F392">
        <v>4195835333.5999999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0.64423076923076861</v>
      </c>
      <c r="Q392">
        <f t="shared" si="975"/>
        <v>2703086224.5307665</v>
      </c>
      <c r="R392">
        <f t="shared" si="976"/>
        <v>49461297863.253288</v>
      </c>
      <c r="S392">
        <f t="shared" si="977"/>
        <v>494612.97863253288</v>
      </c>
      <c r="T392">
        <f t="shared" si="978"/>
        <v>494.61297863253287</v>
      </c>
    </row>
    <row r="393" spans="1:20" x14ac:dyDescent="0.25">
      <c r="A393" s="5">
        <v>44200</v>
      </c>
      <c r="B393">
        <v>2.6255000000000001E-2</v>
      </c>
      <c r="C393">
        <v>2.7184E-2</v>
      </c>
      <c r="D393">
        <v>2.1191000000000002E-2</v>
      </c>
      <c r="E393">
        <v>2.4597999999999998E-2</v>
      </c>
      <c r="F393">
        <v>4732839020.6999998</v>
      </c>
      <c r="G393">
        <v>0</v>
      </c>
      <c r="L393" t="s">
        <v>7</v>
      </c>
      <c r="M393" t="s">
        <v>8</v>
      </c>
      <c r="N393" t="s">
        <v>8</v>
      </c>
      <c r="P393">
        <f t="shared" si="974"/>
        <v>0.13699315868513193</v>
      </c>
      <c r="Q393">
        <f t="shared" si="975"/>
        <v>648366566.99393952</v>
      </c>
      <c r="R393">
        <f t="shared" si="976"/>
        <v>46758211638.722519</v>
      </c>
      <c r="S393">
        <f t="shared" si="977"/>
        <v>467582.11638722516</v>
      </c>
      <c r="T393">
        <f t="shared" si="978"/>
        <v>467.58211638722514</v>
      </c>
    </row>
    <row r="394" spans="1:20" x14ac:dyDescent="0.25">
      <c r="A394" s="5">
        <v>44199</v>
      </c>
      <c r="B394">
        <v>2.0013E-2</v>
      </c>
      <c r="C394">
        <v>2.6981999999999999E-2</v>
      </c>
      <c r="D394">
        <v>1.9741000000000002E-2</v>
      </c>
      <c r="E394">
        <v>2.6225999999999999E-2</v>
      </c>
      <c r="F394">
        <v>6154508309.8000002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0.79118906228421493</v>
      </c>
      <c r="Q394">
        <f t="shared" si="975"/>
        <v>4869379658.4510708</v>
      </c>
      <c r="R394">
        <f t="shared" si="976"/>
        <v>46109845071.728577</v>
      </c>
      <c r="S394">
        <f t="shared" si="977"/>
        <v>461098.45071728574</v>
      </c>
      <c r="T394">
        <f t="shared" si="978"/>
        <v>461.09845071728574</v>
      </c>
    </row>
    <row r="395" spans="1:20" x14ac:dyDescent="0.25">
      <c r="A395" s="5">
        <v>44198</v>
      </c>
      <c r="B395">
        <v>1.9050000000000001E-2</v>
      </c>
      <c r="C395">
        <v>2.12E-2</v>
      </c>
      <c r="D395">
        <v>1.847E-2</v>
      </c>
      <c r="E395">
        <v>1.9993E-2</v>
      </c>
      <c r="F395">
        <v>2226613989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0.11575091575091587</v>
      </c>
      <c r="Q395">
        <f t="shared" si="975"/>
        <v>257732608.2505497</v>
      </c>
      <c r="R395">
        <f t="shared" si="976"/>
        <v>41240465413.277504</v>
      </c>
      <c r="S395">
        <f t="shared" si="977"/>
        <v>412404.65413277503</v>
      </c>
      <c r="T395">
        <f t="shared" si="978"/>
        <v>412.40465413277502</v>
      </c>
    </row>
    <row r="396" spans="1:20" x14ac:dyDescent="0.25">
      <c r="A396" s="5">
        <v>44197</v>
      </c>
      <c r="B396">
        <v>1.8775E-2</v>
      </c>
      <c r="C396">
        <v>2.0185000000000002E-2</v>
      </c>
      <c r="D396">
        <v>1.8401000000000001E-2</v>
      </c>
      <c r="E396">
        <v>1.9051999999999999E-2</v>
      </c>
      <c r="F396">
        <v>1654197955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-0.27017937219731114</v>
      </c>
      <c r="Q396">
        <f t="shared" si="975"/>
        <v>-446930164.97197592</v>
      </c>
      <c r="R396">
        <f t="shared" si="976"/>
        <v>40982732805.026955</v>
      </c>
      <c r="S396">
        <f t="shared" si="977"/>
        <v>409827.32805026957</v>
      </c>
      <c r="T396">
        <f t="shared" si="978"/>
        <v>409.82732805026956</v>
      </c>
    </row>
    <row r="397" spans="1:20" x14ac:dyDescent="0.25">
      <c r="A397" s="5">
        <v>44196</v>
      </c>
      <c r="B397">
        <v>2.0222E-2</v>
      </c>
      <c r="C397">
        <v>2.0310000000000002E-2</v>
      </c>
      <c r="D397">
        <v>1.8249999999999999E-2</v>
      </c>
      <c r="E397">
        <v>1.8754E-2</v>
      </c>
      <c r="F397">
        <v>1429521606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-0.51067961165048514</v>
      </c>
      <c r="Q397">
        <f t="shared" si="975"/>
        <v>-730027538.59805787</v>
      </c>
      <c r="R397">
        <f t="shared" si="976"/>
        <v>41429662969.998932</v>
      </c>
      <c r="S397">
        <f t="shared" si="977"/>
        <v>414296.62969998934</v>
      </c>
      <c r="T397">
        <f t="shared" si="978"/>
        <v>414.29662969998935</v>
      </c>
    </row>
    <row r="398" spans="1:20" x14ac:dyDescent="0.25">
      <c r="A398" s="5">
        <v>44195</v>
      </c>
      <c r="B398">
        <v>2.1153000000000002E-2</v>
      </c>
      <c r="C398">
        <v>2.1298999999999998E-2</v>
      </c>
      <c r="D398">
        <v>1.9099999999999999E-2</v>
      </c>
      <c r="E398">
        <v>2.0199999999999999E-2</v>
      </c>
      <c r="F398">
        <v>2103014205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4.5475216007321521E-4</v>
      </c>
      <c r="Q398">
        <f t="shared" si="975"/>
        <v>956350.25238840538</v>
      </c>
      <c r="R398">
        <f t="shared" si="976"/>
        <v>42159690508.596992</v>
      </c>
      <c r="S398">
        <f t="shared" si="977"/>
        <v>421596.90508596995</v>
      </c>
      <c r="T398">
        <f t="shared" si="978"/>
        <v>421.59690508596992</v>
      </c>
    </row>
    <row r="399" spans="1:20" x14ac:dyDescent="0.25">
      <c r="A399" s="5">
        <v>44194</v>
      </c>
      <c r="B399">
        <v>2.0211E-2</v>
      </c>
      <c r="C399">
        <v>2.1337999999999999E-2</v>
      </c>
      <c r="D399">
        <v>1.8605E-2</v>
      </c>
      <c r="E399">
        <v>2.1135000000000001E-2</v>
      </c>
      <c r="F399">
        <v>4778536966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0.85144529820709958</v>
      </c>
      <c r="Q399">
        <f t="shared" si="975"/>
        <v>4068662832.0095186</v>
      </c>
      <c r="R399">
        <f t="shared" si="976"/>
        <v>42158734158.344604</v>
      </c>
      <c r="S399">
        <f t="shared" si="977"/>
        <v>421587.34158344602</v>
      </c>
      <c r="T399">
        <f t="shared" si="978"/>
        <v>421.587341583446</v>
      </c>
    </row>
    <row r="400" spans="1:20" x14ac:dyDescent="0.25">
      <c r="A400" s="5">
        <v>44193</v>
      </c>
      <c r="B400">
        <v>1.653E-2</v>
      </c>
      <c r="C400">
        <v>2.0500000000000001E-2</v>
      </c>
      <c r="D400">
        <v>1.6216999999999999E-2</v>
      </c>
      <c r="E400">
        <v>2.0212000000000001E-2</v>
      </c>
      <c r="F400">
        <v>3593428635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0.86551482605650254</v>
      </c>
      <c r="Q400">
        <f t="shared" si="975"/>
        <v>3110165759.9684806</v>
      </c>
      <c r="R400">
        <f t="shared" si="976"/>
        <v>38090071326.335083</v>
      </c>
      <c r="S400">
        <f t="shared" si="977"/>
        <v>380900.71326335083</v>
      </c>
      <c r="T400">
        <f t="shared" si="978"/>
        <v>380.90071326335084</v>
      </c>
    </row>
    <row r="401" spans="1:20" x14ac:dyDescent="0.25">
      <c r="A401" s="5">
        <v>44192</v>
      </c>
      <c r="B401">
        <v>1.6471E-2</v>
      </c>
      <c r="C401">
        <v>1.7999999999999999E-2</v>
      </c>
      <c r="D401">
        <v>1.5758999999999999E-2</v>
      </c>
      <c r="E401">
        <v>1.6542000000000001E-2</v>
      </c>
      <c r="F401">
        <v>3919629181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-0.30120481927710624</v>
      </c>
      <c r="Q401">
        <f t="shared" si="975"/>
        <v>-1180611199.0963769</v>
      </c>
      <c r="R401">
        <f t="shared" si="976"/>
        <v>34979905566.3666</v>
      </c>
      <c r="S401">
        <f t="shared" si="977"/>
        <v>349799.05566366599</v>
      </c>
      <c r="T401">
        <f t="shared" si="978"/>
        <v>349.79905566366597</v>
      </c>
    </row>
    <row r="402" spans="1:20" x14ac:dyDescent="0.25">
      <c r="A402" s="5">
        <v>44191</v>
      </c>
      <c r="B402">
        <v>1.4599000000000001E-2</v>
      </c>
      <c r="C402">
        <v>1.755E-2</v>
      </c>
      <c r="D402">
        <v>1.3610000000000001E-2</v>
      </c>
      <c r="E402">
        <v>1.6471E-2</v>
      </c>
      <c r="F402">
        <v>2245119033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0.4522842639593907</v>
      </c>
      <c r="Q402">
        <f t="shared" si="975"/>
        <v>1015432009.341624</v>
      </c>
      <c r="R402">
        <f t="shared" si="976"/>
        <v>36160516765.462975</v>
      </c>
      <c r="S402">
        <f t="shared" si="977"/>
        <v>361605.16765462974</v>
      </c>
      <c r="T402">
        <f t="shared" si="978"/>
        <v>361.60516765462972</v>
      </c>
    </row>
    <row r="403" spans="1:20" x14ac:dyDescent="0.25">
      <c r="A403" s="5">
        <v>44190</v>
      </c>
      <c r="B403">
        <v>1.4907999999999999E-2</v>
      </c>
      <c r="C403">
        <v>1.5252E-2</v>
      </c>
      <c r="D403">
        <v>1.4145E-2</v>
      </c>
      <c r="E403">
        <v>1.4598E-2</v>
      </c>
      <c r="F403">
        <v>969871060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-0.18157181571815695</v>
      </c>
      <c r="Q403">
        <f t="shared" si="975"/>
        <v>-176101249.37669355</v>
      </c>
      <c r="R403">
        <f t="shared" si="976"/>
        <v>35145084756.121353</v>
      </c>
      <c r="S403">
        <f t="shared" si="977"/>
        <v>351450.84756121354</v>
      </c>
      <c r="T403">
        <f t="shared" si="978"/>
        <v>351.45084756121355</v>
      </c>
    </row>
    <row r="404" spans="1:20" x14ac:dyDescent="0.25">
      <c r="A404" s="5">
        <v>44189</v>
      </c>
      <c r="B404">
        <v>1.3235E-2</v>
      </c>
      <c r="C404">
        <v>1.5129E-2</v>
      </c>
      <c r="D404">
        <v>1.2597000000000001E-2</v>
      </c>
      <c r="E404">
        <v>1.4893E-2</v>
      </c>
      <c r="F404">
        <v>1802336252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0.81358609794628745</v>
      </c>
      <c r="Q404">
        <f t="shared" si="975"/>
        <v>1466355718.4518166</v>
      </c>
      <c r="R404">
        <f t="shared" si="976"/>
        <v>35321186005.498047</v>
      </c>
      <c r="S404">
        <f t="shared" si="977"/>
        <v>353211.8600549805</v>
      </c>
      <c r="T404">
        <f t="shared" si="978"/>
        <v>353.21186005498049</v>
      </c>
    </row>
    <row r="405" spans="1:20" x14ac:dyDescent="0.25">
      <c r="A405" s="5">
        <v>44188</v>
      </c>
      <c r="B405">
        <v>1.5859000000000002E-2</v>
      </c>
      <c r="C405">
        <v>1.6035000000000001E-2</v>
      </c>
      <c r="D405">
        <v>1.15E-2</v>
      </c>
      <c r="E405">
        <v>1.3236E-2</v>
      </c>
      <c r="F405">
        <v>2012271362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-0.23439911797133434</v>
      </c>
      <c r="Q405">
        <f t="shared" si="975"/>
        <v>-471674632.37177563</v>
      </c>
      <c r="R405">
        <f t="shared" si="976"/>
        <v>33854830287.046227</v>
      </c>
      <c r="S405">
        <f t="shared" si="977"/>
        <v>338548.30287046224</v>
      </c>
      <c r="T405">
        <f t="shared" si="978"/>
        <v>338.54830287046224</v>
      </c>
    </row>
    <row r="406" spans="1:20" x14ac:dyDescent="0.25">
      <c r="A406" s="5">
        <v>44187</v>
      </c>
      <c r="B406">
        <v>1.5524E-2</v>
      </c>
      <c r="C406">
        <v>1.6209999999999999E-2</v>
      </c>
      <c r="D406">
        <v>1.495E-2</v>
      </c>
      <c r="E406">
        <v>1.5854E-2</v>
      </c>
      <c r="F406">
        <v>955387775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0.43492063492063654</v>
      </c>
      <c r="Q406">
        <f t="shared" si="975"/>
        <v>415517857.69841427</v>
      </c>
      <c r="R406">
        <f t="shared" si="976"/>
        <v>34326504919.418003</v>
      </c>
      <c r="S406">
        <f t="shared" si="977"/>
        <v>343265.04919418006</v>
      </c>
      <c r="T406">
        <f t="shared" si="978"/>
        <v>343.26504919418005</v>
      </c>
    </row>
    <row r="407" spans="1:20" x14ac:dyDescent="0.25">
      <c r="A407" s="5">
        <v>44186</v>
      </c>
      <c r="B407">
        <v>1.6320999999999999E-2</v>
      </c>
      <c r="C407">
        <v>1.6521999999999998E-2</v>
      </c>
      <c r="D407">
        <v>1.5100000000000001E-2</v>
      </c>
      <c r="E407">
        <v>1.5523E-2</v>
      </c>
      <c r="F407">
        <v>1067636434</v>
      </c>
      <c r="G407">
        <v>0</v>
      </c>
      <c r="L407" t="s">
        <v>7</v>
      </c>
      <c r="M407" t="s">
        <v>8</v>
      </c>
      <c r="N407" t="s">
        <v>8</v>
      </c>
      <c r="P407">
        <f t="shared" si="974"/>
        <v>-0.40506329113923994</v>
      </c>
      <c r="Q407">
        <f t="shared" si="975"/>
        <v>-432460327.69620192</v>
      </c>
      <c r="R407">
        <f t="shared" si="976"/>
        <v>33910987061.719589</v>
      </c>
      <c r="S407">
        <f t="shared" si="977"/>
        <v>339109.87061719591</v>
      </c>
      <c r="T407">
        <f t="shared" si="978"/>
        <v>339.1098706171959</v>
      </c>
    </row>
    <row r="408" spans="1:20" x14ac:dyDescent="0.25">
      <c r="A408" s="5">
        <v>44185</v>
      </c>
      <c r="B408">
        <v>1.7371999999999999E-2</v>
      </c>
      <c r="C408">
        <v>1.7517000000000001E-2</v>
      </c>
      <c r="D408">
        <v>1.5569E-2</v>
      </c>
      <c r="E408">
        <v>1.6324999999999999E-2</v>
      </c>
      <c r="F408">
        <v>1308906792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-0.22381930184805029</v>
      </c>
      <c r="Q408">
        <f t="shared" si="975"/>
        <v>-292958604.3696112</v>
      </c>
      <c r="R408">
        <f t="shared" si="976"/>
        <v>34343447389.415791</v>
      </c>
      <c r="S408">
        <f t="shared" si="977"/>
        <v>343434.47389415791</v>
      </c>
      <c r="T408">
        <f t="shared" si="978"/>
        <v>343.43447389415792</v>
      </c>
    </row>
    <row r="409" spans="1:20" x14ac:dyDescent="0.25">
      <c r="A409" s="5">
        <v>44184</v>
      </c>
      <c r="B409">
        <v>1.7426000000000001E-2</v>
      </c>
      <c r="C409">
        <v>1.8100000000000002E-2</v>
      </c>
      <c r="D409">
        <v>1.7153999999999999E-2</v>
      </c>
      <c r="E409">
        <v>1.7373E-2</v>
      </c>
      <c r="F409">
        <v>1091660738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-0.53699788583509533</v>
      </c>
      <c r="Q409">
        <f t="shared" si="975"/>
        <v>-586219508.35517991</v>
      </c>
      <c r="R409">
        <f t="shared" si="976"/>
        <v>34636405993.7854</v>
      </c>
      <c r="S409">
        <f t="shared" si="977"/>
        <v>346364.05993785401</v>
      </c>
      <c r="T409">
        <f t="shared" si="978"/>
        <v>346.36405993785399</v>
      </c>
    </row>
    <row r="410" spans="1:20" x14ac:dyDescent="0.25">
      <c r="A410" s="5">
        <v>44183</v>
      </c>
      <c r="B410">
        <v>1.7087000000000001E-2</v>
      </c>
      <c r="C410">
        <v>1.7676999999999998E-2</v>
      </c>
      <c r="D410">
        <v>1.66E-2</v>
      </c>
      <c r="E410">
        <v>1.7423999999999999E-2</v>
      </c>
      <c r="F410">
        <v>912326810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0.53017641597028742</v>
      </c>
      <c r="Q410">
        <f t="shared" si="975"/>
        <v>483694158.31940538</v>
      </c>
      <c r="R410">
        <f t="shared" si="976"/>
        <v>35222625502.140579</v>
      </c>
      <c r="S410">
        <f t="shared" si="977"/>
        <v>352226.25502140581</v>
      </c>
      <c r="T410">
        <f t="shared" si="978"/>
        <v>352.22625502140579</v>
      </c>
    </row>
    <row r="411" spans="1:20" x14ac:dyDescent="0.25">
      <c r="A411" s="5">
        <v>44182</v>
      </c>
      <c r="B411">
        <v>1.7285999999999999E-2</v>
      </c>
      <c r="C411">
        <v>1.8194999999999999E-2</v>
      </c>
      <c r="D411">
        <v>1.6392E-2</v>
      </c>
      <c r="E411">
        <v>1.7092E-2</v>
      </c>
      <c r="F411">
        <v>1845034920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-0.22351636161952346</v>
      </c>
      <c r="Q411">
        <f t="shared" si="975"/>
        <v>-412395492.37936854</v>
      </c>
      <c r="R411">
        <f t="shared" si="976"/>
        <v>34738931343.821175</v>
      </c>
      <c r="S411">
        <f t="shared" si="977"/>
        <v>347389.31343821174</v>
      </c>
      <c r="T411">
        <f t="shared" si="978"/>
        <v>347.38931343821173</v>
      </c>
    </row>
    <row r="412" spans="1:20" x14ac:dyDescent="0.25">
      <c r="A412" s="5">
        <v>44181</v>
      </c>
      <c r="B412">
        <v>1.6504999999999999E-2</v>
      </c>
      <c r="C412">
        <v>1.7465999999999999E-2</v>
      </c>
      <c r="D412">
        <v>1.6188000000000001E-2</v>
      </c>
      <c r="E412">
        <v>1.7274000000000001E-2</v>
      </c>
      <c r="F412">
        <v>1197063066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0.69953051643192798</v>
      </c>
      <c r="Q412">
        <f t="shared" si="975"/>
        <v>837382144.76056707</v>
      </c>
      <c r="R412">
        <f t="shared" si="976"/>
        <v>35151326836.200546</v>
      </c>
      <c r="S412">
        <f t="shared" si="977"/>
        <v>351513.26836200547</v>
      </c>
      <c r="T412">
        <f t="shared" si="978"/>
        <v>351.51326836200548</v>
      </c>
    </row>
    <row r="413" spans="1:20" x14ac:dyDescent="0.25">
      <c r="A413" s="5">
        <v>44180</v>
      </c>
      <c r="B413">
        <v>1.6375000000000001E-2</v>
      </c>
      <c r="C413">
        <v>1.6929E-2</v>
      </c>
      <c r="D413">
        <v>1.6025999999999999E-2</v>
      </c>
      <c r="E413">
        <v>1.6500999999999998E-2</v>
      </c>
      <c r="F413">
        <v>733488617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5.2048726467329325E-2</v>
      </c>
      <c r="Q413">
        <f t="shared" si="975"/>
        <v>38177148.393132679</v>
      </c>
      <c r="R413">
        <f t="shared" si="976"/>
        <v>34313944691.43998</v>
      </c>
      <c r="S413">
        <f t="shared" si="977"/>
        <v>343139.4469143998</v>
      </c>
      <c r="T413">
        <f t="shared" si="978"/>
        <v>343.1394469143998</v>
      </c>
    </row>
    <row r="414" spans="1:20" x14ac:dyDescent="0.25">
      <c r="A414" s="5">
        <v>44179</v>
      </c>
      <c r="B414">
        <v>1.6461E-2</v>
      </c>
      <c r="C414">
        <v>1.6624E-2</v>
      </c>
      <c r="D414">
        <v>1.6125E-2</v>
      </c>
      <c r="E414">
        <v>1.6369999999999999E-2</v>
      </c>
      <c r="F414">
        <v>576292266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-1.8036072144292731E-2</v>
      </c>
      <c r="Q414">
        <f t="shared" si="975"/>
        <v>-10394048.885773936</v>
      </c>
      <c r="R414">
        <f t="shared" si="976"/>
        <v>34275767543.046848</v>
      </c>
      <c r="S414">
        <f t="shared" si="977"/>
        <v>342757.67543046846</v>
      </c>
      <c r="T414">
        <f t="shared" si="978"/>
        <v>342.75767543046845</v>
      </c>
    </row>
    <row r="415" spans="1:20" x14ac:dyDescent="0.25">
      <c r="A415" s="5">
        <v>44178</v>
      </c>
      <c r="B415">
        <v>1.6500999999999998E-2</v>
      </c>
      <c r="C415">
        <v>1.7000000000000001E-2</v>
      </c>
      <c r="D415">
        <v>1.6222E-2</v>
      </c>
      <c r="E415">
        <v>1.6469999999999999E-2</v>
      </c>
      <c r="F415">
        <v>783131636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-0.36246786632391276</v>
      </c>
      <c r="Q415">
        <f t="shared" si="975"/>
        <v>-283860053.15167511</v>
      </c>
      <c r="R415">
        <f t="shared" si="976"/>
        <v>34286161591.932621</v>
      </c>
      <c r="S415">
        <f t="shared" si="977"/>
        <v>342861.6159193262</v>
      </c>
      <c r="T415">
        <f t="shared" si="978"/>
        <v>342.8616159193262</v>
      </c>
    </row>
    <row r="416" spans="1:20" x14ac:dyDescent="0.25">
      <c r="A416" s="5">
        <v>44177</v>
      </c>
      <c r="B416">
        <v>1.5594999999999999E-2</v>
      </c>
      <c r="C416">
        <v>1.6714E-2</v>
      </c>
      <c r="D416">
        <v>1.5552E-2</v>
      </c>
      <c r="E416">
        <v>1.6497000000000001E-2</v>
      </c>
      <c r="F416">
        <v>784296993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0.62650602409638811</v>
      </c>
      <c r="Q416">
        <f t="shared" si="975"/>
        <v>491366790.79518276</v>
      </c>
      <c r="R416">
        <f t="shared" si="976"/>
        <v>34570021645.084297</v>
      </c>
      <c r="S416">
        <f t="shared" si="977"/>
        <v>345700.21645084297</v>
      </c>
      <c r="T416">
        <f t="shared" si="978"/>
        <v>345.70021645084296</v>
      </c>
    </row>
    <row r="417" spans="1:20" x14ac:dyDescent="0.25">
      <c r="A417" s="5">
        <v>44176</v>
      </c>
      <c r="B417">
        <v>1.5944E-2</v>
      </c>
      <c r="C417">
        <v>1.6077999999999999E-2</v>
      </c>
      <c r="D417">
        <v>1.4956000000000001E-2</v>
      </c>
      <c r="E417">
        <v>1.5587E-2</v>
      </c>
      <c r="F417">
        <v>1012034676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0.12477718360071434</v>
      </c>
      <c r="Q417">
        <f t="shared" si="975"/>
        <v>126278836.57754146</v>
      </c>
      <c r="R417">
        <f t="shared" si="976"/>
        <v>34078654854.289116</v>
      </c>
      <c r="S417">
        <f t="shared" si="977"/>
        <v>340786.54854289116</v>
      </c>
      <c r="T417">
        <f t="shared" si="978"/>
        <v>340.78654854289118</v>
      </c>
    </row>
    <row r="418" spans="1:20" x14ac:dyDescent="0.25">
      <c r="A418" s="5">
        <v>44175</v>
      </c>
      <c r="B418">
        <v>1.6775000000000002E-2</v>
      </c>
      <c r="C418">
        <v>1.6898E-2</v>
      </c>
      <c r="D418">
        <v>1.5639E-2</v>
      </c>
      <c r="E418">
        <v>1.5937E-2</v>
      </c>
      <c r="F418">
        <v>804343154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-0.5266084193804611</v>
      </c>
      <c r="Q418">
        <f t="shared" si="975"/>
        <v>-423573876.96743482</v>
      </c>
      <c r="R418">
        <f t="shared" si="976"/>
        <v>33952376017.711575</v>
      </c>
      <c r="S418">
        <f t="shared" si="977"/>
        <v>339523.76017711574</v>
      </c>
      <c r="T418">
        <f t="shared" si="978"/>
        <v>339.52376017711572</v>
      </c>
    </row>
    <row r="419" spans="1:20" x14ac:dyDescent="0.25">
      <c r="A419" s="5">
        <v>44174</v>
      </c>
      <c r="B419">
        <v>1.6372000000000001E-2</v>
      </c>
      <c r="C419">
        <v>1.7115999999999999E-2</v>
      </c>
      <c r="D419">
        <v>1.5062000000000001E-2</v>
      </c>
      <c r="E419">
        <v>1.6757999999999999E-2</v>
      </c>
      <c r="F419">
        <v>1620591491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0.65141187925997956</v>
      </c>
      <c r="Q419">
        <f t="shared" si="975"/>
        <v>1055672548.6650423</v>
      </c>
      <c r="R419">
        <f t="shared" si="976"/>
        <v>34375949894.679008</v>
      </c>
      <c r="S419">
        <f t="shared" si="977"/>
        <v>343759.49894679006</v>
      </c>
      <c r="T419">
        <f t="shared" si="978"/>
        <v>343.75949894679007</v>
      </c>
    </row>
    <row r="420" spans="1:20" x14ac:dyDescent="0.25">
      <c r="A420" s="5">
        <v>44173</v>
      </c>
      <c r="B420">
        <v>1.8134999999999998E-2</v>
      </c>
      <c r="C420">
        <v>1.8308000000000001E-2</v>
      </c>
      <c r="D420">
        <v>1.5800000000000002E-2</v>
      </c>
      <c r="E420">
        <v>1.6382000000000001E-2</v>
      </c>
      <c r="F420">
        <v>1785899138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-0.53588516746411541</v>
      </c>
      <c r="Q420">
        <f t="shared" si="975"/>
        <v>-957036858.6411494</v>
      </c>
      <c r="R420">
        <f t="shared" si="976"/>
        <v>33320277346.013969</v>
      </c>
      <c r="S420">
        <f t="shared" si="977"/>
        <v>333202.7734601397</v>
      </c>
      <c r="T420">
        <f t="shared" si="978"/>
        <v>333.20277346013967</v>
      </c>
    </row>
    <row r="421" spans="1:20" x14ac:dyDescent="0.25">
      <c r="A421" s="5">
        <v>44172</v>
      </c>
      <c r="B421">
        <v>1.7156000000000001E-2</v>
      </c>
      <c r="C421">
        <v>1.8499000000000002E-2</v>
      </c>
      <c r="D421">
        <v>1.6441999999999998E-2</v>
      </c>
      <c r="E421">
        <v>1.8137E-2</v>
      </c>
      <c r="F421">
        <v>1915874039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0.64803111327175433</v>
      </c>
      <c r="Q421">
        <f t="shared" si="975"/>
        <v>1241545986.3816226</v>
      </c>
      <c r="R421">
        <f t="shared" si="976"/>
        <v>34277314204.655117</v>
      </c>
      <c r="S421">
        <f t="shared" si="977"/>
        <v>342773.14204655116</v>
      </c>
      <c r="T421">
        <f t="shared" si="978"/>
        <v>342.77314204655119</v>
      </c>
    </row>
    <row r="422" spans="1:20" x14ac:dyDescent="0.25">
      <c r="A422" s="5">
        <v>44171</v>
      </c>
      <c r="B422">
        <v>1.7484E-2</v>
      </c>
      <c r="C422">
        <v>1.7593000000000001E-2</v>
      </c>
      <c r="D422">
        <v>1.6503E-2</v>
      </c>
      <c r="E422">
        <v>1.7144E-2</v>
      </c>
      <c r="F422">
        <v>912883400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0.17614678899082351</v>
      </c>
      <c r="Q422">
        <f t="shared" si="975"/>
        <v>160801479.63302553</v>
      </c>
      <c r="R422">
        <f t="shared" si="976"/>
        <v>33035768218.273495</v>
      </c>
      <c r="S422">
        <f t="shared" si="977"/>
        <v>330357.68218273495</v>
      </c>
      <c r="T422">
        <f t="shared" si="978"/>
        <v>330.35768218273495</v>
      </c>
    </row>
    <row r="423" spans="1:20" x14ac:dyDescent="0.25">
      <c r="A423" s="5">
        <v>44170</v>
      </c>
      <c r="B423">
        <v>1.5696999999999999E-2</v>
      </c>
      <c r="C423">
        <v>1.7680000000000001E-2</v>
      </c>
      <c r="D423">
        <v>1.5429999999999999E-2</v>
      </c>
      <c r="E423">
        <v>1.7484E-2</v>
      </c>
      <c r="F423">
        <v>1331882359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0.82577777777777639</v>
      </c>
      <c r="Q423">
        <f t="shared" si="975"/>
        <v>1099838854.6764426</v>
      </c>
      <c r="R423">
        <f t="shared" si="976"/>
        <v>32874966738.640469</v>
      </c>
      <c r="S423">
        <f t="shared" si="977"/>
        <v>328749.6673864047</v>
      </c>
      <c r="T423">
        <f t="shared" si="978"/>
        <v>328.74966738640472</v>
      </c>
    </row>
    <row r="424" spans="1:20" x14ac:dyDescent="0.25">
      <c r="A424" s="5">
        <v>44169</v>
      </c>
      <c r="B424">
        <v>1.7382000000000002E-2</v>
      </c>
      <c r="C424">
        <v>1.7776E-2</v>
      </c>
      <c r="D424">
        <v>1.5413E-2</v>
      </c>
      <c r="E424">
        <v>1.5698E-2</v>
      </c>
      <c r="F424">
        <v>1363878761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-0.75878121032585655</v>
      </c>
      <c r="Q424">
        <f t="shared" si="975"/>
        <v>-1034885577.0093096</v>
      </c>
      <c r="R424">
        <f t="shared" si="976"/>
        <v>31775127883.964027</v>
      </c>
      <c r="S424">
        <f t="shared" si="977"/>
        <v>317751.27883964026</v>
      </c>
      <c r="T424">
        <f t="shared" si="978"/>
        <v>317.75127883964024</v>
      </c>
    </row>
    <row r="425" spans="1:20" x14ac:dyDescent="0.25">
      <c r="A425" s="5">
        <v>44168</v>
      </c>
      <c r="B425">
        <v>1.6389000000000001E-2</v>
      </c>
      <c r="C425">
        <v>1.7961000000000001E-2</v>
      </c>
      <c r="D425">
        <v>1.6036000000000002E-2</v>
      </c>
      <c r="E425">
        <v>1.7396999999999999E-2</v>
      </c>
      <c r="F425">
        <v>2010476547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0.41402597402597185</v>
      </c>
      <c r="Q425">
        <f t="shared" si="975"/>
        <v>832389510.62804759</v>
      </c>
      <c r="R425">
        <f t="shared" si="976"/>
        <v>32810013460.973335</v>
      </c>
      <c r="S425">
        <f t="shared" si="977"/>
        <v>328100.13460973336</v>
      </c>
      <c r="T425">
        <f t="shared" si="978"/>
        <v>328.10013460973335</v>
      </c>
    </row>
    <row r="426" spans="1:20" x14ac:dyDescent="0.25">
      <c r="A426" s="5">
        <v>44167</v>
      </c>
      <c r="B426">
        <v>1.4737E-2</v>
      </c>
      <c r="C426">
        <v>1.6927999999999999E-2</v>
      </c>
      <c r="D426">
        <v>1.4338E-2</v>
      </c>
      <c r="E426">
        <v>1.6404999999999999E-2</v>
      </c>
      <c r="F426">
        <v>1584372725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0.59613899613899657</v>
      </c>
      <c r="Q426">
        <f t="shared" si="975"/>
        <v>944506365.79150653</v>
      </c>
      <c r="R426">
        <f t="shared" si="976"/>
        <v>31977623950.345287</v>
      </c>
      <c r="S426">
        <f t="shared" si="977"/>
        <v>319776.23950345285</v>
      </c>
      <c r="T426">
        <f t="shared" si="978"/>
        <v>319.77623950345287</v>
      </c>
    </row>
    <row r="427" spans="1:20" x14ac:dyDescent="0.25">
      <c r="A427" s="5">
        <v>44166</v>
      </c>
      <c r="B427">
        <v>1.5990000000000001E-2</v>
      </c>
      <c r="C427">
        <v>1.6490000000000001E-2</v>
      </c>
      <c r="D427">
        <v>1.41E-2</v>
      </c>
      <c r="E427">
        <v>1.4737E-2</v>
      </c>
      <c r="F427">
        <v>1474438428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-0.46694560669456064</v>
      </c>
      <c r="Q427">
        <f t="shared" si="975"/>
        <v>-688482546.29623425</v>
      </c>
      <c r="R427">
        <f t="shared" si="976"/>
        <v>31033117584.55378</v>
      </c>
      <c r="S427">
        <f t="shared" si="977"/>
        <v>310331.1758455378</v>
      </c>
      <c r="T427">
        <f t="shared" si="978"/>
        <v>310.33117584553781</v>
      </c>
    </row>
    <row r="428" spans="1:20" x14ac:dyDescent="0.25">
      <c r="A428" s="5">
        <v>44165</v>
      </c>
      <c r="B428">
        <v>1.5155999999999999E-2</v>
      </c>
      <c r="C428">
        <v>1.6449999999999999E-2</v>
      </c>
      <c r="D428">
        <v>1.4829999999999999E-2</v>
      </c>
      <c r="E428">
        <v>1.5972E-2</v>
      </c>
      <c r="F428">
        <v>1687573338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0.40987654320987743</v>
      </c>
      <c r="Q428">
        <f t="shared" si="975"/>
        <v>691696726.19259405</v>
      </c>
      <c r="R428">
        <f t="shared" si="976"/>
        <v>31721600130.850014</v>
      </c>
      <c r="S428">
        <f t="shared" si="977"/>
        <v>317216.00130850013</v>
      </c>
      <c r="T428">
        <f t="shared" si="978"/>
        <v>317.21600130850015</v>
      </c>
    </row>
    <row r="429" spans="1:20" x14ac:dyDescent="0.25">
      <c r="A429" s="5">
        <v>44164</v>
      </c>
      <c r="B429">
        <v>1.5353E-2</v>
      </c>
      <c r="C429">
        <v>1.5962E-2</v>
      </c>
      <c r="D429">
        <v>1.4683E-2</v>
      </c>
      <c r="E429">
        <v>1.5151E-2</v>
      </c>
      <c r="F429">
        <v>1261238609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-0.26817826426896102</v>
      </c>
      <c r="Q429">
        <f t="shared" si="975"/>
        <v>-338236780.99061882</v>
      </c>
      <c r="R429">
        <f t="shared" si="976"/>
        <v>31029903404.657421</v>
      </c>
      <c r="S429">
        <f t="shared" si="977"/>
        <v>310299.0340465742</v>
      </c>
      <c r="T429">
        <f t="shared" si="978"/>
        <v>310.29903404657421</v>
      </c>
    </row>
    <row r="430" spans="1:20" x14ac:dyDescent="0.25">
      <c r="A430" s="5">
        <v>44163</v>
      </c>
      <c r="B430">
        <v>1.4506E-2</v>
      </c>
      <c r="C430">
        <v>1.6080000000000001E-2</v>
      </c>
      <c r="D430">
        <v>1.4057E-2</v>
      </c>
      <c r="E430">
        <v>1.5350000000000001E-2</v>
      </c>
      <c r="F430">
        <v>1668030142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0.27829955511616455</v>
      </c>
      <c r="Q430">
        <f t="shared" si="975"/>
        <v>464212046.4389528</v>
      </c>
      <c r="R430">
        <f t="shared" si="976"/>
        <v>31368140185.648041</v>
      </c>
      <c r="S430">
        <f t="shared" si="977"/>
        <v>313681.4018564804</v>
      </c>
      <c r="T430">
        <f t="shared" si="978"/>
        <v>313.68140185648042</v>
      </c>
    </row>
    <row r="431" spans="1:20" x14ac:dyDescent="0.25">
      <c r="A431" s="5">
        <v>44162</v>
      </c>
      <c r="B431">
        <v>1.4628E-2</v>
      </c>
      <c r="C431">
        <v>1.5391E-2</v>
      </c>
      <c r="D431">
        <v>1.3601E-2</v>
      </c>
      <c r="E431">
        <v>1.4487E-2</v>
      </c>
      <c r="F431">
        <v>2051816829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-1.0055865921788075E-2</v>
      </c>
      <c r="Q431">
        <f t="shared" si="975"/>
        <v>-20632794.928492371</v>
      </c>
      <c r="R431">
        <f t="shared" si="976"/>
        <v>30903928139.209087</v>
      </c>
      <c r="S431">
        <f t="shared" si="977"/>
        <v>309039.2813920909</v>
      </c>
      <c r="T431">
        <f t="shared" si="978"/>
        <v>309.03928139209091</v>
      </c>
    </row>
    <row r="432" spans="1:20" x14ac:dyDescent="0.25">
      <c r="A432" s="5">
        <v>44161</v>
      </c>
      <c r="B432">
        <v>1.6546000000000002E-2</v>
      </c>
      <c r="C432">
        <v>1.7049000000000002E-2</v>
      </c>
      <c r="D432">
        <v>1.2264000000000001E-2</v>
      </c>
      <c r="E432">
        <v>1.4626999999999999E-2</v>
      </c>
      <c r="F432">
        <v>4404911443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-1.2330198537095816E-2</v>
      </c>
      <c r="Q432">
        <f t="shared" si="975"/>
        <v>-54313432.630515218</v>
      </c>
      <c r="R432">
        <f t="shared" si="976"/>
        <v>30924560934.137581</v>
      </c>
      <c r="S432">
        <f t="shared" si="977"/>
        <v>309245.60934137582</v>
      </c>
      <c r="T432">
        <f t="shared" si="978"/>
        <v>309.24560934137583</v>
      </c>
    </row>
    <row r="433" spans="1:20" x14ac:dyDescent="0.25">
      <c r="A433" s="5">
        <v>44160</v>
      </c>
      <c r="B433">
        <v>1.6146000000000001E-2</v>
      </c>
      <c r="C433">
        <v>1.8811000000000001E-2</v>
      </c>
      <c r="D433">
        <v>1.5528999999999999E-2</v>
      </c>
      <c r="E433">
        <v>1.6548E-2</v>
      </c>
      <c r="F433">
        <v>4111640780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-0.37903717245581947</v>
      </c>
      <c r="Q433">
        <f t="shared" si="975"/>
        <v>-1558464695.4052401</v>
      </c>
      <c r="R433">
        <f t="shared" si="976"/>
        <v>30978874366.768097</v>
      </c>
      <c r="S433">
        <f t="shared" si="977"/>
        <v>309788.74366768094</v>
      </c>
      <c r="T433">
        <f t="shared" si="978"/>
        <v>309.78874366768093</v>
      </c>
    </row>
    <row r="434" spans="1:20" x14ac:dyDescent="0.25">
      <c r="A434" s="5">
        <v>44159</v>
      </c>
      <c r="B434">
        <v>1.601E-2</v>
      </c>
      <c r="C434">
        <v>1.7371999999999999E-2</v>
      </c>
      <c r="D434">
        <v>1.4970000000000001E-2</v>
      </c>
      <c r="E434">
        <v>1.6174000000000001E-2</v>
      </c>
      <c r="F434">
        <v>3405227429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2.4979184013332791E-3</v>
      </c>
      <c r="Q434">
        <f t="shared" si="975"/>
        <v>8505980.2556239124</v>
      </c>
      <c r="R434">
        <f t="shared" si="976"/>
        <v>32537339062.173336</v>
      </c>
      <c r="S434">
        <f t="shared" si="977"/>
        <v>325373.39062173339</v>
      </c>
      <c r="T434">
        <f t="shared" si="978"/>
        <v>325.37339062173339</v>
      </c>
    </row>
    <row r="435" spans="1:20" x14ac:dyDescent="0.25">
      <c r="A435" s="5">
        <v>44158</v>
      </c>
      <c r="B435">
        <v>1.3918E-2</v>
      </c>
      <c r="C435">
        <v>1.6442999999999999E-2</v>
      </c>
      <c r="D435">
        <v>1.3639999999999999E-2</v>
      </c>
      <c r="E435">
        <v>1.6022999999999999E-2</v>
      </c>
      <c r="F435">
        <v>2872386296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0.70032108455226527</v>
      </c>
      <c r="Q435">
        <f t="shared" si="975"/>
        <v>2011592686.0677841</v>
      </c>
      <c r="R435">
        <f t="shared" si="976"/>
        <v>32528833081.917713</v>
      </c>
      <c r="S435">
        <f t="shared" si="977"/>
        <v>325288.33081917715</v>
      </c>
      <c r="T435">
        <f t="shared" si="978"/>
        <v>325.28833081917713</v>
      </c>
    </row>
    <row r="436" spans="1:20" x14ac:dyDescent="0.25">
      <c r="A436" s="5">
        <v>44157</v>
      </c>
      <c r="B436">
        <v>1.4421E-2</v>
      </c>
      <c r="C436">
        <v>1.4651000000000001E-2</v>
      </c>
      <c r="D436">
        <v>1.2694E-2</v>
      </c>
      <c r="E436">
        <v>1.3905000000000001E-2</v>
      </c>
      <c r="F436">
        <v>2296083928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0.23760858456821668</v>
      </c>
      <c r="Q436">
        <f t="shared" si="975"/>
        <v>545569252.18191111</v>
      </c>
      <c r="R436">
        <f t="shared" si="976"/>
        <v>30517240395.84993</v>
      </c>
      <c r="S436">
        <f t="shared" si="977"/>
        <v>305172.40395849932</v>
      </c>
      <c r="T436">
        <f t="shared" si="978"/>
        <v>305.17240395849933</v>
      </c>
    </row>
    <row r="437" spans="1:20" x14ac:dyDescent="0.25">
      <c r="A437" s="5">
        <v>44156</v>
      </c>
      <c r="B437">
        <v>1.2052999999999999E-2</v>
      </c>
      <c r="C437">
        <v>1.47E-2</v>
      </c>
      <c r="D437">
        <v>1.1677E-2</v>
      </c>
      <c r="E437">
        <v>1.4426E-2</v>
      </c>
      <c r="F437">
        <v>2896609999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0.81872312272576908</v>
      </c>
      <c r="Q437">
        <f t="shared" si="975"/>
        <v>2371521583.6999669</v>
      </c>
      <c r="R437">
        <f t="shared" si="976"/>
        <v>29971671143.668018</v>
      </c>
      <c r="S437">
        <f t="shared" si="977"/>
        <v>299716.71143668017</v>
      </c>
      <c r="T437">
        <f t="shared" si="978"/>
        <v>299.71671143668016</v>
      </c>
    </row>
    <row r="438" spans="1:20" x14ac:dyDescent="0.25">
      <c r="A438" s="5">
        <v>44155</v>
      </c>
      <c r="B438">
        <v>1.1502999999999999E-2</v>
      </c>
      <c r="C438">
        <v>1.2083E-2</v>
      </c>
      <c r="D438">
        <v>1.1408E-2</v>
      </c>
      <c r="E438">
        <v>1.2059E-2</v>
      </c>
      <c r="F438">
        <v>969237053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0.92888888888888976</v>
      </c>
      <c r="Q438">
        <f t="shared" si="975"/>
        <v>900313529.231112</v>
      </c>
      <c r="R438">
        <f t="shared" si="976"/>
        <v>27600149559.968052</v>
      </c>
      <c r="S438">
        <f t="shared" si="977"/>
        <v>276001.49559968052</v>
      </c>
      <c r="T438">
        <f t="shared" si="978"/>
        <v>276.00149559968054</v>
      </c>
    </row>
    <row r="439" spans="1:20" x14ac:dyDescent="0.25">
      <c r="A439" s="5">
        <v>44154</v>
      </c>
      <c r="B439">
        <v>1.1786E-2</v>
      </c>
      <c r="C439">
        <v>1.184E-2</v>
      </c>
      <c r="D439">
        <v>1.1143999999999999E-2</v>
      </c>
      <c r="E439">
        <v>1.1504E-2</v>
      </c>
      <c r="F439">
        <v>860071481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3.4482758620691716E-2</v>
      </c>
      <c r="Q439">
        <f t="shared" si="975"/>
        <v>29657637.275863841</v>
      </c>
      <c r="R439">
        <f t="shared" si="976"/>
        <v>26699836030.736938</v>
      </c>
      <c r="S439">
        <f t="shared" si="977"/>
        <v>266998.36030736938</v>
      </c>
      <c r="T439">
        <f t="shared" si="978"/>
        <v>266.99836030736935</v>
      </c>
    </row>
    <row r="440" spans="1:20" x14ac:dyDescent="0.25">
      <c r="A440" s="5">
        <v>44153</v>
      </c>
      <c r="B440">
        <v>1.2345E-2</v>
      </c>
      <c r="C440">
        <v>1.2461E-2</v>
      </c>
      <c r="D440">
        <v>1.1299999999999999E-2</v>
      </c>
      <c r="E440">
        <v>1.1776999999999999E-2</v>
      </c>
      <c r="F440">
        <v>1292417857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-0.17829457364341128</v>
      </c>
      <c r="Q440">
        <f t="shared" si="975"/>
        <v>-230431090.78294629</v>
      </c>
      <c r="R440">
        <f t="shared" si="976"/>
        <v>26670178393.461075</v>
      </c>
      <c r="S440">
        <f t="shared" si="977"/>
        <v>266701.78393461072</v>
      </c>
      <c r="T440">
        <f t="shared" si="978"/>
        <v>266.70178393461072</v>
      </c>
    </row>
    <row r="441" spans="1:20" x14ac:dyDescent="0.25">
      <c r="A441" s="5">
        <v>44152</v>
      </c>
      <c r="B441">
        <v>1.1332999999999999E-2</v>
      </c>
      <c r="C441">
        <v>1.2617E-2</v>
      </c>
      <c r="D441">
        <v>1.1304E-2</v>
      </c>
      <c r="E441">
        <v>1.2345999999999999E-2</v>
      </c>
      <c r="F441">
        <v>1702165788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0.58720487433358659</v>
      </c>
      <c r="Q441">
        <f t="shared" si="975"/>
        <v>999520047.63747036</v>
      </c>
      <c r="R441">
        <f t="shared" si="976"/>
        <v>26900609484.244022</v>
      </c>
      <c r="S441">
        <f t="shared" si="977"/>
        <v>269006.09484244022</v>
      </c>
      <c r="T441">
        <f t="shared" si="978"/>
        <v>269.00609484244023</v>
      </c>
    </row>
    <row r="442" spans="1:20" x14ac:dyDescent="0.25">
      <c r="A442" s="5">
        <v>44151</v>
      </c>
      <c r="B442">
        <v>1.1029000000000001E-2</v>
      </c>
      <c r="C442">
        <v>1.149E-2</v>
      </c>
      <c r="D442">
        <v>1.0861000000000001E-2</v>
      </c>
      <c r="E442">
        <v>1.1336000000000001E-2</v>
      </c>
      <c r="F442">
        <v>680601031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0.51033386327504049</v>
      </c>
      <c r="Q442">
        <f t="shared" si="975"/>
        <v>347333753.49920559</v>
      </c>
      <c r="R442">
        <f t="shared" si="976"/>
        <v>25901089436.606552</v>
      </c>
      <c r="S442">
        <f t="shared" si="977"/>
        <v>259010.89436606553</v>
      </c>
      <c r="T442">
        <f t="shared" si="978"/>
        <v>259.01089436606554</v>
      </c>
    </row>
    <row r="443" spans="1:20" x14ac:dyDescent="0.25">
      <c r="A443" s="5">
        <v>44150</v>
      </c>
      <c r="B443">
        <v>1.125E-2</v>
      </c>
      <c r="C443">
        <v>1.1559E-2</v>
      </c>
      <c r="D443">
        <v>1.0749999999999999E-2</v>
      </c>
      <c r="E443">
        <v>1.1039E-2</v>
      </c>
      <c r="F443">
        <v>672470942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-0.28553770086526375</v>
      </c>
      <c r="Q443">
        <f t="shared" si="975"/>
        <v>-192015806.67737812</v>
      </c>
      <c r="R443">
        <f t="shared" si="976"/>
        <v>25553755683.107346</v>
      </c>
      <c r="S443">
        <f t="shared" si="977"/>
        <v>255537.55683107345</v>
      </c>
      <c r="T443">
        <f t="shared" si="978"/>
        <v>255.53755683107346</v>
      </c>
    </row>
    <row r="444" spans="1:20" x14ac:dyDescent="0.25">
      <c r="A444" s="5">
        <v>44149</v>
      </c>
      <c r="B444">
        <v>1.1812E-2</v>
      </c>
      <c r="C444">
        <v>1.1842E-2</v>
      </c>
      <c r="D444">
        <v>1.0917E-2</v>
      </c>
      <c r="E444">
        <v>1.1245E-2</v>
      </c>
      <c r="F444">
        <v>1068020431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-0.29081081081081084</v>
      </c>
      <c r="Q444">
        <f t="shared" si="975"/>
        <v>-310591887.50162166</v>
      </c>
      <c r="R444">
        <f t="shared" si="976"/>
        <v>25745771489.784725</v>
      </c>
      <c r="S444">
        <f t="shared" si="977"/>
        <v>257457.71489784724</v>
      </c>
      <c r="T444">
        <f t="shared" si="978"/>
        <v>257.45771489784727</v>
      </c>
    </row>
    <row r="445" spans="1:20" x14ac:dyDescent="0.25">
      <c r="A445" s="5">
        <v>44148</v>
      </c>
      <c r="B445">
        <v>1.0654E-2</v>
      </c>
      <c r="C445">
        <v>1.1993999999999999E-2</v>
      </c>
      <c r="D445">
        <v>9.9880000000000004E-3</v>
      </c>
      <c r="E445">
        <v>1.1814E-2</v>
      </c>
      <c r="F445">
        <v>1660427212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0.82053838484546393</v>
      </c>
      <c r="Q445">
        <f t="shared" si="975"/>
        <v>1362444262.6879368</v>
      </c>
      <c r="R445">
        <f t="shared" si="976"/>
        <v>26056363377.286346</v>
      </c>
      <c r="S445">
        <f t="shared" si="977"/>
        <v>260563.63377286345</v>
      </c>
      <c r="T445">
        <f t="shared" si="978"/>
        <v>260.56363377286345</v>
      </c>
    </row>
    <row r="446" spans="1:20" x14ac:dyDescent="0.25">
      <c r="A446" s="5">
        <v>44147</v>
      </c>
      <c r="B446">
        <v>1.1335E-2</v>
      </c>
      <c r="C446">
        <v>1.155E-2</v>
      </c>
      <c r="D446">
        <v>1.0477E-2</v>
      </c>
      <c r="E446">
        <v>1.0644000000000001E-2</v>
      </c>
      <c r="F446">
        <v>1124424606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-0.68872320596458414</v>
      </c>
      <c r="Q446">
        <f t="shared" si="975"/>
        <v>-774417319.50978434</v>
      </c>
      <c r="R446">
        <f t="shared" si="976"/>
        <v>24693919114.598408</v>
      </c>
      <c r="S446">
        <f t="shared" si="977"/>
        <v>246939.19114598408</v>
      </c>
      <c r="T446">
        <f t="shared" si="978"/>
        <v>246.93919114598407</v>
      </c>
    </row>
    <row r="447" spans="1:20" x14ac:dyDescent="0.25">
      <c r="A447" s="5">
        <v>44146</v>
      </c>
      <c r="B447">
        <v>1.1583E-2</v>
      </c>
      <c r="C447">
        <v>1.1849999999999999E-2</v>
      </c>
      <c r="D447">
        <v>1.1332E-2</v>
      </c>
      <c r="E447">
        <v>1.1339999999999999E-2</v>
      </c>
      <c r="F447">
        <v>1026792705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-0.96911196911197173</v>
      </c>
      <c r="Q447">
        <f t="shared" si="975"/>
        <v>-995077100.21235788</v>
      </c>
      <c r="R447">
        <f t="shared" si="976"/>
        <v>25468336434.108192</v>
      </c>
      <c r="S447">
        <f t="shared" si="977"/>
        <v>254683.36434108193</v>
      </c>
      <c r="T447">
        <f t="shared" si="978"/>
        <v>254.68336434108193</v>
      </c>
    </row>
    <row r="448" spans="1:20" x14ac:dyDescent="0.25">
      <c r="A448" s="5">
        <v>44145</v>
      </c>
      <c r="B448">
        <v>1.1042E-2</v>
      </c>
      <c r="C448">
        <v>1.189E-2</v>
      </c>
      <c r="D448">
        <v>1.0914E-2</v>
      </c>
      <c r="E448">
        <v>1.1583E-2</v>
      </c>
      <c r="F448">
        <v>1452202421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0.37090163934426196</v>
      </c>
      <c r="Q448">
        <f t="shared" si="975"/>
        <v>538624258.6086061</v>
      </c>
      <c r="R448">
        <f t="shared" si="976"/>
        <v>26463413534.320549</v>
      </c>
      <c r="S448">
        <f t="shared" si="977"/>
        <v>264634.13534320547</v>
      </c>
      <c r="T448">
        <f t="shared" si="978"/>
        <v>264.63413534320546</v>
      </c>
    </row>
    <row r="449" spans="1:20" x14ac:dyDescent="0.25">
      <c r="A449" s="5">
        <v>44144</v>
      </c>
      <c r="B449">
        <v>1.1115999999999999E-2</v>
      </c>
      <c r="C449">
        <v>1.1974E-2</v>
      </c>
      <c r="D449">
        <v>1.0410000000000001E-2</v>
      </c>
      <c r="E449">
        <v>1.1035E-2</v>
      </c>
      <c r="F449">
        <v>1361730318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-0.20076726342711118</v>
      </c>
      <c r="Q449">
        <f t="shared" si="975"/>
        <v>-273390869.47058988</v>
      </c>
      <c r="R449">
        <f t="shared" si="976"/>
        <v>25924789275.711945</v>
      </c>
      <c r="S449">
        <f t="shared" si="977"/>
        <v>259247.89275711944</v>
      </c>
      <c r="T449">
        <f t="shared" si="978"/>
        <v>259.24789275711942</v>
      </c>
    </row>
    <row r="450" spans="1:20" x14ac:dyDescent="0.25">
      <c r="A450" s="5">
        <v>44143</v>
      </c>
      <c r="B450">
        <v>1.0383999999999999E-2</v>
      </c>
      <c r="C450">
        <v>1.142E-2</v>
      </c>
      <c r="D450">
        <v>1.0182E-2</v>
      </c>
      <c r="E450">
        <v>1.1122E-2</v>
      </c>
      <c r="F450">
        <v>1110187518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0.5185783521809374</v>
      </c>
      <c r="Q450">
        <f t="shared" si="975"/>
        <v>575719213.69628477</v>
      </c>
      <c r="R450">
        <f t="shared" si="976"/>
        <v>26198180145.182533</v>
      </c>
      <c r="S450">
        <f t="shared" si="977"/>
        <v>261981.80145182533</v>
      </c>
      <c r="T450">
        <f t="shared" si="978"/>
        <v>261.98180145182533</v>
      </c>
    </row>
    <row r="451" spans="1:20" x14ac:dyDescent="0.25">
      <c r="A451" s="5">
        <v>44142</v>
      </c>
      <c r="B451">
        <v>1.1198E-2</v>
      </c>
      <c r="C451">
        <v>1.2108000000000001E-2</v>
      </c>
      <c r="D451">
        <v>1.0152E-2</v>
      </c>
      <c r="E451">
        <v>1.0383E-2</v>
      </c>
      <c r="F451">
        <v>2722416237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-0.7638036809815949</v>
      </c>
      <c r="Q451">
        <f t="shared" si="975"/>
        <v>-2079391542.9846621</v>
      </c>
      <c r="R451">
        <f t="shared" si="976"/>
        <v>25622460931.486248</v>
      </c>
      <c r="S451">
        <f t="shared" si="977"/>
        <v>256224.60931486249</v>
      </c>
      <c r="T451">
        <f t="shared" si="978"/>
        <v>256.22460931486251</v>
      </c>
    </row>
    <row r="452" spans="1:20" x14ac:dyDescent="0.25">
      <c r="A452" s="5">
        <v>44141</v>
      </c>
      <c r="B452">
        <v>9.7190000000000002E-3</v>
      </c>
      <c r="C452">
        <v>1.125E-2</v>
      </c>
      <c r="D452">
        <v>9.672E-3</v>
      </c>
      <c r="E452">
        <v>1.1195999999999999E-2</v>
      </c>
      <c r="F452">
        <v>1819263903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0.93155893536121637</v>
      </c>
      <c r="Q452">
        <f t="shared" si="975"/>
        <v>1694751544.6197712</v>
      </c>
      <c r="R452">
        <f t="shared" si="976"/>
        <v>27701852474.470909</v>
      </c>
      <c r="S452">
        <f t="shared" si="977"/>
        <v>277018.52474470908</v>
      </c>
      <c r="T452">
        <f t="shared" si="978"/>
        <v>277.01852474470905</v>
      </c>
    </row>
    <row r="453" spans="1:20" x14ac:dyDescent="0.25">
      <c r="A453" s="5">
        <v>44140</v>
      </c>
      <c r="B453">
        <v>9.4140000000000005E-3</v>
      </c>
      <c r="C453">
        <v>9.8799999999999999E-3</v>
      </c>
      <c r="D453">
        <v>9.1859999999999997E-3</v>
      </c>
      <c r="E453">
        <v>9.7210000000000005E-3</v>
      </c>
      <c r="F453">
        <v>1563208094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0.54178674351585188</v>
      </c>
      <c r="Q453">
        <f t="shared" si="975"/>
        <v>846925422.68588161</v>
      </c>
      <c r="R453">
        <f t="shared" si="976"/>
        <v>26007100929.851139</v>
      </c>
      <c r="S453">
        <f t="shared" si="977"/>
        <v>260071.0092985114</v>
      </c>
      <c r="T453">
        <f t="shared" si="978"/>
        <v>260.0710092985114</v>
      </c>
    </row>
    <row r="454" spans="1:20" x14ac:dyDescent="0.25">
      <c r="A454" s="5">
        <v>44139</v>
      </c>
      <c r="B454">
        <v>9.2420000000000002E-3</v>
      </c>
      <c r="C454">
        <v>9.6710000000000008E-3</v>
      </c>
      <c r="D454">
        <v>8.8940000000000009E-3</v>
      </c>
      <c r="E454">
        <v>9.3980000000000001E-3</v>
      </c>
      <c r="F454">
        <v>2784173410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0.29729729729729548</v>
      </c>
      <c r="Q454">
        <f t="shared" ref="Q454:Q517" si="980">F454*P454</f>
        <v>827727229.99999499</v>
      </c>
      <c r="R454">
        <f t="shared" ref="R454:R517" si="981">R455+Q454</f>
        <v>25160175507.165257</v>
      </c>
      <c r="S454">
        <f t="shared" ref="S454:S517" si="982">R454/100000</f>
        <v>251601.75507165256</v>
      </c>
      <c r="T454">
        <f t="shared" ref="T454:T517" si="983">S454/1000</f>
        <v>251.60175507165255</v>
      </c>
    </row>
    <row r="455" spans="1:20" x14ac:dyDescent="0.25">
      <c r="A455" s="5">
        <v>44138</v>
      </c>
      <c r="B455">
        <v>1.0049000000000001E-2</v>
      </c>
      <c r="C455">
        <v>1.0115000000000001E-2</v>
      </c>
      <c r="D455">
        <v>9.195E-3</v>
      </c>
      <c r="E455">
        <v>9.2499999999999995E-3</v>
      </c>
      <c r="F455">
        <v>1212246921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-0.88043478260869679</v>
      </c>
      <c r="Q455">
        <f t="shared" si="980"/>
        <v>-1067304354.3586971</v>
      </c>
      <c r="R455">
        <f t="shared" si="981"/>
        <v>24332448277.16526</v>
      </c>
      <c r="S455">
        <f t="shared" si="982"/>
        <v>243324.48277165261</v>
      </c>
      <c r="T455">
        <f t="shared" si="983"/>
        <v>243.32448277165261</v>
      </c>
    </row>
    <row r="456" spans="1:20" x14ac:dyDescent="0.25">
      <c r="A456" s="5">
        <v>44137</v>
      </c>
      <c r="B456">
        <v>1.0503E-2</v>
      </c>
      <c r="C456">
        <v>1.0699999999999999E-2</v>
      </c>
      <c r="D456">
        <v>9.9389999999999999E-3</v>
      </c>
      <c r="E456">
        <v>1.005E-2</v>
      </c>
      <c r="F456">
        <v>673383472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-0.70827858081471728</v>
      </c>
      <c r="Q456">
        <f t="shared" si="980"/>
        <v>-476943089.8922469</v>
      </c>
      <c r="R456">
        <f t="shared" si="981"/>
        <v>25399752631.523956</v>
      </c>
      <c r="S456">
        <f t="shared" si="982"/>
        <v>253997.52631523955</v>
      </c>
      <c r="T456">
        <f t="shared" si="983"/>
        <v>253.99752631523955</v>
      </c>
    </row>
    <row r="457" spans="1:20" x14ac:dyDescent="0.25">
      <c r="A457" s="5">
        <v>44136</v>
      </c>
      <c r="B457">
        <v>9.8890000000000002E-3</v>
      </c>
      <c r="C457">
        <v>1.0607E-2</v>
      </c>
      <c r="D457">
        <v>9.8150000000000008E-3</v>
      </c>
      <c r="E457">
        <v>1.0505E-2</v>
      </c>
      <c r="F457">
        <v>840387713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0.7424242424242431</v>
      </c>
      <c r="Q457">
        <f t="shared" si="980"/>
        <v>623924211.16666722</v>
      </c>
      <c r="R457">
        <f t="shared" si="981"/>
        <v>25876695721.416203</v>
      </c>
      <c r="S457">
        <f t="shared" si="982"/>
        <v>258766.95721416202</v>
      </c>
      <c r="T457">
        <f t="shared" si="983"/>
        <v>258.76695721416201</v>
      </c>
    </row>
    <row r="458" spans="1:20" x14ac:dyDescent="0.25">
      <c r="A458" s="5">
        <v>44135</v>
      </c>
      <c r="B458">
        <v>1.0081E-2</v>
      </c>
      <c r="C458">
        <v>1.0359999999999999E-2</v>
      </c>
      <c r="D458">
        <v>9.8200000000000006E-3</v>
      </c>
      <c r="E458">
        <v>9.8949999999999993E-3</v>
      </c>
      <c r="F458">
        <v>670723652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-0.72222222222222654</v>
      </c>
      <c r="Q458">
        <f t="shared" si="980"/>
        <v>-484411526.44444734</v>
      </c>
      <c r="R458">
        <f t="shared" si="981"/>
        <v>25252771510.249535</v>
      </c>
      <c r="S458">
        <f t="shared" si="982"/>
        <v>252527.71510249533</v>
      </c>
      <c r="T458">
        <f t="shared" si="983"/>
        <v>252.52771510249534</v>
      </c>
    </row>
    <row r="459" spans="1:20" x14ac:dyDescent="0.25">
      <c r="A459" s="5">
        <v>44134</v>
      </c>
      <c r="B459">
        <v>1.0187E-2</v>
      </c>
      <c r="C459">
        <v>1.0345999999999999E-2</v>
      </c>
      <c r="D459">
        <v>9.4999999999999998E-3</v>
      </c>
      <c r="E459">
        <v>1.008E-2</v>
      </c>
      <c r="F459">
        <v>1206667583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0.37115839243499049</v>
      </c>
      <c r="Q459">
        <f t="shared" si="980"/>
        <v>447864800.30969548</v>
      </c>
      <c r="R459">
        <f t="shared" si="981"/>
        <v>25737183036.693981</v>
      </c>
      <c r="S459">
        <f t="shared" si="982"/>
        <v>257371.8303669398</v>
      </c>
      <c r="T459">
        <f t="shared" si="983"/>
        <v>257.37183036693978</v>
      </c>
    </row>
    <row r="460" spans="1:20" x14ac:dyDescent="0.25">
      <c r="A460" s="5">
        <v>44133</v>
      </c>
      <c r="B460">
        <v>1.064E-2</v>
      </c>
      <c r="C460">
        <v>1.0846E-2</v>
      </c>
      <c r="D460">
        <v>9.9000000000000008E-3</v>
      </c>
      <c r="E460">
        <v>1.0186000000000001E-2</v>
      </c>
      <c r="F460">
        <v>1044100760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-0.39534883720930208</v>
      </c>
      <c r="Q460">
        <f t="shared" si="980"/>
        <v>-412784021.39534861</v>
      </c>
      <c r="R460">
        <f t="shared" si="981"/>
        <v>25289318236.384285</v>
      </c>
      <c r="S460">
        <f t="shared" si="982"/>
        <v>252893.18236384285</v>
      </c>
      <c r="T460">
        <f t="shared" si="983"/>
        <v>252.89318236384284</v>
      </c>
    </row>
    <row r="461" spans="1:20" x14ac:dyDescent="0.25">
      <c r="A461" s="5">
        <v>44132</v>
      </c>
      <c r="B461">
        <v>1.137E-2</v>
      </c>
      <c r="C461">
        <v>1.1457999999999999E-2</v>
      </c>
      <c r="D461">
        <v>1.0418999999999999E-2</v>
      </c>
      <c r="E461">
        <v>1.0638E-2</v>
      </c>
      <c r="F461">
        <v>1101830630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-0.57844080846968149</v>
      </c>
      <c r="Q461">
        <f t="shared" si="980"/>
        <v>-637343800.41385853</v>
      </c>
      <c r="R461">
        <f t="shared" si="981"/>
        <v>25702102257.779633</v>
      </c>
      <c r="S461">
        <f t="shared" si="982"/>
        <v>257021.02257779634</v>
      </c>
      <c r="T461">
        <f t="shared" si="983"/>
        <v>257.02102257779632</v>
      </c>
    </row>
    <row r="462" spans="1:20" x14ac:dyDescent="0.25">
      <c r="A462" s="5">
        <v>44131</v>
      </c>
      <c r="B462">
        <v>1.1368E-2</v>
      </c>
      <c r="C462">
        <v>1.1660999999999999E-2</v>
      </c>
      <c r="D462">
        <v>1.1062000000000001E-2</v>
      </c>
      <c r="E462">
        <v>1.137E-2</v>
      </c>
      <c r="F462">
        <v>1093459715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2.8380634390650562E-2</v>
      </c>
      <c r="Q462">
        <f t="shared" si="980"/>
        <v>31033080.392319962</v>
      </c>
      <c r="R462">
        <f t="shared" si="981"/>
        <v>26339446058.193493</v>
      </c>
      <c r="S462">
        <f t="shared" si="982"/>
        <v>263394.46058193495</v>
      </c>
      <c r="T462">
        <f t="shared" si="983"/>
        <v>263.39446058193494</v>
      </c>
    </row>
    <row r="463" spans="1:20" x14ac:dyDescent="0.25">
      <c r="A463" s="5">
        <v>44130</v>
      </c>
      <c r="B463">
        <v>1.1786E-2</v>
      </c>
      <c r="C463">
        <v>1.1975E-2</v>
      </c>
      <c r="D463">
        <v>1.1103999999999999E-2</v>
      </c>
      <c r="E463">
        <v>1.1368E-2</v>
      </c>
      <c r="F463">
        <v>963566171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-0.39380022962112454</v>
      </c>
      <c r="Q463">
        <f t="shared" si="980"/>
        <v>-379452579.39494777</v>
      </c>
      <c r="R463">
        <f t="shared" si="981"/>
        <v>26308412977.801174</v>
      </c>
      <c r="S463">
        <f t="shared" si="982"/>
        <v>263084.12977801176</v>
      </c>
      <c r="T463">
        <f t="shared" si="983"/>
        <v>263.08412977801174</v>
      </c>
    </row>
    <row r="464" spans="1:20" x14ac:dyDescent="0.25">
      <c r="A464" s="5">
        <v>44129</v>
      </c>
      <c r="B464">
        <v>1.2271000000000001E-2</v>
      </c>
      <c r="C464">
        <v>1.2574E-2</v>
      </c>
      <c r="D464">
        <v>1.1749000000000001E-2</v>
      </c>
      <c r="E464">
        <v>1.179E-2</v>
      </c>
      <c r="F464">
        <v>777709133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-0.90060606060606208</v>
      </c>
      <c r="Q464">
        <f t="shared" si="980"/>
        <v>-700409558.56848598</v>
      </c>
      <c r="R464">
        <f t="shared" si="981"/>
        <v>26687865557.196121</v>
      </c>
      <c r="S464">
        <f t="shared" si="982"/>
        <v>266878.65557196119</v>
      </c>
      <c r="T464">
        <f t="shared" si="983"/>
        <v>266.87865557196119</v>
      </c>
    </row>
    <row r="465" spans="1:20" x14ac:dyDescent="0.25">
      <c r="A465" s="5">
        <v>44128</v>
      </c>
      <c r="B465">
        <v>1.2218E-2</v>
      </c>
      <c r="C465">
        <v>1.2433E-2</v>
      </c>
      <c r="D465">
        <v>1.2005E-2</v>
      </c>
      <c r="E465">
        <v>1.2282E-2</v>
      </c>
      <c r="F465">
        <v>679586280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0.29439252336448485</v>
      </c>
      <c r="Q465">
        <f t="shared" si="980"/>
        <v>200065119.81308335</v>
      </c>
      <c r="R465">
        <f t="shared" si="981"/>
        <v>27388275115.764606</v>
      </c>
      <c r="S465">
        <f t="shared" si="982"/>
        <v>273882.75115764607</v>
      </c>
      <c r="T465">
        <f t="shared" si="983"/>
        <v>273.88275115764606</v>
      </c>
    </row>
    <row r="466" spans="1:20" x14ac:dyDescent="0.25">
      <c r="A466" s="5">
        <v>44127</v>
      </c>
      <c r="B466">
        <v>1.2156999999999999E-2</v>
      </c>
      <c r="C466">
        <v>1.2574E-2</v>
      </c>
      <c r="D466">
        <v>1.1698E-2</v>
      </c>
      <c r="E466">
        <v>1.2218E-2</v>
      </c>
      <c r="F466">
        <v>1256726719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0.18721461187214522</v>
      </c>
      <c r="Q466">
        <f t="shared" si="980"/>
        <v>235277604.92693952</v>
      </c>
      <c r="R466">
        <f t="shared" si="981"/>
        <v>27188209995.951523</v>
      </c>
      <c r="S466">
        <f t="shared" si="982"/>
        <v>271882.09995951521</v>
      </c>
      <c r="T466">
        <f t="shared" si="983"/>
        <v>271.88209995951519</v>
      </c>
    </row>
    <row r="467" spans="1:20" x14ac:dyDescent="0.25">
      <c r="A467" s="5">
        <v>44126</v>
      </c>
      <c r="B467">
        <v>1.1332999999999999E-2</v>
      </c>
      <c r="C467">
        <v>1.244E-2</v>
      </c>
      <c r="D467">
        <v>1.1154000000000001E-2</v>
      </c>
      <c r="E467">
        <v>1.2154999999999999E-2</v>
      </c>
      <c r="F467">
        <v>1584408183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0.55676516329704395</v>
      </c>
      <c r="Q467">
        <f t="shared" si="980"/>
        <v>882143280.73716772</v>
      </c>
      <c r="R467">
        <f t="shared" si="981"/>
        <v>26952932391.024582</v>
      </c>
      <c r="S467">
        <f t="shared" si="982"/>
        <v>269529.32391024585</v>
      </c>
      <c r="T467">
        <f t="shared" si="983"/>
        <v>269.52932391024586</v>
      </c>
    </row>
    <row r="468" spans="1:20" x14ac:dyDescent="0.25">
      <c r="A468" s="5">
        <v>44125</v>
      </c>
      <c r="B468">
        <v>1.0788000000000001E-2</v>
      </c>
      <c r="C468">
        <v>1.1514999999999999E-2</v>
      </c>
      <c r="D468">
        <v>1.0744999999999999E-2</v>
      </c>
      <c r="E468">
        <v>1.1339E-2</v>
      </c>
      <c r="F468">
        <v>992072577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0.54285714285714515</v>
      </c>
      <c r="Q468">
        <f t="shared" si="980"/>
        <v>538553684.65714514</v>
      </c>
      <c r="R468">
        <f t="shared" si="981"/>
        <v>26070789110.287415</v>
      </c>
      <c r="S468">
        <f t="shared" si="982"/>
        <v>260707.89110287416</v>
      </c>
      <c r="T468">
        <f t="shared" si="983"/>
        <v>260.70789110287416</v>
      </c>
    </row>
    <row r="469" spans="1:20" x14ac:dyDescent="0.25">
      <c r="A469" s="5">
        <v>44124</v>
      </c>
      <c r="B469">
        <v>1.1393E-2</v>
      </c>
      <c r="C469">
        <v>1.1398999999999999E-2</v>
      </c>
      <c r="D469">
        <v>1.0710000000000001E-2</v>
      </c>
      <c r="E469">
        <v>1.0781000000000001E-2</v>
      </c>
      <c r="F469">
        <v>823382252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-0.79390420899854852</v>
      </c>
      <c r="Q469">
        <f t="shared" si="980"/>
        <v>-653686635.47750354</v>
      </c>
      <c r="R469">
        <f t="shared" si="981"/>
        <v>25532235425.630268</v>
      </c>
      <c r="S469">
        <f t="shared" si="982"/>
        <v>255322.35425630267</v>
      </c>
      <c r="T469">
        <f t="shared" si="983"/>
        <v>255.32235425630267</v>
      </c>
    </row>
    <row r="470" spans="1:20" x14ac:dyDescent="0.25">
      <c r="A470" s="5">
        <v>44123</v>
      </c>
      <c r="B470">
        <v>1.1627E-2</v>
      </c>
      <c r="C470">
        <v>1.179E-2</v>
      </c>
      <c r="D470">
        <v>1.1303000000000001E-2</v>
      </c>
      <c r="E470">
        <v>1.1396E-2</v>
      </c>
      <c r="F470">
        <v>804933302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-0.61806981519507431</v>
      </c>
      <c r="Q470">
        <f t="shared" si="980"/>
        <v>-497504977.21150094</v>
      </c>
      <c r="R470">
        <f t="shared" si="981"/>
        <v>26185922061.107773</v>
      </c>
      <c r="S470">
        <f t="shared" si="982"/>
        <v>261859.22061107773</v>
      </c>
      <c r="T470">
        <f t="shared" si="983"/>
        <v>261.85922061107772</v>
      </c>
    </row>
    <row r="471" spans="1:20" x14ac:dyDescent="0.25">
      <c r="A471" s="5">
        <v>44122</v>
      </c>
      <c r="B471">
        <v>1.0987E-2</v>
      </c>
      <c r="C471">
        <v>1.189E-2</v>
      </c>
      <c r="D471">
        <v>1.0963000000000001E-2</v>
      </c>
      <c r="E471">
        <v>1.1627E-2</v>
      </c>
      <c r="F471">
        <v>944373362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0.43257820927723922</v>
      </c>
      <c r="Q471">
        <f t="shared" si="980"/>
        <v>408515337.82308602</v>
      </c>
      <c r="R471">
        <f t="shared" si="981"/>
        <v>26683427038.319275</v>
      </c>
      <c r="S471">
        <f t="shared" si="982"/>
        <v>266834.27038319275</v>
      </c>
      <c r="T471">
        <f t="shared" si="983"/>
        <v>266.83427038319275</v>
      </c>
    </row>
    <row r="472" spans="1:20" x14ac:dyDescent="0.25">
      <c r="A472" s="5">
        <v>44121</v>
      </c>
      <c r="B472">
        <v>1.0596E-2</v>
      </c>
      <c r="C472">
        <v>1.1055000000000001E-2</v>
      </c>
      <c r="D472">
        <v>1.0499E-2</v>
      </c>
      <c r="E472">
        <v>1.0988E-2</v>
      </c>
      <c r="F472">
        <v>611662450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0.75899280575539219</v>
      </c>
      <c r="Q472">
        <f t="shared" si="980"/>
        <v>464247399.10071731</v>
      </c>
      <c r="R472">
        <f t="shared" si="981"/>
        <v>26274911700.496189</v>
      </c>
      <c r="S472">
        <f t="shared" si="982"/>
        <v>262749.11700496188</v>
      </c>
      <c r="T472">
        <f t="shared" si="983"/>
        <v>262.74911700496187</v>
      </c>
    </row>
    <row r="473" spans="1:20" x14ac:dyDescent="0.25">
      <c r="A473" s="5">
        <v>44120</v>
      </c>
      <c r="B473">
        <v>1.0959E-2</v>
      </c>
      <c r="C473">
        <v>1.125E-2</v>
      </c>
      <c r="D473">
        <v>1.0314E-2</v>
      </c>
      <c r="E473">
        <v>1.0591E-2</v>
      </c>
      <c r="F473">
        <v>874900984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-0.40811965811965883</v>
      </c>
      <c r="Q473">
        <f t="shared" si="980"/>
        <v>-357064290.47863311</v>
      </c>
      <c r="R473">
        <f t="shared" si="981"/>
        <v>25810664301.395473</v>
      </c>
      <c r="S473">
        <f t="shared" si="982"/>
        <v>258106.64301395474</v>
      </c>
      <c r="T473">
        <f t="shared" si="983"/>
        <v>258.10664301395474</v>
      </c>
    </row>
    <row r="474" spans="1:20" x14ac:dyDescent="0.25">
      <c r="A474" s="5">
        <v>44119</v>
      </c>
      <c r="B474">
        <v>1.1139E-2</v>
      </c>
      <c r="C474">
        <v>1.1285E-2</v>
      </c>
      <c r="D474">
        <v>1.0699999999999999E-2</v>
      </c>
      <c r="E474">
        <v>1.0963000000000001E-2</v>
      </c>
      <c r="F474">
        <v>793469024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-0.10085470085469786</v>
      </c>
      <c r="Q474">
        <f t="shared" si="980"/>
        <v>-80025081.052989081</v>
      </c>
      <c r="R474">
        <f t="shared" si="981"/>
        <v>26167728591.874107</v>
      </c>
      <c r="S474">
        <f t="shared" si="982"/>
        <v>261677.28591874108</v>
      </c>
      <c r="T474">
        <f t="shared" si="983"/>
        <v>261.67728591874106</v>
      </c>
    </row>
    <row r="475" spans="1:20" x14ac:dyDescent="0.25">
      <c r="A475" s="5">
        <v>44118</v>
      </c>
      <c r="B475">
        <v>1.1488999999999999E-2</v>
      </c>
      <c r="C475">
        <v>1.1583E-2</v>
      </c>
      <c r="D475">
        <v>1.0802000000000001E-2</v>
      </c>
      <c r="E475">
        <v>1.1139E-2</v>
      </c>
      <c r="F475">
        <v>1300293036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-0.13700384122919509</v>
      </c>
      <c r="Q475">
        <f t="shared" si="980"/>
        <v>-178145140.65557206</v>
      </c>
      <c r="R475">
        <f t="shared" si="981"/>
        <v>26247753672.927097</v>
      </c>
      <c r="S475">
        <f t="shared" si="982"/>
        <v>262477.536729271</v>
      </c>
      <c r="T475">
        <f t="shared" si="983"/>
        <v>262.47753672927098</v>
      </c>
    </row>
    <row r="476" spans="1:20" x14ac:dyDescent="0.25">
      <c r="A476" s="5">
        <v>44117</v>
      </c>
      <c r="B476">
        <v>1.1375E-2</v>
      </c>
      <c r="C476">
        <v>1.1767E-2</v>
      </c>
      <c r="D476">
        <v>1.1318E-2</v>
      </c>
      <c r="E476">
        <v>1.1481999999999999E-2</v>
      </c>
      <c r="F476">
        <v>1119050792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-0.26948775055679597</v>
      </c>
      <c r="Q476">
        <f t="shared" si="980"/>
        <v>-301570480.69488096</v>
      </c>
      <c r="R476">
        <f t="shared" si="981"/>
        <v>26425898813.582668</v>
      </c>
      <c r="S476">
        <f t="shared" si="982"/>
        <v>264258.98813582666</v>
      </c>
      <c r="T476">
        <f t="shared" si="983"/>
        <v>264.25898813582666</v>
      </c>
    </row>
    <row r="477" spans="1:20" x14ac:dyDescent="0.25">
      <c r="A477" s="5">
        <v>44116</v>
      </c>
      <c r="B477">
        <v>1.1431999999999999E-2</v>
      </c>
      <c r="C477">
        <v>1.1831E-2</v>
      </c>
      <c r="D477">
        <v>1.0905E-2</v>
      </c>
      <c r="E477">
        <v>1.1377E-2</v>
      </c>
      <c r="F477">
        <v>1792342058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1.9438444924406759E-2</v>
      </c>
      <c r="Q477">
        <f t="shared" si="980"/>
        <v>34840342.380130865</v>
      </c>
      <c r="R477">
        <f t="shared" si="981"/>
        <v>26727469294.27755</v>
      </c>
      <c r="S477">
        <f t="shared" si="982"/>
        <v>267274.69294277549</v>
      </c>
      <c r="T477">
        <f t="shared" si="983"/>
        <v>267.27469294277552</v>
      </c>
    </row>
    <row r="478" spans="1:20" x14ac:dyDescent="0.25">
      <c r="A478" s="5">
        <v>44115</v>
      </c>
      <c r="B478">
        <v>1.1395000000000001E-2</v>
      </c>
      <c r="C478">
        <v>1.1934999999999999E-2</v>
      </c>
      <c r="D478">
        <v>1.1240999999999999E-2</v>
      </c>
      <c r="E478">
        <v>1.1436E-2</v>
      </c>
      <c r="F478">
        <v>1154427218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-0.43804034582132367</v>
      </c>
      <c r="Q478">
        <f t="shared" si="980"/>
        <v>-505685697.79826862</v>
      </c>
      <c r="R478">
        <f t="shared" si="981"/>
        <v>26692628951.897419</v>
      </c>
      <c r="S478">
        <f t="shared" si="982"/>
        <v>266926.2895189742</v>
      </c>
      <c r="T478">
        <f t="shared" si="983"/>
        <v>266.92628951897422</v>
      </c>
    </row>
    <row r="479" spans="1:20" x14ac:dyDescent="0.25">
      <c r="A479" s="5">
        <v>44114</v>
      </c>
      <c r="B479">
        <v>1.1455999999999999E-2</v>
      </c>
      <c r="C479">
        <v>1.204E-2</v>
      </c>
      <c r="D479">
        <v>1.1299999999999999E-2</v>
      </c>
      <c r="E479">
        <v>1.14E-2</v>
      </c>
      <c r="F479">
        <v>1475399685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-0.72972972972972705</v>
      </c>
      <c r="Q479">
        <f t="shared" si="980"/>
        <v>-1076643013.3783743</v>
      </c>
      <c r="R479">
        <f t="shared" si="981"/>
        <v>27198314649.695686</v>
      </c>
      <c r="S479">
        <f t="shared" si="982"/>
        <v>271983.14649695688</v>
      </c>
      <c r="T479">
        <f t="shared" si="983"/>
        <v>271.98314649695686</v>
      </c>
    </row>
    <row r="480" spans="1:20" x14ac:dyDescent="0.25">
      <c r="A480" s="5">
        <v>44113</v>
      </c>
      <c r="B480">
        <v>1.1006E-2</v>
      </c>
      <c r="C480">
        <v>1.1802999999999999E-2</v>
      </c>
      <c r="D480">
        <v>1.078E-2</v>
      </c>
      <c r="E480">
        <v>1.1455E-2</v>
      </c>
      <c r="F480">
        <v>1647939979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0.31964809384164322</v>
      </c>
      <c r="Q480">
        <f t="shared" si="980"/>
        <v>526760873.05278754</v>
      </c>
      <c r="R480">
        <f t="shared" si="981"/>
        <v>28274957663.074062</v>
      </c>
      <c r="S480">
        <f t="shared" si="982"/>
        <v>282749.5766307406</v>
      </c>
      <c r="T480">
        <f t="shared" si="983"/>
        <v>282.74957663074059</v>
      </c>
    </row>
    <row r="481" spans="1:20" x14ac:dyDescent="0.25">
      <c r="A481" s="5">
        <v>44112</v>
      </c>
      <c r="B481">
        <v>1.1225000000000001E-2</v>
      </c>
      <c r="C481">
        <v>1.1474E-2</v>
      </c>
      <c r="D481">
        <v>1.0444999999999999E-2</v>
      </c>
      <c r="E481">
        <v>1.1011999999999999E-2</v>
      </c>
      <c r="F481">
        <v>2080423893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0.10204081632652978</v>
      </c>
      <c r="Q481">
        <f t="shared" si="980"/>
        <v>212288152.34693706</v>
      </c>
      <c r="R481">
        <f t="shared" si="981"/>
        <v>27748196790.021275</v>
      </c>
      <c r="S481">
        <f t="shared" si="982"/>
        <v>277481.96790021274</v>
      </c>
      <c r="T481">
        <f t="shared" si="983"/>
        <v>277.48196790021274</v>
      </c>
    </row>
    <row r="482" spans="1:20" x14ac:dyDescent="0.25">
      <c r="A482" s="5">
        <v>44111</v>
      </c>
      <c r="B482">
        <v>1.0109999999999999E-2</v>
      </c>
      <c r="C482">
        <v>1.1283E-2</v>
      </c>
      <c r="D482">
        <v>9.6810000000000004E-3</v>
      </c>
      <c r="E482">
        <v>1.1227000000000001E-2</v>
      </c>
      <c r="F482">
        <v>2220452922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0.93008739076154956</v>
      </c>
      <c r="Q482">
        <f t="shared" si="980"/>
        <v>2065215264.5318384</v>
      </c>
      <c r="R482">
        <f t="shared" si="981"/>
        <v>27535908637.674339</v>
      </c>
      <c r="S482">
        <f t="shared" si="982"/>
        <v>275359.08637674339</v>
      </c>
      <c r="T482">
        <f t="shared" si="983"/>
        <v>275.35908637674339</v>
      </c>
    </row>
    <row r="483" spans="1:20" x14ac:dyDescent="0.25">
      <c r="A483" s="5">
        <v>44110</v>
      </c>
      <c r="B483">
        <v>1.1381E-2</v>
      </c>
      <c r="C483">
        <v>1.1472E-2</v>
      </c>
      <c r="D483">
        <v>1.0038999999999999E-2</v>
      </c>
      <c r="E483">
        <v>1.0106E-2</v>
      </c>
      <c r="F483">
        <v>2079713359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-0.90648988136775843</v>
      </c>
      <c r="Q483">
        <f t="shared" si="980"/>
        <v>-1885239116.0788524</v>
      </c>
      <c r="R483">
        <f t="shared" si="981"/>
        <v>25470693373.142502</v>
      </c>
      <c r="S483">
        <f t="shared" si="982"/>
        <v>254706.93373142503</v>
      </c>
      <c r="T483">
        <f t="shared" si="983"/>
        <v>254.70693373142504</v>
      </c>
    </row>
    <row r="484" spans="1:20" x14ac:dyDescent="0.25">
      <c r="A484" s="5">
        <v>44109</v>
      </c>
      <c r="B484">
        <v>1.1658999999999999E-2</v>
      </c>
      <c r="C484">
        <v>1.1893000000000001E-2</v>
      </c>
      <c r="D484">
        <v>1.1247E-2</v>
      </c>
      <c r="E484">
        <v>1.1383000000000001E-2</v>
      </c>
      <c r="F484">
        <v>1126898214</v>
      </c>
      <c r="G484">
        <v>0</v>
      </c>
      <c r="L484" t="s">
        <v>7</v>
      </c>
      <c r="M484" t="s">
        <v>8</v>
      </c>
      <c r="N484" t="s">
        <v>7</v>
      </c>
      <c r="P484">
        <f t="shared" si="979"/>
        <v>-0.57894736842105099</v>
      </c>
      <c r="Q484">
        <f t="shared" si="980"/>
        <v>-652414755.4736824</v>
      </c>
      <c r="R484">
        <f t="shared" si="981"/>
        <v>27355932489.221355</v>
      </c>
      <c r="S484">
        <f t="shared" si="982"/>
        <v>273559.32489221357</v>
      </c>
      <c r="T484">
        <f t="shared" si="983"/>
        <v>273.55932489221357</v>
      </c>
    </row>
    <row r="485" spans="1:20" x14ac:dyDescent="0.25">
      <c r="A485" s="5">
        <v>44108</v>
      </c>
      <c r="B485">
        <v>1.1738999999999999E-2</v>
      </c>
      <c r="C485">
        <v>1.1873999999999999E-2</v>
      </c>
      <c r="D485">
        <v>1.1335E-2</v>
      </c>
      <c r="E485">
        <v>1.1657000000000001E-2</v>
      </c>
      <c r="F485">
        <v>1023790852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0.19480519480519989</v>
      </c>
      <c r="Q485">
        <f t="shared" si="980"/>
        <v>199439776.36364156</v>
      </c>
      <c r="R485">
        <f t="shared" si="981"/>
        <v>28008347244.695038</v>
      </c>
      <c r="S485">
        <f t="shared" si="982"/>
        <v>280083.47244695039</v>
      </c>
      <c r="T485">
        <f t="shared" si="983"/>
        <v>280.0834724469504</v>
      </c>
    </row>
    <row r="486" spans="1:20" x14ac:dyDescent="0.25">
      <c r="A486" s="5">
        <v>44107</v>
      </c>
      <c r="B486">
        <v>1.1863E-2</v>
      </c>
      <c r="C486">
        <v>1.2167000000000001E-2</v>
      </c>
      <c r="D486">
        <v>1.1710999999999999E-2</v>
      </c>
      <c r="E486">
        <v>1.1738999999999999E-2</v>
      </c>
      <c r="F486">
        <v>868863665</v>
      </c>
      <c r="G486">
        <v>0</v>
      </c>
      <c r="L486" t="s">
        <v>7</v>
      </c>
      <c r="M486" t="s">
        <v>8</v>
      </c>
      <c r="N486" t="s">
        <v>7</v>
      </c>
      <c r="P486">
        <f t="shared" si="979"/>
        <v>-0.87719298245613964</v>
      </c>
      <c r="Q486">
        <f t="shared" si="980"/>
        <v>-762161109.64912224</v>
      </c>
      <c r="R486">
        <f t="shared" si="981"/>
        <v>27808907468.331398</v>
      </c>
      <c r="S486">
        <f t="shared" si="982"/>
        <v>278089.07468331396</v>
      </c>
      <c r="T486">
        <f t="shared" si="983"/>
        <v>278.08907468331398</v>
      </c>
    </row>
    <row r="487" spans="1:20" x14ac:dyDescent="0.25">
      <c r="A487" s="5">
        <v>44106</v>
      </c>
      <c r="B487">
        <v>1.2725E-2</v>
      </c>
      <c r="C487">
        <v>1.29E-2</v>
      </c>
      <c r="D487">
        <v>1.1523E-2</v>
      </c>
      <c r="E487">
        <v>1.1859E-2</v>
      </c>
      <c r="F487">
        <v>1797615678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-0.51198257080610088</v>
      </c>
      <c r="Q487">
        <f t="shared" si="980"/>
        <v>-920347896.14379203</v>
      </c>
      <c r="R487">
        <f t="shared" si="981"/>
        <v>28571068577.980522</v>
      </c>
      <c r="S487">
        <f t="shared" si="982"/>
        <v>285710.68577980524</v>
      </c>
      <c r="T487">
        <f t="shared" si="983"/>
        <v>285.71068577980526</v>
      </c>
    </row>
    <row r="488" spans="1:20" x14ac:dyDescent="0.25">
      <c r="A488" s="5">
        <v>44105</v>
      </c>
      <c r="B488">
        <v>1.3521E-2</v>
      </c>
      <c r="C488">
        <v>1.3653E-2</v>
      </c>
      <c r="D488">
        <v>1.2475E-2</v>
      </c>
      <c r="E488">
        <v>1.2732E-2</v>
      </c>
      <c r="F488">
        <v>1304889127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-0.56366723259762275</v>
      </c>
      <c r="Q488">
        <f t="shared" si="980"/>
        <v>-735523243.06281793</v>
      </c>
      <c r="R488">
        <f t="shared" si="981"/>
        <v>29491416474.124313</v>
      </c>
      <c r="S488">
        <f t="shared" si="982"/>
        <v>294914.16474124312</v>
      </c>
      <c r="T488">
        <f t="shared" si="983"/>
        <v>294.9141647412431</v>
      </c>
    </row>
    <row r="489" spans="1:20" x14ac:dyDescent="0.25">
      <c r="A489" s="5">
        <v>44104</v>
      </c>
      <c r="B489">
        <v>1.3169999999999999E-2</v>
      </c>
      <c r="C489">
        <v>1.359E-2</v>
      </c>
      <c r="D489">
        <v>1.2647E-2</v>
      </c>
      <c r="E489">
        <v>1.3519E-2</v>
      </c>
      <c r="F489">
        <v>1410074975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0.84941675503711578</v>
      </c>
      <c r="Q489">
        <f t="shared" si="980"/>
        <v>1197741309.6235421</v>
      </c>
      <c r="R489">
        <f t="shared" si="981"/>
        <v>30226939717.18713</v>
      </c>
      <c r="S489">
        <f t="shared" si="982"/>
        <v>302269.39717187127</v>
      </c>
      <c r="T489">
        <f t="shared" si="983"/>
        <v>302.26939717187128</v>
      </c>
    </row>
    <row r="490" spans="1:20" x14ac:dyDescent="0.25">
      <c r="A490" s="5">
        <v>44103</v>
      </c>
      <c r="B490">
        <v>1.2766E-2</v>
      </c>
      <c r="C490">
        <v>1.3199000000000001E-2</v>
      </c>
      <c r="D490">
        <v>1.2324E-2</v>
      </c>
      <c r="E490">
        <v>1.3169E-2</v>
      </c>
      <c r="F490">
        <v>1608891209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0.93142857142857027</v>
      </c>
      <c r="Q490">
        <f t="shared" si="980"/>
        <v>1498567240.3828552</v>
      </c>
      <c r="R490">
        <f t="shared" si="981"/>
        <v>29029198407.563587</v>
      </c>
      <c r="S490">
        <f t="shared" si="982"/>
        <v>290291.98407563585</v>
      </c>
      <c r="T490">
        <f t="shared" si="983"/>
        <v>290.29198407563587</v>
      </c>
    </row>
    <row r="491" spans="1:20" x14ac:dyDescent="0.25">
      <c r="A491" s="5">
        <v>44102</v>
      </c>
      <c r="B491">
        <v>1.2744E-2</v>
      </c>
      <c r="C491">
        <v>1.3599E-2</v>
      </c>
      <c r="D491">
        <v>1.2739E-2</v>
      </c>
      <c r="E491">
        <v>1.2765E-2</v>
      </c>
      <c r="F491">
        <v>1711027138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-0.9395348837209303</v>
      </c>
      <c r="Q491">
        <f t="shared" si="980"/>
        <v>-1607569683.1441863</v>
      </c>
      <c r="R491">
        <f t="shared" si="981"/>
        <v>27530631167.180733</v>
      </c>
      <c r="S491">
        <f t="shared" si="982"/>
        <v>275306.31167180731</v>
      </c>
      <c r="T491">
        <f t="shared" si="983"/>
        <v>275.30631167180729</v>
      </c>
    </row>
    <row r="492" spans="1:20" x14ac:dyDescent="0.25">
      <c r="A492" s="5">
        <v>44101</v>
      </c>
      <c r="B492">
        <v>1.2845000000000001E-2</v>
      </c>
      <c r="C492">
        <v>1.306E-2</v>
      </c>
      <c r="D492">
        <v>1.2271000000000001E-2</v>
      </c>
      <c r="E492">
        <v>1.2741000000000001E-2</v>
      </c>
      <c r="F492">
        <v>970889020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0.19138149556400524</v>
      </c>
      <c r="Q492">
        <f t="shared" si="980"/>
        <v>185810192.6742714</v>
      </c>
      <c r="R492">
        <f t="shared" si="981"/>
        <v>29138200850.324921</v>
      </c>
      <c r="S492">
        <f t="shared" si="982"/>
        <v>291382.00850324921</v>
      </c>
      <c r="T492">
        <f t="shared" si="983"/>
        <v>291.38200850324921</v>
      </c>
    </row>
    <row r="493" spans="1:20" x14ac:dyDescent="0.25">
      <c r="A493" s="5">
        <v>44100</v>
      </c>
      <c r="B493">
        <v>1.2916E-2</v>
      </c>
      <c r="C493">
        <v>1.336E-2</v>
      </c>
      <c r="D493">
        <v>1.244E-2</v>
      </c>
      <c r="E493">
        <v>1.2851E-2</v>
      </c>
      <c r="F493">
        <v>1119275359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-0.10652173913043564</v>
      </c>
      <c r="Q493">
        <f t="shared" si="980"/>
        <v>-119227157.8065227</v>
      </c>
      <c r="R493">
        <f t="shared" si="981"/>
        <v>28952390657.65065</v>
      </c>
      <c r="S493">
        <f t="shared" si="982"/>
        <v>289523.9065765065</v>
      </c>
      <c r="T493">
        <f t="shared" si="983"/>
        <v>289.52390657650648</v>
      </c>
    </row>
    <row r="494" spans="1:20" x14ac:dyDescent="0.25">
      <c r="A494" s="5">
        <v>44099</v>
      </c>
      <c r="B494">
        <v>1.2381E-2</v>
      </c>
      <c r="C494">
        <v>1.3280999999999999E-2</v>
      </c>
      <c r="D494">
        <v>1.1835999999999999E-2</v>
      </c>
      <c r="E494">
        <v>1.2909E-2</v>
      </c>
      <c r="F494">
        <v>1954141240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0.48512110726643731</v>
      </c>
      <c r="Q494">
        <f t="shared" si="980"/>
        <v>947995162.10380888</v>
      </c>
      <c r="R494">
        <f t="shared" si="981"/>
        <v>29071617815.457172</v>
      </c>
      <c r="S494">
        <f t="shared" si="982"/>
        <v>290716.17815457174</v>
      </c>
      <c r="T494">
        <f t="shared" si="983"/>
        <v>290.71617815457176</v>
      </c>
    </row>
    <row r="495" spans="1:20" x14ac:dyDescent="0.25">
      <c r="A495" s="5">
        <v>44098</v>
      </c>
      <c r="B495">
        <v>1.1383000000000001E-2</v>
      </c>
      <c r="C495">
        <v>1.265E-2</v>
      </c>
      <c r="D495">
        <v>1.1212E-2</v>
      </c>
      <c r="E495">
        <v>1.2385E-2</v>
      </c>
      <c r="F495">
        <v>1397217115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0.63143254520166958</v>
      </c>
      <c r="Q495">
        <f t="shared" si="980"/>
        <v>882248359.12378383</v>
      </c>
      <c r="R495">
        <f t="shared" si="981"/>
        <v>28123622653.353363</v>
      </c>
      <c r="S495">
        <f t="shared" si="982"/>
        <v>281236.22653353366</v>
      </c>
      <c r="T495">
        <f t="shared" si="983"/>
        <v>281.23622653353368</v>
      </c>
    </row>
    <row r="496" spans="1:20" x14ac:dyDescent="0.25">
      <c r="A496" s="5">
        <v>44097</v>
      </c>
      <c r="B496">
        <v>1.2338E-2</v>
      </c>
      <c r="C496">
        <v>1.2397E-2</v>
      </c>
      <c r="D496">
        <v>1.1110999999999999E-2</v>
      </c>
      <c r="E496">
        <v>1.1381E-2</v>
      </c>
      <c r="F496">
        <v>2292228303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-0.5800933125971991</v>
      </c>
      <c r="Q496">
        <f t="shared" si="980"/>
        <v>-1329706309.5163262</v>
      </c>
      <c r="R496">
        <f t="shared" si="981"/>
        <v>27241374294.22958</v>
      </c>
      <c r="S496">
        <f t="shared" si="982"/>
        <v>272413.74294229579</v>
      </c>
      <c r="T496">
        <f t="shared" si="983"/>
        <v>272.41374294229581</v>
      </c>
    </row>
    <row r="497" spans="1:20" x14ac:dyDescent="0.25">
      <c r="A497" s="5">
        <v>44096</v>
      </c>
      <c r="B497">
        <v>1.2614E-2</v>
      </c>
      <c r="C497">
        <v>1.3028E-2</v>
      </c>
      <c r="D497">
        <v>1.2031E-2</v>
      </c>
      <c r="E497">
        <v>1.234E-2</v>
      </c>
      <c r="F497">
        <v>1525378152</v>
      </c>
      <c r="G497">
        <v>0</v>
      </c>
      <c r="L497" t="s">
        <v>7</v>
      </c>
      <c r="M497" t="s">
        <v>7</v>
      </c>
      <c r="N497" t="s">
        <v>8</v>
      </c>
      <c r="P497">
        <f t="shared" si="979"/>
        <v>-0.38014042126379066</v>
      </c>
      <c r="Q497">
        <f t="shared" si="980"/>
        <v>-579857893.28786254</v>
      </c>
      <c r="R497">
        <f t="shared" si="981"/>
        <v>28571080603.745907</v>
      </c>
      <c r="S497">
        <f t="shared" si="982"/>
        <v>285710.80603745906</v>
      </c>
      <c r="T497">
        <f t="shared" si="983"/>
        <v>285.71080603745907</v>
      </c>
    </row>
    <row r="498" spans="1:20" x14ac:dyDescent="0.25">
      <c r="A498" s="5">
        <v>44095</v>
      </c>
      <c r="B498">
        <v>1.4470999999999999E-2</v>
      </c>
      <c r="C498">
        <v>1.4777E-2</v>
      </c>
      <c r="D498">
        <v>1.2167000000000001E-2</v>
      </c>
      <c r="E498">
        <v>1.2605E-2</v>
      </c>
      <c r="F498">
        <v>2796874971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-0.66436781609195461</v>
      </c>
      <c r="Q498">
        <f t="shared" si="980"/>
        <v>-1858153716.3655188</v>
      </c>
      <c r="R498">
        <f t="shared" si="981"/>
        <v>29150938497.033768</v>
      </c>
      <c r="S498">
        <f t="shared" si="982"/>
        <v>291509.38497033768</v>
      </c>
      <c r="T498">
        <f t="shared" si="983"/>
        <v>291.50938497033769</v>
      </c>
    </row>
    <row r="499" spans="1:20" x14ac:dyDescent="0.25">
      <c r="A499" s="5">
        <v>44094</v>
      </c>
      <c r="B499">
        <v>1.5259999999999999E-2</v>
      </c>
      <c r="C499">
        <v>1.5894999999999999E-2</v>
      </c>
      <c r="D499">
        <v>1.383E-2</v>
      </c>
      <c r="E499">
        <v>1.4475999999999999E-2</v>
      </c>
      <c r="F499">
        <v>1622858873</v>
      </c>
      <c r="G499">
        <v>0</v>
      </c>
      <c r="L499" t="s">
        <v>8</v>
      </c>
      <c r="M499" t="s">
        <v>8</v>
      </c>
      <c r="N499" t="s">
        <v>8</v>
      </c>
      <c r="P499">
        <f t="shared" si="979"/>
        <v>-0.37433414043583607</v>
      </c>
      <c r="Q499">
        <f t="shared" si="980"/>
        <v>-607491481.27312469</v>
      </c>
      <c r="R499">
        <f t="shared" si="981"/>
        <v>31009092213.399288</v>
      </c>
      <c r="S499">
        <f t="shared" si="982"/>
        <v>310090.92213399289</v>
      </c>
      <c r="T499">
        <f t="shared" si="983"/>
        <v>310.09092213399288</v>
      </c>
    </row>
    <row r="500" spans="1:20" x14ac:dyDescent="0.25">
      <c r="A500" s="5">
        <v>44093</v>
      </c>
      <c r="B500">
        <v>1.4429000000000001E-2</v>
      </c>
      <c r="C500">
        <v>1.5474999999999999E-2</v>
      </c>
      <c r="D500">
        <v>1.3831E-2</v>
      </c>
      <c r="E500">
        <v>1.5265000000000001E-2</v>
      </c>
      <c r="F500">
        <v>1663696067</v>
      </c>
      <c r="G500">
        <v>0</v>
      </c>
      <c r="L500" t="s">
        <v>7</v>
      </c>
      <c r="M500" t="s">
        <v>8</v>
      </c>
      <c r="N500" t="s">
        <v>8</v>
      </c>
      <c r="P500">
        <f t="shared" si="979"/>
        <v>0.74452554744525734</v>
      </c>
      <c r="Q500">
        <f t="shared" si="980"/>
        <v>1238664225.0656965</v>
      </c>
      <c r="R500">
        <f t="shared" si="981"/>
        <v>31616583694.672413</v>
      </c>
      <c r="S500">
        <f t="shared" si="982"/>
        <v>316165.83694672416</v>
      </c>
      <c r="T500">
        <f t="shared" si="983"/>
        <v>316.16583694672414</v>
      </c>
    </row>
    <row r="501" spans="1:20" x14ac:dyDescent="0.25">
      <c r="A501" s="5">
        <v>44092</v>
      </c>
      <c r="B501">
        <v>1.3506000000000001E-2</v>
      </c>
      <c r="C501">
        <v>1.5335E-2</v>
      </c>
      <c r="D501">
        <v>1.3377999999999999E-2</v>
      </c>
      <c r="E501">
        <v>1.443E-2</v>
      </c>
      <c r="F501">
        <v>2603147306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7.5114971895759455E-2</v>
      </c>
      <c r="Q501">
        <f t="shared" si="980"/>
        <v>195535336.73071194</v>
      </c>
      <c r="R501">
        <f t="shared" si="981"/>
        <v>30377919469.606716</v>
      </c>
      <c r="S501">
        <f t="shared" si="982"/>
        <v>303779.19469606713</v>
      </c>
      <c r="T501">
        <f t="shared" si="983"/>
        <v>303.77919469606712</v>
      </c>
    </row>
    <row r="502" spans="1:20" x14ac:dyDescent="0.25">
      <c r="A502" s="5">
        <v>44091</v>
      </c>
      <c r="B502">
        <v>1.2455000000000001E-2</v>
      </c>
      <c r="C502">
        <v>1.3792E-2</v>
      </c>
      <c r="D502">
        <v>1.2376E-2</v>
      </c>
      <c r="E502">
        <v>1.3514E-2</v>
      </c>
      <c r="F502">
        <v>1732217771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0.60734463276836104</v>
      </c>
      <c r="Q502">
        <f t="shared" si="980"/>
        <v>1052053166.0028239</v>
      </c>
      <c r="R502">
        <f t="shared" si="981"/>
        <v>30182384132.876003</v>
      </c>
      <c r="S502">
        <f t="shared" si="982"/>
        <v>301823.84132876003</v>
      </c>
      <c r="T502">
        <f t="shared" si="983"/>
        <v>301.82384132876001</v>
      </c>
    </row>
    <row r="503" spans="1:20" x14ac:dyDescent="0.25">
      <c r="A503" s="5">
        <v>44090</v>
      </c>
      <c r="B503">
        <v>1.2564000000000001E-2</v>
      </c>
      <c r="C503">
        <v>1.2675000000000001E-2</v>
      </c>
      <c r="D503">
        <v>1.2088E-2</v>
      </c>
      <c r="E503">
        <v>1.2460000000000001E-2</v>
      </c>
      <c r="F503">
        <v>1439325808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0.26746166950596373</v>
      </c>
      <c r="Q503">
        <f t="shared" si="980"/>
        <v>384964483.57070023</v>
      </c>
      <c r="R503">
        <f t="shared" si="981"/>
        <v>29130330966.87318</v>
      </c>
      <c r="S503">
        <f t="shared" si="982"/>
        <v>291303.30966873182</v>
      </c>
      <c r="T503">
        <f t="shared" si="983"/>
        <v>291.3033096687318</v>
      </c>
    </row>
    <row r="504" spans="1:20" x14ac:dyDescent="0.25">
      <c r="A504" s="5">
        <v>44089</v>
      </c>
      <c r="B504">
        <v>1.2853E-2</v>
      </c>
      <c r="C504">
        <v>1.3443999999999999E-2</v>
      </c>
      <c r="D504">
        <v>1.2536E-2</v>
      </c>
      <c r="E504">
        <v>1.2569E-2</v>
      </c>
      <c r="F504">
        <v>1425847012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-0.92731277533039635</v>
      </c>
      <c r="Q504">
        <f t="shared" si="980"/>
        <v>-1322206149.894273</v>
      </c>
      <c r="R504">
        <f t="shared" si="981"/>
        <v>28745366483.302479</v>
      </c>
      <c r="S504">
        <f t="shared" si="982"/>
        <v>287453.66483302478</v>
      </c>
      <c r="T504">
        <f t="shared" si="983"/>
        <v>287.45366483302479</v>
      </c>
    </row>
    <row r="505" spans="1:20" x14ac:dyDescent="0.25">
      <c r="A505" s="5">
        <v>44088</v>
      </c>
      <c r="B505">
        <v>1.2815999999999999E-2</v>
      </c>
      <c r="C505">
        <v>1.3261999999999999E-2</v>
      </c>
      <c r="D505">
        <v>1.2437999999999999E-2</v>
      </c>
      <c r="E505">
        <v>1.2860999999999999E-2</v>
      </c>
      <c r="F505">
        <v>1254879402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2.6699029126212921E-2</v>
      </c>
      <c r="Q505">
        <f t="shared" si="980"/>
        <v>33504061.703882653</v>
      </c>
      <c r="R505">
        <f t="shared" si="981"/>
        <v>30067572633.196751</v>
      </c>
      <c r="S505">
        <f t="shared" si="982"/>
        <v>300675.72633196751</v>
      </c>
      <c r="T505">
        <f t="shared" si="983"/>
        <v>300.6757263319675</v>
      </c>
    </row>
    <row r="506" spans="1:20" x14ac:dyDescent="0.25">
      <c r="A506" s="5">
        <v>44087</v>
      </c>
      <c r="B506">
        <v>1.3419E-2</v>
      </c>
      <c r="C506">
        <v>1.3832000000000001E-2</v>
      </c>
      <c r="D506">
        <v>1.2253999999999999E-2</v>
      </c>
      <c r="E506">
        <v>1.281E-2</v>
      </c>
      <c r="F506">
        <v>1710643692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-0.29531051964511978</v>
      </c>
      <c r="Q506">
        <f t="shared" si="980"/>
        <v>-505171077.61216623</v>
      </c>
      <c r="R506">
        <f t="shared" si="981"/>
        <v>30034068571.492867</v>
      </c>
      <c r="S506">
        <f t="shared" si="982"/>
        <v>300340.68571492867</v>
      </c>
      <c r="T506">
        <f t="shared" si="983"/>
        <v>300.34068571492867</v>
      </c>
    </row>
    <row r="507" spans="1:20" x14ac:dyDescent="0.25">
      <c r="A507" s="5">
        <v>44086</v>
      </c>
      <c r="B507">
        <v>1.3246000000000001E-2</v>
      </c>
      <c r="C507">
        <v>1.3429E-2</v>
      </c>
      <c r="D507">
        <v>1.286E-2</v>
      </c>
      <c r="E507">
        <v>1.3419E-2</v>
      </c>
      <c r="F507">
        <v>966761367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0.96485061511423698</v>
      </c>
      <c r="Q507">
        <f t="shared" si="980"/>
        <v>932780299.61863065</v>
      </c>
      <c r="R507">
        <f t="shared" si="981"/>
        <v>30539239649.105034</v>
      </c>
      <c r="S507">
        <f t="shared" si="982"/>
        <v>305392.39649105031</v>
      </c>
      <c r="T507">
        <f t="shared" si="983"/>
        <v>305.39239649105031</v>
      </c>
    </row>
    <row r="508" spans="1:20" x14ac:dyDescent="0.25">
      <c r="A508" s="5">
        <v>44085</v>
      </c>
      <c r="B508">
        <v>1.2999E-2</v>
      </c>
      <c r="C508">
        <v>1.3383000000000001E-2</v>
      </c>
      <c r="D508">
        <v>1.2437E-2</v>
      </c>
      <c r="E508">
        <v>1.3239000000000001E-2</v>
      </c>
      <c r="F508">
        <v>1340266677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0.69556025369978869</v>
      </c>
      <c r="Q508">
        <f t="shared" si="980"/>
        <v>932236229.87949276</v>
      </c>
      <c r="R508">
        <f t="shared" si="981"/>
        <v>29606459349.486404</v>
      </c>
      <c r="S508">
        <f t="shared" si="982"/>
        <v>296064.59349486406</v>
      </c>
      <c r="T508">
        <f t="shared" si="983"/>
        <v>296.06459349486408</v>
      </c>
    </row>
    <row r="509" spans="1:20" x14ac:dyDescent="0.25">
      <c r="A509" s="5">
        <v>44084</v>
      </c>
      <c r="B509">
        <v>1.2839E-2</v>
      </c>
      <c r="C509">
        <v>1.3682E-2</v>
      </c>
      <c r="D509">
        <v>1.282E-2</v>
      </c>
      <c r="E509">
        <v>1.3004999999999999E-2</v>
      </c>
      <c r="F509">
        <v>1790472669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-0.57076566125290162</v>
      </c>
      <c r="Q509">
        <f t="shared" si="980"/>
        <v>-1021940316.8770326</v>
      </c>
      <c r="R509">
        <f t="shared" si="981"/>
        <v>28674223119.606911</v>
      </c>
      <c r="S509">
        <f t="shared" si="982"/>
        <v>286742.2311960691</v>
      </c>
      <c r="T509">
        <f t="shared" si="983"/>
        <v>286.7422311960691</v>
      </c>
    </row>
    <row r="510" spans="1:20" x14ac:dyDescent="0.25">
      <c r="A510" s="5">
        <v>44083</v>
      </c>
      <c r="B510">
        <v>1.2118E-2</v>
      </c>
      <c r="C510">
        <v>1.3240999999999999E-2</v>
      </c>
      <c r="D510">
        <v>1.163E-2</v>
      </c>
      <c r="E510">
        <v>1.2841E-2</v>
      </c>
      <c r="F510">
        <v>1961166967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0.5034140285536941</v>
      </c>
      <c r="Q510">
        <f t="shared" si="980"/>
        <v>987278963.52389967</v>
      </c>
      <c r="R510">
        <f t="shared" si="981"/>
        <v>29696163436.483944</v>
      </c>
      <c r="S510">
        <f t="shared" si="982"/>
        <v>296961.63436483941</v>
      </c>
      <c r="T510">
        <f t="shared" si="983"/>
        <v>296.96163436483943</v>
      </c>
    </row>
    <row r="511" spans="1:20" x14ac:dyDescent="0.25">
      <c r="A511" s="5">
        <v>44082</v>
      </c>
      <c r="B511">
        <v>1.2200000000000001E-2</v>
      </c>
      <c r="C511">
        <v>1.3464E-2</v>
      </c>
      <c r="D511">
        <v>1.175E-2</v>
      </c>
      <c r="E511">
        <v>1.2119E-2</v>
      </c>
      <c r="F511">
        <v>2913934238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-0.56942823803967391</v>
      </c>
      <c r="Q511">
        <f t="shared" si="980"/>
        <v>-1659276438.9078197</v>
      </c>
      <c r="R511">
        <f t="shared" si="981"/>
        <v>28708884472.960045</v>
      </c>
      <c r="S511">
        <f t="shared" si="982"/>
        <v>287088.84472960047</v>
      </c>
      <c r="T511">
        <f t="shared" si="983"/>
        <v>287.08884472960045</v>
      </c>
    </row>
    <row r="512" spans="1:20" x14ac:dyDescent="0.25">
      <c r="A512" s="5">
        <v>44081</v>
      </c>
      <c r="B512">
        <v>1.2352E-2</v>
      </c>
      <c r="C512">
        <v>1.2612999999999999E-2</v>
      </c>
      <c r="D512">
        <v>1.0999999999999999E-2</v>
      </c>
      <c r="E512">
        <v>1.2201E-2</v>
      </c>
      <c r="F512">
        <v>2719705517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0.48915065096094335</v>
      </c>
      <c r="Q512">
        <f t="shared" si="980"/>
        <v>1330345724.062619</v>
      </c>
      <c r="R512">
        <f t="shared" si="981"/>
        <v>30368160911.867863</v>
      </c>
      <c r="S512">
        <f t="shared" si="982"/>
        <v>303681.60911867861</v>
      </c>
      <c r="T512">
        <f t="shared" si="983"/>
        <v>303.68160911867858</v>
      </c>
    </row>
    <row r="513" spans="1:20" x14ac:dyDescent="0.25">
      <c r="A513" s="5">
        <v>44080</v>
      </c>
      <c r="B513">
        <v>1.2097999999999999E-2</v>
      </c>
      <c r="C513">
        <v>1.2999999999999999E-2</v>
      </c>
      <c r="D513">
        <v>1.1003000000000001E-2</v>
      </c>
      <c r="E513">
        <v>1.2354E-2</v>
      </c>
      <c r="F513">
        <v>2672933711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0.35302954431647532</v>
      </c>
      <c r="Q513">
        <f t="shared" si="980"/>
        <v>943624569.98247528</v>
      </c>
      <c r="R513">
        <f t="shared" si="981"/>
        <v>29037815187.805244</v>
      </c>
      <c r="S513">
        <f t="shared" si="982"/>
        <v>290378.15187805245</v>
      </c>
      <c r="T513">
        <f t="shared" si="983"/>
        <v>290.37815187805245</v>
      </c>
    </row>
    <row r="514" spans="1:20" x14ac:dyDescent="0.25">
      <c r="A514" s="5">
        <v>44079</v>
      </c>
      <c r="B514">
        <v>1.4269E-2</v>
      </c>
      <c r="C514">
        <v>1.4716E-2</v>
      </c>
      <c r="D514">
        <v>1.085E-2</v>
      </c>
      <c r="E514">
        <v>1.2101000000000001E-2</v>
      </c>
      <c r="F514">
        <v>4181717568</v>
      </c>
      <c r="G514">
        <v>0</v>
      </c>
      <c r="L514" t="s">
        <v>8</v>
      </c>
      <c r="M514" t="s">
        <v>8</v>
      </c>
      <c r="N514" t="s">
        <v>7</v>
      </c>
      <c r="P514">
        <f t="shared" si="979"/>
        <v>-0.35281945162959105</v>
      </c>
      <c r="Q514">
        <f t="shared" si="980"/>
        <v>-1475391299.2115872</v>
      </c>
      <c r="R514">
        <f t="shared" si="981"/>
        <v>28094190617.822769</v>
      </c>
      <c r="S514">
        <f t="shared" si="982"/>
        <v>280941.90617822768</v>
      </c>
      <c r="T514">
        <f t="shared" si="983"/>
        <v>280.94190617822767</v>
      </c>
    </row>
    <row r="515" spans="1:20" x14ac:dyDescent="0.25">
      <c r="A515" s="5">
        <v>44078</v>
      </c>
      <c r="B515">
        <v>1.2333999999999999E-2</v>
      </c>
      <c r="C515">
        <v>1.4749999999999999E-2</v>
      </c>
      <c r="D515">
        <v>1.06E-2</v>
      </c>
      <c r="E515">
        <v>1.4267999999999999E-2</v>
      </c>
      <c r="F515">
        <v>4660292357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0.76771084337349405</v>
      </c>
      <c r="Q515">
        <f t="shared" si="980"/>
        <v>3577756975.7595186</v>
      </c>
      <c r="R515">
        <f t="shared" si="981"/>
        <v>29569581917.034355</v>
      </c>
      <c r="S515">
        <f t="shared" si="982"/>
        <v>295695.81917034357</v>
      </c>
      <c r="T515">
        <f t="shared" si="983"/>
        <v>295.69581917034355</v>
      </c>
    </row>
    <row r="516" spans="1:20" x14ac:dyDescent="0.25">
      <c r="A516" s="5">
        <v>44077</v>
      </c>
      <c r="B516">
        <v>1.5994999999999999E-2</v>
      </c>
      <c r="C516">
        <v>1.6899999999999998E-2</v>
      </c>
      <c r="D516">
        <v>1.1272000000000001E-2</v>
      </c>
      <c r="E516">
        <v>1.2343E-2</v>
      </c>
      <c r="F516">
        <v>3421245678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-0.6194029850746271</v>
      </c>
      <c r="Q516">
        <f t="shared" si="980"/>
        <v>-2119129785.6268666</v>
      </c>
      <c r="R516">
        <f t="shared" si="981"/>
        <v>25991824941.274837</v>
      </c>
      <c r="S516">
        <f t="shared" si="982"/>
        <v>259918.24941274838</v>
      </c>
      <c r="T516">
        <f t="shared" si="983"/>
        <v>259.91824941274837</v>
      </c>
    </row>
    <row r="517" spans="1:20" x14ac:dyDescent="0.25">
      <c r="A517" s="5">
        <v>44076</v>
      </c>
      <c r="B517">
        <v>1.6969999999999999E-2</v>
      </c>
      <c r="C517">
        <v>1.7264999999999999E-2</v>
      </c>
      <c r="D517">
        <v>1.5155999999999999E-2</v>
      </c>
      <c r="E517">
        <v>1.5994999999999999E-2</v>
      </c>
      <c r="F517">
        <v>1531067722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-0.20436225699383637</v>
      </c>
      <c r="Q517">
        <f t="shared" si="980"/>
        <v>-312892455.27833164</v>
      </c>
      <c r="R517">
        <f t="shared" si="981"/>
        <v>28110954726.901703</v>
      </c>
      <c r="S517">
        <f t="shared" si="982"/>
        <v>281109.54726901703</v>
      </c>
      <c r="T517">
        <f t="shared" si="983"/>
        <v>281.10954726901701</v>
      </c>
    </row>
    <row r="518" spans="1:20" x14ac:dyDescent="0.25">
      <c r="A518" s="5">
        <v>44075</v>
      </c>
      <c r="B518">
        <v>1.7373E-2</v>
      </c>
      <c r="C518">
        <v>1.7649999999999999E-2</v>
      </c>
      <c r="D518">
        <v>1.6723999999999999E-2</v>
      </c>
      <c r="E518">
        <v>1.6989000000000001E-2</v>
      </c>
      <c r="F518">
        <v>1593821588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-0.42764578833692996</v>
      </c>
      <c r="Q518">
        <f t="shared" ref="Q518:Q581" si="985">F518*P518</f>
        <v>-681591089.46867752</v>
      </c>
      <c r="R518">
        <f t="shared" ref="R518:R581" si="986">R519+Q518</f>
        <v>28423847182.180035</v>
      </c>
      <c r="S518">
        <f t="shared" ref="S518:S581" si="987">R518/100000</f>
        <v>284238.47182180034</v>
      </c>
      <c r="T518">
        <f t="shared" ref="T518:T581" si="988">S518/1000</f>
        <v>284.23847182180032</v>
      </c>
    </row>
    <row r="519" spans="1:20" x14ac:dyDescent="0.25">
      <c r="A519" s="5">
        <v>44074</v>
      </c>
      <c r="B519">
        <v>1.7107000000000001E-2</v>
      </c>
      <c r="C519">
        <v>1.8669999999999999E-2</v>
      </c>
      <c r="D519">
        <v>1.6865000000000002E-2</v>
      </c>
      <c r="E519">
        <v>1.7371999999999999E-2</v>
      </c>
      <c r="F519">
        <v>2629917708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-0.43822714681440694</v>
      </c>
      <c r="Q519">
        <f t="shared" si="985"/>
        <v>-1152501333.5335245</v>
      </c>
      <c r="R519">
        <f t="shared" si="986"/>
        <v>29105438271.648712</v>
      </c>
      <c r="S519">
        <f t="shared" si="987"/>
        <v>291054.3827164871</v>
      </c>
      <c r="T519">
        <f t="shared" si="988"/>
        <v>291.05438271648711</v>
      </c>
    </row>
    <row r="520" spans="1:20" x14ac:dyDescent="0.25">
      <c r="A520" s="5">
        <v>44073</v>
      </c>
      <c r="B520">
        <v>1.6743999999999998E-2</v>
      </c>
      <c r="C520">
        <v>1.7439E-2</v>
      </c>
      <c r="D520">
        <v>1.6670000000000001E-2</v>
      </c>
      <c r="E520">
        <v>1.7113E-2</v>
      </c>
      <c r="F520">
        <v>1158692678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0.15214564369310693</v>
      </c>
      <c r="Q520">
        <f t="shared" si="985"/>
        <v>176290043.33679989</v>
      </c>
      <c r="R520">
        <f t="shared" si="986"/>
        <v>30257939605.182236</v>
      </c>
      <c r="S520">
        <f t="shared" si="987"/>
        <v>302579.39605182235</v>
      </c>
      <c r="T520">
        <f t="shared" si="988"/>
        <v>302.57939605182236</v>
      </c>
    </row>
    <row r="521" spans="1:20" x14ac:dyDescent="0.25">
      <c r="A521" s="5">
        <v>44072</v>
      </c>
      <c r="B521">
        <v>1.6317000000000002E-2</v>
      </c>
      <c r="C521">
        <v>1.72E-2</v>
      </c>
      <c r="D521">
        <v>1.6E-2</v>
      </c>
      <c r="E521">
        <v>1.6743999999999998E-2</v>
      </c>
      <c r="F521">
        <v>955990705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0.23999999999999722</v>
      </c>
      <c r="Q521">
        <f t="shared" si="985"/>
        <v>229437769.19999734</v>
      </c>
      <c r="R521">
        <f t="shared" si="986"/>
        <v>30081649561.845436</v>
      </c>
      <c r="S521">
        <f t="shared" si="987"/>
        <v>300816.49561845436</v>
      </c>
      <c r="T521">
        <f t="shared" si="988"/>
        <v>300.81649561845438</v>
      </c>
    </row>
    <row r="522" spans="1:20" x14ac:dyDescent="0.25">
      <c r="A522" s="5">
        <v>44071</v>
      </c>
      <c r="B522">
        <v>1.5938000000000001E-2</v>
      </c>
      <c r="C522">
        <v>1.6834999999999999E-2</v>
      </c>
      <c r="D522">
        <v>1.5675000000000001E-2</v>
      </c>
      <c r="E522">
        <v>1.6317000000000002E-2</v>
      </c>
      <c r="F522">
        <v>793833148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0.10689655172414035</v>
      </c>
      <c r="Q522">
        <f t="shared" si="985"/>
        <v>84858026.165519163</v>
      </c>
      <c r="R522">
        <f t="shared" si="986"/>
        <v>29852211792.645439</v>
      </c>
      <c r="S522">
        <f t="shared" si="987"/>
        <v>298522.1179264544</v>
      </c>
      <c r="T522">
        <f t="shared" si="988"/>
        <v>298.52211792645443</v>
      </c>
    </row>
    <row r="523" spans="1:20" x14ac:dyDescent="0.25">
      <c r="A523" s="5">
        <v>44070</v>
      </c>
      <c r="B523">
        <v>1.7114999999999998E-2</v>
      </c>
      <c r="C523">
        <v>1.7269E-2</v>
      </c>
      <c r="D523">
        <v>1.5262E-2</v>
      </c>
      <c r="E523">
        <v>1.5932999999999999E-2</v>
      </c>
      <c r="F523">
        <v>1243869220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-0.33134030891878458</v>
      </c>
      <c r="Q523">
        <f t="shared" si="985"/>
        <v>-412144011.60936761</v>
      </c>
      <c r="R523">
        <f t="shared" si="986"/>
        <v>29767353766.479919</v>
      </c>
      <c r="S523">
        <f t="shared" si="987"/>
        <v>297673.53766479919</v>
      </c>
      <c r="T523">
        <f t="shared" si="988"/>
        <v>297.6735376647992</v>
      </c>
    </row>
    <row r="524" spans="1:20" x14ac:dyDescent="0.25">
      <c r="A524" s="5">
        <v>44069</v>
      </c>
      <c r="B524">
        <v>1.687E-2</v>
      </c>
      <c r="C524">
        <v>1.7531000000000001E-2</v>
      </c>
      <c r="D524">
        <v>1.6556000000000001E-2</v>
      </c>
      <c r="E524">
        <v>1.7113E-2</v>
      </c>
      <c r="F524">
        <v>1014134509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0.14256410256409921</v>
      </c>
      <c r="Q524">
        <f t="shared" si="985"/>
        <v>144579176.15486839</v>
      </c>
      <c r="R524">
        <f t="shared" si="986"/>
        <v>30179497778.089287</v>
      </c>
      <c r="S524">
        <f t="shared" si="987"/>
        <v>301794.97778089286</v>
      </c>
      <c r="T524">
        <f t="shared" si="988"/>
        <v>301.79497778089285</v>
      </c>
    </row>
    <row r="525" spans="1:20" x14ac:dyDescent="0.25">
      <c r="A525" s="5">
        <v>44068</v>
      </c>
      <c r="B525">
        <v>1.8159000000000002E-2</v>
      </c>
      <c r="C525">
        <v>1.8200000000000001E-2</v>
      </c>
      <c r="D525">
        <v>1.6233000000000001E-2</v>
      </c>
      <c r="E525">
        <v>1.6882999999999999E-2</v>
      </c>
      <c r="F525">
        <v>1281514578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-0.33909506863243744</v>
      </c>
      <c r="Q525">
        <f t="shared" si="985"/>
        <v>-434555273.78037912</v>
      </c>
      <c r="R525">
        <f t="shared" si="986"/>
        <v>30034918601.934418</v>
      </c>
      <c r="S525">
        <f t="shared" si="987"/>
        <v>300349.1860193442</v>
      </c>
      <c r="T525">
        <f t="shared" si="988"/>
        <v>300.34918601934419</v>
      </c>
    </row>
    <row r="526" spans="1:20" x14ac:dyDescent="0.25">
      <c r="A526" s="5">
        <v>44067</v>
      </c>
      <c r="B526">
        <v>1.7897E-2</v>
      </c>
      <c r="C526">
        <v>1.8768E-2</v>
      </c>
      <c r="D526">
        <v>1.7611000000000002E-2</v>
      </c>
      <c r="E526">
        <v>1.8169999999999999E-2</v>
      </c>
      <c r="F526">
        <v>678574092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-3.37078651685431E-2</v>
      </c>
      <c r="Q526">
        <f t="shared" si="985"/>
        <v>-22873284.000002559</v>
      </c>
      <c r="R526">
        <f t="shared" si="986"/>
        <v>30469473875.714798</v>
      </c>
      <c r="S526">
        <f t="shared" si="987"/>
        <v>304694.73875714798</v>
      </c>
      <c r="T526">
        <f t="shared" si="988"/>
        <v>304.694738757148</v>
      </c>
    </row>
    <row r="527" spans="1:20" x14ac:dyDescent="0.25">
      <c r="A527" s="5">
        <v>44066</v>
      </c>
      <c r="B527">
        <v>1.8165000000000001E-2</v>
      </c>
      <c r="C527">
        <v>1.8324E-2</v>
      </c>
      <c r="D527">
        <v>1.7742000000000001E-2</v>
      </c>
      <c r="E527">
        <v>1.7888999999999999E-2</v>
      </c>
      <c r="F527">
        <v>643766819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-0.494845360824749</v>
      </c>
      <c r="Q527">
        <f t="shared" si="985"/>
        <v>-318565023.83505589</v>
      </c>
      <c r="R527">
        <f t="shared" si="986"/>
        <v>30492347159.714802</v>
      </c>
      <c r="S527">
        <f t="shared" si="987"/>
        <v>304923.47159714799</v>
      </c>
      <c r="T527">
        <f t="shared" si="988"/>
        <v>304.92347159714797</v>
      </c>
    </row>
    <row r="528" spans="1:20" x14ac:dyDescent="0.25">
      <c r="A528" s="5">
        <v>44065</v>
      </c>
      <c r="B528">
        <v>1.7974E-2</v>
      </c>
      <c r="C528">
        <v>1.8435E-2</v>
      </c>
      <c r="D528">
        <v>1.7229000000000001E-2</v>
      </c>
      <c r="E528">
        <v>1.8165000000000001E-2</v>
      </c>
      <c r="F528">
        <v>1121941438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0.55223880597014974</v>
      </c>
      <c r="Q528">
        <f t="shared" si="985"/>
        <v>619579600.08955276</v>
      </c>
      <c r="R528">
        <f t="shared" si="986"/>
        <v>30810912183.549858</v>
      </c>
      <c r="S528">
        <f t="shared" si="987"/>
        <v>308109.1218354986</v>
      </c>
      <c r="T528">
        <f t="shared" si="988"/>
        <v>308.10912183549863</v>
      </c>
    </row>
    <row r="529" spans="1:20" x14ac:dyDescent="0.25">
      <c r="A529" s="5">
        <v>44064</v>
      </c>
      <c r="B529">
        <v>1.9387999999999999E-2</v>
      </c>
      <c r="C529">
        <v>1.9963999999999999E-2</v>
      </c>
      <c r="D529">
        <v>1.7849E-2</v>
      </c>
      <c r="E529">
        <v>1.7961999999999999E-2</v>
      </c>
      <c r="F529">
        <v>1783467904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-0.89314420803782635</v>
      </c>
      <c r="Q529">
        <f t="shared" si="985"/>
        <v>-1592894028.678962</v>
      </c>
      <c r="R529">
        <f t="shared" si="986"/>
        <v>30191332583.460304</v>
      </c>
      <c r="S529">
        <f t="shared" si="987"/>
        <v>301913.32583460305</v>
      </c>
      <c r="T529">
        <f t="shared" si="988"/>
        <v>301.91332583460303</v>
      </c>
    </row>
    <row r="530" spans="1:20" x14ac:dyDescent="0.25">
      <c r="A530" s="5">
        <v>44063</v>
      </c>
      <c r="B530">
        <v>1.7843000000000001E-2</v>
      </c>
      <c r="C530">
        <v>1.9422999999999999E-2</v>
      </c>
      <c r="D530">
        <v>1.7801999999999998E-2</v>
      </c>
      <c r="E530">
        <v>1.9392E-2</v>
      </c>
      <c r="F530">
        <v>1526724700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0.9617520049352255</v>
      </c>
      <c r="Q530">
        <f t="shared" si="985"/>
        <v>1468330541.2091308</v>
      </c>
      <c r="R530">
        <f t="shared" si="986"/>
        <v>31784226612.139267</v>
      </c>
      <c r="S530">
        <f t="shared" si="987"/>
        <v>317842.26612139266</v>
      </c>
      <c r="T530">
        <f t="shared" si="988"/>
        <v>317.84226612139264</v>
      </c>
    </row>
    <row r="531" spans="1:20" x14ac:dyDescent="0.25">
      <c r="A531" s="5">
        <v>44062</v>
      </c>
      <c r="B531">
        <v>1.9087E-2</v>
      </c>
      <c r="C531">
        <v>1.95E-2</v>
      </c>
      <c r="D531">
        <v>1.7000000000000001E-2</v>
      </c>
      <c r="E531">
        <v>1.7857000000000001E-2</v>
      </c>
      <c r="F531">
        <v>2330571271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-0.31439999999999957</v>
      </c>
      <c r="Q531">
        <f t="shared" si="985"/>
        <v>-732731607.60239899</v>
      </c>
      <c r="R531">
        <f t="shared" si="986"/>
        <v>30315896070.930138</v>
      </c>
      <c r="S531">
        <f t="shared" si="987"/>
        <v>303158.96070930135</v>
      </c>
      <c r="T531">
        <f t="shared" si="988"/>
        <v>303.15896070930137</v>
      </c>
    </row>
    <row r="532" spans="1:20" x14ac:dyDescent="0.25">
      <c r="A532" s="5">
        <v>44061</v>
      </c>
      <c r="B532">
        <v>2.0017E-2</v>
      </c>
      <c r="C532">
        <v>2.0323000000000001E-2</v>
      </c>
      <c r="D532">
        <v>1.8610999999999999E-2</v>
      </c>
      <c r="E532">
        <v>1.9088999999999998E-2</v>
      </c>
      <c r="F532">
        <v>1662087606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-0.44158878504673038</v>
      </c>
      <c r="Q532">
        <f t="shared" si="985"/>
        <v>-733959246.57476866</v>
      </c>
      <c r="R532">
        <f t="shared" si="986"/>
        <v>31048627678.532536</v>
      </c>
      <c r="S532">
        <f t="shared" si="987"/>
        <v>310486.27678532538</v>
      </c>
      <c r="T532">
        <f t="shared" si="988"/>
        <v>310.4862767853254</v>
      </c>
    </row>
    <row r="533" spans="1:20" x14ac:dyDescent="0.25">
      <c r="A533" s="5">
        <v>44060</v>
      </c>
      <c r="B533">
        <v>1.984E-2</v>
      </c>
      <c r="C533">
        <v>2.1335E-2</v>
      </c>
      <c r="D533">
        <v>1.9431E-2</v>
      </c>
      <c r="E533">
        <v>2.002E-2</v>
      </c>
      <c r="F533">
        <v>1924498941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-0.38130252100840395</v>
      </c>
      <c r="Q533">
        <f t="shared" si="985"/>
        <v>-733816297.88130367</v>
      </c>
      <c r="R533">
        <f t="shared" si="986"/>
        <v>31782586925.107304</v>
      </c>
      <c r="S533">
        <f t="shared" si="987"/>
        <v>317825.86925107305</v>
      </c>
      <c r="T533">
        <f t="shared" si="988"/>
        <v>317.82586925107307</v>
      </c>
    </row>
    <row r="534" spans="1:20" x14ac:dyDescent="0.25">
      <c r="A534" s="5">
        <v>44059</v>
      </c>
      <c r="B534">
        <v>1.9574000000000001E-2</v>
      </c>
      <c r="C534">
        <v>2.0119999999999999E-2</v>
      </c>
      <c r="D534">
        <v>1.9005000000000001E-2</v>
      </c>
      <c r="E534">
        <v>1.9841999999999999E-2</v>
      </c>
      <c r="F534">
        <v>1112614249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0.50134529147981888</v>
      </c>
      <c r="Q534">
        <f t="shared" si="985"/>
        <v>557803914.96950483</v>
      </c>
      <c r="R534">
        <f t="shared" si="986"/>
        <v>32516403222.988605</v>
      </c>
      <c r="S534">
        <f t="shared" si="987"/>
        <v>325164.03222988604</v>
      </c>
      <c r="T534">
        <f t="shared" si="988"/>
        <v>325.16403222988606</v>
      </c>
    </row>
    <row r="535" spans="1:20" x14ac:dyDescent="0.25">
      <c r="A535" s="5">
        <v>44058</v>
      </c>
      <c r="B535">
        <v>2.0513E-2</v>
      </c>
      <c r="C535">
        <v>2.0604999999999998E-2</v>
      </c>
      <c r="D535">
        <v>1.9071999999999999E-2</v>
      </c>
      <c r="E535">
        <v>1.9574999999999999E-2</v>
      </c>
      <c r="F535">
        <v>1175631610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-0.34377038486627515</v>
      </c>
      <c r="Q535">
        <f t="shared" si="985"/>
        <v>-404147331.03065866</v>
      </c>
      <c r="R535">
        <f t="shared" si="986"/>
        <v>31958599308.0191</v>
      </c>
      <c r="S535">
        <f t="shared" si="987"/>
        <v>319585.99308019102</v>
      </c>
      <c r="T535">
        <f t="shared" si="988"/>
        <v>319.58599308019103</v>
      </c>
    </row>
    <row r="536" spans="1:20" x14ac:dyDescent="0.25">
      <c r="A536" s="5">
        <v>44057</v>
      </c>
      <c r="B536">
        <v>1.9613999999999999E-2</v>
      </c>
      <c r="C536">
        <v>2.0965000000000001E-2</v>
      </c>
      <c r="D536">
        <v>1.9477999999999999E-2</v>
      </c>
      <c r="E536">
        <v>2.0513E-2</v>
      </c>
      <c r="F536">
        <v>1411791240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0.39206455951580316</v>
      </c>
      <c r="Q536">
        <f t="shared" si="985"/>
        <v>553513310.63886952</v>
      </c>
      <c r="R536">
        <f t="shared" si="986"/>
        <v>32362746639.049759</v>
      </c>
      <c r="S536">
        <f t="shared" si="987"/>
        <v>323627.46639049758</v>
      </c>
      <c r="T536">
        <f t="shared" si="988"/>
        <v>323.6274663904976</v>
      </c>
    </row>
    <row r="537" spans="1:20" x14ac:dyDescent="0.25">
      <c r="A537" s="5">
        <v>44056</v>
      </c>
      <c r="B537">
        <v>2.0433E-2</v>
      </c>
      <c r="C537">
        <v>2.0804E-2</v>
      </c>
      <c r="D537">
        <v>1.8800000000000001E-2</v>
      </c>
      <c r="E537">
        <v>1.9598000000000001E-2</v>
      </c>
      <c r="F537">
        <v>1759336898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-0.20359281437125692</v>
      </c>
      <c r="Q537">
        <f t="shared" si="985"/>
        <v>-358188350.49101698</v>
      </c>
      <c r="R537">
        <f t="shared" si="986"/>
        <v>31809233328.410889</v>
      </c>
      <c r="S537">
        <f t="shared" si="987"/>
        <v>318092.3332841089</v>
      </c>
      <c r="T537">
        <f t="shared" si="988"/>
        <v>318.09233328410892</v>
      </c>
    </row>
    <row r="538" spans="1:20" x14ac:dyDescent="0.25">
      <c r="A538" s="5">
        <v>44055</v>
      </c>
      <c r="B538">
        <v>1.9951E-2</v>
      </c>
      <c r="C538">
        <v>2.0888E-2</v>
      </c>
      <c r="D538">
        <v>1.8395999999999999E-2</v>
      </c>
      <c r="E538">
        <v>2.0428999999999999E-2</v>
      </c>
      <c r="F538">
        <v>1712599313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0.63162118780096244</v>
      </c>
      <c r="Q538">
        <f t="shared" si="985"/>
        <v>1081714012.3041723</v>
      </c>
      <c r="R538">
        <f t="shared" si="986"/>
        <v>32167421678.901905</v>
      </c>
      <c r="S538">
        <f t="shared" si="987"/>
        <v>321674.21678901906</v>
      </c>
      <c r="T538">
        <f t="shared" si="988"/>
        <v>321.67421678901906</v>
      </c>
    </row>
    <row r="539" spans="1:20" x14ac:dyDescent="0.25">
      <c r="A539" s="5">
        <v>44054</v>
      </c>
      <c r="B539">
        <v>2.1427999999999999E-2</v>
      </c>
      <c r="C539">
        <v>2.18E-2</v>
      </c>
      <c r="D539">
        <v>1.899E-2</v>
      </c>
      <c r="E539">
        <v>1.9966000000000001E-2</v>
      </c>
      <c r="F539">
        <v>2140338971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-0.30533807829181409</v>
      </c>
      <c r="Q539">
        <f t="shared" si="985"/>
        <v>-653526988.29821885</v>
      </c>
      <c r="R539">
        <f t="shared" si="986"/>
        <v>31085707666.597733</v>
      </c>
      <c r="S539">
        <f t="shared" si="987"/>
        <v>310857.07666597731</v>
      </c>
      <c r="T539">
        <f t="shared" si="988"/>
        <v>310.85707666597733</v>
      </c>
    </row>
    <row r="540" spans="1:20" x14ac:dyDescent="0.25">
      <c r="A540" s="5">
        <v>44053</v>
      </c>
      <c r="B540">
        <v>2.1922000000000001E-2</v>
      </c>
      <c r="C540">
        <v>2.2117000000000001E-2</v>
      </c>
      <c r="D540">
        <v>1.9965E-2</v>
      </c>
      <c r="E540">
        <v>2.1422E-2</v>
      </c>
      <c r="F540">
        <v>2365664347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0.35408921933085424</v>
      </c>
      <c r="Q540">
        <f t="shared" si="985"/>
        <v>837656241.82806504</v>
      </c>
      <c r="R540">
        <f t="shared" si="986"/>
        <v>31739234654.89595</v>
      </c>
      <c r="S540">
        <f t="shared" si="987"/>
        <v>317392.3465489595</v>
      </c>
      <c r="T540">
        <f t="shared" si="988"/>
        <v>317.39234654895949</v>
      </c>
    </row>
    <row r="541" spans="1:20" x14ac:dyDescent="0.25">
      <c r="A541" s="5">
        <v>44052</v>
      </c>
      <c r="B541">
        <v>2.0812000000000001E-2</v>
      </c>
      <c r="C541">
        <v>2.299E-2</v>
      </c>
      <c r="D541">
        <v>2.0251999999999999E-2</v>
      </c>
      <c r="E541">
        <v>2.1929000000000001E-2</v>
      </c>
      <c r="F541">
        <v>2780715269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0.22498173849525266</v>
      </c>
      <c r="Q541">
        <f t="shared" si="985"/>
        <v>625610155.47991419</v>
      </c>
      <c r="R541">
        <f t="shared" si="986"/>
        <v>30901578413.067886</v>
      </c>
      <c r="S541">
        <f t="shared" si="987"/>
        <v>309015.78413067886</v>
      </c>
      <c r="T541">
        <f t="shared" si="988"/>
        <v>309.01578413067887</v>
      </c>
    </row>
    <row r="542" spans="1:20" x14ac:dyDescent="0.25">
      <c r="A542" s="5">
        <v>44051</v>
      </c>
      <c r="B542">
        <v>1.8669999999999999E-2</v>
      </c>
      <c r="C542">
        <v>2.112E-2</v>
      </c>
      <c r="D542">
        <v>1.8428E-2</v>
      </c>
      <c r="E542">
        <v>2.0815E-2</v>
      </c>
      <c r="F542">
        <v>2055724181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0.77340267459138212</v>
      </c>
      <c r="Q542">
        <f t="shared" si="985"/>
        <v>1589902579.8075786</v>
      </c>
      <c r="R542">
        <f t="shared" si="986"/>
        <v>30275968257.587971</v>
      </c>
      <c r="S542">
        <f t="shared" si="987"/>
        <v>302759.68257587973</v>
      </c>
      <c r="T542">
        <f t="shared" si="988"/>
        <v>302.75968257587971</v>
      </c>
    </row>
    <row r="543" spans="1:20" x14ac:dyDescent="0.25">
      <c r="A543" s="5">
        <v>44050</v>
      </c>
      <c r="B543">
        <v>1.9703999999999999E-2</v>
      </c>
      <c r="C543">
        <v>2.0268000000000001E-2</v>
      </c>
      <c r="D543">
        <v>1.7944000000000002E-2</v>
      </c>
      <c r="E543">
        <v>1.8671E-2</v>
      </c>
      <c r="F543">
        <v>2356780452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-0.3743545611015503</v>
      </c>
      <c r="Q543">
        <f t="shared" si="985"/>
        <v>-882271511.72117329</v>
      </c>
      <c r="R543">
        <f t="shared" si="986"/>
        <v>28686065677.780392</v>
      </c>
      <c r="S543">
        <f t="shared" si="987"/>
        <v>286860.6567778039</v>
      </c>
      <c r="T543">
        <f t="shared" si="988"/>
        <v>286.86065677780391</v>
      </c>
    </row>
    <row r="544" spans="1:20" x14ac:dyDescent="0.25">
      <c r="A544" s="5">
        <v>44049</v>
      </c>
      <c r="B544">
        <v>1.8797999999999999E-2</v>
      </c>
      <c r="C544">
        <v>2.0278000000000001E-2</v>
      </c>
      <c r="D544">
        <v>1.8523000000000001E-2</v>
      </c>
      <c r="E544">
        <v>1.9703999999999999E-2</v>
      </c>
      <c r="F544">
        <v>2663287781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0.3458689458689439</v>
      </c>
      <c r="Q544">
        <f t="shared" si="985"/>
        <v>921148537.36010873</v>
      </c>
      <c r="R544">
        <f t="shared" si="986"/>
        <v>29568337189.501564</v>
      </c>
      <c r="S544">
        <f t="shared" si="987"/>
        <v>295683.37189501565</v>
      </c>
      <c r="T544">
        <f t="shared" si="988"/>
        <v>295.68337189501563</v>
      </c>
    </row>
    <row r="545" spans="1:20" x14ac:dyDescent="0.25">
      <c r="A545" s="5">
        <v>44048</v>
      </c>
      <c r="B545">
        <v>1.8738999999999999E-2</v>
      </c>
      <c r="C545">
        <v>1.9394999999999999E-2</v>
      </c>
      <c r="D545">
        <v>1.7833000000000002E-2</v>
      </c>
      <c r="E545">
        <v>1.8793000000000001E-2</v>
      </c>
      <c r="F545">
        <v>2715841764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0.22919334186939902</v>
      </c>
      <c r="Q545">
        <f t="shared" si="985"/>
        <v>622452849.87964368</v>
      </c>
      <c r="R545">
        <f t="shared" si="986"/>
        <v>28647188652.141457</v>
      </c>
      <c r="S545">
        <f t="shared" si="987"/>
        <v>286471.88652141456</v>
      </c>
      <c r="T545">
        <f t="shared" si="988"/>
        <v>286.47188652141455</v>
      </c>
    </row>
    <row r="546" spans="1:20" x14ac:dyDescent="0.25">
      <c r="A546" s="5">
        <v>44047</v>
      </c>
      <c r="B546">
        <v>1.6691000000000001E-2</v>
      </c>
      <c r="C546">
        <v>1.89E-2</v>
      </c>
      <c r="D546">
        <v>1.6590000000000001E-2</v>
      </c>
      <c r="E546">
        <v>1.8734000000000001E-2</v>
      </c>
      <c r="F546">
        <v>2357369126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0.85627705627705675</v>
      </c>
      <c r="Q546">
        <f t="shared" si="985"/>
        <v>2018561095.7696981</v>
      </c>
      <c r="R546">
        <f t="shared" si="986"/>
        <v>28024735802.261814</v>
      </c>
      <c r="S546">
        <f t="shared" si="987"/>
        <v>280247.35802261817</v>
      </c>
      <c r="T546">
        <f t="shared" si="988"/>
        <v>280.24735802261819</v>
      </c>
    </row>
    <row r="547" spans="1:20" x14ac:dyDescent="0.25">
      <c r="A547" s="5">
        <v>44046</v>
      </c>
      <c r="B547">
        <v>1.6206999999999999E-2</v>
      </c>
      <c r="C547">
        <v>1.6805E-2</v>
      </c>
      <c r="D547">
        <v>1.5975E-2</v>
      </c>
      <c r="E547">
        <v>1.67E-2</v>
      </c>
      <c r="F547">
        <v>955165337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0.74698795180722699</v>
      </c>
      <c r="Q547">
        <f t="shared" si="985"/>
        <v>713496998.72288978</v>
      </c>
      <c r="R547">
        <f t="shared" si="986"/>
        <v>26006174706.492115</v>
      </c>
      <c r="S547">
        <f t="shared" si="987"/>
        <v>260061.74706492116</v>
      </c>
      <c r="T547">
        <f t="shared" si="988"/>
        <v>260.06174706492118</v>
      </c>
    </row>
    <row r="548" spans="1:20" x14ac:dyDescent="0.25">
      <c r="A548" s="5">
        <v>44045</v>
      </c>
      <c r="B548">
        <v>1.7309999999999999E-2</v>
      </c>
      <c r="C548">
        <v>1.7406000000000001E-2</v>
      </c>
      <c r="D548">
        <v>1.47E-2</v>
      </c>
      <c r="E548">
        <v>1.6206999999999999E-2</v>
      </c>
      <c r="F548">
        <v>2254904587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0.11382113821138112</v>
      </c>
      <c r="Q548">
        <f t="shared" si="985"/>
        <v>256655806.65040427</v>
      </c>
      <c r="R548">
        <f t="shared" si="986"/>
        <v>25292677707.769226</v>
      </c>
      <c r="S548">
        <f t="shared" si="987"/>
        <v>252926.77707769227</v>
      </c>
      <c r="T548">
        <f t="shared" si="988"/>
        <v>252.92677707769226</v>
      </c>
    </row>
    <row r="549" spans="1:20" x14ac:dyDescent="0.25">
      <c r="A549" s="5">
        <v>44044</v>
      </c>
      <c r="B549">
        <v>1.7205000000000002E-2</v>
      </c>
      <c r="C549">
        <v>1.7510000000000001E-2</v>
      </c>
      <c r="D549">
        <v>1.678E-2</v>
      </c>
      <c r="E549">
        <v>1.7319000000000001E-2</v>
      </c>
      <c r="F549">
        <v>1920738637</v>
      </c>
      <c r="G549">
        <v>0</v>
      </c>
      <c r="L549" t="s">
        <v>7</v>
      </c>
      <c r="M549" t="s">
        <v>8</v>
      </c>
      <c r="N549" t="s">
        <v>8</v>
      </c>
      <c r="P549">
        <f t="shared" si="984"/>
        <v>0.47671232876712383</v>
      </c>
      <c r="Q549">
        <f t="shared" si="985"/>
        <v>915639788.59726131</v>
      </c>
      <c r="R549">
        <f t="shared" si="986"/>
        <v>25036021901.11882</v>
      </c>
      <c r="S549">
        <f t="shared" si="987"/>
        <v>250360.21901118819</v>
      </c>
      <c r="T549">
        <f t="shared" si="988"/>
        <v>250.36021901118821</v>
      </c>
    </row>
    <row r="550" spans="1:20" x14ac:dyDescent="0.25">
      <c r="A550" s="5">
        <v>44043</v>
      </c>
      <c r="B550">
        <v>1.7316000000000002E-2</v>
      </c>
      <c r="C550">
        <v>1.8450000000000001E-2</v>
      </c>
      <c r="D550">
        <v>1.6721E-2</v>
      </c>
      <c r="E550">
        <v>1.7204000000000001E-2</v>
      </c>
      <c r="F550">
        <v>3061270461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-0.44129554655870395</v>
      </c>
      <c r="Q550">
        <f t="shared" si="985"/>
        <v>-1350925021.2510107</v>
      </c>
      <c r="R550">
        <f t="shared" si="986"/>
        <v>24120382112.521561</v>
      </c>
      <c r="S550">
        <f t="shared" si="987"/>
        <v>241203.82112521562</v>
      </c>
      <c r="T550">
        <f t="shared" si="988"/>
        <v>241.20382112521563</v>
      </c>
    </row>
    <row r="551" spans="1:20" x14ac:dyDescent="0.25">
      <c r="A551" s="5">
        <v>44042</v>
      </c>
      <c r="B551">
        <v>1.558E-2</v>
      </c>
      <c r="C551">
        <v>1.7819999999999999E-2</v>
      </c>
      <c r="D551">
        <v>1.5322000000000001E-2</v>
      </c>
      <c r="E551">
        <v>1.7315000000000001E-2</v>
      </c>
      <c r="F551">
        <v>2557628547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0.5956765412329873</v>
      </c>
      <c r="Q551">
        <f t="shared" si="985"/>
        <v>1523519326.635711</v>
      </c>
      <c r="R551">
        <f t="shared" si="986"/>
        <v>25471307133.772572</v>
      </c>
      <c r="S551">
        <f t="shared" si="987"/>
        <v>254713.07133772571</v>
      </c>
      <c r="T551">
        <f t="shared" si="988"/>
        <v>254.71307133772569</v>
      </c>
    </row>
    <row r="552" spans="1:20" x14ac:dyDescent="0.25">
      <c r="A552" s="5">
        <v>44041</v>
      </c>
      <c r="B552">
        <v>1.5977999999999999E-2</v>
      </c>
      <c r="C552">
        <v>1.6393000000000001E-2</v>
      </c>
      <c r="D552">
        <v>1.5363E-2</v>
      </c>
      <c r="E552">
        <v>1.5583E-2</v>
      </c>
      <c r="F552">
        <v>1541445601</v>
      </c>
      <c r="G552">
        <v>0</v>
      </c>
      <c r="L552" t="s">
        <v>7</v>
      </c>
      <c r="M552" t="s">
        <v>8</v>
      </c>
      <c r="N552" t="s">
        <v>8</v>
      </c>
      <c r="P552">
        <f t="shared" si="984"/>
        <v>-0.57281553398058371</v>
      </c>
      <c r="Q552">
        <f t="shared" si="985"/>
        <v>-882963985.03883684</v>
      </c>
      <c r="R552">
        <f t="shared" si="986"/>
        <v>23947787807.13686</v>
      </c>
      <c r="S552">
        <f t="shared" si="987"/>
        <v>239477.87807136858</v>
      </c>
      <c r="T552">
        <f t="shared" si="988"/>
        <v>239.47787807136859</v>
      </c>
    </row>
    <row r="553" spans="1:20" x14ac:dyDescent="0.25">
      <c r="A553" s="5">
        <v>44040</v>
      </c>
      <c r="B553">
        <v>1.5637999999999999E-2</v>
      </c>
      <c r="C553">
        <v>1.6650999999999999E-2</v>
      </c>
      <c r="D553">
        <v>1.5445E-2</v>
      </c>
      <c r="E553">
        <v>1.5980000000000001E-2</v>
      </c>
      <c r="F553">
        <v>1987705898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-0.11276948590381208</v>
      </c>
      <c r="Q553">
        <f t="shared" si="985"/>
        <v>-224152572.24543515</v>
      </c>
      <c r="R553">
        <f t="shared" si="986"/>
        <v>24830751792.175697</v>
      </c>
      <c r="S553">
        <f t="shared" si="987"/>
        <v>248307.51792175698</v>
      </c>
      <c r="T553">
        <f t="shared" si="988"/>
        <v>248.30751792175698</v>
      </c>
    </row>
    <row r="554" spans="1:20" x14ac:dyDescent="0.25">
      <c r="A554" s="5">
        <v>44039</v>
      </c>
      <c r="B554">
        <v>1.7554E-2</v>
      </c>
      <c r="C554">
        <v>1.7655000000000001E-2</v>
      </c>
      <c r="D554">
        <v>1.4187999999999999E-2</v>
      </c>
      <c r="E554">
        <v>1.5640999999999999E-2</v>
      </c>
      <c r="F554">
        <v>3602360973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-0.16181136429189566</v>
      </c>
      <c r="Q554">
        <f t="shared" si="985"/>
        <v>-582902943.71301067</v>
      </c>
      <c r="R554">
        <f t="shared" si="986"/>
        <v>25054904364.421131</v>
      </c>
      <c r="S554">
        <f t="shared" si="987"/>
        <v>250549.04364421131</v>
      </c>
      <c r="T554">
        <f t="shared" si="988"/>
        <v>250.54904364421131</v>
      </c>
    </row>
    <row r="555" spans="1:20" x14ac:dyDescent="0.25">
      <c r="A555" s="5">
        <v>44038</v>
      </c>
      <c r="B555">
        <v>1.8216E-2</v>
      </c>
      <c r="C555">
        <v>1.8440999999999999E-2</v>
      </c>
      <c r="D555">
        <v>1.7253000000000001E-2</v>
      </c>
      <c r="E555">
        <v>1.7554E-2</v>
      </c>
      <c r="F555">
        <v>1296993759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-0.4932659932659938</v>
      </c>
      <c r="Q555">
        <f t="shared" si="985"/>
        <v>-639762914.79293001</v>
      </c>
      <c r="R555">
        <f t="shared" si="986"/>
        <v>25637807308.13414</v>
      </c>
      <c r="S555">
        <f t="shared" si="987"/>
        <v>256378.0730813414</v>
      </c>
      <c r="T555">
        <f t="shared" si="988"/>
        <v>256.37807308134137</v>
      </c>
    </row>
    <row r="556" spans="1:20" x14ac:dyDescent="0.25">
      <c r="A556" s="5">
        <v>44037</v>
      </c>
      <c r="B556">
        <v>1.6989000000000001E-2</v>
      </c>
      <c r="C556">
        <v>1.8395999999999999E-2</v>
      </c>
      <c r="D556">
        <v>1.6895E-2</v>
      </c>
      <c r="E556">
        <v>1.8218000000000002E-2</v>
      </c>
      <c r="F556">
        <v>1653884881</v>
      </c>
      <c r="G556">
        <v>0</v>
      </c>
      <c r="L556" t="s">
        <v>8</v>
      </c>
      <c r="M556" t="s">
        <v>7</v>
      </c>
      <c r="N556" t="s">
        <v>8</v>
      </c>
      <c r="P556">
        <f t="shared" si="984"/>
        <v>0.76282478347768456</v>
      </c>
      <c r="Q556">
        <f t="shared" si="985"/>
        <v>1261624376.245841</v>
      </c>
      <c r="R556">
        <f t="shared" si="986"/>
        <v>26277570222.927071</v>
      </c>
      <c r="S556">
        <f t="shared" si="987"/>
        <v>262775.70222927071</v>
      </c>
      <c r="T556">
        <f t="shared" si="988"/>
        <v>262.77570222927073</v>
      </c>
    </row>
    <row r="557" spans="1:20" x14ac:dyDescent="0.25">
      <c r="A557" s="5">
        <v>44036</v>
      </c>
      <c r="B557">
        <v>1.7381000000000001E-2</v>
      </c>
      <c r="C557">
        <v>1.7419E-2</v>
      </c>
      <c r="D557">
        <v>1.6697E-2</v>
      </c>
      <c r="E557">
        <v>1.6995E-2</v>
      </c>
      <c r="F557">
        <v>895842222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-0.17451523545706515</v>
      </c>
      <c r="Q557">
        <f t="shared" si="985"/>
        <v>-156338116.30471045</v>
      </c>
      <c r="R557">
        <f t="shared" si="986"/>
        <v>25015945846.681229</v>
      </c>
      <c r="S557">
        <f t="shared" si="987"/>
        <v>250159.4584668123</v>
      </c>
      <c r="T557">
        <f t="shared" si="988"/>
        <v>250.15945846681231</v>
      </c>
    </row>
    <row r="558" spans="1:20" x14ac:dyDescent="0.25">
      <c r="A558" s="5">
        <v>44035</v>
      </c>
      <c r="B558">
        <v>1.7457E-2</v>
      </c>
      <c r="C558">
        <v>1.7913999999999999E-2</v>
      </c>
      <c r="D558">
        <v>1.7188999999999999E-2</v>
      </c>
      <c r="E558">
        <v>1.7381000000000001E-2</v>
      </c>
      <c r="F558">
        <v>1032210468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-0.47034482758620355</v>
      </c>
      <c r="Q558">
        <f t="shared" si="985"/>
        <v>-485494854.6041345</v>
      </c>
      <c r="R558">
        <f t="shared" si="986"/>
        <v>25172283962.985939</v>
      </c>
      <c r="S558">
        <f t="shared" si="987"/>
        <v>251722.8396298594</v>
      </c>
      <c r="T558">
        <f t="shared" si="988"/>
        <v>251.72283962985941</v>
      </c>
    </row>
    <row r="559" spans="1:20" x14ac:dyDescent="0.25">
      <c r="A559" s="5">
        <v>44034</v>
      </c>
      <c r="B559">
        <v>1.7500000000000002E-2</v>
      </c>
      <c r="C559">
        <v>1.78E-2</v>
      </c>
      <c r="D559">
        <v>1.6997999999999999E-2</v>
      </c>
      <c r="E559">
        <v>1.7467E-2</v>
      </c>
      <c r="F559">
        <v>1236709582</v>
      </c>
      <c r="G559">
        <v>0</v>
      </c>
      <c r="L559" t="s">
        <v>7</v>
      </c>
      <c r="M559" t="s">
        <v>7</v>
      </c>
      <c r="N559" t="s">
        <v>8</v>
      </c>
      <c r="P559">
        <f t="shared" si="984"/>
        <v>0.1695760598503748</v>
      </c>
      <c r="Q559">
        <f t="shared" si="985"/>
        <v>209716338.09476399</v>
      </c>
      <c r="R559">
        <f t="shared" si="986"/>
        <v>25657778817.590073</v>
      </c>
      <c r="S559">
        <f t="shared" si="987"/>
        <v>256577.78817590073</v>
      </c>
      <c r="T559">
        <f t="shared" si="988"/>
        <v>256.57778817590071</v>
      </c>
    </row>
    <row r="560" spans="1:20" x14ac:dyDescent="0.25">
      <c r="A560" s="5">
        <v>44033</v>
      </c>
      <c r="B560">
        <v>1.6074000000000001E-2</v>
      </c>
      <c r="C560">
        <v>1.8995000000000001E-2</v>
      </c>
      <c r="D560">
        <v>1.5879999999999998E-2</v>
      </c>
      <c r="E560">
        <v>1.7500000000000002E-2</v>
      </c>
      <c r="F560">
        <v>3247543887</v>
      </c>
      <c r="G560">
        <v>0</v>
      </c>
      <c r="L560" t="s">
        <v>8</v>
      </c>
      <c r="M560" t="s">
        <v>7</v>
      </c>
      <c r="N560" t="s">
        <v>8</v>
      </c>
      <c r="P560">
        <f t="shared" si="984"/>
        <v>4.0128410914928879E-2</v>
      </c>
      <c r="Q560">
        <f t="shared" si="985"/>
        <v>130318775.56180136</v>
      </c>
      <c r="R560">
        <f t="shared" si="986"/>
        <v>25448062479.495308</v>
      </c>
      <c r="S560">
        <f t="shared" si="987"/>
        <v>254480.62479495307</v>
      </c>
      <c r="T560">
        <f t="shared" si="988"/>
        <v>254.48062479495306</v>
      </c>
    </row>
    <row r="561" spans="1:104" x14ac:dyDescent="0.25">
      <c r="A561" s="5">
        <v>44032</v>
      </c>
      <c r="B561">
        <v>1.8023999999999998E-2</v>
      </c>
      <c r="C561">
        <v>1.8072999999999999E-2</v>
      </c>
      <c r="D561">
        <v>1.5879999999999998E-2</v>
      </c>
      <c r="E561">
        <v>1.6074000000000001E-2</v>
      </c>
      <c r="F561">
        <v>2507955464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-0.82307341541267387</v>
      </c>
      <c r="Q561">
        <f t="shared" si="985"/>
        <v>-2064231469.4573572</v>
      </c>
      <c r="R561">
        <f t="shared" si="986"/>
        <v>25317743703.933506</v>
      </c>
      <c r="S561">
        <f t="shared" si="987"/>
        <v>253177.43703933505</v>
      </c>
      <c r="T561">
        <f t="shared" si="988"/>
        <v>253.17743703933505</v>
      </c>
      <c r="CZ561" t="s">
        <v>7</v>
      </c>
    </row>
    <row r="562" spans="1:104" x14ac:dyDescent="0.25">
      <c r="A562" s="5">
        <v>44031</v>
      </c>
      <c r="B562">
        <v>1.8173000000000002E-2</v>
      </c>
      <c r="C562">
        <v>1.8384000000000001E-2</v>
      </c>
      <c r="D562">
        <v>1.7299999999999999E-2</v>
      </c>
      <c r="E562">
        <v>1.8016999999999998E-2</v>
      </c>
      <c r="F562">
        <v>1300085308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0.32287822878228378</v>
      </c>
      <c r="Q562">
        <f t="shared" si="985"/>
        <v>419769241.51290989</v>
      </c>
      <c r="R562">
        <f t="shared" si="986"/>
        <v>27381975173.390862</v>
      </c>
      <c r="S562">
        <f t="shared" si="987"/>
        <v>273819.7517339086</v>
      </c>
      <c r="T562">
        <f t="shared" si="988"/>
        <v>273.81975173390862</v>
      </c>
      <c r="CZ562" t="s">
        <v>7</v>
      </c>
    </row>
    <row r="563" spans="1:104" x14ac:dyDescent="0.25">
      <c r="A563" s="5">
        <v>44030</v>
      </c>
      <c r="B563">
        <v>1.821E-2</v>
      </c>
      <c r="C563">
        <v>1.8686999999999999E-2</v>
      </c>
      <c r="D563">
        <v>1.789E-2</v>
      </c>
      <c r="E563">
        <v>1.8168E-2</v>
      </c>
      <c r="F563">
        <v>935844780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-0.30238393977415112</v>
      </c>
      <c r="Q563">
        <f t="shared" si="985"/>
        <v>-282984431.59347373</v>
      </c>
      <c r="R563">
        <f t="shared" si="986"/>
        <v>26962205931.877953</v>
      </c>
      <c r="S563">
        <f t="shared" si="987"/>
        <v>269622.0593187795</v>
      </c>
      <c r="T563">
        <f t="shared" si="988"/>
        <v>269.62205931877952</v>
      </c>
      <c r="CZ563" t="s">
        <v>7</v>
      </c>
    </row>
    <row r="564" spans="1:104" x14ac:dyDescent="0.25">
      <c r="A564" s="5">
        <v>44029</v>
      </c>
      <c r="B564">
        <v>1.8034999999999999E-2</v>
      </c>
      <c r="C564">
        <v>1.9133000000000001E-2</v>
      </c>
      <c r="D564">
        <v>1.7814E-2</v>
      </c>
      <c r="E564">
        <v>1.8211000000000001E-2</v>
      </c>
      <c r="F564">
        <v>1618701582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-0.39802880970431948</v>
      </c>
      <c r="Q564">
        <f t="shared" si="985"/>
        <v>-644289863.94995892</v>
      </c>
      <c r="R564">
        <f t="shared" si="986"/>
        <v>27245190363.471428</v>
      </c>
      <c r="S564">
        <f t="shared" si="987"/>
        <v>272451.90363471425</v>
      </c>
      <c r="T564">
        <f t="shared" si="988"/>
        <v>272.45190363471426</v>
      </c>
    </row>
    <row r="565" spans="1:104" x14ac:dyDescent="0.25">
      <c r="A565" s="5">
        <v>44028</v>
      </c>
      <c r="B565">
        <v>1.8998999999999999E-2</v>
      </c>
      <c r="C565">
        <v>1.9396E-2</v>
      </c>
      <c r="D565">
        <v>1.7021999999999999E-2</v>
      </c>
      <c r="E565">
        <v>1.8036E-2</v>
      </c>
      <c r="F565">
        <v>2442870240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-0.14574557708508801</v>
      </c>
      <c r="Q565">
        <f t="shared" si="985"/>
        <v>-356037532.87278742</v>
      </c>
      <c r="R565">
        <f t="shared" si="986"/>
        <v>27889480227.421387</v>
      </c>
      <c r="S565">
        <f t="shared" si="987"/>
        <v>278894.80227421387</v>
      </c>
      <c r="T565">
        <f t="shared" si="988"/>
        <v>278.89480227421387</v>
      </c>
    </row>
    <row r="566" spans="1:104" x14ac:dyDescent="0.25">
      <c r="A566" s="5">
        <v>44027</v>
      </c>
      <c r="B566">
        <v>1.8446000000000001E-2</v>
      </c>
      <c r="C566">
        <v>1.9887999999999999E-2</v>
      </c>
      <c r="D566">
        <v>1.8446000000000001E-2</v>
      </c>
      <c r="E566">
        <v>1.8995999999999999E-2</v>
      </c>
      <c r="F566">
        <v>2722691227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-0.23717059639389895</v>
      </c>
      <c r="Q566">
        <f t="shared" si="985"/>
        <v>-645742302.10402656</v>
      </c>
      <c r="R566">
        <f t="shared" si="986"/>
        <v>28245517760.294174</v>
      </c>
      <c r="S566">
        <f t="shared" si="987"/>
        <v>282455.17760294175</v>
      </c>
      <c r="T566">
        <f t="shared" si="988"/>
        <v>282.45517760294177</v>
      </c>
    </row>
    <row r="567" spans="1:104" x14ac:dyDescent="0.25">
      <c r="A567" s="5">
        <v>44026</v>
      </c>
      <c r="B567">
        <v>1.8460000000000001E-2</v>
      </c>
      <c r="C567">
        <v>1.8835999999999999E-2</v>
      </c>
      <c r="D567">
        <v>1.7299999999999999E-2</v>
      </c>
      <c r="E567">
        <v>1.8450000000000001E-2</v>
      </c>
      <c r="F567">
        <v>2201962999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0.49739583333333637</v>
      </c>
      <c r="Q567">
        <f t="shared" si="985"/>
        <v>1095247220.8567774</v>
      </c>
      <c r="R567">
        <f t="shared" si="986"/>
        <v>28891260062.398201</v>
      </c>
      <c r="S567">
        <f t="shared" si="987"/>
        <v>288912.60062398203</v>
      </c>
      <c r="T567">
        <f t="shared" si="988"/>
        <v>288.91260062398203</v>
      </c>
    </row>
    <row r="568" spans="1:104" x14ac:dyDescent="0.25">
      <c r="A568" s="5">
        <v>44025</v>
      </c>
      <c r="B568">
        <v>1.8169000000000001E-2</v>
      </c>
      <c r="C568">
        <v>1.9819E-2</v>
      </c>
      <c r="D568">
        <v>1.7950000000000001E-2</v>
      </c>
      <c r="E568">
        <v>1.8461000000000002E-2</v>
      </c>
      <c r="F568">
        <v>4261761940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-0.4531835205992496</v>
      </c>
      <c r="Q568">
        <f t="shared" si="985"/>
        <v>-1931360279.9250879</v>
      </c>
      <c r="R568">
        <f t="shared" si="986"/>
        <v>27796012841.541424</v>
      </c>
      <c r="S568">
        <f t="shared" si="987"/>
        <v>277960.12841541425</v>
      </c>
      <c r="T568">
        <f t="shared" si="988"/>
        <v>277.96012841541426</v>
      </c>
    </row>
    <row r="569" spans="1:104" x14ac:dyDescent="0.25">
      <c r="A569" s="5">
        <v>44024</v>
      </c>
      <c r="B569">
        <v>1.8516999999999999E-2</v>
      </c>
      <c r="C569">
        <v>1.8742000000000002E-2</v>
      </c>
      <c r="D569">
        <v>1.7323999999999999E-2</v>
      </c>
      <c r="E569">
        <v>1.8155000000000001E-2</v>
      </c>
      <c r="F569">
        <v>2351476568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0.17207334273624875</v>
      </c>
      <c r="Q569">
        <f t="shared" si="985"/>
        <v>404626433.42172194</v>
      </c>
      <c r="R569">
        <f t="shared" si="986"/>
        <v>29727373121.466511</v>
      </c>
      <c r="S569">
        <f t="shared" si="987"/>
        <v>297273.73121466511</v>
      </c>
      <c r="T569">
        <f t="shared" si="988"/>
        <v>297.27373121466513</v>
      </c>
    </row>
    <row r="570" spans="1:104" x14ac:dyDescent="0.25">
      <c r="A570" s="5">
        <v>44023</v>
      </c>
      <c r="B570">
        <v>1.7118999999999999E-2</v>
      </c>
      <c r="C570">
        <v>1.873E-2</v>
      </c>
      <c r="D570">
        <v>1.6504000000000001E-2</v>
      </c>
      <c r="E570">
        <v>1.8534999999999999E-2</v>
      </c>
      <c r="F570">
        <v>4026381995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0.82479784366576747</v>
      </c>
      <c r="Q570">
        <f t="shared" si="985"/>
        <v>3320951187.2506709</v>
      </c>
      <c r="R570">
        <f t="shared" si="986"/>
        <v>29322746688.044788</v>
      </c>
      <c r="S570">
        <f t="shared" si="987"/>
        <v>293227.46688044787</v>
      </c>
      <c r="T570">
        <f t="shared" si="988"/>
        <v>293.22746688044788</v>
      </c>
    </row>
    <row r="571" spans="1:104" x14ac:dyDescent="0.25">
      <c r="A571" s="5">
        <v>44022</v>
      </c>
      <c r="B571">
        <v>1.8249000000000001E-2</v>
      </c>
      <c r="C571">
        <v>1.9449999999999999E-2</v>
      </c>
      <c r="D571">
        <v>1.3599999999999999E-2</v>
      </c>
      <c r="E571">
        <v>1.7118999999999999E-2</v>
      </c>
      <c r="F571">
        <v>8672911875</v>
      </c>
      <c r="G571">
        <v>0</v>
      </c>
      <c r="L571" t="s">
        <v>7</v>
      </c>
      <c r="M571" t="s">
        <v>7</v>
      </c>
      <c r="N571" t="s">
        <v>7</v>
      </c>
      <c r="P571">
        <f t="shared" si="984"/>
        <v>0.20307692307692307</v>
      </c>
      <c r="Q571">
        <f t="shared" si="985"/>
        <v>1761268257.6923077</v>
      </c>
      <c r="R571">
        <f t="shared" si="986"/>
        <v>26001795500.794117</v>
      </c>
      <c r="S571">
        <f t="shared" si="987"/>
        <v>260017.95500794117</v>
      </c>
      <c r="T571">
        <f t="shared" si="988"/>
        <v>260.01795500794117</v>
      </c>
    </row>
    <row r="572" spans="1:104" x14ac:dyDescent="0.25">
      <c r="A572" s="5">
        <v>44021</v>
      </c>
      <c r="B572">
        <v>1.9931999999999998E-2</v>
      </c>
      <c r="C572">
        <v>0.02</v>
      </c>
      <c r="D572">
        <v>1.6944000000000001E-2</v>
      </c>
      <c r="E572">
        <v>1.8249999999999999E-2</v>
      </c>
      <c r="F572">
        <v>6987155743</v>
      </c>
      <c r="G572">
        <v>0</v>
      </c>
      <c r="L572" t="s">
        <v>7</v>
      </c>
      <c r="M572" t="s">
        <v>7</v>
      </c>
      <c r="N572" t="s">
        <v>8</v>
      </c>
      <c r="P572">
        <f t="shared" si="984"/>
        <v>-0.14528795811518438</v>
      </c>
      <c r="Q572">
        <f t="shared" si="985"/>
        <v>-1015149590.933254</v>
      </c>
      <c r="R572">
        <f t="shared" si="986"/>
        <v>24240527243.10181</v>
      </c>
      <c r="S572">
        <f t="shared" si="987"/>
        <v>242405.27243101809</v>
      </c>
      <c r="T572">
        <f t="shared" si="988"/>
        <v>242.40527243101809</v>
      </c>
    </row>
    <row r="573" spans="1:104" x14ac:dyDescent="0.25">
      <c r="A573" s="5">
        <v>44020</v>
      </c>
      <c r="B573">
        <v>1.7336000000000001E-2</v>
      </c>
      <c r="C573">
        <v>2.1978000000000001E-2</v>
      </c>
      <c r="D573">
        <v>1.6726000000000001E-2</v>
      </c>
      <c r="E573">
        <v>1.9931999999999998E-2</v>
      </c>
      <c r="F573">
        <v>10983648439.5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0.22086824067021982</v>
      </c>
      <c r="Q573">
        <f t="shared" si="985"/>
        <v>2425939106.9725704</v>
      </c>
      <c r="R573">
        <f t="shared" si="986"/>
        <v>25255676834.035065</v>
      </c>
      <c r="S573">
        <f t="shared" si="987"/>
        <v>252556.76834035065</v>
      </c>
      <c r="T573">
        <f t="shared" si="988"/>
        <v>252.55676834035066</v>
      </c>
    </row>
    <row r="574" spans="1:104" x14ac:dyDescent="0.25">
      <c r="A574" s="5">
        <v>44019</v>
      </c>
      <c r="B574">
        <v>1.4422000000000001E-2</v>
      </c>
      <c r="C574">
        <v>1.78E-2</v>
      </c>
      <c r="D574">
        <v>1.4385E-2</v>
      </c>
      <c r="E574">
        <v>1.7325E-2</v>
      </c>
      <c r="F574">
        <v>4697595613.3000002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0.72181551976573954</v>
      </c>
      <c r="Q574">
        <f t="shared" si="985"/>
        <v>3390797419.2633977</v>
      </c>
      <c r="R574">
        <f t="shared" si="986"/>
        <v>22829737727.062492</v>
      </c>
      <c r="S574">
        <f t="shared" si="987"/>
        <v>228297.37727062491</v>
      </c>
      <c r="T574">
        <f t="shared" si="988"/>
        <v>228.29737727062491</v>
      </c>
    </row>
    <row r="575" spans="1:104" x14ac:dyDescent="0.25">
      <c r="A575" s="5">
        <v>44018</v>
      </c>
      <c r="B575">
        <v>1.4307E-2</v>
      </c>
      <c r="C575">
        <v>1.5976000000000001E-2</v>
      </c>
      <c r="D575">
        <v>1.4064999999999999E-2</v>
      </c>
      <c r="E575">
        <v>1.4420000000000001E-2</v>
      </c>
      <c r="F575">
        <v>6488455411</v>
      </c>
      <c r="G575">
        <v>0</v>
      </c>
      <c r="L575" t="s">
        <v>7</v>
      </c>
      <c r="M575" t="s">
        <v>7</v>
      </c>
      <c r="N575" t="s">
        <v>8</v>
      </c>
      <c r="P575">
        <f t="shared" si="984"/>
        <v>-0.62846677132391326</v>
      </c>
      <c r="Q575">
        <f t="shared" si="985"/>
        <v>-4077778623.0303445</v>
      </c>
      <c r="R575">
        <f t="shared" si="986"/>
        <v>19438940307.799095</v>
      </c>
      <c r="S575">
        <f t="shared" si="987"/>
        <v>194389.40307799095</v>
      </c>
      <c r="T575">
        <f t="shared" si="988"/>
        <v>194.38940307799095</v>
      </c>
    </row>
    <row r="576" spans="1:104" x14ac:dyDescent="0.25">
      <c r="A576" s="5">
        <v>44017</v>
      </c>
      <c r="B576">
        <v>1.2526000000000001E-2</v>
      </c>
      <c r="C576">
        <v>1.6969999999999999E-2</v>
      </c>
      <c r="D576">
        <v>1.1926000000000001E-2</v>
      </c>
      <c r="E576">
        <v>1.4307E-2</v>
      </c>
      <c r="F576">
        <v>12837558118.4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-5.5908009516256817E-2</v>
      </c>
      <c r="Q576">
        <f t="shared" si="985"/>
        <v>-717722321.44900715</v>
      </c>
      <c r="R576">
        <f t="shared" si="986"/>
        <v>23516718930.829441</v>
      </c>
      <c r="S576">
        <f t="shared" si="987"/>
        <v>235167.18930829442</v>
      </c>
      <c r="T576">
        <f t="shared" si="988"/>
        <v>235.16718930829441</v>
      </c>
    </row>
    <row r="577" spans="1:20" x14ac:dyDescent="0.25">
      <c r="A577" s="5">
        <v>44016</v>
      </c>
      <c r="B577">
        <v>1.0220999999999999E-2</v>
      </c>
      <c r="C577">
        <v>1.2999999999999999E-2</v>
      </c>
      <c r="D577">
        <v>1.0166E-2</v>
      </c>
      <c r="E577">
        <v>1.2525E-2</v>
      </c>
      <c r="F577">
        <v>5497871626.8999996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0.66478475652787594</v>
      </c>
      <c r="Q577">
        <f t="shared" si="985"/>
        <v>3654901250.9102335</v>
      </c>
      <c r="R577">
        <f t="shared" si="986"/>
        <v>24234441252.27845</v>
      </c>
      <c r="S577">
        <f t="shared" si="987"/>
        <v>242344.41252278449</v>
      </c>
      <c r="T577">
        <f t="shared" si="988"/>
        <v>242.34441252278449</v>
      </c>
    </row>
    <row r="578" spans="1:20" x14ac:dyDescent="0.25">
      <c r="A578" s="5">
        <v>44015</v>
      </c>
      <c r="B578">
        <v>9.5600000000000008E-3</v>
      </c>
      <c r="C578">
        <v>1.048E-2</v>
      </c>
      <c r="D578">
        <v>9.4929999999999997E-3</v>
      </c>
      <c r="E578">
        <v>1.0222999999999999E-2</v>
      </c>
      <c r="F578">
        <v>3409450555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0.47922998986828719</v>
      </c>
      <c r="Q578">
        <f t="shared" si="985"/>
        <v>1633910954.9290762</v>
      </c>
      <c r="R578">
        <f t="shared" si="986"/>
        <v>20579540001.368217</v>
      </c>
      <c r="S578">
        <f t="shared" si="987"/>
        <v>205795.40001368217</v>
      </c>
      <c r="T578">
        <f t="shared" si="988"/>
        <v>205.79540001368218</v>
      </c>
    </row>
    <row r="579" spans="1:20" x14ac:dyDescent="0.25">
      <c r="A579" s="5">
        <v>44014</v>
      </c>
      <c r="B579">
        <v>9.4369999999999992E-3</v>
      </c>
      <c r="C579">
        <v>9.7680000000000006E-3</v>
      </c>
      <c r="D579">
        <v>9.1000000000000004E-3</v>
      </c>
      <c r="E579">
        <v>9.5560000000000003E-3</v>
      </c>
      <c r="F579">
        <v>2786928921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0.36526946107784336</v>
      </c>
      <c r="Q579">
        <f t="shared" si="985"/>
        <v>1017980025.0359255</v>
      </c>
      <c r="R579">
        <f t="shared" si="986"/>
        <v>18945629046.43914</v>
      </c>
      <c r="S579">
        <f t="shared" si="987"/>
        <v>189456.29046439141</v>
      </c>
      <c r="T579">
        <f t="shared" si="988"/>
        <v>189.4562904643914</v>
      </c>
    </row>
    <row r="580" spans="1:20" x14ac:dyDescent="0.25">
      <c r="A580" s="5">
        <v>44013</v>
      </c>
      <c r="B580">
        <v>8.8419999999999992E-3</v>
      </c>
      <c r="C580">
        <v>9.528E-3</v>
      </c>
      <c r="D580">
        <v>8.6680000000000004E-3</v>
      </c>
      <c r="E580">
        <v>9.4359999999999999E-3</v>
      </c>
      <c r="F580">
        <v>2060252162</v>
      </c>
      <c r="G580">
        <v>0</v>
      </c>
      <c r="L580" t="s">
        <v>8</v>
      </c>
      <c r="M580" t="s">
        <v>8</v>
      </c>
      <c r="N580" t="s">
        <v>7</v>
      </c>
      <c r="P580">
        <f t="shared" si="984"/>
        <v>0.78604651162790673</v>
      </c>
      <c r="Q580">
        <f t="shared" si="985"/>
        <v>1619454025.013953</v>
      </c>
      <c r="R580">
        <f t="shared" si="986"/>
        <v>17927649021.403214</v>
      </c>
      <c r="S580">
        <f t="shared" si="987"/>
        <v>179276.49021403212</v>
      </c>
      <c r="T580">
        <f t="shared" si="988"/>
        <v>179.27649021403212</v>
      </c>
    </row>
    <row r="581" spans="1:20" x14ac:dyDescent="0.25">
      <c r="A581" s="5">
        <v>44012</v>
      </c>
      <c r="B581">
        <v>8.6910000000000008E-3</v>
      </c>
      <c r="C581">
        <v>8.8719999999999997E-3</v>
      </c>
      <c r="D581">
        <v>8.5800000000000008E-3</v>
      </c>
      <c r="E581">
        <v>8.8369999999999994E-3</v>
      </c>
      <c r="F581">
        <v>871690740</v>
      </c>
      <c r="G581">
        <v>0</v>
      </c>
      <c r="L581" t="s">
        <v>8</v>
      </c>
      <c r="M581" t="s">
        <v>8</v>
      </c>
      <c r="N581" t="s">
        <v>7</v>
      </c>
      <c r="P581">
        <f t="shared" si="984"/>
        <v>0.76027397260273666</v>
      </c>
      <c r="Q581">
        <f t="shared" si="985"/>
        <v>662723781.7808193</v>
      </c>
      <c r="R581">
        <f t="shared" si="986"/>
        <v>16308194996.389261</v>
      </c>
      <c r="S581">
        <f t="shared" si="987"/>
        <v>163081.94996389261</v>
      </c>
      <c r="T581">
        <f t="shared" si="988"/>
        <v>163.08194996389261</v>
      </c>
    </row>
    <row r="582" spans="1:20" x14ac:dyDescent="0.25">
      <c r="A582" s="5">
        <v>44011</v>
      </c>
      <c r="B582">
        <v>8.6899999999999998E-3</v>
      </c>
      <c r="C582">
        <v>8.8559999999999993E-3</v>
      </c>
      <c r="D582">
        <v>8.4609999999999998E-3</v>
      </c>
      <c r="E582">
        <v>8.6910000000000008E-3</v>
      </c>
      <c r="F582">
        <v>1291890685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89">IF(C582=D582,0,((E582-D582)-(C582-E582))/(C582-D582))</f>
        <v>0.16455696202532313</v>
      </c>
      <c r="Q582">
        <f t="shared" ref="Q582:Q645" si="990">F582*P582</f>
        <v>212589606.39241368</v>
      </c>
      <c r="R582">
        <f t="shared" ref="R582:R645" si="991">R583+Q582</f>
        <v>15645471214.608442</v>
      </c>
      <c r="S582">
        <f t="shared" ref="S582:S645" si="992">R582/100000</f>
        <v>156454.71214608444</v>
      </c>
      <c r="T582">
        <f t="shared" ref="T582:T645" si="993">S582/1000</f>
        <v>156.45471214608443</v>
      </c>
    </row>
    <row r="583" spans="1:20" x14ac:dyDescent="0.25">
      <c r="A583" s="5">
        <v>44010</v>
      </c>
      <c r="B583">
        <v>8.6119999999999999E-3</v>
      </c>
      <c r="C583">
        <v>8.8079999999999999E-3</v>
      </c>
      <c r="D583">
        <v>8.4130000000000003E-3</v>
      </c>
      <c r="E583">
        <v>8.6899999999999998E-3</v>
      </c>
      <c r="F583">
        <v>1149749804</v>
      </c>
      <c r="G583">
        <v>0</v>
      </c>
      <c r="L583" t="s">
        <v>8</v>
      </c>
      <c r="M583" t="s">
        <v>8</v>
      </c>
      <c r="N583" t="s">
        <v>7</v>
      </c>
      <c r="P583">
        <f t="shared" si="989"/>
        <v>0.40253164556961929</v>
      </c>
      <c r="Q583">
        <f t="shared" si="990"/>
        <v>462810680.59746724</v>
      </c>
      <c r="R583">
        <f t="shared" si="991"/>
        <v>15432881608.216028</v>
      </c>
      <c r="S583">
        <f t="shared" si="992"/>
        <v>154328.81608216028</v>
      </c>
      <c r="T583">
        <f t="shared" si="993"/>
        <v>154.32881608216027</v>
      </c>
    </row>
    <row r="584" spans="1:20" x14ac:dyDescent="0.25">
      <c r="A584" s="5">
        <v>44009</v>
      </c>
      <c r="B584">
        <v>8.9490000000000004E-3</v>
      </c>
      <c r="C584">
        <v>9.1669999999999998E-3</v>
      </c>
      <c r="D584">
        <v>8.149E-3</v>
      </c>
      <c r="E584">
        <v>8.6079999999999993E-3</v>
      </c>
      <c r="F584">
        <v>1711077683</v>
      </c>
      <c r="G584">
        <v>0</v>
      </c>
      <c r="L584" t="s">
        <v>7</v>
      </c>
      <c r="M584" t="s">
        <v>8</v>
      </c>
      <c r="N584" t="s">
        <v>7</v>
      </c>
      <c r="P584">
        <f t="shared" si="989"/>
        <v>-9.8231827111985415E-2</v>
      </c>
      <c r="Q584">
        <f t="shared" si="990"/>
        <v>-168082287.1316326</v>
      </c>
      <c r="R584">
        <f t="shared" si="991"/>
        <v>14970070927.618561</v>
      </c>
      <c r="S584">
        <f t="shared" si="992"/>
        <v>149700.7092761856</v>
      </c>
      <c r="T584">
        <f t="shared" si="993"/>
        <v>149.70070927618559</v>
      </c>
    </row>
    <row r="585" spans="1:20" x14ac:dyDescent="0.25">
      <c r="A585" s="5">
        <v>44008</v>
      </c>
      <c r="B585">
        <v>8.8819999999999993E-3</v>
      </c>
      <c r="C585">
        <v>9.0320000000000001E-3</v>
      </c>
      <c r="D585">
        <v>8.7559999999999999E-3</v>
      </c>
      <c r="E585">
        <v>8.9490000000000004E-3</v>
      </c>
      <c r="F585">
        <v>1240563897</v>
      </c>
      <c r="G585">
        <v>0</v>
      </c>
      <c r="L585" t="s">
        <v>7</v>
      </c>
      <c r="M585" t="s">
        <v>8</v>
      </c>
      <c r="N585" t="s">
        <v>7</v>
      </c>
      <c r="P585">
        <f t="shared" si="989"/>
        <v>0.39855072463768348</v>
      </c>
      <c r="Q585">
        <f t="shared" si="990"/>
        <v>494427640.10869855</v>
      </c>
      <c r="R585">
        <f t="shared" si="991"/>
        <v>15138153214.750193</v>
      </c>
      <c r="S585">
        <f t="shared" si="992"/>
        <v>151381.53214750192</v>
      </c>
      <c r="T585">
        <f t="shared" si="993"/>
        <v>151.38153214750193</v>
      </c>
    </row>
    <row r="586" spans="1:20" x14ac:dyDescent="0.25">
      <c r="A586" s="5">
        <v>44007</v>
      </c>
      <c r="B586">
        <v>8.9960000000000005E-3</v>
      </c>
      <c r="C586">
        <v>9.1909999999999995E-3</v>
      </c>
      <c r="D586">
        <v>8.6E-3</v>
      </c>
      <c r="E586">
        <v>8.8819999999999993E-3</v>
      </c>
      <c r="F586">
        <v>1724950193</v>
      </c>
      <c r="G586">
        <v>0</v>
      </c>
      <c r="L586" t="s">
        <v>7</v>
      </c>
      <c r="M586" t="s">
        <v>8</v>
      </c>
      <c r="N586" t="s">
        <v>7</v>
      </c>
      <c r="P586">
        <f t="shared" si="989"/>
        <v>-4.5685279187818957E-2</v>
      </c>
      <c r="Q586">
        <f t="shared" si="990"/>
        <v>-78804831.1522872</v>
      </c>
      <c r="R586">
        <f t="shared" si="991"/>
        <v>14643725574.641495</v>
      </c>
      <c r="S586">
        <f t="shared" si="992"/>
        <v>146437.25574641494</v>
      </c>
      <c r="T586">
        <f t="shared" si="993"/>
        <v>146.43725574641493</v>
      </c>
    </row>
    <row r="587" spans="1:20" x14ac:dyDescent="0.25">
      <c r="A587" s="5">
        <v>44006</v>
      </c>
      <c r="B587">
        <v>8.9029999999999995E-3</v>
      </c>
      <c r="C587">
        <v>9.2700000000000005E-3</v>
      </c>
      <c r="D587">
        <v>8.6540000000000002E-3</v>
      </c>
      <c r="E587">
        <v>8.9960000000000005E-3</v>
      </c>
      <c r="F587">
        <v>1925447369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0.11038961038961093</v>
      </c>
      <c r="Q587">
        <f t="shared" si="990"/>
        <v>212549384.88961142</v>
      </c>
      <c r="R587">
        <f t="shared" si="991"/>
        <v>14722530405.793781</v>
      </c>
      <c r="S587">
        <f t="shared" si="992"/>
        <v>147225.30405793781</v>
      </c>
      <c r="T587">
        <f t="shared" si="993"/>
        <v>147.22530405793782</v>
      </c>
    </row>
    <row r="588" spans="1:20" x14ac:dyDescent="0.25">
      <c r="A588" s="5">
        <v>44005</v>
      </c>
      <c r="B588">
        <v>9.2829999999999996E-3</v>
      </c>
      <c r="C588">
        <v>9.3690000000000006E-3</v>
      </c>
      <c r="D588">
        <v>8.8599999999999998E-3</v>
      </c>
      <c r="E588">
        <v>8.9029999999999995E-3</v>
      </c>
      <c r="F588">
        <v>1753235775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-0.83104125736738876</v>
      </c>
      <c r="Q588">
        <f t="shared" si="990"/>
        <v>-1457011262.9174883</v>
      </c>
      <c r="R588">
        <f t="shared" si="991"/>
        <v>14509981020.904169</v>
      </c>
      <c r="S588">
        <f t="shared" si="992"/>
        <v>145099.81020904169</v>
      </c>
      <c r="T588">
        <f t="shared" si="993"/>
        <v>145.09981020904169</v>
      </c>
    </row>
    <row r="589" spans="1:20" x14ac:dyDescent="0.25">
      <c r="A589" s="5">
        <v>44004</v>
      </c>
      <c r="B589">
        <v>8.6280000000000003E-3</v>
      </c>
      <c r="C589">
        <v>9.4500000000000001E-3</v>
      </c>
      <c r="D589">
        <v>8.5769999999999996E-3</v>
      </c>
      <c r="E589">
        <v>9.2829999999999996E-3</v>
      </c>
      <c r="F589">
        <v>2160466835</v>
      </c>
      <c r="G589">
        <v>0</v>
      </c>
      <c r="L589" t="s">
        <v>8</v>
      </c>
      <c r="M589" t="s">
        <v>8</v>
      </c>
      <c r="N589" t="s">
        <v>7</v>
      </c>
      <c r="P589">
        <f t="shared" si="989"/>
        <v>0.61741122565864748</v>
      </c>
      <c r="Q589">
        <f t="shared" si="990"/>
        <v>1333896476.5922089</v>
      </c>
      <c r="R589">
        <f t="shared" si="991"/>
        <v>15966992283.821657</v>
      </c>
      <c r="S589">
        <f t="shared" si="992"/>
        <v>159669.92283821656</v>
      </c>
      <c r="T589">
        <f t="shared" si="993"/>
        <v>159.66992283821656</v>
      </c>
    </row>
    <row r="590" spans="1:20" x14ac:dyDescent="0.25">
      <c r="A590" s="5">
        <v>44003</v>
      </c>
      <c r="B590">
        <v>8.2909999999999998E-3</v>
      </c>
      <c r="C590">
        <v>8.8800000000000007E-3</v>
      </c>
      <c r="D590">
        <v>8.2909999999999998E-3</v>
      </c>
      <c r="E590">
        <v>8.626E-3</v>
      </c>
      <c r="F590">
        <v>1679872701</v>
      </c>
      <c r="G590">
        <v>0</v>
      </c>
      <c r="L590" t="s">
        <v>8</v>
      </c>
      <c r="M590" t="s">
        <v>8</v>
      </c>
      <c r="N590" t="s">
        <v>7</v>
      </c>
      <c r="P590">
        <f t="shared" si="989"/>
        <v>0.13752122241086476</v>
      </c>
      <c r="Q590">
        <f t="shared" si="990"/>
        <v>231018147.33616111</v>
      </c>
      <c r="R590">
        <f t="shared" si="991"/>
        <v>14633095807.229448</v>
      </c>
      <c r="S590">
        <f t="shared" si="992"/>
        <v>146330.95807229448</v>
      </c>
      <c r="T590">
        <f t="shared" si="993"/>
        <v>146.33095807229449</v>
      </c>
    </row>
    <row r="591" spans="1:20" x14ac:dyDescent="0.25">
      <c r="A591" s="5">
        <v>44002</v>
      </c>
      <c r="B591">
        <v>8.3789999999999993E-3</v>
      </c>
      <c r="C591">
        <v>8.4690000000000008E-3</v>
      </c>
      <c r="D591">
        <v>8.0820000000000006E-3</v>
      </c>
      <c r="E591">
        <v>8.2900000000000005E-3</v>
      </c>
      <c r="F591">
        <v>1207426567</v>
      </c>
      <c r="G591">
        <v>0</v>
      </c>
      <c r="L591" t="s">
        <v>7</v>
      </c>
      <c r="M591" t="s">
        <v>8</v>
      </c>
      <c r="N591" t="s">
        <v>7</v>
      </c>
      <c r="P591">
        <f t="shared" si="989"/>
        <v>7.4935400516794565E-2</v>
      </c>
      <c r="Q591">
        <f t="shared" si="990"/>
        <v>90478993.392763287</v>
      </c>
      <c r="R591">
        <f t="shared" si="991"/>
        <v>14402077659.893288</v>
      </c>
      <c r="S591">
        <f t="shared" si="992"/>
        <v>144020.77659893289</v>
      </c>
      <c r="T591">
        <f t="shared" si="993"/>
        <v>144.02077659893288</v>
      </c>
    </row>
    <row r="592" spans="1:20" x14ac:dyDescent="0.25">
      <c r="A592" s="5">
        <v>44001</v>
      </c>
      <c r="B592">
        <v>8.659E-3</v>
      </c>
      <c r="C592">
        <v>8.7329999999999994E-3</v>
      </c>
      <c r="D592">
        <v>8.3110000000000007E-3</v>
      </c>
      <c r="E592">
        <v>8.3789999999999993E-3</v>
      </c>
      <c r="F592">
        <v>1530248835</v>
      </c>
      <c r="G592">
        <v>0</v>
      </c>
      <c r="L592" t="s">
        <v>7</v>
      </c>
      <c r="M592" t="s">
        <v>8</v>
      </c>
      <c r="N592" t="s">
        <v>7</v>
      </c>
      <c r="P592">
        <f t="shared" si="989"/>
        <v>-0.67772511848341799</v>
      </c>
      <c r="Q592">
        <f t="shared" si="990"/>
        <v>-1037088073.0094874</v>
      </c>
      <c r="R592">
        <f t="shared" si="991"/>
        <v>14311598666.500525</v>
      </c>
      <c r="S592">
        <f t="shared" si="992"/>
        <v>143115.98666500524</v>
      </c>
      <c r="T592">
        <f t="shared" si="993"/>
        <v>143.11598666500524</v>
      </c>
    </row>
    <row r="593" spans="1:20" x14ac:dyDescent="0.25">
      <c r="A593" s="5">
        <v>44000</v>
      </c>
      <c r="B593">
        <v>9.0130000000000002E-3</v>
      </c>
      <c r="C593">
        <v>9.0460000000000002E-3</v>
      </c>
      <c r="D593">
        <v>8.3649999999999992E-3</v>
      </c>
      <c r="E593">
        <v>8.6599999999999993E-3</v>
      </c>
      <c r="F593">
        <v>1690292130</v>
      </c>
      <c r="G593">
        <v>0</v>
      </c>
      <c r="L593" t="s">
        <v>7</v>
      </c>
      <c r="M593" t="s">
        <v>8</v>
      </c>
      <c r="N593" t="s">
        <v>7</v>
      </c>
      <c r="P593">
        <f t="shared" si="989"/>
        <v>-0.13362701908957514</v>
      </c>
      <c r="Q593">
        <f t="shared" si="990"/>
        <v>-225868698.72246861</v>
      </c>
      <c r="R593">
        <f t="shared" si="991"/>
        <v>15348686739.510012</v>
      </c>
      <c r="S593">
        <f t="shared" si="992"/>
        <v>153486.86739510013</v>
      </c>
      <c r="T593">
        <f t="shared" si="993"/>
        <v>153.48686739510012</v>
      </c>
    </row>
    <row r="594" spans="1:20" x14ac:dyDescent="0.25">
      <c r="A594" s="5">
        <v>43999</v>
      </c>
      <c r="B594">
        <v>9.0620000000000006E-3</v>
      </c>
      <c r="C594">
        <v>9.247E-3</v>
      </c>
      <c r="D594">
        <v>8.6119999999999999E-3</v>
      </c>
      <c r="E594">
        <v>9.0130000000000002E-3</v>
      </c>
      <c r="F594">
        <v>2415094701</v>
      </c>
      <c r="G594">
        <v>0</v>
      </c>
      <c r="L594" t="s">
        <v>7</v>
      </c>
      <c r="M594" t="s">
        <v>8</v>
      </c>
      <c r="N594" t="s">
        <v>7</v>
      </c>
      <c r="P594">
        <f t="shared" si="989"/>
        <v>0.26299212598425264</v>
      </c>
      <c r="Q594">
        <f t="shared" si="990"/>
        <v>635150889.86929297</v>
      </c>
      <c r="R594">
        <f t="shared" si="991"/>
        <v>15574555438.232481</v>
      </c>
      <c r="S594">
        <f t="shared" si="992"/>
        <v>155745.5543823248</v>
      </c>
      <c r="T594">
        <f t="shared" si="993"/>
        <v>155.7455543823248</v>
      </c>
    </row>
    <row r="595" spans="1:20" x14ac:dyDescent="0.25">
      <c r="A595" s="5">
        <v>43998</v>
      </c>
      <c r="B595">
        <v>9.018E-3</v>
      </c>
      <c r="C595">
        <v>9.4179999999999993E-3</v>
      </c>
      <c r="D595">
        <v>8.7819999999999999E-3</v>
      </c>
      <c r="E595">
        <v>9.0609999999999996E-3</v>
      </c>
      <c r="F595">
        <v>3040162135</v>
      </c>
      <c r="G595">
        <v>0</v>
      </c>
      <c r="L595" t="s">
        <v>8</v>
      </c>
      <c r="M595" t="s">
        <v>8</v>
      </c>
      <c r="N595" t="s">
        <v>7</v>
      </c>
      <c r="P595">
        <f t="shared" si="989"/>
        <v>-0.12264150943396229</v>
      </c>
      <c r="Q595">
        <f t="shared" si="990"/>
        <v>-372850073.16037744</v>
      </c>
      <c r="R595">
        <f t="shared" si="991"/>
        <v>14939404548.363188</v>
      </c>
      <c r="S595">
        <f t="shared" si="992"/>
        <v>149394.04548363187</v>
      </c>
      <c r="T595">
        <f t="shared" si="993"/>
        <v>149.39404548363186</v>
      </c>
    </row>
    <row r="596" spans="1:20" x14ac:dyDescent="0.25">
      <c r="A596" s="5">
        <v>43997</v>
      </c>
      <c r="B596">
        <v>8.6409999999999994E-3</v>
      </c>
      <c r="C596">
        <v>9.2999999999999992E-3</v>
      </c>
      <c r="D596">
        <v>7.6920000000000001E-3</v>
      </c>
      <c r="E596">
        <v>9.0100000000000006E-3</v>
      </c>
      <c r="F596">
        <v>5372712903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0.63930348258706626</v>
      </c>
      <c r="Q596">
        <f t="shared" si="990"/>
        <v>3434794069.8283668</v>
      </c>
      <c r="R596">
        <f t="shared" si="991"/>
        <v>15312254621.523565</v>
      </c>
      <c r="S596">
        <f t="shared" si="992"/>
        <v>153122.54621523566</v>
      </c>
      <c r="T596">
        <f t="shared" si="993"/>
        <v>153.12254621523567</v>
      </c>
    </row>
    <row r="597" spans="1:20" x14ac:dyDescent="0.25">
      <c r="A597" s="5">
        <v>43996</v>
      </c>
      <c r="B597">
        <v>9.5969999999999996E-3</v>
      </c>
      <c r="C597">
        <v>9.6200000000000001E-3</v>
      </c>
      <c r="D597">
        <v>8.4189999999999994E-3</v>
      </c>
      <c r="E597">
        <v>8.6400000000000001E-3</v>
      </c>
      <c r="F597">
        <v>3451014443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-0.63197335553705147</v>
      </c>
      <c r="Q597">
        <f t="shared" si="990"/>
        <v>-2180949177.5495386</v>
      </c>
      <c r="R597">
        <f t="shared" si="991"/>
        <v>11877460551.695198</v>
      </c>
      <c r="S597">
        <f t="shared" si="992"/>
        <v>118774.60551695198</v>
      </c>
      <c r="T597">
        <f t="shared" si="993"/>
        <v>118.77460551695198</v>
      </c>
    </row>
    <row r="598" spans="1:20" x14ac:dyDescent="0.25">
      <c r="A598" s="5">
        <v>43995</v>
      </c>
      <c r="B598">
        <v>9.7099999999999999E-3</v>
      </c>
      <c r="C598">
        <v>9.8589999999999997E-3</v>
      </c>
      <c r="D598">
        <v>9.2540000000000001E-3</v>
      </c>
      <c r="E598">
        <v>9.5969999999999996E-3</v>
      </c>
      <c r="F598">
        <v>2274756419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0.13388429752066036</v>
      </c>
      <c r="Q598">
        <f t="shared" si="990"/>
        <v>304554165.18842793</v>
      </c>
      <c r="R598">
        <f t="shared" si="991"/>
        <v>14058409729.244736</v>
      </c>
      <c r="S598">
        <f t="shared" si="992"/>
        <v>140584.09729244735</v>
      </c>
      <c r="T598">
        <f t="shared" si="993"/>
        <v>140.58409729244735</v>
      </c>
    </row>
    <row r="599" spans="1:20" x14ac:dyDescent="0.25">
      <c r="A599" s="5">
        <v>43994</v>
      </c>
      <c r="B599">
        <v>8.763E-3</v>
      </c>
      <c r="C599">
        <v>9.9100000000000004E-3</v>
      </c>
      <c r="D599">
        <v>8.6339999999999993E-3</v>
      </c>
      <c r="E599">
        <v>9.7099999999999999E-3</v>
      </c>
      <c r="F599">
        <v>4928987318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0.68652037617554806</v>
      </c>
      <c r="Q599">
        <f t="shared" si="990"/>
        <v>3383850227.7178659</v>
      </c>
      <c r="R599">
        <f t="shared" si="991"/>
        <v>13753855564.056309</v>
      </c>
      <c r="S599">
        <f t="shared" si="992"/>
        <v>137538.55564056308</v>
      </c>
      <c r="T599">
        <f t="shared" si="993"/>
        <v>137.53855564056309</v>
      </c>
    </row>
    <row r="600" spans="1:20" x14ac:dyDescent="0.25">
      <c r="A600" s="5">
        <v>43993</v>
      </c>
      <c r="B600">
        <v>9.0080000000000004E-3</v>
      </c>
      <c r="C600">
        <v>1.0645E-2</v>
      </c>
      <c r="D600">
        <v>8.6650000000000008E-3</v>
      </c>
      <c r="E600">
        <v>8.7620000000000007E-3</v>
      </c>
      <c r="F600">
        <v>11479216003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-0.90202020202020217</v>
      </c>
      <c r="Q600">
        <f t="shared" si="990"/>
        <v>-10354484738.059597</v>
      </c>
      <c r="R600">
        <f t="shared" si="991"/>
        <v>10370005336.338444</v>
      </c>
      <c r="S600">
        <f t="shared" si="992"/>
        <v>103700.05336338443</v>
      </c>
      <c r="T600">
        <f t="shared" si="993"/>
        <v>103.70005336338443</v>
      </c>
    </row>
    <row r="601" spans="1:20" x14ac:dyDescent="0.25">
      <c r="A601" s="5">
        <v>43992</v>
      </c>
      <c r="B601">
        <v>8.1770000000000002E-3</v>
      </c>
      <c r="C601">
        <v>9.188E-3</v>
      </c>
      <c r="D601">
        <v>7.8829999999999994E-3</v>
      </c>
      <c r="E601">
        <v>9.0080000000000004E-3</v>
      </c>
      <c r="F601">
        <v>4450903438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0.72413793103448354</v>
      </c>
      <c r="Q601">
        <f t="shared" si="990"/>
        <v>3223068006.8275895</v>
      </c>
      <c r="R601">
        <f t="shared" si="991"/>
        <v>20724490074.398041</v>
      </c>
      <c r="S601">
        <f t="shared" si="992"/>
        <v>207244.9007439804</v>
      </c>
      <c r="T601">
        <f t="shared" si="993"/>
        <v>207.24490074398039</v>
      </c>
    </row>
    <row r="602" spans="1:20" x14ac:dyDescent="0.25">
      <c r="A602" s="5">
        <v>43991</v>
      </c>
      <c r="B602">
        <v>7.7869999999999997E-3</v>
      </c>
      <c r="C602">
        <v>8.2909999999999998E-3</v>
      </c>
      <c r="D602">
        <v>7.5750000000000001E-3</v>
      </c>
      <c r="E602">
        <v>8.1810000000000008E-3</v>
      </c>
      <c r="F602">
        <v>2076987217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0.69273743016760048</v>
      </c>
      <c r="Q602">
        <f t="shared" si="990"/>
        <v>1438806787.1955364</v>
      </c>
      <c r="R602">
        <f t="shared" si="991"/>
        <v>17501422067.57045</v>
      </c>
      <c r="S602">
        <f t="shared" si="992"/>
        <v>175014.22067570451</v>
      </c>
      <c r="T602">
        <f t="shared" si="993"/>
        <v>175.01422067570451</v>
      </c>
    </row>
    <row r="603" spans="1:20" x14ac:dyDescent="0.25">
      <c r="A603" s="5">
        <v>43990</v>
      </c>
      <c r="B603">
        <v>7.2449999999999997E-3</v>
      </c>
      <c r="C603">
        <v>7.8150000000000008E-3</v>
      </c>
      <c r="D603">
        <v>7.1650000000000004E-3</v>
      </c>
      <c r="E603">
        <v>7.7869999999999997E-3</v>
      </c>
      <c r="F603">
        <v>1875149178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0.91384615384615042</v>
      </c>
      <c r="Q603">
        <f t="shared" si="990"/>
        <v>1713597864.2030704</v>
      </c>
      <c r="R603">
        <f t="shared" si="991"/>
        <v>16062615280.374914</v>
      </c>
      <c r="S603">
        <f t="shared" si="992"/>
        <v>160626.15280374914</v>
      </c>
      <c r="T603">
        <f t="shared" si="993"/>
        <v>160.62615280374914</v>
      </c>
    </row>
    <row r="604" spans="1:20" x14ac:dyDescent="0.25">
      <c r="A604" s="5">
        <v>43989</v>
      </c>
      <c r="B604">
        <v>7.3010000000000002E-3</v>
      </c>
      <c r="C604">
        <v>7.4549999999999998E-3</v>
      </c>
      <c r="D604">
        <v>6.9100000000000003E-3</v>
      </c>
      <c r="E604">
        <v>7.2459999999999998E-3</v>
      </c>
      <c r="F604">
        <v>1836866216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0.23302752293577914</v>
      </c>
      <c r="Q604">
        <f t="shared" si="990"/>
        <v>428040384.27889782</v>
      </c>
      <c r="R604">
        <f t="shared" si="991"/>
        <v>14349017416.171844</v>
      </c>
      <c r="S604">
        <f t="shared" si="992"/>
        <v>143490.17416171843</v>
      </c>
      <c r="T604">
        <f t="shared" si="993"/>
        <v>143.49017416171844</v>
      </c>
    </row>
    <row r="605" spans="1:20" x14ac:dyDescent="0.25">
      <c r="A605" s="5">
        <v>43988</v>
      </c>
      <c r="B605">
        <v>6.6909999999999999E-3</v>
      </c>
      <c r="C605">
        <v>7.3689999999999997E-3</v>
      </c>
      <c r="D605">
        <v>6.6010000000000001E-3</v>
      </c>
      <c r="E605">
        <v>7.3010000000000002E-3</v>
      </c>
      <c r="F605">
        <v>1897886860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0.82291666666666796</v>
      </c>
      <c r="Q605">
        <f t="shared" si="990"/>
        <v>1561802728.5416691</v>
      </c>
      <c r="R605">
        <f t="shared" si="991"/>
        <v>13920977031.892946</v>
      </c>
      <c r="S605">
        <f t="shared" si="992"/>
        <v>139209.77031892946</v>
      </c>
      <c r="T605">
        <f t="shared" si="993"/>
        <v>139.20977031892946</v>
      </c>
    </row>
    <row r="606" spans="1:20" x14ac:dyDescent="0.25">
      <c r="A606" s="5">
        <v>43987</v>
      </c>
      <c r="B606">
        <v>6.7299999999999999E-3</v>
      </c>
      <c r="C606">
        <v>7.0600000000000003E-3</v>
      </c>
      <c r="D606">
        <v>6.6499999999999997E-3</v>
      </c>
      <c r="E606">
        <v>6.6930000000000002E-3</v>
      </c>
      <c r="F606">
        <v>1469334951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-0.79024390243902232</v>
      </c>
      <c r="Q606">
        <f t="shared" si="990"/>
        <v>-1161132985.6682897</v>
      </c>
      <c r="R606">
        <f t="shared" si="991"/>
        <v>12359174303.351276</v>
      </c>
      <c r="S606">
        <f t="shared" si="992"/>
        <v>123591.74303351276</v>
      </c>
      <c r="T606">
        <f t="shared" si="993"/>
        <v>123.59174303351276</v>
      </c>
    </row>
    <row r="607" spans="1:20" x14ac:dyDescent="0.25">
      <c r="A607" s="5">
        <v>43986</v>
      </c>
      <c r="B607">
        <v>7.1000000000000004E-3</v>
      </c>
      <c r="C607">
        <v>7.2399999999999999E-3</v>
      </c>
      <c r="D607">
        <v>6.5779999999999996E-3</v>
      </c>
      <c r="E607">
        <v>6.7320000000000001E-3</v>
      </c>
      <c r="F607">
        <v>2057088992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-0.53474320241691708</v>
      </c>
      <c r="Q607">
        <f t="shared" si="990"/>
        <v>-1100014355.238668</v>
      </c>
      <c r="R607">
        <f t="shared" si="991"/>
        <v>13520307289.019566</v>
      </c>
      <c r="S607">
        <f t="shared" si="992"/>
        <v>135203.07289019565</v>
      </c>
      <c r="T607">
        <f t="shared" si="993"/>
        <v>135.20307289019564</v>
      </c>
    </row>
    <row r="608" spans="1:20" x14ac:dyDescent="0.25">
      <c r="A608" s="5">
        <v>43985</v>
      </c>
      <c r="B608">
        <v>7.2519999999999998E-3</v>
      </c>
      <c r="C608">
        <v>7.502E-3</v>
      </c>
      <c r="D608">
        <v>6.8329999999999997E-3</v>
      </c>
      <c r="E608">
        <v>7.0990000000000003E-3</v>
      </c>
      <c r="F608">
        <v>3071050811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-0.20478325859491633</v>
      </c>
      <c r="Q608">
        <f t="shared" si="990"/>
        <v>-628899792.38714051</v>
      </c>
      <c r="R608">
        <f t="shared" si="991"/>
        <v>14620321644.258234</v>
      </c>
      <c r="S608">
        <f t="shared" si="992"/>
        <v>146203.21644258234</v>
      </c>
      <c r="T608">
        <f t="shared" si="993"/>
        <v>146.20321644258235</v>
      </c>
    </row>
    <row r="609" spans="1:20" x14ac:dyDescent="0.25">
      <c r="A609" s="5">
        <v>43984</v>
      </c>
      <c r="B609">
        <v>6.6600000000000001E-3</v>
      </c>
      <c r="C609">
        <v>7.7679999999999997E-3</v>
      </c>
      <c r="D609">
        <v>6.5199999999999998E-3</v>
      </c>
      <c r="E609">
        <v>7.2500000000000004E-3</v>
      </c>
      <c r="F609">
        <v>5671586707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0.16987179487179588</v>
      </c>
      <c r="Q609">
        <f t="shared" si="990"/>
        <v>963442613.68910825</v>
      </c>
      <c r="R609">
        <f t="shared" si="991"/>
        <v>15249221436.645374</v>
      </c>
      <c r="S609">
        <f t="shared" si="992"/>
        <v>152492.21436645373</v>
      </c>
      <c r="T609">
        <f t="shared" si="993"/>
        <v>152.49221436645374</v>
      </c>
    </row>
    <row r="610" spans="1:20" x14ac:dyDescent="0.25">
      <c r="A610" s="5">
        <v>43983</v>
      </c>
      <c r="B610">
        <v>6.2370000000000004E-3</v>
      </c>
      <c r="C610">
        <v>6.8780000000000004E-3</v>
      </c>
      <c r="D610">
        <v>6.1760000000000001E-3</v>
      </c>
      <c r="E610">
        <v>6.6550000000000003E-3</v>
      </c>
      <c r="F610">
        <v>2919623416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0.36467236467236469</v>
      </c>
      <c r="Q610">
        <f t="shared" si="990"/>
        <v>1064705975.0655271</v>
      </c>
      <c r="R610">
        <f t="shared" si="991"/>
        <v>14285778822.956266</v>
      </c>
      <c r="S610">
        <f t="shared" si="992"/>
        <v>142857.78822956266</v>
      </c>
      <c r="T610">
        <f t="shared" si="993"/>
        <v>142.85778822956266</v>
      </c>
    </row>
    <row r="611" spans="1:20" x14ac:dyDescent="0.25">
      <c r="A611" s="5">
        <v>43982</v>
      </c>
      <c r="B611">
        <v>6.2259999999999998E-3</v>
      </c>
      <c r="C611">
        <v>6.9449999999999998E-3</v>
      </c>
      <c r="D611">
        <v>6.0109999999999999E-3</v>
      </c>
      <c r="E611">
        <v>6.2469999999999999E-3</v>
      </c>
      <c r="F611">
        <v>4146429392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-0.49464668094218389</v>
      </c>
      <c r="Q611">
        <f t="shared" si="990"/>
        <v>-2051017536.5139174</v>
      </c>
      <c r="R611">
        <f t="shared" si="991"/>
        <v>13221072847.890739</v>
      </c>
      <c r="S611">
        <f t="shared" si="992"/>
        <v>132210.7284789074</v>
      </c>
      <c r="T611">
        <f t="shared" si="993"/>
        <v>132.21072847890741</v>
      </c>
    </row>
    <row r="612" spans="1:20" x14ac:dyDescent="0.25">
      <c r="A612" s="5">
        <v>43981</v>
      </c>
      <c r="B612">
        <v>5.5529999999999998E-3</v>
      </c>
      <c r="C612">
        <v>6.2589999999999998E-3</v>
      </c>
      <c r="D612">
        <v>5.5079999999999999E-3</v>
      </c>
      <c r="E612">
        <v>6.2269999999999999E-3</v>
      </c>
      <c r="F612">
        <v>2480774833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0.91478029294274321</v>
      </c>
      <c r="Q612">
        <f t="shared" si="990"/>
        <v>2269363928.4567246</v>
      </c>
      <c r="R612">
        <f t="shared" si="991"/>
        <v>15272090384.404657</v>
      </c>
      <c r="S612">
        <f t="shared" si="992"/>
        <v>152720.90384404658</v>
      </c>
      <c r="T612">
        <f t="shared" si="993"/>
        <v>152.72090384404657</v>
      </c>
    </row>
    <row r="613" spans="1:20" x14ac:dyDescent="0.25">
      <c r="A613" s="5">
        <v>43980</v>
      </c>
      <c r="B613">
        <v>5.5120000000000004E-3</v>
      </c>
      <c r="C613">
        <v>5.6449999999999998E-3</v>
      </c>
      <c r="D613">
        <v>5.2810000000000001E-3</v>
      </c>
      <c r="E613">
        <v>5.5469999999999998E-3</v>
      </c>
      <c r="F613">
        <v>2012150317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0.46153846153846118</v>
      </c>
      <c r="Q613">
        <f t="shared" si="990"/>
        <v>928684761.692307</v>
      </c>
      <c r="R613">
        <f t="shared" si="991"/>
        <v>13002726455.947933</v>
      </c>
      <c r="S613">
        <f t="shared" si="992"/>
        <v>130027.26455947933</v>
      </c>
      <c r="T613">
        <f t="shared" si="993"/>
        <v>130.02726455947933</v>
      </c>
    </row>
    <row r="614" spans="1:20" x14ac:dyDescent="0.25">
      <c r="A614" s="5">
        <v>43979</v>
      </c>
      <c r="B614">
        <v>4.8970000000000003E-3</v>
      </c>
      <c r="C614">
        <v>5.5500000000000002E-3</v>
      </c>
      <c r="D614">
        <v>4.8760000000000001E-3</v>
      </c>
      <c r="E614">
        <v>5.5079999999999999E-3</v>
      </c>
      <c r="F614">
        <v>2942437579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0.87537091988130455</v>
      </c>
      <c r="Q614">
        <f t="shared" si="990"/>
        <v>2575724290.222549</v>
      </c>
      <c r="R614">
        <f t="shared" si="991"/>
        <v>12074041694.255627</v>
      </c>
      <c r="S614">
        <f t="shared" si="992"/>
        <v>120740.41694255627</v>
      </c>
      <c r="T614">
        <f t="shared" si="993"/>
        <v>120.74041694255627</v>
      </c>
    </row>
    <row r="615" spans="1:20" x14ac:dyDescent="0.25">
      <c r="A615" s="5">
        <v>43978</v>
      </c>
      <c r="B615">
        <v>4.8710000000000003E-3</v>
      </c>
      <c r="C615">
        <v>5.0070000000000002E-3</v>
      </c>
      <c r="D615">
        <v>4.7829999999999999E-3</v>
      </c>
      <c r="E615">
        <v>4.8960000000000002E-3</v>
      </c>
      <c r="F615">
        <v>1483429040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8.9285714285726042E-3</v>
      </c>
      <c r="Q615">
        <f t="shared" si="990"/>
        <v>13244902.142858887</v>
      </c>
      <c r="R615">
        <f t="shared" si="991"/>
        <v>9498317404.0330772</v>
      </c>
      <c r="S615">
        <f t="shared" si="992"/>
        <v>94983.174040330778</v>
      </c>
      <c r="T615">
        <f t="shared" si="993"/>
        <v>94.98317404033078</v>
      </c>
    </row>
    <row r="616" spans="1:20" x14ac:dyDescent="0.25">
      <c r="A616" s="5">
        <v>43977</v>
      </c>
      <c r="B616">
        <v>5.0670000000000003E-3</v>
      </c>
      <c r="C616">
        <v>5.0899999999999999E-3</v>
      </c>
      <c r="D616">
        <v>4.6940000000000003E-3</v>
      </c>
      <c r="E616">
        <v>4.8710000000000003E-3</v>
      </c>
      <c r="F616">
        <v>2129885978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-0.1060606060606049</v>
      </c>
      <c r="Q616">
        <f t="shared" si="990"/>
        <v>-225896997.66666418</v>
      </c>
      <c r="R616">
        <f t="shared" si="991"/>
        <v>9485072501.8902187</v>
      </c>
      <c r="S616">
        <f t="shared" si="992"/>
        <v>94850.725018902187</v>
      </c>
      <c r="T616">
        <f t="shared" si="993"/>
        <v>94.850725018902182</v>
      </c>
    </row>
    <row r="617" spans="1:20" x14ac:dyDescent="0.25">
      <c r="A617" s="5">
        <v>43976</v>
      </c>
      <c r="B617">
        <v>4.4619999999999998E-3</v>
      </c>
      <c r="C617">
        <v>5.1260000000000003E-3</v>
      </c>
      <c r="D617">
        <v>4.3880000000000004E-3</v>
      </c>
      <c r="E617">
        <v>5.0639999999999999E-3</v>
      </c>
      <c r="F617">
        <v>3054674553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0.8319783197831967</v>
      </c>
      <c r="Q617">
        <f t="shared" si="990"/>
        <v>2541423002.0894275</v>
      </c>
      <c r="R617">
        <f t="shared" si="991"/>
        <v>9710969499.5568829</v>
      </c>
      <c r="S617">
        <f t="shared" si="992"/>
        <v>97109.694995568832</v>
      </c>
      <c r="T617">
        <f t="shared" si="993"/>
        <v>97.10969499556883</v>
      </c>
    </row>
    <row r="618" spans="1:20" x14ac:dyDescent="0.25">
      <c r="A618" s="5">
        <v>43975</v>
      </c>
      <c r="B618">
        <v>4.6100000000000004E-3</v>
      </c>
      <c r="C618">
        <v>4.7999999999999996E-3</v>
      </c>
      <c r="D618">
        <v>4.463E-3</v>
      </c>
      <c r="E618">
        <v>4.4669999999999996E-3</v>
      </c>
      <c r="F618">
        <v>1400508049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-0.97626112759644113</v>
      </c>
      <c r="Q618">
        <f t="shared" si="990"/>
        <v>-1367261567.1246319</v>
      </c>
      <c r="R618">
        <f t="shared" si="991"/>
        <v>7169546497.4674549</v>
      </c>
      <c r="S618">
        <f t="shared" si="992"/>
        <v>71695.464974674556</v>
      </c>
      <c r="T618">
        <f t="shared" si="993"/>
        <v>71.69546497467455</v>
      </c>
    </row>
    <row r="619" spans="1:20" x14ac:dyDescent="0.25">
      <c r="A619" s="5">
        <v>43974</v>
      </c>
      <c r="B619">
        <v>4.6410000000000002E-3</v>
      </c>
      <c r="C619">
        <v>4.79E-3</v>
      </c>
      <c r="D619">
        <v>4.5250000000000004E-3</v>
      </c>
      <c r="E619">
        <v>4.6090000000000002E-3</v>
      </c>
      <c r="F619">
        <v>1197603495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-0.36603773584905663</v>
      </c>
      <c r="Q619">
        <f t="shared" si="990"/>
        <v>-438368071.75471699</v>
      </c>
      <c r="R619">
        <f t="shared" si="991"/>
        <v>8536808064.5920868</v>
      </c>
      <c r="S619">
        <f t="shared" si="992"/>
        <v>85368.080645920869</v>
      </c>
      <c r="T619">
        <f t="shared" si="993"/>
        <v>85.36808064592087</v>
      </c>
    </row>
    <row r="620" spans="1:20" x14ac:dyDescent="0.25">
      <c r="A620" s="5">
        <v>43973</v>
      </c>
      <c r="B620">
        <v>4.2310000000000004E-3</v>
      </c>
      <c r="C620">
        <v>4.7499999999999999E-3</v>
      </c>
      <c r="D620">
        <v>4.1770000000000002E-3</v>
      </c>
      <c r="E620">
        <v>4.64E-3</v>
      </c>
      <c r="F620">
        <v>1984790630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0.6160558464223389</v>
      </c>
      <c r="Q620">
        <f t="shared" si="990"/>
        <v>1222741871.5357773</v>
      </c>
      <c r="R620">
        <f t="shared" si="991"/>
        <v>8975176136.3468037</v>
      </c>
      <c r="S620">
        <f t="shared" si="992"/>
        <v>89751.761363468031</v>
      </c>
      <c r="T620">
        <f t="shared" si="993"/>
        <v>89.751761363468034</v>
      </c>
    </row>
    <row r="621" spans="1:20" x14ac:dyDescent="0.25">
      <c r="A621" s="5">
        <v>43972</v>
      </c>
      <c r="B621">
        <v>4.5209999999999998E-3</v>
      </c>
      <c r="C621">
        <v>4.5690000000000001E-3</v>
      </c>
      <c r="D621">
        <v>4.0879999999999996E-3</v>
      </c>
      <c r="E621">
        <v>4.2370000000000003E-3</v>
      </c>
      <c r="F621">
        <v>1391426393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-0.38045738045737826</v>
      </c>
      <c r="Q621">
        <f t="shared" si="990"/>
        <v>-529378440.58003855</v>
      </c>
      <c r="R621">
        <f t="shared" si="991"/>
        <v>7752434264.8110256</v>
      </c>
      <c r="S621">
        <f t="shared" si="992"/>
        <v>77524.342648110251</v>
      </c>
      <c r="T621">
        <f t="shared" si="993"/>
        <v>77.524342648110249</v>
      </c>
    </row>
    <row r="622" spans="1:20" x14ac:dyDescent="0.25">
      <c r="A622" s="5">
        <v>43971</v>
      </c>
      <c r="B622">
        <v>4.5370000000000002E-3</v>
      </c>
      <c r="C622">
        <v>4.6519999999999999E-3</v>
      </c>
      <c r="D622">
        <v>4.372E-3</v>
      </c>
      <c r="E622">
        <v>4.5250000000000004E-3</v>
      </c>
      <c r="F622">
        <v>1215531409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9.2857142857145927E-2</v>
      </c>
      <c r="Q622">
        <f t="shared" si="990"/>
        <v>112870773.69286087</v>
      </c>
      <c r="R622">
        <f t="shared" si="991"/>
        <v>8281812705.3910646</v>
      </c>
      <c r="S622">
        <f t="shared" si="992"/>
        <v>82818.127053910648</v>
      </c>
      <c r="T622">
        <f t="shared" si="993"/>
        <v>82.818127053910644</v>
      </c>
    </row>
    <row r="623" spans="1:20" x14ac:dyDescent="0.25">
      <c r="A623" s="5">
        <v>43970</v>
      </c>
      <c r="B623">
        <v>4.4869999999999997E-3</v>
      </c>
      <c r="C623">
        <v>4.542E-3</v>
      </c>
      <c r="D623">
        <v>4.3699999999999998E-3</v>
      </c>
      <c r="E623">
        <v>4.5339999999999998E-3</v>
      </c>
      <c r="F623">
        <v>1150595037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0.90697674418604435</v>
      </c>
      <c r="Q623">
        <f t="shared" si="990"/>
        <v>1043562940.5348812</v>
      </c>
      <c r="R623">
        <f t="shared" si="991"/>
        <v>8168941931.698204</v>
      </c>
      <c r="S623">
        <f t="shared" si="992"/>
        <v>81689.419316982036</v>
      </c>
      <c r="T623">
        <f t="shared" si="993"/>
        <v>81.68941931698204</v>
      </c>
    </row>
    <row r="624" spans="1:20" x14ac:dyDescent="0.25">
      <c r="A624" s="5">
        <v>43969</v>
      </c>
      <c r="B624">
        <v>4.4299999999999999E-3</v>
      </c>
      <c r="C624">
        <v>4.633E-3</v>
      </c>
      <c r="D624">
        <v>4.4149999999999997E-3</v>
      </c>
      <c r="E624">
        <v>4.4869999999999997E-3</v>
      </c>
      <c r="F624">
        <v>1281571556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-0.33944954128440447</v>
      </c>
      <c r="Q624">
        <f t="shared" si="990"/>
        <v>-435028876.80734044</v>
      </c>
      <c r="R624">
        <f t="shared" si="991"/>
        <v>7125378991.1633224</v>
      </c>
      <c r="S624">
        <f t="shared" si="992"/>
        <v>71253.789911633226</v>
      </c>
      <c r="T624">
        <f t="shared" si="993"/>
        <v>71.25378991163322</v>
      </c>
    </row>
    <row r="625" spans="1:20" x14ac:dyDescent="0.25">
      <c r="A625" s="5">
        <v>43968</v>
      </c>
      <c r="B625">
        <v>4.4489999999999998E-3</v>
      </c>
      <c r="C625">
        <v>4.5840000000000004E-3</v>
      </c>
      <c r="D625">
        <v>4.3800000000000002E-3</v>
      </c>
      <c r="E625">
        <v>4.4260000000000002E-3</v>
      </c>
      <c r="F625">
        <v>946445215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-0.5490196078431373</v>
      </c>
      <c r="Q625">
        <f t="shared" si="990"/>
        <v>-519616980.7843138</v>
      </c>
      <c r="R625">
        <f t="shared" si="991"/>
        <v>7560407867.9706631</v>
      </c>
      <c r="S625">
        <f t="shared" si="992"/>
        <v>75604.078679706625</v>
      </c>
      <c r="T625">
        <f t="shared" si="993"/>
        <v>75.604078679706632</v>
      </c>
    </row>
    <row r="626" spans="1:20" x14ac:dyDescent="0.25">
      <c r="A626" s="5">
        <v>43967</v>
      </c>
      <c r="B626">
        <v>4.3790000000000001E-3</v>
      </c>
      <c r="C626">
        <v>4.4879999999999998E-3</v>
      </c>
      <c r="D626">
        <v>4.3530000000000001E-3</v>
      </c>
      <c r="E626">
        <v>4.4489999999999998E-3</v>
      </c>
      <c r="F626">
        <v>1031998155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0.42222222222222139</v>
      </c>
      <c r="Q626">
        <f t="shared" si="990"/>
        <v>435732554.33333248</v>
      </c>
      <c r="R626">
        <f t="shared" si="991"/>
        <v>8080024848.7549772</v>
      </c>
      <c r="S626">
        <f t="shared" si="992"/>
        <v>80800.248487549776</v>
      </c>
      <c r="T626">
        <f t="shared" si="993"/>
        <v>80.80024848754978</v>
      </c>
    </row>
    <row r="627" spans="1:20" x14ac:dyDescent="0.25">
      <c r="A627" s="5">
        <v>43966</v>
      </c>
      <c r="B627">
        <v>4.4939999999999997E-3</v>
      </c>
      <c r="C627">
        <v>4.5589999999999997E-3</v>
      </c>
      <c r="D627">
        <v>4.3530000000000001E-3</v>
      </c>
      <c r="E627">
        <v>4.3769999999999998E-3</v>
      </c>
      <c r="F627">
        <v>1124627467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-0.76699029126213825</v>
      </c>
      <c r="Q627">
        <f t="shared" si="990"/>
        <v>-862578348.47573078</v>
      </c>
      <c r="R627">
        <f t="shared" si="991"/>
        <v>7644292294.4216452</v>
      </c>
      <c r="S627">
        <f t="shared" si="992"/>
        <v>76442.922944216451</v>
      </c>
      <c r="T627">
        <f t="shared" si="993"/>
        <v>76.442922944216448</v>
      </c>
    </row>
    <row r="628" spans="1:20" x14ac:dyDescent="0.25">
      <c r="A628" s="5">
        <v>43965</v>
      </c>
      <c r="B628">
        <v>4.4590000000000003E-3</v>
      </c>
      <c r="C628">
        <v>4.5649999999999996E-3</v>
      </c>
      <c r="D628">
        <v>4.3689999999999996E-3</v>
      </c>
      <c r="E628">
        <v>4.4939999999999997E-3</v>
      </c>
      <c r="F628">
        <v>1529369808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0.27551020408163385</v>
      </c>
      <c r="Q628">
        <f t="shared" si="990"/>
        <v>421356987.91836917</v>
      </c>
      <c r="R628">
        <f t="shared" si="991"/>
        <v>8506870642.8973761</v>
      </c>
      <c r="S628">
        <f t="shared" si="992"/>
        <v>85068.706428973761</v>
      </c>
      <c r="T628">
        <f t="shared" si="993"/>
        <v>85.068706428973755</v>
      </c>
    </row>
    <row r="629" spans="1:20" x14ac:dyDescent="0.25">
      <c r="A629" s="5">
        <v>43964</v>
      </c>
      <c r="B629">
        <v>4.2399999999999998E-3</v>
      </c>
      <c r="C629">
        <v>4.5490000000000001E-3</v>
      </c>
      <c r="D629">
        <v>4.176E-3</v>
      </c>
      <c r="E629">
        <v>4.4590000000000003E-3</v>
      </c>
      <c r="F629">
        <v>1124050982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0.51742627345844616</v>
      </c>
      <c r="Q629">
        <f t="shared" si="990"/>
        <v>581613510.79356694</v>
      </c>
      <c r="R629">
        <f t="shared" si="991"/>
        <v>8085513654.9790068</v>
      </c>
      <c r="S629">
        <f t="shared" si="992"/>
        <v>80855.13654979007</v>
      </c>
      <c r="T629">
        <f t="shared" si="993"/>
        <v>80.855136549790075</v>
      </c>
    </row>
    <row r="630" spans="1:20" x14ac:dyDescent="0.25">
      <c r="A630" s="5">
        <v>43963</v>
      </c>
      <c r="B630">
        <v>4.1120000000000002E-3</v>
      </c>
      <c r="C630">
        <v>4.2950000000000002E-3</v>
      </c>
      <c r="D630">
        <v>4.0080000000000003E-3</v>
      </c>
      <c r="E630">
        <v>4.2430000000000002E-3</v>
      </c>
      <c r="F630">
        <v>1621648497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0.63763066202090612</v>
      </c>
      <c r="Q630">
        <f t="shared" si="990"/>
        <v>1034012804.7073174</v>
      </c>
      <c r="R630">
        <f t="shared" si="991"/>
        <v>7503900144.1854401</v>
      </c>
      <c r="S630">
        <f t="shared" si="992"/>
        <v>75039.001441854401</v>
      </c>
      <c r="T630">
        <f t="shared" si="993"/>
        <v>75.039001441854396</v>
      </c>
    </row>
    <row r="631" spans="1:20" x14ac:dyDescent="0.25">
      <c r="A631" s="5">
        <v>43962</v>
      </c>
      <c r="B631">
        <v>4.1660000000000004E-3</v>
      </c>
      <c r="C631">
        <v>4.2589999999999998E-3</v>
      </c>
      <c r="D631">
        <v>3.8739999999999998E-3</v>
      </c>
      <c r="E631">
        <v>4.1130000000000003E-3</v>
      </c>
      <c r="F631">
        <v>2085875021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0.24155844155844439</v>
      </c>
      <c r="Q631">
        <f t="shared" si="990"/>
        <v>503860719.35844743</v>
      </c>
      <c r="R631">
        <f t="shared" si="991"/>
        <v>6469887339.4781227</v>
      </c>
      <c r="S631">
        <f t="shared" si="992"/>
        <v>64698.873394781229</v>
      </c>
      <c r="T631">
        <f t="shared" si="993"/>
        <v>64.698873394781231</v>
      </c>
    </row>
    <row r="632" spans="1:20" x14ac:dyDescent="0.25">
      <c r="A632" s="5">
        <v>43961</v>
      </c>
      <c r="B632">
        <v>4.5510000000000004E-3</v>
      </c>
      <c r="C632">
        <v>4.5599999999999998E-3</v>
      </c>
      <c r="D632">
        <v>3.7669999999999999E-3</v>
      </c>
      <c r="E632">
        <v>4.1650000000000003E-3</v>
      </c>
      <c r="F632">
        <v>2861273194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3.783102143758931E-3</v>
      </c>
      <c r="Q632">
        <f t="shared" si="990"/>
        <v>10824488.754101364</v>
      </c>
      <c r="R632">
        <f t="shared" si="991"/>
        <v>5966026620.1196756</v>
      </c>
      <c r="S632">
        <f t="shared" si="992"/>
        <v>59660.266201196755</v>
      </c>
      <c r="T632">
        <f t="shared" si="993"/>
        <v>59.660266201196755</v>
      </c>
    </row>
    <row r="633" spans="1:20" x14ac:dyDescent="0.25">
      <c r="A633" s="5">
        <v>43960</v>
      </c>
      <c r="B633">
        <v>4.7809999999999997E-3</v>
      </c>
      <c r="C633">
        <v>4.9500000000000004E-3</v>
      </c>
      <c r="D633">
        <v>4.4790000000000003E-3</v>
      </c>
      <c r="E633">
        <v>4.5490000000000001E-3</v>
      </c>
      <c r="F633">
        <v>1582164386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-0.70276008492569109</v>
      </c>
      <c r="Q633">
        <f t="shared" si="990"/>
        <v>-1111881978.2717638</v>
      </c>
      <c r="R633">
        <f t="shared" si="991"/>
        <v>5955202131.3655739</v>
      </c>
      <c r="S633">
        <f t="shared" si="992"/>
        <v>59552.021313655736</v>
      </c>
      <c r="T633">
        <f t="shared" si="993"/>
        <v>59.552021313655736</v>
      </c>
    </row>
    <row r="634" spans="1:20" x14ac:dyDescent="0.25">
      <c r="A634" s="5">
        <v>43959</v>
      </c>
      <c r="B634">
        <v>4.5110000000000003E-3</v>
      </c>
      <c r="C634">
        <v>4.8650000000000004E-3</v>
      </c>
      <c r="D634">
        <v>4.5019999999999999E-3</v>
      </c>
      <c r="E634">
        <v>4.7829999999999999E-3</v>
      </c>
      <c r="F634">
        <v>1991413330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0.54820936639118256</v>
      </c>
      <c r="Q634">
        <f t="shared" si="990"/>
        <v>1091711439.8622549</v>
      </c>
      <c r="R634">
        <f t="shared" si="991"/>
        <v>7067084109.6373377</v>
      </c>
      <c r="S634">
        <f t="shared" si="992"/>
        <v>70670.841096373377</v>
      </c>
      <c r="T634">
        <f t="shared" si="993"/>
        <v>70.67084109637338</v>
      </c>
    </row>
    <row r="635" spans="1:20" x14ac:dyDescent="0.25">
      <c r="A635" s="5">
        <v>43958</v>
      </c>
      <c r="B635">
        <v>4.248E-3</v>
      </c>
      <c r="C635">
        <v>4.5869999999999999E-3</v>
      </c>
      <c r="D635">
        <v>4.1999999999999997E-3</v>
      </c>
      <c r="E635">
        <v>4.5100000000000001E-3</v>
      </c>
      <c r="F635">
        <v>2066773332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0.60206718346253352</v>
      </c>
      <c r="Q635">
        <f t="shared" si="990"/>
        <v>1244336398.8527157</v>
      </c>
      <c r="R635">
        <f t="shared" si="991"/>
        <v>5975372669.7750826</v>
      </c>
      <c r="S635">
        <f t="shared" si="992"/>
        <v>59753.726697750826</v>
      </c>
      <c r="T635">
        <f t="shared" si="993"/>
        <v>59.753726697750828</v>
      </c>
    </row>
    <row r="636" spans="1:20" x14ac:dyDescent="0.25">
      <c r="A636" s="5">
        <v>43957</v>
      </c>
      <c r="B636">
        <v>4.4200000000000003E-3</v>
      </c>
      <c r="C636">
        <v>4.5180000000000003E-3</v>
      </c>
      <c r="D636">
        <v>4.2259999999999997E-3</v>
      </c>
      <c r="E636">
        <v>4.2500000000000003E-3</v>
      </c>
      <c r="F636">
        <v>1949179248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-0.83561643835616073</v>
      </c>
      <c r="Q636">
        <f t="shared" si="990"/>
        <v>-1628766220.9314997</v>
      </c>
      <c r="R636">
        <f t="shared" si="991"/>
        <v>4731036270.9223671</v>
      </c>
      <c r="S636">
        <f t="shared" si="992"/>
        <v>47310.362709223671</v>
      </c>
      <c r="T636">
        <f t="shared" si="993"/>
        <v>47.310362709223668</v>
      </c>
    </row>
    <row r="637" spans="1:20" x14ac:dyDescent="0.25">
      <c r="A637" s="5">
        <v>43956</v>
      </c>
      <c r="B637">
        <v>4.4470000000000004E-3</v>
      </c>
      <c r="C637">
        <v>4.4790000000000003E-3</v>
      </c>
      <c r="D637">
        <v>4.215E-3</v>
      </c>
      <c r="E637">
        <v>4.4190000000000002E-3</v>
      </c>
      <c r="F637">
        <v>1544038074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0.54545454545454486</v>
      </c>
      <c r="Q637">
        <f t="shared" si="990"/>
        <v>842202585.81818092</v>
      </c>
      <c r="R637">
        <f t="shared" si="991"/>
        <v>6359802491.8538666</v>
      </c>
      <c r="S637">
        <f t="shared" si="992"/>
        <v>63598.024918538664</v>
      </c>
      <c r="T637">
        <f t="shared" si="993"/>
        <v>63.598024918538663</v>
      </c>
    </row>
    <row r="638" spans="1:20" x14ac:dyDescent="0.25">
      <c r="A638" s="5">
        <v>43955</v>
      </c>
      <c r="B638">
        <v>4.3319999999999999E-3</v>
      </c>
      <c r="C638">
        <v>4.6189999999999998E-3</v>
      </c>
      <c r="D638">
        <v>4.0439999999999999E-3</v>
      </c>
      <c r="E638">
        <v>4.444E-3</v>
      </c>
      <c r="F638">
        <v>2547052464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0.39130434782608764</v>
      </c>
      <c r="Q638">
        <f t="shared" si="990"/>
        <v>996672703.30434954</v>
      </c>
      <c r="R638">
        <f t="shared" si="991"/>
        <v>5517599906.0356855</v>
      </c>
      <c r="S638">
        <f t="shared" si="992"/>
        <v>55175.999060356859</v>
      </c>
      <c r="T638">
        <f t="shared" si="993"/>
        <v>55.175999060356858</v>
      </c>
    </row>
    <row r="639" spans="1:20" x14ac:dyDescent="0.25">
      <c r="A639" s="5">
        <v>43954</v>
      </c>
      <c r="B639">
        <v>4.516E-3</v>
      </c>
      <c r="C639">
        <v>4.5999999999999999E-3</v>
      </c>
      <c r="D639">
        <v>4.248E-3</v>
      </c>
      <c r="E639">
        <v>4.3319999999999999E-3</v>
      </c>
      <c r="F639">
        <v>1382369403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-0.52272727272727326</v>
      </c>
      <c r="Q639">
        <f t="shared" si="990"/>
        <v>-722602187.93181896</v>
      </c>
      <c r="R639">
        <f t="shared" si="991"/>
        <v>4520927202.7313356</v>
      </c>
      <c r="S639">
        <f t="shared" si="992"/>
        <v>45209.27202731336</v>
      </c>
      <c r="T639">
        <f t="shared" si="993"/>
        <v>45.209272027313361</v>
      </c>
    </row>
    <row r="640" spans="1:20" x14ac:dyDescent="0.25">
      <c r="A640" s="5">
        <v>43953</v>
      </c>
      <c r="B640">
        <v>4.4359999999999998E-3</v>
      </c>
      <c r="C640">
        <v>4.5389999999999996E-3</v>
      </c>
      <c r="D640">
        <v>4.3949999999999996E-3</v>
      </c>
      <c r="E640">
        <v>4.5149999999999999E-3</v>
      </c>
      <c r="F640">
        <v>850546734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0.66666666666667074</v>
      </c>
      <c r="Q640">
        <f t="shared" si="990"/>
        <v>567031156.00000346</v>
      </c>
      <c r="R640">
        <f t="shared" si="991"/>
        <v>5243529390.6631546</v>
      </c>
      <c r="S640">
        <f t="shared" si="992"/>
        <v>52435.293906631545</v>
      </c>
      <c r="T640">
        <f t="shared" si="993"/>
        <v>52.435293906631543</v>
      </c>
    </row>
    <row r="641" spans="1:20" x14ac:dyDescent="0.25">
      <c r="A641" s="5">
        <v>43952</v>
      </c>
      <c r="B641">
        <v>4.3509999999999998E-3</v>
      </c>
      <c r="C641">
        <v>4.6490000000000004E-3</v>
      </c>
      <c r="D641">
        <v>4.3509999999999998E-3</v>
      </c>
      <c r="E641">
        <v>4.437E-3</v>
      </c>
      <c r="F641">
        <v>1566607432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-0.42281879194630878</v>
      </c>
      <c r="Q641">
        <f t="shared" si="990"/>
        <v>-662391061.85234904</v>
      </c>
      <c r="R641">
        <f t="shared" si="991"/>
        <v>4676498234.6631508</v>
      </c>
      <c r="S641">
        <f t="shared" si="992"/>
        <v>46764.982346631507</v>
      </c>
      <c r="T641">
        <f t="shared" si="993"/>
        <v>46.764982346631506</v>
      </c>
    </row>
    <row r="642" spans="1:20" x14ac:dyDescent="0.25">
      <c r="A642" s="5">
        <v>43951</v>
      </c>
      <c r="B642">
        <v>4.7679999999999997E-3</v>
      </c>
      <c r="C642">
        <v>4.8580000000000003E-3</v>
      </c>
      <c r="D642">
        <v>4.1999999999999997E-3</v>
      </c>
      <c r="E642">
        <v>4.3530000000000001E-3</v>
      </c>
      <c r="F642">
        <v>2851230400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-0.53495440729483212</v>
      </c>
      <c r="Q642">
        <f t="shared" si="990"/>
        <v>-1525278268.6930072</v>
      </c>
      <c r="R642">
        <f t="shared" si="991"/>
        <v>5338889296.5155001</v>
      </c>
      <c r="S642">
        <f t="shared" si="992"/>
        <v>53388.892965154999</v>
      </c>
      <c r="T642">
        <f t="shared" si="993"/>
        <v>53.388892965155001</v>
      </c>
    </row>
    <row r="643" spans="1:20" x14ac:dyDescent="0.25">
      <c r="A643" s="5">
        <v>43950</v>
      </c>
      <c r="B643">
        <v>4.2849999999999997E-3</v>
      </c>
      <c r="C643">
        <v>4.8869999999999999E-3</v>
      </c>
      <c r="D643">
        <v>4.2690000000000002E-3</v>
      </c>
      <c r="E643">
        <v>4.7660000000000003E-3</v>
      </c>
      <c r="F643">
        <v>2701167045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0.60841423948220175</v>
      </c>
      <c r="Q643">
        <f t="shared" si="990"/>
        <v>1643428493.3980613</v>
      </c>
      <c r="R643">
        <f t="shared" si="991"/>
        <v>6864167565.2085075</v>
      </c>
      <c r="S643">
        <f t="shared" si="992"/>
        <v>68641.675652085076</v>
      </c>
      <c r="T643">
        <f t="shared" si="993"/>
        <v>68.64167565208507</v>
      </c>
    </row>
    <row r="644" spans="1:20" x14ac:dyDescent="0.25">
      <c r="A644" s="5">
        <v>43949</v>
      </c>
      <c r="B644">
        <v>4.3559999999999996E-3</v>
      </c>
      <c r="C644">
        <v>4.4549999999999998E-3</v>
      </c>
      <c r="D644">
        <v>4.2830000000000003E-3</v>
      </c>
      <c r="E644">
        <v>4.287E-3</v>
      </c>
      <c r="F644">
        <v>880523296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-0.95348837209302706</v>
      </c>
      <c r="Q644">
        <f t="shared" si="990"/>
        <v>-839568724.09302664</v>
      </c>
      <c r="R644">
        <f t="shared" si="991"/>
        <v>5220739071.8104458</v>
      </c>
      <c r="S644">
        <f t="shared" si="992"/>
        <v>52207.390718104456</v>
      </c>
      <c r="T644">
        <f t="shared" si="993"/>
        <v>52.207390718104456</v>
      </c>
    </row>
    <row r="645" spans="1:20" x14ac:dyDescent="0.25">
      <c r="A645" s="5">
        <v>43948</v>
      </c>
      <c r="B645">
        <v>4.4809999999999997E-3</v>
      </c>
      <c r="C645">
        <v>4.5300000000000002E-3</v>
      </c>
      <c r="D645">
        <v>4.2329999999999998E-3</v>
      </c>
      <c r="E645">
        <v>4.3559999999999996E-3</v>
      </c>
      <c r="F645">
        <v>1431202547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-0.17171717171717385</v>
      </c>
      <c r="Q645">
        <f t="shared" si="990"/>
        <v>-245762053.52525559</v>
      </c>
      <c r="R645">
        <f t="shared" si="991"/>
        <v>6060307795.9034719</v>
      </c>
      <c r="S645">
        <f t="shared" si="992"/>
        <v>60603.077959034723</v>
      </c>
      <c r="T645">
        <f t="shared" si="993"/>
        <v>60.603077959034721</v>
      </c>
    </row>
    <row r="646" spans="1:20" x14ac:dyDescent="0.25">
      <c r="A646" s="5">
        <v>43947</v>
      </c>
      <c r="B646">
        <v>4.215E-3</v>
      </c>
      <c r="C646">
        <v>4.5329999999999997E-3</v>
      </c>
      <c r="D646">
        <v>4.1599999999999996E-3</v>
      </c>
      <c r="E646">
        <v>4.4799999999999996E-3</v>
      </c>
      <c r="F646">
        <v>1698730652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0.71581769436997278</v>
      </c>
      <c r="Q646">
        <f t="shared" ref="Q646:Q709" si="995">F646*P646</f>
        <v>1215981458.6702406</v>
      </c>
      <c r="R646">
        <f t="shared" ref="R646:R709" si="996">R647+Q646</f>
        <v>6306069849.4287271</v>
      </c>
      <c r="S646">
        <f t="shared" ref="S646:S709" si="997">R646/100000</f>
        <v>63060.698494287273</v>
      </c>
      <c r="T646">
        <f t="shared" ref="T646:T709" si="998">S646/1000</f>
        <v>63.060698494287273</v>
      </c>
    </row>
    <row r="647" spans="1:20" x14ac:dyDescent="0.25">
      <c r="A647" s="5">
        <v>43946</v>
      </c>
      <c r="B647">
        <v>4.0819999999999997E-3</v>
      </c>
      <c r="C647">
        <v>4.3020000000000003E-3</v>
      </c>
      <c r="D647">
        <v>4.0210000000000003E-3</v>
      </c>
      <c r="E647">
        <v>4.2160000000000001E-3</v>
      </c>
      <c r="F647">
        <v>1548063184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0.38790035587188515</v>
      </c>
      <c r="Q647">
        <f t="shared" si="995"/>
        <v>600494259.98576367</v>
      </c>
      <c r="R647">
        <f t="shared" si="996"/>
        <v>5090088390.7584867</v>
      </c>
      <c r="S647">
        <f t="shared" si="997"/>
        <v>50900.883907584866</v>
      </c>
      <c r="T647">
        <f t="shared" si="998"/>
        <v>50.90088390758487</v>
      </c>
    </row>
    <row r="648" spans="1:20" x14ac:dyDescent="0.25">
      <c r="A648" s="5">
        <v>43945</v>
      </c>
      <c r="B648">
        <v>3.9500000000000004E-3</v>
      </c>
      <c r="C648">
        <v>4.15E-3</v>
      </c>
      <c r="D648">
        <v>3.8969999999999999E-3</v>
      </c>
      <c r="E648">
        <v>4.0850000000000001E-3</v>
      </c>
      <c r="F648">
        <v>1321161709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0.48616600790513909</v>
      </c>
      <c r="Q648">
        <f t="shared" si="995"/>
        <v>642303913.86166108</v>
      </c>
      <c r="R648">
        <f t="shared" si="996"/>
        <v>4489594130.7727232</v>
      </c>
      <c r="S648">
        <f t="shared" si="997"/>
        <v>44895.941307727233</v>
      </c>
      <c r="T648">
        <f t="shared" si="998"/>
        <v>44.895941307727234</v>
      </c>
    </row>
    <row r="649" spans="1:20" x14ac:dyDescent="0.25">
      <c r="A649" s="5">
        <v>43944</v>
      </c>
      <c r="B649">
        <v>3.8969999999999999E-3</v>
      </c>
      <c r="C649">
        <v>4.1089999999999998E-3</v>
      </c>
      <c r="D649">
        <v>3.7690000000000002E-3</v>
      </c>
      <c r="E649">
        <v>3.9519999999999998E-3</v>
      </c>
      <c r="F649">
        <v>1578483263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7.6470588235292875E-2</v>
      </c>
      <c r="Q649">
        <f t="shared" si="995"/>
        <v>120707543.64117451</v>
      </c>
      <c r="R649">
        <f t="shared" si="996"/>
        <v>3847290216.9110618</v>
      </c>
      <c r="S649">
        <f t="shared" si="997"/>
        <v>38472.902169110617</v>
      </c>
      <c r="T649">
        <f t="shared" si="998"/>
        <v>38.472902169110618</v>
      </c>
    </row>
    <row r="650" spans="1:20" x14ac:dyDescent="0.25">
      <c r="A650" s="5">
        <v>43943</v>
      </c>
      <c r="B650">
        <v>3.673E-3</v>
      </c>
      <c r="C650">
        <v>3.9459999999999999E-3</v>
      </c>
      <c r="D650">
        <v>3.663E-3</v>
      </c>
      <c r="E650">
        <v>3.898E-3</v>
      </c>
      <c r="F650">
        <v>998620801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0.6607773851590113</v>
      </c>
      <c r="Q650">
        <f t="shared" si="995"/>
        <v>659866041.65017736</v>
      </c>
      <c r="R650">
        <f t="shared" si="996"/>
        <v>3726582673.2698874</v>
      </c>
      <c r="S650">
        <f t="shared" si="997"/>
        <v>37265.826732698872</v>
      </c>
      <c r="T650">
        <f t="shared" si="998"/>
        <v>37.265826732698869</v>
      </c>
    </row>
    <row r="651" spans="1:20" x14ac:dyDescent="0.25">
      <c r="A651" s="5">
        <v>43942</v>
      </c>
      <c r="B651">
        <v>3.643E-3</v>
      </c>
      <c r="C651">
        <v>3.7759999999999998E-3</v>
      </c>
      <c r="D651">
        <v>3.614E-3</v>
      </c>
      <c r="E651">
        <v>3.6770000000000001E-3</v>
      </c>
      <c r="F651">
        <v>1158499729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-0.22222222222221985</v>
      </c>
      <c r="Q651">
        <f t="shared" si="995"/>
        <v>-257444384.22221947</v>
      </c>
      <c r="R651">
        <f t="shared" si="996"/>
        <v>3066716631.61971</v>
      </c>
      <c r="S651">
        <f t="shared" si="997"/>
        <v>30667.166316197101</v>
      </c>
      <c r="T651">
        <f t="shared" si="998"/>
        <v>30.6671663161971</v>
      </c>
    </row>
    <row r="652" spans="1:20" x14ac:dyDescent="0.25">
      <c r="A652" s="5">
        <v>43941</v>
      </c>
      <c r="B652">
        <v>3.908E-3</v>
      </c>
      <c r="C652">
        <v>4.0330000000000001E-3</v>
      </c>
      <c r="D652">
        <v>3.5799999999999998E-3</v>
      </c>
      <c r="E652">
        <v>3.6440000000000001E-3</v>
      </c>
      <c r="F652">
        <v>1633623030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-0.717439293598233</v>
      </c>
      <c r="Q652">
        <f t="shared" si="995"/>
        <v>-1172025352.6490049</v>
      </c>
      <c r="R652">
        <f t="shared" si="996"/>
        <v>3324161015.8419294</v>
      </c>
      <c r="S652">
        <f t="shared" si="997"/>
        <v>33241.610158419295</v>
      </c>
      <c r="T652">
        <f t="shared" si="998"/>
        <v>33.241610158419292</v>
      </c>
    </row>
    <row r="653" spans="1:20" x14ac:dyDescent="0.25">
      <c r="A653" s="5">
        <v>43940</v>
      </c>
      <c r="B653">
        <v>3.9690000000000003E-3</v>
      </c>
      <c r="C653">
        <v>4.0210000000000003E-3</v>
      </c>
      <c r="D653">
        <v>3.8159999999999999E-3</v>
      </c>
      <c r="E653">
        <v>3.9039999999999999E-3</v>
      </c>
      <c r="F653">
        <v>923949157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-0.14146341463414797</v>
      </c>
      <c r="Q653">
        <f t="shared" si="995"/>
        <v>-130705002.69756247</v>
      </c>
      <c r="R653">
        <f t="shared" si="996"/>
        <v>4496186368.4909344</v>
      </c>
      <c r="S653">
        <f t="shared" si="997"/>
        <v>44961.863684909345</v>
      </c>
      <c r="T653">
        <f t="shared" si="998"/>
        <v>44.961863684909346</v>
      </c>
    </row>
    <row r="654" spans="1:20" x14ac:dyDescent="0.25">
      <c r="A654" s="5">
        <v>43939</v>
      </c>
      <c r="B654">
        <v>3.7810000000000001E-3</v>
      </c>
      <c r="C654">
        <v>4.0309999999999999E-3</v>
      </c>
      <c r="D654">
        <v>3.7780000000000001E-3</v>
      </c>
      <c r="E654">
        <v>3.9680000000000002E-3</v>
      </c>
      <c r="F654">
        <v>781734368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0.50197628458498222</v>
      </c>
      <c r="Q654">
        <f t="shared" si="995"/>
        <v>392412113.58102924</v>
      </c>
      <c r="R654">
        <f t="shared" si="996"/>
        <v>4626891371.1884966</v>
      </c>
      <c r="S654">
        <f t="shared" si="997"/>
        <v>46268.913711884969</v>
      </c>
      <c r="T654">
        <f t="shared" si="998"/>
        <v>46.26891371188497</v>
      </c>
    </row>
    <row r="655" spans="1:20" x14ac:dyDescent="0.25">
      <c r="A655" s="5">
        <v>43938</v>
      </c>
      <c r="B655">
        <v>3.826E-3</v>
      </c>
      <c r="C655">
        <v>3.8769999999999998E-3</v>
      </c>
      <c r="D655">
        <v>3.7429999999999998E-3</v>
      </c>
      <c r="E655">
        <v>3.7829999999999999E-3</v>
      </c>
      <c r="F655">
        <v>766642659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-0.40298507462686411</v>
      </c>
      <c r="Q655">
        <f t="shared" si="995"/>
        <v>-308945549.14925253</v>
      </c>
      <c r="R655">
        <f t="shared" si="996"/>
        <v>4234479257.6074672</v>
      </c>
      <c r="S655">
        <f t="shared" si="997"/>
        <v>42344.792576074673</v>
      </c>
      <c r="T655">
        <f t="shared" si="998"/>
        <v>42.344792576074674</v>
      </c>
    </row>
    <row r="656" spans="1:20" x14ac:dyDescent="0.25">
      <c r="A656" s="5">
        <v>43937</v>
      </c>
      <c r="B656">
        <v>3.6610000000000002E-3</v>
      </c>
      <c r="C656">
        <v>3.8899999999999998E-3</v>
      </c>
      <c r="D656">
        <v>3.5109999999999998E-3</v>
      </c>
      <c r="E656">
        <v>3.8279999999999998E-3</v>
      </c>
      <c r="F656">
        <v>1928909127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0.67282321899736153</v>
      </c>
      <c r="Q656">
        <f t="shared" si="995"/>
        <v>1297814847.9815304</v>
      </c>
      <c r="R656">
        <f t="shared" si="996"/>
        <v>4543424806.7567196</v>
      </c>
      <c r="S656">
        <f t="shared" si="997"/>
        <v>45434.248067567198</v>
      </c>
      <c r="T656">
        <f t="shared" si="998"/>
        <v>45.434248067567196</v>
      </c>
    </row>
    <row r="657" spans="1:20" x14ac:dyDescent="0.25">
      <c r="A657" s="5">
        <v>43936</v>
      </c>
      <c r="B657">
        <v>3.669E-3</v>
      </c>
      <c r="C657">
        <v>3.8990000000000001E-3</v>
      </c>
      <c r="D657">
        <v>3.5799999999999998E-3</v>
      </c>
      <c r="E657">
        <v>3.6579999999999998E-3</v>
      </c>
      <c r="F657">
        <v>1456214551</v>
      </c>
      <c r="G657">
        <v>0</v>
      </c>
      <c r="L657" t="s">
        <v>8</v>
      </c>
      <c r="M657" t="s">
        <v>7</v>
      </c>
      <c r="N657" t="s">
        <v>8</v>
      </c>
      <c r="P657">
        <f t="shared" si="994"/>
        <v>-0.51097178683385658</v>
      </c>
      <c r="Q657">
        <f t="shared" si="995"/>
        <v>-744084551.13793218</v>
      </c>
      <c r="R657">
        <f t="shared" si="996"/>
        <v>3245609958.7751889</v>
      </c>
      <c r="S657">
        <f t="shared" si="997"/>
        <v>32456.099587751891</v>
      </c>
      <c r="T657">
        <f t="shared" si="998"/>
        <v>32.456099587751893</v>
      </c>
    </row>
    <row r="658" spans="1:20" x14ac:dyDescent="0.25">
      <c r="A658" s="5">
        <v>43935</v>
      </c>
      <c r="B658">
        <v>3.6089999999999998E-3</v>
      </c>
      <c r="C658">
        <v>3.7629999999999999E-3</v>
      </c>
      <c r="D658">
        <v>3.5360000000000001E-3</v>
      </c>
      <c r="E658">
        <v>3.6670000000000001E-3</v>
      </c>
      <c r="F658">
        <v>1003895118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0.15418502202643322</v>
      </c>
      <c r="Q658">
        <f t="shared" si="995"/>
        <v>154785590.88105878</v>
      </c>
      <c r="R658">
        <f t="shared" si="996"/>
        <v>3989694509.9131212</v>
      </c>
      <c r="S658">
        <f t="shared" si="997"/>
        <v>39896.945099131211</v>
      </c>
      <c r="T658">
        <f t="shared" si="998"/>
        <v>39.896945099131209</v>
      </c>
    </row>
    <row r="659" spans="1:20" x14ac:dyDescent="0.25">
      <c r="A659" s="5">
        <v>43934</v>
      </c>
      <c r="B659">
        <v>3.6809999999999998E-3</v>
      </c>
      <c r="C659">
        <v>3.6809999999999998E-3</v>
      </c>
      <c r="D659">
        <v>3.4420000000000002E-3</v>
      </c>
      <c r="E659">
        <v>3.6089999999999998E-3</v>
      </c>
      <c r="F659">
        <v>1219081318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0.3974895397489529</v>
      </c>
      <c r="Q659">
        <f t="shared" si="995"/>
        <v>484572072.00836688</v>
      </c>
      <c r="R659">
        <f t="shared" si="996"/>
        <v>3834908919.0320625</v>
      </c>
      <c r="S659">
        <f t="shared" si="997"/>
        <v>38349.089190320628</v>
      </c>
      <c r="T659">
        <f t="shared" si="998"/>
        <v>38.349089190320626</v>
      </c>
    </row>
    <row r="660" spans="1:20" x14ac:dyDescent="0.25">
      <c r="A660" s="5">
        <v>43933</v>
      </c>
      <c r="B660">
        <v>3.6800000000000001E-3</v>
      </c>
      <c r="C660">
        <v>3.8419999999999999E-3</v>
      </c>
      <c r="D660">
        <v>3.5639999999999999E-3</v>
      </c>
      <c r="E660">
        <v>3.6809999999999998E-3</v>
      </c>
      <c r="F660">
        <v>913198355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-0.15827338129496474</v>
      </c>
      <c r="Q660">
        <f t="shared" si="995"/>
        <v>-144534991.43884957</v>
      </c>
      <c r="R660">
        <f t="shared" si="996"/>
        <v>3350336847.0236955</v>
      </c>
      <c r="S660">
        <f t="shared" si="997"/>
        <v>33503.368470236957</v>
      </c>
      <c r="T660">
        <f t="shared" si="998"/>
        <v>33.503368470236957</v>
      </c>
    </row>
    <row r="661" spans="1:20" x14ac:dyDescent="0.25">
      <c r="A661" s="5">
        <v>43932</v>
      </c>
      <c r="B661">
        <v>3.6089999999999998E-3</v>
      </c>
      <c r="C661">
        <v>3.751E-3</v>
      </c>
      <c r="D661">
        <v>3.552E-3</v>
      </c>
      <c r="E661">
        <v>3.679E-3</v>
      </c>
      <c r="F661">
        <v>1112585648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0.27638190954773839</v>
      </c>
      <c r="Q661">
        <f t="shared" si="995"/>
        <v>307498545.92964792</v>
      </c>
      <c r="R661">
        <f t="shared" si="996"/>
        <v>3494871838.4625449</v>
      </c>
      <c r="S661">
        <f t="shared" si="997"/>
        <v>34948.718384625448</v>
      </c>
      <c r="T661">
        <f t="shared" si="998"/>
        <v>34.948718384625451</v>
      </c>
    </row>
    <row r="662" spans="1:20" x14ac:dyDescent="0.25">
      <c r="A662" s="5">
        <v>43931</v>
      </c>
      <c r="B662">
        <v>3.8639999999999998E-3</v>
      </c>
      <c r="C662">
        <v>3.8670000000000002E-3</v>
      </c>
      <c r="D662">
        <v>3.4629999999999999E-3</v>
      </c>
      <c r="E662">
        <v>3.6080000000000001E-3</v>
      </c>
      <c r="F662">
        <v>1615980446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-0.28217821782178187</v>
      </c>
      <c r="Q662">
        <f t="shared" si="995"/>
        <v>-455994482.28712821</v>
      </c>
      <c r="R662">
        <f t="shared" si="996"/>
        <v>3187373292.532897</v>
      </c>
      <c r="S662">
        <f t="shared" si="997"/>
        <v>31873.732925328972</v>
      </c>
      <c r="T662">
        <f t="shared" si="998"/>
        <v>31.873732925328973</v>
      </c>
    </row>
    <row r="663" spans="1:20" x14ac:dyDescent="0.25">
      <c r="A663" s="5">
        <v>43930</v>
      </c>
      <c r="B663">
        <v>3.9789999999999999E-3</v>
      </c>
      <c r="C663">
        <v>4.0039999999999997E-3</v>
      </c>
      <c r="D663">
        <v>3.7620000000000002E-3</v>
      </c>
      <c r="E663">
        <v>3.8660000000000001E-3</v>
      </c>
      <c r="F663">
        <v>1118799085</v>
      </c>
      <c r="G663">
        <v>0</v>
      </c>
      <c r="L663" t="s">
        <v>7</v>
      </c>
      <c r="M663" t="s">
        <v>7</v>
      </c>
      <c r="N663" t="s">
        <v>8</v>
      </c>
      <c r="P663">
        <f t="shared" si="994"/>
        <v>-0.14049586776859421</v>
      </c>
      <c r="Q663">
        <f t="shared" si="995"/>
        <v>-157186648.3057842</v>
      </c>
      <c r="R663">
        <f t="shared" si="996"/>
        <v>3643367774.8200254</v>
      </c>
      <c r="S663">
        <f t="shared" si="997"/>
        <v>36433.677748200258</v>
      </c>
      <c r="T663">
        <f t="shared" si="998"/>
        <v>36.43367774820026</v>
      </c>
    </row>
    <row r="664" spans="1:20" x14ac:dyDescent="0.25">
      <c r="A664" s="5">
        <v>43929</v>
      </c>
      <c r="B664">
        <v>3.872E-3</v>
      </c>
      <c r="C664">
        <v>4.0379999999999999E-3</v>
      </c>
      <c r="D664">
        <v>3.8059999999999999E-3</v>
      </c>
      <c r="E664">
        <v>3.9789999999999999E-3</v>
      </c>
      <c r="F664">
        <v>1848053122</v>
      </c>
      <c r="G664">
        <v>0</v>
      </c>
      <c r="L664" t="s">
        <v>7</v>
      </c>
      <c r="M664" t="s">
        <v>7</v>
      </c>
      <c r="N664" t="s">
        <v>8</v>
      </c>
      <c r="P664">
        <f t="shared" si="994"/>
        <v>0.4913793103448274</v>
      </c>
      <c r="Q664">
        <f t="shared" si="995"/>
        <v>908095068.5689652</v>
      </c>
      <c r="R664">
        <f t="shared" si="996"/>
        <v>3800554423.1258097</v>
      </c>
      <c r="S664">
        <f t="shared" si="997"/>
        <v>38005.5442312581</v>
      </c>
      <c r="T664">
        <f t="shared" si="998"/>
        <v>38.005544231258099</v>
      </c>
    </row>
    <row r="665" spans="1:20" x14ac:dyDescent="0.25">
      <c r="A665" s="5">
        <v>43928</v>
      </c>
      <c r="B665">
        <v>3.6419999999999998E-3</v>
      </c>
      <c r="C665">
        <v>4.6629999999999996E-3</v>
      </c>
      <c r="D665">
        <v>3.5590000000000001E-3</v>
      </c>
      <c r="E665">
        <v>3.872E-3</v>
      </c>
      <c r="F665">
        <v>4578916711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-0.43297101449275355</v>
      </c>
      <c r="Q665">
        <f t="shared" si="995"/>
        <v>-1982538213.6394925</v>
      </c>
      <c r="R665">
        <f t="shared" si="996"/>
        <v>2892459354.5568442</v>
      </c>
      <c r="S665">
        <f t="shared" si="997"/>
        <v>28924.593545568441</v>
      </c>
      <c r="T665">
        <f t="shared" si="998"/>
        <v>28.924593545568442</v>
      </c>
    </row>
    <row r="666" spans="1:20" x14ac:dyDescent="0.25">
      <c r="A666" s="5">
        <v>43927</v>
      </c>
      <c r="B666">
        <v>3.2299999999999998E-3</v>
      </c>
      <c r="C666">
        <v>3.6709999999999998E-3</v>
      </c>
      <c r="D666">
        <v>3.2269999999999998E-3</v>
      </c>
      <c r="E666">
        <v>3.643E-3</v>
      </c>
      <c r="F666">
        <v>1838323224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0.87387387387387472</v>
      </c>
      <c r="Q666">
        <f t="shared" si="995"/>
        <v>1606462637.1891906</v>
      </c>
      <c r="R666">
        <f t="shared" si="996"/>
        <v>4874997568.1963367</v>
      </c>
      <c r="S666">
        <f t="shared" si="997"/>
        <v>48749.975681963369</v>
      </c>
      <c r="T666">
        <f t="shared" si="998"/>
        <v>48.74997568196337</v>
      </c>
    </row>
    <row r="667" spans="1:20" x14ac:dyDescent="0.25">
      <c r="A667" s="5">
        <v>43926</v>
      </c>
      <c r="B667">
        <v>3.2460000000000002E-3</v>
      </c>
      <c r="C667">
        <v>3.2780000000000001E-3</v>
      </c>
      <c r="D667">
        <v>3.1689999999999999E-3</v>
      </c>
      <c r="E667">
        <v>3.2299999999999998E-3</v>
      </c>
      <c r="F667">
        <v>611880432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0.11926605504586732</v>
      </c>
      <c r="Q667">
        <f t="shared" si="995"/>
        <v>72976565.284401074</v>
      </c>
      <c r="R667">
        <f t="shared" si="996"/>
        <v>3268534931.0071464</v>
      </c>
      <c r="S667">
        <f t="shared" si="997"/>
        <v>32685.349310071462</v>
      </c>
      <c r="T667">
        <f t="shared" si="998"/>
        <v>32.685349310071459</v>
      </c>
    </row>
    <row r="668" spans="1:20" x14ac:dyDescent="0.25">
      <c r="A668" s="5">
        <v>43925</v>
      </c>
      <c r="B668">
        <v>3.2599999999999999E-3</v>
      </c>
      <c r="C668">
        <v>3.2959999999999999E-3</v>
      </c>
      <c r="D668">
        <v>3.1719999999999999E-3</v>
      </c>
      <c r="E668">
        <v>3.2450000000000001E-3</v>
      </c>
      <c r="F668">
        <v>1265886868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0.17741935483871227</v>
      </c>
      <c r="Q668">
        <f t="shared" si="995"/>
        <v>224592831.4193581</v>
      </c>
      <c r="R668">
        <f t="shared" si="996"/>
        <v>3195558365.7227454</v>
      </c>
      <c r="S668">
        <f t="shared" si="997"/>
        <v>31955.583657227453</v>
      </c>
      <c r="T668">
        <f t="shared" si="998"/>
        <v>31.955583657227454</v>
      </c>
    </row>
    <row r="669" spans="1:20" x14ac:dyDescent="0.25">
      <c r="A669" s="5">
        <v>43924</v>
      </c>
      <c r="B669">
        <v>3.2290000000000001E-3</v>
      </c>
      <c r="C669">
        <v>3.2959999999999999E-3</v>
      </c>
      <c r="D669">
        <v>3.166E-3</v>
      </c>
      <c r="E669">
        <v>3.2599999999999999E-3</v>
      </c>
      <c r="F669">
        <v>1145259295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0.44615384615384562</v>
      </c>
      <c r="Q669">
        <f t="shared" si="995"/>
        <v>510961839.30769169</v>
      </c>
      <c r="R669">
        <f t="shared" si="996"/>
        <v>2970965534.3033872</v>
      </c>
      <c r="S669">
        <f t="shared" si="997"/>
        <v>29709.655343033872</v>
      </c>
      <c r="T669">
        <f t="shared" si="998"/>
        <v>29.709655343033873</v>
      </c>
    </row>
    <row r="670" spans="1:20" x14ac:dyDescent="0.25">
      <c r="A670" s="5">
        <v>43923</v>
      </c>
      <c r="B670">
        <v>3.1549999999999998E-3</v>
      </c>
      <c r="C670">
        <v>3.4510000000000001E-3</v>
      </c>
      <c r="D670">
        <v>3.1029999999999999E-3</v>
      </c>
      <c r="E670">
        <v>3.228E-3</v>
      </c>
      <c r="F670">
        <v>1792594074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-0.28160919540229867</v>
      </c>
      <c r="Q670">
        <f t="shared" si="995"/>
        <v>-504810974.86206865</v>
      </c>
      <c r="R670">
        <f t="shared" si="996"/>
        <v>2460003694.9956956</v>
      </c>
      <c r="S670">
        <f t="shared" si="997"/>
        <v>24600.036949956957</v>
      </c>
      <c r="T670">
        <f t="shared" si="998"/>
        <v>24.600036949956959</v>
      </c>
    </row>
    <row r="671" spans="1:20" x14ac:dyDescent="0.25">
      <c r="A671" s="5">
        <v>43922</v>
      </c>
      <c r="B671">
        <v>3.107E-3</v>
      </c>
      <c r="C671">
        <v>3.1819999999999999E-3</v>
      </c>
      <c r="D671">
        <v>2.9510000000000001E-3</v>
      </c>
      <c r="E671">
        <v>3.153E-3</v>
      </c>
      <c r="F671">
        <v>1363408598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0.7489177489177492</v>
      </c>
      <c r="Q671">
        <f t="shared" si="995"/>
        <v>1021080898.0692644</v>
      </c>
      <c r="R671">
        <f t="shared" si="996"/>
        <v>2964814669.8577642</v>
      </c>
      <c r="S671">
        <f t="shared" si="997"/>
        <v>29648.146698577642</v>
      </c>
      <c r="T671">
        <f t="shared" si="998"/>
        <v>29.648146698577641</v>
      </c>
    </row>
    <row r="672" spans="1:20" x14ac:dyDescent="0.25">
      <c r="A672" s="5">
        <v>43921</v>
      </c>
      <c r="B672">
        <v>2.9320000000000001E-3</v>
      </c>
      <c r="C672">
        <v>3.2820000000000002E-3</v>
      </c>
      <c r="D672">
        <v>2.9160000000000002E-3</v>
      </c>
      <c r="E672">
        <v>3.1080000000000001E-3</v>
      </c>
      <c r="F672">
        <v>1963027156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4.9180327868851875E-2</v>
      </c>
      <c r="Q672">
        <f t="shared" si="995"/>
        <v>96542319.147539839</v>
      </c>
      <c r="R672">
        <f t="shared" si="996"/>
        <v>1943733771.7885001</v>
      </c>
      <c r="S672">
        <f t="shared" si="997"/>
        <v>19437.337717885002</v>
      </c>
      <c r="T672">
        <f t="shared" si="998"/>
        <v>19.437337717885001</v>
      </c>
    </row>
    <row r="673" spans="1:20" x14ac:dyDescent="0.25">
      <c r="A673" s="5">
        <v>43920</v>
      </c>
      <c r="B673">
        <v>2.722E-3</v>
      </c>
      <c r="C673">
        <v>3.0400000000000002E-3</v>
      </c>
      <c r="D673">
        <v>2.7009999999999998E-3</v>
      </c>
      <c r="E673">
        <v>2.9329999999999998E-3</v>
      </c>
      <c r="F673">
        <v>1621595281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0.36873156342182761</v>
      </c>
      <c r="Q673">
        <f t="shared" si="995"/>
        <v>597933363.20058787</v>
      </c>
      <c r="R673">
        <f t="shared" si="996"/>
        <v>1847191452.6409602</v>
      </c>
      <c r="S673">
        <f t="shared" si="997"/>
        <v>18471.914526409601</v>
      </c>
      <c r="T673">
        <f t="shared" si="998"/>
        <v>18.471914526409602</v>
      </c>
    </row>
    <row r="674" spans="1:20" x14ac:dyDescent="0.25">
      <c r="A674" s="5">
        <v>43919</v>
      </c>
      <c r="B674">
        <v>2.9689999999999999E-3</v>
      </c>
      <c r="C674">
        <v>2.9810000000000001E-3</v>
      </c>
      <c r="D674">
        <v>2.7060000000000001E-3</v>
      </c>
      <c r="E674">
        <v>2.7209999999999999E-3</v>
      </c>
      <c r="F674">
        <v>996704411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-0.89090909090909221</v>
      </c>
      <c r="Q674">
        <f t="shared" si="995"/>
        <v>-887973020.70909226</v>
      </c>
      <c r="R674">
        <f t="shared" si="996"/>
        <v>1249258089.4403725</v>
      </c>
      <c r="S674">
        <f t="shared" si="997"/>
        <v>12492.580894403725</v>
      </c>
      <c r="T674">
        <f t="shared" si="998"/>
        <v>12.492580894403725</v>
      </c>
    </row>
    <row r="675" spans="1:20" x14ac:dyDescent="0.25">
      <c r="A675" s="5">
        <v>43918</v>
      </c>
      <c r="B675">
        <v>2.9989999999999999E-3</v>
      </c>
      <c r="C675">
        <v>3.0430000000000001E-3</v>
      </c>
      <c r="D675">
        <v>2.8400000000000001E-3</v>
      </c>
      <c r="E675">
        <v>2.9689999999999999E-3</v>
      </c>
      <c r="F675">
        <v>1569225946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0.27093596059113045</v>
      </c>
      <c r="Q675">
        <f t="shared" si="995"/>
        <v>425159739.06403542</v>
      </c>
      <c r="R675">
        <f t="shared" si="996"/>
        <v>2137231110.1494646</v>
      </c>
      <c r="S675">
        <f t="shared" si="997"/>
        <v>21372.311101494644</v>
      </c>
      <c r="T675">
        <f t="shared" si="998"/>
        <v>21.372311101494645</v>
      </c>
    </row>
    <row r="676" spans="1:20" x14ac:dyDescent="0.25">
      <c r="A676" s="5">
        <v>43917</v>
      </c>
      <c r="B676">
        <v>3.078E-3</v>
      </c>
      <c r="C676">
        <v>3.5400000000000002E-3</v>
      </c>
      <c r="D676">
        <v>2.983E-3</v>
      </c>
      <c r="E676">
        <v>2.9979999999999998E-3</v>
      </c>
      <c r="F676">
        <v>2782795172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-0.94614003590664342</v>
      </c>
      <c r="Q676">
        <f t="shared" si="995"/>
        <v>-2632913923.9569139</v>
      </c>
      <c r="R676">
        <f t="shared" si="996"/>
        <v>1712071371.0854292</v>
      </c>
      <c r="S676">
        <f t="shared" si="997"/>
        <v>17120.713710854292</v>
      </c>
      <c r="T676">
        <f t="shared" si="998"/>
        <v>17.120713710854293</v>
      </c>
    </row>
    <row r="677" spans="1:20" x14ac:dyDescent="0.25">
      <c r="A677" s="5">
        <v>43916</v>
      </c>
      <c r="B677">
        <v>3.0590000000000001E-3</v>
      </c>
      <c r="C677">
        <v>3.1120000000000002E-3</v>
      </c>
      <c r="D677">
        <v>2.9949999999999998E-3</v>
      </c>
      <c r="E677">
        <v>3.0790000000000001E-3</v>
      </c>
      <c r="F677">
        <v>1039011877</v>
      </c>
      <c r="G677">
        <v>0</v>
      </c>
      <c r="L677" t="s">
        <v>7</v>
      </c>
      <c r="M677" t="s">
        <v>8</v>
      </c>
      <c r="N677" t="s">
        <v>8</v>
      </c>
      <c r="P677">
        <f t="shared" si="994"/>
        <v>0.43589743589743685</v>
      </c>
      <c r="Q677">
        <f t="shared" si="995"/>
        <v>452902613.05128306</v>
      </c>
      <c r="R677">
        <f t="shared" si="996"/>
        <v>4344985295.0423431</v>
      </c>
      <c r="S677">
        <f t="shared" si="997"/>
        <v>43449.852950423432</v>
      </c>
      <c r="T677">
        <f t="shared" si="998"/>
        <v>43.449852950423434</v>
      </c>
    </row>
    <row r="678" spans="1:20" x14ac:dyDescent="0.25">
      <c r="A678" s="5">
        <v>43915</v>
      </c>
      <c r="B678">
        <v>3.058E-3</v>
      </c>
      <c r="C678">
        <v>3.2109999999999999E-3</v>
      </c>
      <c r="D678">
        <v>2.9459999999999998E-3</v>
      </c>
      <c r="E678">
        <v>3.0560000000000001E-3</v>
      </c>
      <c r="F678">
        <v>1637141748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-0.16981132075471495</v>
      </c>
      <c r="Q678">
        <f t="shared" si="995"/>
        <v>-278005202.49056268</v>
      </c>
      <c r="R678">
        <f t="shared" si="996"/>
        <v>3892082681.9910603</v>
      </c>
      <c r="S678">
        <f t="shared" si="997"/>
        <v>38920.826819910602</v>
      </c>
      <c r="T678">
        <f t="shared" si="998"/>
        <v>38.920826819910602</v>
      </c>
    </row>
    <row r="679" spans="1:20" x14ac:dyDescent="0.25">
      <c r="A679" s="5">
        <v>43914</v>
      </c>
      <c r="B679">
        <v>2.8579999999999999E-3</v>
      </c>
      <c r="C679">
        <v>3.0860000000000002E-3</v>
      </c>
      <c r="D679">
        <v>2.8240000000000001E-3</v>
      </c>
      <c r="E679">
        <v>3.0599999999999998E-3</v>
      </c>
      <c r="F679">
        <v>1626639414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0.8015267175572488</v>
      </c>
      <c r="Q679">
        <f t="shared" si="995"/>
        <v>1303794950.1526668</v>
      </c>
      <c r="R679">
        <f t="shared" si="996"/>
        <v>4170087884.4816227</v>
      </c>
      <c r="S679">
        <f t="shared" si="997"/>
        <v>41700.87884481623</v>
      </c>
      <c r="T679">
        <f t="shared" si="998"/>
        <v>41.700878844816231</v>
      </c>
    </row>
    <row r="680" spans="1:20" x14ac:dyDescent="0.25">
      <c r="A680" s="5">
        <v>43913</v>
      </c>
      <c r="B680">
        <v>2.6090000000000002E-3</v>
      </c>
      <c r="C680">
        <v>2.98E-3</v>
      </c>
      <c r="D680">
        <v>2.542E-3</v>
      </c>
      <c r="E680">
        <v>2.859E-3</v>
      </c>
      <c r="F680">
        <v>1975184303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0.44748858447488582</v>
      </c>
      <c r="Q680">
        <f t="shared" si="995"/>
        <v>883872427.82648396</v>
      </c>
      <c r="R680">
        <f t="shared" si="996"/>
        <v>2866292934.3289557</v>
      </c>
      <c r="S680">
        <f t="shared" si="997"/>
        <v>28662.929343289557</v>
      </c>
      <c r="T680">
        <f t="shared" si="998"/>
        <v>28.662929343289559</v>
      </c>
    </row>
    <row r="681" spans="1:20" x14ac:dyDescent="0.25">
      <c r="A681" s="5">
        <v>43912</v>
      </c>
      <c r="B681">
        <v>2.892E-3</v>
      </c>
      <c r="C681">
        <v>3.0439999999999998E-3</v>
      </c>
      <c r="D681">
        <v>2.575E-3</v>
      </c>
      <c r="E681">
        <v>2.6099999999999999E-3</v>
      </c>
      <c r="F681">
        <v>1514943379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-0.85074626865671688</v>
      </c>
      <c r="Q681">
        <f t="shared" si="995"/>
        <v>-1288832426.9104486</v>
      </c>
      <c r="R681">
        <f t="shared" si="996"/>
        <v>1982420506.5024714</v>
      </c>
      <c r="S681">
        <f t="shared" si="997"/>
        <v>19824.205065024715</v>
      </c>
      <c r="T681">
        <f t="shared" si="998"/>
        <v>19.824205065024714</v>
      </c>
    </row>
    <row r="682" spans="1:20" x14ac:dyDescent="0.25">
      <c r="A682" s="5">
        <v>43911</v>
      </c>
      <c r="B682">
        <v>2.8449999999999999E-3</v>
      </c>
      <c r="C682">
        <v>2.99E-3</v>
      </c>
      <c r="D682">
        <v>2.6689999999999999E-3</v>
      </c>
      <c r="E682">
        <v>2.8969999999999998E-3</v>
      </c>
      <c r="F682">
        <v>1618428742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0.42056074766355034</v>
      </c>
      <c r="Q682">
        <f t="shared" si="995"/>
        <v>680647601.77569926</v>
      </c>
      <c r="R682">
        <f t="shared" si="996"/>
        <v>3271252933.41292</v>
      </c>
      <c r="S682">
        <f t="shared" si="997"/>
        <v>32712.529334129202</v>
      </c>
      <c r="T682">
        <f t="shared" si="998"/>
        <v>32.712529334129201</v>
      </c>
    </row>
    <row r="683" spans="1:20" x14ac:dyDescent="0.25">
      <c r="A683" s="5">
        <v>43910</v>
      </c>
      <c r="B683">
        <v>2.9069999999999999E-3</v>
      </c>
      <c r="C683">
        <v>3.1329999999999999E-3</v>
      </c>
      <c r="D683">
        <v>2.6050000000000001E-3</v>
      </c>
      <c r="E683">
        <v>2.8449999999999999E-3</v>
      </c>
      <c r="F683">
        <v>2613801948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-9.0909090909091508E-2</v>
      </c>
      <c r="Q683">
        <f t="shared" si="995"/>
        <v>-237618358.90909249</v>
      </c>
      <c r="R683">
        <f t="shared" si="996"/>
        <v>2590605331.6372209</v>
      </c>
      <c r="S683">
        <f t="shared" si="997"/>
        <v>25906.05331637221</v>
      </c>
      <c r="T683">
        <f t="shared" si="998"/>
        <v>25.906053316372212</v>
      </c>
    </row>
    <row r="684" spans="1:20" x14ac:dyDescent="0.25">
      <c r="A684" s="5">
        <v>43909</v>
      </c>
      <c r="B684">
        <v>2.5430000000000001E-3</v>
      </c>
      <c r="C684">
        <v>3.0569999999999998E-3</v>
      </c>
      <c r="D684">
        <v>2.5309999999999998E-3</v>
      </c>
      <c r="E684">
        <v>2.9069999999999999E-3</v>
      </c>
      <c r="F684">
        <v>2112485505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0.4296577946768062</v>
      </c>
      <c r="Q684">
        <f t="shared" si="995"/>
        <v>907645863.36501932</v>
      </c>
      <c r="R684">
        <f t="shared" si="996"/>
        <v>2828223690.5463133</v>
      </c>
      <c r="S684">
        <f t="shared" si="997"/>
        <v>28282.236905463134</v>
      </c>
      <c r="T684">
        <f t="shared" si="998"/>
        <v>28.282236905463133</v>
      </c>
    </row>
    <row r="685" spans="1:20" x14ac:dyDescent="0.25">
      <c r="A685" s="5">
        <v>43908</v>
      </c>
      <c r="B685">
        <v>2.4689999999999998E-3</v>
      </c>
      <c r="C685">
        <v>2.545E-3</v>
      </c>
      <c r="D685">
        <v>2.2829999999999999E-3</v>
      </c>
      <c r="E685">
        <v>2.5439999999999998E-3</v>
      </c>
      <c r="F685">
        <v>1441390667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0.99236641221373945</v>
      </c>
      <c r="Q685">
        <f t="shared" si="995"/>
        <v>1430387684.8091588</v>
      </c>
      <c r="R685">
        <f t="shared" si="996"/>
        <v>1920577827.181294</v>
      </c>
      <c r="S685">
        <f t="shared" si="997"/>
        <v>19205.778271812938</v>
      </c>
      <c r="T685">
        <f t="shared" si="998"/>
        <v>19.205778271812939</v>
      </c>
    </row>
    <row r="686" spans="1:20" x14ac:dyDescent="0.25">
      <c r="A686" s="5">
        <v>43907</v>
      </c>
      <c r="B686">
        <v>2.2620000000000001E-3</v>
      </c>
      <c r="C686">
        <v>2.5760000000000002E-3</v>
      </c>
      <c r="D686">
        <v>2.2070000000000002E-3</v>
      </c>
      <c r="E686">
        <v>2.467E-3</v>
      </c>
      <c r="F686">
        <v>2509451405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0.40921409214092053</v>
      </c>
      <c r="Q686">
        <f t="shared" si="995"/>
        <v>1026902878.4688325</v>
      </c>
      <c r="R686">
        <f t="shared" si="996"/>
        <v>490190142.37213528</v>
      </c>
      <c r="S686">
        <f t="shared" si="997"/>
        <v>4901.9014237213532</v>
      </c>
      <c r="T686">
        <f t="shared" si="998"/>
        <v>4.9019014237213536</v>
      </c>
    </row>
    <row r="687" spans="1:20" x14ac:dyDescent="0.25">
      <c r="A687" s="5">
        <v>43906</v>
      </c>
      <c r="B687">
        <v>2.5240000000000002E-3</v>
      </c>
      <c r="C687">
        <v>2.627E-3</v>
      </c>
      <c r="D687">
        <v>1.9550000000000001E-3</v>
      </c>
      <c r="E687">
        <v>2.2599999999999999E-3</v>
      </c>
      <c r="F687">
        <v>4294370331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-9.2261904761905406E-2</v>
      </c>
      <c r="Q687">
        <f t="shared" si="995"/>
        <v>-396206786.4910742</v>
      </c>
      <c r="R687">
        <f t="shared" si="996"/>
        <v>-536712736.09669721</v>
      </c>
      <c r="S687">
        <f t="shared" si="997"/>
        <v>-5367.1273609669724</v>
      </c>
      <c r="T687">
        <f t="shared" si="998"/>
        <v>-5.3671273609669727</v>
      </c>
    </row>
    <row r="688" spans="1:20" x14ac:dyDescent="0.25">
      <c r="A688" s="5">
        <v>43905</v>
      </c>
      <c r="B688">
        <v>2.542E-3</v>
      </c>
      <c r="C688">
        <v>2.81E-3</v>
      </c>
      <c r="D688">
        <v>2.431E-3</v>
      </c>
      <c r="E688">
        <v>2.5240000000000002E-3</v>
      </c>
      <c r="F688">
        <v>2229529442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-0.50923482849604118</v>
      </c>
      <c r="Q688">
        <f t="shared" si="995"/>
        <v>-1135354043.0237443</v>
      </c>
      <c r="R688">
        <f t="shared" si="996"/>
        <v>-140505949.60562301</v>
      </c>
      <c r="S688">
        <f t="shared" si="997"/>
        <v>-1405.05949605623</v>
      </c>
      <c r="T688">
        <f t="shared" si="998"/>
        <v>-1.4050594960562302</v>
      </c>
    </row>
    <row r="689" spans="1:20" x14ac:dyDescent="0.25">
      <c r="A689" s="5">
        <v>43904</v>
      </c>
      <c r="B689">
        <v>2.823E-3</v>
      </c>
      <c r="C689">
        <v>2.8400000000000001E-3</v>
      </c>
      <c r="D689">
        <v>2.48E-3</v>
      </c>
      <c r="E689">
        <v>2.545E-3</v>
      </c>
      <c r="F689">
        <v>2169004082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-0.63888888888888917</v>
      </c>
      <c r="Q689">
        <f t="shared" si="995"/>
        <v>-1385752607.9444451</v>
      </c>
      <c r="R689">
        <f t="shared" si="996"/>
        <v>994848093.41812134</v>
      </c>
      <c r="S689">
        <f t="shared" si="997"/>
        <v>9948.4809341812143</v>
      </c>
      <c r="T689">
        <f t="shared" si="998"/>
        <v>9.9484809341812142</v>
      </c>
    </row>
    <row r="690" spans="1:20" x14ac:dyDescent="0.25">
      <c r="A690" s="5">
        <v>43903</v>
      </c>
      <c r="B690">
        <v>2.2859999999999998E-3</v>
      </c>
      <c r="C690">
        <v>3.1619999999999999E-3</v>
      </c>
      <c r="D690">
        <v>1.565E-3</v>
      </c>
      <c r="E690">
        <v>2.823E-3</v>
      </c>
      <c r="F690">
        <v>5330675083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0.57545397620538519</v>
      </c>
      <c r="Q690">
        <f t="shared" si="995"/>
        <v>3067558172.3713217</v>
      </c>
      <c r="R690">
        <f t="shared" si="996"/>
        <v>2380600701.3625665</v>
      </c>
      <c r="S690">
        <f t="shared" si="997"/>
        <v>23806.007013625665</v>
      </c>
      <c r="T690">
        <f t="shared" si="998"/>
        <v>23.806007013625667</v>
      </c>
    </row>
    <row r="691" spans="1:20" x14ac:dyDescent="0.25">
      <c r="A691" s="5">
        <v>43902</v>
      </c>
      <c r="B691">
        <v>4.4640000000000001E-3</v>
      </c>
      <c r="C691">
        <v>4.4949999999999999E-3</v>
      </c>
      <c r="D691">
        <v>2.163E-3</v>
      </c>
      <c r="E691">
        <v>2.2829999999999999E-3</v>
      </c>
      <c r="F691">
        <v>4691886668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-0.89708404802744435</v>
      </c>
      <c r="Q691">
        <f t="shared" si="995"/>
        <v>-4209016685.0154376</v>
      </c>
      <c r="R691">
        <f t="shared" si="996"/>
        <v>-686957471.00875521</v>
      </c>
      <c r="S691">
        <f t="shared" si="997"/>
        <v>-6869.5747100875524</v>
      </c>
      <c r="T691">
        <f t="shared" si="998"/>
        <v>-6.8695747100875524</v>
      </c>
    </row>
    <row r="692" spans="1:20" x14ac:dyDescent="0.25">
      <c r="A692" s="5">
        <v>43901</v>
      </c>
      <c r="B692">
        <v>4.6930000000000001E-3</v>
      </c>
      <c r="C692">
        <v>4.7520000000000001E-3</v>
      </c>
      <c r="D692">
        <v>4.091E-3</v>
      </c>
      <c r="E692">
        <v>4.4619999999999998E-3</v>
      </c>
      <c r="F692">
        <v>1565730218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0.12254160363086151</v>
      </c>
      <c r="Q692">
        <f t="shared" si="995"/>
        <v>191867091.76701838</v>
      </c>
      <c r="R692">
        <f t="shared" si="996"/>
        <v>3522059214.0066824</v>
      </c>
      <c r="S692">
        <f t="shared" si="997"/>
        <v>35220.592140066823</v>
      </c>
      <c r="T692">
        <f t="shared" si="998"/>
        <v>35.22059214006682</v>
      </c>
    </row>
    <row r="693" spans="1:20" x14ac:dyDescent="0.25">
      <c r="A693" s="5">
        <v>43900</v>
      </c>
      <c r="B693">
        <v>4.6730000000000001E-3</v>
      </c>
      <c r="C693">
        <v>4.9350000000000002E-3</v>
      </c>
      <c r="D693">
        <v>4.5710000000000004E-3</v>
      </c>
      <c r="E693">
        <v>4.6909999999999999E-3</v>
      </c>
      <c r="F693">
        <v>1788990573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-0.34065934065934322</v>
      </c>
      <c r="Q693">
        <f t="shared" si="995"/>
        <v>-609436349.04396069</v>
      </c>
      <c r="R693">
        <f t="shared" si="996"/>
        <v>3330192122.2396641</v>
      </c>
      <c r="S693">
        <f t="shared" si="997"/>
        <v>33301.921222396639</v>
      </c>
      <c r="T693">
        <f t="shared" si="998"/>
        <v>33.301921222396636</v>
      </c>
    </row>
    <row r="694" spans="1:20" x14ac:dyDescent="0.25">
      <c r="A694" s="5">
        <v>43899</v>
      </c>
      <c r="B694">
        <v>4.6990000000000001E-3</v>
      </c>
      <c r="C694">
        <v>4.8919999999999996E-3</v>
      </c>
      <c r="D694">
        <v>4.372E-3</v>
      </c>
      <c r="E694">
        <v>4.6740000000000002E-3</v>
      </c>
      <c r="F694">
        <v>3021254722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0.16153846153846307</v>
      </c>
      <c r="Q694">
        <f t="shared" si="995"/>
        <v>488048839.70769697</v>
      </c>
      <c r="R694">
        <f t="shared" si="996"/>
        <v>3939628471.2836246</v>
      </c>
      <c r="S694">
        <f t="shared" si="997"/>
        <v>39396.284712836248</v>
      </c>
      <c r="T694">
        <f t="shared" si="998"/>
        <v>39.396284712836248</v>
      </c>
    </row>
    <row r="695" spans="1:20" x14ac:dyDescent="0.25">
      <c r="A695" s="5">
        <v>43898</v>
      </c>
      <c r="B695">
        <v>5.7920000000000003E-3</v>
      </c>
      <c r="C695">
        <v>5.7920000000000003E-3</v>
      </c>
      <c r="D695">
        <v>4.64E-3</v>
      </c>
      <c r="E695">
        <v>4.6979999999999999E-3</v>
      </c>
      <c r="F695">
        <v>1683105409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-0.8993055555555558</v>
      </c>
      <c r="Q695">
        <f t="shared" si="995"/>
        <v>-1513626044.8993061</v>
      </c>
      <c r="R695">
        <f t="shared" si="996"/>
        <v>3451579631.5759277</v>
      </c>
      <c r="S695">
        <f t="shared" si="997"/>
        <v>34515.796315759275</v>
      </c>
      <c r="T695">
        <f t="shared" si="998"/>
        <v>34.515796315759275</v>
      </c>
    </row>
    <row r="696" spans="1:20" x14ac:dyDescent="0.25">
      <c r="A696" s="5">
        <v>43897</v>
      </c>
      <c r="B696">
        <v>6.1390000000000004E-3</v>
      </c>
      <c r="C696">
        <v>6.1830000000000001E-3</v>
      </c>
      <c r="D696">
        <v>5.6410000000000002E-3</v>
      </c>
      <c r="E696">
        <v>5.7879999999999997E-3</v>
      </c>
      <c r="F696">
        <v>879186862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-0.45756457564575803</v>
      </c>
      <c r="Q696">
        <f t="shared" si="995"/>
        <v>-402284763.42435563</v>
      </c>
      <c r="R696">
        <f t="shared" si="996"/>
        <v>4965205676.475234</v>
      </c>
      <c r="S696">
        <f t="shared" si="997"/>
        <v>49652.056764752342</v>
      </c>
      <c r="T696">
        <f t="shared" si="998"/>
        <v>49.652056764752345</v>
      </c>
    </row>
    <row r="697" spans="1:20" x14ac:dyDescent="0.25">
      <c r="A697" s="5">
        <v>43896</v>
      </c>
      <c r="B697">
        <v>6.1260000000000004E-3</v>
      </c>
      <c r="C697">
        <v>6.1970000000000003E-3</v>
      </c>
      <c r="D697">
        <v>5.9760000000000004E-3</v>
      </c>
      <c r="E697">
        <v>6.1399999999999996E-3</v>
      </c>
      <c r="F697">
        <v>594934885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0.48416289592759576</v>
      </c>
      <c r="Q697">
        <f t="shared" si="995"/>
        <v>288045396.80995113</v>
      </c>
      <c r="R697">
        <f t="shared" si="996"/>
        <v>5367490439.8995895</v>
      </c>
      <c r="S697">
        <f t="shared" si="997"/>
        <v>53674.904398995895</v>
      </c>
      <c r="T697">
        <f t="shared" si="998"/>
        <v>53.674904398995892</v>
      </c>
    </row>
    <row r="698" spans="1:20" x14ac:dyDescent="0.25">
      <c r="A698" s="5">
        <v>43895</v>
      </c>
      <c r="B698">
        <v>6.0330000000000002E-3</v>
      </c>
      <c r="C698">
        <v>6.3229999999999996E-3</v>
      </c>
      <c r="D698">
        <v>6.0330000000000002E-3</v>
      </c>
      <c r="E698">
        <v>6.1289999999999999E-3</v>
      </c>
      <c r="F698">
        <v>711681372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-0.33793103448275924</v>
      </c>
      <c r="Q698">
        <f t="shared" si="995"/>
        <v>-240499222.2620694</v>
      </c>
      <c r="R698">
        <f t="shared" si="996"/>
        <v>5079445043.0896387</v>
      </c>
      <c r="S698">
        <f t="shared" si="997"/>
        <v>50794.450430896388</v>
      </c>
      <c r="T698">
        <f t="shared" si="998"/>
        <v>50.79445043089639</v>
      </c>
    </row>
    <row r="699" spans="1:20" x14ac:dyDescent="0.25">
      <c r="A699" s="5">
        <v>43894</v>
      </c>
      <c r="B699">
        <v>5.7720000000000002E-3</v>
      </c>
      <c r="C699">
        <v>6.1469999999999997E-3</v>
      </c>
      <c r="D699">
        <v>5.7320000000000001E-3</v>
      </c>
      <c r="E699">
        <v>6.0350000000000004E-3</v>
      </c>
      <c r="F699">
        <v>873539646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0.46024096385542473</v>
      </c>
      <c r="Q699">
        <f t="shared" si="995"/>
        <v>402038728.64096653</v>
      </c>
      <c r="R699">
        <f t="shared" si="996"/>
        <v>5319944265.3517084</v>
      </c>
      <c r="S699">
        <f t="shared" si="997"/>
        <v>53199.442653517086</v>
      </c>
      <c r="T699">
        <f t="shared" si="998"/>
        <v>53.199442653517089</v>
      </c>
    </row>
    <row r="700" spans="1:20" x14ac:dyDescent="0.25">
      <c r="A700" s="5">
        <v>43893</v>
      </c>
      <c r="B700">
        <v>5.8380000000000003E-3</v>
      </c>
      <c r="C700">
        <v>5.868E-3</v>
      </c>
      <c r="D700">
        <v>5.6189999999999999E-3</v>
      </c>
      <c r="E700">
        <v>5.7730000000000004E-3</v>
      </c>
      <c r="F700">
        <v>621399290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0.23694779116466214</v>
      </c>
      <c r="Q700">
        <f t="shared" si="995"/>
        <v>147239189.19678932</v>
      </c>
      <c r="R700">
        <f t="shared" si="996"/>
        <v>4917905536.710742</v>
      </c>
      <c r="S700">
        <f t="shared" si="997"/>
        <v>49179.055367107423</v>
      </c>
      <c r="T700">
        <f t="shared" si="998"/>
        <v>49.179055367107424</v>
      </c>
    </row>
    <row r="701" spans="1:20" x14ac:dyDescent="0.25">
      <c r="A701" s="5">
        <v>43892</v>
      </c>
      <c r="B701">
        <v>5.4270000000000004E-3</v>
      </c>
      <c r="C701">
        <v>5.8609999999999999E-3</v>
      </c>
      <c r="D701">
        <v>5.391E-3</v>
      </c>
      <c r="E701">
        <v>5.8370000000000002E-3</v>
      </c>
      <c r="F701">
        <v>779714498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0.8978723404255331</v>
      </c>
      <c r="Q701">
        <f t="shared" si="995"/>
        <v>700084081.1829797</v>
      </c>
      <c r="R701">
        <f t="shared" si="996"/>
        <v>4770666347.5139523</v>
      </c>
      <c r="S701">
        <f t="shared" si="997"/>
        <v>47706.663475139525</v>
      </c>
      <c r="T701">
        <f t="shared" si="998"/>
        <v>47.706663475139528</v>
      </c>
    </row>
    <row r="702" spans="1:20" x14ac:dyDescent="0.25">
      <c r="A702" s="5">
        <v>43891</v>
      </c>
      <c r="B702">
        <v>5.6160000000000003E-3</v>
      </c>
      <c r="C702">
        <v>5.7889999999999999E-3</v>
      </c>
      <c r="D702">
        <v>5.3400000000000001E-3</v>
      </c>
      <c r="E702">
        <v>5.4270000000000004E-3</v>
      </c>
      <c r="F702">
        <v>905223907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-0.612472160356346</v>
      </c>
      <c r="Q702">
        <f t="shared" si="995"/>
        <v>-554424441.92650199</v>
      </c>
      <c r="R702">
        <f t="shared" si="996"/>
        <v>4070582266.3309727</v>
      </c>
      <c r="S702">
        <f t="shared" si="997"/>
        <v>40705.822663309729</v>
      </c>
      <c r="T702">
        <f t="shared" si="998"/>
        <v>40.705822663309732</v>
      </c>
    </row>
    <row r="703" spans="1:20" x14ac:dyDescent="0.25">
      <c r="A703" s="5">
        <v>43890</v>
      </c>
      <c r="B703">
        <v>5.7499999999999999E-3</v>
      </c>
      <c r="C703">
        <v>5.8919999999999997E-3</v>
      </c>
      <c r="D703">
        <v>5.6150000000000002E-3</v>
      </c>
      <c r="E703">
        <v>5.6150000000000002E-3</v>
      </c>
      <c r="F703">
        <v>589874671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-1</v>
      </c>
      <c r="Q703">
        <f t="shared" si="995"/>
        <v>-589874671</v>
      </c>
      <c r="R703">
        <f t="shared" si="996"/>
        <v>4625006708.2574749</v>
      </c>
      <c r="S703">
        <f t="shared" si="997"/>
        <v>46250.067082574751</v>
      </c>
      <c r="T703">
        <f t="shared" si="998"/>
        <v>46.250067082574752</v>
      </c>
    </row>
    <row r="704" spans="1:20" x14ac:dyDescent="0.25">
      <c r="A704" s="5">
        <v>43889</v>
      </c>
      <c r="B704">
        <v>5.8069999999999997E-3</v>
      </c>
      <c r="C704">
        <v>5.9179999999999996E-3</v>
      </c>
      <c r="D704">
        <v>5.3420000000000004E-3</v>
      </c>
      <c r="E704">
        <v>5.7499999999999999E-3</v>
      </c>
      <c r="F704">
        <v>1152820872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0.4166666666666668</v>
      </c>
      <c r="Q704">
        <f t="shared" si="995"/>
        <v>480342030.00000018</v>
      </c>
      <c r="R704">
        <f t="shared" si="996"/>
        <v>5214881379.2574749</v>
      </c>
      <c r="S704">
        <f t="shared" si="997"/>
        <v>52148.813792574751</v>
      </c>
      <c r="T704">
        <f t="shared" si="998"/>
        <v>52.148813792574749</v>
      </c>
    </row>
    <row r="705" spans="1:20" x14ac:dyDescent="0.25">
      <c r="A705" s="5">
        <v>43888</v>
      </c>
      <c r="B705">
        <v>5.5570000000000003E-3</v>
      </c>
      <c r="C705">
        <v>5.9480000000000002E-3</v>
      </c>
      <c r="D705">
        <v>5.1539999999999997E-3</v>
      </c>
      <c r="E705">
        <v>5.8060000000000004E-3</v>
      </c>
      <c r="F705">
        <v>1925021971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0.64231738035264563</v>
      </c>
      <c r="Q705">
        <f t="shared" si="995"/>
        <v>1236475069.5340066</v>
      </c>
      <c r="R705">
        <f t="shared" si="996"/>
        <v>4734539349.2574749</v>
      </c>
      <c r="S705">
        <f t="shared" si="997"/>
        <v>47345.393492574753</v>
      </c>
      <c r="T705">
        <f t="shared" si="998"/>
        <v>47.34539349257475</v>
      </c>
    </row>
    <row r="706" spans="1:20" x14ac:dyDescent="0.25">
      <c r="A706" s="5">
        <v>43887</v>
      </c>
      <c r="B706">
        <v>6.2110000000000004E-3</v>
      </c>
      <c r="C706">
        <v>6.2760000000000003E-3</v>
      </c>
      <c r="D706">
        <v>5.3439999999999998E-3</v>
      </c>
      <c r="E706">
        <v>5.5539999999999999E-3</v>
      </c>
      <c r="F706">
        <v>2171848909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-0.54935622317596566</v>
      </c>
      <c r="Q706">
        <f t="shared" si="995"/>
        <v>-1193118713.9570816</v>
      </c>
      <c r="R706">
        <f t="shared" si="996"/>
        <v>3498064279.7234688</v>
      </c>
      <c r="S706">
        <f t="shared" si="997"/>
        <v>34980.642797234686</v>
      </c>
      <c r="T706">
        <f t="shared" si="998"/>
        <v>34.980642797234687</v>
      </c>
    </row>
    <row r="707" spans="1:20" x14ac:dyDescent="0.25">
      <c r="A707" s="5">
        <v>43886</v>
      </c>
      <c r="B707">
        <v>6.7120000000000001E-3</v>
      </c>
      <c r="C707">
        <v>6.7270000000000003E-3</v>
      </c>
      <c r="D707">
        <v>6.1139999999999996E-3</v>
      </c>
      <c r="E707">
        <v>6.2110000000000004E-3</v>
      </c>
      <c r="F707">
        <v>1219003571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-0.68352365415986749</v>
      </c>
      <c r="Q707">
        <f t="shared" si="995"/>
        <v>-833217775.28384745</v>
      </c>
      <c r="R707">
        <f t="shared" si="996"/>
        <v>4691182993.6805506</v>
      </c>
      <c r="S707">
        <f t="shared" si="997"/>
        <v>46911.829936805509</v>
      </c>
      <c r="T707">
        <f t="shared" si="998"/>
        <v>46.91182993680551</v>
      </c>
    </row>
    <row r="708" spans="1:20" x14ac:dyDescent="0.25">
      <c r="A708" s="5">
        <v>43885</v>
      </c>
      <c r="B708">
        <v>6.9550000000000002E-3</v>
      </c>
      <c r="C708">
        <v>7.3119999999999999E-3</v>
      </c>
      <c r="D708">
        <v>6.6309999999999997E-3</v>
      </c>
      <c r="E708">
        <v>6.7130000000000002E-3</v>
      </c>
      <c r="F708">
        <v>1363696234</v>
      </c>
      <c r="G708">
        <v>0</v>
      </c>
      <c r="L708" t="s">
        <v>8</v>
      </c>
      <c r="M708" t="s">
        <v>7</v>
      </c>
      <c r="N708" t="s">
        <v>8</v>
      </c>
      <c r="P708">
        <f t="shared" si="994"/>
        <v>-0.75917767988252438</v>
      </c>
      <c r="Q708">
        <f t="shared" si="995"/>
        <v>-1035287742.9926561</v>
      </c>
      <c r="R708">
        <f t="shared" si="996"/>
        <v>5524400768.9643984</v>
      </c>
      <c r="S708">
        <f t="shared" si="997"/>
        <v>55244.007689643986</v>
      </c>
      <c r="T708">
        <f t="shared" si="998"/>
        <v>55.244007689643986</v>
      </c>
    </row>
    <row r="709" spans="1:20" x14ac:dyDescent="0.25">
      <c r="A709" s="5">
        <v>43884</v>
      </c>
      <c r="B709">
        <v>6.5909999999999996E-3</v>
      </c>
      <c r="C709">
        <v>6.9820000000000004E-3</v>
      </c>
      <c r="D709">
        <v>6.5890000000000002E-3</v>
      </c>
      <c r="E709">
        <v>6.9550000000000002E-3</v>
      </c>
      <c r="F709">
        <v>467455432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0.86259541984732768</v>
      </c>
      <c r="Q709">
        <f t="shared" si="995"/>
        <v>403224914.62595391</v>
      </c>
      <c r="R709">
        <f t="shared" si="996"/>
        <v>6559688511.9570541</v>
      </c>
      <c r="S709">
        <f t="shared" si="997"/>
        <v>65596.885119570536</v>
      </c>
      <c r="T709">
        <f t="shared" si="998"/>
        <v>65.59688511957053</v>
      </c>
    </row>
    <row r="710" spans="1:20" x14ac:dyDescent="0.25">
      <c r="A710" s="5">
        <v>43883</v>
      </c>
      <c r="B710">
        <v>6.6340000000000001E-3</v>
      </c>
      <c r="C710">
        <v>6.6769999999999998E-3</v>
      </c>
      <c r="D710">
        <v>6.4400000000000004E-3</v>
      </c>
      <c r="E710">
        <v>6.5929999999999999E-3</v>
      </c>
      <c r="F710">
        <v>495211738</v>
      </c>
      <c r="G710">
        <v>0</v>
      </c>
      <c r="L710" t="s">
        <v>8</v>
      </c>
      <c r="M710" t="s">
        <v>7</v>
      </c>
      <c r="N710" t="s">
        <v>8</v>
      </c>
      <c r="P710">
        <f t="shared" ref="P710:P766" si="999">IF(C710=D710,0,((E710-D710)-(C710-E710))/(C710-D710))</f>
        <v>0.29113924050632828</v>
      </c>
      <c r="Q710">
        <f t="shared" ref="Q710:Q766" si="1000">F710*P710</f>
        <v>144175569.29113883</v>
      </c>
      <c r="R710">
        <f t="shared" ref="R710:R766" si="1001">R711+Q710</f>
        <v>6156463597.3311005</v>
      </c>
      <c r="S710">
        <f t="shared" ref="S710:S766" si="1002">R710/100000</f>
        <v>61564.635973311008</v>
      </c>
      <c r="T710">
        <f t="shared" ref="T710:T766" si="1003">S710/1000</f>
        <v>61.564635973311006</v>
      </c>
    </row>
    <row r="711" spans="1:20" x14ac:dyDescent="0.25">
      <c r="A711" s="5">
        <v>43882</v>
      </c>
      <c r="B711">
        <v>6.496E-3</v>
      </c>
      <c r="C711">
        <v>6.8360000000000001E-3</v>
      </c>
      <c r="D711">
        <v>6.4390000000000003E-3</v>
      </c>
      <c r="E711">
        <v>6.633E-3</v>
      </c>
      <c r="F711">
        <v>803347262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-2.2670025188917715E-2</v>
      </c>
      <c r="Q711">
        <f t="shared" si="1000"/>
        <v>-18211902.664988078</v>
      </c>
      <c r="R711">
        <f t="shared" si="1001"/>
        <v>6012288028.0399618</v>
      </c>
      <c r="S711">
        <f t="shared" si="1002"/>
        <v>60122.880280399615</v>
      </c>
      <c r="T711">
        <f t="shared" si="1003"/>
        <v>60.122880280399613</v>
      </c>
    </row>
    <row r="712" spans="1:20" x14ac:dyDescent="0.25">
      <c r="A712" s="5">
        <v>43881</v>
      </c>
      <c r="B712">
        <v>6.4799999999999996E-3</v>
      </c>
      <c r="C712">
        <v>6.5799999999999999E-3</v>
      </c>
      <c r="D712">
        <v>6.3629999999999997E-3</v>
      </c>
      <c r="E712">
        <v>6.4900000000000001E-3</v>
      </c>
      <c r="F712">
        <v>1116935724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0.17050691244239882</v>
      </c>
      <c r="Q712">
        <f t="shared" si="1000"/>
        <v>190445261.69585535</v>
      </c>
      <c r="R712">
        <f t="shared" si="1001"/>
        <v>6030499930.7049503</v>
      </c>
      <c r="S712">
        <f t="shared" si="1002"/>
        <v>60304.999307049504</v>
      </c>
      <c r="T712">
        <f t="shared" si="1003"/>
        <v>60.304999307049506</v>
      </c>
    </row>
    <row r="713" spans="1:20" x14ac:dyDescent="0.25">
      <c r="A713" s="5">
        <v>43880</v>
      </c>
      <c r="B713">
        <v>7.058E-3</v>
      </c>
      <c r="C713">
        <v>7.1739999999999998E-3</v>
      </c>
      <c r="D713">
        <v>6.3200000000000001E-3</v>
      </c>
      <c r="E713">
        <v>6.4840000000000002E-3</v>
      </c>
      <c r="F713">
        <v>1006040256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-0.61592505854800905</v>
      </c>
      <c r="Q713">
        <f t="shared" si="1000"/>
        <v>-619645403.57845402</v>
      </c>
      <c r="R713">
        <f t="shared" si="1001"/>
        <v>5840054669.0090952</v>
      </c>
      <c r="S713">
        <f t="shared" si="1002"/>
        <v>58400.546690090952</v>
      </c>
      <c r="T713">
        <f t="shared" si="1003"/>
        <v>58.400546690090955</v>
      </c>
    </row>
    <row r="714" spans="1:20" x14ac:dyDescent="0.25">
      <c r="A714" s="5">
        <v>43879</v>
      </c>
      <c r="B714">
        <v>6.7470000000000004E-3</v>
      </c>
      <c r="C714">
        <v>7.2500000000000004E-3</v>
      </c>
      <c r="D714">
        <v>6.6119999999999998E-3</v>
      </c>
      <c r="E714">
        <v>7.058E-3</v>
      </c>
      <c r="F714">
        <v>1456922173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0.39811912225705276</v>
      </c>
      <c r="Q714">
        <f t="shared" si="1000"/>
        <v>580028576.71159792</v>
      </c>
      <c r="R714">
        <f t="shared" si="1001"/>
        <v>6459700072.5875492</v>
      </c>
      <c r="S714">
        <f t="shared" si="1002"/>
        <v>64597.000725875492</v>
      </c>
      <c r="T714">
        <f t="shared" si="1003"/>
        <v>64.597000725875489</v>
      </c>
    </row>
    <row r="715" spans="1:20" x14ac:dyDescent="0.25">
      <c r="A715" s="5">
        <v>43878</v>
      </c>
      <c r="B715">
        <v>7.0809999999999996E-3</v>
      </c>
      <c r="C715">
        <v>7.1450000000000003E-3</v>
      </c>
      <c r="D715">
        <v>6.2690000000000003E-3</v>
      </c>
      <c r="E715">
        <v>6.7429999999999999E-3</v>
      </c>
      <c r="F715">
        <v>1907907401</v>
      </c>
      <c r="G715">
        <v>0</v>
      </c>
      <c r="L715" t="s">
        <v>7</v>
      </c>
      <c r="M715" t="s">
        <v>7</v>
      </c>
      <c r="N715" t="s">
        <v>8</v>
      </c>
      <c r="P715">
        <f t="shared" si="999"/>
        <v>8.2191780821916832E-2</v>
      </c>
      <c r="Q715">
        <f t="shared" si="1000"/>
        <v>156814306.93150499</v>
      </c>
      <c r="R715">
        <f t="shared" si="1001"/>
        <v>5879671495.8759508</v>
      </c>
      <c r="S715">
        <f t="shared" si="1002"/>
        <v>58796.714958759505</v>
      </c>
      <c r="T715">
        <f t="shared" si="1003"/>
        <v>58.796714958759502</v>
      </c>
    </row>
    <row r="716" spans="1:20" x14ac:dyDescent="0.25">
      <c r="A716" s="5">
        <v>43877</v>
      </c>
      <c r="B716">
        <v>7.4700000000000001E-3</v>
      </c>
      <c r="C716">
        <v>7.6759999999999997E-3</v>
      </c>
      <c r="D716">
        <v>6.5449999999999996E-3</v>
      </c>
      <c r="E716">
        <v>7.0809999999999996E-3</v>
      </c>
      <c r="F716">
        <v>2008791389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-5.2166224580017705E-2</v>
      </c>
      <c r="Q716">
        <f t="shared" si="1000"/>
        <v>-104791062.7329797</v>
      </c>
      <c r="R716">
        <f t="shared" si="1001"/>
        <v>5722857188.9444456</v>
      </c>
      <c r="S716">
        <f t="shared" si="1002"/>
        <v>57228.571889444458</v>
      </c>
      <c r="T716">
        <f t="shared" si="1003"/>
        <v>57.22857188944446</v>
      </c>
    </row>
    <row r="717" spans="1:20" x14ac:dyDescent="0.25">
      <c r="A717" s="5">
        <v>43876</v>
      </c>
      <c r="B717">
        <v>8.3090000000000004E-3</v>
      </c>
      <c r="C717">
        <v>8.4370000000000001E-3</v>
      </c>
      <c r="D717">
        <v>7.2560000000000003E-3</v>
      </c>
      <c r="E717">
        <v>7.4700000000000001E-3</v>
      </c>
      <c r="F717">
        <v>1882638198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-0.63759525825571584</v>
      </c>
      <c r="Q717">
        <f t="shared" si="1000"/>
        <v>-1200361188.0558856</v>
      </c>
      <c r="R717">
        <f t="shared" si="1001"/>
        <v>5827648251.6774254</v>
      </c>
      <c r="S717">
        <f t="shared" si="1002"/>
        <v>58276.482516774253</v>
      </c>
      <c r="T717">
        <f t="shared" si="1003"/>
        <v>58.276482516774252</v>
      </c>
    </row>
    <row r="718" spans="1:20" x14ac:dyDescent="0.25">
      <c r="A718" s="5">
        <v>43875</v>
      </c>
      <c r="B718">
        <v>8.0630000000000007E-3</v>
      </c>
      <c r="C718">
        <v>8.404E-3</v>
      </c>
      <c r="D718">
        <v>7.5960000000000003E-3</v>
      </c>
      <c r="E718">
        <v>8.3009999999999994E-3</v>
      </c>
      <c r="F718">
        <v>1579870629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0.74504950495049327</v>
      </c>
      <c r="Q718">
        <f t="shared" si="1000"/>
        <v>1177081830.0222745</v>
      </c>
      <c r="R718">
        <f t="shared" si="1001"/>
        <v>7028009439.7333107</v>
      </c>
      <c r="S718">
        <f t="shared" si="1002"/>
        <v>70280.094397333101</v>
      </c>
      <c r="T718">
        <f t="shared" si="1003"/>
        <v>70.280094397333102</v>
      </c>
    </row>
    <row r="719" spans="1:20" x14ac:dyDescent="0.25">
      <c r="A719" s="5">
        <v>43874</v>
      </c>
      <c r="B719">
        <v>7.4700000000000001E-3</v>
      </c>
      <c r="C719">
        <v>8.2000000000000007E-3</v>
      </c>
      <c r="D719">
        <v>7.4450000000000002E-3</v>
      </c>
      <c r="E719">
        <v>8.0590000000000002E-3</v>
      </c>
      <c r="F719">
        <v>2321889304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0.62649006622516445</v>
      </c>
      <c r="Q719">
        <f t="shared" si="1000"/>
        <v>1454640583.830461</v>
      </c>
      <c r="R719">
        <f t="shared" si="1001"/>
        <v>5850927609.7110367</v>
      </c>
      <c r="S719">
        <f t="shared" si="1002"/>
        <v>58509.276097110363</v>
      </c>
      <c r="T719">
        <f t="shared" si="1003"/>
        <v>58.509276097110366</v>
      </c>
    </row>
    <row r="720" spans="1:20" x14ac:dyDescent="0.25">
      <c r="A720" s="5">
        <v>43873</v>
      </c>
      <c r="B720">
        <v>7.4840000000000002E-3</v>
      </c>
      <c r="C720">
        <v>7.9330000000000008E-3</v>
      </c>
      <c r="D720">
        <v>7.3769999999999999E-3</v>
      </c>
      <c r="E720">
        <v>7.4700000000000001E-3</v>
      </c>
      <c r="F720">
        <v>2076501450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-0.66546762589928043</v>
      </c>
      <c r="Q720">
        <f t="shared" si="1000"/>
        <v>-1381844490.1079135</v>
      </c>
      <c r="R720">
        <f t="shared" si="1001"/>
        <v>4396287025.8805752</v>
      </c>
      <c r="S720">
        <f t="shared" si="1002"/>
        <v>43962.870258805749</v>
      </c>
      <c r="T720">
        <f t="shared" si="1003"/>
        <v>43.962870258805751</v>
      </c>
    </row>
    <row r="721" spans="1:20" x14ac:dyDescent="0.25">
      <c r="A721" s="5">
        <v>43872</v>
      </c>
      <c r="B721">
        <v>6.5100000000000002E-3</v>
      </c>
      <c r="C721">
        <v>7.4999999999999997E-3</v>
      </c>
      <c r="D721">
        <v>6.3800000000000003E-3</v>
      </c>
      <c r="E721">
        <v>7.4850000000000003E-3</v>
      </c>
      <c r="F721">
        <v>1753589308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0.97321428571428681</v>
      </c>
      <c r="Q721">
        <f t="shared" si="1000"/>
        <v>1706618165.8214304</v>
      </c>
      <c r="R721">
        <f t="shared" si="1001"/>
        <v>5778131515.9884892</v>
      </c>
      <c r="S721">
        <f t="shared" si="1002"/>
        <v>57781.315159884893</v>
      </c>
      <c r="T721">
        <f t="shared" si="1003"/>
        <v>57.78131515988489</v>
      </c>
    </row>
    <row r="722" spans="1:20" x14ac:dyDescent="0.25">
      <c r="A722" s="5">
        <v>43871</v>
      </c>
      <c r="B722">
        <v>6.8250000000000003E-3</v>
      </c>
      <c r="C722">
        <v>6.8840000000000004E-3</v>
      </c>
      <c r="D722">
        <v>6.3660000000000001E-3</v>
      </c>
      <c r="E722">
        <v>6.5100000000000002E-3</v>
      </c>
      <c r="F722">
        <v>1113347025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-0.44401544401544413</v>
      </c>
      <c r="Q722">
        <f t="shared" si="1000"/>
        <v>-494343273.6486488</v>
      </c>
      <c r="R722">
        <f t="shared" si="1001"/>
        <v>4071513350.1670585</v>
      </c>
      <c r="S722">
        <f t="shared" si="1002"/>
        <v>40715.133501670585</v>
      </c>
      <c r="T722">
        <f t="shared" si="1003"/>
        <v>40.715133501670586</v>
      </c>
    </row>
    <row r="723" spans="1:20" x14ac:dyDescent="0.25">
      <c r="A723" s="5">
        <v>43870</v>
      </c>
      <c r="B723">
        <v>6.6689999999999996E-3</v>
      </c>
      <c r="C723">
        <v>6.8799999999999998E-3</v>
      </c>
      <c r="D723">
        <v>6.6530000000000001E-3</v>
      </c>
      <c r="E723">
        <v>6.8250000000000003E-3</v>
      </c>
      <c r="F723">
        <v>616968900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0.51541850220264718</v>
      </c>
      <c r="Q723">
        <f t="shared" si="1000"/>
        <v>317997186.34361482</v>
      </c>
      <c r="R723">
        <f t="shared" si="1001"/>
        <v>4565856623.8157072</v>
      </c>
      <c r="S723">
        <f t="shared" si="1002"/>
        <v>45658.566238157073</v>
      </c>
      <c r="T723">
        <f t="shared" si="1003"/>
        <v>45.658566238157071</v>
      </c>
    </row>
    <row r="724" spans="1:20" x14ac:dyDescent="0.25">
      <c r="A724" s="5">
        <v>43869</v>
      </c>
      <c r="B724">
        <v>6.8219999999999999E-3</v>
      </c>
      <c r="C724">
        <v>6.8240000000000002E-3</v>
      </c>
      <c r="D724">
        <v>6.4920000000000004E-3</v>
      </c>
      <c r="E724">
        <v>6.6689999999999996E-3</v>
      </c>
      <c r="F724">
        <v>865978937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6.6265060240959628E-2</v>
      </c>
      <c r="Q724">
        <f t="shared" si="1000"/>
        <v>57384146.42770718</v>
      </c>
      <c r="R724">
        <f t="shared" si="1001"/>
        <v>4247859437.4720922</v>
      </c>
      <c r="S724">
        <f t="shared" si="1002"/>
        <v>42478.594374720924</v>
      </c>
      <c r="T724">
        <f t="shared" si="1003"/>
        <v>42.478594374720927</v>
      </c>
    </row>
    <row r="725" spans="1:20" x14ac:dyDescent="0.25">
      <c r="A725" s="5">
        <v>43868</v>
      </c>
      <c r="B725">
        <v>6.8009999999999998E-3</v>
      </c>
      <c r="C725">
        <v>6.973E-3</v>
      </c>
      <c r="D725">
        <v>6.6519999999999999E-3</v>
      </c>
      <c r="E725">
        <v>6.8170000000000001E-3</v>
      </c>
      <c r="F725">
        <v>1035834215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2.8037383177571103E-2</v>
      </c>
      <c r="Q725">
        <f t="shared" si="1000"/>
        <v>29042080.794393569</v>
      </c>
      <c r="R725">
        <f t="shared" si="1001"/>
        <v>4190475291.044385</v>
      </c>
      <c r="S725">
        <f t="shared" si="1002"/>
        <v>41904.752910443851</v>
      </c>
      <c r="T725">
        <f t="shared" si="1003"/>
        <v>41.904752910443854</v>
      </c>
    </row>
    <row r="726" spans="1:20" x14ac:dyDescent="0.25">
      <c r="A726" s="5">
        <v>43867</v>
      </c>
      <c r="B726">
        <v>6.4710000000000002E-3</v>
      </c>
      <c r="C726">
        <v>6.9499999999999996E-3</v>
      </c>
      <c r="D726">
        <v>6.3899999999999998E-3</v>
      </c>
      <c r="E726">
        <v>6.7999999999999996E-3</v>
      </c>
      <c r="F726">
        <v>1097472153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0.46428571428571419</v>
      </c>
      <c r="Q726">
        <f t="shared" si="1000"/>
        <v>509540642.46428561</v>
      </c>
      <c r="R726">
        <f t="shared" si="1001"/>
        <v>4161433210.2499914</v>
      </c>
      <c r="S726">
        <f t="shared" si="1002"/>
        <v>41614.332102499917</v>
      </c>
      <c r="T726">
        <f t="shared" si="1003"/>
        <v>41.614332102499915</v>
      </c>
    </row>
    <row r="727" spans="1:20" x14ac:dyDescent="0.25">
      <c r="A727" s="5">
        <v>43866</v>
      </c>
      <c r="B727">
        <v>6.5310000000000003E-3</v>
      </c>
      <c r="C727">
        <v>6.6670000000000002E-3</v>
      </c>
      <c r="D727">
        <v>6.3449999999999999E-3</v>
      </c>
      <c r="E727">
        <v>6.4720000000000003E-3</v>
      </c>
      <c r="F727">
        <v>1127609116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-0.21118012422360072</v>
      </c>
      <c r="Q727">
        <f t="shared" si="1000"/>
        <v>-238128633.19254458</v>
      </c>
      <c r="R727">
        <f t="shared" si="1001"/>
        <v>3651892567.7857056</v>
      </c>
      <c r="S727">
        <f t="shared" si="1002"/>
        <v>36518.925677857056</v>
      </c>
      <c r="T727">
        <f t="shared" si="1003"/>
        <v>36.518925677857055</v>
      </c>
    </row>
    <row r="728" spans="1:20" x14ac:dyDescent="0.25">
      <c r="A728" s="5">
        <v>43865</v>
      </c>
      <c r="B728">
        <v>6.3029999999999996E-3</v>
      </c>
      <c r="C728">
        <v>6.6499999999999997E-3</v>
      </c>
      <c r="D728">
        <v>6.156E-3</v>
      </c>
      <c r="E728">
        <v>6.5319999999999996E-3</v>
      </c>
      <c r="F728">
        <v>1286050988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0.52226720647773228</v>
      </c>
      <c r="Q728">
        <f t="shared" si="1000"/>
        <v>671662256.89068758</v>
      </c>
      <c r="R728">
        <f t="shared" si="1001"/>
        <v>3890021200.97825</v>
      </c>
      <c r="S728">
        <f t="shared" si="1002"/>
        <v>38900.212009782503</v>
      </c>
      <c r="T728">
        <f t="shared" si="1003"/>
        <v>38.9002120097825</v>
      </c>
    </row>
    <row r="729" spans="1:20" x14ac:dyDescent="0.25">
      <c r="A729" s="5">
        <v>43864</v>
      </c>
      <c r="B729">
        <v>6.2319999999999997E-3</v>
      </c>
      <c r="C729">
        <v>6.398E-3</v>
      </c>
      <c r="D729">
        <v>6.0730000000000003E-3</v>
      </c>
      <c r="E729">
        <v>6.3039999999999997E-3</v>
      </c>
      <c r="F729">
        <v>743425932</v>
      </c>
      <c r="G729">
        <v>0</v>
      </c>
      <c r="L729" t="s">
        <v>8</v>
      </c>
      <c r="M729" t="s">
        <v>7</v>
      </c>
      <c r="N729" t="s">
        <v>8</v>
      </c>
      <c r="P729">
        <f t="shared" si="999"/>
        <v>0.42153846153845909</v>
      </c>
      <c r="Q729">
        <f t="shared" si="1000"/>
        <v>313382623.64307511</v>
      </c>
      <c r="R729">
        <f t="shared" si="1001"/>
        <v>3218358944.0875626</v>
      </c>
      <c r="S729">
        <f t="shared" si="1002"/>
        <v>32183.589440875625</v>
      </c>
      <c r="T729">
        <f t="shared" si="1003"/>
        <v>32.183589440875622</v>
      </c>
    </row>
    <row r="730" spans="1:20" x14ac:dyDescent="0.25">
      <c r="A730" s="5">
        <v>43863</v>
      </c>
      <c r="B730">
        <v>5.9959999999999996E-3</v>
      </c>
      <c r="C730">
        <v>6.4640000000000001E-3</v>
      </c>
      <c r="D730">
        <v>5.8349999999999999E-3</v>
      </c>
      <c r="E730">
        <v>6.2290000000000002E-3</v>
      </c>
      <c r="F730">
        <v>1140866751</v>
      </c>
      <c r="G730">
        <v>0</v>
      </c>
      <c r="L730" t="s">
        <v>8</v>
      </c>
      <c r="M730" t="s">
        <v>7</v>
      </c>
      <c r="N730" t="s">
        <v>8</v>
      </c>
      <c r="P730">
        <f t="shared" si="999"/>
        <v>0.25278219395866491</v>
      </c>
      <c r="Q730">
        <f t="shared" si="1000"/>
        <v>288390800.33227384</v>
      </c>
      <c r="R730">
        <f t="shared" si="1001"/>
        <v>2904976320.4444876</v>
      </c>
      <c r="S730">
        <f t="shared" si="1002"/>
        <v>29049.763204444876</v>
      </c>
      <c r="T730">
        <f t="shared" si="1003"/>
        <v>29.049763204444876</v>
      </c>
    </row>
    <row r="731" spans="1:20" x14ac:dyDescent="0.25">
      <c r="A731" s="5">
        <v>43862</v>
      </c>
      <c r="B731">
        <v>5.7679999999999997E-3</v>
      </c>
      <c r="C731">
        <v>6.1669999999999997E-3</v>
      </c>
      <c r="D731">
        <v>5.7670000000000004E-3</v>
      </c>
      <c r="E731">
        <v>5.9969999999999997E-3</v>
      </c>
      <c r="F731">
        <v>1333124191</v>
      </c>
      <c r="G731">
        <v>0</v>
      </c>
      <c r="L731" t="s">
        <v>8</v>
      </c>
      <c r="M731" t="s">
        <v>7</v>
      </c>
      <c r="N731" t="s">
        <v>8</v>
      </c>
      <c r="P731">
        <f t="shared" si="999"/>
        <v>0.1499999999999985</v>
      </c>
      <c r="Q731">
        <f t="shared" si="1000"/>
        <v>199968628.64999801</v>
      </c>
      <c r="R731">
        <f t="shared" si="1001"/>
        <v>2616585520.1122136</v>
      </c>
      <c r="S731">
        <f t="shared" si="1002"/>
        <v>26165.855201122136</v>
      </c>
      <c r="T731">
        <f t="shared" si="1003"/>
        <v>26.165855201122135</v>
      </c>
    </row>
    <row r="732" spans="1:20" x14ac:dyDescent="0.25">
      <c r="A732" s="5">
        <v>43861</v>
      </c>
      <c r="B732">
        <v>5.6870000000000002E-3</v>
      </c>
      <c r="C732">
        <v>5.8300000000000001E-3</v>
      </c>
      <c r="D732">
        <v>5.4939999999999998E-3</v>
      </c>
      <c r="E732">
        <v>5.7660000000000003E-3</v>
      </c>
      <c r="F732">
        <v>886241403</v>
      </c>
      <c r="G732">
        <v>0</v>
      </c>
      <c r="L732" t="s">
        <v>8</v>
      </c>
      <c r="M732" t="s">
        <v>7</v>
      </c>
      <c r="N732" t="s">
        <v>8</v>
      </c>
      <c r="P732">
        <f t="shared" si="999"/>
        <v>0.61904761904762051</v>
      </c>
      <c r="Q732">
        <f t="shared" si="1000"/>
        <v>548625630.42857277</v>
      </c>
      <c r="R732">
        <f t="shared" si="1001"/>
        <v>2416616891.4622154</v>
      </c>
      <c r="S732">
        <f t="shared" si="1002"/>
        <v>24166.168914622154</v>
      </c>
      <c r="T732">
        <f t="shared" si="1003"/>
        <v>24.166168914622155</v>
      </c>
    </row>
    <row r="733" spans="1:20" x14ac:dyDescent="0.25">
      <c r="A733" s="5">
        <v>43860</v>
      </c>
      <c r="B733">
        <v>5.7330000000000002E-3</v>
      </c>
      <c r="C733">
        <v>5.8259999999999996E-3</v>
      </c>
      <c r="D733">
        <v>5.6420000000000003E-3</v>
      </c>
      <c r="E733">
        <v>5.6870000000000002E-3</v>
      </c>
      <c r="F733">
        <v>786433803</v>
      </c>
      <c r="G733">
        <v>0</v>
      </c>
      <c r="L733" t="s">
        <v>8</v>
      </c>
      <c r="M733" t="s">
        <v>7</v>
      </c>
      <c r="N733" t="s">
        <v>8</v>
      </c>
      <c r="P733">
        <f t="shared" si="999"/>
        <v>-0.51086956521739046</v>
      </c>
      <c r="Q733">
        <f t="shared" si="1000"/>
        <v>-401765095.01086891</v>
      </c>
      <c r="R733">
        <f t="shared" si="1001"/>
        <v>1867991261.0336428</v>
      </c>
      <c r="S733">
        <f t="shared" si="1002"/>
        <v>18679.912610336429</v>
      </c>
      <c r="T733">
        <f t="shared" si="1003"/>
        <v>18.67991261033643</v>
      </c>
    </row>
    <row r="734" spans="1:20" x14ac:dyDescent="0.25">
      <c r="A734" s="5">
        <v>43859</v>
      </c>
      <c r="B734">
        <v>5.7999999999999996E-3</v>
      </c>
      <c r="C734">
        <v>5.8830000000000002E-3</v>
      </c>
      <c r="D734">
        <v>5.6649999999999999E-3</v>
      </c>
      <c r="E734">
        <v>5.7330000000000002E-3</v>
      </c>
      <c r="F734">
        <v>611207155</v>
      </c>
      <c r="G734">
        <v>0</v>
      </c>
      <c r="L734" t="s">
        <v>8</v>
      </c>
      <c r="M734" t="s">
        <v>7</v>
      </c>
      <c r="N734" t="s">
        <v>8</v>
      </c>
      <c r="P734">
        <f t="shared" si="999"/>
        <v>-0.37614678899082338</v>
      </c>
      <c r="Q734">
        <f t="shared" si="1000"/>
        <v>-229903608.76146647</v>
      </c>
      <c r="R734">
        <f t="shared" si="1001"/>
        <v>2269756356.0445118</v>
      </c>
      <c r="S734">
        <f t="shared" si="1002"/>
        <v>22697.563560445116</v>
      </c>
      <c r="T734">
        <f t="shared" si="1003"/>
        <v>22.697563560445115</v>
      </c>
    </row>
    <row r="735" spans="1:20" x14ac:dyDescent="0.25">
      <c r="A735" s="5">
        <v>43858</v>
      </c>
      <c r="B735">
        <v>5.7429999999999998E-3</v>
      </c>
      <c r="C735">
        <v>5.8900000000000003E-3</v>
      </c>
      <c r="D735">
        <v>5.7390000000000002E-3</v>
      </c>
      <c r="E735">
        <v>5.7999999999999996E-3</v>
      </c>
      <c r="F735">
        <v>649403456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-0.19205298013245847</v>
      </c>
      <c r="Q735">
        <f t="shared" si="1000"/>
        <v>-124719869.03311788</v>
      </c>
      <c r="R735">
        <f t="shared" si="1001"/>
        <v>2499659964.8059783</v>
      </c>
      <c r="S735">
        <f t="shared" si="1002"/>
        <v>24996.599648059782</v>
      </c>
      <c r="T735">
        <f t="shared" si="1003"/>
        <v>24.996599648059782</v>
      </c>
    </row>
    <row r="736" spans="1:20" x14ac:dyDescent="0.25">
      <c r="A736" s="5">
        <v>43857</v>
      </c>
      <c r="B736">
        <v>5.7330000000000002E-3</v>
      </c>
      <c r="C736">
        <v>5.888E-3</v>
      </c>
      <c r="D736">
        <v>5.6449999999999998E-3</v>
      </c>
      <c r="E736">
        <v>5.7479999999999996E-3</v>
      </c>
      <c r="F736">
        <v>543955684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-0.15226337448559896</v>
      </c>
      <c r="Q736">
        <f t="shared" si="1000"/>
        <v>-82824528.016462132</v>
      </c>
      <c r="R736">
        <f t="shared" si="1001"/>
        <v>2624379833.8390961</v>
      </c>
      <c r="S736">
        <f t="shared" si="1002"/>
        <v>26243.79833839096</v>
      </c>
      <c r="T736">
        <f t="shared" si="1003"/>
        <v>26.24379833839096</v>
      </c>
    </row>
    <row r="737" spans="1:20" x14ac:dyDescent="0.25">
      <c r="A737" s="5">
        <v>43856</v>
      </c>
      <c r="B737">
        <v>5.6220000000000003E-3</v>
      </c>
      <c r="C737">
        <v>5.7450000000000001E-3</v>
      </c>
      <c r="D737">
        <v>5.5360000000000001E-3</v>
      </c>
      <c r="E737">
        <v>5.7299999999999999E-3</v>
      </c>
      <c r="F737">
        <v>305903749</v>
      </c>
      <c r="G737">
        <v>0</v>
      </c>
      <c r="L737" t="s">
        <v>7</v>
      </c>
      <c r="M737" t="s">
        <v>7</v>
      </c>
      <c r="N737" t="s">
        <v>8</v>
      </c>
      <c r="P737">
        <f t="shared" si="999"/>
        <v>0.85645933014353826</v>
      </c>
      <c r="Q737">
        <f t="shared" si="1000"/>
        <v>261994119.95693707</v>
      </c>
      <c r="R737">
        <f t="shared" si="1001"/>
        <v>2707204361.8555584</v>
      </c>
      <c r="S737">
        <f t="shared" si="1002"/>
        <v>27072.043618555585</v>
      </c>
      <c r="T737">
        <f t="shared" si="1003"/>
        <v>27.072043618555586</v>
      </c>
    </row>
    <row r="738" spans="1:20" x14ac:dyDescent="0.25">
      <c r="A738" s="5">
        <v>43855</v>
      </c>
      <c r="B738">
        <v>5.581E-3</v>
      </c>
      <c r="C738">
        <v>5.6620000000000004E-3</v>
      </c>
      <c r="D738">
        <v>5.4819999999999999E-3</v>
      </c>
      <c r="E738">
        <v>5.6230000000000004E-3</v>
      </c>
      <c r="F738">
        <v>217913506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0.5666666666666681</v>
      </c>
      <c r="Q738">
        <f t="shared" si="1000"/>
        <v>123484320.06666698</v>
      </c>
      <c r="R738">
        <f t="shared" si="1001"/>
        <v>2445210241.8986216</v>
      </c>
      <c r="S738">
        <f t="shared" si="1002"/>
        <v>24452.102418986215</v>
      </c>
      <c r="T738">
        <f t="shared" si="1003"/>
        <v>24.452102418986215</v>
      </c>
    </row>
    <row r="739" spans="1:20" x14ac:dyDescent="0.25">
      <c r="A739" s="5">
        <v>43854</v>
      </c>
      <c r="B739">
        <v>5.6080000000000001E-3</v>
      </c>
      <c r="C739">
        <v>5.6540000000000002E-3</v>
      </c>
      <c r="D739">
        <v>5.4809999999999998E-3</v>
      </c>
      <c r="E739">
        <v>5.5799999999999999E-3</v>
      </c>
      <c r="F739">
        <v>432436775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0.14450867052023</v>
      </c>
      <c r="Q739">
        <f t="shared" si="1000"/>
        <v>62490863.439305834</v>
      </c>
      <c r="R739">
        <f t="shared" si="1001"/>
        <v>2321725921.8319545</v>
      </c>
      <c r="S739">
        <f t="shared" si="1002"/>
        <v>23217.259218319545</v>
      </c>
      <c r="T739">
        <f t="shared" si="1003"/>
        <v>23.217259218319544</v>
      </c>
    </row>
    <row r="740" spans="1:20" x14ac:dyDescent="0.25">
      <c r="A740" s="5">
        <v>43853</v>
      </c>
      <c r="B740">
        <v>5.8659999999999997E-3</v>
      </c>
      <c r="C740">
        <v>5.8700000000000002E-3</v>
      </c>
      <c r="D740">
        <v>5.457E-3</v>
      </c>
      <c r="E740">
        <v>5.607E-3</v>
      </c>
      <c r="F740">
        <v>704214291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-0.27360774818401989</v>
      </c>
      <c r="Q740">
        <f t="shared" si="1000"/>
        <v>-192678486.39951611</v>
      </c>
      <c r="R740">
        <f t="shared" si="1001"/>
        <v>2259235058.3926487</v>
      </c>
      <c r="S740">
        <f t="shared" si="1002"/>
        <v>22592.350583926487</v>
      </c>
      <c r="T740">
        <f t="shared" si="1003"/>
        <v>22.592350583926486</v>
      </c>
    </row>
    <row r="741" spans="1:20" x14ac:dyDescent="0.25">
      <c r="A741" s="5">
        <v>43852</v>
      </c>
      <c r="B741">
        <v>5.9639999999999997E-3</v>
      </c>
      <c r="C741">
        <v>6.0000000000000001E-3</v>
      </c>
      <c r="D741">
        <v>5.8009999999999997E-3</v>
      </c>
      <c r="E741">
        <v>5.8630000000000002E-3</v>
      </c>
      <c r="F741">
        <v>269483333</v>
      </c>
      <c r="G741">
        <v>0</v>
      </c>
      <c r="L741" t="s">
        <v>7</v>
      </c>
      <c r="M741" t="s">
        <v>8</v>
      </c>
      <c r="N741" t="s">
        <v>8</v>
      </c>
      <c r="P741">
        <f t="shared" si="999"/>
        <v>-0.37688442211054973</v>
      </c>
      <c r="Q741">
        <f t="shared" si="1000"/>
        <v>-101564070.22612983</v>
      </c>
      <c r="R741">
        <f t="shared" si="1001"/>
        <v>2451913544.7921648</v>
      </c>
      <c r="S741">
        <f t="shared" si="1002"/>
        <v>24519.13544792165</v>
      </c>
      <c r="T741">
        <f t="shared" si="1003"/>
        <v>24.519135447921649</v>
      </c>
    </row>
    <row r="742" spans="1:20" x14ac:dyDescent="0.25">
      <c r="A742" s="5">
        <v>43851</v>
      </c>
      <c r="B742">
        <v>5.8170000000000001E-3</v>
      </c>
      <c r="C742">
        <v>6.0109999999999999E-3</v>
      </c>
      <c r="D742">
        <v>5.7429999999999998E-3</v>
      </c>
      <c r="E742">
        <v>5.9639999999999997E-3</v>
      </c>
      <c r="F742">
        <v>513453392</v>
      </c>
      <c r="G742">
        <v>0</v>
      </c>
      <c r="L742" t="s">
        <v>7</v>
      </c>
      <c r="M742" t="s">
        <v>8</v>
      </c>
      <c r="N742" t="s">
        <v>8</v>
      </c>
      <c r="P742">
        <f t="shared" si="999"/>
        <v>0.64925373134328235</v>
      </c>
      <c r="Q742">
        <f t="shared" si="1000"/>
        <v>333361530.62686503</v>
      </c>
      <c r="R742">
        <f t="shared" si="1001"/>
        <v>2553477615.0182948</v>
      </c>
      <c r="S742">
        <f t="shared" si="1002"/>
        <v>25534.776150182948</v>
      </c>
      <c r="T742">
        <f t="shared" si="1003"/>
        <v>25.53477615018295</v>
      </c>
    </row>
    <row r="743" spans="1:20" x14ac:dyDescent="0.25">
      <c r="A743" s="5">
        <v>43850</v>
      </c>
      <c r="B743">
        <v>5.8630000000000002E-3</v>
      </c>
      <c r="C743">
        <v>5.9719999999999999E-3</v>
      </c>
      <c r="D743">
        <v>5.6899999999999997E-3</v>
      </c>
      <c r="E743">
        <v>5.8139999999999997E-3</v>
      </c>
      <c r="F743">
        <v>482101637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-0.12056737588652539</v>
      </c>
      <c r="Q743">
        <f t="shared" si="1000"/>
        <v>-58125729.283688217</v>
      </c>
      <c r="R743">
        <f t="shared" si="1001"/>
        <v>2220116084.3914299</v>
      </c>
      <c r="S743">
        <f t="shared" si="1002"/>
        <v>22201.160843914298</v>
      </c>
      <c r="T743">
        <f t="shared" si="1003"/>
        <v>22.201160843914298</v>
      </c>
    </row>
    <row r="744" spans="1:20" x14ac:dyDescent="0.25">
      <c r="A744" s="5">
        <v>43849</v>
      </c>
      <c r="B744">
        <v>6.2379999999999996E-3</v>
      </c>
      <c r="C744">
        <v>6.2969999999999996E-3</v>
      </c>
      <c r="D744">
        <v>5.77E-3</v>
      </c>
      <c r="E744">
        <v>5.862E-3</v>
      </c>
      <c r="F744">
        <v>969319923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-0.65085388994307358</v>
      </c>
      <c r="Q744">
        <f t="shared" si="1000"/>
        <v>-630885642.48387051</v>
      </c>
      <c r="R744">
        <f t="shared" si="1001"/>
        <v>2278241813.675118</v>
      </c>
      <c r="S744">
        <f t="shared" si="1002"/>
        <v>22782.418136751181</v>
      </c>
      <c r="T744">
        <f t="shared" si="1003"/>
        <v>22.782418136751183</v>
      </c>
    </row>
    <row r="745" spans="1:20" x14ac:dyDescent="0.25">
      <c r="A745" s="5">
        <v>43848</v>
      </c>
      <c r="B745">
        <v>6.3930000000000002E-3</v>
      </c>
      <c r="C745">
        <v>6.4000000000000003E-3</v>
      </c>
      <c r="D745">
        <v>6.0949999999999997E-3</v>
      </c>
      <c r="E745">
        <v>6.2389999999999998E-3</v>
      </c>
      <c r="F745">
        <v>621111653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-5.5737704918034391E-2</v>
      </c>
      <c r="Q745">
        <f t="shared" si="1000"/>
        <v>-34619338.036066569</v>
      </c>
      <c r="R745">
        <f t="shared" si="1001"/>
        <v>2909127456.1589885</v>
      </c>
      <c r="S745">
        <f t="shared" si="1002"/>
        <v>29091.274561589886</v>
      </c>
      <c r="T745">
        <f t="shared" si="1003"/>
        <v>29.091274561589884</v>
      </c>
    </row>
    <row r="746" spans="1:20" x14ac:dyDescent="0.25">
      <c r="A746" s="5">
        <v>43847</v>
      </c>
      <c r="B746">
        <v>5.8830000000000002E-3</v>
      </c>
      <c r="C746">
        <v>6.5789999999999998E-3</v>
      </c>
      <c r="D746">
        <v>5.8310000000000002E-3</v>
      </c>
      <c r="E746">
        <v>6.3920000000000001E-3</v>
      </c>
      <c r="F746">
        <v>1483242988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0.50000000000000056</v>
      </c>
      <c r="Q746">
        <f t="shared" si="1000"/>
        <v>741621494.00000083</v>
      </c>
      <c r="R746">
        <f t="shared" si="1001"/>
        <v>2943746794.195055</v>
      </c>
      <c r="S746">
        <f t="shared" si="1002"/>
        <v>29437.467941950548</v>
      </c>
      <c r="T746">
        <f t="shared" si="1003"/>
        <v>29.437467941950548</v>
      </c>
    </row>
    <row r="747" spans="1:20" x14ac:dyDescent="0.25">
      <c r="A747" s="5">
        <v>43846</v>
      </c>
      <c r="B747">
        <v>6.0020000000000004E-3</v>
      </c>
      <c r="C747">
        <v>6.0489999999999997E-3</v>
      </c>
      <c r="D747">
        <v>5.7089999999999997E-3</v>
      </c>
      <c r="E747">
        <v>5.8849999999999996E-3</v>
      </c>
      <c r="F747">
        <v>769847102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3.5294117647058407E-2</v>
      </c>
      <c r="Q747">
        <f t="shared" si="1000"/>
        <v>27171074.188234974</v>
      </c>
      <c r="R747">
        <f t="shared" si="1001"/>
        <v>2202125300.1950541</v>
      </c>
      <c r="S747">
        <f t="shared" si="1002"/>
        <v>22021.253001950539</v>
      </c>
      <c r="T747">
        <f t="shared" si="1003"/>
        <v>22.021253001950541</v>
      </c>
    </row>
    <row r="748" spans="1:20" x14ac:dyDescent="0.25">
      <c r="A748" s="5">
        <v>43845</v>
      </c>
      <c r="B748">
        <v>5.9930000000000001E-3</v>
      </c>
      <c r="C748">
        <v>6.2480000000000001E-3</v>
      </c>
      <c r="D748">
        <v>5.7340000000000004E-3</v>
      </c>
      <c r="E748">
        <v>6.0029999999999997E-3</v>
      </c>
      <c r="F748">
        <v>1490447526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4.6692607003888838E-2</v>
      </c>
      <c r="Q748">
        <f t="shared" si="1000"/>
        <v>69592880.591436386</v>
      </c>
      <c r="R748">
        <f t="shared" si="1001"/>
        <v>2174954226.0068192</v>
      </c>
      <c r="S748">
        <f t="shared" si="1002"/>
        <v>21749.542260068192</v>
      </c>
      <c r="T748">
        <f t="shared" si="1003"/>
        <v>21.749542260068193</v>
      </c>
    </row>
    <row r="749" spans="1:20" x14ac:dyDescent="0.25">
      <c r="A749" s="5">
        <v>43844</v>
      </c>
      <c r="B749">
        <v>5.4149999999999997E-3</v>
      </c>
      <c r="C749">
        <v>6.0590000000000001E-3</v>
      </c>
      <c r="D749">
        <v>5.4060000000000002E-3</v>
      </c>
      <c r="E749">
        <v>5.9940000000000002E-3</v>
      </c>
      <c r="F749">
        <v>1740877625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0.80091883614088832</v>
      </c>
      <c r="Q749">
        <f t="shared" si="1000"/>
        <v>1394301681.2787139</v>
      </c>
      <c r="R749">
        <f t="shared" si="1001"/>
        <v>2105361345.4153829</v>
      </c>
      <c r="S749">
        <f t="shared" si="1002"/>
        <v>21053.61345415383</v>
      </c>
      <c r="T749">
        <f t="shared" si="1003"/>
        <v>21.05361345415383</v>
      </c>
    </row>
    <row r="750" spans="1:20" x14ac:dyDescent="0.25">
      <c r="A750" s="5">
        <v>43843</v>
      </c>
      <c r="B750">
        <v>5.5259999999999997E-3</v>
      </c>
      <c r="C750">
        <v>5.5290000000000001E-3</v>
      </c>
      <c r="D750">
        <v>5.352E-3</v>
      </c>
      <c r="E750">
        <v>5.4070000000000003E-3</v>
      </c>
      <c r="F750">
        <v>291523187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-0.37853107344632386</v>
      </c>
      <c r="Q750">
        <f t="shared" si="1000"/>
        <v>-110350584.9096034</v>
      </c>
      <c r="R750">
        <f t="shared" si="1001"/>
        <v>711059664.13666904</v>
      </c>
      <c r="S750">
        <f t="shared" si="1002"/>
        <v>7110.5966413666902</v>
      </c>
      <c r="T750">
        <f t="shared" si="1003"/>
        <v>7.1105966413666906</v>
      </c>
    </row>
    <row r="751" spans="1:20" x14ac:dyDescent="0.25">
      <c r="A751" s="5">
        <v>43842</v>
      </c>
      <c r="B751">
        <v>5.5240000000000003E-3</v>
      </c>
      <c r="C751">
        <v>5.594E-3</v>
      </c>
      <c r="D751">
        <v>5.4200000000000003E-3</v>
      </c>
      <c r="E751">
        <v>5.5230000000000001E-3</v>
      </c>
      <c r="F751">
        <v>543729250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0.18390804597701133</v>
      </c>
      <c r="Q751">
        <f t="shared" si="1000"/>
        <v>99996183.908045888</v>
      </c>
      <c r="R751">
        <f t="shared" si="1001"/>
        <v>821410249.0462724</v>
      </c>
      <c r="S751">
        <f t="shared" si="1002"/>
        <v>8214.1024904627247</v>
      </c>
      <c r="T751">
        <f t="shared" si="1003"/>
        <v>8.2141024904627251</v>
      </c>
    </row>
    <row r="752" spans="1:20" x14ac:dyDescent="0.25">
      <c r="A752" s="5">
        <v>43841</v>
      </c>
      <c r="B752">
        <v>5.4510000000000001E-3</v>
      </c>
      <c r="C752">
        <v>5.5500000000000002E-3</v>
      </c>
      <c r="D752">
        <v>5.3499999999999997E-3</v>
      </c>
      <c r="E752">
        <v>5.5259999999999997E-3</v>
      </c>
      <c r="F752">
        <v>611880898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0.75999999999999479</v>
      </c>
      <c r="Q752">
        <f t="shared" si="1000"/>
        <v>465029482.4799968</v>
      </c>
      <c r="R752">
        <f t="shared" si="1001"/>
        <v>721414065.13822651</v>
      </c>
      <c r="S752">
        <f t="shared" si="1002"/>
        <v>7214.1406513822649</v>
      </c>
      <c r="T752">
        <f t="shared" si="1003"/>
        <v>7.214140651382265</v>
      </c>
    </row>
    <row r="753" spans="1:20" x14ac:dyDescent="0.25">
      <c r="A753" s="5">
        <v>43840</v>
      </c>
      <c r="B753">
        <v>5.3280000000000003E-3</v>
      </c>
      <c r="C753">
        <v>5.5799999999999999E-3</v>
      </c>
      <c r="D753">
        <v>5.2940000000000001E-3</v>
      </c>
      <c r="E753">
        <v>5.4539999999999996E-3</v>
      </c>
      <c r="F753">
        <v>716327414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0.11888111888111655</v>
      </c>
      <c r="Q753">
        <f t="shared" si="1000"/>
        <v>85157804.461536795</v>
      </c>
      <c r="R753">
        <f t="shared" si="1001"/>
        <v>256384582.65822968</v>
      </c>
      <c r="S753">
        <f t="shared" si="1002"/>
        <v>2563.8458265822969</v>
      </c>
      <c r="T753">
        <f t="shared" si="1003"/>
        <v>2.563845826582297</v>
      </c>
    </row>
    <row r="754" spans="1:20" x14ac:dyDescent="0.25">
      <c r="A754" s="5">
        <v>43839</v>
      </c>
      <c r="B754">
        <v>5.4939999999999998E-3</v>
      </c>
      <c r="C754">
        <v>5.4939999999999998E-3</v>
      </c>
      <c r="D754">
        <v>5.3049999999999998E-3</v>
      </c>
      <c r="E754">
        <v>5.3189999999999999E-3</v>
      </c>
      <c r="F754">
        <v>416043450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-0.85185185185185053</v>
      </c>
      <c r="Q754">
        <f t="shared" si="1000"/>
        <v>-354407383.33333278</v>
      </c>
      <c r="R754">
        <f t="shared" si="1001"/>
        <v>171226778.19669288</v>
      </c>
      <c r="S754">
        <f t="shared" si="1002"/>
        <v>1712.2677819669289</v>
      </c>
      <c r="T754">
        <f t="shared" si="1003"/>
        <v>1.7122677819669287</v>
      </c>
    </row>
    <row r="755" spans="1:20" x14ac:dyDescent="0.25">
      <c r="A755" s="5">
        <v>43838</v>
      </c>
      <c r="B755">
        <v>5.5719999999999997E-3</v>
      </c>
      <c r="C755">
        <v>5.6189999999999999E-3</v>
      </c>
      <c r="D755">
        <v>5.1999999999999998E-3</v>
      </c>
      <c r="E755">
        <v>5.4920000000000004E-3</v>
      </c>
      <c r="F755">
        <v>1074068492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0.3937947494033438</v>
      </c>
      <c r="Q755">
        <f t="shared" si="1000"/>
        <v>422962532.64916736</v>
      </c>
      <c r="R755">
        <f t="shared" si="1001"/>
        <v>525634161.53002566</v>
      </c>
      <c r="S755">
        <f t="shared" si="1002"/>
        <v>5256.3416153002563</v>
      </c>
      <c r="T755">
        <f t="shared" si="1003"/>
        <v>5.256341615300256</v>
      </c>
    </row>
    <row r="756" spans="1:20" x14ac:dyDescent="0.25">
      <c r="A756" s="5">
        <v>43837</v>
      </c>
      <c r="B756">
        <v>5.7320000000000001E-3</v>
      </c>
      <c r="C756">
        <v>5.7879999999999997E-3</v>
      </c>
      <c r="D756">
        <v>5.4539999999999996E-3</v>
      </c>
      <c r="E756">
        <v>5.5779999999999996E-3</v>
      </c>
      <c r="F756">
        <v>795501022</v>
      </c>
      <c r="G756">
        <v>0</v>
      </c>
      <c r="L756" t="s">
        <v>8</v>
      </c>
      <c r="M756" t="s">
        <v>7</v>
      </c>
      <c r="N756" t="s">
        <v>7</v>
      </c>
      <c r="P756">
        <f t="shared" si="999"/>
        <v>-0.25748502994012012</v>
      </c>
      <c r="Q756">
        <f t="shared" si="1000"/>
        <v>-204829604.46706617</v>
      </c>
      <c r="R756">
        <f t="shared" si="1001"/>
        <v>102671628.8808583</v>
      </c>
      <c r="S756">
        <f t="shared" si="1002"/>
        <v>1026.7162888085829</v>
      </c>
      <c r="T756">
        <f t="shared" si="1003"/>
        <v>1.026716288808583</v>
      </c>
    </row>
    <row r="757" spans="1:20" x14ac:dyDescent="0.25">
      <c r="A757" s="5">
        <v>43836</v>
      </c>
      <c r="B757">
        <v>5.4669999999999996E-3</v>
      </c>
      <c r="C757">
        <v>5.7419999999999997E-3</v>
      </c>
      <c r="D757">
        <v>5.4310000000000001E-3</v>
      </c>
      <c r="E757">
        <v>5.7299999999999999E-3</v>
      </c>
      <c r="F757">
        <v>916784645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0.9228295819935699</v>
      </c>
      <c r="Q757">
        <f t="shared" si="1000"/>
        <v>846035990.72347343</v>
      </c>
      <c r="R757">
        <f t="shared" si="1001"/>
        <v>307501233.34792447</v>
      </c>
      <c r="S757">
        <f t="shared" si="1002"/>
        <v>3075.0123334792447</v>
      </c>
      <c r="T757">
        <f t="shared" si="1003"/>
        <v>3.0750123334792447</v>
      </c>
    </row>
    <row r="758" spans="1:20" x14ac:dyDescent="0.25">
      <c r="A758" s="5">
        <v>43835</v>
      </c>
      <c r="B758">
        <v>5.6210000000000001E-3</v>
      </c>
      <c r="C758">
        <v>5.6990000000000001E-3</v>
      </c>
      <c r="D758">
        <v>5.4219999999999997E-3</v>
      </c>
      <c r="E758">
        <v>5.4650000000000002E-3</v>
      </c>
      <c r="F758">
        <v>531159516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-0.68953068592057432</v>
      </c>
      <c r="Q758">
        <f t="shared" si="1000"/>
        <v>-366250785.40072024</v>
      </c>
      <c r="R758">
        <f t="shared" si="1001"/>
        <v>-538534757.37554896</v>
      </c>
      <c r="S758">
        <f t="shared" si="1002"/>
        <v>-5385.34757375549</v>
      </c>
      <c r="T758">
        <f t="shared" si="1003"/>
        <v>-5.3853475737554897</v>
      </c>
    </row>
    <row r="759" spans="1:20" x14ac:dyDescent="0.25">
      <c r="A759" s="5">
        <v>43834</v>
      </c>
      <c r="B759">
        <v>5.3319999999999999E-3</v>
      </c>
      <c r="C759">
        <v>5.6740000000000002E-3</v>
      </c>
      <c r="D759">
        <v>5.2820000000000002E-3</v>
      </c>
      <c r="E759">
        <v>5.62E-3</v>
      </c>
      <c r="F759">
        <v>533415662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0.72448979591836615</v>
      </c>
      <c r="Q759">
        <f t="shared" si="1000"/>
        <v>386454204.10204017</v>
      </c>
      <c r="R759">
        <f t="shared" si="1001"/>
        <v>-172283971.97482872</v>
      </c>
      <c r="S759">
        <f t="shared" si="1002"/>
        <v>-1722.8397197482873</v>
      </c>
      <c r="T759">
        <f t="shared" si="1003"/>
        <v>-1.7228397197482872</v>
      </c>
    </row>
    <row r="760" spans="1:20" x14ac:dyDescent="0.25">
      <c r="A760" s="5">
        <v>43833</v>
      </c>
      <c r="B760">
        <v>5.0939999999999996E-3</v>
      </c>
      <c r="C760">
        <v>5.4489999999999999E-3</v>
      </c>
      <c r="D760">
        <v>5.0099999999999997E-3</v>
      </c>
      <c r="E760">
        <v>5.3270000000000001E-3</v>
      </c>
      <c r="F760">
        <v>601653460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0.44419134396355503</v>
      </c>
      <c r="Q760">
        <f t="shared" si="1000"/>
        <v>267249258.99772298</v>
      </c>
      <c r="R760">
        <f t="shared" si="1001"/>
        <v>-558738176.07686889</v>
      </c>
      <c r="S760">
        <f t="shared" si="1002"/>
        <v>-5587.3817607686888</v>
      </c>
      <c r="T760">
        <f t="shared" si="1003"/>
        <v>-5.5873817607686886</v>
      </c>
    </row>
    <row r="761" spans="1:20" x14ac:dyDescent="0.25">
      <c r="A761" s="5">
        <v>43832</v>
      </c>
      <c r="B761">
        <v>5.3569999999999998E-3</v>
      </c>
      <c r="C761">
        <v>5.4060000000000002E-3</v>
      </c>
      <c r="D761">
        <v>5.0590000000000001E-3</v>
      </c>
      <c r="E761">
        <v>5.0939999999999996E-3</v>
      </c>
      <c r="F761">
        <v>417081261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-0.79827089337176116</v>
      </c>
      <c r="Q761">
        <f t="shared" si="1000"/>
        <v>-332943830.82709068</v>
      </c>
      <c r="R761">
        <f t="shared" si="1001"/>
        <v>-825987435.07459188</v>
      </c>
      <c r="S761">
        <f t="shared" si="1002"/>
        <v>-8259.8743507459185</v>
      </c>
      <c r="T761">
        <f t="shared" si="1003"/>
        <v>-8.2598743507459194</v>
      </c>
    </row>
    <row r="762" spans="1:20" x14ac:dyDescent="0.25">
      <c r="A762" s="5">
        <v>43831</v>
      </c>
      <c r="B762">
        <v>5.2389999999999997E-3</v>
      </c>
      <c r="C762">
        <v>5.5250000000000004E-3</v>
      </c>
      <c r="D762">
        <v>5.2290000000000001E-3</v>
      </c>
      <c r="E762">
        <v>5.3579999999999999E-3</v>
      </c>
      <c r="F762">
        <v>453812899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-0.12837837837838065</v>
      </c>
      <c r="Q762">
        <f t="shared" si="1000"/>
        <v>-58259764.06081184</v>
      </c>
      <c r="R762">
        <f t="shared" si="1001"/>
        <v>-493043604.24750119</v>
      </c>
      <c r="S762">
        <f t="shared" si="1002"/>
        <v>-4930.4360424750121</v>
      </c>
      <c r="T762">
        <f t="shared" si="1003"/>
        <v>-4.9304360424750122</v>
      </c>
    </row>
    <row r="763" spans="1:20" x14ac:dyDescent="0.25">
      <c r="A763" s="5">
        <v>43830</v>
      </c>
      <c r="B763">
        <v>5.424E-3</v>
      </c>
      <c r="C763">
        <v>5.4440000000000001E-3</v>
      </c>
      <c r="D763">
        <v>5.1549999999999999E-3</v>
      </c>
      <c r="E763">
        <v>5.2420000000000001E-3</v>
      </c>
      <c r="F763">
        <v>489461979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-0.3979238754325245</v>
      </c>
      <c r="Q763">
        <f t="shared" si="1000"/>
        <v>-194768607.56055292</v>
      </c>
      <c r="R763">
        <f t="shared" si="1001"/>
        <v>-434783840.18668938</v>
      </c>
      <c r="S763">
        <f t="shared" si="1002"/>
        <v>-4347.8384018668939</v>
      </c>
      <c r="T763">
        <f t="shared" si="1003"/>
        <v>-4.3478384018668939</v>
      </c>
    </row>
    <row r="764" spans="1:20" x14ac:dyDescent="0.25">
      <c r="A764" s="5">
        <v>43829</v>
      </c>
      <c r="B764">
        <v>5.5729999999999998E-3</v>
      </c>
      <c r="C764">
        <v>5.6490000000000004E-3</v>
      </c>
      <c r="D764">
        <v>5.411E-3</v>
      </c>
      <c r="E764">
        <v>5.4270000000000004E-3</v>
      </c>
      <c r="F764">
        <v>547619850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-0.86554621848739188</v>
      </c>
      <c r="Q764">
        <f t="shared" si="1000"/>
        <v>-473990290.33613276</v>
      </c>
      <c r="R764">
        <f t="shared" si="1001"/>
        <v>-240015232.62613642</v>
      </c>
      <c r="S764">
        <f t="shared" si="1002"/>
        <v>-2400.1523262613641</v>
      </c>
      <c r="T764">
        <f t="shared" si="1003"/>
        <v>-2.400152326261364</v>
      </c>
    </row>
    <row r="765" spans="1:20" x14ac:dyDescent="0.25">
      <c r="A765" s="5">
        <v>43828</v>
      </c>
      <c r="B765">
        <v>5.666E-3</v>
      </c>
      <c r="C765">
        <v>5.8450000000000004E-3</v>
      </c>
      <c r="D765">
        <v>5.5579999999999996E-3</v>
      </c>
      <c r="E765">
        <v>5.5760000000000002E-3</v>
      </c>
      <c r="F765">
        <v>779468369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-0.8745644599303094</v>
      </c>
      <c r="Q765">
        <f t="shared" si="1000"/>
        <v>-681695333.16724408</v>
      </c>
      <c r="R765">
        <f t="shared" si="1001"/>
        <v>233975057.70999634</v>
      </c>
      <c r="S765">
        <f t="shared" si="1002"/>
        <v>2339.7505770999633</v>
      </c>
      <c r="T765">
        <f t="shared" si="1003"/>
        <v>2.3397505770999634</v>
      </c>
    </row>
    <row r="766" spans="1:20" x14ac:dyDescent="0.25">
      <c r="A766" s="5">
        <v>43827</v>
      </c>
      <c r="B766">
        <v>5.6649999999999999E-3</v>
      </c>
      <c r="C766">
        <v>5.7790000000000003E-3</v>
      </c>
      <c r="D766">
        <v>5.5440000000000003E-3</v>
      </c>
      <c r="E766">
        <v>5.666E-3</v>
      </c>
      <c r="F766">
        <v>585289045</v>
      </c>
      <c r="G766">
        <v>0</v>
      </c>
      <c r="L766" t="s">
        <v>8</v>
      </c>
      <c r="M766" t="s">
        <v>7</v>
      </c>
      <c r="N766" t="s">
        <v>7</v>
      </c>
      <c r="P766">
        <f t="shared" si="999"/>
        <v>3.8297872340423242E-2</v>
      </c>
      <c r="Q766">
        <f t="shared" si="1000"/>
        <v>22415325.127658233</v>
      </c>
      <c r="R766">
        <f t="shared" si="1001"/>
        <v>915670390.87724042</v>
      </c>
      <c r="S766">
        <f t="shared" si="1002"/>
        <v>9156.7039087724042</v>
      </c>
      <c r="T766">
        <f t="shared" si="1003"/>
        <v>9.1567039087724034</v>
      </c>
    </row>
    <row r="767" spans="1:20" x14ac:dyDescent="0.25">
      <c r="A767" s="5">
        <v>43826</v>
      </c>
      <c r="B767">
        <v>5.4850000000000003E-3</v>
      </c>
      <c r="C767">
        <v>5.7790000000000003E-3</v>
      </c>
      <c r="D767">
        <v>5.3140000000000001E-3</v>
      </c>
      <c r="E767">
        <v>5.6649999999999999E-3</v>
      </c>
      <c r="F767">
        <v>826165900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0.50967741935483724</v>
      </c>
      <c r="Q767">
        <f t="shared" ref="Q767:Q830" si="1005">F767*P767</f>
        <v>421078103.87096655</v>
      </c>
      <c r="R767">
        <f t="shared" ref="R767:R830" si="1006">R768+Q767</f>
        <v>893255065.74958217</v>
      </c>
      <c r="S767">
        <f t="shared" ref="S767:S830" si="1007">R767/100000</f>
        <v>8932.5506574958217</v>
      </c>
      <c r="T767">
        <f t="shared" ref="T767:T830" si="1008">S767/1000</f>
        <v>8.9325506574958222</v>
      </c>
    </row>
    <row r="768" spans="1:20" x14ac:dyDescent="0.25">
      <c r="A768" s="5">
        <v>43825</v>
      </c>
      <c r="B768">
        <v>5.8469999999999998E-3</v>
      </c>
      <c r="C768">
        <v>5.8469999999999998E-3</v>
      </c>
      <c r="D768">
        <v>5.4209999999999996E-3</v>
      </c>
      <c r="E768">
        <v>5.4850000000000003E-3</v>
      </c>
      <c r="F768">
        <v>1085877121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-0.69953051643192177</v>
      </c>
      <c r="Q768">
        <f t="shared" si="1005"/>
        <v>-759604183.23473835</v>
      </c>
      <c r="R768">
        <f t="shared" si="1006"/>
        <v>472176961.87861562</v>
      </c>
      <c r="S768">
        <f t="shared" si="1007"/>
        <v>4721.7696187861566</v>
      </c>
      <c r="T768">
        <f t="shared" si="1008"/>
        <v>4.7217696187861566</v>
      </c>
    </row>
    <row r="769" spans="1:20" x14ac:dyDescent="0.25">
      <c r="A769" s="5">
        <v>43824</v>
      </c>
      <c r="B769">
        <v>5.9699999999999996E-3</v>
      </c>
      <c r="C769">
        <v>6.0759999999999998E-3</v>
      </c>
      <c r="D769">
        <v>5.777E-3</v>
      </c>
      <c r="E769">
        <v>5.8479999999999999E-3</v>
      </c>
      <c r="F769">
        <v>759715140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-0.52508361204013421</v>
      </c>
      <c r="Q769">
        <f t="shared" si="1005"/>
        <v>-398913969.83277625</v>
      </c>
      <c r="R769">
        <f t="shared" si="1006"/>
        <v>1231781145.113354</v>
      </c>
      <c r="S769">
        <f t="shared" si="1007"/>
        <v>12317.811451133539</v>
      </c>
      <c r="T769">
        <f t="shared" si="1008"/>
        <v>12.317811451133538</v>
      </c>
    </row>
    <row r="770" spans="1:20" x14ac:dyDescent="0.25">
      <c r="A770" s="5">
        <v>43823</v>
      </c>
      <c r="B770">
        <v>5.9150000000000001E-3</v>
      </c>
      <c r="C770">
        <v>6.2979999999999998E-3</v>
      </c>
      <c r="D770">
        <v>5.7829999999999999E-3</v>
      </c>
      <c r="E770">
        <v>5.9740000000000001E-3</v>
      </c>
      <c r="F770">
        <v>1575835348</v>
      </c>
      <c r="G770">
        <v>0</v>
      </c>
      <c r="L770" t="s">
        <v>8</v>
      </c>
      <c r="M770" t="s">
        <v>8</v>
      </c>
      <c r="N770" t="s">
        <v>7</v>
      </c>
      <c r="P770">
        <f t="shared" si="1004"/>
        <v>-0.25825242718446501</v>
      </c>
      <c r="Q770">
        <f t="shared" si="1005"/>
        <v>-406963303.4640761</v>
      </c>
      <c r="R770">
        <f t="shared" si="1006"/>
        <v>1630695114.9461303</v>
      </c>
      <c r="S770">
        <f t="shared" si="1007"/>
        <v>16306.951149461303</v>
      </c>
      <c r="T770">
        <f t="shared" si="1008"/>
        <v>16.306951149461302</v>
      </c>
    </row>
    <row r="771" spans="1:20" x14ac:dyDescent="0.25">
      <c r="A771" s="5">
        <v>43822</v>
      </c>
      <c r="B771">
        <v>5.5170000000000002E-3</v>
      </c>
      <c r="C771">
        <v>6.1720000000000004E-3</v>
      </c>
      <c r="D771">
        <v>5.4559999999999999E-3</v>
      </c>
      <c r="E771">
        <v>5.9170000000000004E-3</v>
      </c>
      <c r="F771">
        <v>1475533765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0.28770949720670436</v>
      </c>
      <c r="Q771">
        <f t="shared" si="1005"/>
        <v>424525077.63966548</v>
      </c>
      <c r="R771">
        <f t="shared" si="1006"/>
        <v>2037658418.4102063</v>
      </c>
      <c r="S771">
        <f t="shared" si="1007"/>
        <v>20376.584184102063</v>
      </c>
      <c r="T771">
        <f t="shared" si="1008"/>
        <v>20.376584184102065</v>
      </c>
    </row>
    <row r="772" spans="1:20" x14ac:dyDescent="0.25">
      <c r="A772" s="5">
        <v>43821</v>
      </c>
      <c r="B772">
        <v>5.3169999999999997E-3</v>
      </c>
      <c r="C772">
        <v>5.6239999999999997E-3</v>
      </c>
      <c r="D772">
        <v>5.2859999999999999E-3</v>
      </c>
      <c r="E772">
        <v>5.5139999999999998E-3</v>
      </c>
      <c r="F772">
        <v>694759079</v>
      </c>
      <c r="G772">
        <v>0</v>
      </c>
      <c r="L772" t="s">
        <v>8</v>
      </c>
      <c r="M772" t="s">
        <v>8</v>
      </c>
      <c r="N772" t="s">
        <v>7</v>
      </c>
      <c r="P772">
        <f t="shared" si="1004"/>
        <v>0.34911242603550335</v>
      </c>
      <c r="Q772">
        <f t="shared" si="1005"/>
        <v>242549027.57988194</v>
      </c>
      <c r="R772">
        <f t="shared" si="1006"/>
        <v>1613133340.7705407</v>
      </c>
      <c r="S772">
        <f t="shared" si="1007"/>
        <v>16131.333407705408</v>
      </c>
      <c r="T772">
        <f t="shared" si="1008"/>
        <v>16.131333407705409</v>
      </c>
    </row>
    <row r="773" spans="1:20" x14ac:dyDescent="0.25">
      <c r="A773" s="5">
        <v>43820</v>
      </c>
      <c r="B773">
        <v>5.3959999999999998E-3</v>
      </c>
      <c r="C773">
        <v>5.5529999999999998E-3</v>
      </c>
      <c r="D773">
        <v>5.2700000000000004E-3</v>
      </c>
      <c r="E773">
        <v>5.3160000000000004E-3</v>
      </c>
      <c r="F773">
        <v>528005111</v>
      </c>
      <c r="G773">
        <v>0</v>
      </c>
      <c r="L773" t="s">
        <v>8</v>
      </c>
      <c r="M773" t="s">
        <v>8</v>
      </c>
      <c r="N773" t="s">
        <v>7</v>
      </c>
      <c r="P773">
        <f t="shared" si="1004"/>
        <v>-0.67491166077738418</v>
      </c>
      <c r="Q773">
        <f t="shared" si="1005"/>
        <v>-356356806.36395711</v>
      </c>
      <c r="R773">
        <f t="shared" si="1006"/>
        <v>1370584313.1906588</v>
      </c>
      <c r="S773">
        <f t="shared" si="1007"/>
        <v>13705.843131906588</v>
      </c>
      <c r="T773">
        <f t="shared" si="1008"/>
        <v>13.705843131906587</v>
      </c>
    </row>
    <row r="774" spans="1:20" x14ac:dyDescent="0.25">
      <c r="A774" s="5">
        <v>43819</v>
      </c>
      <c r="B774">
        <v>5.0470000000000003E-3</v>
      </c>
      <c r="C774">
        <v>5.5599999999999998E-3</v>
      </c>
      <c r="D774">
        <v>4.9560000000000003E-3</v>
      </c>
      <c r="E774">
        <v>5.3949999999999996E-3</v>
      </c>
      <c r="F774">
        <v>1079471089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0.45364238410595908</v>
      </c>
      <c r="Q774">
        <f t="shared" si="1005"/>
        <v>489693838.38741595</v>
      </c>
      <c r="R774">
        <f t="shared" si="1006"/>
        <v>1726941119.554616</v>
      </c>
      <c r="S774">
        <f t="shared" si="1007"/>
        <v>17269.411195546159</v>
      </c>
      <c r="T774">
        <f t="shared" si="1008"/>
        <v>17.269411195546159</v>
      </c>
    </row>
    <row r="775" spans="1:20" x14ac:dyDescent="0.25">
      <c r="A775" s="5">
        <v>43818</v>
      </c>
      <c r="B775">
        <v>5.3210000000000002E-3</v>
      </c>
      <c r="C775">
        <v>5.3790000000000001E-3</v>
      </c>
      <c r="D775">
        <v>4.875E-3</v>
      </c>
      <c r="E775">
        <v>5.0499999999999998E-3</v>
      </c>
      <c r="F775">
        <v>764399508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-0.30555555555555647</v>
      </c>
      <c r="Q775">
        <f t="shared" si="1005"/>
        <v>-233566516.33333403</v>
      </c>
      <c r="R775">
        <f t="shared" si="1006"/>
        <v>1237247281.1672001</v>
      </c>
      <c r="S775">
        <f t="shared" si="1007"/>
        <v>12372.472811672002</v>
      </c>
      <c r="T775">
        <f t="shared" si="1008"/>
        <v>12.372472811672001</v>
      </c>
    </row>
    <row r="776" spans="1:20" x14ac:dyDescent="0.25">
      <c r="A776" s="5">
        <v>43817</v>
      </c>
      <c r="B776">
        <v>4.646E-3</v>
      </c>
      <c r="C776">
        <v>5.4289999999999998E-3</v>
      </c>
      <c r="D776">
        <v>4.4510000000000001E-3</v>
      </c>
      <c r="E776">
        <v>5.3090000000000004E-3</v>
      </c>
      <c r="F776">
        <v>1794296925</v>
      </c>
      <c r="G776">
        <v>0</v>
      </c>
      <c r="L776" t="s">
        <v>7</v>
      </c>
      <c r="M776" t="s">
        <v>8</v>
      </c>
      <c r="N776" t="s">
        <v>7</v>
      </c>
      <c r="P776">
        <f t="shared" si="1004"/>
        <v>0.75460122699386611</v>
      </c>
      <c r="Q776">
        <f t="shared" si="1005"/>
        <v>1353978661.196321</v>
      </c>
      <c r="R776">
        <f t="shared" si="1006"/>
        <v>1470813797.5005341</v>
      </c>
      <c r="S776">
        <f t="shared" si="1007"/>
        <v>14708.13797500534</v>
      </c>
      <c r="T776">
        <f t="shared" si="1008"/>
        <v>14.708137975005339</v>
      </c>
    </row>
    <row r="777" spans="1:20" x14ac:dyDescent="0.25">
      <c r="A777" s="5">
        <v>43816</v>
      </c>
      <c r="B777">
        <v>5.0340000000000003E-3</v>
      </c>
      <c r="C777">
        <v>5.0920000000000002E-3</v>
      </c>
      <c r="D777">
        <v>4.5500000000000002E-3</v>
      </c>
      <c r="E777">
        <v>4.6439999999999997E-3</v>
      </c>
      <c r="F777">
        <v>1317781126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-0.65313653136531558</v>
      </c>
      <c r="Q777">
        <f t="shared" si="1005"/>
        <v>-860690993.73431993</v>
      </c>
      <c r="R777">
        <f t="shared" si="1006"/>
        <v>116835136.30421293</v>
      </c>
      <c r="S777">
        <f t="shared" si="1007"/>
        <v>1168.3513630421294</v>
      </c>
      <c r="T777">
        <f t="shared" si="1008"/>
        <v>1.1683513630421294</v>
      </c>
    </row>
    <row r="778" spans="1:20" x14ac:dyDescent="0.25">
      <c r="A778" s="5">
        <v>43815</v>
      </c>
      <c r="B778">
        <v>5.5729999999999998E-3</v>
      </c>
      <c r="C778">
        <v>5.5970000000000004E-3</v>
      </c>
      <c r="D778">
        <v>4.9800000000000001E-3</v>
      </c>
      <c r="E778">
        <v>5.0340000000000003E-3</v>
      </c>
      <c r="F778">
        <v>815605875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-0.82495948136142561</v>
      </c>
      <c r="Q778">
        <f t="shared" si="1005"/>
        <v>-672841799.63533175</v>
      </c>
      <c r="R778">
        <f t="shared" si="1006"/>
        <v>977526130.03853285</v>
      </c>
      <c r="S778">
        <f t="shared" si="1007"/>
        <v>9775.2613003853294</v>
      </c>
      <c r="T778">
        <f t="shared" si="1008"/>
        <v>9.7752613003853295</v>
      </c>
    </row>
    <row r="779" spans="1:20" x14ac:dyDescent="0.25">
      <c r="A779" s="5">
        <v>43814</v>
      </c>
      <c r="B779">
        <v>5.4520000000000002E-3</v>
      </c>
      <c r="C779">
        <v>5.6909999999999999E-3</v>
      </c>
      <c r="D779">
        <v>5.2249999999999996E-3</v>
      </c>
      <c r="E779">
        <v>5.5690000000000002E-3</v>
      </c>
      <c r="F779">
        <v>1030970207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0.47639484978540925</v>
      </c>
      <c r="Q779">
        <f t="shared" si="1005"/>
        <v>491148896.89699727</v>
      </c>
      <c r="R779">
        <f t="shared" si="1006"/>
        <v>1650367929.6738646</v>
      </c>
      <c r="S779">
        <f t="shared" si="1007"/>
        <v>16503.679296738646</v>
      </c>
      <c r="T779">
        <f t="shared" si="1008"/>
        <v>16.503679296738646</v>
      </c>
    </row>
    <row r="780" spans="1:20" x14ac:dyDescent="0.25">
      <c r="A780" s="5">
        <v>43813</v>
      </c>
      <c r="B780">
        <v>5.8900000000000003E-3</v>
      </c>
      <c r="C780">
        <v>5.9569999999999996E-3</v>
      </c>
      <c r="D780">
        <v>5.326E-3</v>
      </c>
      <c r="E780">
        <v>5.4510000000000001E-3</v>
      </c>
      <c r="F780">
        <v>1246261917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-0.60380348652931792</v>
      </c>
      <c r="Q780">
        <f t="shared" si="1005"/>
        <v>-752497290.61331141</v>
      </c>
      <c r="R780">
        <f t="shared" si="1006"/>
        <v>1159219032.7768674</v>
      </c>
      <c r="S780">
        <f t="shared" si="1007"/>
        <v>11592.190327768674</v>
      </c>
      <c r="T780">
        <f t="shared" si="1008"/>
        <v>11.592190327768675</v>
      </c>
    </row>
    <row r="781" spans="1:20" x14ac:dyDescent="0.25">
      <c r="A781" s="5">
        <v>43812</v>
      </c>
      <c r="B781">
        <v>6.2119999999999996E-3</v>
      </c>
      <c r="C781">
        <v>6.6839999999999998E-3</v>
      </c>
      <c r="D781">
        <v>5.6880000000000003E-3</v>
      </c>
      <c r="E781">
        <v>5.8919999999999997E-3</v>
      </c>
      <c r="F781">
        <v>2412776325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-0.59036144578313365</v>
      </c>
      <c r="Q781">
        <f t="shared" si="1005"/>
        <v>-1424410119.578316</v>
      </c>
      <c r="R781">
        <f t="shared" si="1006"/>
        <v>1911716323.3901789</v>
      </c>
      <c r="S781">
        <f t="shared" si="1007"/>
        <v>19117.163233901789</v>
      </c>
      <c r="T781">
        <f t="shared" si="1008"/>
        <v>19.117163233901788</v>
      </c>
    </row>
    <row r="782" spans="1:20" x14ac:dyDescent="0.25">
      <c r="A782" s="5">
        <v>43811</v>
      </c>
      <c r="B782">
        <v>6.0749999999999997E-3</v>
      </c>
      <c r="C782">
        <v>6.3150000000000003E-3</v>
      </c>
      <c r="D782">
        <v>5.7780000000000001E-3</v>
      </c>
      <c r="E782">
        <v>6.2110000000000004E-3</v>
      </c>
      <c r="F782">
        <v>1053059599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0.61266294227188123</v>
      </c>
      <c r="Q782">
        <f t="shared" si="1005"/>
        <v>645170592.31098735</v>
      </c>
      <c r="R782">
        <f t="shared" si="1006"/>
        <v>3336126442.9684949</v>
      </c>
      <c r="S782">
        <f t="shared" si="1007"/>
        <v>33361.264429684947</v>
      </c>
      <c r="T782">
        <f t="shared" si="1008"/>
        <v>33.361264429684944</v>
      </c>
    </row>
    <row r="783" spans="1:20" x14ac:dyDescent="0.25">
      <c r="A783" s="5">
        <v>43810</v>
      </c>
      <c r="B783">
        <v>6.2129999999999998E-3</v>
      </c>
      <c r="C783">
        <v>6.3860000000000002E-3</v>
      </c>
      <c r="D783">
        <v>6.0260000000000001E-3</v>
      </c>
      <c r="E783">
        <v>6.0730000000000003E-3</v>
      </c>
      <c r="F783">
        <v>917895765</v>
      </c>
      <c r="G783">
        <v>0</v>
      </c>
      <c r="L783" t="s">
        <v>7</v>
      </c>
      <c r="M783" t="s">
        <v>7</v>
      </c>
      <c r="N783" t="s">
        <v>8</v>
      </c>
      <c r="P783">
        <f t="shared" si="1004"/>
        <v>-0.73888888888888804</v>
      </c>
      <c r="Q783">
        <f t="shared" si="1005"/>
        <v>-678222981.91666591</v>
      </c>
      <c r="R783">
        <f t="shared" si="1006"/>
        <v>2690955850.6575074</v>
      </c>
      <c r="S783">
        <f t="shared" si="1007"/>
        <v>26909.558506575075</v>
      </c>
      <c r="T783">
        <f t="shared" si="1008"/>
        <v>26.909558506575074</v>
      </c>
    </row>
    <row r="784" spans="1:20" x14ac:dyDescent="0.25">
      <c r="A784" s="5">
        <v>43809</v>
      </c>
      <c r="B784">
        <v>6.8279999999999999E-3</v>
      </c>
      <c r="C784">
        <v>6.8580000000000004E-3</v>
      </c>
      <c r="D784">
        <v>5.927E-3</v>
      </c>
      <c r="E784">
        <v>6.2160000000000002E-3</v>
      </c>
      <c r="F784">
        <v>1948624111</v>
      </c>
      <c r="G784">
        <v>0</v>
      </c>
      <c r="L784" t="s">
        <v>7</v>
      </c>
      <c r="M784" t="s">
        <v>7</v>
      </c>
      <c r="N784" t="s">
        <v>8</v>
      </c>
      <c r="P784">
        <f t="shared" si="1004"/>
        <v>-0.37916219119226624</v>
      </c>
      <c r="Q784">
        <f t="shared" si="1005"/>
        <v>-738844587.7368418</v>
      </c>
      <c r="R784">
        <f t="shared" si="1006"/>
        <v>3369178832.5741735</v>
      </c>
      <c r="S784">
        <f t="shared" si="1007"/>
        <v>33691.788325741734</v>
      </c>
      <c r="T784">
        <f t="shared" si="1008"/>
        <v>33.691788325741733</v>
      </c>
    </row>
    <row r="785" spans="1:20" x14ac:dyDescent="0.25">
      <c r="A785" s="5">
        <v>43808</v>
      </c>
      <c r="B785">
        <v>7.1269999999999997E-3</v>
      </c>
      <c r="C785">
        <v>7.3720000000000001E-3</v>
      </c>
      <c r="D785">
        <v>6.7499999999999999E-3</v>
      </c>
      <c r="E785">
        <v>6.8279999999999999E-3</v>
      </c>
      <c r="F785">
        <v>1130917188</v>
      </c>
      <c r="G785">
        <v>0</v>
      </c>
      <c r="L785" t="s">
        <v>8</v>
      </c>
      <c r="M785" t="s">
        <v>7</v>
      </c>
      <c r="N785" t="s">
        <v>8</v>
      </c>
      <c r="P785">
        <f t="shared" si="1004"/>
        <v>-0.74919614147909996</v>
      </c>
      <c r="Q785">
        <f t="shared" si="1005"/>
        <v>-847278793.58199394</v>
      </c>
      <c r="R785">
        <f t="shared" si="1006"/>
        <v>4108023420.3110151</v>
      </c>
      <c r="S785">
        <f t="shared" si="1007"/>
        <v>41080.234203110151</v>
      </c>
      <c r="T785">
        <f t="shared" si="1008"/>
        <v>41.080234203110152</v>
      </c>
    </row>
    <row r="786" spans="1:20" x14ac:dyDescent="0.25">
      <c r="A786" s="5">
        <v>43807</v>
      </c>
      <c r="B786">
        <v>6.8019999999999999E-3</v>
      </c>
      <c r="C786">
        <v>7.3020000000000003E-3</v>
      </c>
      <c r="D786">
        <v>6.6410000000000002E-3</v>
      </c>
      <c r="E786">
        <v>7.1269999999999997E-3</v>
      </c>
      <c r="F786">
        <v>1428785577</v>
      </c>
      <c r="G786">
        <v>0</v>
      </c>
      <c r="L786" t="s">
        <v>7</v>
      </c>
      <c r="M786" t="s">
        <v>7</v>
      </c>
      <c r="N786" t="s">
        <v>8</v>
      </c>
      <c r="P786">
        <f t="shared" si="1004"/>
        <v>0.470499243570346</v>
      </c>
      <c r="Q786">
        <f t="shared" si="1005"/>
        <v>672242533.2027204</v>
      </c>
      <c r="R786">
        <f t="shared" si="1006"/>
        <v>4955302213.8930092</v>
      </c>
      <c r="S786">
        <f t="shared" si="1007"/>
        <v>49553.022138930093</v>
      </c>
      <c r="T786">
        <f t="shared" si="1008"/>
        <v>49.553022138930096</v>
      </c>
    </row>
    <row r="787" spans="1:20" x14ac:dyDescent="0.25">
      <c r="A787" s="5">
        <v>43806</v>
      </c>
      <c r="B787">
        <v>6.9509999999999997E-3</v>
      </c>
      <c r="C787">
        <v>7.2789999999999999E-3</v>
      </c>
      <c r="D787">
        <v>6.7999999999999996E-3</v>
      </c>
      <c r="E787">
        <v>6.8019999999999999E-3</v>
      </c>
      <c r="F787">
        <v>1226717531</v>
      </c>
      <c r="G787">
        <v>0</v>
      </c>
      <c r="L787" t="s">
        <v>8</v>
      </c>
      <c r="M787" t="s">
        <v>7</v>
      </c>
      <c r="N787" t="s">
        <v>8</v>
      </c>
      <c r="P787">
        <f t="shared" si="1004"/>
        <v>-0.99164926931106356</v>
      </c>
      <c r="Q787">
        <f t="shared" si="1005"/>
        <v>-1216473543.2672219</v>
      </c>
      <c r="R787">
        <f t="shared" si="1006"/>
        <v>4283059680.690289</v>
      </c>
      <c r="S787">
        <f t="shared" si="1007"/>
        <v>42830.59680690289</v>
      </c>
      <c r="T787">
        <f t="shared" si="1008"/>
        <v>42.830596806902889</v>
      </c>
    </row>
    <row r="788" spans="1:20" x14ac:dyDescent="0.25">
      <c r="A788" s="5">
        <v>43805</v>
      </c>
      <c r="B788">
        <v>6.8700000000000002E-3</v>
      </c>
      <c r="C788">
        <v>6.999E-3</v>
      </c>
      <c r="D788">
        <v>6.4570000000000001E-3</v>
      </c>
      <c r="E788">
        <v>6.9449999999999998E-3</v>
      </c>
      <c r="F788">
        <v>1855892625</v>
      </c>
      <c r="G788">
        <v>0</v>
      </c>
      <c r="L788" t="s">
        <v>7</v>
      </c>
      <c r="M788" t="s">
        <v>7</v>
      </c>
      <c r="N788" t="s">
        <v>8</v>
      </c>
      <c r="P788">
        <f t="shared" si="1004"/>
        <v>0.80073800738007295</v>
      </c>
      <c r="Q788">
        <f t="shared" si="1005"/>
        <v>1486083762.4538729</v>
      </c>
      <c r="R788">
        <f t="shared" si="1006"/>
        <v>5499533223.9575109</v>
      </c>
      <c r="S788">
        <f t="shared" si="1007"/>
        <v>54995.332239575109</v>
      </c>
      <c r="T788">
        <f t="shared" si="1008"/>
        <v>54.995332239575106</v>
      </c>
    </row>
    <row r="789" spans="1:20" x14ac:dyDescent="0.25">
      <c r="A789" s="5">
        <v>43804</v>
      </c>
      <c r="B789">
        <v>6.8890000000000002E-3</v>
      </c>
      <c r="C789">
        <v>7.1170000000000001E-3</v>
      </c>
      <c r="D789">
        <v>6.6429999999999996E-3</v>
      </c>
      <c r="E789">
        <v>6.8719999999999996E-3</v>
      </c>
      <c r="F789">
        <v>2332314534</v>
      </c>
      <c r="G789">
        <v>0</v>
      </c>
      <c r="L789" t="s">
        <v>7</v>
      </c>
      <c r="M789" t="s">
        <v>7</v>
      </c>
      <c r="N789" t="s">
        <v>8</v>
      </c>
      <c r="P789">
        <f t="shared" si="1004"/>
        <v>-3.3755274261604164E-2</v>
      </c>
      <c r="Q789">
        <f t="shared" si="1005"/>
        <v>-78727916.759495512</v>
      </c>
      <c r="R789">
        <f t="shared" si="1006"/>
        <v>4013449461.5036378</v>
      </c>
      <c r="S789">
        <f t="shared" si="1007"/>
        <v>40134.494615036376</v>
      </c>
      <c r="T789">
        <f t="shared" si="1008"/>
        <v>40.134494615036374</v>
      </c>
    </row>
    <row r="790" spans="1:20" x14ac:dyDescent="0.25">
      <c r="A790" s="5">
        <v>43803</v>
      </c>
      <c r="B790">
        <v>6.9690000000000004E-3</v>
      </c>
      <c r="C790">
        <v>7.79E-3</v>
      </c>
      <c r="D790">
        <v>6.7450000000000001E-3</v>
      </c>
      <c r="E790">
        <v>6.8840000000000004E-3</v>
      </c>
      <c r="F790">
        <v>3353653506</v>
      </c>
      <c r="G790">
        <v>0</v>
      </c>
      <c r="L790" t="s">
        <v>8</v>
      </c>
      <c r="M790" t="s">
        <v>7</v>
      </c>
      <c r="N790" t="s">
        <v>8</v>
      </c>
      <c r="P790">
        <f t="shared" si="1004"/>
        <v>-0.73397129186602827</v>
      </c>
      <c r="Q790">
        <f t="shared" si="1005"/>
        <v>-2461485396.269855</v>
      </c>
      <c r="R790">
        <f t="shared" si="1006"/>
        <v>4092177378.2631335</v>
      </c>
      <c r="S790">
        <f t="shared" si="1007"/>
        <v>40921.773782631339</v>
      </c>
      <c r="T790">
        <f t="shared" si="1008"/>
        <v>40.921773782631341</v>
      </c>
    </row>
    <row r="791" spans="1:20" x14ac:dyDescent="0.25">
      <c r="A791" s="5">
        <v>43802</v>
      </c>
      <c r="B791">
        <v>7.424E-3</v>
      </c>
      <c r="C791">
        <v>7.6220000000000003E-3</v>
      </c>
      <c r="D791">
        <v>6.7549999999999997E-3</v>
      </c>
      <c r="E791">
        <v>6.9690000000000004E-3</v>
      </c>
      <c r="F791">
        <v>2698497622</v>
      </c>
      <c r="G791">
        <v>0</v>
      </c>
      <c r="L791" t="s">
        <v>7</v>
      </c>
      <c r="M791" t="s">
        <v>7</v>
      </c>
      <c r="N791" t="s">
        <v>8</v>
      </c>
      <c r="P791">
        <f t="shared" si="1004"/>
        <v>-0.50634371395616951</v>
      </c>
      <c r="Q791">
        <f t="shared" si="1005"/>
        <v>-1366367308.0253716</v>
      </c>
      <c r="R791">
        <f t="shared" si="1006"/>
        <v>6553662774.5329885</v>
      </c>
      <c r="S791">
        <f t="shared" si="1007"/>
        <v>65536.627745329883</v>
      </c>
      <c r="T791">
        <f t="shared" si="1008"/>
        <v>65.536627745329881</v>
      </c>
    </row>
    <row r="792" spans="1:20" x14ac:dyDescent="0.25">
      <c r="A792" s="5">
        <v>43801</v>
      </c>
      <c r="B792">
        <v>7.1079999999999997E-3</v>
      </c>
      <c r="C792">
        <v>7.9900000000000006E-3</v>
      </c>
      <c r="D792">
        <v>7.1079999999999997E-3</v>
      </c>
      <c r="E792">
        <v>7.4180000000000001E-3</v>
      </c>
      <c r="F792">
        <v>4571634514</v>
      </c>
      <c r="G792">
        <v>0</v>
      </c>
      <c r="L792" t="s">
        <v>8</v>
      </c>
      <c r="M792" t="s">
        <v>8</v>
      </c>
      <c r="N792" t="s">
        <v>8</v>
      </c>
      <c r="P792">
        <f t="shared" si="1004"/>
        <v>-0.29705215419501113</v>
      </c>
      <c r="Q792">
        <f t="shared" si="1005"/>
        <v>-1358013880.5759628</v>
      </c>
      <c r="R792">
        <f t="shared" si="1006"/>
        <v>7920030082.5583601</v>
      </c>
      <c r="S792">
        <f t="shared" si="1007"/>
        <v>79200.300825583603</v>
      </c>
      <c r="T792">
        <f t="shared" si="1008"/>
        <v>79.200300825583597</v>
      </c>
    </row>
    <row r="793" spans="1:20" x14ac:dyDescent="0.25">
      <c r="A793" s="5">
        <v>43800</v>
      </c>
      <c r="B793">
        <v>6.0819999999999997E-3</v>
      </c>
      <c r="C793">
        <v>7.2249999999999997E-3</v>
      </c>
      <c r="D793">
        <v>5.7429999999999998E-3</v>
      </c>
      <c r="E793">
        <v>7.1029999999999999E-3</v>
      </c>
      <c r="F793">
        <v>3429594729</v>
      </c>
      <c r="G793">
        <v>0</v>
      </c>
      <c r="L793" t="s">
        <v>7</v>
      </c>
      <c r="M793" t="s">
        <v>8</v>
      </c>
      <c r="N793" t="s">
        <v>8</v>
      </c>
      <c r="P793">
        <f t="shared" si="1004"/>
        <v>0.83535762483130938</v>
      </c>
      <c r="Q793">
        <f t="shared" si="1005"/>
        <v>2864938106.9514179</v>
      </c>
      <c r="R793">
        <f t="shared" si="1006"/>
        <v>9278043963.1343231</v>
      </c>
      <c r="S793">
        <f t="shared" si="1007"/>
        <v>92780.439631343237</v>
      </c>
      <c r="T793">
        <f t="shared" si="1008"/>
        <v>92.780439631343242</v>
      </c>
    </row>
    <row r="794" spans="1:20" x14ac:dyDescent="0.25">
      <c r="A794" s="5">
        <v>43799</v>
      </c>
      <c r="B794">
        <v>6.476E-3</v>
      </c>
      <c r="C794">
        <v>6.4770000000000001E-3</v>
      </c>
      <c r="D794">
        <v>5.9649999999999998E-3</v>
      </c>
      <c r="E794">
        <v>6.0850000000000001E-3</v>
      </c>
      <c r="F794">
        <v>1071439935</v>
      </c>
      <c r="G794">
        <v>0</v>
      </c>
      <c r="L794" t="s">
        <v>7</v>
      </c>
      <c r="M794" t="s">
        <v>8</v>
      </c>
      <c r="N794" t="s">
        <v>8</v>
      </c>
      <c r="P794">
        <f t="shared" si="1004"/>
        <v>-0.531249999999999</v>
      </c>
      <c r="Q794">
        <f t="shared" si="1005"/>
        <v>-569202465.46874893</v>
      </c>
      <c r="R794">
        <f t="shared" si="1006"/>
        <v>6413105856.1829042</v>
      </c>
      <c r="S794">
        <f t="shared" si="1007"/>
        <v>64131.058561829042</v>
      </c>
      <c r="T794">
        <f t="shared" si="1008"/>
        <v>64.131058561829036</v>
      </c>
    </row>
    <row r="795" spans="1:20" x14ac:dyDescent="0.25">
      <c r="A795" s="5">
        <v>43798</v>
      </c>
      <c r="B795">
        <v>6.3499999999999997E-3</v>
      </c>
      <c r="C795">
        <v>6.5290000000000001E-3</v>
      </c>
      <c r="D795">
        <v>6.1999999999999998E-3</v>
      </c>
      <c r="E795">
        <v>6.4790000000000004E-3</v>
      </c>
      <c r="F795">
        <v>1128862029</v>
      </c>
      <c r="G795">
        <v>0</v>
      </c>
      <c r="L795" t="s">
        <v>8</v>
      </c>
      <c r="M795" t="s">
        <v>8</v>
      </c>
      <c r="N795" t="s">
        <v>8</v>
      </c>
      <c r="P795">
        <f t="shared" si="1004"/>
        <v>0.69604863221884705</v>
      </c>
      <c r="Q795">
        <f t="shared" si="1005"/>
        <v>785742871.24924242</v>
      </c>
      <c r="R795">
        <f t="shared" si="1006"/>
        <v>6982308321.6516533</v>
      </c>
      <c r="S795">
        <f t="shared" si="1007"/>
        <v>69823.083216516534</v>
      </c>
      <c r="T795">
        <f t="shared" si="1008"/>
        <v>69.823083216516537</v>
      </c>
    </row>
    <row r="796" spans="1:20" x14ac:dyDescent="0.25">
      <c r="A796" s="5">
        <v>43797</v>
      </c>
      <c r="B796">
        <v>6.5050000000000004E-3</v>
      </c>
      <c r="C796">
        <v>6.6649999999999999E-3</v>
      </c>
      <c r="D796">
        <v>6.2700000000000004E-3</v>
      </c>
      <c r="E796">
        <v>6.352E-3</v>
      </c>
      <c r="F796">
        <v>1236543354</v>
      </c>
      <c r="G796">
        <v>0</v>
      </c>
      <c r="L796" t="s">
        <v>8</v>
      </c>
      <c r="M796" t="s">
        <v>8</v>
      </c>
      <c r="N796" t="s">
        <v>8</v>
      </c>
      <c r="P796">
        <f t="shared" si="1004"/>
        <v>-0.58481012658227993</v>
      </c>
      <c r="Q796">
        <f t="shared" si="1005"/>
        <v>-723143075.37721694</v>
      </c>
      <c r="R796">
        <f t="shared" si="1006"/>
        <v>6196565450.4024105</v>
      </c>
      <c r="S796">
        <f t="shared" si="1007"/>
        <v>61965.654504024104</v>
      </c>
      <c r="T796">
        <f t="shared" si="1008"/>
        <v>61.965654504024101</v>
      </c>
    </row>
    <row r="797" spans="1:20" x14ac:dyDescent="0.25">
      <c r="A797" s="5">
        <v>43796</v>
      </c>
      <c r="B797">
        <v>6.332E-3</v>
      </c>
      <c r="C797">
        <v>6.6439999999999997E-3</v>
      </c>
      <c r="D797">
        <v>5.868E-3</v>
      </c>
      <c r="E797">
        <v>6.496E-3</v>
      </c>
      <c r="F797">
        <v>3146826725</v>
      </c>
      <c r="G797">
        <v>0</v>
      </c>
      <c r="L797" t="s">
        <v>8</v>
      </c>
      <c r="M797" t="s">
        <v>8</v>
      </c>
      <c r="N797" t="s">
        <v>8</v>
      </c>
      <c r="P797">
        <f t="shared" si="1004"/>
        <v>0.61855670103092852</v>
      </c>
      <c r="Q797">
        <f t="shared" si="1005"/>
        <v>1946490757.731961</v>
      </c>
      <c r="R797">
        <f t="shared" si="1006"/>
        <v>6919708525.7796278</v>
      </c>
      <c r="S797">
        <f t="shared" si="1007"/>
        <v>69197.08525779628</v>
      </c>
      <c r="T797">
        <f t="shared" si="1008"/>
        <v>69.197085257796275</v>
      </c>
    </row>
    <row r="798" spans="1:20" x14ac:dyDescent="0.25">
      <c r="A798" s="5">
        <v>43795</v>
      </c>
      <c r="B798">
        <v>5.8230000000000001E-3</v>
      </c>
      <c r="C798">
        <v>6.3860000000000002E-3</v>
      </c>
      <c r="D798">
        <v>5.6899999999999997E-3</v>
      </c>
      <c r="E798">
        <v>6.3330000000000001E-3</v>
      </c>
      <c r="F798">
        <v>2639375983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0.84770114942528718</v>
      </c>
      <c r="Q798">
        <f t="shared" si="1005"/>
        <v>2237402054.5545974</v>
      </c>
      <c r="R798">
        <f t="shared" si="1006"/>
        <v>4973217768.0476665</v>
      </c>
      <c r="S798">
        <f t="shared" si="1007"/>
        <v>49732.177680476663</v>
      </c>
      <c r="T798">
        <f t="shared" si="1008"/>
        <v>49.73217768047666</v>
      </c>
    </row>
    <row r="799" spans="1:20" x14ac:dyDescent="0.25">
      <c r="A799" s="5">
        <v>43794</v>
      </c>
      <c r="B799">
        <v>5.2420000000000001E-3</v>
      </c>
      <c r="C799">
        <v>6.0210000000000003E-3</v>
      </c>
      <c r="D799">
        <v>4.9719999999999999E-3</v>
      </c>
      <c r="E799">
        <v>5.829E-3</v>
      </c>
      <c r="F799">
        <v>3579615654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0.63393708293612916</v>
      </c>
      <c r="Q799">
        <f t="shared" si="1005"/>
        <v>2269251105.7292643</v>
      </c>
      <c r="R799">
        <f t="shared" si="1006"/>
        <v>2735815713.4930696</v>
      </c>
      <c r="S799">
        <f t="shared" si="1007"/>
        <v>27358.157134930698</v>
      </c>
      <c r="T799">
        <f t="shared" si="1008"/>
        <v>27.358157134930696</v>
      </c>
    </row>
    <row r="800" spans="1:20" x14ac:dyDescent="0.25">
      <c r="A800" s="5">
        <v>43793</v>
      </c>
      <c r="B800">
        <v>5.757E-3</v>
      </c>
      <c r="C800">
        <v>6.0930000000000003E-3</v>
      </c>
      <c r="D800">
        <v>5.1380000000000002E-3</v>
      </c>
      <c r="E800">
        <v>5.2440000000000004E-3</v>
      </c>
      <c r="F800">
        <v>3873361316</v>
      </c>
      <c r="G800">
        <v>0</v>
      </c>
      <c r="L800" t="s">
        <v>8</v>
      </c>
      <c r="M800" t="s">
        <v>8</v>
      </c>
      <c r="N800" t="s">
        <v>7</v>
      </c>
      <c r="P800">
        <f t="shared" si="1004"/>
        <v>-0.77801047120418809</v>
      </c>
      <c r="Q800">
        <f t="shared" si="1005"/>
        <v>-3013515662.6052341</v>
      </c>
      <c r="R800">
        <f t="shared" si="1006"/>
        <v>466564607.76380539</v>
      </c>
      <c r="S800">
        <f t="shared" si="1007"/>
        <v>4665.6460776380536</v>
      </c>
      <c r="T800">
        <f t="shared" si="1008"/>
        <v>4.6656460776380539</v>
      </c>
    </row>
    <row r="801" spans="1:20" x14ac:dyDescent="0.25">
      <c r="A801" s="5">
        <v>43792</v>
      </c>
      <c r="B801">
        <v>5.1700000000000001E-3</v>
      </c>
      <c r="C801">
        <v>5.8069999999999997E-3</v>
      </c>
      <c r="D801">
        <v>4.9109999999999996E-3</v>
      </c>
      <c r="E801">
        <v>5.7559999999999998E-3</v>
      </c>
      <c r="F801">
        <v>2939284015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0.88616071428571463</v>
      </c>
      <c r="Q801">
        <f t="shared" si="1005"/>
        <v>2604678022.220983</v>
      </c>
      <c r="R801">
        <f t="shared" si="1006"/>
        <v>3480080270.3690395</v>
      </c>
      <c r="S801">
        <f t="shared" si="1007"/>
        <v>34800.802703690395</v>
      </c>
      <c r="T801">
        <f t="shared" si="1008"/>
        <v>34.800802703690394</v>
      </c>
    </row>
    <row r="802" spans="1:20" x14ac:dyDescent="0.25">
      <c r="A802" s="5">
        <v>43791</v>
      </c>
      <c r="B802">
        <v>5.7229999999999998E-3</v>
      </c>
      <c r="C802">
        <v>5.8539999999999998E-3</v>
      </c>
      <c r="D802">
        <v>4.6259999999999999E-3</v>
      </c>
      <c r="E802">
        <v>5.1659999999999996E-3</v>
      </c>
      <c r="F802">
        <v>3951364454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-0.12052117263843695</v>
      </c>
      <c r="Q802">
        <f t="shared" si="1005"/>
        <v>-476223077.51791716</v>
      </c>
      <c r="R802">
        <f t="shared" si="1006"/>
        <v>875402248.14805651</v>
      </c>
      <c r="S802">
        <f t="shared" si="1007"/>
        <v>8754.0224814805642</v>
      </c>
      <c r="T802">
        <f t="shared" si="1008"/>
        <v>8.7540224814805647</v>
      </c>
    </row>
    <row r="803" spans="1:20" x14ac:dyDescent="0.25">
      <c r="A803" s="5">
        <v>43790</v>
      </c>
      <c r="B803">
        <v>6.1320000000000003E-3</v>
      </c>
      <c r="C803">
        <v>6.2199999999999998E-3</v>
      </c>
      <c r="D803">
        <v>5.5570000000000003E-3</v>
      </c>
      <c r="E803">
        <v>5.7250000000000001E-3</v>
      </c>
      <c r="F803">
        <v>2179107122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-0.49321266968325833</v>
      </c>
      <c r="Q803">
        <f t="shared" si="1005"/>
        <v>-1074763241.1674218</v>
      </c>
      <c r="R803">
        <f t="shared" si="1006"/>
        <v>1351625325.6659737</v>
      </c>
      <c r="S803">
        <f t="shared" si="1007"/>
        <v>13516.253256659737</v>
      </c>
      <c r="T803">
        <f t="shared" si="1008"/>
        <v>13.516253256659736</v>
      </c>
    </row>
    <row r="804" spans="1:20" x14ac:dyDescent="0.25">
      <c r="A804" s="5">
        <v>43789</v>
      </c>
      <c r="B804">
        <v>6.881E-3</v>
      </c>
      <c r="C804">
        <v>6.8859999999999998E-3</v>
      </c>
      <c r="D804">
        <v>6.0099999999999997E-3</v>
      </c>
      <c r="E804">
        <v>6.1330000000000004E-3</v>
      </c>
      <c r="F804">
        <v>2540441110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-0.71917808219177926</v>
      </c>
      <c r="Q804">
        <f t="shared" si="1005"/>
        <v>-1827029565.410955</v>
      </c>
      <c r="R804">
        <f t="shared" si="1006"/>
        <v>2426388566.8333955</v>
      </c>
      <c r="S804">
        <f t="shared" si="1007"/>
        <v>24263.885668333955</v>
      </c>
      <c r="T804">
        <f t="shared" si="1008"/>
        <v>24.263885668333955</v>
      </c>
    </row>
    <row r="805" spans="1:20" x14ac:dyDescent="0.25">
      <c r="A805" s="5">
        <v>43788</v>
      </c>
      <c r="B805">
        <v>7.3889999999999997E-3</v>
      </c>
      <c r="C805">
        <v>7.3889999999999997E-3</v>
      </c>
      <c r="D805">
        <v>6.6150000000000002E-3</v>
      </c>
      <c r="E805">
        <v>6.8799999999999998E-3</v>
      </c>
      <c r="F805">
        <v>2053013881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-0.31524547803617631</v>
      </c>
      <c r="Q805">
        <f t="shared" si="1005"/>
        <v>-647203342.33075058</v>
      </c>
      <c r="R805">
        <f t="shared" si="1006"/>
        <v>4253418132.2443504</v>
      </c>
      <c r="S805">
        <f t="shared" si="1007"/>
        <v>42534.181322443503</v>
      </c>
      <c r="T805">
        <f t="shared" si="1008"/>
        <v>42.534181322443501</v>
      </c>
    </row>
    <row r="806" spans="1:20" x14ac:dyDescent="0.25">
      <c r="A806" s="5">
        <v>43787</v>
      </c>
      <c r="B806">
        <v>7.6559999999999996E-3</v>
      </c>
      <c r="C806">
        <v>7.6740000000000003E-3</v>
      </c>
      <c r="D806">
        <v>7.0780000000000001E-3</v>
      </c>
      <c r="E806">
        <v>7.3879999999999996E-3</v>
      </c>
      <c r="F806">
        <v>2116349897</v>
      </c>
      <c r="G806">
        <v>0</v>
      </c>
      <c r="L806" t="s">
        <v>7</v>
      </c>
      <c r="M806" t="s">
        <v>8</v>
      </c>
      <c r="N806" t="s">
        <v>8</v>
      </c>
      <c r="P806">
        <f t="shared" si="1004"/>
        <v>4.0268456375836981E-2</v>
      </c>
      <c r="Q806">
        <f t="shared" si="1005"/>
        <v>85222143.503351584</v>
      </c>
      <c r="R806">
        <f t="shared" si="1006"/>
        <v>4900621474.5751009</v>
      </c>
      <c r="S806">
        <f t="shared" si="1007"/>
        <v>49006.214745751007</v>
      </c>
      <c r="T806">
        <f t="shared" si="1008"/>
        <v>49.006214745751009</v>
      </c>
    </row>
    <row r="807" spans="1:20" x14ac:dyDescent="0.25">
      <c r="A807" s="5">
        <v>43786</v>
      </c>
      <c r="B807">
        <v>7.2430000000000003E-3</v>
      </c>
      <c r="C807">
        <v>7.6750000000000004E-3</v>
      </c>
      <c r="D807">
        <v>7.0990000000000003E-3</v>
      </c>
      <c r="E807">
        <v>7.6579999999999999E-3</v>
      </c>
      <c r="F807">
        <v>1550392869</v>
      </c>
      <c r="G807">
        <v>0</v>
      </c>
      <c r="L807" t="s">
        <v>8</v>
      </c>
      <c r="M807" t="s">
        <v>8</v>
      </c>
      <c r="N807" t="s">
        <v>8</v>
      </c>
      <c r="P807">
        <f t="shared" si="1004"/>
        <v>0.94097222222222043</v>
      </c>
      <c r="Q807">
        <f t="shared" si="1005"/>
        <v>1458876623.2604139</v>
      </c>
      <c r="R807">
        <f t="shared" si="1006"/>
        <v>4815399331.0717497</v>
      </c>
      <c r="S807">
        <f t="shared" si="1007"/>
        <v>48153.993310717495</v>
      </c>
      <c r="T807">
        <f t="shared" si="1008"/>
        <v>48.153993310717496</v>
      </c>
    </row>
    <row r="808" spans="1:20" x14ac:dyDescent="0.25">
      <c r="A808" s="5">
        <v>43785</v>
      </c>
      <c r="B808">
        <v>7.8209999999999998E-3</v>
      </c>
      <c r="C808">
        <v>7.8209999999999998E-3</v>
      </c>
      <c r="D808">
        <v>7.2009999999999999E-3</v>
      </c>
      <c r="E808">
        <v>7.2500000000000004E-3</v>
      </c>
      <c r="F808">
        <v>2601249055</v>
      </c>
      <c r="G808">
        <v>0</v>
      </c>
      <c r="L808" t="s">
        <v>7</v>
      </c>
      <c r="M808" t="s">
        <v>8</v>
      </c>
      <c r="N808" t="s">
        <v>8</v>
      </c>
      <c r="P808">
        <f t="shared" si="1004"/>
        <v>-0.84193548387096628</v>
      </c>
      <c r="Q808">
        <f t="shared" si="1005"/>
        <v>-2190083881.790319</v>
      </c>
      <c r="R808">
        <f t="shared" si="1006"/>
        <v>3356522707.811336</v>
      </c>
      <c r="S808">
        <f t="shared" si="1007"/>
        <v>33565.227078113363</v>
      </c>
      <c r="T808">
        <f t="shared" si="1008"/>
        <v>33.565227078113359</v>
      </c>
    </row>
    <row r="809" spans="1:20" x14ac:dyDescent="0.25">
      <c r="A809" s="5">
        <v>43784</v>
      </c>
      <c r="B809">
        <v>7.293E-3</v>
      </c>
      <c r="C809">
        <v>8.1139999999999997E-3</v>
      </c>
      <c r="D809">
        <v>6.7210000000000004E-3</v>
      </c>
      <c r="E809">
        <v>7.8209999999999998E-3</v>
      </c>
      <c r="F809">
        <v>4784904261</v>
      </c>
      <c r="G809">
        <v>0</v>
      </c>
      <c r="L809" t="s">
        <v>8</v>
      </c>
      <c r="M809" t="s">
        <v>8</v>
      </c>
      <c r="N809" t="s">
        <v>8</v>
      </c>
      <c r="P809">
        <f t="shared" si="1004"/>
        <v>0.5793251974156497</v>
      </c>
      <c r="Q809">
        <f t="shared" si="1005"/>
        <v>2772015605.6188083</v>
      </c>
      <c r="R809">
        <f t="shared" si="1006"/>
        <v>5546606589.601655</v>
      </c>
      <c r="S809">
        <f t="shared" si="1007"/>
        <v>55466.065896016553</v>
      </c>
      <c r="T809">
        <f t="shared" si="1008"/>
        <v>55.466065896016552</v>
      </c>
    </row>
    <row r="810" spans="1:20" x14ac:dyDescent="0.25">
      <c r="A810" s="5">
        <v>43783</v>
      </c>
      <c r="B810">
        <v>6.2779999999999997E-3</v>
      </c>
      <c r="C810">
        <v>7.5649999999999997E-3</v>
      </c>
      <c r="D810">
        <v>6.1500000000000001E-3</v>
      </c>
      <c r="E810">
        <v>7.2940000000000001E-3</v>
      </c>
      <c r="F810">
        <v>2786409827</v>
      </c>
      <c r="G810">
        <v>0</v>
      </c>
      <c r="L810" t="s">
        <v>8</v>
      </c>
      <c r="M810" t="s">
        <v>8</v>
      </c>
      <c r="N810" t="s">
        <v>8</v>
      </c>
      <c r="P810">
        <f t="shared" si="1004"/>
        <v>0.61696113074205006</v>
      </c>
      <c r="Q810">
        <f t="shared" si="1005"/>
        <v>1719106557.5766802</v>
      </c>
      <c r="R810">
        <f t="shared" si="1006"/>
        <v>2774590983.9828467</v>
      </c>
      <c r="S810">
        <f t="shared" si="1007"/>
        <v>27745.909839828466</v>
      </c>
      <c r="T810">
        <f t="shared" si="1008"/>
        <v>27.745909839828467</v>
      </c>
    </row>
    <row r="811" spans="1:20" x14ac:dyDescent="0.25">
      <c r="A811" s="5">
        <v>43782</v>
      </c>
      <c r="B811">
        <v>6.5399999999999998E-3</v>
      </c>
      <c r="C811">
        <v>6.5690000000000002E-3</v>
      </c>
      <c r="D811">
        <v>6.1269999999999996E-3</v>
      </c>
      <c r="E811">
        <v>6.2789999999999999E-3</v>
      </c>
      <c r="F811">
        <v>1367354285</v>
      </c>
      <c r="G811">
        <v>0</v>
      </c>
      <c r="L811" t="s">
        <v>7</v>
      </c>
      <c r="M811" t="s">
        <v>8</v>
      </c>
      <c r="N811" t="s">
        <v>8</v>
      </c>
      <c r="P811">
        <f t="shared" si="1004"/>
        <v>-0.31221719457013558</v>
      </c>
      <c r="Q811">
        <f t="shared" si="1005"/>
        <v>-426911518.84615362</v>
      </c>
      <c r="R811">
        <f t="shared" si="1006"/>
        <v>1055484426.4061667</v>
      </c>
      <c r="S811">
        <f t="shared" si="1007"/>
        <v>10554.844264061667</v>
      </c>
      <c r="T811">
        <f t="shared" si="1008"/>
        <v>10.554844264061666</v>
      </c>
    </row>
    <row r="812" spans="1:20" x14ac:dyDescent="0.25">
      <c r="A812" s="5">
        <v>43781</v>
      </c>
      <c r="B812">
        <v>6.0600000000000003E-3</v>
      </c>
      <c r="C812">
        <v>6.7580000000000001E-3</v>
      </c>
      <c r="D812">
        <v>5.9389999999999998E-3</v>
      </c>
      <c r="E812">
        <v>6.5430000000000002E-3</v>
      </c>
      <c r="F812">
        <v>2541784182</v>
      </c>
      <c r="G812">
        <v>0</v>
      </c>
      <c r="L812" t="s">
        <v>8</v>
      </c>
      <c r="M812" t="s">
        <v>8</v>
      </c>
      <c r="N812" t="s">
        <v>8</v>
      </c>
      <c r="P812">
        <f t="shared" si="1004"/>
        <v>0.47496947496947534</v>
      </c>
      <c r="Q812">
        <f t="shared" si="1005"/>
        <v>1207269898.4102573</v>
      </c>
      <c r="R812">
        <f t="shared" si="1006"/>
        <v>1482395945.2523203</v>
      </c>
      <c r="S812">
        <f t="shared" si="1007"/>
        <v>14823.959452523202</v>
      </c>
      <c r="T812">
        <f t="shared" si="1008"/>
        <v>14.823959452523201</v>
      </c>
    </row>
    <row r="813" spans="1:20" x14ac:dyDescent="0.25">
      <c r="A813" s="5">
        <v>43780</v>
      </c>
      <c r="B813">
        <v>5.7390000000000002E-3</v>
      </c>
      <c r="C813">
        <v>6.1799999999999997E-3</v>
      </c>
      <c r="D813">
        <v>5.4349999999999997E-3</v>
      </c>
      <c r="E813">
        <v>6.0600000000000003E-3</v>
      </c>
      <c r="F813">
        <v>1734974783</v>
      </c>
      <c r="G813">
        <v>0</v>
      </c>
      <c r="L813" t="s">
        <v>8</v>
      </c>
      <c r="M813" t="s">
        <v>8</v>
      </c>
      <c r="N813" t="s">
        <v>8</v>
      </c>
      <c r="P813">
        <f t="shared" si="1004"/>
        <v>0.67785234899329005</v>
      </c>
      <c r="Q813">
        <f t="shared" si="1005"/>
        <v>1176056732.1006737</v>
      </c>
      <c r="R813">
        <f t="shared" si="1006"/>
        <v>275126046.84206307</v>
      </c>
      <c r="S813">
        <f t="shared" si="1007"/>
        <v>2751.2604684206308</v>
      </c>
      <c r="T813">
        <f t="shared" si="1008"/>
        <v>2.751260468420631</v>
      </c>
    </row>
    <row r="814" spans="1:20" x14ac:dyDescent="0.25">
      <c r="A814" s="5">
        <v>43779</v>
      </c>
      <c r="B814">
        <v>5.1209999999999997E-3</v>
      </c>
      <c r="C814">
        <v>5.8399999999999997E-3</v>
      </c>
      <c r="D814">
        <v>5.0920000000000002E-3</v>
      </c>
      <c r="E814">
        <v>5.7390000000000002E-3</v>
      </c>
      <c r="F814">
        <v>1150731677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0.72994652406417226</v>
      </c>
      <c r="Q814">
        <f t="shared" si="1005"/>
        <v>839972587.75668585</v>
      </c>
      <c r="R814">
        <f t="shared" si="1006"/>
        <v>-900930685.25861061</v>
      </c>
      <c r="S814">
        <f t="shared" si="1007"/>
        <v>-9009.3068525861054</v>
      </c>
      <c r="T814">
        <f t="shared" si="1008"/>
        <v>-9.0093068525861053</v>
      </c>
    </row>
    <row r="815" spans="1:20" x14ac:dyDescent="0.25">
      <c r="A815" s="5">
        <v>43778</v>
      </c>
      <c r="B815">
        <v>5.3039999999999997E-3</v>
      </c>
      <c r="C815">
        <v>5.3070000000000001E-3</v>
      </c>
      <c r="D815">
        <v>5.0619999999999997E-3</v>
      </c>
      <c r="E815">
        <v>5.1219999999999998E-3</v>
      </c>
      <c r="F815">
        <v>943817210</v>
      </c>
      <c r="G815">
        <v>0</v>
      </c>
      <c r="L815" t="s">
        <v>7</v>
      </c>
      <c r="M815" t="s">
        <v>7</v>
      </c>
      <c r="N815" t="s">
        <v>8</v>
      </c>
      <c r="P815">
        <f t="shared" si="1004"/>
        <v>-0.51020408163265263</v>
      </c>
      <c r="Q815">
        <f t="shared" si="1005"/>
        <v>-481539392.85714245</v>
      </c>
      <c r="R815">
        <f t="shared" si="1006"/>
        <v>-1740903273.0152965</v>
      </c>
      <c r="S815">
        <f t="shared" si="1007"/>
        <v>-17409.032730152965</v>
      </c>
      <c r="T815">
        <f t="shared" si="1008"/>
        <v>-17.409032730152965</v>
      </c>
    </row>
    <row r="816" spans="1:20" x14ac:dyDescent="0.25">
      <c r="A816" s="5">
        <v>43777</v>
      </c>
      <c r="B816">
        <v>5.6080000000000001E-3</v>
      </c>
      <c r="C816">
        <v>5.9280000000000001E-3</v>
      </c>
      <c r="D816">
        <v>5.2180000000000004E-3</v>
      </c>
      <c r="E816">
        <v>5.3049999999999998E-3</v>
      </c>
      <c r="F816">
        <v>1602686586</v>
      </c>
      <c r="G816">
        <v>0</v>
      </c>
      <c r="L816" t="s">
        <v>7</v>
      </c>
      <c r="M816" t="s">
        <v>8</v>
      </c>
      <c r="N816" t="s">
        <v>8</v>
      </c>
      <c r="P816">
        <f t="shared" si="1004"/>
        <v>-0.75492957746479028</v>
      </c>
      <c r="Q816">
        <f t="shared" si="1005"/>
        <v>-1209915507.1774673</v>
      </c>
      <c r="R816">
        <f t="shared" si="1006"/>
        <v>-1259363880.158154</v>
      </c>
      <c r="S816">
        <f t="shared" si="1007"/>
        <v>-12593.638801581541</v>
      </c>
      <c r="T816">
        <f t="shared" si="1008"/>
        <v>-12.593638801581541</v>
      </c>
    </row>
    <row r="817" spans="1:20" x14ac:dyDescent="0.25">
      <c r="A817" s="5">
        <v>43776</v>
      </c>
      <c r="B817">
        <v>5.2350000000000001E-3</v>
      </c>
      <c r="C817">
        <v>5.9639999999999997E-3</v>
      </c>
      <c r="D817">
        <v>5.0000000000000001E-3</v>
      </c>
      <c r="E817">
        <v>5.6160000000000003E-3</v>
      </c>
      <c r="F817">
        <v>2358197744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0.27800829875518773</v>
      </c>
      <c r="Q817">
        <f t="shared" si="1005"/>
        <v>655598542.93776166</v>
      </c>
      <c r="R817">
        <f t="shared" si="1006"/>
        <v>-49448372.980686545</v>
      </c>
      <c r="S817">
        <f t="shared" si="1007"/>
        <v>-494.48372980686543</v>
      </c>
      <c r="T817">
        <f t="shared" si="1008"/>
        <v>-0.49448372980686545</v>
      </c>
    </row>
    <row r="818" spans="1:20" x14ac:dyDescent="0.25">
      <c r="A818" s="5">
        <v>43775</v>
      </c>
      <c r="B818">
        <v>4.8859999999999997E-3</v>
      </c>
      <c r="C818">
        <v>5.3340000000000002E-3</v>
      </c>
      <c r="D818">
        <v>4.8820000000000001E-3</v>
      </c>
      <c r="E818">
        <v>5.2399999999999999E-3</v>
      </c>
      <c r="F818">
        <v>1140786912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0.58407079646017568</v>
      </c>
      <c r="Q818">
        <f t="shared" si="1005"/>
        <v>666300320.28318429</v>
      </c>
      <c r="R818">
        <f t="shared" si="1006"/>
        <v>-705046915.91844821</v>
      </c>
      <c r="S818">
        <f t="shared" si="1007"/>
        <v>-7050.4691591844821</v>
      </c>
      <c r="T818">
        <f t="shared" si="1008"/>
        <v>-7.0504691591844821</v>
      </c>
    </row>
    <row r="819" spans="1:20" x14ac:dyDescent="0.25">
      <c r="A819" s="5">
        <v>43774</v>
      </c>
      <c r="B819">
        <v>4.3909999999999999E-3</v>
      </c>
      <c r="C819">
        <v>5.0499999999999998E-3</v>
      </c>
      <c r="D819">
        <v>4.3550000000000004E-3</v>
      </c>
      <c r="E819">
        <v>4.8910000000000004E-3</v>
      </c>
      <c r="F819">
        <v>1094980097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0.54244604316546896</v>
      </c>
      <c r="Q819">
        <f t="shared" si="1005"/>
        <v>593967620.96259141</v>
      </c>
      <c r="R819">
        <f t="shared" si="1006"/>
        <v>-1371347236.2016325</v>
      </c>
      <c r="S819">
        <f t="shared" si="1007"/>
        <v>-13713.472362016326</v>
      </c>
      <c r="T819">
        <f t="shared" si="1008"/>
        <v>-13.713472362016326</v>
      </c>
    </row>
    <row r="820" spans="1:20" x14ac:dyDescent="0.25">
      <c r="A820" s="5">
        <v>43773</v>
      </c>
      <c r="B820">
        <v>4.2360000000000002E-3</v>
      </c>
      <c r="C820">
        <v>4.4689999999999999E-3</v>
      </c>
      <c r="D820">
        <v>4.1609999999999998E-3</v>
      </c>
      <c r="E820">
        <v>4.3860000000000001E-3</v>
      </c>
      <c r="F820">
        <v>397744709</v>
      </c>
      <c r="G820">
        <v>0</v>
      </c>
      <c r="L820" t="s">
        <v>8</v>
      </c>
      <c r="M820" t="s">
        <v>8</v>
      </c>
      <c r="N820" t="s">
        <v>8</v>
      </c>
      <c r="P820">
        <f t="shared" si="1004"/>
        <v>0.46103896103896291</v>
      </c>
      <c r="Q820">
        <f t="shared" si="1005"/>
        <v>183375807.39610463</v>
      </c>
      <c r="R820">
        <f t="shared" si="1006"/>
        <v>-1965314857.1642239</v>
      </c>
      <c r="S820">
        <f t="shared" si="1007"/>
        <v>-19653.148571642239</v>
      </c>
      <c r="T820">
        <f t="shared" si="1008"/>
        <v>-19.653148571642241</v>
      </c>
    </row>
    <row r="821" spans="1:20" x14ac:dyDescent="0.25">
      <c r="A821" s="5">
        <v>43772</v>
      </c>
      <c r="B821">
        <v>4.2030000000000001E-3</v>
      </c>
      <c r="C821">
        <v>4.3730000000000002E-3</v>
      </c>
      <c r="D821">
        <v>4.1399999999999996E-3</v>
      </c>
      <c r="E821">
        <v>4.2339999999999999E-3</v>
      </c>
      <c r="F821">
        <v>354126112</v>
      </c>
      <c r="G821">
        <v>0</v>
      </c>
      <c r="L821" t="s">
        <v>8</v>
      </c>
      <c r="M821" t="s">
        <v>7</v>
      </c>
      <c r="N821" t="s">
        <v>8</v>
      </c>
      <c r="P821">
        <f t="shared" si="1004"/>
        <v>-0.19313304721029953</v>
      </c>
      <c r="Q821">
        <f t="shared" si="1005"/>
        <v>-68393455.107295826</v>
      </c>
      <c r="R821">
        <f t="shared" si="1006"/>
        <v>-2148690664.5603285</v>
      </c>
      <c r="S821">
        <f t="shared" si="1007"/>
        <v>-21486.906645603285</v>
      </c>
      <c r="T821">
        <f t="shared" si="1008"/>
        <v>-21.486906645603284</v>
      </c>
    </row>
    <row r="822" spans="1:20" x14ac:dyDescent="0.25">
      <c r="A822" s="5">
        <v>43771</v>
      </c>
      <c r="B822">
        <v>3.9880000000000002E-3</v>
      </c>
      <c r="C822">
        <v>4.2979999999999997E-3</v>
      </c>
      <c r="D822">
        <v>3.9699999999999996E-3</v>
      </c>
      <c r="E822">
        <v>4.2040000000000003E-3</v>
      </c>
      <c r="F822">
        <v>414452382</v>
      </c>
      <c r="G822">
        <v>0</v>
      </c>
      <c r="L822" t="s">
        <v>8</v>
      </c>
      <c r="M822" t="s">
        <v>7</v>
      </c>
      <c r="N822" t="s">
        <v>8</v>
      </c>
      <c r="P822">
        <f t="shared" si="1004"/>
        <v>0.42682926829268647</v>
      </c>
      <c r="Q822">
        <f t="shared" si="1005"/>
        <v>176900406.95122099</v>
      </c>
      <c r="R822">
        <f t="shared" si="1006"/>
        <v>-2080297209.4530325</v>
      </c>
      <c r="S822">
        <f t="shared" si="1007"/>
        <v>-20802.972094530323</v>
      </c>
      <c r="T822">
        <f t="shared" si="1008"/>
        <v>-20.802972094530322</v>
      </c>
    </row>
    <row r="823" spans="1:20" x14ac:dyDescent="0.25">
      <c r="A823" s="5">
        <v>43770</v>
      </c>
      <c r="B823">
        <v>4.0980000000000001E-3</v>
      </c>
      <c r="C823">
        <v>4.1289999999999999E-3</v>
      </c>
      <c r="D823">
        <v>3.9170000000000003E-3</v>
      </c>
      <c r="E823">
        <v>3.9810000000000002E-3</v>
      </c>
      <c r="F823">
        <v>300864776</v>
      </c>
      <c r="G823">
        <v>0</v>
      </c>
      <c r="L823" t="s">
        <v>7</v>
      </c>
      <c r="M823" t="s">
        <v>7</v>
      </c>
      <c r="N823" t="s">
        <v>8</v>
      </c>
      <c r="P823">
        <f t="shared" si="1004"/>
        <v>-0.39622641509433992</v>
      </c>
      <c r="Q823">
        <f t="shared" si="1005"/>
        <v>-119210571.62264159</v>
      </c>
      <c r="R823">
        <f t="shared" si="1006"/>
        <v>-2257197616.4042535</v>
      </c>
      <c r="S823">
        <f t="shared" si="1007"/>
        <v>-22571.976164042535</v>
      </c>
      <c r="T823">
        <f t="shared" si="1008"/>
        <v>-22.571976164042535</v>
      </c>
    </row>
    <row r="824" spans="1:20" x14ac:dyDescent="0.25">
      <c r="A824" s="5">
        <v>43769</v>
      </c>
      <c r="B824">
        <v>4.1370000000000001E-3</v>
      </c>
      <c r="C824">
        <v>4.189E-3</v>
      </c>
      <c r="D824">
        <v>3.872E-3</v>
      </c>
      <c r="E824">
        <v>4.0969999999999999E-3</v>
      </c>
      <c r="F824">
        <v>458864476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0.41955835962145072</v>
      </c>
      <c r="Q824">
        <f t="shared" si="1005"/>
        <v>192520426.83911654</v>
      </c>
      <c r="R824">
        <f t="shared" si="1006"/>
        <v>-2137987044.7816119</v>
      </c>
      <c r="S824">
        <f t="shared" si="1007"/>
        <v>-21379.87044781612</v>
      </c>
      <c r="T824">
        <f t="shared" si="1008"/>
        <v>-21.379870447816121</v>
      </c>
    </row>
    <row r="825" spans="1:20" x14ac:dyDescent="0.25">
      <c r="A825" s="5">
        <v>43768</v>
      </c>
      <c r="B825">
        <v>4.2170000000000003E-3</v>
      </c>
      <c r="C825">
        <v>4.4050000000000001E-3</v>
      </c>
      <c r="D825">
        <v>3.862E-3</v>
      </c>
      <c r="E825">
        <v>4.1349999999999998E-3</v>
      </c>
      <c r="F825">
        <v>999056265</v>
      </c>
      <c r="G825">
        <v>0</v>
      </c>
      <c r="L825" t="s">
        <v>8</v>
      </c>
      <c r="M825" t="s">
        <v>7</v>
      </c>
      <c r="N825" t="s">
        <v>8</v>
      </c>
      <c r="P825">
        <f t="shared" si="1004"/>
        <v>5.5248618784521737E-3</v>
      </c>
      <c r="Q825">
        <f t="shared" si="1005"/>
        <v>5519647.8729273127</v>
      </c>
      <c r="R825">
        <f t="shared" si="1006"/>
        <v>-2330507471.6207285</v>
      </c>
      <c r="S825">
        <f t="shared" si="1007"/>
        <v>-23305.074716207284</v>
      </c>
      <c r="T825">
        <f t="shared" si="1008"/>
        <v>-23.305074716207283</v>
      </c>
    </row>
    <row r="826" spans="1:20" x14ac:dyDescent="0.25">
      <c r="A826" s="5">
        <v>43767</v>
      </c>
      <c r="B826">
        <v>3.803E-3</v>
      </c>
      <c r="C826">
        <v>4.3200000000000001E-3</v>
      </c>
      <c r="D826">
        <v>3.8019999999999998E-3</v>
      </c>
      <c r="E826">
        <v>4.2199999999999998E-3</v>
      </c>
      <c r="F826">
        <v>715928642</v>
      </c>
      <c r="G826">
        <v>0</v>
      </c>
      <c r="L826" t="s">
        <v>7</v>
      </c>
      <c r="M826" t="s">
        <v>7</v>
      </c>
      <c r="N826" t="s">
        <v>8</v>
      </c>
      <c r="P826">
        <f t="shared" si="1004"/>
        <v>0.61389961389961301</v>
      </c>
      <c r="Q826">
        <f t="shared" si="1005"/>
        <v>439508316.90347427</v>
      </c>
      <c r="R826">
        <f t="shared" si="1006"/>
        <v>-2336027119.4936557</v>
      </c>
      <c r="S826">
        <f t="shared" si="1007"/>
        <v>-23360.271194936558</v>
      </c>
      <c r="T826">
        <f t="shared" si="1008"/>
        <v>-23.360271194936558</v>
      </c>
    </row>
    <row r="827" spans="1:20" x14ac:dyDescent="0.25">
      <c r="A827" s="5">
        <v>43766</v>
      </c>
      <c r="B827">
        <v>4.1209999999999997E-3</v>
      </c>
      <c r="C827">
        <v>4.8110000000000002E-3</v>
      </c>
      <c r="D827">
        <v>3.8E-3</v>
      </c>
      <c r="E827">
        <v>3.8E-3</v>
      </c>
      <c r="F827">
        <v>940394128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-1</v>
      </c>
      <c r="Q827">
        <f t="shared" si="1005"/>
        <v>-940394128</v>
      </c>
      <c r="R827">
        <f t="shared" si="1006"/>
        <v>-2775535436.39713</v>
      </c>
      <c r="S827">
        <f t="shared" si="1007"/>
        <v>-27755.354363971299</v>
      </c>
      <c r="T827">
        <f t="shared" si="1008"/>
        <v>-27.7553543639713</v>
      </c>
    </row>
    <row r="828" spans="1:20" x14ac:dyDescent="0.25">
      <c r="A828" s="5">
        <v>43765</v>
      </c>
      <c r="B828">
        <v>3.3800000000000002E-3</v>
      </c>
      <c r="C828">
        <v>4.3550000000000004E-3</v>
      </c>
      <c r="D828">
        <v>3.2460000000000002E-3</v>
      </c>
      <c r="E828">
        <v>4.1229999999999999E-3</v>
      </c>
      <c r="F828">
        <v>813621259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0.58160504959422832</v>
      </c>
      <c r="Q828">
        <f t="shared" si="1005"/>
        <v>473206232.6916135</v>
      </c>
      <c r="R828">
        <f t="shared" si="1006"/>
        <v>-1835141308.3971303</v>
      </c>
      <c r="S828">
        <f t="shared" si="1007"/>
        <v>-18351.413083971303</v>
      </c>
      <c r="T828">
        <f t="shared" si="1008"/>
        <v>-18.351413083971302</v>
      </c>
    </row>
    <row r="829" spans="1:20" x14ac:dyDescent="0.25">
      <c r="A829" s="5">
        <v>43764</v>
      </c>
      <c r="B829">
        <v>3.3800000000000002E-3</v>
      </c>
      <c r="C829">
        <v>3.7460000000000002E-3</v>
      </c>
      <c r="D829">
        <v>3.2550000000000001E-3</v>
      </c>
      <c r="E829">
        <v>3.3800000000000002E-3</v>
      </c>
      <c r="F829">
        <v>361930136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-0.49083503054989785</v>
      </c>
      <c r="Q829">
        <f t="shared" si="1005"/>
        <v>-177647989.36048868</v>
      </c>
      <c r="R829">
        <f t="shared" si="1006"/>
        <v>-2308347541.0887437</v>
      </c>
      <c r="S829">
        <f t="shared" si="1007"/>
        <v>-23083.475410887437</v>
      </c>
      <c r="T829">
        <f t="shared" si="1008"/>
        <v>-23.083475410887438</v>
      </c>
    </row>
    <row r="830" spans="1:20" x14ac:dyDescent="0.25">
      <c r="A830" s="5">
        <v>43763</v>
      </c>
      <c r="B830">
        <v>2.9979999999999998E-3</v>
      </c>
      <c r="C830">
        <v>3.4199999999999999E-3</v>
      </c>
      <c r="D830">
        <v>2.97E-3</v>
      </c>
      <c r="E830">
        <v>3.3760000000000001E-3</v>
      </c>
      <c r="F830">
        <v>273657571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0.80444444444444541</v>
      </c>
      <c r="Q830">
        <f t="shared" si="1005"/>
        <v>220142312.67111138</v>
      </c>
      <c r="R830">
        <f t="shared" si="1006"/>
        <v>-2130699551.728255</v>
      </c>
      <c r="S830">
        <f t="shared" si="1007"/>
        <v>-21306.99551728255</v>
      </c>
      <c r="T830">
        <f t="shared" si="1008"/>
        <v>-21.306995517282552</v>
      </c>
    </row>
    <row r="831" spans="1:20" x14ac:dyDescent="0.25">
      <c r="A831" s="5">
        <v>43762</v>
      </c>
      <c r="B831">
        <v>2.9949999999999998E-3</v>
      </c>
      <c r="C831">
        <v>3.009E-3</v>
      </c>
      <c r="D831">
        <v>2.908E-3</v>
      </c>
      <c r="E831">
        <v>2.9979999999999998E-3</v>
      </c>
      <c r="F831">
        <v>85480723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1009">IF(C831=D831,0,((E831-D831)-(C831-E831))/(C831-D831))</f>
        <v>0.78217821782177899</v>
      </c>
      <c r="Q831">
        <f t="shared" ref="Q831:Q894" si="1010">F831*P831</f>
        <v>66861159.57425715</v>
      </c>
      <c r="R831">
        <f t="shared" ref="R831:R894" si="1011">R832+Q831</f>
        <v>-2350841864.3993664</v>
      </c>
      <c r="S831">
        <f t="shared" ref="S831:S894" si="1012">R831/100000</f>
        <v>-23508.418643993664</v>
      </c>
      <c r="T831">
        <f t="shared" ref="T831:T894" si="1013">S831/1000</f>
        <v>-23.508418643993664</v>
      </c>
    </row>
    <row r="832" spans="1:20" x14ac:dyDescent="0.25">
      <c r="A832" s="5">
        <v>43761</v>
      </c>
      <c r="B832">
        <v>3.2569999999999999E-3</v>
      </c>
      <c r="C832">
        <v>3.2799999999999999E-3</v>
      </c>
      <c r="D832">
        <v>2.8319999999999999E-3</v>
      </c>
      <c r="E832">
        <v>2.9949999999999998E-3</v>
      </c>
      <c r="F832">
        <v>132823130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-0.27232142857142888</v>
      </c>
      <c r="Q832">
        <f t="shared" si="1010"/>
        <v>-36170584.508928612</v>
      </c>
      <c r="R832">
        <f t="shared" si="1011"/>
        <v>-2417703023.9736238</v>
      </c>
      <c r="S832">
        <f t="shared" si="1012"/>
        <v>-24177.030239736239</v>
      </c>
      <c r="T832">
        <f t="shared" si="1013"/>
        <v>-24.17703023973624</v>
      </c>
    </row>
    <row r="833" spans="1:20" x14ac:dyDescent="0.25">
      <c r="A833" s="5">
        <v>43760</v>
      </c>
      <c r="B833">
        <v>3.326E-3</v>
      </c>
      <c r="C833">
        <v>3.3519999999999999E-3</v>
      </c>
      <c r="D833">
        <v>3.2299999999999998E-3</v>
      </c>
      <c r="E833">
        <v>3.258E-3</v>
      </c>
      <c r="F833">
        <v>71956628</v>
      </c>
      <c r="G833">
        <v>0</v>
      </c>
      <c r="L833" t="s">
        <v>7</v>
      </c>
      <c r="M833" t="s">
        <v>7</v>
      </c>
      <c r="N833" t="s">
        <v>7</v>
      </c>
      <c r="P833">
        <f t="shared" si="1009"/>
        <v>-0.54098360655737354</v>
      </c>
      <c r="Q833">
        <f t="shared" si="1010"/>
        <v>-38927356.131147288</v>
      </c>
      <c r="R833">
        <f t="shared" si="1011"/>
        <v>-2381532439.464695</v>
      </c>
      <c r="S833">
        <f t="shared" si="1012"/>
        <v>-23815.324394646948</v>
      </c>
      <c r="T833">
        <f t="shared" si="1013"/>
        <v>-23.815324394646947</v>
      </c>
    </row>
    <row r="834" spans="1:20" x14ac:dyDescent="0.25">
      <c r="A834" s="5">
        <v>43759</v>
      </c>
      <c r="B834">
        <v>3.3530000000000001E-3</v>
      </c>
      <c r="C834">
        <v>3.3739999999999998E-3</v>
      </c>
      <c r="D834">
        <v>3.2919999999999998E-3</v>
      </c>
      <c r="E834">
        <v>3.326E-3</v>
      </c>
      <c r="F834">
        <v>62217424</v>
      </c>
      <c r="G834">
        <v>0</v>
      </c>
      <c r="L834" t="s">
        <v>7</v>
      </c>
      <c r="M834" t="s">
        <v>7</v>
      </c>
      <c r="N834" t="s">
        <v>7</v>
      </c>
      <c r="P834">
        <f t="shared" si="1009"/>
        <v>-0.1707317073170693</v>
      </c>
      <c r="Q834">
        <f t="shared" si="1010"/>
        <v>-10622487.024390003</v>
      </c>
      <c r="R834">
        <f t="shared" si="1011"/>
        <v>-2342605083.3335476</v>
      </c>
      <c r="S834">
        <f t="shared" si="1012"/>
        <v>-23426.050833335477</v>
      </c>
      <c r="T834">
        <f t="shared" si="1013"/>
        <v>-23.426050833335477</v>
      </c>
    </row>
    <row r="835" spans="1:20" x14ac:dyDescent="0.25">
      <c r="A835" s="5">
        <v>43758</v>
      </c>
      <c r="B835">
        <v>3.32E-3</v>
      </c>
      <c r="C835">
        <v>3.3709999999999999E-3</v>
      </c>
      <c r="D835">
        <v>3.2659999999999998E-3</v>
      </c>
      <c r="E835">
        <v>3.3639999999999998E-3</v>
      </c>
      <c r="F835">
        <v>71856027</v>
      </c>
      <c r="G835">
        <v>0</v>
      </c>
      <c r="L835" t="s">
        <v>7</v>
      </c>
      <c r="M835" t="s">
        <v>7</v>
      </c>
      <c r="N835" t="s">
        <v>7</v>
      </c>
      <c r="P835">
        <f t="shared" si="1009"/>
        <v>0.86666666666666559</v>
      </c>
      <c r="Q835">
        <f t="shared" si="1010"/>
        <v>62275223.399999924</v>
      </c>
      <c r="R835">
        <f t="shared" si="1011"/>
        <v>-2331982596.3091574</v>
      </c>
      <c r="S835">
        <f t="shared" si="1012"/>
        <v>-23319.825963091575</v>
      </c>
      <c r="T835">
        <f t="shared" si="1013"/>
        <v>-23.319825963091574</v>
      </c>
    </row>
    <row r="836" spans="1:20" x14ac:dyDescent="0.25">
      <c r="A836" s="5">
        <v>43757</v>
      </c>
      <c r="B836">
        <v>3.372E-3</v>
      </c>
      <c r="C836">
        <v>3.4020000000000001E-3</v>
      </c>
      <c r="D836">
        <v>3.313E-3</v>
      </c>
      <c r="E836">
        <v>3.336E-3</v>
      </c>
      <c r="F836">
        <v>34646422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-0.48314606741573057</v>
      </c>
      <c r="Q836">
        <f t="shared" si="1010"/>
        <v>-16739282.53932585</v>
      </c>
      <c r="R836">
        <f t="shared" si="1011"/>
        <v>-2394257819.7091575</v>
      </c>
      <c r="S836">
        <f t="shared" si="1012"/>
        <v>-23942.578197091574</v>
      </c>
      <c r="T836">
        <f t="shared" si="1013"/>
        <v>-23.942578197091574</v>
      </c>
    </row>
    <row r="837" spans="1:20" x14ac:dyDescent="0.25">
      <c r="A837" s="5">
        <v>43756</v>
      </c>
      <c r="B837">
        <v>3.4359999999999998E-3</v>
      </c>
      <c r="C837">
        <v>3.457E-3</v>
      </c>
      <c r="D837">
        <v>3.2950000000000002E-3</v>
      </c>
      <c r="E837">
        <v>3.375E-3</v>
      </c>
      <c r="F837">
        <v>60743594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-1.2345679012347332E-2</v>
      </c>
      <c r="Q837">
        <f t="shared" si="1010"/>
        <v>-749920.91358034732</v>
      </c>
      <c r="R837">
        <f t="shared" si="1011"/>
        <v>-2377518537.1698318</v>
      </c>
      <c r="S837">
        <f t="shared" si="1012"/>
        <v>-23775.185371698317</v>
      </c>
      <c r="T837">
        <f t="shared" si="1013"/>
        <v>-23.775185371698317</v>
      </c>
    </row>
    <row r="838" spans="1:20" x14ac:dyDescent="0.25">
      <c r="A838" s="5">
        <v>43755</v>
      </c>
      <c r="B838">
        <v>3.3189999999999999E-3</v>
      </c>
      <c r="C838">
        <v>3.4550000000000002E-3</v>
      </c>
      <c r="D838">
        <v>3.313E-3</v>
      </c>
      <c r="E838">
        <v>3.4350000000000001E-3</v>
      </c>
      <c r="F838">
        <v>89675250</v>
      </c>
      <c r="G838">
        <v>0</v>
      </c>
      <c r="L838" t="s">
        <v>7</v>
      </c>
      <c r="M838" t="s">
        <v>7</v>
      </c>
      <c r="N838" t="s">
        <v>7</v>
      </c>
      <c r="P838">
        <f t="shared" si="1009"/>
        <v>0.71830985915492929</v>
      </c>
      <c r="Q838">
        <f t="shared" si="1010"/>
        <v>64414616.197183073</v>
      </c>
      <c r="R838">
        <f t="shared" si="1011"/>
        <v>-2376768616.2562513</v>
      </c>
      <c r="S838">
        <f t="shared" si="1012"/>
        <v>-23767.686162562513</v>
      </c>
      <c r="T838">
        <f t="shared" si="1013"/>
        <v>-23.767686162562512</v>
      </c>
    </row>
    <row r="839" spans="1:20" x14ac:dyDescent="0.25">
      <c r="A839" s="5">
        <v>43754</v>
      </c>
      <c r="B839">
        <v>3.4399999999999999E-3</v>
      </c>
      <c r="C839">
        <v>3.4499999999999999E-3</v>
      </c>
      <c r="D839">
        <v>3.284E-3</v>
      </c>
      <c r="E839">
        <v>3.32E-3</v>
      </c>
      <c r="F839">
        <v>110770636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-0.56626506024096357</v>
      </c>
      <c r="Q839">
        <f t="shared" si="1010"/>
        <v>-62725540.867469847</v>
      </c>
      <c r="R839">
        <f t="shared" si="1011"/>
        <v>-2441183232.4534345</v>
      </c>
      <c r="S839">
        <f t="shared" si="1012"/>
        <v>-24411.832324534345</v>
      </c>
      <c r="T839">
        <f t="shared" si="1013"/>
        <v>-24.411832324534345</v>
      </c>
    </row>
    <row r="840" spans="1:20" x14ac:dyDescent="0.25">
      <c r="A840" s="5">
        <v>43753</v>
      </c>
      <c r="B840">
        <v>3.6319999999999998E-3</v>
      </c>
      <c r="C840">
        <v>3.65E-3</v>
      </c>
      <c r="D840">
        <v>3.408E-3</v>
      </c>
      <c r="E840">
        <v>3.444E-3</v>
      </c>
      <c r="F840">
        <v>110209523</v>
      </c>
      <c r="G840">
        <v>0</v>
      </c>
      <c r="L840" t="s">
        <v>7</v>
      </c>
      <c r="M840" t="s">
        <v>8</v>
      </c>
      <c r="N840" t="s">
        <v>7</v>
      </c>
      <c r="P840">
        <f t="shared" si="1009"/>
        <v>-0.7024793388429752</v>
      </c>
      <c r="Q840">
        <f t="shared" si="1010"/>
        <v>-77419912.851239666</v>
      </c>
      <c r="R840">
        <f t="shared" si="1011"/>
        <v>-2378457691.5859647</v>
      </c>
      <c r="S840">
        <f t="shared" si="1012"/>
        <v>-23784.576915859649</v>
      </c>
      <c r="T840">
        <f t="shared" si="1013"/>
        <v>-23.784576915859649</v>
      </c>
    </row>
    <row r="841" spans="1:20" x14ac:dyDescent="0.25">
      <c r="A841" s="5">
        <v>43752</v>
      </c>
      <c r="B841">
        <v>3.5829999999999998E-3</v>
      </c>
      <c r="C841">
        <v>3.6329999999999999E-3</v>
      </c>
      <c r="D841">
        <v>3.5100000000000001E-3</v>
      </c>
      <c r="E841">
        <v>3.6319999999999998E-3</v>
      </c>
      <c r="F841">
        <v>91923388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0.98373983739837179</v>
      </c>
      <c r="Q841">
        <f t="shared" si="1010"/>
        <v>90428698.764227435</v>
      </c>
      <c r="R841">
        <f t="shared" si="1011"/>
        <v>-2301037778.734725</v>
      </c>
      <c r="S841">
        <f t="shared" si="1012"/>
        <v>-23010.37778734725</v>
      </c>
      <c r="T841">
        <f t="shared" si="1013"/>
        <v>-23.010377787347249</v>
      </c>
    </row>
    <row r="842" spans="1:20" x14ac:dyDescent="0.25">
      <c r="A842" s="5">
        <v>43751</v>
      </c>
      <c r="B842">
        <v>3.679E-3</v>
      </c>
      <c r="C842">
        <v>3.7079999999999999E-3</v>
      </c>
      <c r="D842">
        <v>3.5699999999999998E-3</v>
      </c>
      <c r="E842">
        <v>3.5839999999999999E-3</v>
      </c>
      <c r="F842">
        <v>110054339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-0.79710144927536064</v>
      </c>
      <c r="Q842">
        <f t="shared" si="1010"/>
        <v>-87724473.115941837</v>
      </c>
      <c r="R842">
        <f t="shared" si="1011"/>
        <v>-2391466477.4989524</v>
      </c>
      <c r="S842">
        <f t="shared" si="1012"/>
        <v>-23914.664774989524</v>
      </c>
      <c r="T842">
        <f t="shared" si="1013"/>
        <v>-23.914664774989525</v>
      </c>
    </row>
    <row r="843" spans="1:20" x14ac:dyDescent="0.25">
      <c r="A843" s="5">
        <v>43750</v>
      </c>
      <c r="B843">
        <v>3.6319999999999998E-3</v>
      </c>
      <c r="C843">
        <v>3.7650000000000001E-3</v>
      </c>
      <c r="D843">
        <v>3.6310000000000001E-3</v>
      </c>
      <c r="E843">
        <v>3.679E-3</v>
      </c>
      <c r="F843">
        <v>90104228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-0.28358208955224085</v>
      </c>
      <c r="Q843">
        <f t="shared" si="1010"/>
        <v>-25551945.253731526</v>
      </c>
      <c r="R843">
        <f t="shared" si="1011"/>
        <v>-2303742004.3830104</v>
      </c>
      <c r="S843">
        <f t="shared" si="1012"/>
        <v>-23037.420043830105</v>
      </c>
      <c r="T843">
        <f t="shared" si="1013"/>
        <v>-23.037420043830107</v>
      </c>
    </row>
    <row r="844" spans="1:20" x14ac:dyDescent="0.25">
      <c r="A844" s="5">
        <v>43749</v>
      </c>
      <c r="B844">
        <v>3.7290000000000001E-3</v>
      </c>
      <c r="C844">
        <v>3.7880000000000001E-3</v>
      </c>
      <c r="D844">
        <v>3.565E-3</v>
      </c>
      <c r="E844">
        <v>3.6350000000000002E-3</v>
      </c>
      <c r="F844">
        <v>183609936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-0.37219730941703899</v>
      </c>
      <c r="Q844">
        <f t="shared" si="1010"/>
        <v>-68339124.161434725</v>
      </c>
      <c r="R844">
        <f t="shared" si="1011"/>
        <v>-2278190059.1292787</v>
      </c>
      <c r="S844">
        <f t="shared" si="1012"/>
        <v>-22781.900591292786</v>
      </c>
      <c r="T844">
        <f t="shared" si="1013"/>
        <v>-22.781900591292786</v>
      </c>
    </row>
    <row r="845" spans="1:20" x14ac:dyDescent="0.25">
      <c r="A845" s="5">
        <v>43748</v>
      </c>
      <c r="B845">
        <v>3.8140000000000001E-3</v>
      </c>
      <c r="C845">
        <v>3.8999999999999998E-3</v>
      </c>
      <c r="D845">
        <v>3.6749999999999999E-3</v>
      </c>
      <c r="E845">
        <v>3.7369999999999999E-3</v>
      </c>
      <c r="F845">
        <v>251571470</v>
      </c>
      <c r="G845">
        <v>0</v>
      </c>
      <c r="L845" t="s">
        <v>8</v>
      </c>
      <c r="M845" t="s">
        <v>8</v>
      </c>
      <c r="N845" t="s">
        <v>7</v>
      </c>
      <c r="P845">
        <f t="shared" si="1009"/>
        <v>-0.44888888888888884</v>
      </c>
      <c r="Q845">
        <f t="shared" si="1010"/>
        <v>-112927637.64444444</v>
      </c>
      <c r="R845">
        <f t="shared" si="1011"/>
        <v>-2209850934.967844</v>
      </c>
      <c r="S845">
        <f t="shared" si="1012"/>
        <v>-22098.509349678439</v>
      </c>
      <c r="T845">
        <f t="shared" si="1013"/>
        <v>-22.098509349678441</v>
      </c>
    </row>
    <row r="846" spans="1:20" x14ac:dyDescent="0.25">
      <c r="A846" s="5">
        <v>43747</v>
      </c>
      <c r="B846">
        <v>3.581E-3</v>
      </c>
      <c r="C846">
        <v>3.8140000000000001E-3</v>
      </c>
      <c r="D846">
        <v>3.545E-3</v>
      </c>
      <c r="E846">
        <v>3.8140000000000001E-3</v>
      </c>
      <c r="F846">
        <v>385152580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1</v>
      </c>
      <c r="Q846">
        <f t="shared" si="1010"/>
        <v>385152580</v>
      </c>
      <c r="R846">
        <f t="shared" si="1011"/>
        <v>-2096923297.3233995</v>
      </c>
      <c r="S846">
        <f t="shared" si="1012"/>
        <v>-20969.232973233997</v>
      </c>
      <c r="T846">
        <f t="shared" si="1013"/>
        <v>-20.969232973233996</v>
      </c>
    </row>
    <row r="847" spans="1:20" x14ac:dyDescent="0.25">
      <c r="A847" s="5">
        <v>43746</v>
      </c>
      <c r="B847">
        <v>3.4789999999999999E-3</v>
      </c>
      <c r="C847">
        <v>3.6150000000000002E-3</v>
      </c>
      <c r="D847">
        <v>3.4619999999999998E-3</v>
      </c>
      <c r="E847">
        <v>3.5839999999999999E-3</v>
      </c>
      <c r="F847">
        <v>187189873</v>
      </c>
      <c r="G847">
        <v>0</v>
      </c>
      <c r="L847" t="s">
        <v>8</v>
      </c>
      <c r="M847" t="s">
        <v>7</v>
      </c>
      <c r="N847" t="s">
        <v>7</v>
      </c>
      <c r="P847">
        <f t="shared" si="1009"/>
        <v>0.59477124183006358</v>
      </c>
      <c r="Q847">
        <f t="shared" si="1010"/>
        <v>111335153.2222219</v>
      </c>
      <c r="R847">
        <f t="shared" si="1011"/>
        <v>-2482075877.3233995</v>
      </c>
      <c r="S847">
        <f t="shared" si="1012"/>
        <v>-24820.758773233996</v>
      </c>
      <c r="T847">
        <f t="shared" si="1013"/>
        <v>-24.820758773233997</v>
      </c>
    </row>
    <row r="848" spans="1:20" x14ac:dyDescent="0.25">
      <c r="A848" s="5">
        <v>43745</v>
      </c>
      <c r="B848">
        <v>3.3500000000000001E-3</v>
      </c>
      <c r="C848">
        <v>3.5040000000000002E-3</v>
      </c>
      <c r="D848">
        <v>3.2850000000000002E-3</v>
      </c>
      <c r="E848">
        <v>3.4770000000000001E-3</v>
      </c>
      <c r="F848">
        <v>117210467</v>
      </c>
      <c r="G848">
        <v>0</v>
      </c>
      <c r="L848" t="s">
        <v>7</v>
      </c>
      <c r="M848" t="s">
        <v>7</v>
      </c>
      <c r="N848" t="s">
        <v>7</v>
      </c>
      <c r="P848">
        <f t="shared" si="1009"/>
        <v>0.75342465753424559</v>
      </c>
      <c r="Q848">
        <f t="shared" si="1010"/>
        <v>88309255.958903998</v>
      </c>
      <c r="R848">
        <f t="shared" si="1011"/>
        <v>-2593411030.5456214</v>
      </c>
      <c r="S848">
        <f t="shared" si="1012"/>
        <v>-25934.110305456215</v>
      </c>
      <c r="T848">
        <f t="shared" si="1013"/>
        <v>-25.934110305456215</v>
      </c>
    </row>
    <row r="849" spans="1:20" x14ac:dyDescent="0.25">
      <c r="A849" s="5">
        <v>43744</v>
      </c>
      <c r="B849">
        <v>3.4150000000000001E-3</v>
      </c>
      <c r="C849">
        <v>3.4280000000000001E-3</v>
      </c>
      <c r="D849">
        <v>3.2780000000000001E-3</v>
      </c>
      <c r="E849">
        <v>3.3509999999999998E-3</v>
      </c>
      <c r="F849">
        <v>77948958</v>
      </c>
      <c r="G849">
        <v>0</v>
      </c>
      <c r="L849" t="s">
        <v>7</v>
      </c>
      <c r="M849" t="s">
        <v>7</v>
      </c>
      <c r="N849" t="s">
        <v>7</v>
      </c>
      <c r="P849">
        <f t="shared" si="1009"/>
        <v>-2.6666666666670214E-2</v>
      </c>
      <c r="Q849">
        <f t="shared" si="1010"/>
        <v>-2078638.8800002765</v>
      </c>
      <c r="R849">
        <f t="shared" si="1011"/>
        <v>-2681720286.5045252</v>
      </c>
      <c r="S849">
        <f t="shared" si="1012"/>
        <v>-26817.202865045252</v>
      </c>
      <c r="T849">
        <f t="shared" si="1013"/>
        <v>-26.817202865045253</v>
      </c>
    </row>
    <row r="850" spans="1:20" x14ac:dyDescent="0.25">
      <c r="A850" s="5">
        <v>43743</v>
      </c>
      <c r="B850">
        <v>3.4320000000000002E-3</v>
      </c>
      <c r="C850">
        <v>3.4870000000000001E-3</v>
      </c>
      <c r="D850">
        <v>3.3600000000000001E-3</v>
      </c>
      <c r="E850">
        <v>3.4160000000000002E-3</v>
      </c>
      <c r="F850">
        <v>87987951</v>
      </c>
      <c r="G850">
        <v>0</v>
      </c>
      <c r="L850" t="s">
        <v>8</v>
      </c>
      <c r="M850" t="s">
        <v>7</v>
      </c>
      <c r="N850" t="s">
        <v>7</v>
      </c>
      <c r="P850">
        <f t="shared" si="1009"/>
        <v>-0.11811023622047109</v>
      </c>
      <c r="Q850">
        <f t="shared" si="1010"/>
        <v>-10392277.677165236</v>
      </c>
      <c r="R850">
        <f t="shared" si="1011"/>
        <v>-2679641647.6245251</v>
      </c>
      <c r="S850">
        <f t="shared" si="1012"/>
        <v>-26796.416476245249</v>
      </c>
      <c r="T850">
        <f t="shared" si="1013"/>
        <v>-26.796416476245248</v>
      </c>
    </row>
    <row r="851" spans="1:20" x14ac:dyDescent="0.25">
      <c r="A851" s="5">
        <v>43742</v>
      </c>
      <c r="B851">
        <v>3.4259999999999998E-3</v>
      </c>
      <c r="C851">
        <v>3.4870000000000001E-3</v>
      </c>
      <c r="D851">
        <v>3.356E-3</v>
      </c>
      <c r="E851">
        <v>3.437E-3</v>
      </c>
      <c r="F851">
        <v>75712588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0.23664122137404403</v>
      </c>
      <c r="Q851">
        <f t="shared" si="1010"/>
        <v>17916719.297709789</v>
      </c>
      <c r="R851">
        <f t="shared" si="1011"/>
        <v>-2669249369.94736</v>
      </c>
      <c r="S851">
        <f t="shared" si="1012"/>
        <v>-26692.493699473602</v>
      </c>
      <c r="T851">
        <f t="shared" si="1013"/>
        <v>-26.692493699473602</v>
      </c>
    </row>
    <row r="852" spans="1:20" x14ac:dyDescent="0.25">
      <c r="A852" s="5">
        <v>43741</v>
      </c>
      <c r="B852">
        <v>3.4859999999999999E-3</v>
      </c>
      <c r="C852">
        <v>3.4979999999999998E-3</v>
      </c>
      <c r="D852">
        <v>3.372E-3</v>
      </c>
      <c r="E852">
        <v>3.4199999999999999E-3</v>
      </c>
      <c r="F852">
        <v>45036020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-0.23809523809523908</v>
      </c>
      <c r="Q852">
        <f t="shared" si="1010"/>
        <v>-10722861.90476195</v>
      </c>
      <c r="R852">
        <f t="shared" si="1011"/>
        <v>-2687166089.24507</v>
      </c>
      <c r="S852">
        <f t="shared" si="1012"/>
        <v>-26871.660892450698</v>
      </c>
      <c r="T852">
        <f t="shared" si="1013"/>
        <v>-26.871660892450699</v>
      </c>
    </row>
    <row r="853" spans="1:20" x14ac:dyDescent="0.25">
      <c r="A853" s="5">
        <v>43740</v>
      </c>
      <c r="B853">
        <v>3.4099999999999998E-3</v>
      </c>
      <c r="C853">
        <v>3.49E-3</v>
      </c>
      <c r="D853">
        <v>3.3609999999999998E-3</v>
      </c>
      <c r="E853">
        <v>3.4740000000000001E-3</v>
      </c>
      <c r="F853">
        <v>42132422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0.75193798449612514</v>
      </c>
      <c r="Q853">
        <f t="shared" si="1010"/>
        <v>31680968.480620202</v>
      </c>
      <c r="R853">
        <f t="shared" si="1011"/>
        <v>-2676443227.3403082</v>
      </c>
      <c r="S853">
        <f t="shared" si="1012"/>
        <v>-26764.432273403083</v>
      </c>
      <c r="T853">
        <f t="shared" si="1013"/>
        <v>-26.764432273403084</v>
      </c>
    </row>
    <row r="854" spans="1:20" x14ac:dyDescent="0.25">
      <c r="A854" s="5">
        <v>43739</v>
      </c>
      <c r="B854">
        <v>3.483E-3</v>
      </c>
      <c r="C854">
        <v>3.5999999999999999E-3</v>
      </c>
      <c r="D854">
        <v>3.405E-3</v>
      </c>
      <c r="E854">
        <v>3.4199999999999999E-3</v>
      </c>
      <c r="F854">
        <v>69261993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-0.84615384615384781</v>
      </c>
      <c r="Q854">
        <f t="shared" si="1010"/>
        <v>-58606301.769230887</v>
      </c>
      <c r="R854">
        <f t="shared" si="1011"/>
        <v>-2708124195.8209286</v>
      </c>
      <c r="S854">
        <f t="shared" si="1012"/>
        <v>-27081.241958209284</v>
      </c>
      <c r="T854">
        <f t="shared" si="1013"/>
        <v>-27.081241958209283</v>
      </c>
    </row>
    <row r="855" spans="1:20" x14ac:dyDescent="0.25">
      <c r="A855" s="5">
        <v>43738</v>
      </c>
      <c r="B855">
        <v>3.339E-3</v>
      </c>
      <c r="C855">
        <v>3.5000000000000001E-3</v>
      </c>
      <c r="D855">
        <v>3.2000000000000002E-3</v>
      </c>
      <c r="E855">
        <v>3.4749999999999998E-3</v>
      </c>
      <c r="F855">
        <v>85332257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0.83333333333333137</v>
      </c>
      <c r="Q855">
        <f t="shared" si="1010"/>
        <v>71110214.166666493</v>
      </c>
      <c r="R855">
        <f t="shared" si="1011"/>
        <v>-2649517894.0516977</v>
      </c>
      <c r="S855">
        <f t="shared" si="1012"/>
        <v>-26495.178940516977</v>
      </c>
      <c r="T855">
        <f t="shared" si="1013"/>
        <v>-26.495178940516976</v>
      </c>
    </row>
    <row r="856" spans="1:20" x14ac:dyDescent="0.25">
      <c r="A856" s="5">
        <v>43737</v>
      </c>
      <c r="B856">
        <v>3.4359999999999998E-3</v>
      </c>
      <c r="C856">
        <v>3.4499999999999999E-3</v>
      </c>
      <c r="D856">
        <v>3.261E-3</v>
      </c>
      <c r="E856">
        <v>3.339E-3</v>
      </c>
      <c r="F856">
        <v>72710731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-0.1746031746031749</v>
      </c>
      <c r="Q856">
        <f t="shared" si="1010"/>
        <v>-12695524.460317481</v>
      </c>
      <c r="R856">
        <f t="shared" si="1011"/>
        <v>-2720628108.2183642</v>
      </c>
      <c r="S856">
        <f t="shared" si="1012"/>
        <v>-27206.281082183643</v>
      </c>
      <c r="T856">
        <f t="shared" si="1013"/>
        <v>-27.206281082183644</v>
      </c>
    </row>
    <row r="857" spans="1:20" x14ac:dyDescent="0.25">
      <c r="A857" s="5">
        <v>43736</v>
      </c>
      <c r="B857">
        <v>3.382E-3</v>
      </c>
      <c r="C857">
        <v>3.4849999999999998E-3</v>
      </c>
      <c r="D857">
        <v>3.3709999999999999E-3</v>
      </c>
      <c r="E857">
        <v>3.434E-3</v>
      </c>
      <c r="F857">
        <v>105383585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0.10526315789473945</v>
      </c>
      <c r="Q857">
        <f t="shared" si="1010"/>
        <v>11093008.947368694</v>
      </c>
      <c r="R857">
        <f t="shared" si="1011"/>
        <v>-2707932583.7580466</v>
      </c>
      <c r="S857">
        <f t="shared" si="1012"/>
        <v>-27079.325837580465</v>
      </c>
      <c r="T857">
        <f t="shared" si="1013"/>
        <v>-27.079325837580466</v>
      </c>
    </row>
    <row r="858" spans="1:20" x14ac:dyDescent="0.25">
      <c r="A858" s="5">
        <v>43735</v>
      </c>
      <c r="B858">
        <v>3.3029999999999999E-3</v>
      </c>
      <c r="C858">
        <v>3.424E-3</v>
      </c>
      <c r="D858">
        <v>3.2000000000000002E-3</v>
      </c>
      <c r="E858">
        <v>3.3899999999999998E-3</v>
      </c>
      <c r="F858">
        <v>109324849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0.69642857142856962</v>
      </c>
      <c r="Q858">
        <f t="shared" si="1010"/>
        <v>76136948.41071409</v>
      </c>
      <c r="R858">
        <f t="shared" si="1011"/>
        <v>-2719025592.7054152</v>
      </c>
      <c r="S858">
        <f t="shared" si="1012"/>
        <v>-27190.255927054153</v>
      </c>
      <c r="T858">
        <f t="shared" si="1013"/>
        <v>-27.190255927054153</v>
      </c>
    </row>
    <row r="859" spans="1:20" x14ac:dyDescent="0.25">
      <c r="A859" s="5">
        <v>43734</v>
      </c>
      <c r="B859">
        <v>3.405E-3</v>
      </c>
      <c r="C859">
        <v>3.4099999999999998E-3</v>
      </c>
      <c r="D859">
        <v>3.0609999999999999E-3</v>
      </c>
      <c r="E859">
        <v>3.3089999999999999E-3</v>
      </c>
      <c r="F859">
        <v>152154163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0.42120343839541557</v>
      </c>
      <c r="Q859">
        <f t="shared" si="1010"/>
        <v>64087856.621776521</v>
      </c>
      <c r="R859">
        <f t="shared" si="1011"/>
        <v>-2795162541.1161294</v>
      </c>
      <c r="S859">
        <f t="shared" si="1012"/>
        <v>-27951.625411161294</v>
      </c>
      <c r="T859">
        <f t="shared" si="1013"/>
        <v>-27.951625411161295</v>
      </c>
    </row>
    <row r="860" spans="1:20" x14ac:dyDescent="0.25">
      <c r="A860" s="5">
        <v>43733</v>
      </c>
      <c r="B860">
        <v>3.3270000000000001E-3</v>
      </c>
      <c r="C860">
        <v>3.4910000000000002E-3</v>
      </c>
      <c r="D860">
        <v>3.2629999999999998E-3</v>
      </c>
      <c r="E860">
        <v>3.4020000000000001E-3</v>
      </c>
      <c r="F860">
        <v>145834497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0.21929824561403533</v>
      </c>
      <c r="Q860">
        <f t="shared" si="1010"/>
        <v>31981249.342105299</v>
      </c>
      <c r="R860">
        <f t="shared" si="1011"/>
        <v>-2859250397.737906</v>
      </c>
      <c r="S860">
        <f t="shared" si="1012"/>
        <v>-28592.50397737906</v>
      </c>
      <c r="T860">
        <f t="shared" si="1013"/>
        <v>-28.59250397737906</v>
      </c>
    </row>
    <row r="861" spans="1:20" x14ac:dyDescent="0.25">
      <c r="A861" s="5">
        <v>43732</v>
      </c>
      <c r="B861">
        <v>3.9069999999999999E-3</v>
      </c>
      <c r="C861">
        <v>4.0379999999999999E-3</v>
      </c>
      <c r="D861">
        <v>3.042E-3</v>
      </c>
      <c r="E861">
        <v>3.3270000000000001E-3</v>
      </c>
      <c r="F861">
        <v>233700357.80000001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-0.42771084337349374</v>
      </c>
      <c r="Q861">
        <f t="shared" si="1010"/>
        <v>-99956177.131325245</v>
      </c>
      <c r="R861">
        <f t="shared" si="1011"/>
        <v>-2891231647.0800114</v>
      </c>
      <c r="S861">
        <f t="shared" si="1012"/>
        <v>-28912.316470800113</v>
      </c>
      <c r="T861">
        <f t="shared" si="1013"/>
        <v>-28.912316470800114</v>
      </c>
    </row>
    <row r="862" spans="1:20" x14ac:dyDescent="0.25">
      <c r="A862" s="5">
        <v>43731</v>
      </c>
      <c r="B862">
        <v>4.0369999999999998E-3</v>
      </c>
      <c r="C862">
        <v>4.0889999999999998E-3</v>
      </c>
      <c r="D862">
        <v>3.8999999999999998E-3</v>
      </c>
      <c r="E862">
        <v>3.9060000000000002E-3</v>
      </c>
      <c r="F862">
        <v>77819987</v>
      </c>
      <c r="G862">
        <v>0</v>
      </c>
      <c r="L862" t="s">
        <v>7</v>
      </c>
      <c r="M862" t="s">
        <v>8</v>
      </c>
      <c r="N862" t="s">
        <v>7</v>
      </c>
      <c r="P862">
        <f t="shared" si="1009"/>
        <v>-0.93650793650793263</v>
      </c>
      <c r="Q862">
        <f t="shared" si="1010"/>
        <v>-72879035.44444415</v>
      </c>
      <c r="R862">
        <f t="shared" si="1011"/>
        <v>-2791275469.9486861</v>
      </c>
      <c r="S862">
        <f t="shared" si="1012"/>
        <v>-27912.754699486861</v>
      </c>
      <c r="T862">
        <f t="shared" si="1013"/>
        <v>-27.912754699486861</v>
      </c>
    </row>
    <row r="863" spans="1:20" x14ac:dyDescent="0.25">
      <c r="A863" s="5">
        <v>43730</v>
      </c>
      <c r="B863">
        <v>4.1359999999999999E-3</v>
      </c>
      <c r="C863">
        <v>4.1440000000000001E-3</v>
      </c>
      <c r="D863">
        <v>3.9899999999999996E-3</v>
      </c>
      <c r="E863">
        <v>4.0350000000000004E-3</v>
      </c>
      <c r="F863">
        <v>74612313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-0.41558441558440745</v>
      </c>
      <c r="Q863">
        <f t="shared" si="1010"/>
        <v>-31007714.493505888</v>
      </c>
      <c r="R863">
        <f t="shared" si="1011"/>
        <v>-2718396434.5042419</v>
      </c>
      <c r="S863">
        <f t="shared" si="1012"/>
        <v>-27183.964345042419</v>
      </c>
      <c r="T863">
        <f t="shared" si="1013"/>
        <v>-27.183964345042419</v>
      </c>
    </row>
    <row r="864" spans="1:20" x14ac:dyDescent="0.25">
      <c r="A864" s="5">
        <v>43729</v>
      </c>
      <c r="B864">
        <v>4.1790000000000004E-3</v>
      </c>
      <c r="C864">
        <v>4.2760000000000003E-3</v>
      </c>
      <c r="D864">
        <v>4.1149999999999997E-3</v>
      </c>
      <c r="E864">
        <v>4.1349999999999998E-3</v>
      </c>
      <c r="F864">
        <v>59089542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-0.7515527950310561</v>
      </c>
      <c r="Q864">
        <f t="shared" si="1010"/>
        <v>-44408910.447204977</v>
      </c>
      <c r="R864">
        <f t="shared" si="1011"/>
        <v>-2687388720.010736</v>
      </c>
      <c r="S864">
        <f t="shared" si="1012"/>
        <v>-26873.887200107361</v>
      </c>
      <c r="T864">
        <f t="shared" si="1013"/>
        <v>-26.873887200107362</v>
      </c>
    </row>
    <row r="865" spans="1:20" x14ac:dyDescent="0.25">
      <c r="A865" s="5">
        <v>43728</v>
      </c>
      <c r="B865">
        <v>4.2009999999999999E-3</v>
      </c>
      <c r="C865">
        <v>4.2859999999999999E-3</v>
      </c>
      <c r="D865">
        <v>4.1050000000000001E-3</v>
      </c>
      <c r="E865">
        <v>4.1790000000000004E-3</v>
      </c>
      <c r="F865">
        <v>116637402</v>
      </c>
      <c r="G865">
        <v>0</v>
      </c>
      <c r="L865" t="s">
        <v>7</v>
      </c>
      <c r="M865" t="s">
        <v>8</v>
      </c>
      <c r="N865" t="s">
        <v>7</v>
      </c>
      <c r="P865">
        <f t="shared" si="1009"/>
        <v>-0.18232044198894598</v>
      </c>
      <c r="Q865">
        <f t="shared" si="1010"/>
        <v>-21265382.685082372</v>
      </c>
      <c r="R865">
        <f t="shared" si="1011"/>
        <v>-2642979809.5635309</v>
      </c>
      <c r="S865">
        <f t="shared" si="1012"/>
        <v>-26429.798095635309</v>
      </c>
      <c r="T865">
        <f t="shared" si="1013"/>
        <v>-26.429798095635309</v>
      </c>
    </row>
    <row r="866" spans="1:20" x14ac:dyDescent="0.25">
      <c r="A866" s="5">
        <v>43727</v>
      </c>
      <c r="B866">
        <v>4.28E-3</v>
      </c>
      <c r="C866">
        <v>4.287E-3</v>
      </c>
      <c r="D866">
        <v>4.0200000000000001E-3</v>
      </c>
      <c r="E866">
        <v>4.2059999999999997E-3</v>
      </c>
      <c r="F866">
        <v>204798237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0.39325842696628927</v>
      </c>
      <c r="Q866">
        <f t="shared" si="1010"/>
        <v>80538632.5280893</v>
      </c>
      <c r="R866">
        <f t="shared" si="1011"/>
        <v>-2621714426.8784485</v>
      </c>
      <c r="S866">
        <f t="shared" si="1012"/>
        <v>-26217.144268784486</v>
      </c>
      <c r="T866">
        <f t="shared" si="1013"/>
        <v>-26.217144268784487</v>
      </c>
    </row>
    <row r="867" spans="1:20" x14ac:dyDescent="0.25">
      <c r="A867" s="5">
        <v>43726</v>
      </c>
      <c r="B867">
        <v>4.1910000000000003E-3</v>
      </c>
      <c r="C867">
        <v>4.4180000000000001E-3</v>
      </c>
      <c r="D867">
        <v>4.1830000000000001E-3</v>
      </c>
      <c r="E867">
        <v>4.28E-3</v>
      </c>
      <c r="F867">
        <v>206310141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-0.17446808510638401</v>
      </c>
      <c r="Q867">
        <f t="shared" si="1010"/>
        <v>-35994535.238298088</v>
      </c>
      <c r="R867">
        <f t="shared" si="1011"/>
        <v>-2702253059.406538</v>
      </c>
      <c r="S867">
        <f t="shared" si="1012"/>
        <v>-27022.530594065382</v>
      </c>
      <c r="T867">
        <f t="shared" si="1013"/>
        <v>-27.022530594065383</v>
      </c>
    </row>
    <row r="868" spans="1:20" x14ac:dyDescent="0.25">
      <c r="A868" s="5">
        <v>43725</v>
      </c>
      <c r="B868">
        <v>4.0299999999999997E-3</v>
      </c>
      <c r="C868">
        <v>4.287E-3</v>
      </c>
      <c r="D868">
        <v>4.0010000000000002E-3</v>
      </c>
      <c r="E868">
        <v>4.1850000000000004E-3</v>
      </c>
      <c r="F868">
        <v>214968548</v>
      </c>
      <c r="G868">
        <v>0</v>
      </c>
      <c r="L868" t="s">
        <v>7</v>
      </c>
      <c r="M868" t="s">
        <v>8</v>
      </c>
      <c r="N868" t="s">
        <v>7</v>
      </c>
      <c r="P868">
        <f t="shared" si="1009"/>
        <v>0.28671328671328861</v>
      </c>
      <c r="Q868">
        <f t="shared" si="1010"/>
        <v>61634338.937063344</v>
      </c>
      <c r="R868">
        <f t="shared" si="1011"/>
        <v>-2666258524.1682401</v>
      </c>
      <c r="S868">
        <f t="shared" si="1012"/>
        <v>-26662.585241682402</v>
      </c>
      <c r="T868">
        <f t="shared" si="1013"/>
        <v>-26.6625852416824</v>
      </c>
    </row>
    <row r="869" spans="1:20" x14ac:dyDescent="0.25">
      <c r="A869" s="5">
        <v>43724</v>
      </c>
      <c r="B869">
        <v>3.7230000000000002E-3</v>
      </c>
      <c r="C869">
        <v>4.3429999999999996E-3</v>
      </c>
      <c r="D869">
        <v>3.7100000000000002E-3</v>
      </c>
      <c r="E869">
        <v>4.032E-3</v>
      </c>
      <c r="F869">
        <v>500384048</v>
      </c>
      <c r="G869">
        <v>0</v>
      </c>
      <c r="L869" t="s">
        <v>8</v>
      </c>
      <c r="M869" t="s">
        <v>8</v>
      </c>
      <c r="N869" t="s">
        <v>7</v>
      </c>
      <c r="P869">
        <f t="shared" si="1009"/>
        <v>1.7377567140600583E-2</v>
      </c>
      <c r="Q869">
        <f t="shared" si="1010"/>
        <v>8695457.3902055044</v>
      </c>
      <c r="R869">
        <f t="shared" si="1011"/>
        <v>-2727892863.1053033</v>
      </c>
      <c r="S869">
        <f t="shared" si="1012"/>
        <v>-27278.928631053033</v>
      </c>
      <c r="T869">
        <f t="shared" si="1013"/>
        <v>-27.278928631053034</v>
      </c>
    </row>
    <row r="870" spans="1:20" x14ac:dyDescent="0.25">
      <c r="A870" s="5">
        <v>43723</v>
      </c>
      <c r="B870">
        <v>3.6670000000000001E-3</v>
      </c>
      <c r="C870">
        <v>3.7360000000000002E-3</v>
      </c>
      <c r="D870">
        <v>3.6579999999999998E-3</v>
      </c>
      <c r="E870">
        <v>3.7160000000000001E-3</v>
      </c>
      <c r="F870">
        <v>58675469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0.48717948717948834</v>
      </c>
      <c r="Q870">
        <f t="shared" si="1010"/>
        <v>28585484.897435967</v>
      </c>
      <c r="R870">
        <f t="shared" si="1011"/>
        <v>-2736588320.4955087</v>
      </c>
      <c r="S870">
        <f t="shared" si="1012"/>
        <v>-27365.883204955087</v>
      </c>
      <c r="T870">
        <f t="shared" si="1013"/>
        <v>-27.365883204955086</v>
      </c>
    </row>
    <row r="871" spans="1:20" x14ac:dyDescent="0.25">
      <c r="A871" s="5">
        <v>43722</v>
      </c>
      <c r="B871">
        <v>3.738E-3</v>
      </c>
      <c r="C871">
        <v>3.741E-3</v>
      </c>
      <c r="D871">
        <v>3.555E-3</v>
      </c>
      <c r="E871">
        <v>3.6600000000000001E-3</v>
      </c>
      <c r="F871">
        <v>127462670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0.12903225806451696</v>
      </c>
      <c r="Q871">
        <f t="shared" si="1010"/>
        <v>16446796.129032364</v>
      </c>
      <c r="R871">
        <f t="shared" si="1011"/>
        <v>-2765173805.3929448</v>
      </c>
      <c r="S871">
        <f t="shared" si="1012"/>
        <v>-27651.738053929446</v>
      </c>
      <c r="T871">
        <f t="shared" si="1013"/>
        <v>-27.651738053929446</v>
      </c>
    </row>
    <row r="872" spans="1:20" x14ac:dyDescent="0.25">
      <c r="A872" s="5">
        <v>43721</v>
      </c>
      <c r="B872">
        <v>3.7429999999999998E-3</v>
      </c>
      <c r="C872">
        <v>3.7550000000000001E-3</v>
      </c>
      <c r="D872">
        <v>3.6159999999999999E-3</v>
      </c>
      <c r="E872">
        <v>3.7320000000000001E-3</v>
      </c>
      <c r="F872">
        <v>83211257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0.66906474820143913</v>
      </c>
      <c r="Q872">
        <f t="shared" si="1010"/>
        <v>55673718.712230243</v>
      </c>
      <c r="R872">
        <f t="shared" si="1011"/>
        <v>-2781620601.5219769</v>
      </c>
      <c r="S872">
        <f t="shared" si="1012"/>
        <v>-27816.20601521977</v>
      </c>
      <c r="T872">
        <f t="shared" si="1013"/>
        <v>-27.81620601521977</v>
      </c>
    </row>
    <row r="873" spans="1:20" x14ac:dyDescent="0.25">
      <c r="A873" s="5">
        <v>43720</v>
      </c>
      <c r="B873">
        <v>3.748E-3</v>
      </c>
      <c r="C873">
        <v>3.7699999999999999E-3</v>
      </c>
      <c r="D873">
        <v>3.6110000000000001E-3</v>
      </c>
      <c r="E873">
        <v>3.7420000000000001E-3</v>
      </c>
      <c r="F873">
        <v>108989467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0.64779874213836686</v>
      </c>
      <c r="Q873">
        <f t="shared" si="1010"/>
        <v>70603239.628931046</v>
      </c>
      <c r="R873">
        <f t="shared" si="1011"/>
        <v>-2837294320.2342072</v>
      </c>
      <c r="S873">
        <f t="shared" si="1012"/>
        <v>-28372.94320234207</v>
      </c>
      <c r="T873">
        <f t="shared" si="1013"/>
        <v>-28.372943202342071</v>
      </c>
    </row>
    <row r="874" spans="1:20" x14ac:dyDescent="0.25">
      <c r="A874" s="5">
        <v>43719</v>
      </c>
      <c r="B874">
        <v>3.8920000000000001E-3</v>
      </c>
      <c r="C874">
        <v>3.9560000000000003E-3</v>
      </c>
      <c r="D874">
        <v>3.7039999999999998E-3</v>
      </c>
      <c r="E874">
        <v>3.7620000000000002E-3</v>
      </c>
      <c r="F874">
        <v>105692315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-0.53968253968253799</v>
      </c>
      <c r="Q874">
        <f t="shared" si="1010"/>
        <v>-57040296.984126806</v>
      </c>
      <c r="R874">
        <f t="shared" si="1011"/>
        <v>-2907897559.8631382</v>
      </c>
      <c r="S874">
        <f t="shared" si="1012"/>
        <v>-29078.975598631383</v>
      </c>
      <c r="T874">
        <f t="shared" si="1013"/>
        <v>-29.078975598631384</v>
      </c>
    </row>
    <row r="875" spans="1:20" x14ac:dyDescent="0.25">
      <c r="A875" s="5">
        <v>43718</v>
      </c>
      <c r="B875">
        <v>3.986E-3</v>
      </c>
      <c r="C875">
        <v>4.0200000000000001E-3</v>
      </c>
      <c r="D875">
        <v>3.8549999999999999E-3</v>
      </c>
      <c r="E875">
        <v>3.9119999999999997E-3</v>
      </c>
      <c r="F875">
        <v>85063379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-0.30909090909091291</v>
      </c>
      <c r="Q875">
        <f t="shared" si="1010"/>
        <v>-26292317.145454872</v>
      </c>
      <c r="R875">
        <f t="shared" si="1011"/>
        <v>-2850857262.8790116</v>
      </c>
      <c r="S875">
        <f t="shared" si="1012"/>
        <v>-28508.572628790116</v>
      </c>
      <c r="T875">
        <f t="shared" si="1013"/>
        <v>-28.508572628790116</v>
      </c>
    </row>
    <row r="876" spans="1:20" x14ac:dyDescent="0.25">
      <c r="A876" s="5">
        <v>43717</v>
      </c>
      <c r="B876">
        <v>3.9760000000000004E-3</v>
      </c>
      <c r="C876">
        <v>4.0540000000000003E-3</v>
      </c>
      <c r="D876">
        <v>3.8430000000000001E-3</v>
      </c>
      <c r="E876">
        <v>3.9659999999999999E-3</v>
      </c>
      <c r="F876">
        <v>150038826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0.16587677725118199</v>
      </c>
      <c r="Q876">
        <f t="shared" si="1010"/>
        <v>24887956.919430852</v>
      </c>
      <c r="R876">
        <f t="shared" si="1011"/>
        <v>-2824564945.7335567</v>
      </c>
      <c r="S876">
        <f t="shared" si="1012"/>
        <v>-28245.649457335567</v>
      </c>
      <c r="T876">
        <f t="shared" si="1013"/>
        <v>-28.245649457335567</v>
      </c>
    </row>
    <row r="877" spans="1:20" x14ac:dyDescent="0.25">
      <c r="A877" s="5">
        <v>43716</v>
      </c>
      <c r="B877">
        <v>3.839E-3</v>
      </c>
      <c r="C877">
        <v>4.0270000000000002E-3</v>
      </c>
      <c r="D877">
        <v>3.839E-3</v>
      </c>
      <c r="E877">
        <v>3.9960000000000004E-3</v>
      </c>
      <c r="F877">
        <v>87646549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0.67021276595744961</v>
      </c>
      <c r="Q877">
        <f t="shared" si="1010"/>
        <v>58741836.031915136</v>
      </c>
      <c r="R877">
        <f t="shared" si="1011"/>
        <v>-2849452902.6529875</v>
      </c>
      <c r="S877">
        <f t="shared" si="1012"/>
        <v>-28494.529026529875</v>
      </c>
      <c r="T877">
        <f t="shared" si="1013"/>
        <v>-28.494529026529875</v>
      </c>
    </row>
    <row r="878" spans="1:20" x14ac:dyDescent="0.25">
      <c r="A878" s="5">
        <v>43715</v>
      </c>
      <c r="B878">
        <v>3.7399999999999998E-3</v>
      </c>
      <c r="C878">
        <v>3.9029999999999998E-3</v>
      </c>
      <c r="D878">
        <v>3.7130000000000002E-3</v>
      </c>
      <c r="E878">
        <v>3.8379999999999998E-3</v>
      </c>
      <c r="F878">
        <v>102619603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0.31578947368420968</v>
      </c>
      <c r="Q878">
        <f t="shared" si="1010"/>
        <v>32406190.421052545</v>
      </c>
      <c r="R878">
        <f t="shared" si="1011"/>
        <v>-2908194738.6849027</v>
      </c>
      <c r="S878">
        <f t="shared" si="1012"/>
        <v>-29081.947386849028</v>
      </c>
      <c r="T878">
        <f t="shared" si="1013"/>
        <v>-29.081947386849027</v>
      </c>
    </row>
    <row r="879" spans="1:20" x14ac:dyDescent="0.25">
      <c r="A879" s="5">
        <v>43714</v>
      </c>
      <c r="B879">
        <v>3.9139999999999999E-3</v>
      </c>
      <c r="C879">
        <v>3.9899999999999996E-3</v>
      </c>
      <c r="D879">
        <v>3.7000000000000002E-3</v>
      </c>
      <c r="E879">
        <v>3.741E-3</v>
      </c>
      <c r="F879">
        <v>181655514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-0.71724137931034571</v>
      </c>
      <c r="Q879">
        <f t="shared" si="1010"/>
        <v>-130290851.42068982</v>
      </c>
      <c r="R879">
        <f t="shared" si="1011"/>
        <v>-2940600929.1059551</v>
      </c>
      <c r="S879">
        <f t="shared" si="1012"/>
        <v>-29406.009291059552</v>
      </c>
      <c r="T879">
        <f t="shared" si="1013"/>
        <v>-29.406009291059551</v>
      </c>
    </row>
    <row r="880" spans="1:20" x14ac:dyDescent="0.25">
      <c r="A880" s="5">
        <v>43713</v>
      </c>
      <c r="B880">
        <v>4.1380000000000002E-3</v>
      </c>
      <c r="C880">
        <v>4.1590000000000004E-3</v>
      </c>
      <c r="D880">
        <v>3.79E-3</v>
      </c>
      <c r="E880">
        <v>3.9139999999999999E-3</v>
      </c>
      <c r="F880">
        <v>198946126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-0.32791327913279217</v>
      </c>
      <c r="Q880">
        <f t="shared" si="1010"/>
        <v>-65237076.547425643</v>
      </c>
      <c r="R880">
        <f t="shared" si="1011"/>
        <v>-2810310077.6852651</v>
      </c>
      <c r="S880">
        <f t="shared" si="1012"/>
        <v>-28103.100776852651</v>
      </c>
      <c r="T880">
        <f t="shared" si="1013"/>
        <v>-28.103100776852649</v>
      </c>
    </row>
    <row r="881" spans="1:20" x14ac:dyDescent="0.25">
      <c r="A881" s="5">
        <v>43712</v>
      </c>
      <c r="B881">
        <v>4.2690000000000002E-3</v>
      </c>
      <c r="C881">
        <v>4.3020000000000003E-3</v>
      </c>
      <c r="D881">
        <v>4.0600000000000002E-3</v>
      </c>
      <c r="E881">
        <v>4.1390000000000003E-3</v>
      </c>
      <c r="F881">
        <v>128948505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-0.34710743801652838</v>
      </c>
      <c r="Q881">
        <f t="shared" si="1010"/>
        <v>-44758985.206611499</v>
      </c>
      <c r="R881">
        <f t="shared" si="1011"/>
        <v>-2745073001.1378393</v>
      </c>
      <c r="S881">
        <f t="shared" si="1012"/>
        <v>-27450.730011378393</v>
      </c>
      <c r="T881">
        <f t="shared" si="1013"/>
        <v>-27.450730011378393</v>
      </c>
    </row>
    <row r="882" spans="1:20" x14ac:dyDescent="0.25">
      <c r="A882" s="5">
        <v>43711</v>
      </c>
      <c r="B882">
        <v>4.3629999999999997E-3</v>
      </c>
      <c r="C882">
        <v>4.3759999999999997E-3</v>
      </c>
      <c r="D882">
        <v>4.1980000000000003E-3</v>
      </c>
      <c r="E882">
        <v>4.2700000000000004E-3</v>
      </c>
      <c r="F882">
        <v>121809285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-0.19101123595505301</v>
      </c>
      <c r="Q882">
        <f t="shared" si="1010"/>
        <v>-23266942.078651298</v>
      </c>
      <c r="R882">
        <f t="shared" si="1011"/>
        <v>-2700314015.9312277</v>
      </c>
      <c r="S882">
        <f t="shared" si="1012"/>
        <v>-27003.140159312276</v>
      </c>
      <c r="T882">
        <f t="shared" si="1013"/>
        <v>-27.003140159312274</v>
      </c>
    </row>
    <row r="883" spans="1:20" x14ac:dyDescent="0.25">
      <c r="A883" s="5">
        <v>43710</v>
      </c>
      <c r="B883">
        <v>4.1019999999999997E-3</v>
      </c>
      <c r="C883">
        <v>4.4679999999999997E-3</v>
      </c>
      <c r="D883">
        <v>4.0759999999999998E-3</v>
      </c>
      <c r="E883">
        <v>4.3600000000000002E-3</v>
      </c>
      <c r="F883">
        <v>235485075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0.44897959183673675</v>
      </c>
      <c r="Q883">
        <f t="shared" si="1010"/>
        <v>105727992.85714334</v>
      </c>
      <c r="R883">
        <f t="shared" si="1011"/>
        <v>-2677047073.8525763</v>
      </c>
      <c r="S883">
        <f t="shared" si="1012"/>
        <v>-26770.470738525764</v>
      </c>
      <c r="T883">
        <f t="shared" si="1013"/>
        <v>-26.770470738525763</v>
      </c>
    </row>
    <row r="884" spans="1:20" x14ac:dyDescent="0.25">
      <c r="A884" s="5">
        <v>43709</v>
      </c>
      <c r="B884">
        <v>4.0920000000000002E-3</v>
      </c>
      <c r="C884">
        <v>4.1289999999999999E-3</v>
      </c>
      <c r="D884">
        <v>4.0270000000000002E-3</v>
      </c>
      <c r="E884">
        <v>4.0949999999999997E-3</v>
      </c>
      <c r="F884">
        <v>58425995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0.33333333333332765</v>
      </c>
      <c r="Q884">
        <f t="shared" si="1010"/>
        <v>19475331.666666336</v>
      </c>
      <c r="R884">
        <f t="shared" si="1011"/>
        <v>-2782775066.7097197</v>
      </c>
      <c r="S884">
        <f t="shared" si="1012"/>
        <v>-27827.750667097196</v>
      </c>
      <c r="T884">
        <f t="shared" si="1013"/>
        <v>-27.827750667097195</v>
      </c>
    </row>
    <row r="885" spans="1:20" x14ac:dyDescent="0.25">
      <c r="A885" s="5">
        <v>43708</v>
      </c>
      <c r="B885">
        <v>4.0670000000000003E-3</v>
      </c>
      <c r="C885">
        <v>4.1929999999999997E-3</v>
      </c>
      <c r="D885">
        <v>3.9699999999999996E-3</v>
      </c>
      <c r="E885">
        <v>4.0899999999999999E-3</v>
      </c>
      <c r="F885">
        <v>65633010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7.6233183856504544E-2</v>
      </c>
      <c r="Q885">
        <f t="shared" si="1010"/>
        <v>5003413.3183858013</v>
      </c>
      <c r="R885">
        <f t="shared" si="1011"/>
        <v>-2802250398.3763862</v>
      </c>
      <c r="S885">
        <f t="shared" si="1012"/>
        <v>-28022.503983763861</v>
      </c>
      <c r="T885">
        <f t="shared" si="1013"/>
        <v>-28.022503983763862</v>
      </c>
    </row>
    <row r="886" spans="1:20" x14ac:dyDescent="0.25">
      <c r="A886" s="5">
        <v>43707</v>
      </c>
      <c r="B886">
        <v>4.0759999999999998E-3</v>
      </c>
      <c r="C886">
        <v>4.1599999999999996E-3</v>
      </c>
      <c r="D886">
        <v>3.9500000000000004E-3</v>
      </c>
      <c r="E886">
        <v>4.0749999999999996E-3</v>
      </c>
      <c r="F886">
        <v>113772575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0.19047619047618752</v>
      </c>
      <c r="Q886">
        <f t="shared" si="1010"/>
        <v>21670966.666666329</v>
      </c>
      <c r="R886">
        <f t="shared" si="1011"/>
        <v>-2807253811.6947718</v>
      </c>
      <c r="S886">
        <f t="shared" si="1012"/>
        <v>-28072.538116947719</v>
      </c>
      <c r="T886">
        <f t="shared" si="1013"/>
        <v>-28.072538116947719</v>
      </c>
    </row>
    <row r="887" spans="1:20" x14ac:dyDescent="0.25">
      <c r="A887" s="5">
        <v>43706</v>
      </c>
      <c r="B887">
        <v>4.2339999999999999E-3</v>
      </c>
      <c r="C887">
        <v>4.2490000000000002E-3</v>
      </c>
      <c r="D887">
        <v>4.0119999999999999E-3</v>
      </c>
      <c r="E887">
        <v>4.0749999999999996E-3</v>
      </c>
      <c r="F887">
        <v>129241954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-0.46835443037975</v>
      </c>
      <c r="Q887">
        <f t="shared" si="1010"/>
        <v>-60531041.74683585</v>
      </c>
      <c r="R887">
        <f t="shared" si="1011"/>
        <v>-2828924778.3614383</v>
      </c>
      <c r="S887">
        <f t="shared" si="1012"/>
        <v>-28289.247783614384</v>
      </c>
      <c r="T887">
        <f t="shared" si="1013"/>
        <v>-28.289247783614385</v>
      </c>
    </row>
    <row r="888" spans="1:20" x14ac:dyDescent="0.25">
      <c r="A888" s="5">
        <v>43705</v>
      </c>
      <c r="B888">
        <v>4.5199999999999997E-3</v>
      </c>
      <c r="C888">
        <v>4.705E-3</v>
      </c>
      <c r="D888">
        <v>4.1939999999999998E-3</v>
      </c>
      <c r="E888">
        <v>4.2379999999999996E-3</v>
      </c>
      <c r="F888">
        <v>119522683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-0.82778864970645893</v>
      </c>
      <c r="Q888">
        <f t="shared" si="1010"/>
        <v>-98939520.369863138</v>
      </c>
      <c r="R888">
        <f t="shared" si="1011"/>
        <v>-2768393736.6146026</v>
      </c>
      <c r="S888">
        <f t="shared" si="1012"/>
        <v>-27683.937366146027</v>
      </c>
      <c r="T888">
        <f t="shared" si="1013"/>
        <v>-27.683937366146026</v>
      </c>
    </row>
    <row r="889" spans="1:20" x14ac:dyDescent="0.25">
      <c r="A889" s="5">
        <v>43704</v>
      </c>
      <c r="B889">
        <v>4.5770000000000003E-3</v>
      </c>
      <c r="C889">
        <v>4.5960000000000003E-3</v>
      </c>
      <c r="D889">
        <v>4.4799999999999996E-3</v>
      </c>
      <c r="E889">
        <v>4.5399999999999998E-3</v>
      </c>
      <c r="F889">
        <v>63359311</v>
      </c>
      <c r="G889">
        <v>0</v>
      </c>
      <c r="L889" t="s">
        <v>7</v>
      </c>
      <c r="M889" t="s">
        <v>8</v>
      </c>
      <c r="N889" t="s">
        <v>7</v>
      </c>
      <c r="P889">
        <f t="shared" si="1009"/>
        <v>3.448275862068656E-2</v>
      </c>
      <c r="Q889">
        <f t="shared" si="1010"/>
        <v>2184803.8275860106</v>
      </c>
      <c r="R889">
        <f t="shared" si="1011"/>
        <v>-2669454216.2447395</v>
      </c>
      <c r="S889">
        <f t="shared" si="1012"/>
        <v>-26694.542162447397</v>
      </c>
      <c r="T889">
        <f t="shared" si="1013"/>
        <v>-26.694542162447398</v>
      </c>
    </row>
    <row r="890" spans="1:20" x14ac:dyDescent="0.25">
      <c r="A890" s="5">
        <v>43703</v>
      </c>
      <c r="B890">
        <v>4.4730000000000004E-3</v>
      </c>
      <c r="C890">
        <v>4.6350000000000002E-3</v>
      </c>
      <c r="D890">
        <v>4.4710000000000001E-3</v>
      </c>
      <c r="E890">
        <v>4.5560000000000002E-3</v>
      </c>
      <c r="F890">
        <v>122616368</v>
      </c>
      <c r="G890">
        <v>0</v>
      </c>
      <c r="L890" t="s">
        <v>7</v>
      </c>
      <c r="M890" t="s">
        <v>8</v>
      </c>
      <c r="N890" t="s">
        <v>7</v>
      </c>
      <c r="P890">
        <f t="shared" si="1009"/>
        <v>3.6585365853658083E-2</v>
      </c>
      <c r="Q890">
        <f t="shared" si="1010"/>
        <v>4485964.682926774</v>
      </c>
      <c r="R890">
        <f t="shared" si="1011"/>
        <v>-2671639020.0723257</v>
      </c>
      <c r="S890">
        <f t="shared" si="1012"/>
        <v>-26716.390200723257</v>
      </c>
      <c r="T890">
        <f t="shared" si="1013"/>
        <v>-26.716390200723257</v>
      </c>
    </row>
    <row r="891" spans="1:20" x14ac:dyDescent="0.25">
      <c r="A891" s="5">
        <v>43702</v>
      </c>
      <c r="B891">
        <v>4.9069999999999999E-3</v>
      </c>
      <c r="C891">
        <v>5.0029999999999996E-3</v>
      </c>
      <c r="D891">
        <v>4.385E-3</v>
      </c>
      <c r="E891">
        <v>4.4809999999999997E-3</v>
      </c>
      <c r="F891">
        <v>328410656</v>
      </c>
      <c r="G891">
        <v>0</v>
      </c>
      <c r="L891" t="s">
        <v>7</v>
      </c>
      <c r="M891" t="s">
        <v>8</v>
      </c>
      <c r="N891" t="s">
        <v>7</v>
      </c>
      <c r="P891">
        <f t="shared" si="1009"/>
        <v>-0.68932038834951526</v>
      </c>
      <c r="Q891">
        <f t="shared" si="1010"/>
        <v>-226380160.93203905</v>
      </c>
      <c r="R891">
        <f t="shared" si="1011"/>
        <v>-2676124984.7552524</v>
      </c>
      <c r="S891">
        <f t="shared" si="1012"/>
        <v>-26761.249847552524</v>
      </c>
      <c r="T891">
        <f t="shared" si="1013"/>
        <v>-26.761249847552524</v>
      </c>
    </row>
    <row r="892" spans="1:20" x14ac:dyDescent="0.25">
      <c r="A892" s="5">
        <v>43701</v>
      </c>
      <c r="B892">
        <v>4.5960000000000003E-3</v>
      </c>
      <c r="C892">
        <v>5.0000000000000001E-3</v>
      </c>
      <c r="D892">
        <v>4.5009999999999998E-3</v>
      </c>
      <c r="E892">
        <v>4.9049999999999996E-3</v>
      </c>
      <c r="F892">
        <v>304469967</v>
      </c>
      <c r="G892">
        <v>0</v>
      </c>
      <c r="L892" t="s">
        <v>8</v>
      </c>
      <c r="M892" t="s">
        <v>8</v>
      </c>
      <c r="N892" t="s">
        <v>7</v>
      </c>
      <c r="P892">
        <f t="shared" si="1009"/>
        <v>0.61923847695390621</v>
      </c>
      <c r="Q892">
        <f t="shared" si="1010"/>
        <v>188539518.64328608</v>
      </c>
      <c r="R892">
        <f t="shared" si="1011"/>
        <v>-2449744823.8232131</v>
      </c>
      <c r="S892">
        <f t="shared" si="1012"/>
        <v>-24497.448238232129</v>
      </c>
      <c r="T892">
        <f t="shared" si="1013"/>
        <v>-24.497448238232128</v>
      </c>
    </row>
    <row r="893" spans="1:20" x14ac:dyDescent="0.25">
      <c r="A893" s="5">
        <v>43700</v>
      </c>
      <c r="B893">
        <v>4.4759999999999999E-3</v>
      </c>
      <c r="C893">
        <v>4.6670000000000001E-3</v>
      </c>
      <c r="D893">
        <v>4.4320000000000002E-3</v>
      </c>
      <c r="E893">
        <v>4.594E-3</v>
      </c>
      <c r="F893">
        <v>128952421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0.37872340425531781</v>
      </c>
      <c r="Q893">
        <f t="shared" si="1010"/>
        <v>48837299.86808493</v>
      </c>
      <c r="R893">
        <f t="shared" si="1011"/>
        <v>-2638284342.4664993</v>
      </c>
      <c r="S893">
        <f t="shared" si="1012"/>
        <v>-26382.843424664992</v>
      </c>
      <c r="T893">
        <f t="shared" si="1013"/>
        <v>-26.382843424664991</v>
      </c>
    </row>
    <row r="894" spans="1:20" x14ac:dyDescent="0.25">
      <c r="A894" s="5">
        <v>43699</v>
      </c>
      <c r="B894">
        <v>4.3470000000000002E-3</v>
      </c>
      <c r="C894">
        <v>4.6490000000000004E-3</v>
      </c>
      <c r="D894">
        <v>4.1949999999999999E-3</v>
      </c>
      <c r="E894">
        <v>4.4650000000000002E-3</v>
      </c>
      <c r="F894">
        <v>153773200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0.18942731277533054</v>
      </c>
      <c r="Q894">
        <f t="shared" si="1010"/>
        <v>29128844.052863456</v>
      </c>
      <c r="R894">
        <f t="shared" si="1011"/>
        <v>-2687121642.3345842</v>
      </c>
      <c r="S894">
        <f t="shared" si="1012"/>
        <v>-26871.216423345842</v>
      </c>
      <c r="T894">
        <f t="shared" si="1013"/>
        <v>-26.871216423345842</v>
      </c>
    </row>
    <row r="895" spans="1:20" x14ac:dyDescent="0.25">
      <c r="A895" s="5">
        <v>43698</v>
      </c>
      <c r="B895">
        <v>4.5510000000000004E-3</v>
      </c>
      <c r="C895">
        <v>4.5760000000000002E-3</v>
      </c>
      <c r="D895">
        <v>4.1450000000000002E-3</v>
      </c>
      <c r="E895">
        <v>4.3689999999999996E-3</v>
      </c>
      <c r="F895">
        <v>161888610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3.9443155452433383E-2</v>
      </c>
      <c r="Q895">
        <f t="shared" ref="Q895:Q958" si="1015">F895*P895</f>
        <v>6385397.6102083614</v>
      </c>
      <c r="R895">
        <f t="shared" ref="R895:R958" si="1016">R896+Q895</f>
        <v>-2716250486.3874478</v>
      </c>
      <c r="S895">
        <f t="shared" ref="S895:S958" si="1017">R895/100000</f>
        <v>-27162.504863874477</v>
      </c>
      <c r="T895">
        <f t="shared" ref="T895:T958" si="1018">S895/1000</f>
        <v>-27.162504863874478</v>
      </c>
    </row>
    <row r="896" spans="1:20" x14ac:dyDescent="0.25">
      <c r="A896" s="5">
        <v>43697</v>
      </c>
      <c r="B896">
        <v>4.6629999999999996E-3</v>
      </c>
      <c r="C896">
        <v>4.6690000000000004E-3</v>
      </c>
      <c r="D896">
        <v>4.4999999999999997E-3</v>
      </c>
      <c r="E896">
        <v>4.5500000000000002E-3</v>
      </c>
      <c r="F896">
        <v>126606698</v>
      </c>
      <c r="G896">
        <v>0</v>
      </c>
      <c r="L896" t="s">
        <v>8</v>
      </c>
      <c r="M896" t="s">
        <v>7</v>
      </c>
      <c r="N896" t="s">
        <v>7</v>
      </c>
      <c r="P896">
        <f t="shared" si="1014"/>
        <v>-0.40828402366863498</v>
      </c>
      <c r="Q896">
        <f t="shared" si="1015"/>
        <v>-51691492.08283972</v>
      </c>
      <c r="R896">
        <f t="shared" si="1016"/>
        <v>-2722635883.9976563</v>
      </c>
      <c r="S896">
        <f t="shared" si="1017"/>
        <v>-27226.358839976565</v>
      </c>
      <c r="T896">
        <f t="shared" si="1018"/>
        <v>-27.226358839976566</v>
      </c>
    </row>
    <row r="897" spans="1:20" x14ac:dyDescent="0.25">
      <c r="A897" s="5">
        <v>43696</v>
      </c>
      <c r="B897">
        <v>4.483E-3</v>
      </c>
      <c r="C897">
        <v>4.6829999999999997E-3</v>
      </c>
      <c r="D897">
        <v>4.4790000000000003E-3</v>
      </c>
      <c r="E897">
        <v>4.6600000000000001E-3</v>
      </c>
      <c r="F897">
        <v>181544467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0.77450980392157198</v>
      </c>
      <c r="Q897">
        <f t="shared" si="1015"/>
        <v>140607969.53921631</v>
      </c>
      <c r="R897">
        <f t="shared" si="1016"/>
        <v>-2670944391.9148169</v>
      </c>
      <c r="S897">
        <f t="shared" si="1017"/>
        <v>-26709.443919148169</v>
      </c>
      <c r="T897">
        <f t="shared" si="1018"/>
        <v>-26.709443919148168</v>
      </c>
    </row>
    <row r="898" spans="1:20" x14ac:dyDescent="0.25">
      <c r="A898" s="5">
        <v>43695</v>
      </c>
      <c r="B898">
        <v>4.4530000000000004E-3</v>
      </c>
      <c r="C898">
        <v>4.5789999999999997E-3</v>
      </c>
      <c r="D898">
        <v>4.4330000000000003E-3</v>
      </c>
      <c r="E898">
        <v>4.4949999999999999E-3</v>
      </c>
      <c r="F898">
        <v>186440029</v>
      </c>
      <c r="G898">
        <v>0</v>
      </c>
      <c r="L898" t="s">
        <v>7</v>
      </c>
      <c r="M898" t="s">
        <v>7</v>
      </c>
      <c r="N898" t="s">
        <v>7</v>
      </c>
      <c r="P898">
        <f t="shared" si="1014"/>
        <v>-0.15068493150685208</v>
      </c>
      <c r="Q898">
        <f t="shared" si="1015"/>
        <v>-28093703.000000514</v>
      </c>
      <c r="R898">
        <f t="shared" si="1016"/>
        <v>-2811552361.4540334</v>
      </c>
      <c r="S898">
        <f t="shared" si="1017"/>
        <v>-28115.523614540332</v>
      </c>
      <c r="T898">
        <f t="shared" si="1018"/>
        <v>-28.115523614540333</v>
      </c>
    </row>
    <row r="899" spans="1:20" x14ac:dyDescent="0.25">
      <c r="A899" s="5">
        <v>43694</v>
      </c>
      <c r="B899">
        <v>4.4869999999999997E-3</v>
      </c>
      <c r="C899">
        <v>4.6249999999999998E-3</v>
      </c>
      <c r="D899">
        <v>4.3610000000000003E-3</v>
      </c>
      <c r="E899">
        <v>4.4539999999999996E-3</v>
      </c>
      <c r="F899">
        <v>118297470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-0.29545454545454913</v>
      </c>
      <c r="Q899">
        <f t="shared" si="1015"/>
        <v>-34951525.227273166</v>
      </c>
      <c r="R899">
        <f t="shared" si="1016"/>
        <v>-2783458658.4540329</v>
      </c>
      <c r="S899">
        <f t="shared" si="1017"/>
        <v>-27834.586584540328</v>
      </c>
      <c r="T899">
        <f t="shared" si="1018"/>
        <v>-27.834586584540329</v>
      </c>
    </row>
    <row r="900" spans="1:20" x14ac:dyDescent="0.25">
      <c r="A900" s="5">
        <v>43693</v>
      </c>
      <c r="B900">
        <v>4.5690000000000001E-3</v>
      </c>
      <c r="C900">
        <v>4.6509999999999998E-3</v>
      </c>
      <c r="D900">
        <v>4.4029999999999998E-3</v>
      </c>
      <c r="E900">
        <v>4.4929999999999996E-3</v>
      </c>
      <c r="F900">
        <v>238498566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-0.27419354838709825</v>
      </c>
      <c r="Q900">
        <f t="shared" si="1015"/>
        <v>-65394768.096774548</v>
      </c>
      <c r="R900">
        <f t="shared" si="1016"/>
        <v>-2748507133.2267599</v>
      </c>
      <c r="S900">
        <f t="shared" si="1017"/>
        <v>-27485.071332267598</v>
      </c>
      <c r="T900">
        <f t="shared" si="1018"/>
        <v>-27.485071332267598</v>
      </c>
    </row>
    <row r="901" spans="1:20" x14ac:dyDescent="0.25">
      <c r="A901" s="5">
        <v>43692</v>
      </c>
      <c r="B901">
        <v>4.6299999999999996E-3</v>
      </c>
      <c r="C901">
        <v>4.7520000000000001E-3</v>
      </c>
      <c r="D901">
        <v>4.4920000000000003E-3</v>
      </c>
      <c r="E901">
        <v>4.5799999999999999E-3</v>
      </c>
      <c r="F901">
        <v>127247226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-0.32307692307692615</v>
      </c>
      <c r="Q901">
        <f t="shared" si="1015"/>
        <v>-41110642.246154234</v>
      </c>
      <c r="R901">
        <f t="shared" si="1016"/>
        <v>-2683112365.1299853</v>
      </c>
      <c r="S901">
        <f t="shared" si="1017"/>
        <v>-26831.123651299855</v>
      </c>
      <c r="T901">
        <f t="shared" si="1018"/>
        <v>-26.831123651299855</v>
      </c>
    </row>
    <row r="902" spans="1:20" x14ac:dyDescent="0.25">
      <c r="A902" s="5">
        <v>43691</v>
      </c>
      <c r="B902">
        <v>4.9230000000000003E-3</v>
      </c>
      <c r="C902">
        <v>4.9389999999999998E-3</v>
      </c>
      <c r="D902">
        <v>4.444E-3</v>
      </c>
      <c r="E902">
        <v>4.6299999999999996E-3</v>
      </c>
      <c r="F902">
        <v>261925666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-0.24848484848485003</v>
      </c>
      <c r="Q902">
        <f t="shared" si="1015"/>
        <v>-65084559.430303432</v>
      </c>
      <c r="R902">
        <f t="shared" si="1016"/>
        <v>-2642001722.883831</v>
      </c>
      <c r="S902">
        <f t="shared" si="1017"/>
        <v>-26420.017228838311</v>
      </c>
      <c r="T902">
        <f t="shared" si="1018"/>
        <v>-26.420017228838311</v>
      </c>
    </row>
    <row r="903" spans="1:20" x14ac:dyDescent="0.25">
      <c r="A903" s="5">
        <v>43690</v>
      </c>
      <c r="B903">
        <v>5.1130000000000004E-3</v>
      </c>
      <c r="C903">
        <v>5.1130000000000004E-3</v>
      </c>
      <c r="D903">
        <v>4.8250000000000003E-3</v>
      </c>
      <c r="E903">
        <v>4.9150000000000001E-3</v>
      </c>
      <c r="F903">
        <v>183883645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-0.3750000000000015</v>
      </c>
      <c r="Q903">
        <f t="shared" si="1015"/>
        <v>-68956366.875000268</v>
      </c>
      <c r="R903">
        <f t="shared" si="1016"/>
        <v>-2576917163.4535275</v>
      </c>
      <c r="S903">
        <f t="shared" si="1017"/>
        <v>-25769.171634535276</v>
      </c>
      <c r="T903">
        <f t="shared" si="1018"/>
        <v>-25.769171634535276</v>
      </c>
    </row>
    <row r="904" spans="1:20" x14ac:dyDescent="0.25">
      <c r="A904" s="5">
        <v>43689</v>
      </c>
      <c r="B904">
        <v>5.1130000000000004E-3</v>
      </c>
      <c r="C904">
        <v>5.274E-3</v>
      </c>
      <c r="D904">
        <v>5.025E-3</v>
      </c>
      <c r="E904">
        <v>5.1130000000000004E-3</v>
      </c>
      <c r="F904">
        <v>175726637</v>
      </c>
      <c r="G904">
        <v>0</v>
      </c>
      <c r="L904" t="s">
        <v>7</v>
      </c>
      <c r="M904" t="s">
        <v>7</v>
      </c>
      <c r="N904" t="s">
        <v>7</v>
      </c>
      <c r="P904">
        <f t="shared" si="1014"/>
        <v>-0.29317269076304919</v>
      </c>
      <c r="Q904">
        <f t="shared" si="1015"/>
        <v>-51518251.008031599</v>
      </c>
      <c r="R904">
        <f t="shared" si="1016"/>
        <v>-2507960796.578527</v>
      </c>
      <c r="S904">
        <f t="shared" si="1017"/>
        <v>-25079.607965785272</v>
      </c>
      <c r="T904">
        <f t="shared" si="1018"/>
        <v>-25.079607965785272</v>
      </c>
    </row>
    <row r="905" spans="1:20" x14ac:dyDescent="0.25">
      <c r="A905" s="5">
        <v>43688</v>
      </c>
      <c r="B905">
        <v>4.9100000000000003E-3</v>
      </c>
      <c r="C905">
        <v>5.3899999999999998E-3</v>
      </c>
      <c r="D905">
        <v>4.8700000000000002E-3</v>
      </c>
      <c r="E905">
        <v>5.1139999999999996E-3</v>
      </c>
      <c r="F905">
        <v>267360931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-6.1538461538463075E-2</v>
      </c>
      <c r="Q905">
        <f t="shared" si="1015"/>
        <v>-16452980.369231179</v>
      </c>
      <c r="R905">
        <f t="shared" si="1016"/>
        <v>-2456442545.5704956</v>
      </c>
      <c r="S905">
        <f t="shared" si="1017"/>
        <v>-24564.425455704957</v>
      </c>
      <c r="T905">
        <f t="shared" si="1018"/>
        <v>-24.564425455704956</v>
      </c>
    </row>
    <row r="906" spans="1:20" x14ac:dyDescent="0.25">
      <c r="A906" s="5">
        <v>43687</v>
      </c>
      <c r="B906">
        <v>4.9030000000000002E-3</v>
      </c>
      <c r="C906">
        <v>5.0980000000000001E-3</v>
      </c>
      <c r="D906">
        <v>4.7200000000000002E-3</v>
      </c>
      <c r="E906">
        <v>4.9100000000000003E-3</v>
      </c>
      <c r="F906">
        <v>199359692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5.291005291005995E-3</v>
      </c>
      <c r="Q906">
        <f t="shared" si="1015"/>
        <v>1054813.1851853256</v>
      </c>
      <c r="R906">
        <f t="shared" si="1016"/>
        <v>-2439989565.2012644</v>
      </c>
      <c r="S906">
        <f t="shared" si="1017"/>
        <v>-24399.895652012645</v>
      </c>
      <c r="T906">
        <f t="shared" si="1018"/>
        <v>-24.399895652012646</v>
      </c>
    </row>
    <row r="907" spans="1:20" x14ac:dyDescent="0.25">
      <c r="A907" s="5">
        <v>43686</v>
      </c>
      <c r="B907">
        <v>4.9680000000000002E-3</v>
      </c>
      <c r="C907">
        <v>5.4440000000000001E-3</v>
      </c>
      <c r="D907">
        <v>4.8450000000000003E-3</v>
      </c>
      <c r="E907">
        <v>4.9059999999999998E-3</v>
      </c>
      <c r="F907">
        <v>271798672</v>
      </c>
      <c r="G907">
        <v>0</v>
      </c>
      <c r="L907" t="s">
        <v>8</v>
      </c>
      <c r="M907" t="s">
        <v>7</v>
      </c>
      <c r="N907" t="s">
        <v>7</v>
      </c>
      <c r="P907">
        <f t="shared" si="1014"/>
        <v>-0.7963272120200352</v>
      </c>
      <c r="Q907">
        <f t="shared" si="1015"/>
        <v>-216440678.70450801</v>
      </c>
      <c r="R907">
        <f t="shared" si="1016"/>
        <v>-2441044378.3864498</v>
      </c>
      <c r="S907">
        <f t="shared" si="1017"/>
        <v>-24410.443783864499</v>
      </c>
      <c r="T907">
        <f t="shared" si="1018"/>
        <v>-24.410443783864498</v>
      </c>
    </row>
    <row r="908" spans="1:20" x14ac:dyDescent="0.25">
      <c r="A908" s="5">
        <v>43685</v>
      </c>
      <c r="B908">
        <v>5.0169999999999998E-3</v>
      </c>
      <c r="C908">
        <v>5.084E-3</v>
      </c>
      <c r="D908">
        <v>4.8209999999999998E-3</v>
      </c>
      <c r="E908">
        <v>4.9750000000000003E-3</v>
      </c>
      <c r="F908">
        <v>236762470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0.17110266159696097</v>
      </c>
      <c r="Q908">
        <f t="shared" si="1015"/>
        <v>40510688.783270627</v>
      </c>
      <c r="R908">
        <f t="shared" si="1016"/>
        <v>-2224603699.681942</v>
      </c>
      <c r="S908">
        <f t="shared" si="1017"/>
        <v>-22246.036996819421</v>
      </c>
      <c r="T908">
        <f t="shared" si="1018"/>
        <v>-22.24603699681942</v>
      </c>
    </row>
    <row r="909" spans="1:20" x14ac:dyDescent="0.25">
      <c r="A909" s="5">
        <v>43684</v>
      </c>
      <c r="B909">
        <v>4.8739999999999999E-3</v>
      </c>
      <c r="C909">
        <v>5.7999999999999996E-3</v>
      </c>
      <c r="D909">
        <v>4.8060000000000004E-3</v>
      </c>
      <c r="E909">
        <v>5.0140000000000002E-3</v>
      </c>
      <c r="F909">
        <v>728014818</v>
      </c>
      <c r="G909">
        <v>0</v>
      </c>
      <c r="L909" t="s">
        <v>8</v>
      </c>
      <c r="M909" t="s">
        <v>8</v>
      </c>
      <c r="N909" t="s">
        <v>7</v>
      </c>
      <c r="P909">
        <f t="shared" si="1014"/>
        <v>-0.58148893360160958</v>
      </c>
      <c r="Q909">
        <f t="shared" si="1015"/>
        <v>-423332560.16498989</v>
      </c>
      <c r="R909">
        <f t="shared" si="1016"/>
        <v>-2265114388.4652128</v>
      </c>
      <c r="S909">
        <f t="shared" si="1017"/>
        <v>-22651.143884652127</v>
      </c>
      <c r="T909">
        <f t="shared" si="1018"/>
        <v>-22.651143884652125</v>
      </c>
    </row>
    <row r="910" spans="1:20" x14ac:dyDescent="0.25">
      <c r="A910" s="5">
        <v>43683</v>
      </c>
      <c r="B910">
        <v>5.2259999999999997E-3</v>
      </c>
      <c r="C910">
        <v>5.241E-3</v>
      </c>
      <c r="D910">
        <v>4.7999999999999996E-3</v>
      </c>
      <c r="E910">
        <v>4.8739999999999999E-3</v>
      </c>
      <c r="F910">
        <v>439231870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-0.66439909297052058</v>
      </c>
      <c r="Q910">
        <f t="shared" si="1015"/>
        <v>-291825256.03174561</v>
      </c>
      <c r="R910">
        <f t="shared" si="1016"/>
        <v>-1841781828.3002231</v>
      </c>
      <c r="S910">
        <f t="shared" si="1017"/>
        <v>-18417.818283002231</v>
      </c>
      <c r="T910">
        <f t="shared" si="1018"/>
        <v>-18.41781828300223</v>
      </c>
    </row>
    <row r="911" spans="1:20" x14ac:dyDescent="0.25">
      <c r="A911" s="5">
        <v>43682</v>
      </c>
      <c r="B911">
        <v>5.3160000000000004E-3</v>
      </c>
      <c r="C911">
        <v>5.4000000000000003E-3</v>
      </c>
      <c r="D911">
        <v>5.2220000000000001E-3</v>
      </c>
      <c r="E911">
        <v>5.2350000000000001E-3</v>
      </c>
      <c r="F911">
        <v>278464732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-0.85393258426966323</v>
      </c>
      <c r="Q911">
        <f t="shared" si="1015"/>
        <v>-237790108.2247192</v>
      </c>
      <c r="R911">
        <f t="shared" si="1016"/>
        <v>-1549956572.2684774</v>
      </c>
      <c r="S911">
        <f t="shared" si="1017"/>
        <v>-15499.565722684774</v>
      </c>
      <c r="T911">
        <f t="shared" si="1018"/>
        <v>-15.499565722684775</v>
      </c>
    </row>
    <row r="912" spans="1:20" x14ac:dyDescent="0.25">
      <c r="A912" s="5">
        <v>43681</v>
      </c>
      <c r="B912">
        <v>5.4710000000000002E-3</v>
      </c>
      <c r="C912">
        <v>5.4910000000000002E-3</v>
      </c>
      <c r="D912">
        <v>5.2919999999999998E-3</v>
      </c>
      <c r="E912">
        <v>5.3200000000000001E-3</v>
      </c>
      <c r="F912">
        <v>128775337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-0.71859296482411872</v>
      </c>
      <c r="Q912">
        <f t="shared" si="1015"/>
        <v>-92537051.21105504</v>
      </c>
      <c r="R912">
        <f t="shared" si="1016"/>
        <v>-1312166464.0437582</v>
      </c>
      <c r="S912">
        <f t="shared" si="1017"/>
        <v>-13121.664640437582</v>
      </c>
      <c r="T912">
        <f t="shared" si="1018"/>
        <v>-13.121664640437583</v>
      </c>
    </row>
    <row r="913" spans="1:20" x14ac:dyDescent="0.25">
      <c r="A913" s="5">
        <v>43680</v>
      </c>
      <c r="B913">
        <v>5.4799999999999996E-3</v>
      </c>
      <c r="C913">
        <v>5.5690000000000002E-3</v>
      </c>
      <c r="D913">
        <v>5.4279999999999997E-3</v>
      </c>
      <c r="E913">
        <v>5.4799999999999996E-3</v>
      </c>
      <c r="F913">
        <v>132237932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-0.26241134751773365</v>
      </c>
      <c r="Q913">
        <f t="shared" si="1015"/>
        <v>-34700733.92907843</v>
      </c>
      <c r="R913">
        <f t="shared" si="1016"/>
        <v>-1219629412.8327031</v>
      </c>
      <c r="S913">
        <f t="shared" si="1017"/>
        <v>-12196.294128327032</v>
      </c>
      <c r="T913">
        <f t="shared" si="1018"/>
        <v>-12.196294128327033</v>
      </c>
    </row>
    <row r="914" spans="1:20" x14ac:dyDescent="0.25">
      <c r="A914" s="5">
        <v>43679</v>
      </c>
      <c r="B914">
        <v>5.4039999999999999E-3</v>
      </c>
      <c r="C914">
        <v>5.5599999999999998E-3</v>
      </c>
      <c r="D914">
        <v>5.3369999999999997E-3</v>
      </c>
      <c r="E914">
        <v>5.4809999999999998E-3</v>
      </c>
      <c r="F914">
        <v>134680765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0.29147982062780237</v>
      </c>
      <c r="Q914">
        <f t="shared" si="1015"/>
        <v>39256725.224215202</v>
      </c>
      <c r="R914">
        <f t="shared" si="1016"/>
        <v>-1184928678.9036248</v>
      </c>
      <c r="S914">
        <f t="shared" si="1017"/>
        <v>-11849.286789036249</v>
      </c>
      <c r="T914">
        <f t="shared" si="1018"/>
        <v>-11.849286789036249</v>
      </c>
    </row>
    <row r="915" spans="1:20" x14ac:dyDescent="0.25">
      <c r="A915" s="5">
        <v>43678</v>
      </c>
      <c r="B915">
        <v>5.5979999999999997E-3</v>
      </c>
      <c r="C915">
        <v>5.6290000000000003E-3</v>
      </c>
      <c r="D915">
        <v>5.2620000000000002E-3</v>
      </c>
      <c r="E915">
        <v>5.4089999999999997E-3</v>
      </c>
      <c r="F915">
        <v>184685503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-0.1989100817438719</v>
      </c>
      <c r="Q915">
        <f t="shared" si="1015"/>
        <v>-36735808.498638101</v>
      </c>
      <c r="R915">
        <f t="shared" si="1016"/>
        <v>-1224185404.12784</v>
      </c>
      <c r="S915">
        <f t="shared" si="1017"/>
        <v>-12241.8540412784</v>
      </c>
      <c r="T915">
        <f t="shared" si="1018"/>
        <v>-12.241854041278401</v>
      </c>
    </row>
    <row r="916" spans="1:20" x14ac:dyDescent="0.25">
      <c r="A916" s="5">
        <v>43677</v>
      </c>
      <c r="B916">
        <v>5.5279999999999999E-3</v>
      </c>
      <c r="C916">
        <v>5.6699999999999997E-3</v>
      </c>
      <c r="D916">
        <v>5.5009999999999998E-3</v>
      </c>
      <c r="E916">
        <v>5.6100000000000004E-3</v>
      </c>
      <c r="F916">
        <v>175464172</v>
      </c>
      <c r="G916">
        <v>0</v>
      </c>
      <c r="L916" t="s">
        <v>7</v>
      </c>
      <c r="M916" t="s">
        <v>8</v>
      </c>
      <c r="N916" t="s">
        <v>7</v>
      </c>
      <c r="P916">
        <f t="shared" si="1014"/>
        <v>0.28994082840237478</v>
      </c>
      <c r="Q916">
        <f t="shared" si="1015"/>
        <v>50874227.384616777</v>
      </c>
      <c r="R916">
        <f t="shared" si="1016"/>
        <v>-1187449595.6292019</v>
      </c>
      <c r="S916">
        <f t="shared" si="1017"/>
        <v>-11874.495956292019</v>
      </c>
      <c r="T916">
        <f t="shared" si="1018"/>
        <v>-11.874495956292019</v>
      </c>
    </row>
    <row r="917" spans="1:20" x14ac:dyDescent="0.25">
      <c r="A917" s="5">
        <v>43676</v>
      </c>
      <c r="B917">
        <v>5.5630000000000002E-3</v>
      </c>
      <c r="C917">
        <v>5.6410000000000002E-3</v>
      </c>
      <c r="D917">
        <v>5.4689999999999999E-3</v>
      </c>
      <c r="E917">
        <v>5.5310000000000003E-3</v>
      </c>
      <c r="F917">
        <v>122414672</v>
      </c>
      <c r="G917">
        <v>0</v>
      </c>
      <c r="L917" t="s">
        <v>7</v>
      </c>
      <c r="M917" t="s">
        <v>8</v>
      </c>
      <c r="N917" t="s">
        <v>7</v>
      </c>
      <c r="P917">
        <f t="shared" si="1014"/>
        <v>-0.27906976744185669</v>
      </c>
      <c r="Q917">
        <f t="shared" si="1015"/>
        <v>-34162234.046511166</v>
      </c>
      <c r="R917">
        <f t="shared" si="1016"/>
        <v>-1238323823.0138187</v>
      </c>
      <c r="S917">
        <f t="shared" si="1017"/>
        <v>-12383.238230138188</v>
      </c>
      <c r="T917">
        <f t="shared" si="1018"/>
        <v>-12.383238230138188</v>
      </c>
    </row>
    <row r="918" spans="1:20" x14ac:dyDescent="0.25">
      <c r="A918" s="5">
        <v>43675</v>
      </c>
      <c r="B918">
        <v>5.6550000000000003E-3</v>
      </c>
      <c r="C918">
        <v>5.7419999999999997E-3</v>
      </c>
      <c r="D918">
        <v>5.5449999999999996E-3</v>
      </c>
      <c r="E918">
        <v>5.574E-3</v>
      </c>
      <c r="F918">
        <v>79957279</v>
      </c>
      <c r="G918">
        <v>0</v>
      </c>
      <c r="L918" t="s">
        <v>7</v>
      </c>
      <c r="M918" t="s">
        <v>8</v>
      </c>
      <c r="N918" t="s">
        <v>7</v>
      </c>
      <c r="P918">
        <f t="shared" si="1014"/>
        <v>-0.70558375634517401</v>
      </c>
      <c r="Q918">
        <f t="shared" si="1015"/>
        <v>-56416557.263959095</v>
      </c>
      <c r="R918">
        <f t="shared" si="1016"/>
        <v>-1204161588.9673076</v>
      </c>
      <c r="S918">
        <f t="shared" si="1017"/>
        <v>-12041.615889673076</v>
      </c>
      <c r="T918">
        <f t="shared" si="1018"/>
        <v>-12.041615889673075</v>
      </c>
    </row>
    <row r="919" spans="1:20" x14ac:dyDescent="0.25">
      <c r="A919" s="5">
        <v>43674</v>
      </c>
      <c r="B919">
        <v>5.6740000000000002E-3</v>
      </c>
      <c r="C919">
        <v>5.7250000000000001E-3</v>
      </c>
      <c r="D919">
        <v>5.424E-3</v>
      </c>
      <c r="E919">
        <v>5.6449999999999998E-3</v>
      </c>
      <c r="F919">
        <v>104021898</v>
      </c>
      <c r="G919">
        <v>0</v>
      </c>
      <c r="L919" t="s">
        <v>7</v>
      </c>
      <c r="M919" t="s">
        <v>8</v>
      </c>
      <c r="N919" t="s">
        <v>7</v>
      </c>
      <c r="P919">
        <f t="shared" si="1014"/>
        <v>0.46843853820597875</v>
      </c>
      <c r="Q919">
        <f t="shared" si="1015"/>
        <v>48727865.840531424</v>
      </c>
      <c r="R919">
        <f t="shared" si="1016"/>
        <v>-1147745031.7033484</v>
      </c>
      <c r="S919">
        <f t="shared" si="1017"/>
        <v>-11477.450317033485</v>
      </c>
      <c r="T919">
        <f t="shared" si="1018"/>
        <v>-11.477450317033485</v>
      </c>
    </row>
    <row r="920" spans="1:20" x14ac:dyDescent="0.25">
      <c r="A920" s="5">
        <v>43673</v>
      </c>
      <c r="B920">
        <v>5.9459999999999999E-3</v>
      </c>
      <c r="C920">
        <v>6.0930000000000003E-3</v>
      </c>
      <c r="D920">
        <v>5.587E-3</v>
      </c>
      <c r="E920">
        <v>5.6969999999999998E-3</v>
      </c>
      <c r="F920">
        <v>136998242</v>
      </c>
      <c r="G920">
        <v>0</v>
      </c>
      <c r="L920" t="s">
        <v>7</v>
      </c>
      <c r="M920" t="s">
        <v>8</v>
      </c>
      <c r="N920" t="s">
        <v>7</v>
      </c>
      <c r="P920">
        <f t="shared" si="1014"/>
        <v>-0.56521739130434867</v>
      </c>
      <c r="Q920">
        <f t="shared" si="1015"/>
        <v>-77433788.956521854</v>
      </c>
      <c r="R920">
        <f t="shared" si="1016"/>
        <v>-1196472897.5438797</v>
      </c>
      <c r="S920">
        <f t="shared" si="1017"/>
        <v>-11964.728975438797</v>
      </c>
      <c r="T920">
        <f t="shared" si="1018"/>
        <v>-11.964728975438797</v>
      </c>
    </row>
    <row r="921" spans="1:20" x14ac:dyDescent="0.25">
      <c r="A921" s="5">
        <v>43672</v>
      </c>
      <c r="B921">
        <v>5.8529999999999997E-3</v>
      </c>
      <c r="C921">
        <v>6.0270000000000002E-3</v>
      </c>
      <c r="D921">
        <v>5.7029999999999997E-3</v>
      </c>
      <c r="E921">
        <v>5.9350000000000002E-3</v>
      </c>
      <c r="F921">
        <v>127790959</v>
      </c>
      <c r="G921">
        <v>0</v>
      </c>
      <c r="L921" t="s">
        <v>8</v>
      </c>
      <c r="M921" t="s">
        <v>8</v>
      </c>
      <c r="N921" t="s">
        <v>7</v>
      </c>
      <c r="P921">
        <f t="shared" si="1014"/>
        <v>0.43209876543209924</v>
      </c>
      <c r="Q921">
        <f t="shared" si="1015"/>
        <v>55218315.617284015</v>
      </c>
      <c r="R921">
        <f t="shared" si="1016"/>
        <v>-1119039108.587358</v>
      </c>
      <c r="S921">
        <f t="shared" si="1017"/>
        <v>-11190.39108587358</v>
      </c>
      <c r="T921">
        <f t="shared" si="1018"/>
        <v>-11.19039108587358</v>
      </c>
    </row>
    <row r="922" spans="1:20" x14ac:dyDescent="0.25">
      <c r="A922" s="5">
        <v>43671</v>
      </c>
      <c r="B922">
        <v>5.9020000000000001E-3</v>
      </c>
      <c r="C922">
        <v>6.149E-3</v>
      </c>
      <c r="D922">
        <v>5.8120000000000003E-3</v>
      </c>
      <c r="E922">
        <v>5.855E-3</v>
      </c>
      <c r="F922">
        <v>159741195</v>
      </c>
      <c r="G922">
        <v>0</v>
      </c>
      <c r="L922" t="s">
        <v>8</v>
      </c>
      <c r="M922" t="s">
        <v>8</v>
      </c>
      <c r="N922" t="s">
        <v>7</v>
      </c>
      <c r="P922">
        <f t="shared" si="1014"/>
        <v>-0.74480712166172292</v>
      </c>
      <c r="Q922">
        <f t="shared" si="1015"/>
        <v>-118976379.65875401</v>
      </c>
      <c r="R922">
        <f t="shared" si="1016"/>
        <v>-1174257424.2046421</v>
      </c>
      <c r="S922">
        <f t="shared" si="1017"/>
        <v>-11742.574242046421</v>
      </c>
      <c r="T922">
        <f t="shared" si="1018"/>
        <v>-11.742574242046421</v>
      </c>
    </row>
    <row r="923" spans="1:20" x14ac:dyDescent="0.25">
      <c r="A923" s="5">
        <v>43670</v>
      </c>
      <c r="B923">
        <v>5.8279999999999998E-3</v>
      </c>
      <c r="C923">
        <v>5.9490000000000003E-3</v>
      </c>
      <c r="D923">
        <v>5.6100000000000004E-3</v>
      </c>
      <c r="E923">
        <v>5.9049999999999997E-3</v>
      </c>
      <c r="F923">
        <v>233706526</v>
      </c>
      <c r="G923">
        <v>0</v>
      </c>
      <c r="L923" t="s">
        <v>7</v>
      </c>
      <c r="M923" t="s">
        <v>8</v>
      </c>
      <c r="N923" t="s">
        <v>7</v>
      </c>
      <c r="P923">
        <f t="shared" si="1014"/>
        <v>0.74041297935102857</v>
      </c>
      <c r="Q923">
        <f t="shared" si="1015"/>
        <v>173039345.20943862</v>
      </c>
      <c r="R923">
        <f t="shared" si="1016"/>
        <v>-1055281044.5458879</v>
      </c>
      <c r="S923">
        <f t="shared" si="1017"/>
        <v>-10552.810445458879</v>
      </c>
      <c r="T923">
        <f t="shared" si="1018"/>
        <v>-10.55281044545888</v>
      </c>
    </row>
    <row r="924" spans="1:20" x14ac:dyDescent="0.25">
      <c r="A924" s="5">
        <v>43669</v>
      </c>
      <c r="B924">
        <v>6.195E-3</v>
      </c>
      <c r="C924">
        <v>6.2550000000000001E-3</v>
      </c>
      <c r="D924">
        <v>5.7330000000000002E-3</v>
      </c>
      <c r="E924">
        <v>5.8279999999999998E-3</v>
      </c>
      <c r="F924">
        <v>233387399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-0.63601532567049957</v>
      </c>
      <c r="Q924">
        <f t="shared" si="1015"/>
        <v>-148437962.58237582</v>
      </c>
      <c r="R924">
        <f t="shared" si="1016"/>
        <v>-1228320389.7553265</v>
      </c>
      <c r="S924">
        <f t="shared" si="1017"/>
        <v>-12283.203897553265</v>
      </c>
      <c r="T924">
        <f t="shared" si="1018"/>
        <v>-12.283203897553266</v>
      </c>
    </row>
    <row r="925" spans="1:20" x14ac:dyDescent="0.25">
      <c r="A925" s="5">
        <v>43668</v>
      </c>
      <c r="B925">
        <v>6.1040000000000001E-3</v>
      </c>
      <c r="C925">
        <v>6.4440000000000001E-3</v>
      </c>
      <c r="D925">
        <v>6.0400000000000002E-3</v>
      </c>
      <c r="E925">
        <v>6.1970000000000003E-3</v>
      </c>
      <c r="F925">
        <v>258117524</v>
      </c>
      <c r="G925">
        <v>0</v>
      </c>
      <c r="L925" t="s">
        <v>8</v>
      </c>
      <c r="M925" t="s">
        <v>8</v>
      </c>
      <c r="N925" t="s">
        <v>7</v>
      </c>
      <c r="P925">
        <f t="shared" si="1014"/>
        <v>-0.22277227722772236</v>
      </c>
      <c r="Q925">
        <f t="shared" si="1015"/>
        <v>-57501428.613861278</v>
      </c>
      <c r="R925">
        <f t="shared" si="1016"/>
        <v>-1079882427.1729507</v>
      </c>
      <c r="S925">
        <f t="shared" si="1017"/>
        <v>-10798.824271729507</v>
      </c>
      <c r="T925">
        <f t="shared" si="1018"/>
        <v>-10.798824271729506</v>
      </c>
    </row>
    <row r="926" spans="1:20" x14ac:dyDescent="0.25">
      <c r="A926" s="5">
        <v>43667</v>
      </c>
      <c r="B926">
        <v>6.0670000000000003E-3</v>
      </c>
      <c r="C926">
        <v>6.1310000000000002E-3</v>
      </c>
      <c r="D926">
        <v>5.8349999999999999E-3</v>
      </c>
      <c r="E926">
        <v>6.0870000000000004E-3</v>
      </c>
      <c r="F926">
        <v>127361386</v>
      </c>
      <c r="G926">
        <v>0</v>
      </c>
      <c r="L926" t="s">
        <v>8</v>
      </c>
      <c r="M926" t="s">
        <v>8</v>
      </c>
      <c r="N926" t="s">
        <v>7</v>
      </c>
      <c r="P926">
        <f t="shared" si="1014"/>
        <v>0.70270270270270452</v>
      </c>
      <c r="Q926">
        <f t="shared" si="1015"/>
        <v>89497190.162162393</v>
      </c>
      <c r="R926">
        <f t="shared" si="1016"/>
        <v>-1022380998.5590895</v>
      </c>
      <c r="S926">
        <f t="shared" si="1017"/>
        <v>-10223.809985590895</v>
      </c>
      <c r="T926">
        <f t="shared" si="1018"/>
        <v>-10.223809985590895</v>
      </c>
    </row>
    <row r="927" spans="1:20" x14ac:dyDescent="0.25">
      <c r="A927" s="5">
        <v>43666</v>
      </c>
      <c r="B927">
        <v>5.8580000000000004E-3</v>
      </c>
      <c r="C927">
        <v>6.2189999999999997E-3</v>
      </c>
      <c r="D927">
        <v>5.8079999999999998E-3</v>
      </c>
      <c r="E927">
        <v>6.0670000000000003E-3</v>
      </c>
      <c r="F927">
        <v>220578246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0.26034063260340928</v>
      </c>
      <c r="Q927">
        <f t="shared" si="1015"/>
        <v>57425480.102190435</v>
      </c>
      <c r="R927">
        <f t="shared" si="1016"/>
        <v>-1111878188.721252</v>
      </c>
      <c r="S927">
        <f t="shared" si="1017"/>
        <v>-11118.781887212519</v>
      </c>
      <c r="T927">
        <f t="shared" si="1018"/>
        <v>-11.118781887212519</v>
      </c>
    </row>
    <row r="928" spans="1:20" x14ac:dyDescent="0.25">
      <c r="A928" s="5">
        <v>43665</v>
      </c>
      <c r="B928">
        <v>5.6769999999999998E-3</v>
      </c>
      <c r="C928">
        <v>5.9080000000000001E-3</v>
      </c>
      <c r="D928">
        <v>5.4749999999999998E-3</v>
      </c>
      <c r="E928">
        <v>5.8310000000000002E-3</v>
      </c>
      <c r="F928">
        <v>215873112</v>
      </c>
      <c r="G928">
        <v>0</v>
      </c>
      <c r="L928" t="s">
        <v>8</v>
      </c>
      <c r="M928" t="s">
        <v>7</v>
      </c>
      <c r="N928" t="s">
        <v>7</v>
      </c>
      <c r="P928">
        <f t="shared" si="1014"/>
        <v>0.64434180138568231</v>
      </c>
      <c r="Q928">
        <f t="shared" si="1015"/>
        <v>139096069.85681316</v>
      </c>
      <c r="R928">
        <f t="shared" si="1016"/>
        <v>-1169303668.8234425</v>
      </c>
      <c r="S928">
        <f t="shared" si="1017"/>
        <v>-11693.036688234424</v>
      </c>
      <c r="T928">
        <f t="shared" si="1018"/>
        <v>-11.693036688234423</v>
      </c>
    </row>
    <row r="929" spans="1:20" x14ac:dyDescent="0.25">
      <c r="A929" s="5">
        <v>43664</v>
      </c>
      <c r="B929">
        <v>5.4409999999999997E-3</v>
      </c>
      <c r="C929">
        <v>5.7479999999999996E-3</v>
      </c>
      <c r="D929">
        <v>5.2040000000000003E-3</v>
      </c>
      <c r="E929">
        <v>5.6829999999999997E-3</v>
      </c>
      <c r="F929">
        <v>263482969</v>
      </c>
      <c r="G929">
        <v>0</v>
      </c>
      <c r="L929" t="s">
        <v>7</v>
      </c>
      <c r="M929" t="s">
        <v>7</v>
      </c>
      <c r="N929" t="s">
        <v>7</v>
      </c>
      <c r="P929">
        <f t="shared" si="1014"/>
        <v>0.76102941176470573</v>
      </c>
      <c r="Q929">
        <f t="shared" si="1015"/>
        <v>200518288.90808821</v>
      </c>
      <c r="R929">
        <f t="shared" si="1016"/>
        <v>-1308399738.6802557</v>
      </c>
      <c r="S929">
        <f t="shared" si="1017"/>
        <v>-13083.997386802557</v>
      </c>
      <c r="T929">
        <f t="shared" si="1018"/>
        <v>-13.083997386802558</v>
      </c>
    </row>
    <row r="930" spans="1:20" x14ac:dyDescent="0.25">
      <c r="A930" s="5">
        <v>43663</v>
      </c>
      <c r="B930">
        <v>5.2220000000000001E-3</v>
      </c>
      <c r="C930">
        <v>5.7499999999999999E-3</v>
      </c>
      <c r="D930">
        <v>5.006E-3</v>
      </c>
      <c r="E930">
        <v>5.4299999999999999E-3</v>
      </c>
      <c r="F930">
        <v>392566604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0.13978494623655907</v>
      </c>
      <c r="Q930">
        <f t="shared" si="1015"/>
        <v>54874901.634408578</v>
      </c>
      <c r="R930">
        <f t="shared" si="1016"/>
        <v>-1508918027.5883439</v>
      </c>
      <c r="S930">
        <f t="shared" si="1017"/>
        <v>-15089.180275883438</v>
      </c>
      <c r="T930">
        <f t="shared" si="1018"/>
        <v>-15.089180275883438</v>
      </c>
    </row>
    <row r="931" spans="1:20" x14ac:dyDescent="0.25">
      <c r="A931" s="5">
        <v>43662</v>
      </c>
      <c r="B931">
        <v>5.6249999999999998E-3</v>
      </c>
      <c r="C931">
        <v>5.7780000000000001E-3</v>
      </c>
      <c r="D931">
        <v>5.0309999999999999E-3</v>
      </c>
      <c r="E931">
        <v>5.2160000000000002E-3</v>
      </c>
      <c r="F931">
        <v>474446141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-0.50468540829986563</v>
      </c>
      <c r="Q931">
        <f t="shared" si="1015"/>
        <v>-239446044.38688061</v>
      </c>
      <c r="R931">
        <f t="shared" si="1016"/>
        <v>-1563792929.2227523</v>
      </c>
      <c r="S931">
        <f t="shared" si="1017"/>
        <v>-15637.929292227524</v>
      </c>
      <c r="T931">
        <f t="shared" si="1018"/>
        <v>-15.637929292227524</v>
      </c>
    </row>
    <row r="932" spans="1:20" x14ac:dyDescent="0.25">
      <c r="A932" s="5">
        <v>43661</v>
      </c>
      <c r="B932">
        <v>5.6540000000000002E-3</v>
      </c>
      <c r="C932">
        <v>5.8459999999999996E-3</v>
      </c>
      <c r="D932">
        <v>5.2919999999999998E-3</v>
      </c>
      <c r="E932">
        <v>5.6259999999999999E-3</v>
      </c>
      <c r="F932">
        <v>345141279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0.20577617328519932</v>
      </c>
      <c r="Q932">
        <f t="shared" si="1015"/>
        <v>71021851.635379329</v>
      </c>
      <c r="R932">
        <f t="shared" si="1016"/>
        <v>-1324346884.8358717</v>
      </c>
      <c r="S932">
        <f t="shared" si="1017"/>
        <v>-13243.468848358716</v>
      </c>
      <c r="T932">
        <f t="shared" si="1018"/>
        <v>-13.243468848358717</v>
      </c>
    </row>
    <row r="933" spans="1:20" x14ac:dyDescent="0.25">
      <c r="A933" s="5">
        <v>43660</v>
      </c>
      <c r="B933">
        <v>6.4700000000000001E-3</v>
      </c>
      <c r="C933">
        <v>6.5329999999999997E-3</v>
      </c>
      <c r="D933">
        <v>5.6090000000000003E-3</v>
      </c>
      <c r="E933">
        <v>5.6540000000000002E-3</v>
      </c>
      <c r="F933">
        <v>261711893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-0.90259740259740273</v>
      </c>
      <c r="Q933">
        <f t="shared" si="1015"/>
        <v>-236220474.85064939</v>
      </c>
      <c r="R933">
        <f t="shared" si="1016"/>
        <v>-1395368736.471251</v>
      </c>
      <c r="S933">
        <f t="shared" si="1017"/>
        <v>-13953.68736471251</v>
      </c>
      <c r="T933">
        <f t="shared" si="1018"/>
        <v>-13.953687364712509</v>
      </c>
    </row>
    <row r="934" spans="1:20" x14ac:dyDescent="0.25">
      <c r="A934" s="5">
        <v>43659</v>
      </c>
      <c r="B934">
        <v>6.868E-3</v>
      </c>
      <c r="C934">
        <v>7.3000000000000001E-3</v>
      </c>
      <c r="D934">
        <v>6.1729999999999997E-3</v>
      </c>
      <c r="E934">
        <v>6.4679999999999998E-3</v>
      </c>
      <c r="F934">
        <v>364559116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-0.47648624667258205</v>
      </c>
      <c r="Q934">
        <f t="shared" si="1015"/>
        <v>-173707404.87311447</v>
      </c>
      <c r="R934">
        <f t="shared" si="1016"/>
        <v>-1159148261.6206017</v>
      </c>
      <c r="S934">
        <f t="shared" si="1017"/>
        <v>-11591.482616206016</v>
      </c>
      <c r="T934">
        <f t="shared" si="1018"/>
        <v>-11.591482616206017</v>
      </c>
    </row>
    <row r="935" spans="1:20" x14ac:dyDescent="0.25">
      <c r="A935" s="5">
        <v>43658</v>
      </c>
      <c r="B935">
        <v>6.0159999999999996E-3</v>
      </c>
      <c r="C935">
        <v>7.3200000000000001E-3</v>
      </c>
      <c r="D935">
        <v>5.9040000000000004E-3</v>
      </c>
      <c r="E935">
        <v>6.868E-3</v>
      </c>
      <c r="F935">
        <v>594300978</v>
      </c>
      <c r="G935">
        <v>0</v>
      </c>
      <c r="L935" t="s">
        <v>8</v>
      </c>
      <c r="M935" t="s">
        <v>8</v>
      </c>
      <c r="N935" t="s">
        <v>7</v>
      </c>
      <c r="P935">
        <f t="shared" si="1014"/>
        <v>0.36158192090395447</v>
      </c>
      <c r="Q935">
        <f t="shared" si="1015"/>
        <v>214888489.22033879</v>
      </c>
      <c r="R935">
        <f t="shared" si="1016"/>
        <v>-985440856.74748731</v>
      </c>
      <c r="S935">
        <f t="shared" si="1017"/>
        <v>-9854.4085674748731</v>
      </c>
      <c r="T935">
        <f t="shared" si="1018"/>
        <v>-9.8544085674748736</v>
      </c>
    </row>
    <row r="936" spans="1:20" x14ac:dyDescent="0.25">
      <c r="A936" s="5">
        <v>43657</v>
      </c>
      <c r="B936">
        <v>6.9439999999999997E-3</v>
      </c>
      <c r="C936">
        <v>6.9439999999999997E-3</v>
      </c>
      <c r="D936">
        <v>5.8019999999999999E-3</v>
      </c>
      <c r="E936">
        <v>6.0130000000000001E-3</v>
      </c>
      <c r="F936">
        <v>491968280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-0.63047285464098024</v>
      </c>
      <c r="Q936">
        <f t="shared" si="1015"/>
        <v>-310172645.88441306</v>
      </c>
      <c r="R936">
        <f t="shared" si="1016"/>
        <v>-1200329345.9678261</v>
      </c>
      <c r="S936">
        <f t="shared" si="1017"/>
        <v>-12003.293459678262</v>
      </c>
      <c r="T936">
        <f t="shared" si="1018"/>
        <v>-12.003293459678261</v>
      </c>
    </row>
    <row r="937" spans="1:20" x14ac:dyDescent="0.25">
      <c r="A937" s="5">
        <v>43656</v>
      </c>
      <c r="B937">
        <v>7.241E-3</v>
      </c>
      <c r="C937">
        <v>7.3400000000000002E-3</v>
      </c>
      <c r="D937">
        <v>6.7999999999999996E-3</v>
      </c>
      <c r="E937">
        <v>6.9430000000000004E-3</v>
      </c>
      <c r="F937">
        <v>364072483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-0.47037037037036805</v>
      </c>
      <c r="Q937">
        <f t="shared" si="1015"/>
        <v>-171248908.67036954</v>
      </c>
      <c r="R937">
        <f t="shared" si="1016"/>
        <v>-890156700.08341312</v>
      </c>
      <c r="S937">
        <f t="shared" si="1017"/>
        <v>-8901.5670008341312</v>
      </c>
      <c r="T937">
        <f t="shared" si="1018"/>
        <v>-8.901567000834131</v>
      </c>
    </row>
    <row r="938" spans="1:20" x14ac:dyDescent="0.25">
      <c r="A938" s="5">
        <v>43655</v>
      </c>
      <c r="B938">
        <v>7.2189999999999997E-3</v>
      </c>
      <c r="C938">
        <v>7.4900000000000001E-3</v>
      </c>
      <c r="D938">
        <v>7.097E-3</v>
      </c>
      <c r="E938">
        <v>7.241E-3</v>
      </c>
      <c r="F938">
        <v>379429838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-0.26717557251908403</v>
      </c>
      <c r="Q938">
        <f t="shared" si="1015"/>
        <v>-101374384.1984733</v>
      </c>
      <c r="R938">
        <f t="shared" si="1016"/>
        <v>-718907791.41304362</v>
      </c>
      <c r="S938">
        <f t="shared" si="1017"/>
        <v>-7189.0779141304365</v>
      </c>
      <c r="T938">
        <f t="shared" si="1018"/>
        <v>-7.1890779141304364</v>
      </c>
    </row>
    <row r="939" spans="1:20" x14ac:dyDescent="0.25">
      <c r="A939" s="5">
        <v>43654</v>
      </c>
      <c r="B939">
        <v>7.45E-3</v>
      </c>
      <c r="C939">
        <v>7.5750000000000001E-3</v>
      </c>
      <c r="D939">
        <v>7.0860000000000003E-3</v>
      </c>
      <c r="E939">
        <v>7.221E-3</v>
      </c>
      <c r="F939">
        <v>389550045</v>
      </c>
      <c r="G939">
        <v>0</v>
      </c>
      <c r="L939" t="s">
        <v>7</v>
      </c>
      <c r="M939" t="s">
        <v>7</v>
      </c>
      <c r="N939" t="s">
        <v>7</v>
      </c>
      <c r="P939">
        <f t="shared" si="1014"/>
        <v>-0.44785276073619734</v>
      </c>
      <c r="Q939">
        <f t="shared" si="1015"/>
        <v>-174461063.09815991</v>
      </c>
      <c r="R939">
        <f t="shared" si="1016"/>
        <v>-617533407.21457028</v>
      </c>
      <c r="S939">
        <f t="shared" si="1017"/>
        <v>-6175.3340721457025</v>
      </c>
      <c r="T939">
        <f t="shared" si="1018"/>
        <v>-6.1753340721457022</v>
      </c>
    </row>
    <row r="940" spans="1:20" x14ac:dyDescent="0.25">
      <c r="A940" s="5">
        <v>43653</v>
      </c>
      <c r="B940">
        <v>7.4609999999999998E-3</v>
      </c>
      <c r="C940">
        <v>7.5799999999999999E-3</v>
      </c>
      <c r="D940">
        <v>7.3239999999999998E-3</v>
      </c>
      <c r="E940">
        <v>7.456E-3</v>
      </c>
      <c r="F940">
        <v>243058854</v>
      </c>
      <c r="G940">
        <v>0</v>
      </c>
      <c r="L940" t="s">
        <v>7</v>
      </c>
      <c r="M940" t="s">
        <v>7</v>
      </c>
      <c r="N940" t="s">
        <v>7</v>
      </c>
      <c r="P940">
        <f t="shared" si="1014"/>
        <v>3.1250000000000742E-2</v>
      </c>
      <c r="Q940">
        <f t="shared" si="1015"/>
        <v>7595589.1875001807</v>
      </c>
      <c r="R940">
        <f t="shared" si="1016"/>
        <v>-443072344.11641032</v>
      </c>
      <c r="S940">
        <f t="shared" si="1017"/>
        <v>-4430.723441164103</v>
      </c>
      <c r="T940">
        <f t="shared" si="1018"/>
        <v>-4.430723441164103</v>
      </c>
    </row>
    <row r="941" spans="1:20" x14ac:dyDescent="0.25">
      <c r="A941" s="5">
        <v>43652</v>
      </c>
      <c r="B941">
        <v>7.4609999999999998E-3</v>
      </c>
      <c r="C941">
        <v>7.6800000000000002E-3</v>
      </c>
      <c r="D941">
        <v>7.3680000000000004E-3</v>
      </c>
      <c r="E941">
        <v>7.4669999999999997E-3</v>
      </c>
      <c r="F941">
        <v>268891842</v>
      </c>
      <c r="G941">
        <v>0</v>
      </c>
      <c r="L941" t="s">
        <v>8</v>
      </c>
      <c r="M941" t="s">
        <v>7</v>
      </c>
      <c r="N941" t="s">
        <v>7</v>
      </c>
      <c r="P941">
        <f t="shared" si="1014"/>
        <v>-0.36538461538461964</v>
      </c>
      <c r="Q941">
        <f t="shared" si="1015"/>
        <v>-98248942.269231915</v>
      </c>
      <c r="R941">
        <f t="shared" si="1016"/>
        <v>-450667933.30391049</v>
      </c>
      <c r="S941">
        <f t="shared" si="1017"/>
        <v>-4506.6793330391047</v>
      </c>
      <c r="T941">
        <f t="shared" si="1018"/>
        <v>-4.5066793330391048</v>
      </c>
    </row>
    <row r="942" spans="1:20" x14ac:dyDescent="0.25">
      <c r="A942" s="5">
        <v>43651</v>
      </c>
      <c r="B942">
        <v>7.2909999999999997E-3</v>
      </c>
      <c r="C942">
        <v>7.8700000000000003E-3</v>
      </c>
      <c r="D942">
        <v>7.1450000000000003E-3</v>
      </c>
      <c r="E942">
        <v>7.4419999999999998E-3</v>
      </c>
      <c r="F942">
        <v>593529720</v>
      </c>
      <c r="G942">
        <v>0</v>
      </c>
      <c r="L942" t="s">
        <v>8</v>
      </c>
      <c r="M942" t="s">
        <v>7</v>
      </c>
      <c r="N942" t="s">
        <v>7</v>
      </c>
      <c r="P942">
        <f t="shared" si="1014"/>
        <v>-0.18068965517241506</v>
      </c>
      <c r="Q942">
        <f t="shared" si="1015"/>
        <v>-107244680.44138007</v>
      </c>
      <c r="R942">
        <f t="shared" si="1016"/>
        <v>-352418991.03467858</v>
      </c>
      <c r="S942">
        <f t="shared" si="1017"/>
        <v>-3524.1899103467858</v>
      </c>
      <c r="T942">
        <f t="shared" si="1018"/>
        <v>-3.5241899103467857</v>
      </c>
    </row>
    <row r="943" spans="1:20" x14ac:dyDescent="0.25">
      <c r="A943" s="5">
        <v>43650</v>
      </c>
      <c r="B943">
        <v>7.8390000000000005E-3</v>
      </c>
      <c r="C943">
        <v>7.9600000000000001E-3</v>
      </c>
      <c r="D943">
        <v>7.1939999999999999E-3</v>
      </c>
      <c r="E943">
        <v>7.2899999999999996E-3</v>
      </c>
      <c r="F943">
        <v>434900548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-0.74934725848564043</v>
      </c>
      <c r="Q943">
        <f t="shared" si="1015"/>
        <v>-325891533.35770267</v>
      </c>
      <c r="R943">
        <f t="shared" si="1016"/>
        <v>-245174310.59329849</v>
      </c>
      <c r="S943">
        <f t="shared" si="1017"/>
        <v>-2451.7431059329851</v>
      </c>
      <c r="T943">
        <f t="shared" si="1018"/>
        <v>-2.4517431059329851</v>
      </c>
    </row>
    <row r="944" spans="1:20" x14ac:dyDescent="0.25">
      <c r="A944" s="5">
        <v>43649</v>
      </c>
      <c r="B944">
        <v>7.6169999999999996E-3</v>
      </c>
      <c r="C944">
        <v>7.9869999999999993E-3</v>
      </c>
      <c r="D944">
        <v>7.5789999999999998E-3</v>
      </c>
      <c r="E944">
        <v>7.8390000000000005E-3</v>
      </c>
      <c r="F944">
        <v>424018034</v>
      </c>
      <c r="G944">
        <v>0</v>
      </c>
      <c r="L944" t="s">
        <v>8</v>
      </c>
      <c r="M944" t="s">
        <v>7</v>
      </c>
      <c r="N944" t="s">
        <v>7</v>
      </c>
      <c r="P944">
        <f t="shared" si="1014"/>
        <v>0.27450980392157348</v>
      </c>
      <c r="Q944">
        <f t="shared" si="1015"/>
        <v>116397107.37255108</v>
      </c>
      <c r="R944">
        <f t="shared" si="1016"/>
        <v>80717222.764404178</v>
      </c>
      <c r="S944">
        <f t="shared" si="1017"/>
        <v>807.17222764404175</v>
      </c>
      <c r="T944">
        <f t="shared" si="1018"/>
        <v>0.80717222764404173</v>
      </c>
    </row>
    <row r="945" spans="1:20" x14ac:dyDescent="0.25">
      <c r="A945" s="5">
        <v>43648</v>
      </c>
      <c r="B945">
        <v>8.0859999999999994E-3</v>
      </c>
      <c r="C945">
        <v>8.1659999999999996E-3</v>
      </c>
      <c r="D945">
        <v>7.3330000000000001E-3</v>
      </c>
      <c r="E945">
        <v>7.6160000000000004E-3</v>
      </c>
      <c r="F945">
        <v>514161067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-0.32052821128451281</v>
      </c>
      <c r="Q945">
        <f t="shared" si="1015"/>
        <v>-164803127.11764655</v>
      </c>
      <c r="R945">
        <f t="shared" si="1016"/>
        <v>-35679884.608146906</v>
      </c>
      <c r="S945">
        <f t="shared" si="1017"/>
        <v>-356.79884608146904</v>
      </c>
      <c r="T945">
        <f t="shared" si="1018"/>
        <v>-0.35679884608146906</v>
      </c>
    </row>
    <row r="946" spans="1:20" x14ac:dyDescent="0.25">
      <c r="A946" s="5">
        <v>43647</v>
      </c>
      <c r="B946">
        <v>8.2109999999999995E-3</v>
      </c>
      <c r="C946">
        <v>8.6169999999999997E-3</v>
      </c>
      <c r="D946">
        <v>7.6509999999999998E-3</v>
      </c>
      <c r="E946">
        <v>8.0859999999999994E-3</v>
      </c>
      <c r="F946">
        <v>688089296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-9.9378881987578271E-2</v>
      </c>
      <c r="Q946">
        <f t="shared" si="1015"/>
        <v>-68381544.944099814</v>
      </c>
      <c r="R946">
        <f t="shared" si="1016"/>
        <v>129123242.50949964</v>
      </c>
      <c r="S946">
        <f t="shared" si="1017"/>
        <v>1291.2324250949964</v>
      </c>
      <c r="T946">
        <f t="shared" si="1018"/>
        <v>1.2912324250949965</v>
      </c>
    </row>
    <row r="947" spans="1:20" x14ac:dyDescent="0.25">
      <c r="A947" s="5">
        <v>43646</v>
      </c>
      <c r="B947">
        <v>9.1339999999999998E-3</v>
      </c>
      <c r="C947">
        <v>9.5399999999999999E-3</v>
      </c>
      <c r="D947">
        <v>8.1189999999999995E-3</v>
      </c>
      <c r="E947">
        <v>8.1960000000000002E-3</v>
      </c>
      <c r="F947">
        <v>1370651982</v>
      </c>
      <c r="G947">
        <v>0</v>
      </c>
      <c r="L947" t="s">
        <v>8</v>
      </c>
      <c r="M947" t="s">
        <v>8</v>
      </c>
      <c r="N947" t="s">
        <v>7</v>
      </c>
      <c r="P947">
        <f t="shared" si="1014"/>
        <v>-0.89162561576354582</v>
      </c>
      <c r="Q947">
        <f t="shared" si="1015"/>
        <v>-1222108417.4482746</v>
      </c>
      <c r="R947">
        <f t="shared" si="1016"/>
        <v>197504787.45359945</v>
      </c>
      <c r="S947">
        <f t="shared" si="1017"/>
        <v>1975.0478745359944</v>
      </c>
      <c r="T947">
        <f t="shared" si="1018"/>
        <v>1.9750478745359945</v>
      </c>
    </row>
    <row r="948" spans="1:20" x14ac:dyDescent="0.25">
      <c r="A948" s="5">
        <v>43645</v>
      </c>
      <c r="B948">
        <v>8.3409999999999995E-3</v>
      </c>
      <c r="C948">
        <v>9.4750000000000008E-3</v>
      </c>
      <c r="D948">
        <v>7.7600000000000004E-3</v>
      </c>
      <c r="E948">
        <v>9.1210000000000006E-3</v>
      </c>
      <c r="F948">
        <v>1130604381</v>
      </c>
      <c r="G948">
        <v>0</v>
      </c>
      <c r="L948" t="s">
        <v>8</v>
      </c>
      <c r="M948" t="s">
        <v>8</v>
      </c>
      <c r="N948" t="s">
        <v>7</v>
      </c>
      <c r="P948">
        <f t="shared" si="1014"/>
        <v>0.58717201166180755</v>
      </c>
      <c r="Q948">
        <f t="shared" si="1015"/>
        <v>663859248.78542268</v>
      </c>
      <c r="R948">
        <f t="shared" si="1016"/>
        <v>1419613204.9018741</v>
      </c>
      <c r="S948">
        <f t="shared" si="1017"/>
        <v>14196.132049018741</v>
      </c>
      <c r="T948">
        <f t="shared" si="1018"/>
        <v>14.196132049018741</v>
      </c>
    </row>
    <row r="949" spans="1:20" x14ac:dyDescent="0.25">
      <c r="A949" s="5">
        <v>43644</v>
      </c>
      <c r="B949">
        <v>7.8600000000000007E-3</v>
      </c>
      <c r="C949">
        <v>8.5939999999999992E-3</v>
      </c>
      <c r="D949">
        <v>7.6410000000000002E-3</v>
      </c>
      <c r="E949">
        <v>8.3409999999999995E-3</v>
      </c>
      <c r="F949">
        <v>771541690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0.46904512067156345</v>
      </c>
      <c r="Q949">
        <f t="shared" si="1015"/>
        <v>361887865.08919197</v>
      </c>
      <c r="R949">
        <f t="shared" si="1016"/>
        <v>755753956.1164515</v>
      </c>
      <c r="S949">
        <f t="shared" si="1017"/>
        <v>7557.5395611645154</v>
      </c>
      <c r="T949">
        <f t="shared" si="1018"/>
        <v>7.5575395611645151</v>
      </c>
    </row>
    <row r="950" spans="1:20" x14ac:dyDescent="0.25">
      <c r="A950" s="5">
        <v>43643</v>
      </c>
      <c r="B950">
        <v>8.1130000000000004E-3</v>
      </c>
      <c r="C950">
        <v>8.6800000000000002E-3</v>
      </c>
      <c r="D950">
        <v>7.4999999999999997E-3</v>
      </c>
      <c r="E950">
        <v>7.842E-3</v>
      </c>
      <c r="F950">
        <v>1306357470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-0.42033898305084721</v>
      </c>
      <c r="Q950">
        <f t="shared" si="1015"/>
        <v>-549112970.44067764</v>
      </c>
      <c r="R950">
        <f t="shared" si="1016"/>
        <v>393866091.02725959</v>
      </c>
      <c r="S950">
        <f t="shared" si="1017"/>
        <v>3938.6609102725961</v>
      </c>
      <c r="T950">
        <f t="shared" si="1018"/>
        <v>3.938660910272596</v>
      </c>
    </row>
    <row r="951" spans="1:20" x14ac:dyDescent="0.25">
      <c r="A951" s="5">
        <v>43642</v>
      </c>
      <c r="B951">
        <v>9.3200000000000002E-3</v>
      </c>
      <c r="C951">
        <v>9.7319999999999993E-3</v>
      </c>
      <c r="D951">
        <v>7.9830000000000005E-3</v>
      </c>
      <c r="E951">
        <v>8.1189999999999995E-3</v>
      </c>
      <c r="F951">
        <v>2446823907</v>
      </c>
      <c r="G951">
        <v>0</v>
      </c>
      <c r="L951" t="s">
        <v>7</v>
      </c>
      <c r="M951" t="s">
        <v>7</v>
      </c>
      <c r="N951" t="s">
        <v>8</v>
      </c>
      <c r="P951">
        <f t="shared" si="1014"/>
        <v>-0.8444825614636946</v>
      </c>
      <c r="Q951">
        <f t="shared" si="1015"/>
        <v>-2066300120.433965</v>
      </c>
      <c r="R951">
        <f t="shared" si="1016"/>
        <v>942979061.46793723</v>
      </c>
      <c r="S951">
        <f t="shared" si="1017"/>
        <v>9429.7906146793721</v>
      </c>
      <c r="T951">
        <f t="shared" si="1018"/>
        <v>9.4297906146793729</v>
      </c>
    </row>
    <row r="952" spans="1:20" x14ac:dyDescent="0.25">
      <c r="A952" s="5">
        <v>43641</v>
      </c>
      <c r="B952">
        <v>7.1079999999999997E-3</v>
      </c>
      <c r="C952">
        <v>1.0999E-2</v>
      </c>
      <c r="D952">
        <v>7.1000000000000004E-3</v>
      </c>
      <c r="E952">
        <v>9.3270000000000002E-3</v>
      </c>
      <c r="F952">
        <v>3978485978.0999999</v>
      </c>
      <c r="G952">
        <v>0</v>
      </c>
      <c r="L952" t="s">
        <v>8</v>
      </c>
      <c r="M952" t="s">
        <v>8</v>
      </c>
      <c r="N952" t="s">
        <v>8</v>
      </c>
      <c r="P952">
        <f t="shared" si="1014"/>
        <v>0.14234419081815849</v>
      </c>
      <c r="Q952">
        <f t="shared" si="1015"/>
        <v>566314367.2340343</v>
      </c>
      <c r="R952">
        <f t="shared" si="1016"/>
        <v>3009279181.9019022</v>
      </c>
      <c r="S952">
        <f t="shared" si="1017"/>
        <v>30092.791819019021</v>
      </c>
      <c r="T952">
        <f t="shared" si="1018"/>
        <v>30.09279181901902</v>
      </c>
    </row>
    <row r="953" spans="1:20" x14ac:dyDescent="0.25">
      <c r="A953" s="5">
        <v>43640</v>
      </c>
      <c r="B953">
        <v>7.2160000000000002E-3</v>
      </c>
      <c r="C953">
        <v>7.3000000000000001E-3</v>
      </c>
      <c r="D953">
        <v>6.9499999999999996E-3</v>
      </c>
      <c r="E953">
        <v>7.1040000000000001E-3</v>
      </c>
      <c r="F953">
        <v>262800501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-0.11999999999999841</v>
      </c>
      <c r="Q953">
        <f t="shared" si="1015"/>
        <v>-31536060.119999584</v>
      </c>
      <c r="R953">
        <f t="shared" si="1016"/>
        <v>2442964814.6678681</v>
      </c>
      <c r="S953">
        <f t="shared" si="1017"/>
        <v>24429.648146678683</v>
      </c>
      <c r="T953">
        <f t="shared" si="1018"/>
        <v>24.429648146678684</v>
      </c>
    </row>
    <row r="954" spans="1:20" x14ac:dyDescent="0.25">
      <c r="A954" s="5">
        <v>43639</v>
      </c>
      <c r="B954">
        <v>6.9979999999999999E-3</v>
      </c>
      <c r="C954">
        <v>7.6179999999999998E-3</v>
      </c>
      <c r="D954">
        <v>6.9160000000000003E-3</v>
      </c>
      <c r="E954">
        <v>7.2179999999999996E-3</v>
      </c>
      <c r="F954">
        <v>625154437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-0.13960113960114093</v>
      </c>
      <c r="Q954">
        <f t="shared" si="1015"/>
        <v>-87272271.831909657</v>
      </c>
      <c r="R954">
        <f t="shared" si="1016"/>
        <v>2474500874.7878675</v>
      </c>
      <c r="S954">
        <f t="shared" si="1017"/>
        <v>24745.008747878677</v>
      </c>
      <c r="T954">
        <f t="shared" si="1018"/>
        <v>24.745008747878678</v>
      </c>
    </row>
    <row r="955" spans="1:20" x14ac:dyDescent="0.25">
      <c r="A955" s="5">
        <v>43638</v>
      </c>
      <c r="B955">
        <v>6.7260000000000002E-3</v>
      </c>
      <c r="C955">
        <v>7.6499999999999997E-3</v>
      </c>
      <c r="D955">
        <v>6.4390000000000003E-3</v>
      </c>
      <c r="E955">
        <v>6.9969999999999997E-3</v>
      </c>
      <c r="F955">
        <v>1138162992</v>
      </c>
      <c r="G955">
        <v>0</v>
      </c>
      <c r="L955" t="s">
        <v>7</v>
      </c>
      <c r="M955" t="s">
        <v>7</v>
      </c>
      <c r="N955" t="s">
        <v>8</v>
      </c>
      <c r="P955">
        <f t="shared" si="1014"/>
        <v>-7.8447563996697361E-2</v>
      </c>
      <c r="Q955">
        <f t="shared" si="1015"/>
        <v>-89286114.153592542</v>
      </c>
      <c r="R955">
        <f t="shared" si="1016"/>
        <v>2561773146.6197772</v>
      </c>
      <c r="S955">
        <f t="shared" si="1017"/>
        <v>25617.731466197773</v>
      </c>
      <c r="T955">
        <f t="shared" si="1018"/>
        <v>25.617731466197771</v>
      </c>
    </row>
    <row r="956" spans="1:20" x14ac:dyDescent="0.25">
      <c r="A956" s="5">
        <v>43637</v>
      </c>
      <c r="B956">
        <v>6.8859999999999998E-3</v>
      </c>
      <c r="C956">
        <v>7.1609999999999998E-3</v>
      </c>
      <c r="D956">
        <v>6.6E-3</v>
      </c>
      <c r="E956">
        <v>6.7320000000000001E-3</v>
      </c>
      <c r="F956">
        <v>340485778</v>
      </c>
      <c r="G956">
        <v>0</v>
      </c>
      <c r="L956" t="s">
        <v>7</v>
      </c>
      <c r="M956" t="s">
        <v>7</v>
      </c>
      <c r="N956" t="s">
        <v>8</v>
      </c>
      <c r="P956">
        <f t="shared" si="1014"/>
        <v>-0.52941176470588158</v>
      </c>
      <c r="Q956">
        <f t="shared" si="1015"/>
        <v>-180257176.58823502</v>
      </c>
      <c r="R956">
        <f t="shared" si="1016"/>
        <v>2651059260.7733698</v>
      </c>
      <c r="S956">
        <f t="shared" si="1017"/>
        <v>26510.592607733699</v>
      </c>
      <c r="T956">
        <f t="shared" si="1018"/>
        <v>26.510592607733699</v>
      </c>
    </row>
    <row r="957" spans="1:20" x14ac:dyDescent="0.25">
      <c r="A957" s="5">
        <v>43636</v>
      </c>
      <c r="B957">
        <v>7.3140000000000002E-3</v>
      </c>
      <c r="C957">
        <v>7.3330000000000001E-3</v>
      </c>
      <c r="D957">
        <v>6.8009999999999998E-3</v>
      </c>
      <c r="E957">
        <v>6.8739999999999999E-3</v>
      </c>
      <c r="F957">
        <v>370877734</v>
      </c>
      <c r="G957">
        <v>0</v>
      </c>
      <c r="L957" t="s">
        <v>7</v>
      </c>
      <c r="M957" t="s">
        <v>7</v>
      </c>
      <c r="N957" t="s">
        <v>8</v>
      </c>
      <c r="P957">
        <f t="shared" si="1014"/>
        <v>-0.72556390977443574</v>
      </c>
      <c r="Q957">
        <f t="shared" si="1015"/>
        <v>-269095498.72932321</v>
      </c>
      <c r="R957">
        <f t="shared" si="1016"/>
        <v>2831316437.3616047</v>
      </c>
      <c r="S957">
        <f t="shared" si="1017"/>
        <v>28313.164373616048</v>
      </c>
      <c r="T957">
        <f t="shared" si="1018"/>
        <v>28.313164373616047</v>
      </c>
    </row>
    <row r="958" spans="1:20" x14ac:dyDescent="0.25">
      <c r="A958" s="5">
        <v>43635</v>
      </c>
      <c r="B958">
        <v>7.365E-3</v>
      </c>
      <c r="C958">
        <v>7.4349999999999998E-3</v>
      </c>
      <c r="D958">
        <v>7.2500000000000004E-3</v>
      </c>
      <c r="E958">
        <v>7.3020000000000003E-3</v>
      </c>
      <c r="F958">
        <v>208704245</v>
      </c>
      <c r="G958">
        <v>0</v>
      </c>
      <c r="L958" t="s">
        <v>8</v>
      </c>
      <c r="M958" t="s">
        <v>8</v>
      </c>
      <c r="N958" t="s">
        <v>8</v>
      </c>
      <c r="P958">
        <f t="shared" si="1014"/>
        <v>-0.43783783783783642</v>
      </c>
      <c r="Q958">
        <f t="shared" si="1015"/>
        <v>-91378615.378378078</v>
      </c>
      <c r="R958">
        <f t="shared" si="1016"/>
        <v>3100411936.0909281</v>
      </c>
      <c r="S958">
        <f t="shared" si="1017"/>
        <v>31004.119360909281</v>
      </c>
      <c r="T958">
        <f t="shared" si="1018"/>
        <v>31.004119360909282</v>
      </c>
    </row>
    <row r="959" spans="1:20" x14ac:dyDescent="0.25">
      <c r="A959" s="5">
        <v>43634</v>
      </c>
      <c r="B959">
        <v>7.3639999999999999E-3</v>
      </c>
      <c r="C959">
        <v>7.3980000000000001E-3</v>
      </c>
      <c r="D959">
        <v>7.0980000000000001E-3</v>
      </c>
      <c r="E959">
        <v>7.365E-3</v>
      </c>
      <c r="F959">
        <v>295777869</v>
      </c>
      <c r="G959">
        <v>0</v>
      </c>
      <c r="L959" t="s">
        <v>8</v>
      </c>
      <c r="M959" t="s">
        <v>8</v>
      </c>
      <c r="N959" t="s">
        <v>8</v>
      </c>
      <c r="P959">
        <f t="shared" ref="P959:P1022" si="1019">IF(C959=D959,0,((E959-D959)-(C959-E959))/(C959-D959))</f>
        <v>0.77999999999999969</v>
      </c>
      <c r="Q959">
        <f t="shared" ref="Q959:Q1022" si="1020">F959*P959</f>
        <v>230706737.8199999</v>
      </c>
      <c r="R959">
        <f t="shared" ref="R959:R1022" si="1021">R960+Q959</f>
        <v>3191790551.469306</v>
      </c>
      <c r="S959">
        <f t="shared" ref="S959:S1022" si="1022">R959/100000</f>
        <v>31917.905514693059</v>
      </c>
      <c r="T959">
        <f t="shared" ref="T959:T1022" si="1023">S959/1000</f>
        <v>31.917905514693057</v>
      </c>
    </row>
    <row r="960" spans="1:20" x14ac:dyDescent="0.25">
      <c r="A960" s="5">
        <v>43633</v>
      </c>
      <c r="B960">
        <v>7.2439999999999996E-3</v>
      </c>
      <c r="C960">
        <v>7.6030000000000004E-3</v>
      </c>
      <c r="D960">
        <v>7.2350000000000001E-3</v>
      </c>
      <c r="E960">
        <v>7.3689999999999997E-3</v>
      </c>
      <c r="F960">
        <v>436406527</v>
      </c>
      <c r="G960">
        <v>0</v>
      </c>
      <c r="L960" t="s">
        <v>8</v>
      </c>
      <c r="M960" t="s">
        <v>8</v>
      </c>
      <c r="N960" t="s">
        <v>8</v>
      </c>
      <c r="P960">
        <f t="shared" si="1019"/>
        <v>-0.27173913043478548</v>
      </c>
      <c r="Q960">
        <f t="shared" si="1020"/>
        <v>-118588730.16304474</v>
      </c>
      <c r="R960">
        <f t="shared" si="1021"/>
        <v>2961083813.6493063</v>
      </c>
      <c r="S960">
        <f t="shared" si="1022"/>
        <v>29610.838136493065</v>
      </c>
      <c r="T960">
        <f t="shared" si="1023"/>
        <v>29.610838136493065</v>
      </c>
    </row>
    <row r="961" spans="1:20" x14ac:dyDescent="0.25">
      <c r="A961" s="5">
        <v>43632</v>
      </c>
      <c r="B961">
        <v>7.3340000000000002E-3</v>
      </c>
      <c r="C961">
        <v>7.3850000000000001E-3</v>
      </c>
      <c r="D961">
        <v>7.0559999999999998E-3</v>
      </c>
      <c r="E961">
        <v>7.2570000000000004E-3</v>
      </c>
      <c r="F961">
        <v>527431865</v>
      </c>
      <c r="G961">
        <v>0</v>
      </c>
      <c r="L961" t="s">
        <v>7</v>
      </c>
      <c r="M961" t="s">
        <v>8</v>
      </c>
      <c r="N961" t="s">
        <v>8</v>
      </c>
      <c r="P961">
        <f t="shared" si="1019"/>
        <v>0.22188449848024605</v>
      </c>
      <c r="Q961">
        <f t="shared" si="1020"/>
        <v>117028954.84802584</v>
      </c>
      <c r="R961">
        <f t="shared" si="1021"/>
        <v>3079672543.8123512</v>
      </c>
      <c r="S961">
        <f t="shared" si="1022"/>
        <v>30796.725438123511</v>
      </c>
      <c r="T961">
        <f t="shared" si="1023"/>
        <v>30.796725438123509</v>
      </c>
    </row>
    <row r="962" spans="1:20" x14ac:dyDescent="0.25">
      <c r="A962" s="5">
        <v>43631</v>
      </c>
      <c r="B962">
        <v>7.273E-3</v>
      </c>
      <c r="C962">
        <v>7.4580000000000002E-3</v>
      </c>
      <c r="D962">
        <v>7.2529999999999999E-3</v>
      </c>
      <c r="E962">
        <v>7.3330000000000001E-3</v>
      </c>
      <c r="F962">
        <v>254988410</v>
      </c>
      <c r="G962">
        <v>0</v>
      </c>
      <c r="L962" t="s">
        <v>7</v>
      </c>
      <c r="M962" t="s">
        <v>8</v>
      </c>
      <c r="N962" t="s">
        <v>8</v>
      </c>
      <c r="P962">
        <f t="shared" si="1019"/>
        <v>-0.21951219512195039</v>
      </c>
      <c r="Q962">
        <f t="shared" si="1020"/>
        <v>-55973065.609755889</v>
      </c>
      <c r="R962">
        <f t="shared" si="1021"/>
        <v>2962643588.9643254</v>
      </c>
      <c r="S962">
        <f t="shared" si="1022"/>
        <v>29626.435889643253</v>
      </c>
      <c r="T962">
        <f t="shared" si="1023"/>
        <v>29.626435889643254</v>
      </c>
    </row>
    <row r="963" spans="1:20" x14ac:dyDescent="0.25">
      <c r="A963" s="5">
        <v>43630</v>
      </c>
      <c r="B963">
        <v>7.541E-3</v>
      </c>
      <c r="C963">
        <v>7.6400000000000001E-3</v>
      </c>
      <c r="D963">
        <v>7.0309999999999999E-3</v>
      </c>
      <c r="E963">
        <v>7.2709999999999997E-3</v>
      </c>
      <c r="F963">
        <v>580920493</v>
      </c>
      <c r="G963">
        <v>0</v>
      </c>
      <c r="L963" t="s">
        <v>7</v>
      </c>
      <c r="M963" t="s">
        <v>8</v>
      </c>
      <c r="N963" t="s">
        <v>8</v>
      </c>
      <c r="P963">
        <f t="shared" si="1019"/>
        <v>-0.21182266009852316</v>
      </c>
      <c r="Q963">
        <f t="shared" si="1020"/>
        <v>-123052124.1330055</v>
      </c>
      <c r="R963">
        <f t="shared" si="1021"/>
        <v>3018616654.5740814</v>
      </c>
      <c r="S963">
        <f t="shared" si="1022"/>
        <v>30186.166545740813</v>
      </c>
      <c r="T963">
        <f t="shared" si="1023"/>
        <v>30.186166545740811</v>
      </c>
    </row>
    <row r="964" spans="1:20" x14ac:dyDescent="0.25">
      <c r="A964" s="5">
        <v>43629</v>
      </c>
      <c r="B964">
        <v>7.6030000000000004E-3</v>
      </c>
      <c r="C964">
        <v>7.7219999999999997E-3</v>
      </c>
      <c r="D964">
        <v>7.4349999999999998E-3</v>
      </c>
      <c r="E964">
        <v>7.5589999999999997E-3</v>
      </c>
      <c r="F964">
        <v>295812131</v>
      </c>
      <c r="G964">
        <v>0</v>
      </c>
      <c r="L964" t="s">
        <v>8</v>
      </c>
      <c r="M964" t="s">
        <v>8</v>
      </c>
      <c r="N964" t="s">
        <v>8</v>
      </c>
      <c r="P964">
        <f t="shared" si="1019"/>
        <v>-0.13588850174216022</v>
      </c>
      <c r="Q964">
        <f t="shared" si="1020"/>
        <v>-40197467.278745629</v>
      </c>
      <c r="R964">
        <f t="shared" si="1021"/>
        <v>3141668778.707087</v>
      </c>
      <c r="S964">
        <f t="shared" si="1022"/>
        <v>31416.68778707087</v>
      </c>
      <c r="T964">
        <f t="shared" si="1023"/>
        <v>31.41668778707087</v>
      </c>
    </row>
    <row r="965" spans="1:20" x14ac:dyDescent="0.25">
      <c r="A965" s="5">
        <v>43628</v>
      </c>
      <c r="B965">
        <v>7.4359999999999999E-3</v>
      </c>
      <c r="C965">
        <v>7.7270000000000004E-3</v>
      </c>
      <c r="D965">
        <v>7.339E-3</v>
      </c>
      <c r="E965">
        <v>7.5760000000000003E-3</v>
      </c>
      <c r="F965">
        <v>283216377</v>
      </c>
      <c r="G965">
        <v>0</v>
      </c>
      <c r="L965" t="s">
        <v>8</v>
      </c>
      <c r="M965" t="s">
        <v>8</v>
      </c>
      <c r="N965" t="s">
        <v>8</v>
      </c>
      <c r="P965">
        <f t="shared" si="1019"/>
        <v>0.22164948453608266</v>
      </c>
      <c r="Q965">
        <f t="shared" si="1020"/>
        <v>62774763.974226855</v>
      </c>
      <c r="R965">
        <f t="shared" si="1021"/>
        <v>3181866245.9858327</v>
      </c>
      <c r="S965">
        <f t="shared" si="1022"/>
        <v>31818.662459858326</v>
      </c>
      <c r="T965">
        <f t="shared" si="1023"/>
        <v>31.818662459858327</v>
      </c>
    </row>
    <row r="966" spans="1:20" x14ac:dyDescent="0.25">
      <c r="A966" s="5">
        <v>43627</v>
      </c>
      <c r="B966">
        <v>7.711E-3</v>
      </c>
      <c r="C966">
        <v>7.7159999999999998E-3</v>
      </c>
      <c r="D966">
        <v>7.3000000000000001E-3</v>
      </c>
      <c r="E966">
        <v>7.4400000000000004E-3</v>
      </c>
      <c r="F966">
        <v>273546045</v>
      </c>
      <c r="G966">
        <v>0</v>
      </c>
      <c r="L966" t="s">
        <v>8</v>
      </c>
      <c r="M966" t="s">
        <v>8</v>
      </c>
      <c r="N966" t="s">
        <v>8</v>
      </c>
      <c r="P966">
        <f t="shared" si="1019"/>
        <v>-0.32692307692307465</v>
      </c>
      <c r="Q966">
        <f t="shared" si="1020"/>
        <v>-89428514.711537838</v>
      </c>
      <c r="R966">
        <f t="shared" si="1021"/>
        <v>3119091482.0116057</v>
      </c>
      <c r="S966">
        <f t="shared" si="1022"/>
        <v>31190.914820116057</v>
      </c>
      <c r="T966">
        <f t="shared" si="1023"/>
        <v>31.190914820116056</v>
      </c>
    </row>
    <row r="967" spans="1:20" x14ac:dyDescent="0.25">
      <c r="A967" s="5">
        <v>43626</v>
      </c>
      <c r="B967">
        <v>7.2160000000000002E-3</v>
      </c>
      <c r="C967">
        <v>7.7429999999999999E-3</v>
      </c>
      <c r="D967">
        <v>7.1250000000000003E-3</v>
      </c>
      <c r="E967">
        <v>7.7029999999999998E-3</v>
      </c>
      <c r="F967">
        <v>349921722</v>
      </c>
      <c r="G967">
        <v>0</v>
      </c>
      <c r="L967" t="s">
        <v>8</v>
      </c>
      <c r="M967" t="s">
        <v>8</v>
      </c>
      <c r="N967" t="s">
        <v>8</v>
      </c>
      <c r="P967">
        <f t="shared" si="1019"/>
        <v>0.87055016181229727</v>
      </c>
      <c r="Q967">
        <f t="shared" si="1020"/>
        <v>304624411.70873773</v>
      </c>
      <c r="R967">
        <f t="shared" si="1021"/>
        <v>3208519996.7231436</v>
      </c>
      <c r="S967">
        <f t="shared" si="1022"/>
        <v>32085.199967231434</v>
      </c>
      <c r="T967">
        <f t="shared" si="1023"/>
        <v>32.085199967231432</v>
      </c>
    </row>
    <row r="968" spans="1:20" x14ac:dyDescent="0.25">
      <c r="A968" s="5">
        <v>43625</v>
      </c>
      <c r="B968">
        <v>7.5909999999999997E-3</v>
      </c>
      <c r="C968">
        <v>7.607E-3</v>
      </c>
      <c r="D968">
        <v>7.0299999999999998E-3</v>
      </c>
      <c r="E968">
        <v>7.2290000000000002E-3</v>
      </c>
      <c r="F968">
        <v>265952588</v>
      </c>
      <c r="G968">
        <v>0</v>
      </c>
      <c r="L968" t="s">
        <v>7</v>
      </c>
      <c r="M968" t="s">
        <v>8</v>
      </c>
      <c r="N968" t="s">
        <v>8</v>
      </c>
      <c r="P968">
        <f t="shared" si="1019"/>
        <v>-0.31022530329289322</v>
      </c>
      <c r="Q968">
        <f t="shared" si="1020"/>
        <v>-82505222.273829877</v>
      </c>
      <c r="R968">
        <f t="shared" si="1021"/>
        <v>2903895585.0144057</v>
      </c>
      <c r="S968">
        <f t="shared" si="1022"/>
        <v>29038.955850144059</v>
      </c>
      <c r="T968">
        <f t="shared" si="1023"/>
        <v>29.03895585014406</v>
      </c>
    </row>
    <row r="969" spans="1:20" x14ac:dyDescent="0.25">
      <c r="A969" s="5">
        <v>43624</v>
      </c>
      <c r="B969">
        <v>7.7000000000000002E-3</v>
      </c>
      <c r="C969">
        <v>7.7520000000000002E-3</v>
      </c>
      <c r="D969">
        <v>7.443E-3</v>
      </c>
      <c r="E969">
        <v>7.607E-3</v>
      </c>
      <c r="F969">
        <v>172205186</v>
      </c>
      <c r="G969">
        <v>0</v>
      </c>
      <c r="L969" t="s">
        <v>7</v>
      </c>
      <c r="M969" t="s">
        <v>8</v>
      </c>
      <c r="N969" t="s">
        <v>8</v>
      </c>
      <c r="P969">
        <f t="shared" si="1019"/>
        <v>6.1488673139158269E-2</v>
      </c>
      <c r="Q969">
        <f t="shared" si="1020"/>
        <v>10588668.394821953</v>
      </c>
      <c r="R969">
        <f t="shared" si="1021"/>
        <v>2986400807.2882357</v>
      </c>
      <c r="S969">
        <f t="shared" si="1022"/>
        <v>29864.008072882356</v>
      </c>
      <c r="T969">
        <f t="shared" si="1023"/>
        <v>29.864008072882356</v>
      </c>
    </row>
    <row r="970" spans="1:20" x14ac:dyDescent="0.25">
      <c r="A970" s="5">
        <v>43623</v>
      </c>
      <c r="B970">
        <v>7.6779999999999999E-3</v>
      </c>
      <c r="C970">
        <v>7.8840000000000004E-3</v>
      </c>
      <c r="D970">
        <v>7.5449999999999996E-3</v>
      </c>
      <c r="E970">
        <v>7.7039999999999999E-3</v>
      </c>
      <c r="F970">
        <v>384784027</v>
      </c>
      <c r="G970">
        <v>0</v>
      </c>
      <c r="L970" t="s">
        <v>8</v>
      </c>
      <c r="M970" t="s">
        <v>8</v>
      </c>
      <c r="N970" t="s">
        <v>8</v>
      </c>
      <c r="P970">
        <f t="shared" si="1019"/>
        <v>-6.1946902654867665E-2</v>
      </c>
      <c r="Q970">
        <f t="shared" si="1020"/>
        <v>-23836178.663716972</v>
      </c>
      <c r="R970">
        <f t="shared" si="1021"/>
        <v>2975812138.8934135</v>
      </c>
      <c r="S970">
        <f t="shared" si="1022"/>
        <v>29758.121388934134</v>
      </c>
      <c r="T970">
        <f t="shared" si="1023"/>
        <v>29.758121388934136</v>
      </c>
    </row>
    <row r="971" spans="1:20" x14ac:dyDescent="0.25">
      <c r="A971" s="5">
        <v>43622</v>
      </c>
      <c r="B971">
        <v>7.6569999999999997E-3</v>
      </c>
      <c r="C971">
        <v>8.0750000000000006E-3</v>
      </c>
      <c r="D971">
        <v>7.3000000000000001E-3</v>
      </c>
      <c r="E971">
        <v>7.6800000000000002E-3</v>
      </c>
      <c r="F971">
        <v>615920353</v>
      </c>
      <c r="G971">
        <v>0</v>
      </c>
      <c r="L971" t="s">
        <v>8</v>
      </c>
      <c r="M971" t="s">
        <v>8</v>
      </c>
      <c r="N971" t="s">
        <v>8</v>
      </c>
      <c r="P971">
        <f t="shared" si="1019"/>
        <v>-1.9354838709677736E-2</v>
      </c>
      <c r="Q971">
        <f t="shared" si="1020"/>
        <v>-11921039.090322776</v>
      </c>
      <c r="R971">
        <f t="shared" si="1021"/>
        <v>2999648317.5571303</v>
      </c>
      <c r="S971">
        <f t="shared" si="1022"/>
        <v>29996.483175571302</v>
      </c>
      <c r="T971">
        <f t="shared" si="1023"/>
        <v>29.996483175571303</v>
      </c>
    </row>
    <row r="972" spans="1:20" x14ac:dyDescent="0.25">
      <c r="A972" s="5">
        <v>43621</v>
      </c>
      <c r="B972">
        <v>7.4190000000000002E-3</v>
      </c>
      <c r="C972">
        <v>7.9579999999999998E-3</v>
      </c>
      <c r="D972">
        <v>7.2100000000000003E-3</v>
      </c>
      <c r="E972">
        <v>7.6519999999999999E-3</v>
      </c>
      <c r="F972">
        <v>863606696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0.18181818181818171</v>
      </c>
      <c r="Q972">
        <f t="shared" si="1020"/>
        <v>157019399.27272719</v>
      </c>
      <c r="R972">
        <f t="shared" si="1021"/>
        <v>3011569356.6474533</v>
      </c>
      <c r="S972">
        <f t="shared" si="1022"/>
        <v>30115.693566474532</v>
      </c>
      <c r="T972">
        <f t="shared" si="1023"/>
        <v>30.115693566474533</v>
      </c>
    </row>
    <row r="973" spans="1:20" x14ac:dyDescent="0.25">
      <c r="A973" s="5">
        <v>43620</v>
      </c>
      <c r="B973">
        <v>7.1729999999999997E-3</v>
      </c>
      <c r="C973">
        <v>7.6119999999999998E-3</v>
      </c>
      <c r="D973">
        <v>6.7749999999999998E-3</v>
      </c>
      <c r="E973">
        <v>7.4149999999999997E-3</v>
      </c>
      <c r="F973">
        <v>722137502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0.52927120669056127</v>
      </c>
      <c r="Q973">
        <f t="shared" si="1020"/>
        <v>382206587.08004761</v>
      </c>
      <c r="R973">
        <f t="shared" si="1021"/>
        <v>2854549957.3747263</v>
      </c>
      <c r="S973">
        <f t="shared" si="1022"/>
        <v>28545.499573747264</v>
      </c>
      <c r="T973">
        <f t="shared" si="1023"/>
        <v>28.545499573747264</v>
      </c>
    </row>
    <row r="974" spans="1:20" x14ac:dyDescent="0.25">
      <c r="A974" s="5">
        <v>43619</v>
      </c>
      <c r="B974">
        <v>7.724E-3</v>
      </c>
      <c r="C974">
        <v>7.7289999999999998E-3</v>
      </c>
      <c r="D974">
        <v>7.1300000000000001E-3</v>
      </c>
      <c r="E974">
        <v>7.1700000000000002E-3</v>
      </c>
      <c r="F974">
        <v>416777684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-0.86644407345575913</v>
      </c>
      <c r="Q974">
        <f t="shared" si="1020"/>
        <v>-361114554.25041717</v>
      </c>
      <c r="R974">
        <f t="shared" si="1021"/>
        <v>2472343370.2946787</v>
      </c>
      <c r="S974">
        <f t="shared" si="1022"/>
        <v>24723.433702946786</v>
      </c>
      <c r="T974">
        <f t="shared" si="1023"/>
        <v>24.723433702946785</v>
      </c>
    </row>
    <row r="975" spans="1:20" x14ac:dyDescent="0.25">
      <c r="A975" s="5">
        <v>43618</v>
      </c>
      <c r="B975">
        <v>7.4130000000000003E-3</v>
      </c>
      <c r="C975">
        <v>7.8130000000000005E-3</v>
      </c>
      <c r="D975">
        <v>7.3680000000000004E-3</v>
      </c>
      <c r="E975">
        <v>7.724E-3</v>
      </c>
      <c r="F975">
        <v>411095998</v>
      </c>
      <c r="G975">
        <v>0</v>
      </c>
      <c r="L975" t="s">
        <v>7</v>
      </c>
      <c r="M975" t="s">
        <v>7</v>
      </c>
      <c r="N975" t="s">
        <v>8</v>
      </c>
      <c r="P975">
        <f t="shared" si="1019"/>
        <v>0.59999999999999765</v>
      </c>
      <c r="Q975">
        <f t="shared" si="1020"/>
        <v>246657598.79999903</v>
      </c>
      <c r="R975">
        <f t="shared" si="1021"/>
        <v>2833457924.5450959</v>
      </c>
      <c r="S975">
        <f t="shared" si="1022"/>
        <v>28334.579245450957</v>
      </c>
      <c r="T975">
        <f t="shared" si="1023"/>
        <v>28.334579245450957</v>
      </c>
    </row>
    <row r="976" spans="1:20" x14ac:dyDescent="0.25">
      <c r="A976" s="5">
        <v>43617</v>
      </c>
      <c r="B976">
        <v>7.6509999999999998E-3</v>
      </c>
      <c r="C976">
        <v>7.7999999999999996E-3</v>
      </c>
      <c r="D976">
        <v>7.3099999999999997E-3</v>
      </c>
      <c r="E976">
        <v>7.404E-3</v>
      </c>
      <c r="F976">
        <v>372668331</v>
      </c>
      <c r="G976">
        <v>0</v>
      </c>
      <c r="L976" t="s">
        <v>7</v>
      </c>
      <c r="M976" t="s">
        <v>7</v>
      </c>
      <c r="N976" t="s">
        <v>8</v>
      </c>
      <c r="P976">
        <f t="shared" si="1019"/>
        <v>-0.61632653061224352</v>
      </c>
      <c r="Q976">
        <f t="shared" si="1020"/>
        <v>-229685379.51428521</v>
      </c>
      <c r="R976">
        <f t="shared" si="1021"/>
        <v>2586800325.7450967</v>
      </c>
      <c r="S976">
        <f t="shared" si="1022"/>
        <v>25868.003257450968</v>
      </c>
      <c r="T976">
        <f t="shared" si="1023"/>
        <v>25.868003257450969</v>
      </c>
    </row>
    <row r="977" spans="1:20" x14ac:dyDescent="0.25">
      <c r="A977" s="5">
        <v>43616</v>
      </c>
      <c r="B977">
        <v>7.4710000000000002E-3</v>
      </c>
      <c r="C977">
        <v>7.8320000000000004E-3</v>
      </c>
      <c r="D977">
        <v>7.1390000000000004E-3</v>
      </c>
      <c r="E977">
        <v>7.6559999999999996E-3</v>
      </c>
      <c r="F977">
        <v>528053941</v>
      </c>
      <c r="G977">
        <v>0</v>
      </c>
      <c r="L977" t="s">
        <v>8</v>
      </c>
      <c r="M977" t="s">
        <v>7</v>
      </c>
      <c r="N977" t="s">
        <v>8</v>
      </c>
      <c r="P977">
        <f t="shared" si="1019"/>
        <v>0.49206349206348976</v>
      </c>
      <c r="Q977">
        <f t="shared" si="1020"/>
        <v>259836066.206348</v>
      </c>
      <c r="R977">
        <f t="shared" si="1021"/>
        <v>2816485705.2593818</v>
      </c>
      <c r="S977">
        <f t="shared" si="1022"/>
        <v>28164.857052593819</v>
      </c>
      <c r="T977">
        <f t="shared" si="1023"/>
        <v>28.16485705259382</v>
      </c>
    </row>
    <row r="978" spans="1:20" x14ac:dyDescent="0.25">
      <c r="A978" s="5">
        <v>43615</v>
      </c>
      <c r="B978">
        <v>7.6360000000000004E-3</v>
      </c>
      <c r="C978">
        <v>8.5000000000000006E-3</v>
      </c>
      <c r="D978">
        <v>7.0499999999999998E-3</v>
      </c>
      <c r="E978">
        <v>7.4700000000000001E-3</v>
      </c>
      <c r="F978">
        <v>1076350421</v>
      </c>
      <c r="G978">
        <v>0</v>
      </c>
      <c r="L978" t="s">
        <v>7</v>
      </c>
      <c r="M978" t="s">
        <v>8</v>
      </c>
      <c r="N978" t="s">
        <v>8</v>
      </c>
      <c r="P978">
        <f t="shared" si="1019"/>
        <v>-0.4206896551724138</v>
      </c>
      <c r="Q978">
        <f t="shared" si="1020"/>
        <v>-452809487.45517242</v>
      </c>
      <c r="R978">
        <f t="shared" si="1021"/>
        <v>2556649639.0530338</v>
      </c>
      <c r="S978">
        <f t="shared" si="1022"/>
        <v>25566.496390530338</v>
      </c>
      <c r="T978">
        <f t="shared" si="1023"/>
        <v>25.566496390530336</v>
      </c>
    </row>
    <row r="979" spans="1:20" x14ac:dyDescent="0.25">
      <c r="A979" s="5">
        <v>43614</v>
      </c>
      <c r="B979">
        <v>7.7749999999999998E-3</v>
      </c>
      <c r="C979">
        <v>7.8490000000000001E-3</v>
      </c>
      <c r="D979">
        <v>7.45E-3</v>
      </c>
      <c r="E979">
        <v>7.6439999999999998E-3</v>
      </c>
      <c r="F979">
        <v>617639243</v>
      </c>
      <c r="G979">
        <v>0</v>
      </c>
      <c r="L979" t="s">
        <v>7</v>
      </c>
      <c r="M979" t="s">
        <v>7</v>
      </c>
      <c r="N979" t="s">
        <v>8</v>
      </c>
      <c r="P979">
        <f t="shared" si="1019"/>
        <v>-2.7568922305765894E-2</v>
      </c>
      <c r="Q979">
        <f t="shared" si="1020"/>
        <v>-17027648.30325906</v>
      </c>
      <c r="R979">
        <f t="shared" si="1021"/>
        <v>3009459126.5082064</v>
      </c>
      <c r="S979">
        <f t="shared" si="1022"/>
        <v>30094.591265082065</v>
      </c>
      <c r="T979">
        <f t="shared" si="1023"/>
        <v>30.094591265082066</v>
      </c>
    </row>
    <row r="980" spans="1:20" x14ac:dyDescent="0.25">
      <c r="A980" s="5">
        <v>43613</v>
      </c>
      <c r="B980">
        <v>7.9780000000000007E-3</v>
      </c>
      <c r="C980">
        <v>8.2500000000000004E-3</v>
      </c>
      <c r="D980">
        <v>7.6839999999999999E-3</v>
      </c>
      <c r="E980">
        <v>7.7739999999999997E-3</v>
      </c>
      <c r="F980">
        <v>600596590</v>
      </c>
      <c r="G980">
        <v>0</v>
      </c>
      <c r="L980" t="s">
        <v>8</v>
      </c>
      <c r="M980" t="s">
        <v>7</v>
      </c>
      <c r="N980" t="s">
        <v>8</v>
      </c>
      <c r="P980">
        <f t="shared" si="1019"/>
        <v>-0.6819787985865734</v>
      </c>
      <c r="Q980">
        <f t="shared" si="1020"/>
        <v>-409594140.88339281</v>
      </c>
      <c r="R980">
        <f t="shared" si="1021"/>
        <v>3026486774.8114653</v>
      </c>
      <c r="S980">
        <f t="shared" si="1022"/>
        <v>30264.867748114651</v>
      </c>
      <c r="T980">
        <f t="shared" si="1023"/>
        <v>30.26486774811465</v>
      </c>
    </row>
    <row r="981" spans="1:20" x14ac:dyDescent="0.25">
      <c r="A981" s="5">
        <v>43612</v>
      </c>
      <c r="B981">
        <v>7.5119999999999996E-3</v>
      </c>
      <c r="C981">
        <v>8.0929999999999995E-3</v>
      </c>
      <c r="D981">
        <v>7.3460000000000001E-3</v>
      </c>
      <c r="E981">
        <v>7.9699999999999997E-3</v>
      </c>
      <c r="F981">
        <v>734448355</v>
      </c>
      <c r="G981">
        <v>0</v>
      </c>
      <c r="L981" t="s">
        <v>8</v>
      </c>
      <c r="M981" t="s">
        <v>7</v>
      </c>
      <c r="N981" t="s">
        <v>8</v>
      </c>
      <c r="P981">
        <f t="shared" si="1019"/>
        <v>0.6706827309236949</v>
      </c>
      <c r="Q981">
        <f t="shared" si="1020"/>
        <v>492581828.45381534</v>
      </c>
      <c r="R981">
        <f t="shared" si="1021"/>
        <v>3436080915.6948581</v>
      </c>
      <c r="S981">
        <f t="shared" si="1022"/>
        <v>34360.809156948584</v>
      </c>
      <c r="T981">
        <f t="shared" si="1023"/>
        <v>34.360809156948584</v>
      </c>
    </row>
    <row r="982" spans="1:20" x14ac:dyDescent="0.25">
      <c r="A982" s="5">
        <v>43611</v>
      </c>
      <c r="B982">
        <v>7.3400000000000002E-3</v>
      </c>
      <c r="C982">
        <v>7.5339999999999999E-3</v>
      </c>
      <c r="D982">
        <v>7.0499999999999998E-3</v>
      </c>
      <c r="E982">
        <v>7.5230000000000002E-3</v>
      </c>
      <c r="F982">
        <v>340111849</v>
      </c>
      <c r="G982">
        <v>0</v>
      </c>
      <c r="L982" t="s">
        <v>7</v>
      </c>
      <c r="M982" t="s">
        <v>7</v>
      </c>
      <c r="N982" t="s">
        <v>8</v>
      </c>
      <c r="P982">
        <f t="shared" si="1019"/>
        <v>0.9545454545454557</v>
      </c>
      <c r="Q982">
        <f t="shared" si="1020"/>
        <v>324652219.50000042</v>
      </c>
      <c r="R982">
        <f t="shared" si="1021"/>
        <v>2943499087.2410426</v>
      </c>
      <c r="S982">
        <f t="shared" si="1022"/>
        <v>29434.990872410424</v>
      </c>
      <c r="T982">
        <f t="shared" si="1023"/>
        <v>29.434990872410424</v>
      </c>
    </row>
    <row r="983" spans="1:20" x14ac:dyDescent="0.25">
      <c r="A983" s="5">
        <v>43610</v>
      </c>
      <c r="B983">
        <v>7.3610000000000004E-3</v>
      </c>
      <c r="C983">
        <v>7.5440000000000004E-3</v>
      </c>
      <c r="D983">
        <v>7.2680000000000002E-3</v>
      </c>
      <c r="E983">
        <v>7.3439999999999998E-3</v>
      </c>
      <c r="F983">
        <v>158377071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-0.4492753623188433</v>
      </c>
      <c r="Q983">
        <f t="shared" si="1020"/>
        <v>-71154915.956522167</v>
      </c>
      <c r="R983">
        <f t="shared" si="1021"/>
        <v>2618846867.7410421</v>
      </c>
      <c r="S983">
        <f t="shared" si="1022"/>
        <v>26188.468677410423</v>
      </c>
      <c r="T983">
        <f t="shared" si="1023"/>
        <v>26.188468677410423</v>
      </c>
    </row>
    <row r="984" spans="1:20" x14ac:dyDescent="0.25">
      <c r="A984" s="5">
        <v>43609</v>
      </c>
      <c r="B984">
        <v>7.4520000000000003E-3</v>
      </c>
      <c r="C984">
        <v>7.5599999999999999E-3</v>
      </c>
      <c r="D984">
        <v>7.2960000000000004E-3</v>
      </c>
      <c r="E984">
        <v>7.3610000000000004E-3</v>
      </c>
      <c r="F984">
        <v>256756478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-0.5075757575757569</v>
      </c>
      <c r="Q984">
        <f t="shared" si="1020"/>
        <v>-130323363.83333316</v>
      </c>
      <c r="R984">
        <f t="shared" si="1021"/>
        <v>2690001783.6975641</v>
      </c>
      <c r="S984">
        <f t="shared" si="1022"/>
        <v>26900.01783697564</v>
      </c>
      <c r="T984">
        <f t="shared" si="1023"/>
        <v>26.900017836975639</v>
      </c>
    </row>
    <row r="985" spans="1:20" x14ac:dyDescent="0.25">
      <c r="A985" s="5">
        <v>43608</v>
      </c>
      <c r="B985">
        <v>7.11E-3</v>
      </c>
      <c r="C985">
        <v>7.476E-3</v>
      </c>
      <c r="D985">
        <v>6.9119999999999997E-3</v>
      </c>
      <c r="E985">
        <v>7.45E-3</v>
      </c>
      <c r="F985">
        <v>425678419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0.9078014184397164</v>
      </c>
      <c r="Q985">
        <f t="shared" si="1020"/>
        <v>386431472.5673759</v>
      </c>
      <c r="R985">
        <f t="shared" si="1021"/>
        <v>2820325147.5308971</v>
      </c>
      <c r="S985">
        <f t="shared" si="1022"/>
        <v>28203.251475308971</v>
      </c>
      <c r="T985">
        <f t="shared" si="1023"/>
        <v>28.203251475308971</v>
      </c>
    </row>
    <row r="986" spans="1:20" x14ac:dyDescent="0.25">
      <c r="A986" s="5">
        <v>43607</v>
      </c>
      <c r="B986">
        <v>7.7039999999999999E-3</v>
      </c>
      <c r="C986">
        <v>7.8180000000000003E-3</v>
      </c>
      <c r="D986">
        <v>7.058E-3</v>
      </c>
      <c r="E986">
        <v>7.11E-3</v>
      </c>
      <c r="F986">
        <v>571772026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-0.86315789473684223</v>
      </c>
      <c r="Q986">
        <f t="shared" si="1020"/>
        <v>-493529538.23157901</v>
      </c>
      <c r="R986">
        <f t="shared" si="1021"/>
        <v>2433893674.9635215</v>
      </c>
      <c r="S986">
        <f t="shared" si="1022"/>
        <v>24338.936749635213</v>
      </c>
      <c r="T986">
        <f t="shared" si="1023"/>
        <v>24.338936749635213</v>
      </c>
    </row>
    <row r="987" spans="1:20" x14ac:dyDescent="0.25">
      <c r="A987" s="5">
        <v>43606</v>
      </c>
      <c r="B987">
        <v>7.6270000000000001E-3</v>
      </c>
      <c r="C987">
        <v>8.0000000000000002E-3</v>
      </c>
      <c r="D987">
        <v>7.5969999999999996E-3</v>
      </c>
      <c r="E987">
        <v>7.7029999999999998E-3</v>
      </c>
      <c r="F987">
        <v>732890059</v>
      </c>
      <c r="G987">
        <v>0</v>
      </c>
      <c r="L987" t="s">
        <v>8</v>
      </c>
      <c r="M987" t="s">
        <v>7</v>
      </c>
      <c r="N987" t="s">
        <v>8</v>
      </c>
      <c r="P987">
        <f t="shared" si="1019"/>
        <v>-0.47394540942928021</v>
      </c>
      <c r="Q987">
        <f t="shared" si="1020"/>
        <v>-347349879.07940435</v>
      </c>
      <c r="R987">
        <f t="shared" si="1021"/>
        <v>2927423213.1951003</v>
      </c>
      <c r="S987">
        <f t="shared" si="1022"/>
        <v>29274.232131951005</v>
      </c>
      <c r="T987">
        <f t="shared" si="1023"/>
        <v>29.274232131951006</v>
      </c>
    </row>
    <row r="988" spans="1:20" x14ac:dyDescent="0.25">
      <c r="A988" s="5">
        <v>43605</v>
      </c>
      <c r="B988">
        <v>7.8790000000000006E-3</v>
      </c>
      <c r="C988">
        <v>8.0000000000000002E-3</v>
      </c>
      <c r="D988">
        <v>7.247E-3</v>
      </c>
      <c r="E988">
        <v>7.6649999999999999E-3</v>
      </c>
      <c r="F988">
        <v>640286009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0.11022576361221742</v>
      </c>
      <c r="Q988">
        <f t="shared" si="1020"/>
        <v>70576014.272244111</v>
      </c>
      <c r="R988">
        <f t="shared" si="1021"/>
        <v>3274773092.2745047</v>
      </c>
      <c r="S988">
        <f t="shared" si="1022"/>
        <v>32747.730922745046</v>
      </c>
      <c r="T988">
        <f t="shared" si="1023"/>
        <v>32.747730922745049</v>
      </c>
    </row>
    <row r="989" spans="1:20" x14ac:dyDescent="0.25">
      <c r="A989" s="5">
        <v>43604</v>
      </c>
      <c r="B989">
        <v>7.7289999999999998E-3</v>
      </c>
      <c r="C989">
        <v>8.116E-3</v>
      </c>
      <c r="D989">
        <v>7.62E-3</v>
      </c>
      <c r="E989">
        <v>7.8790000000000006E-3</v>
      </c>
      <c r="F989">
        <v>756974663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4.4354838709679816E-2</v>
      </c>
      <c r="Q989">
        <f t="shared" si="1020"/>
        <v>33575489.084679231</v>
      </c>
      <c r="R989">
        <f t="shared" si="1021"/>
        <v>3204197078.0022607</v>
      </c>
      <c r="S989">
        <f t="shared" si="1022"/>
        <v>32041.970780022606</v>
      </c>
      <c r="T989">
        <f t="shared" si="1023"/>
        <v>32.041970780022609</v>
      </c>
    </row>
    <row r="990" spans="1:20" x14ac:dyDescent="0.25">
      <c r="A990" s="5">
        <v>43603</v>
      </c>
      <c r="B990">
        <v>7.554E-3</v>
      </c>
      <c r="C990">
        <v>8.0529999999999994E-3</v>
      </c>
      <c r="D990">
        <v>7.3159999999999996E-3</v>
      </c>
      <c r="E990">
        <v>7.7289999999999998E-3</v>
      </c>
      <c r="F990">
        <v>641238192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0.12075983717774838</v>
      </c>
      <c r="Q990">
        <f t="shared" si="1020"/>
        <v>77435819.658073753</v>
      </c>
      <c r="R990">
        <f t="shared" si="1021"/>
        <v>3170621588.9175816</v>
      </c>
      <c r="S990">
        <f t="shared" si="1022"/>
        <v>31706.215889175815</v>
      </c>
      <c r="T990">
        <f t="shared" si="1023"/>
        <v>31.706215889175816</v>
      </c>
    </row>
    <row r="991" spans="1:20" x14ac:dyDescent="0.25">
      <c r="A991" s="5">
        <v>43602</v>
      </c>
      <c r="B991">
        <v>8.1689999999999992E-3</v>
      </c>
      <c r="C991">
        <v>8.2030000000000002E-3</v>
      </c>
      <c r="D991">
        <v>6.9259999999999999E-3</v>
      </c>
      <c r="E991">
        <v>7.5500000000000003E-3</v>
      </c>
      <c r="F991">
        <v>943991307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-2.270947533281089E-2</v>
      </c>
      <c r="Q991">
        <f t="shared" si="1020"/>
        <v>-21437547.300704412</v>
      </c>
      <c r="R991">
        <f t="shared" si="1021"/>
        <v>3093185769.2595077</v>
      </c>
      <c r="S991">
        <f t="shared" si="1022"/>
        <v>30931.857692595077</v>
      </c>
      <c r="T991">
        <f t="shared" si="1023"/>
        <v>30.931857692595077</v>
      </c>
    </row>
    <row r="992" spans="1:20" x14ac:dyDescent="0.25">
      <c r="A992" s="5">
        <v>43601</v>
      </c>
      <c r="B992">
        <v>7.9039999999999996E-3</v>
      </c>
      <c r="C992">
        <v>8.8999999999999999E-3</v>
      </c>
      <c r="D992">
        <v>7.1799999999999998E-3</v>
      </c>
      <c r="E992">
        <v>8.1600000000000006E-3</v>
      </c>
      <c r="F992">
        <v>1275828204.0999999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0.13953488372093109</v>
      </c>
      <c r="Q992">
        <f t="shared" si="1020"/>
        <v>178022540.10697782</v>
      </c>
      <c r="R992">
        <f t="shared" si="1021"/>
        <v>3114623316.5602121</v>
      </c>
      <c r="S992">
        <f t="shared" si="1022"/>
        <v>31146.23316560212</v>
      </c>
      <c r="T992">
        <f t="shared" si="1023"/>
        <v>31.146233165602119</v>
      </c>
    </row>
    <row r="993" spans="1:20" x14ac:dyDescent="0.25">
      <c r="A993" s="5">
        <v>43600</v>
      </c>
      <c r="B993">
        <v>7.0349999999999996E-3</v>
      </c>
      <c r="C993">
        <v>7.9900000000000006E-3</v>
      </c>
      <c r="D993">
        <v>6.9589999999999999E-3</v>
      </c>
      <c r="E993">
        <v>7.9150000000000002E-3</v>
      </c>
      <c r="F993">
        <v>555619694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0.85451018428709924</v>
      </c>
      <c r="Q993">
        <f t="shared" si="1020"/>
        <v>474782687.1134817</v>
      </c>
      <c r="R993">
        <f t="shared" si="1021"/>
        <v>2936600776.4532342</v>
      </c>
      <c r="S993">
        <f t="shared" si="1022"/>
        <v>29366.007764532344</v>
      </c>
      <c r="T993">
        <f t="shared" si="1023"/>
        <v>29.366007764532345</v>
      </c>
    </row>
    <row r="994" spans="1:20" x14ac:dyDescent="0.25">
      <c r="A994" s="5">
        <v>43599</v>
      </c>
      <c r="B994">
        <v>6.3660000000000001E-3</v>
      </c>
      <c r="C994">
        <v>7.1900000000000002E-3</v>
      </c>
      <c r="D994">
        <v>6.3270000000000002E-3</v>
      </c>
      <c r="E994">
        <v>7.0400000000000003E-3</v>
      </c>
      <c r="F994">
        <v>704713021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0.6523754345307069</v>
      </c>
      <c r="Q994">
        <f t="shared" si="1020"/>
        <v>459737463.29432219</v>
      </c>
      <c r="R994">
        <f t="shared" si="1021"/>
        <v>2461818089.3397527</v>
      </c>
      <c r="S994">
        <f t="shared" si="1022"/>
        <v>24618.180893397526</v>
      </c>
      <c r="T994">
        <f t="shared" si="1023"/>
        <v>24.618180893397525</v>
      </c>
    </row>
    <row r="995" spans="1:20" x14ac:dyDescent="0.25">
      <c r="A995" s="5">
        <v>43598</v>
      </c>
      <c r="B995">
        <v>6.1050000000000002E-3</v>
      </c>
      <c r="C995">
        <v>6.7140000000000003E-3</v>
      </c>
      <c r="D995">
        <v>6.0429999999999998E-3</v>
      </c>
      <c r="E995">
        <v>6.3670000000000003E-3</v>
      </c>
      <c r="F995">
        <v>410298812</v>
      </c>
      <c r="G995">
        <v>0</v>
      </c>
      <c r="L995" t="s">
        <v>8</v>
      </c>
      <c r="M995" t="s">
        <v>7</v>
      </c>
      <c r="N995" t="s">
        <v>7</v>
      </c>
      <c r="P995">
        <f t="shared" si="1019"/>
        <v>-3.427719821162379E-2</v>
      </c>
      <c r="Q995">
        <f t="shared" si="1020"/>
        <v>-14063893.704917766</v>
      </c>
      <c r="R995">
        <f t="shared" si="1021"/>
        <v>2002080626.0454304</v>
      </c>
      <c r="S995">
        <f t="shared" si="1022"/>
        <v>20020.806260454305</v>
      </c>
      <c r="T995">
        <f t="shared" si="1023"/>
        <v>20.020806260454304</v>
      </c>
    </row>
    <row r="996" spans="1:20" x14ac:dyDescent="0.25">
      <c r="A996" s="5">
        <v>43597</v>
      </c>
      <c r="B996">
        <v>6.3160000000000004E-3</v>
      </c>
      <c r="C996">
        <v>6.5500000000000003E-3</v>
      </c>
      <c r="D996">
        <v>5.9030000000000003E-3</v>
      </c>
      <c r="E996">
        <v>6.1110000000000001E-3</v>
      </c>
      <c r="F996">
        <v>416979106</v>
      </c>
      <c r="G996">
        <v>0</v>
      </c>
      <c r="L996" t="s">
        <v>7</v>
      </c>
      <c r="M996" t="s">
        <v>7</v>
      </c>
      <c r="N996" t="s">
        <v>7</v>
      </c>
      <c r="P996">
        <f t="shared" si="1019"/>
        <v>-0.35703245749613649</v>
      </c>
      <c r="Q996">
        <f t="shared" si="1020"/>
        <v>-148875074.939722</v>
      </c>
      <c r="R996">
        <f t="shared" si="1021"/>
        <v>2016144519.7503481</v>
      </c>
      <c r="S996">
        <f t="shared" si="1022"/>
        <v>20161.445197503483</v>
      </c>
      <c r="T996">
        <f t="shared" si="1023"/>
        <v>20.161445197503483</v>
      </c>
    </row>
    <row r="997" spans="1:20" x14ac:dyDescent="0.25">
      <c r="A997" s="5">
        <v>43596</v>
      </c>
      <c r="B997">
        <v>6.1050000000000002E-3</v>
      </c>
      <c r="C997">
        <v>6.5970000000000004E-3</v>
      </c>
      <c r="D997">
        <v>5.8310000000000002E-3</v>
      </c>
      <c r="E997">
        <v>6.3150000000000003E-3</v>
      </c>
      <c r="F997">
        <v>570496003</v>
      </c>
      <c r="G997">
        <v>0</v>
      </c>
      <c r="L997" t="s">
        <v>8</v>
      </c>
      <c r="M997" t="s">
        <v>7</v>
      </c>
      <c r="N997" t="s">
        <v>7</v>
      </c>
      <c r="P997">
        <f t="shared" si="1019"/>
        <v>0.2637075718015664</v>
      </c>
      <c r="Q997">
        <f t="shared" si="1020"/>
        <v>150444115.67362913</v>
      </c>
      <c r="R997">
        <f t="shared" si="1021"/>
        <v>2165019594.6900702</v>
      </c>
      <c r="S997">
        <f t="shared" si="1022"/>
        <v>21650.195946900702</v>
      </c>
      <c r="T997">
        <f t="shared" si="1023"/>
        <v>21.650195946900702</v>
      </c>
    </row>
    <row r="998" spans="1:20" x14ac:dyDescent="0.25">
      <c r="A998" s="5">
        <v>43595</v>
      </c>
      <c r="B998">
        <v>6.0130000000000001E-3</v>
      </c>
      <c r="C998">
        <v>6.1729999999999997E-3</v>
      </c>
      <c r="D998">
        <v>5.7000000000000002E-3</v>
      </c>
      <c r="E998">
        <v>6.1050000000000002E-3</v>
      </c>
      <c r="F998">
        <v>314937815</v>
      </c>
      <c r="G998">
        <v>0</v>
      </c>
      <c r="L998" t="s">
        <v>7</v>
      </c>
      <c r="M998" t="s">
        <v>7</v>
      </c>
      <c r="N998" t="s">
        <v>7</v>
      </c>
      <c r="P998">
        <f t="shared" si="1019"/>
        <v>0.71247357293869107</v>
      </c>
      <c r="Q998">
        <f t="shared" si="1020"/>
        <v>224384870.3065545</v>
      </c>
      <c r="R998">
        <f t="shared" si="1021"/>
        <v>2014575479.0164411</v>
      </c>
      <c r="S998">
        <f t="shared" si="1022"/>
        <v>20145.75479016441</v>
      </c>
      <c r="T998">
        <f t="shared" si="1023"/>
        <v>20.145754790164411</v>
      </c>
    </row>
    <row r="999" spans="1:20" x14ac:dyDescent="0.25">
      <c r="A999" s="5">
        <v>43594</v>
      </c>
      <c r="B999">
        <v>6.2880000000000002E-3</v>
      </c>
      <c r="C999">
        <v>6.4999999999999997E-3</v>
      </c>
      <c r="D999">
        <v>5.8710000000000004E-3</v>
      </c>
      <c r="E999">
        <v>6.0309999999999999E-3</v>
      </c>
      <c r="F999">
        <v>199820161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-0.49125596184419806</v>
      </c>
      <c r="Q999">
        <f t="shared" si="1020"/>
        <v>-98162845.387917519</v>
      </c>
      <c r="R999">
        <f t="shared" si="1021"/>
        <v>1790190608.7098866</v>
      </c>
      <c r="S999">
        <f t="shared" si="1022"/>
        <v>17901.906087098865</v>
      </c>
      <c r="T999">
        <f t="shared" si="1023"/>
        <v>17.901906087098865</v>
      </c>
    </row>
    <row r="1000" spans="1:20" x14ac:dyDescent="0.25">
      <c r="A1000" s="5">
        <v>43593</v>
      </c>
      <c r="B1000">
        <v>6.117E-3</v>
      </c>
      <c r="C1000">
        <v>6.3350000000000004E-3</v>
      </c>
      <c r="D1000">
        <v>5.9649999999999998E-3</v>
      </c>
      <c r="E1000">
        <v>6.2740000000000001E-3</v>
      </c>
      <c r="F1000">
        <v>141340110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0.6702702702702692</v>
      </c>
      <c r="Q1000">
        <f t="shared" si="1020"/>
        <v>94736073.729729578</v>
      </c>
      <c r="R1000">
        <f t="shared" si="1021"/>
        <v>1888353454.0978041</v>
      </c>
      <c r="S1000">
        <f t="shared" si="1022"/>
        <v>18883.534540978042</v>
      </c>
      <c r="T1000">
        <f t="shared" si="1023"/>
        <v>18.883534540978044</v>
      </c>
    </row>
    <row r="1001" spans="1:20" x14ac:dyDescent="0.25">
      <c r="A1001" s="5">
        <v>43592</v>
      </c>
      <c r="B1001">
        <v>6.2899999999999996E-3</v>
      </c>
      <c r="C1001">
        <v>6.4260000000000003E-3</v>
      </c>
      <c r="D1001">
        <v>6.1050000000000002E-3</v>
      </c>
      <c r="E1001">
        <v>6.1050000000000002E-3</v>
      </c>
      <c r="F1001">
        <v>174497620</v>
      </c>
      <c r="G1001">
        <v>0</v>
      </c>
      <c r="L1001" t="s">
        <v>8</v>
      </c>
      <c r="M1001" t="s">
        <v>7</v>
      </c>
      <c r="N1001" t="s">
        <v>7</v>
      </c>
      <c r="P1001">
        <f t="shared" si="1019"/>
        <v>-1</v>
      </c>
      <c r="Q1001">
        <f t="shared" si="1020"/>
        <v>-174497620</v>
      </c>
      <c r="R1001">
        <f t="shared" si="1021"/>
        <v>1793617380.3680744</v>
      </c>
      <c r="S1001">
        <f t="shared" si="1022"/>
        <v>17936.173803680744</v>
      </c>
      <c r="T1001">
        <f t="shared" si="1023"/>
        <v>17.936173803680745</v>
      </c>
    </row>
    <row r="1002" spans="1:20" x14ac:dyDescent="0.25">
      <c r="A1002" s="5">
        <v>43591</v>
      </c>
      <c r="B1002">
        <v>6.4469999999999996E-3</v>
      </c>
      <c r="C1002">
        <v>6.4520000000000003E-3</v>
      </c>
      <c r="D1002">
        <v>6.0049999999999999E-3</v>
      </c>
      <c r="E1002">
        <v>6.3E-3</v>
      </c>
      <c r="F1002">
        <v>199044901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0.31991051454138653</v>
      </c>
      <c r="Q1002">
        <f t="shared" si="1020"/>
        <v>63676556.695749342</v>
      </c>
      <c r="R1002">
        <f t="shared" si="1021"/>
        <v>1968115000.3680744</v>
      </c>
      <c r="S1002">
        <f t="shared" si="1022"/>
        <v>19681.150003680745</v>
      </c>
      <c r="T1002">
        <f t="shared" si="1023"/>
        <v>19.681150003680745</v>
      </c>
    </row>
    <row r="1003" spans="1:20" x14ac:dyDescent="0.25">
      <c r="A1003" s="5">
        <v>43590</v>
      </c>
      <c r="B1003">
        <v>6.4850000000000003E-3</v>
      </c>
      <c r="C1003">
        <v>6.5139999999999998E-3</v>
      </c>
      <c r="D1003">
        <v>6.3010000000000002E-3</v>
      </c>
      <c r="E1003">
        <v>6.4270000000000004E-3</v>
      </c>
      <c r="F1003">
        <v>112329859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0.18309859154930003</v>
      </c>
      <c r="Q1003">
        <f t="shared" si="1020"/>
        <v>20567438.971831463</v>
      </c>
      <c r="R1003">
        <f t="shared" si="1021"/>
        <v>1904438443.6723251</v>
      </c>
      <c r="S1003">
        <f t="shared" si="1022"/>
        <v>19044.384436723252</v>
      </c>
      <c r="T1003">
        <f t="shared" si="1023"/>
        <v>19.044384436723252</v>
      </c>
    </row>
    <row r="1004" spans="1:20" x14ac:dyDescent="0.25">
      <c r="A1004" s="5">
        <v>43589</v>
      </c>
      <c r="B1004">
        <v>6.6639999999999998E-3</v>
      </c>
      <c r="C1004">
        <v>6.777E-3</v>
      </c>
      <c r="D1004">
        <v>6.2810000000000001E-3</v>
      </c>
      <c r="E1004">
        <v>6.4739999999999997E-3</v>
      </c>
      <c r="F1004">
        <v>226099790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-0.22177419354838859</v>
      </c>
      <c r="Q1004">
        <f t="shared" si="1020"/>
        <v>-50143098.588710018</v>
      </c>
      <c r="R1004">
        <f t="shared" si="1021"/>
        <v>1883871004.7004936</v>
      </c>
      <c r="S1004">
        <f t="shared" si="1022"/>
        <v>18838.710047004937</v>
      </c>
      <c r="T1004">
        <f t="shared" si="1023"/>
        <v>18.838710047004938</v>
      </c>
    </row>
    <row r="1005" spans="1:20" x14ac:dyDescent="0.25">
      <c r="A1005" s="5">
        <v>43588</v>
      </c>
      <c r="B1005">
        <v>6.4710000000000002E-3</v>
      </c>
      <c r="C1005">
        <v>6.7759999999999999E-3</v>
      </c>
      <c r="D1005">
        <v>6.43E-3</v>
      </c>
      <c r="E1005">
        <v>6.6629999999999997E-3</v>
      </c>
      <c r="F1005">
        <v>297681071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0.34682080924855335</v>
      </c>
      <c r="Q1005">
        <f t="shared" si="1020"/>
        <v>103241989.94219607</v>
      </c>
      <c r="R1005">
        <f t="shared" si="1021"/>
        <v>1934014103.2892036</v>
      </c>
      <c r="S1005">
        <f t="shared" si="1022"/>
        <v>19340.141032892036</v>
      </c>
      <c r="T1005">
        <f t="shared" si="1023"/>
        <v>19.340141032892035</v>
      </c>
    </row>
    <row r="1006" spans="1:20" x14ac:dyDescent="0.25">
      <c r="A1006" s="5">
        <v>43587</v>
      </c>
      <c r="B1006">
        <v>6.5830000000000003E-3</v>
      </c>
      <c r="C1006">
        <v>6.6699999999999997E-3</v>
      </c>
      <c r="D1006">
        <v>6.2690000000000003E-3</v>
      </c>
      <c r="E1006">
        <v>6.4770000000000001E-3</v>
      </c>
      <c r="F1006">
        <v>161707717</v>
      </c>
      <c r="G1006">
        <v>0</v>
      </c>
      <c r="L1006" t="s">
        <v>7</v>
      </c>
      <c r="M1006" t="s">
        <v>7</v>
      </c>
      <c r="N1006" t="s">
        <v>7</v>
      </c>
      <c r="P1006">
        <f t="shared" si="1019"/>
        <v>3.7406483790524379E-2</v>
      </c>
      <c r="Q1006">
        <f t="shared" si="1020"/>
        <v>6048917.0947632035</v>
      </c>
      <c r="R1006">
        <f t="shared" si="1021"/>
        <v>1830772113.3470075</v>
      </c>
      <c r="S1006">
        <f t="shared" si="1022"/>
        <v>18307.721133470077</v>
      </c>
      <c r="T1006">
        <f t="shared" si="1023"/>
        <v>18.307721133470078</v>
      </c>
    </row>
    <row r="1007" spans="1:20" x14ac:dyDescent="0.25">
      <c r="A1007" s="5">
        <v>43586</v>
      </c>
      <c r="B1007">
        <v>6.2129999999999998E-3</v>
      </c>
      <c r="C1007">
        <v>6.7489999999999998E-3</v>
      </c>
      <c r="D1007">
        <v>6.1960000000000001E-3</v>
      </c>
      <c r="E1007">
        <v>6.5640000000000004E-3</v>
      </c>
      <c r="F1007">
        <v>206866606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0.33092224231464917</v>
      </c>
      <c r="Q1007">
        <f t="shared" si="1020"/>
        <v>68456761.11754106</v>
      </c>
      <c r="R1007">
        <f t="shared" si="1021"/>
        <v>1824723196.2522442</v>
      </c>
      <c r="S1007">
        <f t="shared" si="1022"/>
        <v>18247.231962522441</v>
      </c>
      <c r="T1007">
        <f t="shared" si="1023"/>
        <v>18.247231962522442</v>
      </c>
    </row>
    <row r="1008" spans="1:20" x14ac:dyDescent="0.25">
      <c r="A1008" s="5">
        <v>43585</v>
      </c>
      <c r="B1008">
        <v>5.8329999999999996E-3</v>
      </c>
      <c r="C1008">
        <v>6.2950000000000002E-3</v>
      </c>
      <c r="D1008">
        <v>5.8259999999999996E-3</v>
      </c>
      <c r="E1008">
        <v>6.2059999999999997E-3</v>
      </c>
      <c r="F1008">
        <v>160108978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0.62046908315564853</v>
      </c>
      <c r="Q1008">
        <f t="shared" si="1020"/>
        <v>99342670.784647897</v>
      </c>
      <c r="R1008">
        <f t="shared" si="1021"/>
        <v>1756266435.1347032</v>
      </c>
      <c r="S1008">
        <f t="shared" si="1022"/>
        <v>17562.66435134703</v>
      </c>
      <c r="T1008">
        <f t="shared" si="1023"/>
        <v>17.562664351347031</v>
      </c>
    </row>
    <row r="1009" spans="1:20" x14ac:dyDescent="0.25">
      <c r="A1009" s="5">
        <v>43584</v>
      </c>
      <c r="B1009">
        <v>6.0730000000000003E-3</v>
      </c>
      <c r="C1009">
        <v>6.1139999999999996E-3</v>
      </c>
      <c r="D1009">
        <v>5.764E-3</v>
      </c>
      <c r="E1009">
        <v>5.8329999999999996E-3</v>
      </c>
      <c r="F1009">
        <v>189744378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-0.60571428571428743</v>
      </c>
      <c r="Q1009">
        <f t="shared" si="1020"/>
        <v>-114930880.38857175</v>
      </c>
      <c r="R1009">
        <f t="shared" si="1021"/>
        <v>1656923764.3500552</v>
      </c>
      <c r="S1009">
        <f t="shared" si="1022"/>
        <v>16569.237643500554</v>
      </c>
      <c r="T1009">
        <f t="shared" si="1023"/>
        <v>16.569237643500554</v>
      </c>
    </row>
    <row r="1010" spans="1:20" x14ac:dyDescent="0.25">
      <c r="A1010" s="5">
        <v>43583</v>
      </c>
      <c r="B1010">
        <v>6.1710000000000003E-3</v>
      </c>
      <c r="C1010">
        <v>6.2750000000000002E-3</v>
      </c>
      <c r="D1010">
        <v>5.9589999999999999E-3</v>
      </c>
      <c r="E1010">
        <v>6.0829999999999999E-3</v>
      </c>
      <c r="F1010">
        <v>101642826</v>
      </c>
      <c r="G1010">
        <v>0</v>
      </c>
      <c r="L1010" t="s">
        <v>8</v>
      </c>
      <c r="M1010" t="s">
        <v>7</v>
      </c>
      <c r="N1010" t="s">
        <v>7</v>
      </c>
      <c r="P1010">
        <f t="shared" si="1019"/>
        <v>-0.21518987341772242</v>
      </c>
      <c r="Q1010">
        <f t="shared" si="1020"/>
        <v>-21872506.860759586</v>
      </c>
      <c r="R1010">
        <f t="shared" si="1021"/>
        <v>1771854644.738627</v>
      </c>
      <c r="S1010">
        <f t="shared" si="1022"/>
        <v>17718.54644738627</v>
      </c>
      <c r="T1010">
        <f t="shared" si="1023"/>
        <v>17.71854644738627</v>
      </c>
    </row>
    <row r="1011" spans="1:20" x14ac:dyDescent="0.25">
      <c r="A1011" s="5">
        <v>43582</v>
      </c>
      <c r="B1011">
        <v>6.1279999999999998E-3</v>
      </c>
      <c r="C1011">
        <v>6.3530000000000001E-3</v>
      </c>
      <c r="D1011">
        <v>5.9870000000000001E-3</v>
      </c>
      <c r="E1011">
        <v>6.1809999999999999E-3</v>
      </c>
      <c r="F1011">
        <v>159033380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6.0109289617484837E-2</v>
      </c>
      <c r="Q1011">
        <f t="shared" si="1020"/>
        <v>9559383.4972675201</v>
      </c>
      <c r="R1011">
        <f t="shared" si="1021"/>
        <v>1793727151.5993865</v>
      </c>
      <c r="S1011">
        <f t="shared" si="1022"/>
        <v>17937.271515993863</v>
      </c>
      <c r="T1011">
        <f t="shared" si="1023"/>
        <v>17.937271515993864</v>
      </c>
    </row>
    <row r="1012" spans="1:20" x14ac:dyDescent="0.25">
      <c r="A1012" s="5">
        <v>43581</v>
      </c>
      <c r="B1012">
        <v>6.0410000000000004E-3</v>
      </c>
      <c r="C1012">
        <v>6.3210000000000002E-3</v>
      </c>
      <c r="D1012">
        <v>5.7850000000000002E-3</v>
      </c>
      <c r="E1012">
        <v>6.136E-3</v>
      </c>
      <c r="F1012">
        <v>347630521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0.30970149253731244</v>
      </c>
      <c r="Q1012">
        <f t="shared" si="1020"/>
        <v>107661691.20522353</v>
      </c>
      <c r="R1012">
        <f t="shared" si="1021"/>
        <v>1784167768.102119</v>
      </c>
      <c r="S1012">
        <f t="shared" si="1022"/>
        <v>17841.677681021189</v>
      </c>
      <c r="T1012">
        <f t="shared" si="1023"/>
        <v>17.841677681021189</v>
      </c>
    </row>
    <row r="1013" spans="1:20" x14ac:dyDescent="0.25">
      <c r="A1013" s="5">
        <v>43580</v>
      </c>
      <c r="B1013">
        <v>6.391E-3</v>
      </c>
      <c r="C1013">
        <v>6.5970000000000004E-3</v>
      </c>
      <c r="D1013">
        <v>5.8989999999999997E-3</v>
      </c>
      <c r="E1013">
        <v>6.0210000000000003E-3</v>
      </c>
      <c r="F1013">
        <v>329196274</v>
      </c>
      <c r="G1013">
        <v>0</v>
      </c>
      <c r="L1013" t="s">
        <v>7</v>
      </c>
      <c r="M1013" t="s">
        <v>7</v>
      </c>
      <c r="N1013" t="s">
        <v>8</v>
      </c>
      <c r="P1013">
        <f t="shared" si="1019"/>
        <v>-0.6504297994269328</v>
      </c>
      <c r="Q1013">
        <f t="shared" si="1020"/>
        <v>-214119066.4699136</v>
      </c>
      <c r="R1013">
        <f t="shared" si="1021"/>
        <v>1676506076.8968954</v>
      </c>
      <c r="S1013">
        <f t="shared" si="1022"/>
        <v>16765.060768968953</v>
      </c>
      <c r="T1013">
        <f t="shared" si="1023"/>
        <v>16.765060768968954</v>
      </c>
    </row>
    <row r="1014" spans="1:20" x14ac:dyDescent="0.25">
      <c r="A1014" s="5">
        <v>43579</v>
      </c>
      <c r="B1014">
        <v>6.6810000000000003E-3</v>
      </c>
      <c r="C1014">
        <v>6.9160000000000003E-3</v>
      </c>
      <c r="D1014">
        <v>6.0889999999999998E-3</v>
      </c>
      <c r="E1014">
        <v>6.398E-3</v>
      </c>
      <c r="F1014">
        <v>596311074</v>
      </c>
      <c r="G1014">
        <v>0</v>
      </c>
      <c r="L1014" t="s">
        <v>7</v>
      </c>
      <c r="M1014" t="s">
        <v>7</v>
      </c>
      <c r="N1014" t="s">
        <v>8</v>
      </c>
      <c r="P1014">
        <f t="shared" si="1019"/>
        <v>-0.2527206771463118</v>
      </c>
      <c r="Q1014">
        <f t="shared" si="1020"/>
        <v>-150700138.41112444</v>
      </c>
      <c r="R1014">
        <f t="shared" si="1021"/>
        <v>1890625143.3668091</v>
      </c>
      <c r="S1014">
        <f t="shared" si="1022"/>
        <v>18906.251433668091</v>
      </c>
      <c r="T1014">
        <f t="shared" si="1023"/>
        <v>18.906251433668089</v>
      </c>
    </row>
    <row r="1015" spans="1:20" x14ac:dyDescent="0.25">
      <c r="A1015" s="5">
        <v>43578</v>
      </c>
      <c r="B1015">
        <v>6.9360000000000003E-3</v>
      </c>
      <c r="C1015">
        <v>7.0489999999999997E-3</v>
      </c>
      <c r="D1015">
        <v>6.6750000000000004E-3</v>
      </c>
      <c r="E1015">
        <v>6.6810000000000003E-3</v>
      </c>
      <c r="F1015">
        <v>270074173</v>
      </c>
      <c r="G1015">
        <v>0</v>
      </c>
      <c r="L1015" t="s">
        <v>8</v>
      </c>
      <c r="M1015" t="s">
        <v>8</v>
      </c>
      <c r="N1015" t="s">
        <v>8</v>
      </c>
      <c r="P1015">
        <f t="shared" si="1019"/>
        <v>-0.96791443850267411</v>
      </c>
      <c r="Q1015">
        <f t="shared" si="1020"/>
        <v>-261408691.51336908</v>
      </c>
      <c r="R1015">
        <f t="shared" si="1021"/>
        <v>2041325281.7779336</v>
      </c>
      <c r="S1015">
        <f t="shared" si="1022"/>
        <v>20413.252817779336</v>
      </c>
      <c r="T1015">
        <f t="shared" si="1023"/>
        <v>20.413252817779334</v>
      </c>
    </row>
    <row r="1016" spans="1:20" x14ac:dyDescent="0.25">
      <c r="A1016" s="5">
        <v>43577</v>
      </c>
      <c r="B1016">
        <v>6.7559999999999999E-3</v>
      </c>
      <c r="C1016">
        <v>7.0140000000000003E-3</v>
      </c>
      <c r="D1016">
        <v>6.6499999999999997E-3</v>
      </c>
      <c r="E1016">
        <v>6.9360000000000003E-3</v>
      </c>
      <c r="F1016">
        <v>206854052</v>
      </c>
      <c r="G1016">
        <v>0</v>
      </c>
      <c r="L1016" t="s">
        <v>8</v>
      </c>
      <c r="M1016" t="s">
        <v>8</v>
      </c>
      <c r="N1016" t="s">
        <v>8</v>
      </c>
      <c r="P1016">
        <f t="shared" si="1019"/>
        <v>0.5714285714285724</v>
      </c>
      <c r="Q1016">
        <f t="shared" si="1020"/>
        <v>118202315.42857163</v>
      </c>
      <c r="R1016">
        <f t="shared" si="1021"/>
        <v>2302733973.2913027</v>
      </c>
      <c r="S1016">
        <f t="shared" si="1022"/>
        <v>23027.339732913028</v>
      </c>
      <c r="T1016">
        <f t="shared" si="1023"/>
        <v>23.027339732913028</v>
      </c>
    </row>
    <row r="1017" spans="1:20" x14ac:dyDescent="0.25">
      <c r="A1017" s="5">
        <v>43576</v>
      </c>
      <c r="B1017">
        <v>7.0029999999999997E-3</v>
      </c>
      <c r="C1017">
        <v>7.0320000000000001E-3</v>
      </c>
      <c r="D1017">
        <v>6.5160000000000001E-3</v>
      </c>
      <c r="E1017">
        <v>6.7559999999999999E-3</v>
      </c>
      <c r="F1017">
        <v>228352484</v>
      </c>
      <c r="G1017">
        <v>0</v>
      </c>
      <c r="L1017" t="s">
        <v>7</v>
      </c>
      <c r="M1017" t="s">
        <v>8</v>
      </c>
      <c r="N1017" t="s">
        <v>8</v>
      </c>
      <c r="P1017">
        <f t="shared" si="1019"/>
        <v>-6.9767441860465976E-2</v>
      </c>
      <c r="Q1017">
        <f t="shared" si="1020"/>
        <v>-15931568.651162988</v>
      </c>
      <c r="R1017">
        <f t="shared" si="1021"/>
        <v>2184531657.862731</v>
      </c>
      <c r="S1017">
        <f t="shared" si="1022"/>
        <v>21845.316578627309</v>
      </c>
      <c r="T1017">
        <f t="shared" si="1023"/>
        <v>21.845316578627308</v>
      </c>
    </row>
    <row r="1018" spans="1:20" x14ac:dyDescent="0.25">
      <c r="A1018" s="5">
        <v>43575</v>
      </c>
      <c r="B1018">
        <v>7.1799999999999998E-3</v>
      </c>
      <c r="C1018">
        <v>7.2199999999999999E-3</v>
      </c>
      <c r="D1018">
        <v>6.8349999999999999E-3</v>
      </c>
      <c r="E1018">
        <v>6.9950000000000003E-3</v>
      </c>
      <c r="F1018">
        <v>251198424</v>
      </c>
      <c r="G1018">
        <v>0</v>
      </c>
      <c r="L1018" t="s">
        <v>7</v>
      </c>
      <c r="M1018" t="s">
        <v>8</v>
      </c>
      <c r="N1018" t="s">
        <v>8</v>
      </c>
      <c r="P1018">
        <f t="shared" si="1019"/>
        <v>-0.1688311688311665</v>
      </c>
      <c r="Q1018">
        <f t="shared" si="1020"/>
        <v>-42410123.532466948</v>
      </c>
      <c r="R1018">
        <f t="shared" si="1021"/>
        <v>2200463226.5138941</v>
      </c>
      <c r="S1018">
        <f t="shared" si="1022"/>
        <v>22004.632265138942</v>
      </c>
      <c r="T1018">
        <f t="shared" si="1023"/>
        <v>22.004632265138941</v>
      </c>
    </row>
    <row r="1019" spans="1:20" x14ac:dyDescent="0.25">
      <c r="A1019" s="5">
        <v>43574</v>
      </c>
      <c r="B1019">
        <v>7.2839999999999997E-3</v>
      </c>
      <c r="C1019">
        <v>7.424E-3</v>
      </c>
      <c r="D1019">
        <v>7.0670000000000004E-3</v>
      </c>
      <c r="E1019">
        <v>7.1830000000000001E-3</v>
      </c>
      <c r="F1019">
        <v>305319610</v>
      </c>
      <c r="G1019">
        <v>0</v>
      </c>
      <c r="L1019" t="s">
        <v>8</v>
      </c>
      <c r="M1019" t="s">
        <v>8</v>
      </c>
      <c r="N1019" t="s">
        <v>8</v>
      </c>
      <c r="P1019">
        <f t="shared" si="1019"/>
        <v>-0.35014005602240961</v>
      </c>
      <c r="Q1019">
        <f t="shared" si="1020"/>
        <v>-106904625.35014026</v>
      </c>
      <c r="R1019">
        <f t="shared" si="1021"/>
        <v>2242873350.046361</v>
      </c>
      <c r="S1019">
        <f t="shared" si="1022"/>
        <v>22428.733500463608</v>
      </c>
      <c r="T1019">
        <f t="shared" si="1023"/>
        <v>22.428733500463608</v>
      </c>
    </row>
    <row r="1020" spans="1:20" x14ac:dyDescent="0.25">
      <c r="A1020" s="5">
        <v>43573</v>
      </c>
      <c r="B1020">
        <v>7.0270000000000003E-3</v>
      </c>
      <c r="C1020">
        <v>7.4799999999999997E-3</v>
      </c>
      <c r="D1020">
        <v>6.9699999999999996E-3</v>
      </c>
      <c r="E1020">
        <v>7.2849999999999998E-3</v>
      </c>
      <c r="F1020">
        <v>389493819</v>
      </c>
      <c r="G1020">
        <v>0</v>
      </c>
      <c r="L1020" t="s">
        <v>8</v>
      </c>
      <c r="M1020" t="s">
        <v>8</v>
      </c>
      <c r="N1020" t="s">
        <v>8</v>
      </c>
      <c r="P1020">
        <f t="shared" si="1019"/>
        <v>0.23529411764705943</v>
      </c>
      <c r="Q1020">
        <f t="shared" si="1020"/>
        <v>91645604.470588475</v>
      </c>
      <c r="R1020">
        <f t="shared" si="1021"/>
        <v>2349777975.3965011</v>
      </c>
      <c r="S1020">
        <f t="shared" si="1022"/>
        <v>23497.779753965009</v>
      </c>
      <c r="T1020">
        <f t="shared" si="1023"/>
        <v>23.497779753965009</v>
      </c>
    </row>
    <row r="1021" spans="1:20" x14ac:dyDescent="0.25">
      <c r="A1021" s="5">
        <v>43572</v>
      </c>
      <c r="B1021">
        <v>6.9610000000000002E-3</v>
      </c>
      <c r="C1021">
        <v>7.0499999999999998E-3</v>
      </c>
      <c r="D1021">
        <v>6.8609999999999999E-3</v>
      </c>
      <c r="E1021">
        <v>7.0439999999999999E-3</v>
      </c>
      <c r="F1021">
        <v>141998031</v>
      </c>
      <c r="G1021">
        <v>0</v>
      </c>
      <c r="L1021" t="s">
        <v>8</v>
      </c>
      <c r="M1021" t="s">
        <v>7</v>
      </c>
      <c r="N1021" t="s">
        <v>8</v>
      </c>
      <c r="P1021">
        <f t="shared" si="1019"/>
        <v>0.93650793650793729</v>
      </c>
      <c r="Q1021">
        <f t="shared" si="1020"/>
        <v>132982283.0000001</v>
      </c>
      <c r="R1021">
        <f t="shared" si="1021"/>
        <v>2258132370.9259124</v>
      </c>
      <c r="S1021">
        <f t="shared" si="1022"/>
        <v>22581.323709259123</v>
      </c>
      <c r="T1021">
        <f t="shared" si="1023"/>
        <v>22.581323709259124</v>
      </c>
    </row>
    <row r="1022" spans="1:20" x14ac:dyDescent="0.25">
      <c r="A1022" s="5">
        <v>43571</v>
      </c>
      <c r="B1022">
        <v>6.77E-3</v>
      </c>
      <c r="C1022">
        <v>7.0419999999999996E-3</v>
      </c>
      <c r="D1022">
        <v>6.6909999999999999E-3</v>
      </c>
      <c r="E1022">
        <v>6.9620000000000003E-3</v>
      </c>
      <c r="F1022">
        <v>196855585</v>
      </c>
      <c r="G1022">
        <v>0</v>
      </c>
      <c r="L1022" t="s">
        <v>8</v>
      </c>
      <c r="M1022" t="s">
        <v>7</v>
      </c>
      <c r="N1022" t="s">
        <v>8</v>
      </c>
      <c r="P1022">
        <f t="shared" si="1019"/>
        <v>0.54415954415954759</v>
      </c>
      <c r="Q1022">
        <f t="shared" si="1020"/>
        <v>107120845.39886108</v>
      </c>
      <c r="R1022">
        <f t="shared" si="1021"/>
        <v>2125150087.9259124</v>
      </c>
      <c r="S1022">
        <f t="shared" si="1022"/>
        <v>21251.500879259125</v>
      </c>
      <c r="T1022">
        <f t="shared" si="1023"/>
        <v>21.251500879259126</v>
      </c>
    </row>
    <row r="1023" spans="1:20" x14ac:dyDescent="0.25">
      <c r="A1023" s="5">
        <v>43570</v>
      </c>
      <c r="B1023">
        <v>6.9059999999999998E-3</v>
      </c>
      <c r="C1023">
        <v>7.051E-3</v>
      </c>
      <c r="D1023">
        <v>6.6249999999999998E-3</v>
      </c>
      <c r="E1023">
        <v>6.7850000000000002E-3</v>
      </c>
      <c r="F1023">
        <v>277178375</v>
      </c>
      <c r="G1023">
        <v>0</v>
      </c>
      <c r="L1023" t="s">
        <v>8</v>
      </c>
      <c r="M1023" t="s">
        <v>7</v>
      </c>
      <c r="N1023" t="s">
        <v>8</v>
      </c>
      <c r="P1023">
        <f t="shared" ref="P1023:P1086" si="1024">IF(C1023=D1023,0,((E1023-D1023)-(C1023-E1023))/(C1023-D1023))</f>
        <v>-0.24882629107981052</v>
      </c>
      <c r="Q1023">
        <f t="shared" ref="Q1023:Q1086" si="1025">F1023*P1023</f>
        <v>-68969267.018778875</v>
      </c>
      <c r="R1023">
        <f t="shared" ref="R1023:R1086" si="1026">R1024+Q1023</f>
        <v>2018029242.5270512</v>
      </c>
      <c r="S1023">
        <f t="shared" ref="S1023:S1086" si="1027">R1023/100000</f>
        <v>20180.292425270512</v>
      </c>
      <c r="T1023">
        <f t="shared" ref="T1023:T1086" si="1028">S1023/1000</f>
        <v>20.180292425270512</v>
      </c>
    </row>
    <row r="1024" spans="1:20" x14ac:dyDescent="0.25">
      <c r="A1024" s="5">
        <v>43569</v>
      </c>
      <c r="B1024">
        <v>6.9040000000000004E-3</v>
      </c>
      <c r="C1024">
        <v>6.999E-3</v>
      </c>
      <c r="D1024">
        <v>6.7200000000000003E-3</v>
      </c>
      <c r="E1024">
        <v>6.9059999999999998E-3</v>
      </c>
      <c r="F1024">
        <v>141188969</v>
      </c>
      <c r="G1024">
        <v>0</v>
      </c>
      <c r="L1024" t="s">
        <v>8</v>
      </c>
      <c r="M1024" t="s">
        <v>7</v>
      </c>
      <c r="N1024" t="s">
        <v>8</v>
      </c>
      <c r="P1024">
        <f t="shared" si="1024"/>
        <v>0.33333333333333126</v>
      </c>
      <c r="Q1024">
        <f t="shared" si="1025"/>
        <v>47062989.666666374</v>
      </c>
      <c r="R1024">
        <f t="shared" si="1026"/>
        <v>2086998509.54583</v>
      </c>
      <c r="S1024">
        <f t="shared" si="1027"/>
        <v>20869.985095458302</v>
      </c>
      <c r="T1024">
        <f t="shared" si="1028"/>
        <v>20.869985095458301</v>
      </c>
    </row>
    <row r="1025" spans="1:20" x14ac:dyDescent="0.25">
      <c r="A1025" s="5">
        <v>43568</v>
      </c>
      <c r="B1025">
        <v>6.8269999999999997E-3</v>
      </c>
      <c r="C1025">
        <v>7.0260000000000001E-3</v>
      </c>
      <c r="D1025">
        <v>6.7000000000000002E-3</v>
      </c>
      <c r="E1025">
        <v>6.9040000000000004E-3</v>
      </c>
      <c r="F1025">
        <v>181295799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0.25153374233128989</v>
      </c>
      <c r="Q1025">
        <f t="shared" si="1025"/>
        <v>45602010.791411325</v>
      </c>
      <c r="R1025">
        <f t="shared" si="1026"/>
        <v>2039935519.8791637</v>
      </c>
      <c r="S1025">
        <f t="shared" si="1027"/>
        <v>20399.355198791636</v>
      </c>
      <c r="T1025">
        <f t="shared" si="1028"/>
        <v>20.399355198791636</v>
      </c>
    </row>
    <row r="1026" spans="1:20" x14ac:dyDescent="0.25">
      <c r="A1026" s="5">
        <v>43567</v>
      </c>
      <c r="B1026">
        <v>6.6E-3</v>
      </c>
      <c r="C1026">
        <v>6.9360000000000003E-3</v>
      </c>
      <c r="D1026">
        <v>6.2430000000000003E-3</v>
      </c>
      <c r="E1026">
        <v>6.8269999999999997E-3</v>
      </c>
      <c r="F1026">
        <v>353890421</v>
      </c>
      <c r="G1026">
        <v>0</v>
      </c>
      <c r="L1026" t="s">
        <v>8</v>
      </c>
      <c r="M1026" t="s">
        <v>7</v>
      </c>
      <c r="N1026" t="s">
        <v>8</v>
      </c>
      <c r="P1026">
        <f t="shared" si="1024"/>
        <v>0.68542568542568372</v>
      </c>
      <c r="Q1026">
        <f t="shared" si="1025"/>
        <v>242565584.37950876</v>
      </c>
      <c r="R1026">
        <f t="shared" si="1026"/>
        <v>1994333509.0877523</v>
      </c>
      <c r="S1026">
        <f t="shared" si="1027"/>
        <v>19943.335090877525</v>
      </c>
      <c r="T1026">
        <f t="shared" si="1028"/>
        <v>19.943335090877525</v>
      </c>
    </row>
    <row r="1027" spans="1:20" x14ac:dyDescent="0.25">
      <c r="A1027" s="5">
        <v>43566</v>
      </c>
      <c r="B1027">
        <v>7.1380000000000002E-3</v>
      </c>
      <c r="C1027">
        <v>7.1570000000000002E-3</v>
      </c>
      <c r="D1027">
        <v>6.1149999999999998E-3</v>
      </c>
      <c r="E1027">
        <v>6.6189999999999999E-3</v>
      </c>
      <c r="F1027">
        <v>502144584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-3.2629558541266951E-2</v>
      </c>
      <c r="Q1027">
        <f t="shared" si="1025"/>
        <v>-16384756.09980814</v>
      </c>
      <c r="R1027">
        <f t="shared" si="1026"/>
        <v>1751767924.7082436</v>
      </c>
      <c r="S1027">
        <f t="shared" si="1027"/>
        <v>17517.679247082437</v>
      </c>
      <c r="T1027">
        <f t="shared" si="1028"/>
        <v>17.517679247082437</v>
      </c>
    </row>
    <row r="1028" spans="1:20" x14ac:dyDescent="0.25">
      <c r="A1028" s="5">
        <v>43565</v>
      </c>
      <c r="B1028">
        <v>7.0980000000000001E-3</v>
      </c>
      <c r="C1028">
        <v>7.3489999999999996E-3</v>
      </c>
      <c r="D1028">
        <v>7.025E-3</v>
      </c>
      <c r="E1028">
        <v>7.1250000000000003E-3</v>
      </c>
      <c r="F1028">
        <v>295569433</v>
      </c>
      <c r="G1028">
        <v>0</v>
      </c>
      <c r="L1028" t="s">
        <v>8</v>
      </c>
      <c r="M1028" t="s">
        <v>8</v>
      </c>
      <c r="N1028" t="s">
        <v>8</v>
      </c>
      <c r="P1028">
        <f t="shared" si="1024"/>
        <v>-0.38271604938271375</v>
      </c>
      <c r="Q1028">
        <f t="shared" si="1025"/>
        <v>-113119165.7160487</v>
      </c>
      <c r="R1028">
        <f t="shared" si="1026"/>
        <v>1768152680.8080518</v>
      </c>
      <c r="S1028">
        <f t="shared" si="1027"/>
        <v>17681.526808080518</v>
      </c>
      <c r="T1028">
        <f t="shared" si="1028"/>
        <v>17.68152680808052</v>
      </c>
    </row>
    <row r="1029" spans="1:20" x14ac:dyDescent="0.25">
      <c r="A1029" s="5">
        <v>43564</v>
      </c>
      <c r="B1029">
        <v>7.3940000000000004E-3</v>
      </c>
      <c r="C1029">
        <v>7.4149999999999997E-3</v>
      </c>
      <c r="D1029">
        <v>6.9150000000000001E-3</v>
      </c>
      <c r="E1029">
        <v>7.0980000000000001E-3</v>
      </c>
      <c r="F1029">
        <v>258556298</v>
      </c>
      <c r="G1029">
        <v>0</v>
      </c>
      <c r="L1029" t="s">
        <v>8</v>
      </c>
      <c r="M1029" t="s">
        <v>8</v>
      </c>
      <c r="N1029" t="s">
        <v>8</v>
      </c>
      <c r="P1029">
        <f t="shared" si="1024"/>
        <v>-0.26799999999999935</v>
      </c>
      <c r="Q1029">
        <f t="shared" si="1025"/>
        <v>-69293087.863999829</v>
      </c>
      <c r="R1029">
        <f t="shared" si="1026"/>
        <v>1881271846.5241005</v>
      </c>
      <c r="S1029">
        <f t="shared" si="1027"/>
        <v>18812.718465241007</v>
      </c>
      <c r="T1029">
        <f t="shared" si="1028"/>
        <v>18.812718465241009</v>
      </c>
    </row>
    <row r="1030" spans="1:20" x14ac:dyDescent="0.25">
      <c r="A1030" s="5">
        <v>43563</v>
      </c>
      <c r="B1030">
        <v>7.6039999999999996E-3</v>
      </c>
      <c r="C1030">
        <v>7.7140000000000004E-3</v>
      </c>
      <c r="D1030">
        <v>6.8710000000000004E-3</v>
      </c>
      <c r="E1030">
        <v>7.4070000000000004E-3</v>
      </c>
      <c r="F1030">
        <v>419491568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0.27164887307236069</v>
      </c>
      <c r="Q1030">
        <f t="shared" si="1025"/>
        <v>113954411.71055757</v>
      </c>
      <c r="R1030">
        <f t="shared" si="1026"/>
        <v>1950564934.3881004</v>
      </c>
      <c r="S1030">
        <f t="shared" si="1027"/>
        <v>19505.649343881003</v>
      </c>
      <c r="T1030">
        <f t="shared" si="1028"/>
        <v>19.505649343881004</v>
      </c>
    </row>
    <row r="1031" spans="1:20" x14ac:dyDescent="0.25">
      <c r="A1031" s="5">
        <v>43562</v>
      </c>
      <c r="B1031">
        <v>7.5420000000000001E-3</v>
      </c>
      <c r="C1031">
        <v>7.8499999999999993E-3</v>
      </c>
      <c r="D1031">
        <v>7.4000000000000003E-3</v>
      </c>
      <c r="E1031">
        <v>7.6090000000000003E-3</v>
      </c>
      <c r="F1031">
        <v>308937264</v>
      </c>
      <c r="G1031">
        <v>0</v>
      </c>
      <c r="L1031" t="s">
        <v>8</v>
      </c>
      <c r="M1031" t="s">
        <v>8</v>
      </c>
      <c r="N1031" t="s">
        <v>8</v>
      </c>
      <c r="P1031">
        <f t="shared" si="1024"/>
        <v>-7.111111111110914E-2</v>
      </c>
      <c r="Q1031">
        <f t="shared" si="1025"/>
        <v>-21968872.106666058</v>
      </c>
      <c r="R1031">
        <f t="shared" si="1026"/>
        <v>1836610522.6775429</v>
      </c>
      <c r="S1031">
        <f t="shared" si="1027"/>
        <v>18366.105226775428</v>
      </c>
      <c r="T1031">
        <f t="shared" si="1028"/>
        <v>18.366105226775428</v>
      </c>
    </row>
    <row r="1032" spans="1:20" x14ac:dyDescent="0.25">
      <c r="A1032" s="5">
        <v>43561</v>
      </c>
      <c r="B1032">
        <v>7.4710000000000002E-3</v>
      </c>
      <c r="C1032">
        <v>7.6990000000000001E-3</v>
      </c>
      <c r="D1032">
        <v>7.3220000000000004E-3</v>
      </c>
      <c r="E1032">
        <v>7.5519999999999997E-3</v>
      </c>
      <c r="F1032">
        <v>375970649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0.22015915119363111</v>
      </c>
      <c r="Q1032">
        <f t="shared" si="1025"/>
        <v>82773378.957558617</v>
      </c>
      <c r="R1032">
        <f t="shared" si="1026"/>
        <v>1858579394.784209</v>
      </c>
      <c r="S1032">
        <f t="shared" si="1027"/>
        <v>18585.793947842089</v>
      </c>
      <c r="T1032">
        <f t="shared" si="1028"/>
        <v>18.585793947842088</v>
      </c>
    </row>
    <row r="1033" spans="1:20" x14ac:dyDescent="0.25">
      <c r="A1033" s="5">
        <v>43560</v>
      </c>
      <c r="B1033">
        <v>7.2059999999999997E-3</v>
      </c>
      <c r="C1033">
        <v>7.5519999999999997E-3</v>
      </c>
      <c r="D1033">
        <v>7.1960000000000001E-3</v>
      </c>
      <c r="E1033">
        <v>7.4739999999999997E-3</v>
      </c>
      <c r="F1033">
        <v>324875249</v>
      </c>
      <c r="G1033">
        <v>0</v>
      </c>
      <c r="L1033" t="s">
        <v>8</v>
      </c>
      <c r="M1033" t="s">
        <v>8</v>
      </c>
      <c r="N1033" t="s">
        <v>8</v>
      </c>
      <c r="P1033">
        <f t="shared" si="1024"/>
        <v>0.56179775280898847</v>
      </c>
      <c r="Q1033">
        <f t="shared" si="1025"/>
        <v>182514184.83146057</v>
      </c>
      <c r="R1033">
        <f t="shared" si="1026"/>
        <v>1775806015.8266504</v>
      </c>
      <c r="S1033">
        <f t="shared" si="1027"/>
        <v>17758.060158266504</v>
      </c>
      <c r="T1033">
        <f t="shared" si="1028"/>
        <v>17.758060158266503</v>
      </c>
    </row>
    <row r="1034" spans="1:20" x14ac:dyDescent="0.25">
      <c r="A1034" s="5">
        <v>43559</v>
      </c>
      <c r="B1034">
        <v>7.267E-3</v>
      </c>
      <c r="C1034">
        <v>7.6889999999999997E-3</v>
      </c>
      <c r="D1034">
        <v>6.7749999999999998E-3</v>
      </c>
      <c r="E1034">
        <v>7.1910000000000003E-3</v>
      </c>
      <c r="F1034">
        <v>756064772</v>
      </c>
      <c r="G1034">
        <v>0</v>
      </c>
      <c r="L1034" t="s">
        <v>7</v>
      </c>
      <c r="M1034" t="s">
        <v>8</v>
      </c>
      <c r="N1034" t="s">
        <v>8</v>
      </c>
      <c r="P1034">
        <f t="shared" si="1024"/>
        <v>-8.9715536105031454E-2</v>
      </c>
      <c r="Q1034">
        <f t="shared" si="1025"/>
        <v>-67830756.35010837</v>
      </c>
      <c r="R1034">
        <f t="shared" si="1026"/>
        <v>1593291830.9951899</v>
      </c>
      <c r="S1034">
        <f t="shared" si="1027"/>
        <v>15932.9183099519</v>
      </c>
      <c r="T1034">
        <f t="shared" si="1028"/>
        <v>15.9329183099519</v>
      </c>
    </row>
    <row r="1035" spans="1:20" x14ac:dyDescent="0.25">
      <c r="A1035" s="5">
        <v>43558</v>
      </c>
      <c r="B1035">
        <v>7.2199999999999999E-3</v>
      </c>
      <c r="C1035">
        <v>7.9450000000000007E-3</v>
      </c>
      <c r="D1035">
        <v>6.7499999999999999E-3</v>
      </c>
      <c r="E1035">
        <v>7.2690000000000003E-3</v>
      </c>
      <c r="F1035">
        <v>1265857808.8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-0.13138075313807526</v>
      </c>
      <c r="Q1035">
        <f t="shared" si="1025"/>
        <v>-166309352.28585768</v>
      </c>
      <c r="R1035">
        <f t="shared" si="1026"/>
        <v>1661122587.3452983</v>
      </c>
      <c r="S1035">
        <f t="shared" si="1027"/>
        <v>16611.225873452982</v>
      </c>
      <c r="T1035">
        <f t="shared" si="1028"/>
        <v>16.611225873452984</v>
      </c>
    </row>
    <row r="1036" spans="1:20" x14ac:dyDescent="0.25">
      <c r="A1036" s="5">
        <v>43557</v>
      </c>
      <c r="B1036">
        <v>6.2789999999999999E-3</v>
      </c>
      <c r="C1036">
        <v>7.3379999999999999E-3</v>
      </c>
      <c r="D1036">
        <v>6.2750000000000002E-3</v>
      </c>
      <c r="E1036">
        <v>7.2049999999999996E-3</v>
      </c>
      <c r="F1036">
        <v>1118343790.4000001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0.74976481655691374</v>
      </c>
      <c r="Q1036">
        <f t="shared" si="1025"/>
        <v>838494826.85681963</v>
      </c>
      <c r="R1036">
        <f t="shared" si="1026"/>
        <v>1827431939.631156</v>
      </c>
      <c r="S1036">
        <f t="shared" si="1027"/>
        <v>18274.319396311559</v>
      </c>
      <c r="T1036">
        <f t="shared" si="1028"/>
        <v>18.274319396311558</v>
      </c>
    </row>
    <row r="1037" spans="1:20" x14ac:dyDescent="0.25">
      <c r="A1037" s="5">
        <v>43556</v>
      </c>
      <c r="B1037">
        <v>6.0910000000000001E-3</v>
      </c>
      <c r="C1037">
        <v>6.3800000000000003E-3</v>
      </c>
      <c r="D1037">
        <v>6.0020000000000004E-3</v>
      </c>
      <c r="E1037">
        <v>6.2729999999999999E-3</v>
      </c>
      <c r="F1037">
        <v>364425326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0.43386243386243195</v>
      </c>
      <c r="Q1037">
        <f t="shared" si="1025"/>
        <v>158110458.89947021</v>
      </c>
      <c r="R1037">
        <f t="shared" si="1026"/>
        <v>988937112.77433622</v>
      </c>
      <c r="S1037">
        <f t="shared" si="1027"/>
        <v>9889.3711277433613</v>
      </c>
      <c r="T1037">
        <f t="shared" si="1028"/>
        <v>9.8893711277433614</v>
      </c>
    </row>
    <row r="1038" spans="1:20" x14ac:dyDescent="0.25">
      <c r="A1038" s="5">
        <v>43555</v>
      </c>
      <c r="B1038">
        <v>5.9080000000000001E-3</v>
      </c>
      <c r="C1038">
        <v>6.2370000000000004E-3</v>
      </c>
      <c r="D1038">
        <v>5.875E-3</v>
      </c>
      <c r="E1038">
        <v>6.0920000000000002E-3</v>
      </c>
      <c r="F1038">
        <v>407893695.60000002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0.19889502762430925</v>
      </c>
      <c r="Q1038">
        <f t="shared" si="1025"/>
        <v>81128027.85414359</v>
      </c>
      <c r="R1038">
        <f t="shared" si="1026"/>
        <v>830826653.87486601</v>
      </c>
      <c r="S1038">
        <f t="shared" si="1027"/>
        <v>8308.2665387486595</v>
      </c>
      <c r="T1038">
        <f t="shared" si="1028"/>
        <v>8.3082665387486596</v>
      </c>
    </row>
    <row r="1039" spans="1:20" x14ac:dyDescent="0.25">
      <c r="A1039" s="5">
        <v>43554</v>
      </c>
      <c r="B1039">
        <v>5.9410000000000001E-3</v>
      </c>
      <c r="C1039">
        <v>5.9779999999999998E-3</v>
      </c>
      <c r="D1039">
        <v>5.7000000000000002E-3</v>
      </c>
      <c r="E1039">
        <v>5.9069999999999999E-3</v>
      </c>
      <c r="F1039">
        <v>280046248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0.4892086330935253</v>
      </c>
      <c r="Q1039">
        <f t="shared" si="1025"/>
        <v>137001042.1870504</v>
      </c>
      <c r="R1039">
        <f t="shared" si="1026"/>
        <v>749698626.02072239</v>
      </c>
      <c r="S1039">
        <f t="shared" si="1027"/>
        <v>7496.9862602072235</v>
      </c>
      <c r="T1039">
        <f t="shared" si="1028"/>
        <v>7.4969862602072235</v>
      </c>
    </row>
    <row r="1040" spans="1:20" x14ac:dyDescent="0.25">
      <c r="A1040" s="5">
        <v>43553</v>
      </c>
      <c r="B1040">
        <v>5.8300000000000001E-3</v>
      </c>
      <c r="C1040">
        <v>5.9439999999999996E-3</v>
      </c>
      <c r="D1040">
        <v>5.7800000000000004E-3</v>
      </c>
      <c r="E1040">
        <v>5.9430000000000004E-3</v>
      </c>
      <c r="F1040">
        <v>247139551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0.98780487804878936</v>
      </c>
      <c r="Q1040">
        <f t="shared" si="1025"/>
        <v>244125654.03658757</v>
      </c>
      <c r="R1040">
        <f t="shared" si="1026"/>
        <v>612697583.83367193</v>
      </c>
      <c r="S1040">
        <f t="shared" si="1027"/>
        <v>6126.9758383367189</v>
      </c>
      <c r="T1040">
        <f t="shared" si="1028"/>
        <v>6.126975838336719</v>
      </c>
    </row>
    <row r="1041" spans="1:20" x14ac:dyDescent="0.25">
      <c r="A1041" s="5">
        <v>43552</v>
      </c>
      <c r="B1041">
        <v>5.6540000000000002E-3</v>
      </c>
      <c r="C1041">
        <v>5.8599999999999998E-3</v>
      </c>
      <c r="D1041">
        <v>5.6030000000000003E-3</v>
      </c>
      <c r="E1041">
        <v>5.8339999999999998E-3</v>
      </c>
      <c r="F1041">
        <v>233202754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0.79766536964980517</v>
      </c>
      <c r="Q1041">
        <f t="shared" si="1025"/>
        <v>186017760.97276258</v>
      </c>
      <c r="R1041">
        <f t="shared" si="1026"/>
        <v>368571929.79708433</v>
      </c>
      <c r="S1041">
        <f t="shared" si="1027"/>
        <v>3685.7192979708434</v>
      </c>
      <c r="T1041">
        <f t="shared" si="1028"/>
        <v>3.6857192979708433</v>
      </c>
    </row>
    <row r="1042" spans="1:20" x14ac:dyDescent="0.25">
      <c r="A1042" s="5">
        <v>43551</v>
      </c>
      <c r="B1042">
        <v>5.5129999999999997E-3</v>
      </c>
      <c r="C1042">
        <v>5.7879999999999997E-3</v>
      </c>
      <c r="D1042">
        <v>5.4879999999999998E-3</v>
      </c>
      <c r="E1042">
        <v>5.6569999999999997E-3</v>
      </c>
      <c r="F1042">
        <v>496547116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0.12666666666666618</v>
      </c>
      <c r="Q1042">
        <f t="shared" si="1025"/>
        <v>62895968.026666425</v>
      </c>
      <c r="R1042">
        <f t="shared" si="1026"/>
        <v>182554168.82432175</v>
      </c>
      <c r="S1042">
        <f t="shared" si="1027"/>
        <v>1825.5416882432175</v>
      </c>
      <c r="T1042">
        <f t="shared" si="1028"/>
        <v>1.8255416882432176</v>
      </c>
    </row>
    <row r="1043" spans="1:20" x14ac:dyDescent="0.25">
      <c r="A1043" s="5">
        <v>43550</v>
      </c>
      <c r="B1043">
        <v>5.6160000000000003E-3</v>
      </c>
      <c r="C1043">
        <v>5.6759999999999996E-3</v>
      </c>
      <c r="D1043">
        <v>5.293E-3</v>
      </c>
      <c r="E1043">
        <v>5.5129999999999997E-3</v>
      </c>
      <c r="F1043">
        <v>294731104</v>
      </c>
      <c r="G1043">
        <v>0</v>
      </c>
      <c r="L1043" t="s">
        <v>7</v>
      </c>
      <c r="M1043" t="s">
        <v>8</v>
      </c>
      <c r="N1043" t="s">
        <v>8</v>
      </c>
      <c r="P1043">
        <f t="shared" si="1024"/>
        <v>0.14882506527415093</v>
      </c>
      <c r="Q1043">
        <f t="shared" si="1025"/>
        <v>43863375.791122563</v>
      </c>
      <c r="R1043">
        <f t="shared" si="1026"/>
        <v>119658200.79765531</v>
      </c>
      <c r="S1043">
        <f t="shared" si="1027"/>
        <v>1196.5820079765531</v>
      </c>
      <c r="T1043">
        <f t="shared" si="1028"/>
        <v>1.196582007976553</v>
      </c>
    </row>
    <row r="1044" spans="1:20" x14ac:dyDescent="0.25">
      <c r="A1044" s="5">
        <v>43549</v>
      </c>
      <c r="B1044">
        <v>5.7540000000000004E-3</v>
      </c>
      <c r="C1044">
        <v>5.7850000000000002E-3</v>
      </c>
      <c r="D1044">
        <v>5.3670000000000002E-3</v>
      </c>
      <c r="E1044">
        <v>5.6119999999999998E-3</v>
      </c>
      <c r="F1044">
        <v>454599558</v>
      </c>
      <c r="G1044">
        <v>0</v>
      </c>
      <c r="L1044" t="s">
        <v>7</v>
      </c>
      <c r="M1044" t="s">
        <v>8</v>
      </c>
      <c r="N1044" t="s">
        <v>8</v>
      </c>
      <c r="P1044">
        <f t="shared" si="1024"/>
        <v>0.17224880382774918</v>
      </c>
      <c r="Q1044">
        <f t="shared" si="1025"/>
        <v>78304230.086123481</v>
      </c>
      <c r="R1044">
        <f t="shared" si="1026"/>
        <v>75794825.006532758</v>
      </c>
      <c r="S1044">
        <f t="shared" si="1027"/>
        <v>757.94825006532756</v>
      </c>
      <c r="T1044">
        <f t="shared" si="1028"/>
        <v>0.75794825006532751</v>
      </c>
    </row>
    <row r="1045" spans="1:20" x14ac:dyDescent="0.25">
      <c r="A1045" s="5">
        <v>43548</v>
      </c>
      <c r="B1045">
        <v>5.8760000000000001E-3</v>
      </c>
      <c r="C1045">
        <v>5.8840000000000003E-3</v>
      </c>
      <c r="D1045">
        <v>5.6629999999999996E-3</v>
      </c>
      <c r="E1045">
        <v>5.751E-3</v>
      </c>
      <c r="F1045">
        <v>368297637</v>
      </c>
      <c r="G1045">
        <v>0</v>
      </c>
      <c r="L1045" t="s">
        <v>7</v>
      </c>
      <c r="M1045" t="s">
        <v>8</v>
      </c>
      <c r="N1045" t="s">
        <v>8</v>
      </c>
      <c r="P1045">
        <f t="shared" si="1024"/>
        <v>-0.20361990950226133</v>
      </c>
      <c r="Q1045">
        <f t="shared" si="1025"/>
        <v>-74992731.515836701</v>
      </c>
      <c r="R1045">
        <f t="shared" si="1026"/>
        <v>-2509405.0795907229</v>
      </c>
      <c r="S1045">
        <f t="shared" si="1027"/>
        <v>-25.094050795907229</v>
      </c>
      <c r="T1045">
        <f t="shared" si="1028"/>
        <v>-2.5094050795907229E-2</v>
      </c>
    </row>
    <row r="1046" spans="1:20" x14ac:dyDescent="0.25">
      <c r="A1046" s="5">
        <v>43547</v>
      </c>
      <c r="B1046">
        <v>5.7650000000000002E-3</v>
      </c>
      <c r="C1046">
        <v>6.0549999999999996E-3</v>
      </c>
      <c r="D1046">
        <v>5.7549999999999997E-3</v>
      </c>
      <c r="E1046">
        <v>5.8799999999999998E-3</v>
      </c>
      <c r="F1046">
        <v>566134248</v>
      </c>
      <c r="G1046">
        <v>0</v>
      </c>
      <c r="L1046" t="s">
        <v>8</v>
      </c>
      <c r="M1046" t="s">
        <v>8</v>
      </c>
      <c r="N1046" t="s">
        <v>8</v>
      </c>
      <c r="P1046">
        <f t="shared" si="1024"/>
        <v>-0.16666666666666571</v>
      </c>
      <c r="Q1046">
        <f t="shared" si="1025"/>
        <v>-94355707.999999464</v>
      </c>
      <c r="R1046">
        <f t="shared" si="1026"/>
        <v>72483326.436245978</v>
      </c>
      <c r="S1046">
        <f t="shared" si="1027"/>
        <v>724.83326436245977</v>
      </c>
      <c r="T1046">
        <f t="shared" si="1028"/>
        <v>0.72483326436245976</v>
      </c>
    </row>
    <row r="1047" spans="1:20" x14ac:dyDescent="0.25">
      <c r="A1047" s="5">
        <v>43546</v>
      </c>
      <c r="B1047">
        <v>5.6030000000000003E-3</v>
      </c>
      <c r="C1047">
        <v>5.8950000000000001E-3</v>
      </c>
      <c r="D1047">
        <v>5.4999999999999997E-3</v>
      </c>
      <c r="E1047">
        <v>5.764E-3</v>
      </c>
      <c r="F1047">
        <v>745100370</v>
      </c>
      <c r="G1047">
        <v>0</v>
      </c>
      <c r="L1047" t="s">
        <v>7</v>
      </c>
      <c r="M1047" t="s">
        <v>8</v>
      </c>
      <c r="N1047" t="s">
        <v>8</v>
      </c>
      <c r="P1047">
        <f t="shared" si="1024"/>
        <v>0.33670886075949413</v>
      </c>
      <c r="Q1047">
        <f t="shared" si="1025"/>
        <v>250881896.73417756</v>
      </c>
      <c r="R1047">
        <f t="shared" si="1026"/>
        <v>166839034.43624544</v>
      </c>
      <c r="S1047">
        <f t="shared" si="1027"/>
        <v>1668.3903443624545</v>
      </c>
      <c r="T1047">
        <f t="shared" si="1028"/>
        <v>1.6683903443624544</v>
      </c>
    </row>
    <row r="1048" spans="1:20" x14ac:dyDescent="0.25">
      <c r="A1048" s="5">
        <v>43545</v>
      </c>
      <c r="B1048">
        <v>5.659E-3</v>
      </c>
      <c r="C1048">
        <v>6.0600000000000003E-3</v>
      </c>
      <c r="D1048">
        <v>5.1799999999999997E-3</v>
      </c>
      <c r="E1048">
        <v>5.6030000000000003E-3</v>
      </c>
      <c r="F1048">
        <v>1192517892.0999999</v>
      </c>
      <c r="G1048">
        <v>0</v>
      </c>
      <c r="L1048" t="s">
        <v>8</v>
      </c>
      <c r="M1048" t="s">
        <v>8</v>
      </c>
      <c r="N1048" t="s">
        <v>8</v>
      </c>
      <c r="P1048">
        <f t="shared" si="1024"/>
        <v>-3.8636363636362824E-2</v>
      </c>
      <c r="Q1048">
        <f t="shared" si="1025"/>
        <v>-46074554.922044478</v>
      </c>
      <c r="R1048">
        <f t="shared" si="1026"/>
        <v>-84042862.297932118</v>
      </c>
      <c r="S1048">
        <f t="shared" si="1027"/>
        <v>-840.42862297932118</v>
      </c>
      <c r="T1048">
        <f t="shared" si="1028"/>
        <v>-0.84042862297932119</v>
      </c>
    </row>
    <row r="1049" spans="1:20" x14ac:dyDescent="0.25">
      <c r="A1049" s="5">
        <v>43544</v>
      </c>
      <c r="B1049">
        <v>5.3829999999999998E-3</v>
      </c>
      <c r="C1049">
        <v>5.7990000000000003E-3</v>
      </c>
      <c r="D1049">
        <v>5.274E-3</v>
      </c>
      <c r="E1049">
        <v>5.653E-3</v>
      </c>
      <c r="F1049">
        <v>632294151</v>
      </c>
      <c r="G1049">
        <v>0</v>
      </c>
      <c r="L1049" t="s">
        <v>8</v>
      </c>
      <c r="M1049" t="s">
        <v>8</v>
      </c>
      <c r="N1049" t="s">
        <v>8</v>
      </c>
      <c r="P1049">
        <f t="shared" si="1024"/>
        <v>0.44380952380952299</v>
      </c>
      <c r="Q1049">
        <f t="shared" si="1025"/>
        <v>280618166.06285661</v>
      </c>
      <c r="R1049">
        <f t="shared" si="1026"/>
        <v>-37968307.375887632</v>
      </c>
      <c r="S1049">
        <f t="shared" si="1027"/>
        <v>-379.68307375887633</v>
      </c>
      <c r="T1049">
        <f t="shared" si="1028"/>
        <v>-0.37968307375887633</v>
      </c>
    </row>
    <row r="1050" spans="1:20" x14ac:dyDescent="0.25">
      <c r="A1050" s="5">
        <v>43543</v>
      </c>
      <c r="B1050">
        <v>5.2750000000000002E-3</v>
      </c>
      <c r="C1050">
        <v>5.4029999999999998E-3</v>
      </c>
      <c r="D1050">
        <v>5.1640000000000002E-3</v>
      </c>
      <c r="E1050">
        <v>5.3810000000000004E-3</v>
      </c>
      <c r="F1050">
        <v>278439341</v>
      </c>
      <c r="G1050">
        <v>0</v>
      </c>
      <c r="L1050" t="s">
        <v>8</v>
      </c>
      <c r="M1050" t="s">
        <v>8</v>
      </c>
      <c r="N1050" t="s">
        <v>8</v>
      </c>
      <c r="P1050">
        <f t="shared" si="1024"/>
        <v>0.81589958158996245</v>
      </c>
      <c r="Q1050">
        <f t="shared" si="1025"/>
        <v>227178541.82008487</v>
      </c>
      <c r="R1050">
        <f t="shared" si="1026"/>
        <v>-318586473.43874425</v>
      </c>
      <c r="S1050">
        <f t="shared" si="1027"/>
        <v>-3185.8647343874427</v>
      </c>
      <c r="T1050">
        <f t="shared" si="1028"/>
        <v>-3.1858647343874429</v>
      </c>
    </row>
    <row r="1051" spans="1:20" x14ac:dyDescent="0.25">
      <c r="A1051" s="5">
        <v>43542</v>
      </c>
      <c r="B1051">
        <v>5.1960000000000001E-3</v>
      </c>
      <c r="C1051">
        <v>5.3200000000000001E-3</v>
      </c>
      <c r="D1051">
        <v>5.1120000000000002E-3</v>
      </c>
      <c r="E1051">
        <v>5.2719999999999998E-3</v>
      </c>
      <c r="F1051">
        <v>255826222</v>
      </c>
      <c r="G1051">
        <v>0</v>
      </c>
      <c r="L1051" t="s">
        <v>8</v>
      </c>
      <c r="M1051" t="s">
        <v>8</v>
      </c>
      <c r="N1051" t="s">
        <v>8</v>
      </c>
      <c r="P1051">
        <f t="shared" si="1024"/>
        <v>0.53846153846153522</v>
      </c>
      <c r="Q1051">
        <f t="shared" si="1025"/>
        <v>137752581.07692224</v>
      </c>
      <c r="R1051">
        <f t="shared" si="1026"/>
        <v>-545765015.25882912</v>
      </c>
      <c r="S1051">
        <f t="shared" si="1027"/>
        <v>-5457.6501525882913</v>
      </c>
      <c r="T1051">
        <f t="shared" si="1028"/>
        <v>-5.4576501525882914</v>
      </c>
    </row>
    <row r="1052" spans="1:20" x14ac:dyDescent="0.25">
      <c r="A1052" s="5">
        <v>43541</v>
      </c>
      <c r="B1052">
        <v>5.313E-3</v>
      </c>
      <c r="C1052">
        <v>5.3400000000000001E-3</v>
      </c>
      <c r="D1052">
        <v>5.1070000000000004E-3</v>
      </c>
      <c r="E1052">
        <v>5.1960000000000001E-3</v>
      </c>
      <c r="F1052">
        <v>313383604</v>
      </c>
      <c r="G1052">
        <v>0</v>
      </c>
      <c r="L1052" t="s">
        <v>8</v>
      </c>
      <c r="M1052" t="s">
        <v>8</v>
      </c>
      <c r="N1052" t="s">
        <v>8</v>
      </c>
      <c r="P1052">
        <f t="shared" si="1024"/>
        <v>-0.2360515021459246</v>
      </c>
      <c r="Q1052">
        <f t="shared" si="1025"/>
        <v>-73974670.472103581</v>
      </c>
      <c r="R1052">
        <f t="shared" si="1026"/>
        <v>-683517596.3357513</v>
      </c>
      <c r="S1052">
        <f t="shared" si="1027"/>
        <v>-6835.175963357513</v>
      </c>
      <c r="T1052">
        <f t="shared" si="1028"/>
        <v>-6.8351759633575133</v>
      </c>
    </row>
    <row r="1053" spans="1:20" x14ac:dyDescent="0.25">
      <c r="A1053" s="5">
        <v>43540</v>
      </c>
      <c r="B1053">
        <v>5.2950000000000002E-3</v>
      </c>
      <c r="C1053">
        <v>5.4599999999999996E-3</v>
      </c>
      <c r="D1053">
        <v>5.1919999999999996E-3</v>
      </c>
      <c r="E1053">
        <v>5.313E-3</v>
      </c>
      <c r="F1053">
        <v>494298136</v>
      </c>
      <c r="G1053">
        <v>0</v>
      </c>
      <c r="L1053" t="s">
        <v>8</v>
      </c>
      <c r="M1053" t="s">
        <v>8</v>
      </c>
      <c r="N1053" t="s">
        <v>8</v>
      </c>
      <c r="P1053">
        <f t="shared" si="1024"/>
        <v>-9.7014925373131014E-2</v>
      </c>
      <c r="Q1053">
        <f t="shared" si="1025"/>
        <v>-47954296.776117764</v>
      </c>
      <c r="R1053">
        <f t="shared" si="1026"/>
        <v>-609542925.8636477</v>
      </c>
      <c r="S1053">
        <f t="shared" si="1027"/>
        <v>-6095.4292586364772</v>
      </c>
      <c r="T1053">
        <f t="shared" si="1028"/>
        <v>-6.0954292586364769</v>
      </c>
    </row>
    <row r="1054" spans="1:20" x14ac:dyDescent="0.25">
      <c r="A1054" s="5">
        <v>43539</v>
      </c>
      <c r="B1054">
        <v>5.1809999999999998E-3</v>
      </c>
      <c r="C1054">
        <v>5.4590000000000003E-3</v>
      </c>
      <c r="D1054">
        <v>5.1050000000000002E-3</v>
      </c>
      <c r="E1054">
        <v>5.2989999999999999E-3</v>
      </c>
      <c r="F1054">
        <v>519597472</v>
      </c>
      <c r="G1054">
        <v>0</v>
      </c>
      <c r="L1054" t="s">
        <v>8</v>
      </c>
      <c r="M1054" t="s">
        <v>8</v>
      </c>
      <c r="N1054" t="s">
        <v>8</v>
      </c>
      <c r="P1054">
        <f t="shared" si="1024"/>
        <v>9.6045197740110999E-2</v>
      </c>
      <c r="Q1054">
        <f t="shared" si="1025"/>
        <v>49904841.943501785</v>
      </c>
      <c r="R1054">
        <f t="shared" si="1026"/>
        <v>-561588629.0875299</v>
      </c>
      <c r="S1054">
        <f t="shared" si="1027"/>
        <v>-5615.886290875299</v>
      </c>
      <c r="T1054">
        <f t="shared" si="1028"/>
        <v>-5.6158862908752987</v>
      </c>
    </row>
    <row r="1055" spans="1:20" x14ac:dyDescent="0.25">
      <c r="A1055" s="5">
        <v>43538</v>
      </c>
      <c r="B1055">
        <v>5.0889999999999998E-3</v>
      </c>
      <c r="C1055">
        <v>5.215E-3</v>
      </c>
      <c r="D1055">
        <v>4.9649999999999998E-3</v>
      </c>
      <c r="E1055">
        <v>5.1799999999999997E-3</v>
      </c>
      <c r="F1055">
        <v>696108991</v>
      </c>
      <c r="G1055">
        <v>0</v>
      </c>
      <c r="L1055" t="s">
        <v>7</v>
      </c>
      <c r="M1055" t="s">
        <v>8</v>
      </c>
      <c r="N1055" t="s">
        <v>8</v>
      </c>
      <c r="P1055">
        <f t="shared" si="1024"/>
        <v>0.71999999999999775</v>
      </c>
      <c r="Q1055">
        <f t="shared" si="1025"/>
        <v>501198473.51999843</v>
      </c>
      <c r="R1055">
        <f t="shared" si="1026"/>
        <v>-611493471.03103173</v>
      </c>
      <c r="S1055">
        <f t="shared" si="1027"/>
        <v>-6114.9347103103173</v>
      </c>
      <c r="T1055">
        <f t="shared" si="1028"/>
        <v>-6.1149347103103171</v>
      </c>
    </row>
    <row r="1056" spans="1:20" x14ac:dyDescent="0.25">
      <c r="A1056" s="5">
        <v>43537</v>
      </c>
      <c r="B1056">
        <v>5.2880000000000002E-3</v>
      </c>
      <c r="C1056">
        <v>5.3920000000000001E-3</v>
      </c>
      <c r="D1056">
        <v>5.0179999999999999E-3</v>
      </c>
      <c r="E1056">
        <v>5.0860000000000002E-3</v>
      </c>
      <c r="F1056">
        <v>892914629</v>
      </c>
      <c r="G1056">
        <v>0</v>
      </c>
      <c r="L1056" t="s">
        <v>7</v>
      </c>
      <c r="M1056" t="s">
        <v>8</v>
      </c>
      <c r="N1056" t="s">
        <v>8</v>
      </c>
      <c r="P1056">
        <f t="shared" si="1024"/>
        <v>-0.63636363636363469</v>
      </c>
      <c r="Q1056">
        <f t="shared" si="1025"/>
        <v>-568218400.27272582</v>
      </c>
      <c r="R1056">
        <f t="shared" si="1026"/>
        <v>-1112691944.5510302</v>
      </c>
      <c r="S1056">
        <f t="shared" si="1027"/>
        <v>-11126.919445510302</v>
      </c>
      <c r="T1056">
        <f t="shared" si="1028"/>
        <v>-11.126919445510303</v>
      </c>
    </row>
    <row r="1057" spans="1:20" x14ac:dyDescent="0.25">
      <c r="A1057" s="5">
        <v>43536</v>
      </c>
      <c r="B1057">
        <v>4.6410000000000002E-3</v>
      </c>
      <c r="C1057">
        <v>5.5199999999999997E-3</v>
      </c>
      <c r="D1057">
        <v>4.5300000000000002E-3</v>
      </c>
      <c r="E1057">
        <v>5.287E-3</v>
      </c>
      <c r="F1057">
        <v>1270300373.9000001</v>
      </c>
      <c r="G1057">
        <v>0</v>
      </c>
      <c r="L1057" t="s">
        <v>8</v>
      </c>
      <c r="M1057" t="s">
        <v>8</v>
      </c>
      <c r="N1057" t="s">
        <v>8</v>
      </c>
      <c r="P1057">
        <f t="shared" si="1024"/>
        <v>0.5292929292929297</v>
      </c>
      <c r="Q1057">
        <f t="shared" si="1025"/>
        <v>672361005.98343492</v>
      </c>
      <c r="R1057">
        <f t="shared" si="1026"/>
        <v>-544473544.27830434</v>
      </c>
      <c r="S1057">
        <f t="shared" si="1027"/>
        <v>-5444.7354427830433</v>
      </c>
      <c r="T1057">
        <f t="shared" si="1028"/>
        <v>-5.4447354427830437</v>
      </c>
    </row>
    <row r="1058" spans="1:20" x14ac:dyDescent="0.25">
      <c r="A1058" s="5">
        <v>43535</v>
      </c>
      <c r="B1058">
        <v>4.6940000000000003E-3</v>
      </c>
      <c r="C1058">
        <v>4.7489999999999997E-3</v>
      </c>
      <c r="D1058">
        <v>4.47E-3</v>
      </c>
      <c r="E1058">
        <v>4.6439999999999997E-3</v>
      </c>
      <c r="F1058">
        <v>424950585</v>
      </c>
      <c r="G1058">
        <v>0</v>
      </c>
      <c r="L1058" t="s">
        <v>7</v>
      </c>
      <c r="M1058" t="s">
        <v>8</v>
      </c>
      <c r="N1058" t="s">
        <v>8</v>
      </c>
      <c r="P1058">
        <f t="shared" si="1024"/>
        <v>0.24731182795698811</v>
      </c>
      <c r="Q1058">
        <f t="shared" si="1025"/>
        <v>105095305.96774146</v>
      </c>
      <c r="R1058">
        <f t="shared" si="1026"/>
        <v>-1216834550.2617393</v>
      </c>
      <c r="S1058">
        <f t="shared" si="1027"/>
        <v>-12168.345502617392</v>
      </c>
      <c r="T1058">
        <f t="shared" si="1028"/>
        <v>-12.168345502617392</v>
      </c>
    </row>
    <row r="1059" spans="1:20" x14ac:dyDescent="0.25">
      <c r="A1059" s="5">
        <v>43534</v>
      </c>
      <c r="B1059">
        <v>4.8510000000000003E-3</v>
      </c>
      <c r="C1059">
        <v>4.9560000000000003E-3</v>
      </c>
      <c r="D1059">
        <v>4.5989999999999998E-3</v>
      </c>
      <c r="E1059">
        <v>4.692E-3</v>
      </c>
      <c r="F1059">
        <v>538378822</v>
      </c>
      <c r="G1059">
        <v>0</v>
      </c>
      <c r="L1059" t="s">
        <v>8</v>
      </c>
      <c r="M1059" t="s">
        <v>8</v>
      </c>
      <c r="N1059" t="s">
        <v>8</v>
      </c>
      <c r="P1059">
        <f t="shared" si="1024"/>
        <v>-0.47899159663865515</v>
      </c>
      <c r="Q1059">
        <f t="shared" si="1025"/>
        <v>-257878931.54621831</v>
      </c>
      <c r="R1059">
        <f t="shared" si="1026"/>
        <v>-1321929856.2294807</v>
      </c>
      <c r="S1059">
        <f t="shared" si="1027"/>
        <v>-13219.298562294807</v>
      </c>
      <c r="T1059">
        <f t="shared" si="1028"/>
        <v>-13.219298562294806</v>
      </c>
    </row>
    <row r="1060" spans="1:20" x14ac:dyDescent="0.25">
      <c r="A1060" s="5">
        <v>43533</v>
      </c>
      <c r="B1060">
        <v>4.3969999999999999E-3</v>
      </c>
      <c r="C1060">
        <v>4.875E-3</v>
      </c>
      <c r="D1060">
        <v>4.3639999999999998E-3</v>
      </c>
      <c r="E1060">
        <v>4.8269999999999997E-3</v>
      </c>
      <c r="F1060">
        <v>681328885</v>
      </c>
      <c r="G1060">
        <v>0</v>
      </c>
      <c r="L1060" t="s">
        <v>8</v>
      </c>
      <c r="M1060" t="s">
        <v>8</v>
      </c>
      <c r="N1060" t="s">
        <v>8</v>
      </c>
      <c r="P1060">
        <f t="shared" si="1024"/>
        <v>0.81213307240704391</v>
      </c>
      <c r="Q1060">
        <f t="shared" si="1025"/>
        <v>553329720.6947155</v>
      </c>
      <c r="R1060">
        <f t="shared" si="1026"/>
        <v>-1064050924.6832623</v>
      </c>
      <c r="S1060">
        <f t="shared" si="1027"/>
        <v>-10640.509246832624</v>
      </c>
      <c r="T1060">
        <f t="shared" si="1028"/>
        <v>-10.640509246832623</v>
      </c>
    </row>
    <row r="1061" spans="1:20" x14ac:dyDescent="0.25">
      <c r="A1061" s="5">
        <v>43532</v>
      </c>
      <c r="B1061">
        <v>4.47E-3</v>
      </c>
      <c r="C1061">
        <v>4.6379999999999998E-3</v>
      </c>
      <c r="D1061">
        <v>4.2659999999999998E-3</v>
      </c>
      <c r="E1061">
        <v>4.3969999999999999E-3</v>
      </c>
      <c r="F1061">
        <v>482078385</v>
      </c>
      <c r="G1061">
        <v>0</v>
      </c>
      <c r="L1061" t="s">
        <v>8</v>
      </c>
      <c r="M1061" t="s">
        <v>7</v>
      </c>
      <c r="N1061" t="s">
        <v>8</v>
      </c>
      <c r="P1061">
        <f t="shared" si="1024"/>
        <v>-0.29569892473118248</v>
      </c>
      <c r="Q1061">
        <f t="shared" si="1025"/>
        <v>-142550060.08064499</v>
      </c>
      <c r="R1061">
        <f t="shared" si="1026"/>
        <v>-1617380645.3779778</v>
      </c>
      <c r="S1061">
        <f t="shared" si="1027"/>
        <v>-16173.806453779778</v>
      </c>
      <c r="T1061">
        <f t="shared" si="1028"/>
        <v>-16.173806453779779</v>
      </c>
    </row>
    <row r="1062" spans="1:20" x14ac:dyDescent="0.25">
      <c r="A1062" s="5">
        <v>43531</v>
      </c>
      <c r="B1062">
        <v>4.3039999999999997E-3</v>
      </c>
      <c r="C1062">
        <v>4.5750000000000001E-3</v>
      </c>
      <c r="D1062">
        <v>4.2259999999999997E-3</v>
      </c>
      <c r="E1062">
        <v>4.47E-3</v>
      </c>
      <c r="F1062">
        <v>416680727</v>
      </c>
      <c r="G1062">
        <v>0</v>
      </c>
      <c r="L1062" t="s">
        <v>8</v>
      </c>
      <c r="M1062" t="s">
        <v>7</v>
      </c>
      <c r="N1062" t="s">
        <v>8</v>
      </c>
      <c r="P1062">
        <f t="shared" si="1024"/>
        <v>0.39828080229226387</v>
      </c>
      <c r="Q1062">
        <f t="shared" si="1025"/>
        <v>165955934.24928376</v>
      </c>
      <c r="R1062">
        <f t="shared" si="1026"/>
        <v>-1474830585.2973328</v>
      </c>
      <c r="S1062">
        <f t="shared" si="1027"/>
        <v>-14748.305852973328</v>
      </c>
      <c r="T1062">
        <f t="shared" si="1028"/>
        <v>-14.748305852973328</v>
      </c>
    </row>
    <row r="1063" spans="1:20" x14ac:dyDescent="0.25">
      <c r="A1063" s="5">
        <v>43530</v>
      </c>
      <c r="B1063">
        <v>4.3340000000000002E-3</v>
      </c>
      <c r="C1063">
        <v>4.4299999999999999E-3</v>
      </c>
      <c r="D1063">
        <v>4.2440000000000004E-3</v>
      </c>
      <c r="E1063">
        <v>4.3010000000000001E-3</v>
      </c>
      <c r="F1063">
        <v>271909252</v>
      </c>
      <c r="G1063">
        <v>0</v>
      </c>
      <c r="L1063" t="s">
        <v>8</v>
      </c>
      <c r="M1063" t="s">
        <v>7</v>
      </c>
      <c r="N1063" t="s">
        <v>8</v>
      </c>
      <c r="P1063">
        <f t="shared" si="1024"/>
        <v>-0.38709677419354943</v>
      </c>
      <c r="Q1063">
        <f t="shared" si="1025"/>
        <v>-105255194.32258093</v>
      </c>
      <c r="R1063">
        <f t="shared" si="1026"/>
        <v>-1640786519.5466166</v>
      </c>
      <c r="S1063">
        <f t="shared" si="1027"/>
        <v>-16407.865195466165</v>
      </c>
      <c r="T1063">
        <f t="shared" si="1028"/>
        <v>-16.407865195466165</v>
      </c>
    </row>
    <row r="1064" spans="1:20" x14ac:dyDescent="0.25">
      <c r="A1064" s="5">
        <v>43529</v>
      </c>
      <c r="B1064">
        <v>4.2059999999999997E-3</v>
      </c>
      <c r="C1064">
        <v>4.4000000000000003E-3</v>
      </c>
      <c r="D1064">
        <v>4.1580000000000002E-3</v>
      </c>
      <c r="E1064">
        <v>4.3319999999999999E-3</v>
      </c>
      <c r="F1064">
        <v>415559244</v>
      </c>
      <c r="G1064">
        <v>0</v>
      </c>
      <c r="L1064" t="s">
        <v>8</v>
      </c>
      <c r="M1064" t="s">
        <v>7</v>
      </c>
      <c r="N1064" t="s">
        <v>8</v>
      </c>
      <c r="P1064">
        <f t="shared" si="1024"/>
        <v>0.43801652892561699</v>
      </c>
      <c r="Q1064">
        <f t="shared" si="1025"/>
        <v>182021817.61983353</v>
      </c>
      <c r="R1064">
        <f t="shared" si="1026"/>
        <v>-1535531325.2240357</v>
      </c>
      <c r="S1064">
        <f t="shared" si="1027"/>
        <v>-15355.313252240358</v>
      </c>
      <c r="T1064">
        <f t="shared" si="1028"/>
        <v>-15.355313252240357</v>
      </c>
    </row>
    <row r="1065" spans="1:20" x14ac:dyDescent="0.25">
      <c r="A1065" s="5">
        <v>43528</v>
      </c>
      <c r="B1065">
        <v>4.3990000000000001E-3</v>
      </c>
      <c r="C1065">
        <v>4.437E-3</v>
      </c>
      <c r="D1065">
        <v>4.0220000000000004E-3</v>
      </c>
      <c r="E1065">
        <v>4.2059999999999997E-3</v>
      </c>
      <c r="F1065">
        <v>367078030</v>
      </c>
      <c r="G1065">
        <v>0</v>
      </c>
      <c r="L1065" t="s">
        <v>7</v>
      </c>
      <c r="M1065" t="s">
        <v>7</v>
      </c>
      <c r="N1065" t="s">
        <v>8</v>
      </c>
      <c r="P1065">
        <f t="shared" si="1024"/>
        <v>-0.11325301204819538</v>
      </c>
      <c r="Q1065">
        <f t="shared" si="1025"/>
        <v>-41572692.554217823</v>
      </c>
      <c r="R1065">
        <f t="shared" si="1026"/>
        <v>-1717553142.8438692</v>
      </c>
      <c r="S1065">
        <f t="shared" si="1027"/>
        <v>-17175.531428438691</v>
      </c>
      <c r="T1065">
        <f t="shared" si="1028"/>
        <v>-17.175531428438692</v>
      </c>
    </row>
    <row r="1066" spans="1:20" x14ac:dyDescent="0.25">
      <c r="A1066" s="5">
        <v>43527</v>
      </c>
      <c r="B1066">
        <v>4.47E-3</v>
      </c>
      <c r="C1066">
        <v>4.5040000000000002E-3</v>
      </c>
      <c r="D1066">
        <v>4.3579999999999999E-3</v>
      </c>
      <c r="E1066">
        <v>4.398E-3</v>
      </c>
      <c r="F1066">
        <v>150338475</v>
      </c>
      <c r="G1066">
        <v>0</v>
      </c>
      <c r="L1066" t="s">
        <v>7</v>
      </c>
      <c r="M1066" t="s">
        <v>7</v>
      </c>
      <c r="N1066" t="s">
        <v>8</v>
      </c>
      <c r="P1066">
        <f t="shared" si="1024"/>
        <v>-0.45205479452054764</v>
      </c>
      <c r="Q1066">
        <f t="shared" si="1025"/>
        <v>-67961228.424657494</v>
      </c>
      <c r="R1066">
        <f t="shared" si="1026"/>
        <v>-1675980450.2896514</v>
      </c>
      <c r="S1066">
        <f t="shared" si="1027"/>
        <v>-16759.804502896513</v>
      </c>
      <c r="T1066">
        <f t="shared" si="1028"/>
        <v>-16.759804502896515</v>
      </c>
    </row>
    <row r="1067" spans="1:20" x14ac:dyDescent="0.25">
      <c r="A1067" s="5">
        <v>43526</v>
      </c>
      <c r="B1067">
        <v>4.5599999999999998E-3</v>
      </c>
      <c r="C1067">
        <v>4.561E-3</v>
      </c>
      <c r="D1067">
        <v>4.4209999999999996E-3</v>
      </c>
      <c r="E1067">
        <v>4.4669999999999996E-3</v>
      </c>
      <c r="F1067">
        <v>184821771</v>
      </c>
      <c r="G1067">
        <v>0</v>
      </c>
      <c r="L1067" t="s">
        <v>7</v>
      </c>
      <c r="M1067" t="s">
        <v>7</v>
      </c>
      <c r="N1067" t="s">
        <v>8</v>
      </c>
      <c r="P1067">
        <f t="shared" si="1024"/>
        <v>-0.34285714285714408</v>
      </c>
      <c r="Q1067">
        <f t="shared" si="1025"/>
        <v>-63367464.342857368</v>
      </c>
      <c r="R1067">
        <f t="shared" si="1026"/>
        <v>-1608019221.8649938</v>
      </c>
      <c r="S1067">
        <f t="shared" si="1027"/>
        <v>-16080.192218649938</v>
      </c>
      <c r="T1067">
        <f t="shared" si="1028"/>
        <v>-16.080192218649938</v>
      </c>
    </row>
    <row r="1068" spans="1:20" x14ac:dyDescent="0.25">
      <c r="A1068" s="5">
        <v>43525</v>
      </c>
      <c r="B1068">
        <v>4.5510000000000004E-3</v>
      </c>
      <c r="C1068">
        <v>4.6350000000000002E-3</v>
      </c>
      <c r="D1068">
        <v>4.509E-3</v>
      </c>
      <c r="E1068">
        <v>4.555E-3</v>
      </c>
      <c r="F1068">
        <v>178533691</v>
      </c>
      <c r="G1068">
        <v>0</v>
      </c>
      <c r="L1068" t="s">
        <v>7</v>
      </c>
      <c r="M1068" t="s">
        <v>7</v>
      </c>
      <c r="N1068" t="s">
        <v>8</v>
      </c>
      <c r="P1068">
        <f t="shared" si="1024"/>
        <v>-0.26984126984127071</v>
      </c>
      <c r="Q1068">
        <f t="shared" si="1025"/>
        <v>-48175757.888889045</v>
      </c>
      <c r="R1068">
        <f t="shared" si="1026"/>
        <v>-1544651757.5221364</v>
      </c>
      <c r="S1068">
        <f t="shared" si="1027"/>
        <v>-15446.517575221365</v>
      </c>
      <c r="T1068">
        <f t="shared" si="1028"/>
        <v>-15.446517575221366</v>
      </c>
    </row>
    <row r="1069" spans="1:20" x14ac:dyDescent="0.25">
      <c r="A1069" s="5">
        <v>43524</v>
      </c>
      <c r="B1069">
        <v>4.542E-3</v>
      </c>
      <c r="C1069">
        <v>4.5849999999999997E-3</v>
      </c>
      <c r="D1069">
        <v>4.411E-3</v>
      </c>
      <c r="E1069">
        <v>4.5519999999999996E-3</v>
      </c>
      <c r="F1069">
        <v>317517540</v>
      </c>
      <c r="G1069">
        <v>0</v>
      </c>
      <c r="L1069" t="s">
        <v>7</v>
      </c>
      <c r="M1069" t="s">
        <v>7</v>
      </c>
      <c r="N1069" t="s">
        <v>8</v>
      </c>
      <c r="P1069">
        <f t="shared" si="1024"/>
        <v>0.62068965517241259</v>
      </c>
      <c r="Q1069">
        <f t="shared" si="1025"/>
        <v>197079852.41379273</v>
      </c>
      <c r="R1069">
        <f t="shared" si="1026"/>
        <v>-1496475999.6332474</v>
      </c>
      <c r="S1069">
        <f t="shared" si="1027"/>
        <v>-14964.759996332474</v>
      </c>
      <c r="T1069">
        <f t="shared" si="1028"/>
        <v>-14.964759996332473</v>
      </c>
    </row>
    <row r="1070" spans="1:20" x14ac:dyDescent="0.25">
      <c r="A1070" s="5">
        <v>43523</v>
      </c>
      <c r="B1070">
        <v>4.5599999999999998E-3</v>
      </c>
      <c r="C1070">
        <v>4.7190000000000001E-3</v>
      </c>
      <c r="D1070">
        <v>4.3680000000000004E-3</v>
      </c>
      <c r="E1070">
        <v>4.5370000000000002E-3</v>
      </c>
      <c r="F1070">
        <v>448255282</v>
      </c>
      <c r="G1070">
        <v>0</v>
      </c>
      <c r="L1070" t="s">
        <v>7</v>
      </c>
      <c r="M1070" t="s">
        <v>7</v>
      </c>
      <c r="N1070" t="s">
        <v>8</v>
      </c>
      <c r="P1070">
        <f t="shared" si="1024"/>
        <v>-3.7037037037037035E-2</v>
      </c>
      <c r="Q1070">
        <f t="shared" si="1025"/>
        <v>-16602047.481481481</v>
      </c>
      <c r="R1070">
        <f t="shared" si="1026"/>
        <v>-1693555852.04704</v>
      </c>
      <c r="S1070">
        <f t="shared" si="1027"/>
        <v>-16935.5585204704</v>
      </c>
      <c r="T1070">
        <f t="shared" si="1028"/>
        <v>-16.935558520470401</v>
      </c>
    </row>
    <row r="1071" spans="1:20" x14ac:dyDescent="0.25">
      <c r="A1071" s="5">
        <v>43522</v>
      </c>
      <c r="B1071">
        <v>4.5389999999999996E-3</v>
      </c>
      <c r="C1071">
        <v>4.7349999999999996E-3</v>
      </c>
      <c r="D1071">
        <v>4.4669999999999996E-3</v>
      </c>
      <c r="E1071">
        <v>4.5599999999999998E-3</v>
      </c>
      <c r="F1071">
        <v>563067192</v>
      </c>
      <c r="G1071">
        <v>0</v>
      </c>
      <c r="L1071" t="s">
        <v>8</v>
      </c>
      <c r="M1071" t="s">
        <v>7</v>
      </c>
      <c r="N1071" t="s">
        <v>8</v>
      </c>
      <c r="P1071">
        <f t="shared" si="1024"/>
        <v>-0.3059701492537299</v>
      </c>
      <c r="Q1071">
        <f t="shared" si="1025"/>
        <v>-172281752.77611858</v>
      </c>
      <c r="R1071">
        <f t="shared" si="1026"/>
        <v>-1676953804.5655584</v>
      </c>
      <c r="S1071">
        <f t="shared" si="1027"/>
        <v>-16769.538045655583</v>
      </c>
      <c r="T1071">
        <f t="shared" si="1028"/>
        <v>-16.769538045655583</v>
      </c>
    </row>
    <row r="1072" spans="1:20" x14ac:dyDescent="0.25">
      <c r="A1072" s="5">
        <v>43521</v>
      </c>
      <c r="B1072">
        <v>4.3499999999999997E-3</v>
      </c>
      <c r="C1072">
        <v>4.6439999999999997E-3</v>
      </c>
      <c r="D1072">
        <v>4.2900000000000004E-3</v>
      </c>
      <c r="E1072">
        <v>4.5409999999999999E-3</v>
      </c>
      <c r="F1072">
        <v>690177280</v>
      </c>
      <c r="G1072">
        <v>0</v>
      </c>
      <c r="L1072" t="s">
        <v>8</v>
      </c>
      <c r="M1072" t="s">
        <v>7</v>
      </c>
      <c r="N1072" t="s">
        <v>8</v>
      </c>
      <c r="P1072">
        <f t="shared" si="1024"/>
        <v>0.41807909604519772</v>
      </c>
      <c r="Q1072">
        <f t="shared" si="1025"/>
        <v>288548693.33333331</v>
      </c>
      <c r="R1072">
        <f t="shared" si="1026"/>
        <v>-1504672051.7894399</v>
      </c>
      <c r="S1072">
        <f t="shared" si="1027"/>
        <v>-15046.720517894399</v>
      </c>
      <c r="T1072">
        <f t="shared" si="1028"/>
        <v>-15.046720517894398</v>
      </c>
    </row>
    <row r="1073" spans="1:20" x14ac:dyDescent="0.25">
      <c r="A1073" s="5">
        <v>43520</v>
      </c>
      <c r="B1073">
        <v>4.875E-3</v>
      </c>
      <c r="C1073">
        <v>5.0419999999999996E-3</v>
      </c>
      <c r="D1073">
        <v>4.1520000000000003E-3</v>
      </c>
      <c r="E1073">
        <v>4.3359999999999996E-3</v>
      </c>
      <c r="F1073">
        <v>1213546045</v>
      </c>
      <c r="G1073">
        <v>0</v>
      </c>
      <c r="L1073" t="s">
        <v>7</v>
      </c>
      <c r="M1073" t="s">
        <v>7</v>
      </c>
      <c r="N1073" t="s">
        <v>8</v>
      </c>
      <c r="P1073">
        <f t="shared" si="1024"/>
        <v>-0.58651685393258557</v>
      </c>
      <c r="Q1073">
        <f t="shared" si="1025"/>
        <v>-711765208.41573191</v>
      </c>
      <c r="R1073">
        <f t="shared" si="1026"/>
        <v>-1793220745.1227732</v>
      </c>
      <c r="S1073">
        <f t="shared" si="1027"/>
        <v>-17932.207451227732</v>
      </c>
      <c r="T1073">
        <f t="shared" si="1028"/>
        <v>-17.932207451227733</v>
      </c>
    </row>
    <row r="1074" spans="1:20" x14ac:dyDescent="0.25">
      <c r="A1074" s="5">
        <v>43519</v>
      </c>
      <c r="B1074">
        <v>4.7619999999999997E-3</v>
      </c>
      <c r="C1074">
        <v>4.9579999999999997E-3</v>
      </c>
      <c r="D1074">
        <v>4.6319999999999998E-3</v>
      </c>
      <c r="E1074">
        <v>4.8849999999999996E-3</v>
      </c>
      <c r="F1074">
        <v>834769638</v>
      </c>
      <c r="G1074">
        <v>0</v>
      </c>
      <c r="L1074" t="s">
        <v>7</v>
      </c>
      <c r="M1074" t="s">
        <v>8</v>
      </c>
      <c r="N1074" t="s">
        <v>8</v>
      </c>
      <c r="P1074">
        <f t="shared" si="1024"/>
        <v>0.5521472392638026</v>
      </c>
      <c r="Q1074">
        <f t="shared" si="1025"/>
        <v>460915751.04294389</v>
      </c>
      <c r="R1074">
        <f t="shared" si="1026"/>
        <v>-1081455536.7070413</v>
      </c>
      <c r="S1074">
        <f t="shared" si="1027"/>
        <v>-10814.555367070412</v>
      </c>
      <c r="T1074">
        <f t="shared" si="1028"/>
        <v>-10.814555367070412</v>
      </c>
    </row>
    <row r="1075" spans="1:20" x14ac:dyDescent="0.25">
      <c r="A1075" s="5">
        <v>43518</v>
      </c>
      <c r="B1075">
        <v>4.4720000000000003E-3</v>
      </c>
      <c r="C1075">
        <v>4.9630000000000004E-3</v>
      </c>
      <c r="D1075">
        <v>4.4450000000000002E-3</v>
      </c>
      <c r="E1075">
        <v>4.7609999999999996E-3</v>
      </c>
      <c r="F1075">
        <v>1084953330</v>
      </c>
      <c r="G1075">
        <v>0</v>
      </c>
      <c r="L1075" t="s">
        <v>8</v>
      </c>
      <c r="M1075" t="s">
        <v>8</v>
      </c>
      <c r="N1075" t="s">
        <v>8</v>
      </c>
      <c r="P1075">
        <f t="shared" si="1024"/>
        <v>0.22007722007721736</v>
      </c>
      <c r="Q1075">
        <f t="shared" si="1025"/>
        <v>238773512.77991983</v>
      </c>
      <c r="R1075">
        <f t="shared" si="1026"/>
        <v>-1542371287.7499852</v>
      </c>
      <c r="S1075">
        <f t="shared" si="1027"/>
        <v>-15423.712877499853</v>
      </c>
      <c r="T1075">
        <f t="shared" si="1028"/>
        <v>-15.423712877499852</v>
      </c>
    </row>
    <row r="1076" spans="1:20" x14ac:dyDescent="0.25">
      <c r="A1076" s="5">
        <v>43517</v>
      </c>
      <c r="B1076">
        <v>4.3359999999999996E-3</v>
      </c>
      <c r="C1076">
        <v>4.6769999999999997E-3</v>
      </c>
      <c r="D1076">
        <v>4.274E-3</v>
      </c>
      <c r="E1076">
        <v>4.4640000000000001E-3</v>
      </c>
      <c r="F1076">
        <v>772580863</v>
      </c>
      <c r="G1076">
        <v>0</v>
      </c>
      <c r="L1076" t="s">
        <v>8</v>
      </c>
      <c r="M1076" t="s">
        <v>8</v>
      </c>
      <c r="N1076" t="s">
        <v>7</v>
      </c>
      <c r="P1076">
        <f t="shared" si="1024"/>
        <v>-5.7071960297765754E-2</v>
      </c>
      <c r="Q1076">
        <f t="shared" si="1025"/>
        <v>-44092704.3399496</v>
      </c>
      <c r="R1076">
        <f t="shared" si="1026"/>
        <v>-1781144800.5299051</v>
      </c>
      <c r="S1076">
        <f t="shared" si="1027"/>
        <v>-17811.448005299051</v>
      </c>
      <c r="T1076">
        <f t="shared" si="1028"/>
        <v>-17.811448005299052</v>
      </c>
    </row>
    <row r="1077" spans="1:20" x14ac:dyDescent="0.25">
      <c r="A1077" s="5">
        <v>43516</v>
      </c>
      <c r="B1077">
        <v>4.274E-3</v>
      </c>
      <c r="C1077">
        <v>4.3559999999999996E-3</v>
      </c>
      <c r="D1077">
        <v>4.1549999999999998E-3</v>
      </c>
      <c r="E1077">
        <v>4.3359999999999996E-3</v>
      </c>
      <c r="F1077">
        <v>329906597</v>
      </c>
      <c r="G1077">
        <v>0</v>
      </c>
      <c r="L1077" t="s">
        <v>8</v>
      </c>
      <c r="M1077" t="s">
        <v>8</v>
      </c>
      <c r="N1077" t="s">
        <v>7</v>
      </c>
      <c r="P1077">
        <f t="shared" si="1024"/>
        <v>0.80099502487562113</v>
      </c>
      <c r="Q1077">
        <f t="shared" si="1025"/>
        <v>264253542.87064651</v>
      </c>
      <c r="R1077">
        <f t="shared" si="1026"/>
        <v>-1737052096.1899555</v>
      </c>
      <c r="S1077">
        <f t="shared" si="1027"/>
        <v>-17370.520961899554</v>
      </c>
      <c r="T1077">
        <f t="shared" si="1028"/>
        <v>-17.370520961899555</v>
      </c>
    </row>
    <row r="1078" spans="1:20" x14ac:dyDescent="0.25">
      <c r="A1078" s="5">
        <v>43515</v>
      </c>
      <c r="B1078">
        <v>4.3400000000000001E-3</v>
      </c>
      <c r="C1078">
        <v>4.4689999999999999E-3</v>
      </c>
      <c r="D1078">
        <v>4.2490000000000002E-3</v>
      </c>
      <c r="E1078">
        <v>4.2700000000000004E-3</v>
      </c>
      <c r="F1078">
        <v>567320728</v>
      </c>
      <c r="G1078">
        <v>0</v>
      </c>
      <c r="L1078" t="s">
        <v>8</v>
      </c>
      <c r="M1078" t="s">
        <v>8</v>
      </c>
      <c r="N1078" t="s">
        <v>7</v>
      </c>
      <c r="P1078">
        <f t="shared" si="1024"/>
        <v>-0.8090909090909072</v>
      </c>
      <c r="Q1078">
        <f t="shared" si="1025"/>
        <v>-459014043.56363529</v>
      </c>
      <c r="R1078">
        <f t="shared" si="1026"/>
        <v>-2001305639.0606019</v>
      </c>
      <c r="S1078">
        <f t="shared" si="1027"/>
        <v>-20013.05639060602</v>
      </c>
      <c r="T1078">
        <f t="shared" si="1028"/>
        <v>-20.013056390606021</v>
      </c>
    </row>
    <row r="1079" spans="1:20" x14ac:dyDescent="0.25">
      <c r="A1079" s="5">
        <v>43514</v>
      </c>
      <c r="B1079">
        <v>4.1159999999999999E-3</v>
      </c>
      <c r="C1079">
        <v>4.4000000000000003E-3</v>
      </c>
      <c r="D1079">
        <v>4.0829999999999998E-3</v>
      </c>
      <c r="E1079">
        <v>4.3439999999999998E-3</v>
      </c>
      <c r="F1079">
        <v>503231548</v>
      </c>
      <c r="G1079">
        <v>0</v>
      </c>
      <c r="L1079" t="s">
        <v>8</v>
      </c>
      <c r="M1079" t="s">
        <v>8</v>
      </c>
      <c r="N1079" t="s">
        <v>7</v>
      </c>
      <c r="P1079">
        <f t="shared" si="1024"/>
        <v>0.6466876971608807</v>
      </c>
      <c r="Q1079">
        <f t="shared" si="1025"/>
        <v>325433650.9148252</v>
      </c>
      <c r="R1079">
        <f t="shared" si="1026"/>
        <v>-1542291595.4969666</v>
      </c>
      <c r="S1079">
        <f t="shared" si="1027"/>
        <v>-15422.915954969665</v>
      </c>
      <c r="T1079">
        <f t="shared" si="1028"/>
        <v>-15.422915954969666</v>
      </c>
    </row>
    <row r="1080" spans="1:20" x14ac:dyDescent="0.25">
      <c r="A1080" s="5">
        <v>43513</v>
      </c>
      <c r="B1080">
        <v>4.0889999999999998E-3</v>
      </c>
      <c r="C1080">
        <v>4.1960000000000001E-3</v>
      </c>
      <c r="D1080">
        <v>3.98E-3</v>
      </c>
      <c r="E1080">
        <v>4.1180000000000001E-3</v>
      </c>
      <c r="F1080">
        <v>335022012</v>
      </c>
      <c r="G1080">
        <v>0</v>
      </c>
      <c r="L1080" t="s">
        <v>8</v>
      </c>
      <c r="M1080" t="s">
        <v>7</v>
      </c>
      <c r="N1080" t="s">
        <v>7</v>
      </c>
      <c r="P1080">
        <f t="shared" si="1024"/>
        <v>0.27777777777777846</v>
      </c>
      <c r="Q1080">
        <f t="shared" si="1025"/>
        <v>93061670.000000224</v>
      </c>
      <c r="R1080">
        <f t="shared" si="1026"/>
        <v>-1867725246.4117918</v>
      </c>
      <c r="S1080">
        <f t="shared" si="1027"/>
        <v>-18677.252464117919</v>
      </c>
      <c r="T1080">
        <f t="shared" si="1028"/>
        <v>-18.67725246411792</v>
      </c>
    </row>
    <row r="1081" spans="1:20" x14ac:dyDescent="0.25">
      <c r="A1081" s="5">
        <v>43512</v>
      </c>
      <c r="B1081">
        <v>3.9240000000000004E-3</v>
      </c>
      <c r="C1081">
        <v>4.1900000000000001E-3</v>
      </c>
      <c r="D1081">
        <v>3.9060000000000002E-3</v>
      </c>
      <c r="E1081">
        <v>4.0889999999999998E-3</v>
      </c>
      <c r="F1081">
        <v>488646980</v>
      </c>
      <c r="G1081">
        <v>0</v>
      </c>
      <c r="L1081" t="s">
        <v>8</v>
      </c>
      <c r="M1081" t="s">
        <v>7</v>
      </c>
      <c r="N1081" t="s">
        <v>7</v>
      </c>
      <c r="P1081">
        <f t="shared" si="1024"/>
        <v>0.2887323943661943</v>
      </c>
      <c r="Q1081">
        <f t="shared" si="1025"/>
        <v>141088212.53520986</v>
      </c>
      <c r="R1081">
        <f t="shared" si="1026"/>
        <v>-1960786916.411792</v>
      </c>
      <c r="S1081">
        <f t="shared" si="1027"/>
        <v>-19607.869164117921</v>
      </c>
      <c r="T1081">
        <f t="shared" si="1028"/>
        <v>-19.607869164117922</v>
      </c>
    </row>
    <row r="1082" spans="1:20" x14ac:dyDescent="0.25">
      <c r="A1082" s="5">
        <v>43511</v>
      </c>
      <c r="B1082">
        <v>3.8600000000000001E-3</v>
      </c>
      <c r="C1082">
        <v>3.9699999999999996E-3</v>
      </c>
      <c r="D1082">
        <v>3.826E-3</v>
      </c>
      <c r="E1082">
        <v>3.9290000000000002E-3</v>
      </c>
      <c r="F1082">
        <v>257749673</v>
      </c>
      <c r="G1082">
        <v>0</v>
      </c>
      <c r="L1082" t="s">
        <v>7</v>
      </c>
      <c r="M1082" t="s">
        <v>7</v>
      </c>
      <c r="N1082" t="s">
        <v>7</v>
      </c>
      <c r="P1082">
        <f t="shared" si="1024"/>
        <v>0.43055555555556269</v>
      </c>
      <c r="Q1082">
        <f t="shared" si="1025"/>
        <v>110975553.65277961</v>
      </c>
      <c r="R1082">
        <f t="shared" si="1026"/>
        <v>-2101875128.9470019</v>
      </c>
      <c r="S1082">
        <f t="shared" si="1027"/>
        <v>-21018.751289470019</v>
      </c>
      <c r="T1082">
        <f t="shared" si="1028"/>
        <v>-21.018751289470018</v>
      </c>
    </row>
    <row r="1083" spans="1:20" x14ac:dyDescent="0.25">
      <c r="A1083" s="5">
        <v>43510</v>
      </c>
      <c r="B1083">
        <v>3.8539999999999998E-3</v>
      </c>
      <c r="C1083">
        <v>3.9309999999999996E-3</v>
      </c>
      <c r="D1083">
        <v>3.81E-3</v>
      </c>
      <c r="E1083">
        <v>3.8609999999999998E-3</v>
      </c>
      <c r="F1083">
        <v>130263644</v>
      </c>
      <c r="G1083">
        <v>0</v>
      </c>
      <c r="L1083" t="s">
        <v>7</v>
      </c>
      <c r="M1083" t="s">
        <v>7</v>
      </c>
      <c r="N1083" t="s">
        <v>7</v>
      </c>
      <c r="P1083">
        <f t="shared" si="1024"/>
        <v>-0.15702479338842965</v>
      </c>
      <c r="Q1083">
        <f t="shared" si="1025"/>
        <v>-20454621.785123952</v>
      </c>
      <c r="R1083">
        <f t="shared" si="1026"/>
        <v>-2212850682.5997815</v>
      </c>
      <c r="S1083">
        <f t="shared" si="1027"/>
        <v>-22128.506825997814</v>
      </c>
      <c r="T1083">
        <f t="shared" si="1028"/>
        <v>-22.128506825997814</v>
      </c>
    </row>
    <row r="1084" spans="1:20" x14ac:dyDescent="0.25">
      <c r="A1084" s="5">
        <v>43509</v>
      </c>
      <c r="B1084">
        <v>3.9160000000000002E-3</v>
      </c>
      <c r="C1084">
        <v>3.9719999999999998E-3</v>
      </c>
      <c r="D1084">
        <v>3.8170000000000001E-3</v>
      </c>
      <c r="E1084">
        <v>3.852E-3</v>
      </c>
      <c r="F1084">
        <v>178407848</v>
      </c>
      <c r="G1084">
        <v>0</v>
      </c>
      <c r="L1084" t="s">
        <v>7</v>
      </c>
      <c r="M1084" t="s">
        <v>7</v>
      </c>
      <c r="N1084" t="s">
        <v>7</v>
      </c>
      <c r="P1084">
        <f t="shared" si="1024"/>
        <v>-0.5483870967741945</v>
      </c>
      <c r="Q1084">
        <f t="shared" si="1025"/>
        <v>-97836561.806451783</v>
      </c>
      <c r="R1084">
        <f t="shared" si="1026"/>
        <v>-2192396060.8146577</v>
      </c>
      <c r="S1084">
        <f t="shared" si="1027"/>
        <v>-21923.960608146575</v>
      </c>
      <c r="T1084">
        <f t="shared" si="1028"/>
        <v>-21.923960608146576</v>
      </c>
    </row>
    <row r="1085" spans="1:20" x14ac:dyDescent="0.25">
      <c r="A1085" s="5">
        <v>43508</v>
      </c>
      <c r="B1085">
        <v>3.9039999999999999E-3</v>
      </c>
      <c r="C1085">
        <v>3.9550000000000002E-3</v>
      </c>
      <c r="D1085">
        <v>3.8010000000000001E-3</v>
      </c>
      <c r="E1085">
        <v>3.9230000000000003E-3</v>
      </c>
      <c r="F1085">
        <v>208718450</v>
      </c>
      <c r="G1085">
        <v>0</v>
      </c>
      <c r="L1085" t="s">
        <v>7</v>
      </c>
      <c r="M1085" t="s">
        <v>7</v>
      </c>
      <c r="N1085" t="s">
        <v>7</v>
      </c>
      <c r="P1085">
        <f t="shared" si="1024"/>
        <v>0.58441558441558572</v>
      </c>
      <c r="Q1085">
        <f t="shared" si="1025"/>
        <v>121978314.93506521</v>
      </c>
      <c r="R1085">
        <f t="shared" si="1026"/>
        <v>-2094559499.0082059</v>
      </c>
      <c r="S1085">
        <f t="shared" si="1027"/>
        <v>-20945.59499008206</v>
      </c>
      <c r="T1085">
        <f t="shared" si="1028"/>
        <v>-20.945594990082061</v>
      </c>
    </row>
    <row r="1086" spans="1:20" x14ac:dyDescent="0.25">
      <c r="A1086" s="5">
        <v>43507</v>
      </c>
      <c r="B1086">
        <v>4.0220000000000004E-3</v>
      </c>
      <c r="C1086">
        <v>4.0239999999999998E-3</v>
      </c>
      <c r="D1086">
        <v>3.8760000000000001E-3</v>
      </c>
      <c r="E1086">
        <v>3.9050000000000001E-3</v>
      </c>
      <c r="F1086">
        <v>211524414</v>
      </c>
      <c r="G1086">
        <v>0</v>
      </c>
      <c r="L1086" t="s">
        <v>8</v>
      </c>
      <c r="M1086" t="s">
        <v>7</v>
      </c>
      <c r="N1086" t="s">
        <v>7</v>
      </c>
      <c r="P1086">
        <f t="shared" si="1024"/>
        <v>-0.608108108108108</v>
      </c>
      <c r="Q1086">
        <f t="shared" si="1025"/>
        <v>-128629711.21621619</v>
      </c>
      <c r="R1086">
        <f t="shared" si="1026"/>
        <v>-2216537813.9432712</v>
      </c>
      <c r="S1086">
        <f t="shared" si="1027"/>
        <v>-22165.378139432712</v>
      </c>
      <c r="T1086">
        <f t="shared" si="1028"/>
        <v>-22.165378139432711</v>
      </c>
    </row>
    <row r="1087" spans="1:20" x14ac:dyDescent="0.25">
      <c r="A1087" s="5">
        <v>43506</v>
      </c>
      <c r="B1087">
        <v>4.0130000000000001E-3</v>
      </c>
      <c r="C1087">
        <v>4.1269999999999996E-3</v>
      </c>
      <c r="D1087">
        <v>3.908E-3</v>
      </c>
      <c r="E1087">
        <v>4.0220000000000004E-3</v>
      </c>
      <c r="F1087">
        <v>316575696</v>
      </c>
      <c r="G1087">
        <v>0</v>
      </c>
      <c r="L1087" t="s">
        <v>8</v>
      </c>
      <c r="M1087" t="s">
        <v>7</v>
      </c>
      <c r="N1087" t="s">
        <v>7</v>
      </c>
      <c r="P1087">
        <f t="shared" ref="P1087:P1150" si="1029">IF(C1087=D1087,0,((E1087-D1087)-(C1087-E1087))/(C1087-D1087))</f>
        <v>4.1095890410964439E-2</v>
      </c>
      <c r="Q1087">
        <f t="shared" ref="Q1087:Q1150" si="1030">F1087*P1087</f>
        <v>13009960.109590793</v>
      </c>
      <c r="R1087">
        <f t="shared" ref="R1087:R1150" si="1031">R1088+Q1087</f>
        <v>-2087908102.7270551</v>
      </c>
      <c r="S1087">
        <f t="shared" ref="S1087:S1150" si="1032">R1087/100000</f>
        <v>-20879.081027270549</v>
      </c>
      <c r="T1087">
        <f t="shared" ref="T1087:T1150" si="1033">S1087/1000</f>
        <v>-20.879081027270548</v>
      </c>
    </row>
    <row r="1088" spans="1:20" x14ac:dyDescent="0.25">
      <c r="A1088" s="5">
        <v>43505</v>
      </c>
      <c r="B1088">
        <v>3.9569999999999996E-3</v>
      </c>
      <c r="C1088">
        <v>4.0229999999999997E-3</v>
      </c>
      <c r="D1088">
        <v>3.8999999999999998E-3</v>
      </c>
      <c r="E1088">
        <v>4.0179999999999999E-3</v>
      </c>
      <c r="F1088">
        <v>246839893</v>
      </c>
      <c r="G1088">
        <v>0</v>
      </c>
      <c r="L1088" t="s">
        <v>8</v>
      </c>
      <c r="M1088" t="s">
        <v>7</v>
      </c>
      <c r="N1088" t="s">
        <v>7</v>
      </c>
      <c r="P1088">
        <f t="shared" si="1029"/>
        <v>0.91869918699187314</v>
      </c>
      <c r="Q1088">
        <f t="shared" si="1030"/>
        <v>226771609.01626095</v>
      </c>
      <c r="R1088">
        <f t="shared" si="1031"/>
        <v>-2100918062.8366458</v>
      </c>
      <c r="S1088">
        <f t="shared" si="1032"/>
        <v>-21009.180628366459</v>
      </c>
      <c r="T1088">
        <f t="shared" si="1033"/>
        <v>-21.009180628366458</v>
      </c>
    </row>
    <row r="1089" spans="1:20" x14ac:dyDescent="0.25">
      <c r="A1089" s="5">
        <v>43504</v>
      </c>
      <c r="B1089">
        <v>3.686E-3</v>
      </c>
      <c r="C1089">
        <v>4.104E-3</v>
      </c>
      <c r="D1089">
        <v>3.6549999999999998E-3</v>
      </c>
      <c r="E1089">
        <v>3.9569999999999996E-3</v>
      </c>
      <c r="F1089">
        <v>385706930</v>
      </c>
      <c r="G1089">
        <v>0</v>
      </c>
      <c r="L1089" t="s">
        <v>8</v>
      </c>
      <c r="M1089" t="s">
        <v>7</v>
      </c>
      <c r="N1089" t="s">
        <v>7</v>
      </c>
      <c r="P1089">
        <f t="shared" si="1029"/>
        <v>0.34521158129175783</v>
      </c>
      <c r="Q1089">
        <f t="shared" si="1030"/>
        <v>133150499.22048935</v>
      </c>
      <c r="R1089">
        <f t="shared" si="1031"/>
        <v>-2327689671.8529067</v>
      </c>
      <c r="S1089">
        <f t="shared" si="1032"/>
        <v>-23276.896718529068</v>
      </c>
      <c r="T1089">
        <f t="shared" si="1033"/>
        <v>-23.276896718529066</v>
      </c>
    </row>
    <row r="1090" spans="1:20" x14ac:dyDescent="0.25">
      <c r="A1090" s="5">
        <v>43503</v>
      </c>
      <c r="B1090">
        <v>3.6240000000000001E-3</v>
      </c>
      <c r="C1090">
        <v>3.7699999999999999E-3</v>
      </c>
      <c r="D1090">
        <v>3.6159999999999999E-3</v>
      </c>
      <c r="E1090">
        <v>3.686E-3</v>
      </c>
      <c r="F1090">
        <v>191345295</v>
      </c>
      <c r="G1090">
        <v>0</v>
      </c>
      <c r="L1090" t="s">
        <v>7</v>
      </c>
      <c r="M1090" t="s">
        <v>7</v>
      </c>
      <c r="N1090" t="s">
        <v>7</v>
      </c>
      <c r="P1090">
        <f t="shared" si="1029"/>
        <v>-9.0909090909088858E-2</v>
      </c>
      <c r="Q1090">
        <f t="shared" si="1030"/>
        <v>-17395026.818181425</v>
      </c>
      <c r="R1090">
        <f t="shared" si="1031"/>
        <v>-2460840171.0733962</v>
      </c>
      <c r="S1090">
        <f t="shared" si="1032"/>
        <v>-24608.40171073396</v>
      </c>
      <c r="T1090">
        <f t="shared" si="1033"/>
        <v>-24.608401710733961</v>
      </c>
    </row>
    <row r="1091" spans="1:20" x14ac:dyDescent="0.25">
      <c r="A1091" s="5">
        <v>43502</v>
      </c>
      <c r="B1091">
        <v>3.7880000000000001E-3</v>
      </c>
      <c r="C1091">
        <v>3.7919999999999998E-3</v>
      </c>
      <c r="D1091">
        <v>3.6110000000000001E-3</v>
      </c>
      <c r="E1091">
        <v>3.63E-3</v>
      </c>
      <c r="F1091">
        <v>282155715</v>
      </c>
      <c r="G1091">
        <v>0</v>
      </c>
      <c r="L1091" t="s">
        <v>7</v>
      </c>
      <c r="M1091" t="s">
        <v>7</v>
      </c>
      <c r="N1091" t="s">
        <v>7</v>
      </c>
      <c r="P1091">
        <f t="shared" si="1029"/>
        <v>-0.79005524861878507</v>
      </c>
      <c r="Q1091">
        <f t="shared" si="1030"/>
        <v>-222918603.56353608</v>
      </c>
      <c r="R1091">
        <f t="shared" si="1031"/>
        <v>-2443445144.2552147</v>
      </c>
      <c r="S1091">
        <f t="shared" si="1032"/>
        <v>-24434.451442552148</v>
      </c>
      <c r="T1091">
        <f t="shared" si="1033"/>
        <v>-24.434451442552149</v>
      </c>
    </row>
    <row r="1092" spans="1:20" x14ac:dyDescent="0.25">
      <c r="A1092" s="5">
        <v>43501</v>
      </c>
      <c r="B1092">
        <v>3.813E-3</v>
      </c>
      <c r="C1092">
        <v>3.8470000000000002E-3</v>
      </c>
      <c r="D1092">
        <v>3.7499999999999999E-3</v>
      </c>
      <c r="E1092">
        <v>3.7829999999999999E-3</v>
      </c>
      <c r="F1092">
        <v>203033685</v>
      </c>
      <c r="G1092">
        <v>0</v>
      </c>
      <c r="L1092" t="s">
        <v>7</v>
      </c>
      <c r="M1092" t="s">
        <v>7</v>
      </c>
      <c r="N1092" t="s">
        <v>7</v>
      </c>
      <c r="P1092">
        <f t="shared" si="1029"/>
        <v>-0.31958762886598058</v>
      </c>
      <c r="Q1092">
        <f t="shared" si="1030"/>
        <v>-64887053.969072409</v>
      </c>
      <c r="R1092">
        <f t="shared" si="1031"/>
        <v>-2220526540.6916785</v>
      </c>
      <c r="S1092">
        <f t="shared" si="1032"/>
        <v>-22205.265406916784</v>
      </c>
      <c r="T1092">
        <f t="shared" si="1033"/>
        <v>-22.205265406916784</v>
      </c>
    </row>
    <row r="1093" spans="1:20" x14ac:dyDescent="0.25">
      <c r="A1093" s="5">
        <v>43500</v>
      </c>
      <c r="B1093">
        <v>3.852E-3</v>
      </c>
      <c r="C1093">
        <v>3.872E-3</v>
      </c>
      <c r="D1093">
        <v>3.7799999999999999E-3</v>
      </c>
      <c r="E1093">
        <v>3.813E-3</v>
      </c>
      <c r="F1093">
        <v>149146249</v>
      </c>
      <c r="G1093">
        <v>0</v>
      </c>
      <c r="L1093" t="s">
        <v>7</v>
      </c>
      <c r="M1093" t="s">
        <v>7</v>
      </c>
      <c r="N1093" t="s">
        <v>7</v>
      </c>
      <c r="P1093">
        <f t="shared" si="1029"/>
        <v>-0.2826086956521735</v>
      </c>
      <c r="Q1093">
        <f t="shared" si="1030"/>
        <v>-42150026.891304284</v>
      </c>
      <c r="R1093">
        <f t="shared" si="1031"/>
        <v>-2155639486.7226062</v>
      </c>
      <c r="S1093">
        <f t="shared" si="1032"/>
        <v>-21556.394867226063</v>
      </c>
      <c r="T1093">
        <f t="shared" si="1033"/>
        <v>-21.556394867226064</v>
      </c>
    </row>
    <row r="1094" spans="1:20" x14ac:dyDescent="0.25">
      <c r="A1094" s="5">
        <v>43499</v>
      </c>
      <c r="B1094">
        <v>3.9370000000000004E-3</v>
      </c>
      <c r="C1094">
        <v>3.9399999999999999E-3</v>
      </c>
      <c r="D1094">
        <v>3.82E-3</v>
      </c>
      <c r="E1094">
        <v>3.8600000000000001E-3</v>
      </c>
      <c r="F1094">
        <v>127344174</v>
      </c>
      <c r="G1094">
        <v>0</v>
      </c>
      <c r="L1094" t="s">
        <v>7</v>
      </c>
      <c r="M1094" t="s">
        <v>7</v>
      </c>
      <c r="N1094" t="s">
        <v>7</v>
      </c>
      <c r="P1094">
        <f t="shared" si="1029"/>
        <v>-0.33333333333333093</v>
      </c>
      <c r="Q1094">
        <f t="shared" si="1030"/>
        <v>-42448057.999999695</v>
      </c>
      <c r="R1094">
        <f t="shared" si="1031"/>
        <v>-2113489459.8313019</v>
      </c>
      <c r="S1094">
        <f t="shared" si="1032"/>
        <v>-21134.894598313018</v>
      </c>
      <c r="T1094">
        <f t="shared" si="1033"/>
        <v>-21.134894598313018</v>
      </c>
    </row>
    <row r="1095" spans="1:20" x14ac:dyDescent="0.25">
      <c r="A1095" s="5">
        <v>43498</v>
      </c>
      <c r="B1095">
        <v>3.898E-3</v>
      </c>
      <c r="C1095">
        <v>3.954E-3</v>
      </c>
      <c r="D1095">
        <v>3.8379999999999998E-3</v>
      </c>
      <c r="E1095">
        <v>3.9290000000000002E-3</v>
      </c>
      <c r="F1095">
        <v>119994112</v>
      </c>
      <c r="G1095">
        <v>0</v>
      </c>
      <c r="L1095" t="s">
        <v>7</v>
      </c>
      <c r="M1095" t="s">
        <v>7</v>
      </c>
      <c r="N1095" t="s">
        <v>7</v>
      </c>
      <c r="P1095">
        <f t="shared" si="1029"/>
        <v>0.56896551724138278</v>
      </c>
      <c r="Q1095">
        <f t="shared" si="1030"/>
        <v>68272512.000000417</v>
      </c>
      <c r="R1095">
        <f t="shared" si="1031"/>
        <v>-2071041401.8313022</v>
      </c>
      <c r="S1095">
        <f t="shared" si="1032"/>
        <v>-20710.414018313022</v>
      </c>
      <c r="T1095">
        <f t="shared" si="1033"/>
        <v>-20.710414018313021</v>
      </c>
    </row>
    <row r="1096" spans="1:20" x14ac:dyDescent="0.25">
      <c r="A1096" s="5">
        <v>43497</v>
      </c>
      <c r="B1096">
        <v>3.885E-3</v>
      </c>
      <c r="C1096">
        <v>3.9740000000000001E-3</v>
      </c>
      <c r="D1096">
        <v>3.7880000000000001E-3</v>
      </c>
      <c r="E1096">
        <v>3.901E-3</v>
      </c>
      <c r="F1096">
        <v>217042669</v>
      </c>
      <c r="G1096">
        <v>0</v>
      </c>
      <c r="L1096" t="s">
        <v>7</v>
      </c>
      <c r="M1096" t="s">
        <v>7</v>
      </c>
      <c r="N1096" t="s">
        <v>7</v>
      </c>
      <c r="P1096">
        <f t="shared" si="1029"/>
        <v>0.2150537634408585</v>
      </c>
      <c r="Q1096">
        <f t="shared" si="1030"/>
        <v>46675842.795698553</v>
      </c>
      <c r="R1096">
        <f t="shared" si="1031"/>
        <v>-2139313913.8313026</v>
      </c>
      <c r="S1096">
        <f t="shared" si="1032"/>
        <v>-21393.139138313025</v>
      </c>
      <c r="T1096">
        <f t="shared" si="1033"/>
        <v>-21.393139138313025</v>
      </c>
    </row>
    <row r="1097" spans="1:20" x14ac:dyDescent="0.25">
      <c r="A1097" s="5">
        <v>43496</v>
      </c>
      <c r="B1097">
        <v>4.0020000000000003E-3</v>
      </c>
      <c r="C1097">
        <v>4.1130000000000003E-3</v>
      </c>
      <c r="D1097">
        <v>3.7929999999999999E-3</v>
      </c>
      <c r="E1097">
        <v>3.8860000000000001E-3</v>
      </c>
      <c r="F1097">
        <v>399037402</v>
      </c>
      <c r="G1097">
        <v>0</v>
      </c>
      <c r="L1097" t="s">
        <v>7</v>
      </c>
      <c r="M1097" t="s">
        <v>7</v>
      </c>
      <c r="N1097" t="s">
        <v>7</v>
      </c>
      <c r="P1097">
        <f t="shared" si="1029"/>
        <v>-0.41874999999999946</v>
      </c>
      <c r="Q1097">
        <f t="shared" si="1030"/>
        <v>-167096912.0874998</v>
      </c>
      <c r="R1097">
        <f t="shared" si="1031"/>
        <v>-2185989756.6270013</v>
      </c>
      <c r="S1097">
        <f t="shared" si="1032"/>
        <v>-21859.897566270014</v>
      </c>
      <c r="T1097">
        <f t="shared" si="1033"/>
        <v>-21.859897566270014</v>
      </c>
    </row>
    <row r="1098" spans="1:20" x14ac:dyDescent="0.25">
      <c r="A1098" s="5">
        <v>43495</v>
      </c>
      <c r="B1098">
        <v>3.8760000000000001E-3</v>
      </c>
      <c r="C1098">
        <v>4.0990000000000002E-3</v>
      </c>
      <c r="D1098">
        <v>3.7789999999999998E-3</v>
      </c>
      <c r="E1098">
        <v>4.0020000000000003E-3</v>
      </c>
      <c r="F1098">
        <v>408139166</v>
      </c>
      <c r="G1098">
        <v>0</v>
      </c>
      <c r="L1098" t="s">
        <v>8</v>
      </c>
      <c r="M1098" t="s">
        <v>7</v>
      </c>
      <c r="N1098" t="s">
        <v>7</v>
      </c>
      <c r="P1098">
        <f t="shared" si="1029"/>
        <v>0.3937500000000016</v>
      </c>
      <c r="Q1098">
        <f t="shared" si="1030"/>
        <v>160704796.61250064</v>
      </c>
      <c r="R1098">
        <f t="shared" si="1031"/>
        <v>-2018892844.5395017</v>
      </c>
      <c r="S1098">
        <f t="shared" si="1032"/>
        <v>-20188.928445395017</v>
      </c>
      <c r="T1098">
        <f t="shared" si="1033"/>
        <v>-20.188928445395018</v>
      </c>
    </row>
    <row r="1099" spans="1:20" x14ac:dyDescent="0.25">
      <c r="A1099" s="5">
        <v>43494</v>
      </c>
      <c r="B1099">
        <v>3.9199999999999999E-3</v>
      </c>
      <c r="C1099">
        <v>4.0499999999999998E-3</v>
      </c>
      <c r="D1099">
        <v>3.715E-3</v>
      </c>
      <c r="E1099">
        <v>3.875E-3</v>
      </c>
      <c r="F1099">
        <v>449863733</v>
      </c>
      <c r="G1099">
        <v>0</v>
      </c>
      <c r="L1099" t="s">
        <v>8</v>
      </c>
      <c r="M1099" t="s">
        <v>7</v>
      </c>
      <c r="N1099" t="s">
        <v>7</v>
      </c>
      <c r="P1099">
        <f t="shared" si="1029"/>
        <v>-4.4776119402984572E-2</v>
      </c>
      <c r="Q1099">
        <f t="shared" si="1030"/>
        <v>-20143152.223880373</v>
      </c>
      <c r="R1099">
        <f t="shared" si="1031"/>
        <v>-2179597641.1520023</v>
      </c>
      <c r="S1099">
        <f t="shared" si="1032"/>
        <v>-21795.976411520023</v>
      </c>
      <c r="T1099">
        <f t="shared" si="1033"/>
        <v>-21.795976411520023</v>
      </c>
    </row>
    <row r="1100" spans="1:20" x14ac:dyDescent="0.25">
      <c r="A1100" s="5">
        <v>43493</v>
      </c>
      <c r="B1100">
        <v>4.1359999999999999E-3</v>
      </c>
      <c r="C1100">
        <v>4.1520000000000003E-3</v>
      </c>
      <c r="D1100">
        <v>3.725E-3</v>
      </c>
      <c r="E1100">
        <v>3.9039999999999999E-3</v>
      </c>
      <c r="F1100">
        <v>642188883</v>
      </c>
      <c r="G1100">
        <v>0</v>
      </c>
      <c r="L1100" t="s">
        <v>7</v>
      </c>
      <c r="M1100" t="s">
        <v>7</v>
      </c>
      <c r="N1100" t="s">
        <v>7</v>
      </c>
      <c r="P1100">
        <f t="shared" si="1029"/>
        <v>-0.16159250585480195</v>
      </c>
      <c r="Q1100">
        <f t="shared" si="1030"/>
        <v>-103772910.83606623</v>
      </c>
      <c r="R1100">
        <f t="shared" si="1031"/>
        <v>-2159454488.928122</v>
      </c>
      <c r="S1100">
        <f t="shared" si="1032"/>
        <v>-21594.54488928122</v>
      </c>
      <c r="T1100">
        <f t="shared" si="1033"/>
        <v>-21.59454488928122</v>
      </c>
    </row>
    <row r="1101" spans="1:20" x14ac:dyDescent="0.25">
      <c r="A1101" s="5">
        <v>43492</v>
      </c>
      <c r="B1101">
        <v>4.3299999999999996E-3</v>
      </c>
      <c r="C1101">
        <v>4.3509999999999998E-3</v>
      </c>
      <c r="D1101">
        <v>4.0049999999999999E-3</v>
      </c>
      <c r="E1101">
        <v>4.1359999999999999E-3</v>
      </c>
      <c r="F1101">
        <v>429423903</v>
      </c>
      <c r="G1101">
        <v>0</v>
      </c>
      <c r="L1101" t="s">
        <v>7</v>
      </c>
      <c r="M1101" t="s">
        <v>8</v>
      </c>
      <c r="N1101" t="s">
        <v>7</v>
      </c>
      <c r="P1101">
        <f t="shared" si="1029"/>
        <v>-0.2427745664739881</v>
      </c>
      <c r="Q1101">
        <f t="shared" si="1030"/>
        <v>-104253201.88439292</v>
      </c>
      <c r="R1101">
        <f t="shared" si="1031"/>
        <v>-2055681578.0920558</v>
      </c>
      <c r="S1101">
        <f t="shared" si="1032"/>
        <v>-20556.815780920559</v>
      </c>
      <c r="T1101">
        <f t="shared" si="1033"/>
        <v>-20.556815780920559</v>
      </c>
    </row>
    <row r="1102" spans="1:20" x14ac:dyDescent="0.25">
      <c r="A1102" s="5">
        <v>43491</v>
      </c>
      <c r="B1102">
        <v>4.2989999999999999E-3</v>
      </c>
      <c r="C1102">
        <v>4.4070000000000003E-3</v>
      </c>
      <c r="D1102">
        <v>4.2989999999999999E-3</v>
      </c>
      <c r="E1102">
        <v>4.3319999999999999E-3</v>
      </c>
      <c r="F1102">
        <v>196400880</v>
      </c>
      <c r="G1102">
        <v>0</v>
      </c>
      <c r="L1102" t="s">
        <v>7</v>
      </c>
      <c r="M1102" t="s">
        <v>8</v>
      </c>
      <c r="N1102" t="s">
        <v>7</v>
      </c>
      <c r="P1102">
        <f t="shared" si="1029"/>
        <v>-0.38888888888889067</v>
      </c>
      <c r="Q1102">
        <f t="shared" si="1030"/>
        <v>-76378120.000000343</v>
      </c>
      <c r="R1102">
        <f t="shared" si="1031"/>
        <v>-1951428376.2076628</v>
      </c>
      <c r="S1102">
        <f t="shared" si="1032"/>
        <v>-19514.28376207663</v>
      </c>
      <c r="T1102">
        <f t="shared" si="1033"/>
        <v>-19.51428376207663</v>
      </c>
    </row>
    <row r="1103" spans="1:20" x14ac:dyDescent="0.25">
      <c r="A1103" s="5">
        <v>43490</v>
      </c>
      <c r="B1103">
        <v>4.3829999999999997E-3</v>
      </c>
      <c r="C1103">
        <v>4.3990000000000001E-3</v>
      </c>
      <c r="D1103">
        <v>4.2649999999999997E-3</v>
      </c>
      <c r="E1103">
        <v>4.2979999999999997E-3</v>
      </c>
      <c r="F1103">
        <v>156614945</v>
      </c>
      <c r="G1103">
        <v>0</v>
      </c>
      <c r="L1103" t="s">
        <v>7</v>
      </c>
      <c r="M1103" t="s">
        <v>8</v>
      </c>
      <c r="N1103" t="s">
        <v>7</v>
      </c>
      <c r="P1103">
        <f t="shared" si="1029"/>
        <v>-0.5074626865671652</v>
      </c>
      <c r="Q1103">
        <f t="shared" si="1030"/>
        <v>-79476240.746268824</v>
      </c>
      <c r="R1103">
        <f t="shared" si="1031"/>
        <v>-1875050256.2076626</v>
      </c>
      <c r="S1103">
        <f t="shared" si="1032"/>
        <v>-18750.502562076625</v>
      </c>
      <c r="T1103">
        <f t="shared" si="1033"/>
        <v>-18.750502562076626</v>
      </c>
    </row>
    <row r="1104" spans="1:20" x14ac:dyDescent="0.25">
      <c r="A1104" s="5">
        <v>43489</v>
      </c>
      <c r="B1104">
        <v>4.3629999999999997E-3</v>
      </c>
      <c r="C1104">
        <v>4.411E-3</v>
      </c>
      <c r="D1104">
        <v>4.2069999999999998E-3</v>
      </c>
      <c r="E1104">
        <v>4.3790000000000001E-3</v>
      </c>
      <c r="F1104">
        <v>306366593</v>
      </c>
      <c r="G1104">
        <v>0</v>
      </c>
      <c r="L1104" t="s">
        <v>7</v>
      </c>
      <c r="M1104" t="s">
        <v>8</v>
      </c>
      <c r="N1104" t="s">
        <v>7</v>
      </c>
      <c r="P1104">
        <f t="shared" si="1029"/>
        <v>0.68627450980392268</v>
      </c>
      <c r="Q1104">
        <f t="shared" si="1030"/>
        <v>210251583.43137288</v>
      </c>
      <c r="R1104">
        <f t="shared" si="1031"/>
        <v>-1795574015.4613938</v>
      </c>
      <c r="S1104">
        <f t="shared" si="1032"/>
        <v>-17955.740154613937</v>
      </c>
      <c r="T1104">
        <f t="shared" si="1033"/>
        <v>-17.955740154613938</v>
      </c>
    </row>
    <row r="1105" spans="1:20" x14ac:dyDescent="0.25">
      <c r="A1105" s="5">
        <v>43488</v>
      </c>
      <c r="B1105">
        <v>4.5240000000000002E-3</v>
      </c>
      <c r="C1105">
        <v>4.5710000000000004E-3</v>
      </c>
      <c r="D1105">
        <v>4.2259999999999997E-3</v>
      </c>
      <c r="E1105">
        <v>4.3579999999999999E-3</v>
      </c>
      <c r="F1105">
        <v>671804464</v>
      </c>
      <c r="G1105">
        <v>0</v>
      </c>
      <c r="L1105" t="s">
        <v>7</v>
      </c>
      <c r="M1105" t="s">
        <v>8</v>
      </c>
      <c r="N1105" t="s">
        <v>7</v>
      </c>
      <c r="P1105">
        <f t="shared" si="1029"/>
        <v>-0.23478260869565271</v>
      </c>
      <c r="Q1105">
        <f t="shared" si="1030"/>
        <v>-157728004.59130472</v>
      </c>
      <c r="R1105">
        <f t="shared" si="1031"/>
        <v>-2005825598.8927667</v>
      </c>
      <c r="S1105">
        <f t="shared" si="1032"/>
        <v>-20058.255988927667</v>
      </c>
      <c r="T1105">
        <f t="shared" si="1033"/>
        <v>-20.058255988927666</v>
      </c>
    </row>
    <row r="1106" spans="1:20" x14ac:dyDescent="0.25">
      <c r="A1106" s="5">
        <v>43487</v>
      </c>
      <c r="B1106">
        <v>4.0699999999999998E-3</v>
      </c>
      <c r="C1106">
        <v>4.5700000000000003E-3</v>
      </c>
      <c r="D1106">
        <v>4.0660000000000002E-3</v>
      </c>
      <c r="E1106">
        <v>4.529E-3</v>
      </c>
      <c r="F1106">
        <v>951685622</v>
      </c>
      <c r="G1106">
        <v>0</v>
      </c>
      <c r="L1106" t="s">
        <v>8</v>
      </c>
      <c r="M1106" t="s">
        <v>8</v>
      </c>
      <c r="N1106" t="s">
        <v>7</v>
      </c>
      <c r="P1106">
        <f t="shared" si="1029"/>
        <v>0.83730158730158644</v>
      </c>
      <c r="Q1106">
        <f t="shared" si="1030"/>
        <v>796847881.91269755</v>
      </c>
      <c r="R1106">
        <f t="shared" si="1031"/>
        <v>-1848097594.3014619</v>
      </c>
      <c r="S1106">
        <f t="shared" si="1032"/>
        <v>-18480.975943014619</v>
      </c>
      <c r="T1106">
        <f t="shared" si="1033"/>
        <v>-18.48097594301462</v>
      </c>
    </row>
    <row r="1107" spans="1:20" x14ac:dyDescent="0.25">
      <c r="A1107" s="5">
        <v>43486</v>
      </c>
      <c r="B1107">
        <v>3.9560000000000003E-3</v>
      </c>
      <c r="C1107">
        <v>4.1809999999999998E-3</v>
      </c>
      <c r="D1107">
        <v>3.9490000000000003E-3</v>
      </c>
      <c r="E1107">
        <v>4.0660000000000002E-3</v>
      </c>
      <c r="F1107">
        <v>441473872</v>
      </c>
      <c r="G1107">
        <v>0</v>
      </c>
      <c r="L1107" t="s">
        <v>8</v>
      </c>
      <c r="M1107" t="s">
        <v>8</v>
      </c>
      <c r="N1107" t="s">
        <v>7</v>
      </c>
      <c r="P1107">
        <f t="shared" si="1029"/>
        <v>8.6206896551735742E-3</v>
      </c>
      <c r="Q1107">
        <f t="shared" si="1030"/>
        <v>3805809.2413798226</v>
      </c>
      <c r="R1107">
        <f t="shared" si="1031"/>
        <v>-2644945476.2141595</v>
      </c>
      <c r="S1107">
        <f t="shared" si="1032"/>
        <v>-26449.454762141595</v>
      </c>
      <c r="T1107">
        <f t="shared" si="1033"/>
        <v>-26.449454762141595</v>
      </c>
    </row>
    <row r="1108" spans="1:20" x14ac:dyDescent="0.25">
      <c r="A1108" s="5">
        <v>43485</v>
      </c>
      <c r="B1108">
        <v>4.0689999999999997E-3</v>
      </c>
      <c r="C1108">
        <v>4.1850000000000004E-3</v>
      </c>
      <c r="D1108">
        <v>3.8149999999999998E-3</v>
      </c>
      <c r="E1108">
        <v>3.947E-3</v>
      </c>
      <c r="F1108">
        <v>334281997</v>
      </c>
      <c r="G1108">
        <v>0</v>
      </c>
      <c r="L1108" t="s">
        <v>7</v>
      </c>
      <c r="M1108" t="s">
        <v>8</v>
      </c>
      <c r="N1108" t="s">
        <v>7</v>
      </c>
      <c r="P1108">
        <f t="shared" si="1029"/>
        <v>-0.28648648648648661</v>
      </c>
      <c r="Q1108">
        <f t="shared" si="1030"/>
        <v>-95767274.81621626</v>
      </c>
      <c r="R1108">
        <f t="shared" si="1031"/>
        <v>-2648751285.4555392</v>
      </c>
      <c r="S1108">
        <f t="shared" si="1032"/>
        <v>-26487.512854555393</v>
      </c>
      <c r="T1108">
        <f t="shared" si="1033"/>
        <v>-26.487512854555394</v>
      </c>
    </row>
    <row r="1109" spans="1:20" x14ac:dyDescent="0.25">
      <c r="A1109" s="5">
        <v>43484</v>
      </c>
      <c r="B1109">
        <v>4.0140000000000002E-3</v>
      </c>
      <c r="C1109">
        <v>4.2100000000000002E-3</v>
      </c>
      <c r="D1109">
        <v>4.0070000000000001E-3</v>
      </c>
      <c r="E1109">
        <v>4.0769999999999999E-3</v>
      </c>
      <c r="F1109">
        <v>254438249</v>
      </c>
      <c r="G1109">
        <v>0</v>
      </c>
      <c r="L1109" t="s">
        <v>7</v>
      </c>
      <c r="M1109" t="s">
        <v>8</v>
      </c>
      <c r="N1109" t="s">
        <v>7</v>
      </c>
      <c r="P1109">
        <f t="shared" si="1029"/>
        <v>-0.31034482758620957</v>
      </c>
      <c r="Q1109">
        <f t="shared" si="1030"/>
        <v>-78963594.517242059</v>
      </c>
      <c r="R1109">
        <f t="shared" si="1031"/>
        <v>-2552984010.6393228</v>
      </c>
      <c r="S1109">
        <f t="shared" si="1032"/>
        <v>-25529.840106393229</v>
      </c>
      <c r="T1109">
        <f t="shared" si="1033"/>
        <v>-25.52984010639323</v>
      </c>
    </row>
    <row r="1110" spans="1:20" x14ac:dyDescent="0.25">
      <c r="A1110" s="5">
        <v>43483</v>
      </c>
      <c r="B1110">
        <v>4.1850000000000004E-3</v>
      </c>
      <c r="C1110">
        <v>4.2040000000000003E-3</v>
      </c>
      <c r="D1110">
        <v>3.9269999999999999E-3</v>
      </c>
      <c r="E1110">
        <v>4.0140000000000002E-3</v>
      </c>
      <c r="F1110">
        <v>390351373</v>
      </c>
      <c r="G1110">
        <v>0</v>
      </c>
      <c r="L1110" t="s">
        <v>7</v>
      </c>
      <c r="M1110" t="s">
        <v>8</v>
      </c>
      <c r="N1110" t="s">
        <v>7</v>
      </c>
      <c r="P1110">
        <f t="shared" si="1029"/>
        <v>-0.37184115523465583</v>
      </c>
      <c r="Q1110">
        <f t="shared" si="1030"/>
        <v>-145148705.48375404</v>
      </c>
      <c r="R1110">
        <f t="shared" si="1031"/>
        <v>-2474020416.1220808</v>
      </c>
      <c r="S1110">
        <f t="shared" si="1032"/>
        <v>-24740.204161220809</v>
      </c>
      <c r="T1110">
        <f t="shared" si="1033"/>
        <v>-24.740204161220809</v>
      </c>
    </row>
    <row r="1111" spans="1:20" x14ac:dyDescent="0.25">
      <c r="A1111" s="5">
        <v>43482</v>
      </c>
      <c r="B1111">
        <v>3.9379999999999997E-3</v>
      </c>
      <c r="C1111">
        <v>4.3E-3</v>
      </c>
      <c r="D1111">
        <v>3.8739999999999998E-3</v>
      </c>
      <c r="E1111">
        <v>4.1910000000000003E-3</v>
      </c>
      <c r="F1111">
        <v>697667209</v>
      </c>
      <c r="G1111">
        <v>0</v>
      </c>
      <c r="L1111" t="s">
        <v>8</v>
      </c>
      <c r="M1111" t="s">
        <v>8</v>
      </c>
      <c r="N1111" t="s">
        <v>7</v>
      </c>
      <c r="P1111">
        <f t="shared" si="1029"/>
        <v>0.48826291079812356</v>
      </c>
      <c r="Q1111">
        <f t="shared" si="1030"/>
        <v>340645022.23474282</v>
      </c>
      <c r="R1111">
        <f t="shared" si="1031"/>
        <v>-2328871710.6383266</v>
      </c>
      <c r="S1111">
        <f t="shared" si="1032"/>
        <v>-23288.717106383265</v>
      </c>
      <c r="T1111">
        <f t="shared" si="1033"/>
        <v>-23.288717106383263</v>
      </c>
    </row>
    <row r="1112" spans="1:20" x14ac:dyDescent="0.25">
      <c r="A1112" s="5">
        <v>43481</v>
      </c>
      <c r="B1112">
        <v>3.849E-3</v>
      </c>
      <c r="C1112">
        <v>3.9550000000000002E-3</v>
      </c>
      <c r="D1112">
        <v>3.8070000000000001E-3</v>
      </c>
      <c r="E1112">
        <v>3.9329999999999999E-3</v>
      </c>
      <c r="F1112">
        <v>217399025</v>
      </c>
      <c r="G1112">
        <v>0</v>
      </c>
      <c r="L1112" t="s">
        <v>8</v>
      </c>
      <c r="M1112" t="s">
        <v>7</v>
      </c>
      <c r="N1112" t="s">
        <v>7</v>
      </c>
      <c r="P1112">
        <f t="shared" si="1029"/>
        <v>0.70270270270269863</v>
      </c>
      <c r="Q1112">
        <f t="shared" si="1030"/>
        <v>152766882.43243155</v>
      </c>
      <c r="R1112">
        <f t="shared" si="1031"/>
        <v>-2669516732.8730693</v>
      </c>
      <c r="S1112">
        <f t="shared" si="1032"/>
        <v>-26695.167328730691</v>
      </c>
      <c r="T1112">
        <f t="shared" si="1033"/>
        <v>-26.69516732873069</v>
      </c>
    </row>
    <row r="1113" spans="1:20" x14ac:dyDescent="0.25">
      <c r="A1113" s="5">
        <v>43480</v>
      </c>
      <c r="B1113">
        <v>3.9810000000000002E-3</v>
      </c>
      <c r="C1113">
        <v>4.0200000000000001E-3</v>
      </c>
      <c r="D1113">
        <v>3.7919999999999998E-3</v>
      </c>
      <c r="E1113">
        <v>3.852E-3</v>
      </c>
      <c r="F1113">
        <v>256395561</v>
      </c>
      <c r="G1113">
        <v>0</v>
      </c>
      <c r="L1113" t="s">
        <v>8</v>
      </c>
      <c r="M1113" t="s">
        <v>7</v>
      </c>
      <c r="N1113" t="s">
        <v>7</v>
      </c>
      <c r="P1113">
        <f t="shared" si="1029"/>
        <v>-0.47368421052631521</v>
      </c>
      <c r="Q1113">
        <f t="shared" si="1030"/>
        <v>-121450528.89473669</v>
      </c>
      <c r="R1113">
        <f t="shared" si="1031"/>
        <v>-2822283615.305501</v>
      </c>
      <c r="S1113">
        <f t="shared" si="1032"/>
        <v>-28222.83615305501</v>
      </c>
      <c r="T1113">
        <f t="shared" si="1033"/>
        <v>-28.22283615305501</v>
      </c>
    </row>
    <row r="1114" spans="1:20" x14ac:dyDescent="0.25">
      <c r="A1114" s="5">
        <v>43479</v>
      </c>
      <c r="B1114">
        <v>3.7090000000000001E-3</v>
      </c>
      <c r="C1114">
        <v>4.0220000000000004E-3</v>
      </c>
      <c r="D1114">
        <v>3.692E-3</v>
      </c>
      <c r="E1114">
        <v>3.9740000000000001E-3</v>
      </c>
      <c r="F1114">
        <v>312230517</v>
      </c>
      <c r="G1114">
        <v>0</v>
      </c>
      <c r="L1114" t="s">
        <v>8</v>
      </c>
      <c r="M1114" t="s">
        <v>7</v>
      </c>
      <c r="N1114" t="s">
        <v>7</v>
      </c>
      <c r="P1114">
        <f t="shared" si="1029"/>
        <v>0.70909090909090766</v>
      </c>
      <c r="Q1114">
        <f t="shared" si="1030"/>
        <v>221399821.14545411</v>
      </c>
      <c r="R1114">
        <f t="shared" si="1031"/>
        <v>-2700833086.4107642</v>
      </c>
      <c r="S1114">
        <f t="shared" si="1032"/>
        <v>-27008.330864107644</v>
      </c>
      <c r="T1114">
        <f t="shared" si="1033"/>
        <v>-27.008330864107645</v>
      </c>
    </row>
    <row r="1115" spans="1:20" x14ac:dyDescent="0.25">
      <c r="A1115" s="5">
        <v>43478</v>
      </c>
      <c r="B1115">
        <v>3.9300000000000003E-3</v>
      </c>
      <c r="C1115">
        <v>3.9690000000000003E-3</v>
      </c>
      <c r="D1115">
        <v>3.6099999999999999E-3</v>
      </c>
      <c r="E1115">
        <v>3.6979999999999999E-3</v>
      </c>
      <c r="F1115">
        <v>435190127</v>
      </c>
      <c r="G1115">
        <v>0</v>
      </c>
      <c r="L1115" t="s">
        <v>7</v>
      </c>
      <c r="M1115" t="s">
        <v>7</v>
      </c>
      <c r="N1115" t="s">
        <v>7</v>
      </c>
      <c r="P1115">
        <f t="shared" si="1029"/>
        <v>-0.50974930362117055</v>
      </c>
      <c r="Q1115">
        <f t="shared" si="1030"/>
        <v>-221837864.18105876</v>
      </c>
      <c r="R1115">
        <f t="shared" si="1031"/>
        <v>-2922232907.5562181</v>
      </c>
      <c r="S1115">
        <f t="shared" si="1032"/>
        <v>-29222.329075562182</v>
      </c>
      <c r="T1115">
        <f t="shared" si="1033"/>
        <v>-29.222329075562183</v>
      </c>
    </row>
    <row r="1116" spans="1:20" x14ac:dyDescent="0.25">
      <c r="A1116" s="5">
        <v>43477</v>
      </c>
      <c r="B1116">
        <v>3.9129999999999998E-3</v>
      </c>
      <c r="C1116">
        <v>3.9950000000000003E-3</v>
      </c>
      <c r="D1116">
        <v>3.862E-3</v>
      </c>
      <c r="E1116">
        <v>3.9379999999999997E-3</v>
      </c>
      <c r="F1116">
        <v>181679529</v>
      </c>
      <c r="G1116">
        <v>0</v>
      </c>
      <c r="L1116" t="s">
        <v>7</v>
      </c>
      <c r="M1116" t="s">
        <v>7</v>
      </c>
      <c r="N1116" t="s">
        <v>8</v>
      </c>
      <c r="P1116">
        <f t="shared" si="1029"/>
        <v>0.14285714285713541</v>
      </c>
      <c r="Q1116">
        <f t="shared" si="1030"/>
        <v>25954218.428570077</v>
      </c>
      <c r="R1116">
        <f t="shared" si="1031"/>
        <v>-2700395043.3751593</v>
      </c>
      <c r="S1116">
        <f t="shared" si="1032"/>
        <v>-27003.950433751594</v>
      </c>
      <c r="T1116">
        <f t="shared" si="1033"/>
        <v>-27.003950433751594</v>
      </c>
    </row>
    <row r="1117" spans="1:20" x14ac:dyDescent="0.25">
      <c r="A1117" s="5">
        <v>43476</v>
      </c>
      <c r="B1117">
        <v>3.9659999999999999E-3</v>
      </c>
      <c r="C1117">
        <v>4.0439999999999999E-3</v>
      </c>
      <c r="D1117">
        <v>3.8E-3</v>
      </c>
      <c r="E1117">
        <v>3.9119999999999997E-3</v>
      </c>
      <c r="F1117">
        <v>435822616</v>
      </c>
      <c r="G1117">
        <v>0</v>
      </c>
      <c r="L1117" t="s">
        <v>7</v>
      </c>
      <c r="M1117" t="s">
        <v>7</v>
      </c>
      <c r="N1117" t="s">
        <v>8</v>
      </c>
      <c r="P1117">
        <f t="shared" si="1029"/>
        <v>-8.1967213114756132E-2</v>
      </c>
      <c r="Q1117">
        <f t="shared" si="1030"/>
        <v>-35723165.245902523</v>
      </c>
      <c r="R1117">
        <f t="shared" si="1031"/>
        <v>-2726349261.8037295</v>
      </c>
      <c r="S1117">
        <f t="shared" si="1032"/>
        <v>-27263.492618037297</v>
      </c>
      <c r="T1117">
        <f t="shared" si="1033"/>
        <v>-27.263492618037297</v>
      </c>
    </row>
    <row r="1118" spans="1:20" x14ac:dyDescent="0.25">
      <c r="A1118" s="5">
        <v>43475</v>
      </c>
      <c r="B1118">
        <v>4.7010000000000003E-3</v>
      </c>
      <c r="C1118">
        <v>4.8339999999999998E-3</v>
      </c>
      <c r="D1118">
        <v>3.7499999999999999E-3</v>
      </c>
      <c r="E1118">
        <v>3.9680000000000002E-3</v>
      </c>
      <c r="F1118">
        <v>1042435036</v>
      </c>
      <c r="G1118">
        <v>0</v>
      </c>
      <c r="L1118" t="s">
        <v>8</v>
      </c>
      <c r="M1118" t="s">
        <v>7</v>
      </c>
      <c r="N1118" t="s">
        <v>8</v>
      </c>
      <c r="P1118">
        <f t="shared" si="1029"/>
        <v>-0.59778597785977794</v>
      </c>
      <c r="Q1118">
        <f t="shared" si="1030"/>
        <v>-623153047.3505528</v>
      </c>
      <c r="R1118">
        <f t="shared" si="1031"/>
        <v>-2690626096.557827</v>
      </c>
      <c r="S1118">
        <f t="shared" si="1032"/>
        <v>-26906.260965578269</v>
      </c>
      <c r="T1118">
        <f t="shared" si="1033"/>
        <v>-26.906260965578269</v>
      </c>
    </row>
    <row r="1119" spans="1:20" x14ac:dyDescent="0.25">
      <c r="A1119" s="5">
        <v>43474</v>
      </c>
      <c r="B1119">
        <v>4.2969999999999996E-3</v>
      </c>
      <c r="C1119">
        <v>4.7450000000000001E-3</v>
      </c>
      <c r="D1119">
        <v>4.2940000000000001E-3</v>
      </c>
      <c r="E1119">
        <v>4.7019999999999996E-3</v>
      </c>
      <c r="F1119">
        <v>733581321</v>
      </c>
      <c r="G1119">
        <v>0</v>
      </c>
      <c r="L1119" t="s">
        <v>8</v>
      </c>
      <c r="M1119" t="s">
        <v>8</v>
      </c>
      <c r="N1119" t="s">
        <v>8</v>
      </c>
      <c r="P1119">
        <f t="shared" si="1029"/>
        <v>0.80931263858092906</v>
      </c>
      <c r="Q1119">
        <f t="shared" si="1030"/>
        <v>593696634.51219356</v>
      </c>
      <c r="R1119">
        <f t="shared" si="1031"/>
        <v>-2067473049.2072744</v>
      </c>
      <c r="S1119">
        <f t="shared" si="1032"/>
        <v>-20674.730492072744</v>
      </c>
      <c r="T1119">
        <f t="shared" si="1033"/>
        <v>-20.674730492072744</v>
      </c>
    </row>
    <row r="1120" spans="1:20" x14ac:dyDescent="0.25">
      <c r="A1120" s="5">
        <v>43473</v>
      </c>
      <c r="B1120">
        <v>4.1209999999999997E-3</v>
      </c>
      <c r="C1120">
        <v>4.45E-3</v>
      </c>
      <c r="D1120">
        <v>4.0130000000000001E-3</v>
      </c>
      <c r="E1120">
        <v>4.2969999999999996E-3</v>
      </c>
      <c r="F1120">
        <v>468257832</v>
      </c>
      <c r="G1120">
        <v>0</v>
      </c>
      <c r="L1120" t="s">
        <v>8</v>
      </c>
      <c r="M1120" t="s">
        <v>8</v>
      </c>
      <c r="N1120" t="s">
        <v>8</v>
      </c>
      <c r="P1120">
        <f t="shared" si="1029"/>
        <v>0.29977116704805312</v>
      </c>
      <c r="Q1120">
        <f t="shared" si="1030"/>
        <v>140370196.7780312</v>
      </c>
      <c r="R1120">
        <f t="shared" si="1031"/>
        <v>-2661169683.7194681</v>
      </c>
      <c r="S1120">
        <f t="shared" si="1032"/>
        <v>-26611.696837194682</v>
      </c>
      <c r="T1120">
        <f t="shared" si="1033"/>
        <v>-26.611696837194682</v>
      </c>
    </row>
    <row r="1121" spans="1:20" x14ac:dyDescent="0.25">
      <c r="A1121" s="5">
        <v>43472</v>
      </c>
      <c r="B1121">
        <v>4.2459999999999998E-3</v>
      </c>
      <c r="C1121">
        <v>4.2900000000000004E-3</v>
      </c>
      <c r="D1121">
        <v>4.0699999999999998E-3</v>
      </c>
      <c r="E1121">
        <v>4.1209999999999997E-3</v>
      </c>
      <c r="F1121">
        <v>262772049</v>
      </c>
      <c r="G1121">
        <v>0</v>
      </c>
      <c r="L1121" t="s">
        <v>8</v>
      </c>
      <c r="M1121" t="s">
        <v>7</v>
      </c>
      <c r="N1121" t="s">
        <v>8</v>
      </c>
      <c r="P1121">
        <f t="shared" si="1029"/>
        <v>-0.53636363636363915</v>
      </c>
      <c r="Q1121">
        <f t="shared" si="1030"/>
        <v>-140941371.73636436</v>
      </c>
      <c r="R1121">
        <f t="shared" si="1031"/>
        <v>-2801539880.4974995</v>
      </c>
      <c r="S1121">
        <f t="shared" si="1032"/>
        <v>-28015.398804974993</v>
      </c>
      <c r="T1121">
        <f t="shared" si="1033"/>
        <v>-28.015398804974993</v>
      </c>
    </row>
    <row r="1122" spans="1:20" x14ac:dyDescent="0.25">
      <c r="A1122" s="5">
        <v>43471</v>
      </c>
      <c r="B1122">
        <v>3.9979999999999998E-3</v>
      </c>
      <c r="C1122">
        <v>4.3499999999999997E-3</v>
      </c>
      <c r="D1122">
        <v>3.9699999999999996E-3</v>
      </c>
      <c r="E1122">
        <v>4.2449999999999996E-3</v>
      </c>
      <c r="F1122">
        <v>335478426</v>
      </c>
      <c r="G1122">
        <v>0</v>
      </c>
      <c r="L1122" t="s">
        <v>8</v>
      </c>
      <c r="M1122" t="s">
        <v>7</v>
      </c>
      <c r="N1122" t="s">
        <v>8</v>
      </c>
      <c r="P1122">
        <f t="shared" si="1029"/>
        <v>0.44736842105263147</v>
      </c>
      <c r="Q1122">
        <f t="shared" si="1030"/>
        <v>150082453.73684207</v>
      </c>
      <c r="R1122">
        <f t="shared" si="1031"/>
        <v>-2660598508.7611351</v>
      </c>
      <c r="S1122">
        <f t="shared" si="1032"/>
        <v>-26605.985087611352</v>
      </c>
      <c r="T1122">
        <f t="shared" si="1033"/>
        <v>-26.605985087611352</v>
      </c>
    </row>
    <row r="1123" spans="1:20" x14ac:dyDescent="0.25">
      <c r="A1123" s="5">
        <v>43470</v>
      </c>
      <c r="B1123">
        <v>4.0309999999999999E-3</v>
      </c>
      <c r="C1123">
        <v>4.1370000000000001E-3</v>
      </c>
      <c r="D1123">
        <v>3.98E-3</v>
      </c>
      <c r="E1123">
        <v>3.9979999999999998E-3</v>
      </c>
      <c r="F1123">
        <v>219714737</v>
      </c>
      <c r="G1123">
        <v>0</v>
      </c>
      <c r="L1123" t="s">
        <v>7</v>
      </c>
      <c r="M1123" t="s">
        <v>7</v>
      </c>
      <c r="N1123" t="s">
        <v>8</v>
      </c>
      <c r="P1123">
        <f t="shared" si="1029"/>
        <v>-0.77070063694267787</v>
      </c>
      <c r="Q1123">
        <f t="shared" si="1030"/>
        <v>-169334287.75159296</v>
      </c>
      <c r="R1123">
        <f t="shared" si="1031"/>
        <v>-2810680962.4979773</v>
      </c>
      <c r="S1123">
        <f t="shared" si="1032"/>
        <v>-28106.809624979771</v>
      </c>
      <c r="T1123">
        <f t="shared" si="1033"/>
        <v>-28.106809624979771</v>
      </c>
    </row>
    <row r="1124" spans="1:20" x14ac:dyDescent="0.25">
      <c r="A1124" s="5">
        <v>43469</v>
      </c>
      <c r="B1124">
        <v>3.9690000000000003E-3</v>
      </c>
      <c r="C1124">
        <v>4.0600000000000002E-3</v>
      </c>
      <c r="D1124">
        <v>3.908E-3</v>
      </c>
      <c r="E1124">
        <v>4.0229999999999997E-3</v>
      </c>
      <c r="F1124">
        <v>216707502</v>
      </c>
      <c r="G1124">
        <v>0</v>
      </c>
      <c r="L1124" t="s">
        <v>7</v>
      </c>
      <c r="M1124" t="s">
        <v>7</v>
      </c>
      <c r="N1124" t="s">
        <v>8</v>
      </c>
      <c r="P1124">
        <f t="shared" si="1029"/>
        <v>0.51315789473683526</v>
      </c>
      <c r="Q1124">
        <f t="shared" si="1030"/>
        <v>111205165.49999851</v>
      </c>
      <c r="R1124">
        <f t="shared" si="1031"/>
        <v>-2641346674.7463841</v>
      </c>
      <c r="S1124">
        <f t="shared" si="1032"/>
        <v>-26413.466747463841</v>
      </c>
      <c r="T1124">
        <f t="shared" si="1033"/>
        <v>-26.41346674746384</v>
      </c>
    </row>
    <row r="1125" spans="1:20" x14ac:dyDescent="0.25">
      <c r="A1125" s="5">
        <v>43468</v>
      </c>
      <c r="B1125">
        <v>4.1380000000000002E-3</v>
      </c>
      <c r="C1125">
        <v>4.1619999999999999E-3</v>
      </c>
      <c r="D1125">
        <v>3.8990000000000001E-3</v>
      </c>
      <c r="E1125">
        <v>3.9699999999999996E-3</v>
      </c>
      <c r="F1125">
        <v>199200181</v>
      </c>
      <c r="G1125">
        <v>0</v>
      </c>
      <c r="L1125" t="s">
        <v>7</v>
      </c>
      <c r="M1125" t="s">
        <v>7</v>
      </c>
      <c r="N1125" t="s">
        <v>8</v>
      </c>
      <c r="P1125">
        <f t="shared" si="1029"/>
        <v>-0.46007604562738014</v>
      </c>
      <c r="Q1125">
        <f t="shared" si="1030"/>
        <v>-91647231.562738389</v>
      </c>
      <c r="R1125">
        <f t="shared" si="1031"/>
        <v>-2752551840.2463827</v>
      </c>
      <c r="S1125">
        <f t="shared" si="1032"/>
        <v>-27525.518402463826</v>
      </c>
      <c r="T1125">
        <f t="shared" si="1033"/>
        <v>-27.525518402463824</v>
      </c>
    </row>
    <row r="1126" spans="1:20" x14ac:dyDescent="0.25">
      <c r="A1126" s="5">
        <v>43467</v>
      </c>
      <c r="B1126">
        <v>4.0819999999999997E-3</v>
      </c>
      <c r="C1126">
        <v>4.1700000000000001E-3</v>
      </c>
      <c r="D1126">
        <v>3.9779999999999998E-3</v>
      </c>
      <c r="E1126">
        <v>4.1320000000000003E-3</v>
      </c>
      <c r="F1126">
        <v>228724030</v>
      </c>
      <c r="G1126">
        <v>0</v>
      </c>
      <c r="L1126" t="s">
        <v>8</v>
      </c>
      <c r="M1126" t="s">
        <v>7</v>
      </c>
      <c r="N1126" t="s">
        <v>8</v>
      </c>
      <c r="P1126">
        <f t="shared" si="1029"/>
        <v>0.60416666666666907</v>
      </c>
      <c r="Q1126">
        <f t="shared" si="1030"/>
        <v>138187434.79166722</v>
      </c>
      <c r="R1126">
        <f t="shared" si="1031"/>
        <v>-2660904608.6836443</v>
      </c>
      <c r="S1126">
        <f t="shared" si="1032"/>
        <v>-26609.046086836443</v>
      </c>
      <c r="T1126">
        <f t="shared" si="1033"/>
        <v>-26.609046086836443</v>
      </c>
    </row>
    <row r="1127" spans="1:20" x14ac:dyDescent="0.25">
      <c r="A1127" s="5">
        <v>43466</v>
      </c>
      <c r="B1127">
        <v>3.921E-3</v>
      </c>
      <c r="C1127">
        <v>4.0949999999999997E-3</v>
      </c>
      <c r="D1127">
        <v>3.8600000000000001E-3</v>
      </c>
      <c r="E1127">
        <v>4.0819999999999997E-3</v>
      </c>
      <c r="F1127">
        <v>132989417</v>
      </c>
      <c r="G1127">
        <v>0</v>
      </c>
      <c r="L1127" t="s">
        <v>7</v>
      </c>
      <c r="M1127" t="s">
        <v>7</v>
      </c>
      <c r="N1127" t="s">
        <v>8</v>
      </c>
      <c r="P1127">
        <f t="shared" si="1029"/>
        <v>0.88936170212765941</v>
      </c>
      <c r="Q1127">
        <f t="shared" si="1030"/>
        <v>118275694.26808509</v>
      </c>
      <c r="R1127">
        <f t="shared" si="1031"/>
        <v>-2799092043.4753113</v>
      </c>
      <c r="S1127">
        <f t="shared" si="1032"/>
        <v>-27990.920434753112</v>
      </c>
      <c r="T1127">
        <f t="shared" si="1033"/>
        <v>-27.990920434753111</v>
      </c>
    </row>
    <row r="1128" spans="1:20" x14ac:dyDescent="0.25">
      <c r="A1128" s="5">
        <v>43465</v>
      </c>
      <c r="B1128">
        <v>4.1440000000000001E-3</v>
      </c>
      <c r="C1128">
        <v>4.163E-3</v>
      </c>
      <c r="D1128">
        <v>3.849E-3</v>
      </c>
      <c r="E1128">
        <v>3.9269999999999999E-3</v>
      </c>
      <c r="F1128">
        <v>247974732</v>
      </c>
      <c r="G1128">
        <v>0</v>
      </c>
      <c r="L1128" t="s">
        <v>7</v>
      </c>
      <c r="M1128" t="s">
        <v>7</v>
      </c>
      <c r="N1128" t="s">
        <v>8</v>
      </c>
      <c r="P1128">
        <f t="shared" si="1029"/>
        <v>-0.50318471337579662</v>
      </c>
      <c r="Q1128">
        <f t="shared" si="1030"/>
        <v>-124777094.44585998</v>
      </c>
      <c r="R1128">
        <f t="shared" si="1031"/>
        <v>-2917367737.7433963</v>
      </c>
      <c r="S1128">
        <f t="shared" si="1032"/>
        <v>-29173.677377433964</v>
      </c>
      <c r="T1128">
        <f t="shared" si="1033"/>
        <v>-29.173677377433965</v>
      </c>
    </row>
    <row r="1129" spans="1:20" x14ac:dyDescent="0.25">
      <c r="A1129" s="5">
        <v>43464</v>
      </c>
      <c r="B1129">
        <v>4.0239999999999998E-3</v>
      </c>
      <c r="C1129">
        <v>4.1999999999999997E-3</v>
      </c>
      <c r="D1129">
        <v>3.9529999999999999E-3</v>
      </c>
      <c r="E1129">
        <v>4.15E-3</v>
      </c>
      <c r="F1129">
        <v>300208150</v>
      </c>
      <c r="G1129">
        <v>0</v>
      </c>
      <c r="L1129" t="s">
        <v>7</v>
      </c>
      <c r="M1129" t="s">
        <v>7</v>
      </c>
      <c r="N1129" t="s">
        <v>8</v>
      </c>
      <c r="P1129">
        <f t="shared" si="1029"/>
        <v>0.59514170040486047</v>
      </c>
      <c r="Q1129">
        <f t="shared" si="1030"/>
        <v>178666388.86639741</v>
      </c>
      <c r="R1129">
        <f t="shared" si="1031"/>
        <v>-2792590643.2975364</v>
      </c>
      <c r="S1129">
        <f t="shared" si="1032"/>
        <v>-27925.906432975364</v>
      </c>
      <c r="T1129">
        <f t="shared" si="1033"/>
        <v>-27.925906432975363</v>
      </c>
    </row>
    <row r="1130" spans="1:20" x14ac:dyDescent="0.25">
      <c r="A1130" s="5">
        <v>43463</v>
      </c>
      <c r="B1130">
        <v>4.3010000000000001E-3</v>
      </c>
      <c r="C1130">
        <v>4.3499999999999997E-3</v>
      </c>
      <c r="D1130">
        <v>3.9740000000000001E-3</v>
      </c>
      <c r="E1130">
        <v>4.0200000000000001E-3</v>
      </c>
      <c r="F1130">
        <v>385490421</v>
      </c>
      <c r="G1130">
        <v>0</v>
      </c>
      <c r="L1130" t="s">
        <v>7</v>
      </c>
      <c r="M1130" t="s">
        <v>7</v>
      </c>
      <c r="N1130" t="s">
        <v>8</v>
      </c>
      <c r="P1130">
        <f t="shared" si="1029"/>
        <v>-0.7553191489361698</v>
      </c>
      <c r="Q1130">
        <f t="shared" si="1030"/>
        <v>-291168296.71276581</v>
      </c>
      <c r="R1130">
        <f t="shared" si="1031"/>
        <v>-2971257032.1639338</v>
      </c>
      <c r="S1130">
        <f t="shared" si="1032"/>
        <v>-29712.570321639338</v>
      </c>
      <c r="T1130">
        <f t="shared" si="1033"/>
        <v>-29.712570321639337</v>
      </c>
    </row>
    <row r="1131" spans="1:20" x14ac:dyDescent="0.25">
      <c r="A1131" s="5">
        <v>43462</v>
      </c>
      <c r="B1131">
        <v>3.8419999999999999E-3</v>
      </c>
      <c r="C1131">
        <v>4.4000000000000003E-3</v>
      </c>
      <c r="D1131">
        <v>3.7599999999999999E-3</v>
      </c>
      <c r="E1131">
        <v>4.2969999999999996E-3</v>
      </c>
      <c r="F1131">
        <v>456075768.60000002</v>
      </c>
      <c r="G1131">
        <v>0</v>
      </c>
      <c r="L1131" t="s">
        <v>8</v>
      </c>
      <c r="M1131" t="s">
        <v>7</v>
      </c>
      <c r="N1131" t="s">
        <v>8</v>
      </c>
      <c r="P1131">
        <f t="shared" si="1029"/>
        <v>0.67812499999999809</v>
      </c>
      <c r="Q1131">
        <f t="shared" si="1030"/>
        <v>309276380.58187413</v>
      </c>
      <c r="R1131">
        <f t="shared" si="1031"/>
        <v>-2680088735.4511681</v>
      </c>
      <c r="S1131">
        <f t="shared" si="1032"/>
        <v>-26800.88735451168</v>
      </c>
      <c r="T1131">
        <f t="shared" si="1033"/>
        <v>-26.80088735451168</v>
      </c>
    </row>
    <row r="1132" spans="1:20" x14ac:dyDescent="0.25">
      <c r="A1132" s="5">
        <v>43461</v>
      </c>
      <c r="B1132">
        <v>4.3200000000000001E-3</v>
      </c>
      <c r="C1132">
        <v>4.3559999999999996E-3</v>
      </c>
      <c r="D1132">
        <v>3.8019999999999998E-3</v>
      </c>
      <c r="E1132">
        <v>3.839E-3</v>
      </c>
      <c r="F1132">
        <v>337294618.5</v>
      </c>
      <c r="G1132">
        <v>0</v>
      </c>
      <c r="L1132" t="s">
        <v>7</v>
      </c>
      <c r="M1132" t="s">
        <v>7</v>
      </c>
      <c r="N1132" t="s">
        <v>8</v>
      </c>
      <c r="P1132">
        <f t="shared" si="1029"/>
        <v>-0.86642599277978283</v>
      </c>
      <c r="Q1132">
        <f t="shared" si="1030"/>
        <v>-292240824.69314063</v>
      </c>
      <c r="R1132">
        <f t="shared" si="1031"/>
        <v>-2989365116.033042</v>
      </c>
      <c r="S1132">
        <f t="shared" si="1032"/>
        <v>-29893.651160330421</v>
      </c>
      <c r="T1132">
        <f t="shared" si="1033"/>
        <v>-29.893651160330421</v>
      </c>
    </row>
    <row r="1133" spans="1:20" x14ac:dyDescent="0.25">
      <c r="A1133" s="5">
        <v>43460</v>
      </c>
      <c r="B1133">
        <v>4.2979999999999997E-3</v>
      </c>
      <c r="C1133">
        <v>4.5199999999999997E-3</v>
      </c>
      <c r="D1133">
        <v>4.1510000000000002E-3</v>
      </c>
      <c r="E1133">
        <v>4.3200000000000001E-3</v>
      </c>
      <c r="F1133">
        <v>288041251</v>
      </c>
      <c r="G1133">
        <v>0</v>
      </c>
      <c r="L1133" t="s">
        <v>8</v>
      </c>
      <c r="M1133" t="s">
        <v>7</v>
      </c>
      <c r="N1133" t="s">
        <v>8</v>
      </c>
      <c r="P1133">
        <f t="shared" si="1029"/>
        <v>-8.4010840108400583E-2</v>
      </c>
      <c r="Q1133">
        <f t="shared" si="1030"/>
        <v>-24198587.482384678</v>
      </c>
      <c r="R1133">
        <f t="shared" si="1031"/>
        <v>-2697124291.3399014</v>
      </c>
      <c r="S1133">
        <f t="shared" si="1032"/>
        <v>-26971.242913399015</v>
      </c>
      <c r="T1133">
        <f t="shared" si="1033"/>
        <v>-26.971242913399017</v>
      </c>
    </row>
    <row r="1134" spans="1:20" x14ac:dyDescent="0.25">
      <c r="A1134" s="5">
        <v>43459</v>
      </c>
      <c r="B1134">
        <v>4.705E-3</v>
      </c>
      <c r="C1134">
        <v>4.7479999999999996E-3</v>
      </c>
      <c r="D1134">
        <v>4.1000000000000003E-3</v>
      </c>
      <c r="E1134">
        <v>4.3090000000000003E-3</v>
      </c>
      <c r="F1134">
        <v>552659192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-0.35493827160493757</v>
      </c>
      <c r="Q1134">
        <f t="shared" si="1030"/>
        <v>-196159898.39506134</v>
      </c>
      <c r="R1134">
        <f t="shared" si="1031"/>
        <v>-2672925703.8575168</v>
      </c>
      <c r="S1134">
        <f t="shared" si="1032"/>
        <v>-26729.257038575168</v>
      </c>
      <c r="T1134">
        <f t="shared" si="1033"/>
        <v>-26.729257038575167</v>
      </c>
    </row>
    <row r="1135" spans="1:20" x14ac:dyDescent="0.25">
      <c r="A1135" s="5">
        <v>43458</v>
      </c>
      <c r="B1135">
        <v>4.6410000000000002E-3</v>
      </c>
      <c r="C1135">
        <v>5.2500000000000003E-3</v>
      </c>
      <c r="D1135">
        <v>4.6150000000000002E-3</v>
      </c>
      <c r="E1135">
        <v>4.718E-3</v>
      </c>
      <c r="F1135">
        <v>871356277.60000002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-0.67559055118110312</v>
      </c>
      <c r="Q1135">
        <f t="shared" si="1030"/>
        <v>-588680067.85889828</v>
      </c>
      <c r="R1135">
        <f t="shared" si="1031"/>
        <v>-2476765805.4624553</v>
      </c>
      <c r="S1135">
        <f t="shared" si="1032"/>
        <v>-24767.658054624553</v>
      </c>
      <c r="T1135">
        <f t="shared" si="1033"/>
        <v>-24.767658054624555</v>
      </c>
    </row>
    <row r="1136" spans="1:20" x14ac:dyDescent="0.25">
      <c r="A1136" s="5">
        <v>43457</v>
      </c>
      <c r="B1136">
        <v>4.5519999999999996E-3</v>
      </c>
      <c r="C1136">
        <v>4.8469999999999997E-3</v>
      </c>
      <c r="D1136">
        <v>4.5139999999999998E-3</v>
      </c>
      <c r="E1136">
        <v>4.6410000000000002E-3</v>
      </c>
      <c r="F1136">
        <v>403540999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-0.23723723723723489</v>
      </c>
      <c r="Q1136">
        <f t="shared" si="1030"/>
        <v>-95734951.714713767</v>
      </c>
      <c r="R1136">
        <f t="shared" si="1031"/>
        <v>-1888085737.6035571</v>
      </c>
      <c r="S1136">
        <f t="shared" si="1032"/>
        <v>-18880.857376035572</v>
      </c>
      <c r="T1136">
        <f t="shared" si="1033"/>
        <v>-18.880857376035571</v>
      </c>
    </row>
    <row r="1137" spans="1:20" x14ac:dyDescent="0.25">
      <c r="A1137" s="5">
        <v>43456</v>
      </c>
      <c r="B1137">
        <v>4.4099999999999999E-3</v>
      </c>
      <c r="C1137">
        <v>4.6699999999999997E-3</v>
      </c>
      <c r="D1137">
        <v>4.2599999999999999E-3</v>
      </c>
      <c r="E1137">
        <v>4.5690000000000001E-3</v>
      </c>
      <c r="F1137">
        <v>378701765</v>
      </c>
      <c r="G1137">
        <v>0</v>
      </c>
      <c r="L1137" t="s">
        <v>7</v>
      </c>
      <c r="M1137" t="s">
        <v>8</v>
      </c>
      <c r="N1137" t="s">
        <v>8</v>
      </c>
      <c r="P1137">
        <f t="shared" si="1029"/>
        <v>0.50731707317073371</v>
      </c>
      <c r="Q1137">
        <f t="shared" si="1030"/>
        <v>192121871.024391</v>
      </c>
      <c r="R1137">
        <f t="shared" si="1031"/>
        <v>-1792350785.8888433</v>
      </c>
      <c r="S1137">
        <f t="shared" si="1032"/>
        <v>-17923.507858888432</v>
      </c>
      <c r="T1137">
        <f t="shared" si="1033"/>
        <v>-17.923507858888431</v>
      </c>
    </row>
    <row r="1138" spans="1:20" x14ac:dyDescent="0.25">
      <c r="A1138" s="5">
        <v>43455</v>
      </c>
      <c r="B1138">
        <v>4.4660000000000004E-3</v>
      </c>
      <c r="C1138">
        <v>4.8789999999999997E-3</v>
      </c>
      <c r="D1138">
        <v>4.2129999999999997E-3</v>
      </c>
      <c r="E1138">
        <v>4.3829999999999997E-3</v>
      </c>
      <c r="F1138">
        <v>900606423.10000002</v>
      </c>
      <c r="G1138">
        <v>0</v>
      </c>
      <c r="L1138" t="s">
        <v>8</v>
      </c>
      <c r="M1138" t="s">
        <v>8</v>
      </c>
      <c r="N1138" t="s">
        <v>8</v>
      </c>
      <c r="P1138">
        <f t="shared" si="1029"/>
        <v>-0.48948948948948939</v>
      </c>
      <c r="Q1138">
        <f t="shared" si="1030"/>
        <v>-440837378.27417409</v>
      </c>
      <c r="R1138">
        <f t="shared" si="1031"/>
        <v>-1984472656.9132342</v>
      </c>
      <c r="S1138">
        <f t="shared" si="1032"/>
        <v>-19844.726569132341</v>
      </c>
      <c r="T1138">
        <f t="shared" si="1033"/>
        <v>-19.844726569132341</v>
      </c>
    </row>
    <row r="1139" spans="1:20" x14ac:dyDescent="0.25">
      <c r="A1139" s="5">
        <v>43454</v>
      </c>
      <c r="B1139">
        <v>4.1099999999999999E-3</v>
      </c>
      <c r="C1139">
        <v>4.529E-3</v>
      </c>
      <c r="D1139">
        <v>4.0400000000000002E-3</v>
      </c>
      <c r="E1139">
        <v>4.4780000000000002E-3</v>
      </c>
      <c r="F1139">
        <v>821495982.5</v>
      </c>
      <c r="G1139">
        <v>0</v>
      </c>
      <c r="L1139" t="s">
        <v>7</v>
      </c>
      <c r="M1139" t="s">
        <v>8</v>
      </c>
      <c r="N1139" t="s">
        <v>8</v>
      </c>
      <c r="P1139">
        <f t="shared" si="1029"/>
        <v>0.79141104294478593</v>
      </c>
      <c r="Q1139">
        <f t="shared" si="1030"/>
        <v>650140992.28527665</v>
      </c>
      <c r="R1139">
        <f t="shared" si="1031"/>
        <v>-1543635278.6390603</v>
      </c>
      <c r="S1139">
        <f t="shared" si="1032"/>
        <v>-15436.352786390602</v>
      </c>
      <c r="T1139">
        <f t="shared" si="1033"/>
        <v>-15.436352786390602</v>
      </c>
    </row>
    <row r="1140" spans="1:20" x14ac:dyDescent="0.25">
      <c r="A1140" s="5">
        <v>43453</v>
      </c>
      <c r="B1140">
        <v>4.0899999999999999E-3</v>
      </c>
      <c r="C1140">
        <v>4.4999999999999997E-3</v>
      </c>
      <c r="D1140">
        <v>4.0400000000000002E-3</v>
      </c>
      <c r="E1140">
        <v>4.1099999999999999E-3</v>
      </c>
      <c r="F1140">
        <v>881306039.39999998</v>
      </c>
      <c r="G1140">
        <v>0</v>
      </c>
      <c r="L1140" t="s">
        <v>8</v>
      </c>
      <c r="M1140" t="s">
        <v>8</v>
      </c>
      <c r="N1140" t="s">
        <v>8</v>
      </c>
      <c r="P1140">
        <f t="shared" si="1029"/>
        <v>-0.69565217391304424</v>
      </c>
      <c r="Q1140">
        <f t="shared" si="1030"/>
        <v>-613082462.19130504</v>
      </c>
      <c r="R1140">
        <f t="shared" si="1031"/>
        <v>-2193776270.9243369</v>
      </c>
      <c r="S1140">
        <f t="shared" si="1032"/>
        <v>-21937.762709243369</v>
      </c>
      <c r="T1140">
        <f t="shared" si="1033"/>
        <v>-21.937762709243369</v>
      </c>
    </row>
    <row r="1141" spans="1:20" x14ac:dyDescent="0.25">
      <c r="A1141" s="5">
        <v>43452</v>
      </c>
      <c r="B1141">
        <v>4.0000000000000001E-3</v>
      </c>
      <c r="C1141">
        <v>4.13E-3</v>
      </c>
      <c r="D1141">
        <v>3.7200000000000002E-3</v>
      </c>
      <c r="E1141">
        <v>4.0899999999999999E-3</v>
      </c>
      <c r="F1141">
        <v>492769359.39999998</v>
      </c>
      <c r="G1141">
        <v>0</v>
      </c>
      <c r="L1141" t="s">
        <v>7</v>
      </c>
      <c r="M1141" t="s">
        <v>8</v>
      </c>
      <c r="N1141" t="s">
        <v>7</v>
      </c>
      <c r="P1141">
        <f t="shared" si="1029"/>
        <v>0.80487804878048719</v>
      </c>
      <c r="Q1141">
        <f t="shared" si="1030"/>
        <v>396619240.49268258</v>
      </c>
      <c r="R1141">
        <f t="shared" si="1031"/>
        <v>-1580693808.7330317</v>
      </c>
      <c r="S1141">
        <f t="shared" si="1032"/>
        <v>-15806.938087330318</v>
      </c>
      <c r="T1141">
        <f t="shared" si="1033"/>
        <v>-15.806938087330318</v>
      </c>
    </row>
    <row r="1142" spans="1:20" x14ac:dyDescent="0.25">
      <c r="A1142" s="5">
        <v>43451</v>
      </c>
      <c r="B1142">
        <v>3.3899999999999998E-3</v>
      </c>
      <c r="C1142">
        <v>4.0699999999999998E-3</v>
      </c>
      <c r="D1142">
        <v>3.3899999999999998E-3</v>
      </c>
      <c r="E1142">
        <v>4.0000000000000001E-3</v>
      </c>
      <c r="F1142">
        <v>769692738.89999998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0.79411764705882426</v>
      </c>
      <c r="Q1142">
        <f t="shared" si="1030"/>
        <v>611226586.77353001</v>
      </c>
      <c r="R1142">
        <f t="shared" si="1031"/>
        <v>-1977313049.2257142</v>
      </c>
      <c r="S1142">
        <f t="shared" si="1032"/>
        <v>-19773.130492257143</v>
      </c>
      <c r="T1142">
        <f t="shared" si="1033"/>
        <v>-19.773130492257142</v>
      </c>
    </row>
    <row r="1143" spans="1:20" x14ac:dyDescent="0.25">
      <c r="A1143" s="5">
        <v>43450</v>
      </c>
      <c r="B1143">
        <v>3.3300000000000001E-3</v>
      </c>
      <c r="C1143">
        <v>3.49E-3</v>
      </c>
      <c r="D1143">
        <v>3.32E-3</v>
      </c>
      <c r="E1143">
        <v>3.3899999999999998E-3</v>
      </c>
      <c r="F1143">
        <v>187022172.5</v>
      </c>
      <c r="G1143">
        <v>0</v>
      </c>
      <c r="L1143" t="s">
        <v>8</v>
      </c>
      <c r="M1143" t="s">
        <v>7</v>
      </c>
      <c r="N1143" t="s">
        <v>7</v>
      </c>
      <c r="P1143">
        <f t="shared" si="1029"/>
        <v>-0.17647058823529713</v>
      </c>
      <c r="Q1143">
        <f t="shared" si="1030"/>
        <v>-33003912.794118211</v>
      </c>
      <c r="R1143">
        <f t="shared" si="1031"/>
        <v>-2588539635.9992442</v>
      </c>
      <c r="S1143">
        <f t="shared" si="1032"/>
        <v>-25885.396359992443</v>
      </c>
      <c r="T1143">
        <f t="shared" si="1033"/>
        <v>-25.885396359992441</v>
      </c>
    </row>
    <row r="1144" spans="1:20" x14ac:dyDescent="0.25">
      <c r="A1144" s="5">
        <v>43449</v>
      </c>
      <c r="B1144">
        <v>3.3700000000000002E-3</v>
      </c>
      <c r="C1144">
        <v>3.4099999999999998E-3</v>
      </c>
      <c r="D1144">
        <v>3.2499999999999999E-3</v>
      </c>
      <c r="E1144">
        <v>3.3400000000000001E-3</v>
      </c>
      <c r="F1144">
        <v>177801793.80000001</v>
      </c>
      <c r="G1144">
        <v>0</v>
      </c>
      <c r="L1144" t="s">
        <v>7</v>
      </c>
      <c r="M1144" t="s">
        <v>7</v>
      </c>
      <c r="N1144" t="s">
        <v>7</v>
      </c>
      <c r="P1144">
        <f t="shared" si="1029"/>
        <v>0.12500000000000305</v>
      </c>
      <c r="Q1144">
        <f t="shared" si="1030"/>
        <v>22225224.225000545</v>
      </c>
      <c r="R1144">
        <f t="shared" si="1031"/>
        <v>-2555535723.2051258</v>
      </c>
      <c r="S1144">
        <f t="shared" si="1032"/>
        <v>-25555.357232051258</v>
      </c>
      <c r="T1144">
        <f t="shared" si="1033"/>
        <v>-25.555357232051257</v>
      </c>
    </row>
    <row r="1145" spans="1:20" x14ac:dyDescent="0.25">
      <c r="A1145" s="5">
        <v>43448</v>
      </c>
      <c r="B1145">
        <v>3.5100000000000001E-3</v>
      </c>
      <c r="C1145">
        <v>3.5500000000000002E-3</v>
      </c>
      <c r="D1145">
        <v>3.2799999999999999E-3</v>
      </c>
      <c r="E1145">
        <v>3.3700000000000002E-3</v>
      </c>
      <c r="F1145">
        <v>221049168</v>
      </c>
      <c r="G1145">
        <v>0</v>
      </c>
      <c r="L1145" t="s">
        <v>7</v>
      </c>
      <c r="M1145" t="s">
        <v>7</v>
      </c>
      <c r="N1145" t="s">
        <v>7</v>
      </c>
      <c r="P1145">
        <f t="shared" si="1029"/>
        <v>-0.33333333333333226</v>
      </c>
      <c r="Q1145">
        <f t="shared" si="1030"/>
        <v>-73683055.999999762</v>
      </c>
      <c r="R1145">
        <f t="shared" si="1031"/>
        <v>-2577760947.4301262</v>
      </c>
      <c r="S1145">
        <f t="shared" si="1032"/>
        <v>-25777.609474301262</v>
      </c>
      <c r="T1145">
        <f t="shared" si="1033"/>
        <v>-25.777609474301261</v>
      </c>
    </row>
    <row r="1146" spans="1:20" x14ac:dyDescent="0.25">
      <c r="A1146" s="5">
        <v>43447</v>
      </c>
      <c r="B1146">
        <v>3.6900000000000001E-3</v>
      </c>
      <c r="C1146">
        <v>3.7200000000000002E-3</v>
      </c>
      <c r="D1146">
        <v>3.4499999999999999E-3</v>
      </c>
      <c r="E1146">
        <v>3.5100000000000001E-3</v>
      </c>
      <c r="F1146">
        <v>200291109.19999999</v>
      </c>
      <c r="G1146">
        <v>0</v>
      </c>
      <c r="L1146" t="s">
        <v>7</v>
      </c>
      <c r="M1146" t="s">
        <v>7</v>
      </c>
      <c r="N1146" t="s">
        <v>7</v>
      </c>
      <c r="P1146">
        <f t="shared" si="1029"/>
        <v>-0.5555555555555548</v>
      </c>
      <c r="Q1146">
        <f t="shared" si="1030"/>
        <v>-111272838.44444428</v>
      </c>
      <c r="R1146">
        <f t="shared" si="1031"/>
        <v>-2504077891.4301267</v>
      </c>
      <c r="S1146">
        <f t="shared" si="1032"/>
        <v>-25040.778914301267</v>
      </c>
      <c r="T1146">
        <f t="shared" si="1033"/>
        <v>-25.040778914301267</v>
      </c>
    </row>
    <row r="1147" spans="1:20" x14ac:dyDescent="0.25">
      <c r="A1147" s="5">
        <v>43446</v>
      </c>
      <c r="B1147">
        <v>3.6800000000000001E-3</v>
      </c>
      <c r="C1147">
        <v>3.7799999999999999E-3</v>
      </c>
      <c r="D1147">
        <v>3.5699999999999998E-3</v>
      </c>
      <c r="E1147">
        <v>3.6900000000000001E-3</v>
      </c>
      <c r="F1147">
        <v>337083777.10000002</v>
      </c>
      <c r="G1147">
        <v>0</v>
      </c>
      <c r="L1147" t="s">
        <v>7</v>
      </c>
      <c r="M1147" t="s">
        <v>7</v>
      </c>
      <c r="N1147" t="s">
        <v>7</v>
      </c>
      <c r="P1147">
        <f t="shared" si="1029"/>
        <v>0.14285714285714521</v>
      </c>
      <c r="Q1147">
        <f t="shared" si="1030"/>
        <v>48154825.300000794</v>
      </c>
      <c r="R1147">
        <f t="shared" si="1031"/>
        <v>-2392805052.9856825</v>
      </c>
      <c r="S1147">
        <f t="shared" si="1032"/>
        <v>-23928.050529856824</v>
      </c>
      <c r="T1147">
        <f t="shared" si="1033"/>
        <v>-23.928050529856826</v>
      </c>
    </row>
    <row r="1148" spans="1:20" x14ac:dyDescent="0.25">
      <c r="A1148" s="5">
        <v>43445</v>
      </c>
      <c r="B1148">
        <v>3.7599999999999999E-3</v>
      </c>
      <c r="C1148">
        <v>3.82E-3</v>
      </c>
      <c r="D1148">
        <v>3.5999999999999999E-3</v>
      </c>
      <c r="E1148">
        <v>3.6900000000000001E-3</v>
      </c>
      <c r="F1148">
        <v>179494181.90000001</v>
      </c>
      <c r="G1148">
        <v>0</v>
      </c>
      <c r="L1148" t="s">
        <v>7</v>
      </c>
      <c r="M1148" t="s">
        <v>7</v>
      </c>
      <c r="N1148" t="s">
        <v>7</v>
      </c>
      <c r="P1148">
        <f t="shared" si="1029"/>
        <v>-0.18181818181818021</v>
      </c>
      <c r="Q1148">
        <f t="shared" si="1030"/>
        <v>-32635305.799999714</v>
      </c>
      <c r="R1148">
        <f t="shared" si="1031"/>
        <v>-2440959878.2856832</v>
      </c>
      <c r="S1148">
        <f t="shared" si="1032"/>
        <v>-24409.598782856832</v>
      </c>
      <c r="T1148">
        <f t="shared" si="1033"/>
        <v>-24.409598782856833</v>
      </c>
    </row>
    <row r="1149" spans="1:20" x14ac:dyDescent="0.25">
      <c r="A1149" s="5">
        <v>43444</v>
      </c>
      <c r="B1149">
        <v>4.0000000000000001E-3</v>
      </c>
      <c r="C1149">
        <v>4.0699999999999998E-3</v>
      </c>
      <c r="D1149">
        <v>3.6800000000000001E-3</v>
      </c>
      <c r="E1149">
        <v>3.7699999999999999E-3</v>
      </c>
      <c r="F1149">
        <v>303713841.10000002</v>
      </c>
      <c r="G1149">
        <v>0</v>
      </c>
      <c r="L1149" t="s">
        <v>7</v>
      </c>
      <c r="M1149" t="s">
        <v>7</v>
      </c>
      <c r="N1149" t="s">
        <v>7</v>
      </c>
      <c r="P1149">
        <f t="shared" si="1029"/>
        <v>-0.5384615384615391</v>
      </c>
      <c r="Q1149">
        <f t="shared" si="1030"/>
        <v>-163538222.13076943</v>
      </c>
      <c r="R1149">
        <f t="shared" si="1031"/>
        <v>-2408324572.4856834</v>
      </c>
      <c r="S1149">
        <f t="shared" si="1032"/>
        <v>-24083.245724856835</v>
      </c>
      <c r="T1149">
        <f t="shared" si="1033"/>
        <v>-24.083245724856834</v>
      </c>
    </row>
    <row r="1150" spans="1:20" x14ac:dyDescent="0.25">
      <c r="A1150" s="5">
        <v>43443</v>
      </c>
      <c r="B1150">
        <v>3.8300000000000001E-3</v>
      </c>
      <c r="C1150">
        <v>4.1700000000000001E-3</v>
      </c>
      <c r="D1150">
        <v>3.7699999999999999E-3</v>
      </c>
      <c r="E1150">
        <v>4.0000000000000001E-3</v>
      </c>
      <c r="F1150">
        <v>315231766.80000001</v>
      </c>
      <c r="G1150">
        <v>0</v>
      </c>
      <c r="L1150" t="s">
        <v>8</v>
      </c>
      <c r="M1150" t="s">
        <v>7</v>
      </c>
      <c r="N1150" t="s">
        <v>7</v>
      </c>
      <c r="P1150">
        <f t="shared" si="1029"/>
        <v>0.15000000000000033</v>
      </c>
      <c r="Q1150">
        <f t="shared" si="1030"/>
        <v>47284765.020000108</v>
      </c>
      <c r="R1150">
        <f t="shared" si="1031"/>
        <v>-2244786350.3549142</v>
      </c>
      <c r="S1150">
        <f t="shared" si="1032"/>
        <v>-22447.863503549142</v>
      </c>
      <c r="T1150">
        <f t="shared" si="1033"/>
        <v>-22.447863503549144</v>
      </c>
    </row>
    <row r="1151" spans="1:20" x14ac:dyDescent="0.25">
      <c r="A1151" s="5">
        <v>43442</v>
      </c>
      <c r="B1151">
        <v>3.9100000000000003E-3</v>
      </c>
      <c r="C1151">
        <v>4.13E-3</v>
      </c>
      <c r="D1151">
        <v>3.64E-3</v>
      </c>
      <c r="E1151">
        <v>3.8300000000000001E-3</v>
      </c>
      <c r="F1151">
        <v>389956772.39999998</v>
      </c>
      <c r="G1151">
        <v>0</v>
      </c>
      <c r="L1151" t="s">
        <v>8</v>
      </c>
      <c r="M1151" t="s">
        <v>7</v>
      </c>
      <c r="N1151" t="s">
        <v>7</v>
      </c>
      <c r="P1151">
        <f t="shared" ref="P1151:P1195" si="1034">IF(C1151=D1151,0,((E1151-D1151)-(C1151-E1151))/(C1151-D1151))</f>
        <v>-0.22448979591836707</v>
      </c>
      <c r="Q1151">
        <f t="shared" ref="Q1151:Q1195" si="1035">F1151*P1151</f>
        <v>-87541316.253061116</v>
      </c>
      <c r="R1151">
        <f t="shared" ref="R1151:R1195" si="1036">R1152+Q1151</f>
        <v>-2292071115.3749142</v>
      </c>
      <c r="S1151">
        <f t="shared" ref="S1151:S1195" si="1037">R1151/100000</f>
        <v>-22920.71115374914</v>
      </c>
      <c r="T1151">
        <f t="shared" ref="T1151:T1195" si="1038">S1151/1000</f>
        <v>-22.920711153749139</v>
      </c>
    </row>
    <row r="1152" spans="1:20" x14ac:dyDescent="0.25">
      <c r="A1152" s="5">
        <v>43441</v>
      </c>
      <c r="B1152">
        <v>4.1000000000000003E-3</v>
      </c>
      <c r="C1152">
        <v>4.1799999999999997E-3</v>
      </c>
      <c r="D1152">
        <v>3.63E-3</v>
      </c>
      <c r="E1152">
        <v>3.9100000000000003E-3</v>
      </c>
      <c r="F1152">
        <v>593023037.79999995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1.8181818181819815E-2</v>
      </c>
      <c r="Q1152">
        <f t="shared" si="1035"/>
        <v>10782237.050910059</v>
      </c>
      <c r="R1152">
        <f t="shared" si="1036"/>
        <v>-2204529799.1218529</v>
      </c>
      <c r="S1152">
        <f t="shared" si="1037"/>
        <v>-22045.297991218529</v>
      </c>
      <c r="T1152">
        <f t="shared" si="1038"/>
        <v>-22.045297991218529</v>
      </c>
    </row>
    <row r="1153" spans="1:20" x14ac:dyDescent="0.25">
      <c r="A1153" s="5">
        <v>43440</v>
      </c>
      <c r="B1153">
        <v>4.4600000000000004E-3</v>
      </c>
      <c r="C1153">
        <v>4.8799999999999998E-3</v>
      </c>
      <c r="D1153">
        <v>4.1000000000000003E-3</v>
      </c>
      <c r="E1153">
        <v>4.1099999999999999E-3</v>
      </c>
      <c r="F1153">
        <v>616985422.10000002</v>
      </c>
      <c r="G1153">
        <v>0</v>
      </c>
      <c r="L1153" t="s">
        <v>7</v>
      </c>
      <c r="M1153" t="s">
        <v>7</v>
      </c>
      <c r="N1153" t="s">
        <v>7</v>
      </c>
      <c r="P1153">
        <f t="shared" si="1034"/>
        <v>-0.97435897435897534</v>
      </c>
      <c r="Q1153">
        <f t="shared" si="1035"/>
        <v>-601165283.07179546</v>
      </c>
      <c r="R1153">
        <f t="shared" si="1036"/>
        <v>-2215312036.1727629</v>
      </c>
      <c r="S1153">
        <f t="shared" si="1037"/>
        <v>-22153.12036172763</v>
      </c>
      <c r="T1153">
        <f t="shared" si="1038"/>
        <v>-22.15312036172763</v>
      </c>
    </row>
    <row r="1154" spans="1:20" x14ac:dyDescent="0.25">
      <c r="A1154" s="5">
        <v>43439</v>
      </c>
      <c r="B1154">
        <v>4.62E-3</v>
      </c>
      <c r="C1154">
        <v>4.6699999999999997E-3</v>
      </c>
      <c r="D1154">
        <v>4.3699999999999998E-3</v>
      </c>
      <c r="E1154">
        <v>4.4600000000000004E-3</v>
      </c>
      <c r="F1154">
        <v>331479825.89999998</v>
      </c>
      <c r="G1154">
        <v>0</v>
      </c>
      <c r="L1154" t="s">
        <v>7</v>
      </c>
      <c r="M1154" t="s">
        <v>7</v>
      </c>
      <c r="N1154" t="s">
        <v>7</v>
      </c>
      <c r="P1154">
        <f t="shared" si="1034"/>
        <v>-0.39999999999999536</v>
      </c>
      <c r="Q1154">
        <f t="shared" si="1035"/>
        <v>-132591930.35999845</v>
      </c>
      <c r="R1154">
        <f t="shared" si="1036"/>
        <v>-1614146753.1009674</v>
      </c>
      <c r="S1154">
        <f t="shared" si="1037"/>
        <v>-16141.467531009674</v>
      </c>
      <c r="T1154">
        <f t="shared" si="1038"/>
        <v>-16.141467531009674</v>
      </c>
    </row>
    <row r="1155" spans="1:20" x14ac:dyDescent="0.25">
      <c r="A1155" s="5">
        <v>43438</v>
      </c>
      <c r="B1155">
        <v>4.5300000000000002E-3</v>
      </c>
      <c r="C1155">
        <v>4.9199999999999999E-3</v>
      </c>
      <c r="D1155">
        <v>4.3800000000000002E-3</v>
      </c>
      <c r="E1155">
        <v>4.62E-3</v>
      </c>
      <c r="F1155">
        <v>357282540.19999999</v>
      </c>
      <c r="G1155">
        <v>0</v>
      </c>
      <c r="L1155" t="s">
        <v>7</v>
      </c>
      <c r="M1155" t="s">
        <v>7</v>
      </c>
      <c r="N1155" t="s">
        <v>7</v>
      </c>
      <c r="P1155">
        <f t="shared" si="1034"/>
        <v>-0.11111111111111147</v>
      </c>
      <c r="Q1155">
        <f t="shared" si="1035"/>
        <v>-39698060.022222348</v>
      </c>
      <c r="R1155">
        <f t="shared" si="1036"/>
        <v>-1481554822.7409689</v>
      </c>
      <c r="S1155">
        <f t="shared" si="1037"/>
        <v>-14815.54822740969</v>
      </c>
      <c r="T1155">
        <f t="shared" si="1038"/>
        <v>-14.815548227409691</v>
      </c>
    </row>
    <row r="1156" spans="1:20" x14ac:dyDescent="0.25">
      <c r="A1156" s="5">
        <v>43437</v>
      </c>
      <c r="B1156">
        <v>4.9500000000000004E-3</v>
      </c>
      <c r="C1156">
        <v>4.9800000000000001E-3</v>
      </c>
      <c r="D1156">
        <v>4.4299999999999999E-3</v>
      </c>
      <c r="E1156">
        <v>4.5300000000000002E-3</v>
      </c>
      <c r="F1156">
        <v>460148819.39999998</v>
      </c>
      <c r="G1156">
        <v>0</v>
      </c>
      <c r="L1156" t="s">
        <v>7</v>
      </c>
      <c r="M1156" t="s">
        <v>7</v>
      </c>
      <c r="N1156" t="s">
        <v>7</v>
      </c>
      <c r="P1156">
        <f t="shared" si="1034"/>
        <v>-0.63636363636363547</v>
      </c>
      <c r="Q1156">
        <f t="shared" si="1035"/>
        <v>-292821975.98181778</v>
      </c>
      <c r="R1156">
        <f t="shared" si="1036"/>
        <v>-1441856762.7187467</v>
      </c>
      <c r="S1156">
        <f t="shared" si="1037"/>
        <v>-14418.567627187467</v>
      </c>
      <c r="T1156">
        <f t="shared" si="1038"/>
        <v>-14.418567627187468</v>
      </c>
    </row>
    <row r="1157" spans="1:20" x14ac:dyDescent="0.25">
      <c r="A1157" s="5">
        <v>43436</v>
      </c>
      <c r="B1157">
        <v>5.0600000000000003E-3</v>
      </c>
      <c r="C1157">
        <v>5.1799999999999997E-3</v>
      </c>
      <c r="D1157">
        <v>4.79E-3</v>
      </c>
      <c r="E1157">
        <v>4.96E-3</v>
      </c>
      <c r="F1157">
        <v>331935402.60000002</v>
      </c>
      <c r="G1157">
        <v>0</v>
      </c>
      <c r="L1157" t="s">
        <v>7</v>
      </c>
      <c r="M1157" t="s">
        <v>7</v>
      </c>
      <c r="N1157" t="s">
        <v>7</v>
      </c>
      <c r="P1157">
        <f t="shared" si="1034"/>
        <v>-0.12820512820512753</v>
      </c>
      <c r="Q1157">
        <f t="shared" si="1035"/>
        <v>-42555820.846153624</v>
      </c>
      <c r="R1157">
        <f t="shared" si="1036"/>
        <v>-1149034786.7369289</v>
      </c>
      <c r="S1157">
        <f t="shared" si="1037"/>
        <v>-11490.34786736929</v>
      </c>
      <c r="T1157">
        <f t="shared" si="1038"/>
        <v>-11.490347867369289</v>
      </c>
    </row>
    <row r="1158" spans="1:20" x14ac:dyDescent="0.25">
      <c r="A1158" s="5">
        <v>43435</v>
      </c>
      <c r="B1158">
        <v>4.81E-3</v>
      </c>
      <c r="C1158">
        <v>5.2500000000000003E-3</v>
      </c>
      <c r="D1158">
        <v>4.6600000000000001E-3</v>
      </c>
      <c r="E1158">
        <v>5.0699999999999999E-3</v>
      </c>
      <c r="F1158">
        <v>349632370.30000001</v>
      </c>
      <c r="G1158">
        <v>0</v>
      </c>
      <c r="L1158" t="s">
        <v>8</v>
      </c>
      <c r="M1158" t="s">
        <v>7</v>
      </c>
      <c r="N1158" t="s">
        <v>7</v>
      </c>
      <c r="P1158">
        <f t="shared" si="1034"/>
        <v>0.3898305084745749</v>
      </c>
      <c r="Q1158">
        <f t="shared" si="1035"/>
        <v>136297364.69321987</v>
      </c>
      <c r="R1158">
        <f t="shared" si="1036"/>
        <v>-1106478965.8907752</v>
      </c>
      <c r="S1158">
        <f t="shared" si="1037"/>
        <v>-11064.789658907752</v>
      </c>
      <c r="T1158">
        <f t="shared" si="1038"/>
        <v>-11.064789658907753</v>
      </c>
    </row>
    <row r="1159" spans="1:20" x14ac:dyDescent="0.25">
      <c r="A1159" s="5">
        <v>43434</v>
      </c>
      <c r="B1159">
        <v>5.3400000000000001E-3</v>
      </c>
      <c r="C1159">
        <v>5.4099999999999999E-3</v>
      </c>
      <c r="D1159">
        <v>4.5599999999999998E-3</v>
      </c>
      <c r="E1159">
        <v>4.81E-3</v>
      </c>
      <c r="F1159">
        <v>608546487.60000002</v>
      </c>
      <c r="G1159">
        <v>0</v>
      </c>
      <c r="L1159" t="s">
        <v>7</v>
      </c>
      <c r="M1159" t="s">
        <v>7</v>
      </c>
      <c r="N1159" t="s">
        <v>7</v>
      </c>
      <c r="P1159">
        <f t="shared" si="1034"/>
        <v>-0.41176470588235248</v>
      </c>
      <c r="Q1159">
        <f t="shared" si="1035"/>
        <v>-250577965.48235267</v>
      </c>
      <c r="R1159">
        <f t="shared" si="1036"/>
        <v>-1242776330.5839951</v>
      </c>
      <c r="S1159">
        <f t="shared" si="1037"/>
        <v>-12427.763305839951</v>
      </c>
      <c r="T1159">
        <f t="shared" si="1038"/>
        <v>-12.427763305839951</v>
      </c>
    </row>
    <row r="1160" spans="1:20" x14ac:dyDescent="0.25">
      <c r="A1160" s="5">
        <v>43433</v>
      </c>
      <c r="B1160">
        <v>5.2599999999999999E-3</v>
      </c>
      <c r="C1160">
        <v>5.7499999999999999E-3</v>
      </c>
      <c r="D1160">
        <v>4.9500000000000004E-3</v>
      </c>
      <c r="E1160">
        <v>5.3400000000000001E-3</v>
      </c>
      <c r="F1160">
        <v>581033382.39999998</v>
      </c>
      <c r="G1160">
        <v>0</v>
      </c>
      <c r="L1160" t="s">
        <v>8</v>
      </c>
      <c r="M1160" t="s">
        <v>8</v>
      </c>
      <c r="N1160" t="s">
        <v>7</v>
      </c>
      <c r="P1160">
        <f t="shared" si="1034"/>
        <v>-2.5000000000000081E-2</v>
      </c>
      <c r="Q1160">
        <f t="shared" si="1035"/>
        <v>-14525834.560000047</v>
      </c>
      <c r="R1160">
        <f t="shared" si="1036"/>
        <v>-992198365.10164249</v>
      </c>
      <c r="S1160">
        <f t="shared" si="1037"/>
        <v>-9921.9836510164241</v>
      </c>
      <c r="T1160">
        <f t="shared" si="1038"/>
        <v>-9.9219836510164239</v>
      </c>
    </row>
    <row r="1161" spans="1:20" x14ac:dyDescent="0.25">
      <c r="A1161" s="5">
        <v>43432</v>
      </c>
      <c r="B1161">
        <v>4.4799999999999996E-3</v>
      </c>
      <c r="C1161">
        <v>5.4999999999999997E-3</v>
      </c>
      <c r="D1161">
        <v>4.4799999999999996E-3</v>
      </c>
      <c r="E1161">
        <v>5.2599999999999999E-3</v>
      </c>
      <c r="F1161">
        <v>958711869.70000005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0.5294117647058828</v>
      </c>
      <c r="Q1161">
        <f t="shared" si="1035"/>
        <v>507553342.7823534</v>
      </c>
      <c r="R1161">
        <f t="shared" si="1036"/>
        <v>-977672530.54164243</v>
      </c>
      <c r="S1161">
        <f t="shared" si="1037"/>
        <v>-9776.7253054164248</v>
      </c>
      <c r="T1161">
        <f t="shared" si="1038"/>
        <v>-9.7767253054164254</v>
      </c>
    </row>
    <row r="1162" spans="1:20" x14ac:dyDescent="0.25">
      <c r="A1162" s="5">
        <v>43431</v>
      </c>
      <c r="B1162">
        <v>4.4200000000000003E-3</v>
      </c>
      <c r="C1162">
        <v>4.6299999999999996E-3</v>
      </c>
      <c r="D1162">
        <v>4.1000000000000003E-3</v>
      </c>
      <c r="E1162">
        <v>4.47E-3</v>
      </c>
      <c r="F1162">
        <v>308662946.69999999</v>
      </c>
      <c r="G1162">
        <v>0</v>
      </c>
      <c r="L1162" t="s">
        <v>7</v>
      </c>
      <c r="M1162" t="s">
        <v>7</v>
      </c>
      <c r="N1162" t="s">
        <v>7</v>
      </c>
      <c r="P1162">
        <f t="shared" si="1034"/>
        <v>0.39622641509434042</v>
      </c>
      <c r="Q1162">
        <f t="shared" si="1035"/>
        <v>122300412.84339647</v>
      </c>
      <c r="R1162">
        <f t="shared" si="1036"/>
        <v>-1485225873.3239958</v>
      </c>
      <c r="S1162">
        <f t="shared" si="1037"/>
        <v>-14852.258733239958</v>
      </c>
      <c r="T1162">
        <f t="shared" si="1038"/>
        <v>-14.852258733239958</v>
      </c>
    </row>
    <row r="1163" spans="1:20" x14ac:dyDescent="0.25">
      <c r="A1163" s="5">
        <v>43430</v>
      </c>
      <c r="B1163">
        <v>4.7699999999999999E-3</v>
      </c>
      <c r="C1163">
        <v>4.9199999999999999E-3</v>
      </c>
      <c r="D1163">
        <v>4.2599999999999999E-3</v>
      </c>
      <c r="E1163">
        <v>4.4299999999999999E-3</v>
      </c>
      <c r="F1163">
        <v>484361707.19999999</v>
      </c>
      <c r="G1163">
        <v>0</v>
      </c>
      <c r="L1163" t="s">
        <v>8</v>
      </c>
      <c r="M1163" t="s">
        <v>8</v>
      </c>
      <c r="N1163" t="s">
        <v>7</v>
      </c>
      <c r="P1163">
        <f t="shared" si="1034"/>
        <v>-0.48484848484848481</v>
      </c>
      <c r="Q1163">
        <f t="shared" si="1035"/>
        <v>-234842039.85454541</v>
      </c>
      <c r="R1163">
        <f t="shared" si="1036"/>
        <v>-1607526286.1673923</v>
      </c>
      <c r="S1163">
        <f t="shared" si="1037"/>
        <v>-16075.262861673922</v>
      </c>
      <c r="T1163">
        <f t="shared" si="1038"/>
        <v>-16.075262861673924</v>
      </c>
    </row>
    <row r="1164" spans="1:20" x14ac:dyDescent="0.25">
      <c r="A1164" s="5">
        <v>43429</v>
      </c>
      <c r="B1164">
        <v>4.5799999999999999E-3</v>
      </c>
      <c r="C1164">
        <v>4.9699999999999996E-3</v>
      </c>
      <c r="D1164">
        <v>4.0800000000000003E-3</v>
      </c>
      <c r="E1164">
        <v>4.7699999999999999E-3</v>
      </c>
      <c r="F1164">
        <v>623876237.89999998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0.55056179775280945</v>
      </c>
      <c r="Q1164">
        <f t="shared" si="1035"/>
        <v>343482423.11348343</v>
      </c>
      <c r="R1164">
        <f t="shared" si="1036"/>
        <v>-1372684246.3128469</v>
      </c>
      <c r="S1164">
        <f t="shared" si="1037"/>
        <v>-13726.842463128469</v>
      </c>
      <c r="T1164">
        <f t="shared" si="1038"/>
        <v>-13.726842463128468</v>
      </c>
    </row>
    <row r="1165" spans="1:20" x14ac:dyDescent="0.25">
      <c r="A1165" s="5">
        <v>43428</v>
      </c>
      <c r="B1165">
        <v>5.2399999999999999E-3</v>
      </c>
      <c r="C1165">
        <v>5.4400000000000004E-3</v>
      </c>
      <c r="D1165">
        <v>4.4400000000000004E-3</v>
      </c>
      <c r="E1165">
        <v>4.6100000000000004E-3</v>
      </c>
      <c r="F1165">
        <v>352437259.5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-0.66</v>
      </c>
      <c r="Q1165">
        <f t="shared" si="1035"/>
        <v>-232608591.27000001</v>
      </c>
      <c r="R1165">
        <f t="shared" si="1036"/>
        <v>-1716166669.4263303</v>
      </c>
      <c r="S1165">
        <f t="shared" si="1037"/>
        <v>-17161.666694263302</v>
      </c>
      <c r="T1165">
        <f t="shared" si="1038"/>
        <v>-17.161666694263303</v>
      </c>
    </row>
    <row r="1166" spans="1:20" x14ac:dyDescent="0.25">
      <c r="A1166" s="5">
        <v>43427</v>
      </c>
      <c r="B1166">
        <v>5.2399999999999999E-3</v>
      </c>
      <c r="C1166">
        <v>5.3800000000000002E-3</v>
      </c>
      <c r="D1166">
        <v>5.0000000000000001E-3</v>
      </c>
      <c r="E1166">
        <v>5.2399999999999999E-3</v>
      </c>
      <c r="F1166">
        <v>347635205.89999998</v>
      </c>
      <c r="G1166">
        <v>0</v>
      </c>
      <c r="L1166" t="s">
        <v>7</v>
      </c>
      <c r="M1166" t="s">
        <v>7</v>
      </c>
      <c r="N1166" t="s">
        <v>7</v>
      </c>
      <c r="P1166">
        <f t="shared" si="1034"/>
        <v>0.26315789473684043</v>
      </c>
      <c r="Q1166">
        <f t="shared" si="1035"/>
        <v>91482948.921052039</v>
      </c>
      <c r="R1166">
        <f t="shared" si="1036"/>
        <v>-1483558078.1563303</v>
      </c>
      <c r="S1166">
        <f t="shared" si="1037"/>
        <v>-14835.580781563303</v>
      </c>
      <c r="T1166">
        <f t="shared" si="1038"/>
        <v>-14.835580781563303</v>
      </c>
    </row>
    <row r="1167" spans="1:20" x14ac:dyDescent="0.25">
      <c r="A1167" s="5">
        <v>43426</v>
      </c>
      <c r="B1167">
        <v>5.8700000000000002E-3</v>
      </c>
      <c r="C1167">
        <v>5.9899999999999997E-3</v>
      </c>
      <c r="D1167">
        <v>5.1799999999999997E-3</v>
      </c>
      <c r="E1167">
        <v>5.2399999999999999E-3</v>
      </c>
      <c r="F1167">
        <v>273770009</v>
      </c>
      <c r="G1167">
        <v>0</v>
      </c>
      <c r="L1167" t="s">
        <v>7</v>
      </c>
      <c r="M1167" t="s">
        <v>8</v>
      </c>
      <c r="N1167" t="s">
        <v>7</v>
      </c>
      <c r="P1167">
        <f t="shared" si="1034"/>
        <v>-0.85185185185185142</v>
      </c>
      <c r="Q1167">
        <f t="shared" si="1035"/>
        <v>-233211489.14814803</v>
      </c>
      <c r="R1167">
        <f t="shared" si="1036"/>
        <v>-1575041027.0773823</v>
      </c>
      <c r="S1167">
        <f t="shared" si="1037"/>
        <v>-15750.410270773824</v>
      </c>
      <c r="T1167">
        <f t="shared" si="1038"/>
        <v>-15.750410270773823</v>
      </c>
    </row>
    <row r="1168" spans="1:20" x14ac:dyDescent="0.25">
      <c r="A1168" s="5">
        <v>43425</v>
      </c>
      <c r="B1168">
        <v>5.4299999999999999E-3</v>
      </c>
      <c r="C1168">
        <v>6.1000000000000004E-3</v>
      </c>
      <c r="D1168">
        <v>5.2900000000000004E-3</v>
      </c>
      <c r="E1168">
        <v>5.8700000000000002E-3</v>
      </c>
      <c r="F1168">
        <v>561910956.89999998</v>
      </c>
      <c r="G1168">
        <v>0</v>
      </c>
      <c r="L1168" t="s">
        <v>8</v>
      </c>
      <c r="M1168" t="s">
        <v>8</v>
      </c>
      <c r="N1168" t="s">
        <v>7</v>
      </c>
      <c r="P1168">
        <f t="shared" si="1034"/>
        <v>0.4320987654320983</v>
      </c>
      <c r="Q1168">
        <f t="shared" si="1035"/>
        <v>242801030.75925899</v>
      </c>
      <c r="R1168">
        <f t="shared" si="1036"/>
        <v>-1341829537.9292343</v>
      </c>
      <c r="S1168">
        <f t="shared" si="1037"/>
        <v>-13418.295379292344</v>
      </c>
      <c r="T1168">
        <f t="shared" si="1038"/>
        <v>-13.418295379292344</v>
      </c>
    </row>
    <row r="1169" spans="1:20" x14ac:dyDescent="0.25">
      <c r="A1169" s="5">
        <v>43424</v>
      </c>
      <c r="B1169">
        <v>6.13E-3</v>
      </c>
      <c r="C1169">
        <v>6.4400000000000004E-3</v>
      </c>
      <c r="D1169">
        <v>5.0200000000000002E-3</v>
      </c>
      <c r="E1169">
        <v>5.4299999999999999E-3</v>
      </c>
      <c r="F1169">
        <v>935440809.39999998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-0.42253521126760607</v>
      </c>
      <c r="Q1169">
        <f t="shared" si="1035"/>
        <v>-395256680.02816939</v>
      </c>
      <c r="R1169">
        <f t="shared" si="1036"/>
        <v>-1584630568.6884933</v>
      </c>
      <c r="S1169">
        <f t="shared" si="1037"/>
        <v>-15846.305686884933</v>
      </c>
      <c r="T1169">
        <f t="shared" si="1038"/>
        <v>-15.846305686884932</v>
      </c>
    </row>
    <row r="1170" spans="1:20" x14ac:dyDescent="0.25">
      <c r="A1170" s="5">
        <v>43423</v>
      </c>
      <c r="B1170">
        <v>7.7299999999999999E-3</v>
      </c>
      <c r="C1170">
        <v>7.7299999999999999E-3</v>
      </c>
      <c r="D1170">
        <v>5.9100000000000003E-3</v>
      </c>
      <c r="E1170">
        <v>6.1399999999999996E-3</v>
      </c>
      <c r="F1170">
        <v>745055101.70000005</v>
      </c>
      <c r="G1170">
        <v>0</v>
      </c>
      <c r="L1170" t="s">
        <v>7</v>
      </c>
      <c r="M1170" t="s">
        <v>7</v>
      </c>
      <c r="N1170" t="s">
        <v>7</v>
      </c>
      <c r="P1170">
        <f t="shared" si="1034"/>
        <v>-0.74725274725274793</v>
      </c>
      <c r="Q1170">
        <f t="shared" si="1035"/>
        <v>-556744471.6000005</v>
      </c>
      <c r="R1170">
        <f t="shared" si="1036"/>
        <v>-1189373888.6603239</v>
      </c>
      <c r="S1170">
        <f t="shared" si="1037"/>
        <v>-11893.738886603238</v>
      </c>
      <c r="T1170">
        <f t="shared" si="1038"/>
        <v>-11.893738886603238</v>
      </c>
    </row>
    <row r="1171" spans="1:20" x14ac:dyDescent="0.25">
      <c r="A1171" s="5">
        <v>43422</v>
      </c>
      <c r="B1171">
        <v>7.79E-3</v>
      </c>
      <c r="C1171">
        <v>7.9500000000000005E-3</v>
      </c>
      <c r="D1171">
        <v>7.6499999999999997E-3</v>
      </c>
      <c r="E1171">
        <v>7.7299999999999999E-3</v>
      </c>
      <c r="F1171">
        <v>151884567.69999999</v>
      </c>
      <c r="G1171">
        <v>0</v>
      </c>
      <c r="L1171" t="s">
        <v>7</v>
      </c>
      <c r="M1171" t="s">
        <v>7</v>
      </c>
      <c r="N1171" t="s">
        <v>7</v>
      </c>
      <c r="P1171">
        <f t="shared" si="1034"/>
        <v>-0.46666666666666667</v>
      </c>
      <c r="Q1171">
        <f t="shared" si="1035"/>
        <v>-70879464.926666662</v>
      </c>
      <c r="R1171">
        <f t="shared" si="1036"/>
        <v>-632629417.06032336</v>
      </c>
      <c r="S1171">
        <f t="shared" si="1037"/>
        <v>-6326.2941706032334</v>
      </c>
      <c r="T1171">
        <f t="shared" si="1038"/>
        <v>-6.3262941706032336</v>
      </c>
    </row>
    <row r="1172" spans="1:20" x14ac:dyDescent="0.25">
      <c r="A1172" s="5">
        <v>43421</v>
      </c>
      <c r="B1172">
        <v>7.7999999999999996E-3</v>
      </c>
      <c r="C1172">
        <v>7.8300000000000002E-3</v>
      </c>
      <c r="D1172">
        <v>7.4999999999999997E-3</v>
      </c>
      <c r="E1172">
        <v>7.7999999999999996E-3</v>
      </c>
      <c r="F1172">
        <v>157054012.40000001</v>
      </c>
      <c r="G1172">
        <v>0</v>
      </c>
      <c r="L1172" t="s">
        <v>7</v>
      </c>
      <c r="M1172" t="s">
        <v>7</v>
      </c>
      <c r="N1172" t="s">
        <v>7</v>
      </c>
      <c r="P1172">
        <f t="shared" si="1034"/>
        <v>0.81818181818181535</v>
      </c>
      <c r="Q1172">
        <f t="shared" si="1035"/>
        <v>128498737.41818137</v>
      </c>
      <c r="R1172">
        <f t="shared" si="1036"/>
        <v>-561749952.13365674</v>
      </c>
      <c r="S1172">
        <f t="shared" si="1037"/>
        <v>-5617.4995213365673</v>
      </c>
      <c r="T1172">
        <f t="shared" si="1038"/>
        <v>-5.6174995213365673</v>
      </c>
    </row>
    <row r="1173" spans="1:20" x14ac:dyDescent="0.25">
      <c r="A1173" s="5">
        <v>43420</v>
      </c>
      <c r="B1173">
        <v>8.1200000000000005E-3</v>
      </c>
      <c r="C1173">
        <v>8.2400000000000008E-3</v>
      </c>
      <c r="D1173">
        <v>7.6299999999999996E-3</v>
      </c>
      <c r="E1173">
        <v>7.7799999999999996E-3</v>
      </c>
      <c r="F1173">
        <v>237895283.59999999</v>
      </c>
      <c r="G1173">
        <v>0</v>
      </c>
      <c r="L1173" t="s">
        <v>8</v>
      </c>
      <c r="M1173" t="s">
        <v>7</v>
      </c>
      <c r="N1173" t="s">
        <v>7</v>
      </c>
      <c r="P1173">
        <f t="shared" si="1034"/>
        <v>-0.50819672131147653</v>
      </c>
      <c r="Q1173">
        <f t="shared" si="1035"/>
        <v>-120897603.14098386</v>
      </c>
      <c r="R1173">
        <f t="shared" si="1036"/>
        <v>-690248689.55183816</v>
      </c>
      <c r="S1173">
        <f t="shared" si="1037"/>
        <v>-6902.486895518382</v>
      </c>
      <c r="T1173">
        <f t="shared" si="1038"/>
        <v>-6.9024868955183818</v>
      </c>
    </row>
    <row r="1174" spans="1:20" x14ac:dyDescent="0.25">
      <c r="A1174" s="5">
        <v>43419</v>
      </c>
      <c r="B1174">
        <v>8.6599999999999993E-3</v>
      </c>
      <c r="C1174">
        <v>8.9999999999999993E-3</v>
      </c>
      <c r="D1174">
        <v>7.1500000000000001E-3</v>
      </c>
      <c r="E1174">
        <v>8.1300000000000001E-3</v>
      </c>
      <c r="F1174">
        <v>484566818.39999998</v>
      </c>
      <c r="G1174">
        <v>0</v>
      </c>
      <c r="L1174" t="s">
        <v>7</v>
      </c>
      <c r="M1174" t="s">
        <v>7</v>
      </c>
      <c r="N1174" t="s">
        <v>7</v>
      </c>
      <c r="P1174">
        <f t="shared" si="1034"/>
        <v>5.9459459459459872E-2</v>
      </c>
      <c r="Q1174">
        <f t="shared" si="1035"/>
        <v>28812081.094054252</v>
      </c>
      <c r="R1174">
        <f t="shared" si="1036"/>
        <v>-569351086.41085434</v>
      </c>
      <c r="S1174">
        <f t="shared" si="1037"/>
        <v>-5693.5108641085435</v>
      </c>
      <c r="T1174">
        <f t="shared" si="1038"/>
        <v>-5.6935108641085437</v>
      </c>
    </row>
    <row r="1175" spans="1:20" x14ac:dyDescent="0.25">
      <c r="A1175" s="5">
        <v>43418</v>
      </c>
      <c r="B1175">
        <v>9.2899999999999996E-3</v>
      </c>
      <c r="C1175">
        <v>9.4699999999999993E-3</v>
      </c>
      <c r="D1175">
        <v>7.62E-3</v>
      </c>
      <c r="E1175">
        <v>8.6700000000000006E-3</v>
      </c>
      <c r="F1175">
        <v>482461445.80000001</v>
      </c>
      <c r="G1175">
        <v>0</v>
      </c>
      <c r="L1175" t="s">
        <v>7</v>
      </c>
      <c r="M1175" t="s">
        <v>7</v>
      </c>
      <c r="N1175" t="s">
        <v>7</v>
      </c>
      <c r="P1175">
        <f t="shared" si="1034"/>
        <v>0.13513513513513625</v>
      </c>
      <c r="Q1175">
        <f t="shared" si="1035"/>
        <v>65197492.675676219</v>
      </c>
      <c r="R1175">
        <f t="shared" si="1036"/>
        <v>-598163167.50490856</v>
      </c>
      <c r="S1175">
        <f t="shared" si="1037"/>
        <v>-5981.631675049086</v>
      </c>
      <c r="T1175">
        <f t="shared" si="1038"/>
        <v>-5.9816316750490861</v>
      </c>
    </row>
    <row r="1176" spans="1:20" x14ac:dyDescent="0.25">
      <c r="A1176" s="5">
        <v>43417</v>
      </c>
      <c r="B1176">
        <v>9.9900000000000006E-3</v>
      </c>
      <c r="C1176">
        <v>1.001E-2</v>
      </c>
      <c r="D1176">
        <v>9.2800000000000001E-3</v>
      </c>
      <c r="E1176">
        <v>9.2800000000000001E-3</v>
      </c>
      <c r="F1176">
        <v>200065697.69999999</v>
      </c>
      <c r="G1176">
        <v>0</v>
      </c>
      <c r="L1176" t="s">
        <v>7</v>
      </c>
      <c r="M1176" t="s">
        <v>7</v>
      </c>
      <c r="N1176" t="s">
        <v>7</v>
      </c>
      <c r="P1176">
        <f t="shared" si="1034"/>
        <v>-1</v>
      </c>
      <c r="Q1176">
        <f t="shared" si="1035"/>
        <v>-200065697.69999999</v>
      </c>
      <c r="R1176">
        <f t="shared" si="1036"/>
        <v>-663360660.18058479</v>
      </c>
      <c r="S1176">
        <f t="shared" si="1037"/>
        <v>-6633.6066018058482</v>
      </c>
      <c r="T1176">
        <f t="shared" si="1038"/>
        <v>-6.6336066018058482</v>
      </c>
    </row>
    <row r="1177" spans="1:20" x14ac:dyDescent="0.25">
      <c r="A1177" s="5">
        <v>43416</v>
      </c>
      <c r="B1177">
        <v>1.021E-2</v>
      </c>
      <c r="C1177">
        <v>1.0290000000000001E-2</v>
      </c>
      <c r="D1177">
        <v>9.9399999999999992E-3</v>
      </c>
      <c r="E1177">
        <v>0.01</v>
      </c>
      <c r="F1177">
        <v>112778869.40000001</v>
      </c>
      <c r="G1177">
        <v>0</v>
      </c>
      <c r="L1177" t="s">
        <v>7</v>
      </c>
      <c r="M1177" t="s">
        <v>7</v>
      </c>
      <c r="N1177" t="s">
        <v>7</v>
      </c>
      <c r="P1177">
        <f t="shared" si="1034"/>
        <v>-0.65714285714285259</v>
      </c>
      <c r="Q1177">
        <f t="shared" si="1035"/>
        <v>-74111828.462856635</v>
      </c>
      <c r="R1177">
        <f t="shared" si="1036"/>
        <v>-463294962.4805848</v>
      </c>
      <c r="S1177">
        <f t="shared" si="1037"/>
        <v>-4632.9496248058476</v>
      </c>
      <c r="T1177">
        <f t="shared" si="1038"/>
        <v>-4.6329496248058479</v>
      </c>
    </row>
    <row r="1178" spans="1:20" x14ac:dyDescent="0.25">
      <c r="A1178" s="5">
        <v>43415</v>
      </c>
      <c r="B1178">
        <v>1.031E-2</v>
      </c>
      <c r="C1178">
        <v>1.0370000000000001E-2</v>
      </c>
      <c r="D1178">
        <v>1.0109999999999999E-2</v>
      </c>
      <c r="E1178">
        <v>1.0189999999999999E-2</v>
      </c>
      <c r="F1178">
        <v>88542267.400000006</v>
      </c>
      <c r="G1178">
        <v>0</v>
      </c>
      <c r="L1178" t="s">
        <v>7</v>
      </c>
      <c r="M1178" t="s">
        <v>7</v>
      </c>
      <c r="N1178" t="s">
        <v>7</v>
      </c>
      <c r="P1178">
        <f t="shared" si="1034"/>
        <v>-0.38461538461538669</v>
      </c>
      <c r="Q1178">
        <f t="shared" si="1035"/>
        <v>-34054718.230769418</v>
      </c>
      <c r="R1178">
        <f t="shared" si="1036"/>
        <v>-389183134.01772815</v>
      </c>
      <c r="S1178">
        <f t="shared" si="1037"/>
        <v>-3891.8313401772816</v>
      </c>
      <c r="T1178">
        <f t="shared" si="1038"/>
        <v>-3.8918313401772817</v>
      </c>
    </row>
    <row r="1179" spans="1:20" x14ac:dyDescent="0.25">
      <c r="A1179" s="5">
        <v>43414</v>
      </c>
      <c r="B1179">
        <v>1.026E-2</v>
      </c>
      <c r="C1179">
        <v>1.0489999999999999E-2</v>
      </c>
      <c r="D1179">
        <v>1.0189999999999999E-2</v>
      </c>
      <c r="E1179">
        <v>1.031E-2</v>
      </c>
      <c r="F1179">
        <v>52530376.5</v>
      </c>
      <c r="G1179">
        <v>0</v>
      </c>
      <c r="L1179" t="s">
        <v>7</v>
      </c>
      <c r="M1179" t="s">
        <v>7</v>
      </c>
      <c r="N1179" t="s">
        <v>7</v>
      </c>
      <c r="P1179">
        <f t="shared" si="1034"/>
        <v>-0.19999999999999768</v>
      </c>
      <c r="Q1179">
        <f t="shared" si="1035"/>
        <v>-10506075.299999878</v>
      </c>
      <c r="R1179">
        <f t="shared" si="1036"/>
        <v>-355128415.78695875</v>
      </c>
      <c r="S1179">
        <f t="shared" si="1037"/>
        <v>-3551.2841578695875</v>
      </c>
      <c r="T1179">
        <f t="shared" si="1038"/>
        <v>-3.5512841578695875</v>
      </c>
    </row>
    <row r="1180" spans="1:20" x14ac:dyDescent="0.25">
      <c r="A1180" s="5">
        <v>43413</v>
      </c>
      <c r="B1180">
        <v>1.0540000000000001E-2</v>
      </c>
      <c r="C1180">
        <v>1.0580000000000001E-2</v>
      </c>
      <c r="D1180">
        <v>1.0120000000000001E-2</v>
      </c>
      <c r="E1180">
        <v>1.026E-2</v>
      </c>
      <c r="F1180">
        <v>112700486.7</v>
      </c>
      <c r="G1180">
        <v>0</v>
      </c>
      <c r="L1180" t="s">
        <v>7</v>
      </c>
      <c r="M1180" t="s">
        <v>7</v>
      </c>
      <c r="N1180" t="s">
        <v>7</v>
      </c>
      <c r="P1180">
        <f t="shared" si="1034"/>
        <v>-0.39130434782608958</v>
      </c>
      <c r="Q1180">
        <f t="shared" si="1035"/>
        <v>-44100190.447826385</v>
      </c>
      <c r="R1180">
        <f t="shared" si="1036"/>
        <v>-344622340.48695886</v>
      </c>
      <c r="S1180">
        <f t="shared" si="1037"/>
        <v>-3446.2234048695886</v>
      </c>
      <c r="T1180">
        <f t="shared" si="1038"/>
        <v>-3.4462234048695888</v>
      </c>
    </row>
    <row r="1181" spans="1:20" x14ac:dyDescent="0.25">
      <c r="A1181" s="5">
        <v>43412</v>
      </c>
      <c r="B1181">
        <v>1.0869999999999999E-2</v>
      </c>
      <c r="C1181">
        <v>1.091E-2</v>
      </c>
      <c r="D1181">
        <v>1.048E-2</v>
      </c>
      <c r="E1181">
        <v>1.055E-2</v>
      </c>
      <c r="F1181">
        <v>95394813.400000006</v>
      </c>
      <c r="G1181">
        <v>0</v>
      </c>
      <c r="L1181" t="s">
        <v>7</v>
      </c>
      <c r="M1181" t="s">
        <v>7</v>
      </c>
      <c r="N1181" t="s">
        <v>7</v>
      </c>
      <c r="P1181">
        <f t="shared" si="1034"/>
        <v>-0.67441860465115977</v>
      </c>
      <c r="Q1181">
        <f t="shared" si="1035"/>
        <v>-64336036.944185764</v>
      </c>
      <c r="R1181">
        <f t="shared" si="1036"/>
        <v>-300522150.03913248</v>
      </c>
      <c r="S1181">
        <f t="shared" si="1037"/>
        <v>-3005.2215003913248</v>
      </c>
      <c r="T1181">
        <f t="shared" si="1038"/>
        <v>-3.005221500391325</v>
      </c>
    </row>
    <row r="1182" spans="1:20" x14ac:dyDescent="0.25">
      <c r="A1182" s="5">
        <v>43411</v>
      </c>
      <c r="B1182">
        <v>1.1270000000000001E-2</v>
      </c>
      <c r="C1182">
        <v>1.14E-2</v>
      </c>
      <c r="D1182">
        <v>1.0370000000000001E-2</v>
      </c>
      <c r="E1182">
        <v>1.0880000000000001E-2</v>
      </c>
      <c r="F1182">
        <v>173368793.69999999</v>
      </c>
      <c r="G1182">
        <v>0</v>
      </c>
      <c r="L1182" t="s">
        <v>7</v>
      </c>
      <c r="M1182" t="s">
        <v>7</v>
      </c>
      <c r="N1182" t="s">
        <v>7</v>
      </c>
      <c r="P1182">
        <f t="shared" si="1034"/>
        <v>-9.708737864077277E-3</v>
      </c>
      <c r="Q1182">
        <f t="shared" si="1035"/>
        <v>-1683192.1718445919</v>
      </c>
      <c r="R1182">
        <f t="shared" si="1036"/>
        <v>-236186113.09494674</v>
      </c>
      <c r="S1182">
        <f t="shared" si="1037"/>
        <v>-2361.8611309494672</v>
      </c>
      <c r="T1182">
        <f t="shared" si="1038"/>
        <v>-2.361861130949467</v>
      </c>
    </row>
    <row r="1183" spans="1:20" x14ac:dyDescent="0.25">
      <c r="A1183" s="5">
        <v>43410</v>
      </c>
      <c r="B1183">
        <v>1.076E-2</v>
      </c>
      <c r="C1183">
        <v>1.1390000000000001E-2</v>
      </c>
      <c r="D1183">
        <v>1.0659999999999999E-2</v>
      </c>
      <c r="E1183">
        <v>1.1299999999999999E-2</v>
      </c>
      <c r="F1183">
        <v>177053900.80000001</v>
      </c>
      <c r="G1183">
        <v>0</v>
      </c>
      <c r="L1183" t="s">
        <v>8</v>
      </c>
      <c r="M1183" t="s">
        <v>7</v>
      </c>
      <c r="N1183" t="s">
        <v>7</v>
      </c>
      <c r="P1183">
        <f t="shared" si="1034"/>
        <v>0.75342465753424281</v>
      </c>
      <c r="Q1183">
        <f t="shared" si="1035"/>
        <v>133396774.57534181</v>
      </c>
      <c r="R1183">
        <f t="shared" si="1036"/>
        <v>-234502920.92310214</v>
      </c>
      <c r="S1183">
        <f t="shared" si="1037"/>
        <v>-2345.0292092310215</v>
      </c>
      <c r="T1183">
        <f t="shared" si="1038"/>
        <v>-2.3450292092310216</v>
      </c>
    </row>
    <row r="1184" spans="1:20" x14ac:dyDescent="0.25">
      <c r="A1184" s="5">
        <v>43409</v>
      </c>
      <c r="B1184">
        <v>1.0919999999999999E-2</v>
      </c>
      <c r="C1184">
        <v>1.0959999999999999E-2</v>
      </c>
      <c r="D1184">
        <v>1.0540000000000001E-2</v>
      </c>
      <c r="E1184">
        <v>1.0749999999999999E-2</v>
      </c>
      <c r="F1184">
        <v>164399378.5</v>
      </c>
      <c r="G1184">
        <v>0</v>
      </c>
      <c r="L1184" t="s">
        <v>8</v>
      </c>
      <c r="M1184" t="s">
        <v>7</v>
      </c>
      <c r="N1184" t="s">
        <v>7</v>
      </c>
      <c r="P1184">
        <f t="shared" si="1034"/>
        <v>-4.1302939904209839E-15</v>
      </c>
      <c r="Q1184">
        <f t="shared" si="1035"/>
        <v>-6.7901776504749467E-7</v>
      </c>
      <c r="R1184">
        <f t="shared" si="1036"/>
        <v>-367899695.49844396</v>
      </c>
      <c r="S1184">
        <f t="shared" si="1037"/>
        <v>-3678.9969549844395</v>
      </c>
      <c r="T1184">
        <f t="shared" si="1038"/>
        <v>-3.6789969549844397</v>
      </c>
    </row>
    <row r="1185" spans="1:20" x14ac:dyDescent="0.25">
      <c r="A1185" s="5">
        <v>43408</v>
      </c>
      <c r="B1185">
        <v>1.0370000000000001E-2</v>
      </c>
      <c r="C1185">
        <v>1.1299999999999999E-2</v>
      </c>
      <c r="D1185">
        <v>1.025E-2</v>
      </c>
      <c r="E1185">
        <v>1.091E-2</v>
      </c>
      <c r="F1185">
        <v>202844670.69999999</v>
      </c>
      <c r="G1185">
        <v>0</v>
      </c>
      <c r="L1185" t="s">
        <v>8</v>
      </c>
      <c r="M1185" t="s">
        <v>7</v>
      </c>
      <c r="N1185" t="s">
        <v>7</v>
      </c>
      <c r="P1185">
        <f t="shared" si="1034"/>
        <v>0.25714285714285684</v>
      </c>
      <c r="Q1185">
        <f t="shared" si="1035"/>
        <v>52160058.179999933</v>
      </c>
      <c r="R1185">
        <f t="shared" si="1036"/>
        <v>-367899695.49844331</v>
      </c>
      <c r="S1185">
        <f t="shared" si="1037"/>
        <v>-3678.9969549844332</v>
      </c>
      <c r="T1185">
        <f t="shared" si="1038"/>
        <v>-3.678996954984433</v>
      </c>
    </row>
    <row r="1186" spans="1:20" x14ac:dyDescent="0.25">
      <c r="A1186" s="5">
        <v>43407</v>
      </c>
      <c r="B1186">
        <v>1.0500000000000001E-2</v>
      </c>
      <c r="C1186">
        <v>1.0529999999999999E-2</v>
      </c>
      <c r="D1186">
        <v>1.025E-2</v>
      </c>
      <c r="E1186">
        <v>1.0359999999999999E-2</v>
      </c>
      <c r="F1186">
        <v>109033458.59999999</v>
      </c>
      <c r="G1186">
        <v>0</v>
      </c>
      <c r="L1186" t="s">
        <v>7</v>
      </c>
      <c r="M1186" t="s">
        <v>7</v>
      </c>
      <c r="N1186" t="s">
        <v>7</v>
      </c>
      <c r="P1186">
        <f t="shared" si="1034"/>
        <v>-0.21428571428571871</v>
      </c>
      <c r="Q1186">
        <f t="shared" si="1035"/>
        <v>-23364312.557143338</v>
      </c>
      <c r="R1186">
        <f t="shared" si="1036"/>
        <v>-420059753.67844325</v>
      </c>
      <c r="S1186">
        <f t="shared" si="1037"/>
        <v>-4200.5975367844321</v>
      </c>
      <c r="T1186">
        <f t="shared" si="1038"/>
        <v>-4.2005975367844322</v>
      </c>
    </row>
    <row r="1187" spans="1:20" x14ac:dyDescent="0.25">
      <c r="A1187" s="5">
        <v>43406</v>
      </c>
      <c r="B1187">
        <v>1.0489999999999999E-2</v>
      </c>
      <c r="C1187">
        <v>1.068E-2</v>
      </c>
      <c r="D1187">
        <v>1.043E-2</v>
      </c>
      <c r="E1187">
        <v>1.0500000000000001E-2</v>
      </c>
      <c r="F1187">
        <v>153617080.19999999</v>
      </c>
      <c r="G1187">
        <v>0</v>
      </c>
      <c r="L1187" t="s">
        <v>7</v>
      </c>
      <c r="M1187" t="s">
        <v>7</v>
      </c>
      <c r="N1187" t="s">
        <v>7</v>
      </c>
      <c r="P1187">
        <f t="shared" si="1034"/>
        <v>-0.43999999999999556</v>
      </c>
      <c r="Q1187">
        <f t="shared" si="1035"/>
        <v>-67591515.287999317</v>
      </c>
      <c r="R1187">
        <f t="shared" si="1036"/>
        <v>-396695441.12129992</v>
      </c>
      <c r="S1187">
        <f t="shared" si="1037"/>
        <v>-3966.9544112129993</v>
      </c>
      <c r="T1187">
        <f t="shared" si="1038"/>
        <v>-3.9669544112129991</v>
      </c>
    </row>
    <row r="1188" spans="1:20" x14ac:dyDescent="0.25">
      <c r="A1188" s="5">
        <v>43405</v>
      </c>
      <c r="B1188">
        <v>1.048E-2</v>
      </c>
      <c r="C1188">
        <v>1.0580000000000001E-2</v>
      </c>
      <c r="D1188">
        <v>1.017E-2</v>
      </c>
      <c r="E1188">
        <v>1.0489999999999999E-2</v>
      </c>
      <c r="F1188">
        <v>159842415.90000001</v>
      </c>
      <c r="G1188">
        <v>0</v>
      </c>
      <c r="L1188" t="s">
        <v>7</v>
      </c>
      <c r="M1188" t="s">
        <v>7</v>
      </c>
      <c r="N1188" t="s">
        <v>7</v>
      </c>
      <c r="P1188">
        <f t="shared" si="1034"/>
        <v>0.56097560975609073</v>
      </c>
      <c r="Q1188">
        <f t="shared" si="1035"/>
        <v>89667696.724389151</v>
      </c>
      <c r="R1188">
        <f t="shared" si="1036"/>
        <v>-329103925.83330059</v>
      </c>
      <c r="S1188">
        <f t="shared" si="1037"/>
        <v>-3291.0392583330058</v>
      </c>
      <c r="T1188">
        <f t="shared" si="1038"/>
        <v>-3.2910392583330057</v>
      </c>
    </row>
    <row r="1189" spans="1:20" x14ac:dyDescent="0.25">
      <c r="A1189" s="5">
        <v>43404</v>
      </c>
      <c r="B1189">
        <v>1.0200000000000001E-2</v>
      </c>
      <c r="C1189">
        <v>1.068E-2</v>
      </c>
      <c r="D1189">
        <v>9.9399999999999992E-3</v>
      </c>
      <c r="E1189">
        <v>1.048E-2</v>
      </c>
      <c r="F1189">
        <v>173206938.09999999</v>
      </c>
      <c r="G1189">
        <v>0</v>
      </c>
      <c r="L1189" t="s">
        <v>7</v>
      </c>
      <c r="M1189" t="s">
        <v>7</v>
      </c>
      <c r="N1189" t="s">
        <v>7</v>
      </c>
      <c r="P1189">
        <f t="shared" si="1034"/>
        <v>0.45945945945945882</v>
      </c>
      <c r="Q1189">
        <f t="shared" si="1035"/>
        <v>79581566.154053941</v>
      </c>
      <c r="R1189">
        <f t="shared" si="1036"/>
        <v>-418771622.55768973</v>
      </c>
      <c r="S1189">
        <f t="shared" si="1037"/>
        <v>-4187.7162255768972</v>
      </c>
      <c r="T1189">
        <f t="shared" si="1038"/>
        <v>-4.1877162255768976</v>
      </c>
    </row>
    <row r="1190" spans="1:20" x14ac:dyDescent="0.25">
      <c r="A1190" s="5">
        <v>43403</v>
      </c>
      <c r="B1190">
        <v>1.0540000000000001E-2</v>
      </c>
      <c r="C1190">
        <v>1.0710000000000001E-2</v>
      </c>
      <c r="D1190">
        <v>1.01E-2</v>
      </c>
      <c r="E1190">
        <v>1.021E-2</v>
      </c>
      <c r="F1190">
        <v>145291232.69999999</v>
      </c>
      <c r="G1190">
        <v>0</v>
      </c>
      <c r="L1190" t="s">
        <v>7</v>
      </c>
      <c r="M1190" t="s">
        <v>7</v>
      </c>
      <c r="N1190" t="s">
        <v>7</v>
      </c>
      <c r="P1190">
        <f t="shared" si="1034"/>
        <v>-0.63934426229508023</v>
      </c>
      <c r="Q1190">
        <f t="shared" si="1035"/>
        <v>-92891115.988524333</v>
      </c>
      <c r="R1190">
        <f t="shared" si="1036"/>
        <v>-498353188.71174365</v>
      </c>
      <c r="S1190">
        <f t="shared" si="1037"/>
        <v>-4983.5318871174368</v>
      </c>
      <c r="T1190">
        <f t="shared" si="1038"/>
        <v>-4.9835318871174366</v>
      </c>
    </row>
    <row r="1191" spans="1:20" x14ac:dyDescent="0.25">
      <c r="A1191" s="5">
        <v>43402</v>
      </c>
      <c r="B1191">
        <v>1.0999999999999999E-2</v>
      </c>
      <c r="C1191">
        <v>1.133E-2</v>
      </c>
      <c r="D1191">
        <v>1.0370000000000001E-2</v>
      </c>
      <c r="E1191">
        <v>1.0540000000000001E-2</v>
      </c>
      <c r="F1191">
        <v>303365371.69999999</v>
      </c>
      <c r="G1191">
        <v>0</v>
      </c>
      <c r="L1191" t="s">
        <v>7</v>
      </c>
      <c r="M1191" t="s">
        <v>7</v>
      </c>
      <c r="N1191" t="s">
        <v>7</v>
      </c>
      <c r="P1191">
        <f t="shared" si="1034"/>
        <v>-0.64583333333333293</v>
      </c>
      <c r="Q1191">
        <f t="shared" si="1035"/>
        <v>-195923469.22291654</v>
      </c>
      <c r="R1191">
        <f t="shared" si="1036"/>
        <v>-405462072.72321934</v>
      </c>
      <c r="S1191">
        <f t="shared" si="1037"/>
        <v>-4054.6207272321935</v>
      </c>
      <c r="T1191">
        <f t="shared" si="1038"/>
        <v>-4.0546207272321935</v>
      </c>
    </row>
    <row r="1192" spans="1:20" x14ac:dyDescent="0.25">
      <c r="A1192" s="5">
        <v>43401</v>
      </c>
      <c r="B1192">
        <v>1.094E-2</v>
      </c>
      <c r="C1192">
        <v>1.1350000000000001E-2</v>
      </c>
      <c r="D1192">
        <v>1.091E-2</v>
      </c>
      <c r="E1192">
        <v>1.0999999999999999E-2</v>
      </c>
      <c r="F1192">
        <v>135121998</v>
      </c>
      <c r="G1192">
        <v>0</v>
      </c>
      <c r="L1192" t="s">
        <v>7</v>
      </c>
      <c r="M1192" t="s">
        <v>7</v>
      </c>
      <c r="N1192" t="s">
        <v>7</v>
      </c>
      <c r="P1192">
        <f t="shared" si="1034"/>
        <v>-0.59090909090909283</v>
      </c>
      <c r="Q1192">
        <f t="shared" si="1035"/>
        <v>-79844817.000000253</v>
      </c>
      <c r="R1192">
        <f t="shared" si="1036"/>
        <v>-209538603.50030279</v>
      </c>
      <c r="S1192">
        <f t="shared" si="1037"/>
        <v>-2095.3860350030277</v>
      </c>
      <c r="T1192">
        <f t="shared" si="1038"/>
        <v>-2.0953860350030276</v>
      </c>
    </row>
    <row r="1193" spans="1:20" x14ac:dyDescent="0.25">
      <c r="A1193" s="5">
        <v>43400</v>
      </c>
      <c r="B1193">
        <v>1.12E-2</v>
      </c>
      <c r="C1193">
        <v>1.1220000000000001E-2</v>
      </c>
      <c r="D1193">
        <v>1.0880000000000001E-2</v>
      </c>
      <c r="E1193">
        <v>1.094E-2</v>
      </c>
      <c r="F1193">
        <v>140602968.5</v>
      </c>
      <c r="G1193">
        <v>0</v>
      </c>
      <c r="L1193" t="s">
        <v>7</v>
      </c>
      <c r="M1193" t="s">
        <v>7</v>
      </c>
      <c r="N1193" t="s">
        <v>7</v>
      </c>
      <c r="P1193">
        <f t="shared" si="1034"/>
        <v>-0.64705882352941602</v>
      </c>
      <c r="Q1193">
        <f t="shared" si="1035"/>
        <v>-90978391.382353544</v>
      </c>
      <c r="R1193">
        <f t="shared" si="1036"/>
        <v>-129693786.50030255</v>
      </c>
      <c r="S1193">
        <f t="shared" si="1037"/>
        <v>-1296.9378650030255</v>
      </c>
      <c r="T1193">
        <f t="shared" si="1038"/>
        <v>-1.2969378650030254</v>
      </c>
    </row>
    <row r="1194" spans="1:20" x14ac:dyDescent="0.25">
      <c r="A1194" s="5">
        <v>43399</v>
      </c>
      <c r="B1194">
        <v>1.1440000000000001E-2</v>
      </c>
      <c r="C1194">
        <v>1.145E-2</v>
      </c>
      <c r="D1194">
        <v>1.106E-2</v>
      </c>
      <c r="E1194">
        <v>1.12E-2</v>
      </c>
      <c r="F1194">
        <v>137263673.59999999</v>
      </c>
      <c r="G1194">
        <v>0</v>
      </c>
      <c r="L1194" t="s">
        <v>7</v>
      </c>
      <c r="M1194" t="s">
        <v>7</v>
      </c>
      <c r="N1194" t="s">
        <v>7</v>
      </c>
      <c r="P1194">
        <f t="shared" si="1034"/>
        <v>-0.2820512820512841</v>
      </c>
      <c r="Q1194">
        <f t="shared" si="1035"/>
        <v>-38715395.117949001</v>
      </c>
      <c r="R1194">
        <f t="shared" si="1036"/>
        <v>-38715395.117949001</v>
      </c>
      <c r="S1194">
        <f t="shared" si="1037"/>
        <v>-387.15395117949004</v>
      </c>
      <c r="T1194">
        <f t="shared" si="1038"/>
        <v>-0.38715395117949003</v>
      </c>
    </row>
    <row r="1195" spans="1:20" x14ac:dyDescent="0.25">
      <c r="A1195" s="5">
        <v>43398</v>
      </c>
      <c r="B1195">
        <v>1.154E-2</v>
      </c>
      <c r="C1195">
        <v>1.1610000000000001E-2</v>
      </c>
      <c r="D1195">
        <v>1.119E-2</v>
      </c>
      <c r="E1195">
        <v>1.14E-2</v>
      </c>
      <c r="F1195">
        <v>152083428.59999999</v>
      </c>
      <c r="G1195">
        <v>0</v>
      </c>
      <c r="P1195">
        <f t="shared" si="1034"/>
        <v>0</v>
      </c>
      <c r="Q1195">
        <f t="shared" si="1035"/>
        <v>0</v>
      </c>
      <c r="R1195">
        <f t="shared" si="1036"/>
        <v>0</v>
      </c>
      <c r="S1195">
        <f t="shared" si="1037"/>
        <v>0</v>
      </c>
      <c r="T1195">
        <f t="shared" si="1038"/>
        <v>0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TH736" sqref="TH7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$A$735</v>
      </c>
      <c r="D111" s="1" t="str">
        <f>ADDRESS(C121-1,D121,1,1)</f>
        <v>$TH$735</v>
      </c>
      <c r="E111"/>
    </row>
    <row r="112" spans="1:5" x14ac:dyDescent="0.25">
      <c r="A112" s="7">
        <v>12164.144957890772</v>
      </c>
      <c r="C112" s="1" t="str">
        <f>ADDRESS(C121,1,1,1)</f>
        <v>$A$736</v>
      </c>
      <c r="D112" s="1" t="str">
        <f>ADDRESS(C121,D121-1,1,1)</f>
        <v>$TG$736</v>
      </c>
      <c r="E112"/>
    </row>
    <row r="113" spans="1:5" x14ac:dyDescent="0.25">
      <c r="A113" s="7">
        <v>11925.63231165762</v>
      </c>
      <c r="C113" s="1" t="str">
        <f>ADDRESS(C121+1,1,1,1)</f>
        <v>$A$737</v>
      </c>
      <c r="D113" s="1" t="str">
        <f>ADDRESS(C121-1,D121+1,1,1)</f>
        <v>$TI$735</v>
      </c>
    </row>
    <row r="114" spans="1:5" x14ac:dyDescent="0.25">
      <c r="A114" s="7">
        <v>11691.796383978059</v>
      </c>
      <c r="C114" s="1" t="str">
        <f>ADDRESS(C121,D121,1,1)</f>
        <v>$TH$736</v>
      </c>
      <c r="D114" s="1" t="str">
        <f>ADDRESS(C121+1,D121+1,1,1)</f>
        <v>$TI$737</v>
      </c>
    </row>
    <row r="115" spans="1:5" x14ac:dyDescent="0.25">
      <c r="A115" s="7">
        <v>11462.545474488292</v>
      </c>
      <c r="C115" s="1" t="str">
        <f>ADDRESS(C121+1,D121,1,1)</f>
        <v>$TH$737</v>
      </c>
    </row>
    <row r="116" spans="1:5" x14ac:dyDescent="0.25">
      <c r="A116" s="7">
        <v>11237.789680870874</v>
      </c>
      <c r="C116" s="1">
        <f>C117-1</f>
        <v>735</v>
      </c>
    </row>
    <row r="117" spans="1:5" x14ac:dyDescent="0.25">
      <c r="A117" s="7">
        <v>11017.440863598895</v>
      </c>
      <c r="C117" s="1">
        <f>C121</f>
        <v>736</v>
      </c>
      <c r="D117" s="1">
        <f>D121</f>
        <v>528</v>
      </c>
    </row>
    <row r="118" spans="1:5" x14ac:dyDescent="0.25">
      <c r="A118" s="7">
        <v>10801.412611371465</v>
      </c>
      <c r="C118" s="1">
        <f>C117+1</f>
        <v>737</v>
      </c>
      <c r="D118" s="1">
        <f>D117+1</f>
        <v>529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736</v>
      </c>
      <c r="D121" s="19">
        <v>528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R736</v>
      </c>
      <c r="D123" s="1" t="str">
        <f>"C"&amp;D121</f>
        <v>C528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5.2308757886012455E-2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395" x14ac:dyDescent="0.25">
      <c r="A641" s="7">
        <v>0.34323433454431179</v>
      </c>
      <c r="B641"/>
      <c r="C641"/>
      <c r="D641"/>
      <c r="E641"/>
      <c r="F641" s="27" t="s">
        <v>7</v>
      </c>
    </row>
    <row r="642" spans="1:395" x14ac:dyDescent="0.25">
      <c r="A642" s="7">
        <v>0.33650424955324681</v>
      </c>
      <c r="B642"/>
      <c r="C642"/>
      <c r="D642"/>
      <c r="E642"/>
      <c r="F642" s="27" t="s">
        <v>7</v>
      </c>
    </row>
    <row r="643" spans="1:395" x14ac:dyDescent="0.25">
      <c r="A643" s="7">
        <v>0.3299061270129871</v>
      </c>
      <c r="B643"/>
      <c r="C643"/>
      <c r="D643"/>
      <c r="E643"/>
      <c r="F643" s="27" t="s">
        <v>7</v>
      </c>
    </row>
    <row r="644" spans="1:395" x14ac:dyDescent="0.25">
      <c r="A644" s="7">
        <v>0.32343737942449713</v>
      </c>
      <c r="B644"/>
      <c r="C644"/>
      <c r="D644"/>
      <c r="E644"/>
      <c r="F644" s="27" t="s">
        <v>7</v>
      </c>
    </row>
    <row r="645" spans="1:395" x14ac:dyDescent="0.25">
      <c r="A645" s="7">
        <v>0.31709547002401678</v>
      </c>
      <c r="B645"/>
      <c r="C645"/>
      <c r="D645"/>
      <c r="E645"/>
      <c r="F645" s="27" t="s">
        <v>7</v>
      </c>
    </row>
    <row r="646" spans="1:395" x14ac:dyDescent="0.25">
      <c r="A646" s="7">
        <v>0.31087791178825175</v>
      </c>
      <c r="B646"/>
      <c r="C646"/>
      <c r="D646"/>
      <c r="E646"/>
      <c r="F646" s="27" t="s">
        <v>7</v>
      </c>
    </row>
    <row r="647" spans="1:395" x14ac:dyDescent="0.25">
      <c r="A647" s="7">
        <v>0.30478226645907036</v>
      </c>
      <c r="B647"/>
      <c r="C647"/>
      <c r="D647"/>
      <c r="E647"/>
      <c r="F647" s="27" t="s">
        <v>7</v>
      </c>
    </row>
    <row r="648" spans="1:395" x14ac:dyDescent="0.25">
      <c r="A648" s="7">
        <v>0.29880614358732388</v>
      </c>
      <c r="B648"/>
      <c r="C648"/>
      <c r="D648"/>
      <c r="E648"/>
      <c r="F648" s="27" t="s">
        <v>7</v>
      </c>
    </row>
    <row r="649" spans="1:395" x14ac:dyDescent="0.25">
      <c r="A649" s="7">
        <v>0.2929471995954156</v>
      </c>
      <c r="B649"/>
      <c r="C649"/>
      <c r="D649"/>
      <c r="E649"/>
      <c r="F649" s="27" t="s">
        <v>7</v>
      </c>
    </row>
    <row r="650" spans="1:395" x14ac:dyDescent="0.25">
      <c r="A650" s="7">
        <v>0.28720313685825055</v>
      </c>
      <c r="B650"/>
      <c r="C650"/>
      <c r="D650"/>
      <c r="E650"/>
      <c r="F650" s="27" t="s">
        <v>7</v>
      </c>
    </row>
    <row r="651" spans="1:395" x14ac:dyDescent="0.25">
      <c r="A651" s="7">
        <v>0.28157170280220645</v>
      </c>
      <c r="B651"/>
      <c r="C651"/>
      <c r="D651"/>
      <c r="E651"/>
      <c r="F651" s="27" t="s">
        <v>7</v>
      </c>
    </row>
    <row r="652" spans="1:395" x14ac:dyDescent="0.25">
      <c r="A652" s="7">
        <v>0.27605068902177105</v>
      </c>
      <c r="B652"/>
      <c r="C652"/>
      <c r="D652"/>
      <c r="E652"/>
      <c r="F652" s="27" t="s">
        <v>7</v>
      </c>
      <c r="OA652" s="27" t="s">
        <v>8</v>
      </c>
    </row>
    <row r="653" spans="1:395" x14ac:dyDescent="0.25">
      <c r="A653" s="7">
        <v>0.27063793041350104</v>
      </c>
      <c r="B653"/>
      <c r="C653"/>
      <c r="D653"/>
      <c r="E653"/>
      <c r="F653" s="27" t="s">
        <v>7</v>
      </c>
      <c r="OA653" s="27" t="s">
        <v>8</v>
      </c>
      <c r="OB653" s="27" t="s">
        <v>7</v>
      </c>
    </row>
    <row r="654" spans="1:395" x14ac:dyDescent="0.25">
      <c r="A654" s="7">
        <v>0.26533130432696184</v>
      </c>
      <c r="B654"/>
      <c r="C654"/>
      <c r="D654"/>
      <c r="E654"/>
      <c r="F654" s="27" t="s">
        <v>7</v>
      </c>
      <c r="OA654" s="27" t="s">
        <v>8</v>
      </c>
      <c r="OB654" s="27" t="s">
        <v>7</v>
      </c>
      <c r="OC654" s="27" t="s">
        <v>8</v>
      </c>
    </row>
    <row r="655" spans="1:395" x14ac:dyDescent="0.25">
      <c r="A655" s="7">
        <v>0.26012872973231554</v>
      </c>
      <c r="B655"/>
      <c r="C655"/>
      <c r="D655"/>
      <c r="E655"/>
      <c r="F655" s="27" t="s">
        <v>7</v>
      </c>
      <c r="OA655" s="27" t="s">
        <v>8</v>
      </c>
      <c r="OB655" s="27" t="s">
        <v>7</v>
      </c>
      <c r="OC655" s="27" t="s">
        <v>8</v>
      </c>
      <c r="OD655" s="27" t="s">
        <v>7</v>
      </c>
    </row>
    <row r="656" spans="1:395" x14ac:dyDescent="0.25">
      <c r="A656" s="7">
        <v>0.25502816640423093</v>
      </c>
      <c r="B656"/>
      <c r="C656"/>
      <c r="D656"/>
      <c r="E656"/>
      <c r="F656" s="27" t="s">
        <v>7</v>
      </c>
      <c r="OA656" s="27" t="s">
        <v>8</v>
      </c>
      <c r="OB656" s="27" t="s">
        <v>7</v>
      </c>
      <c r="OC656" s="27" t="s">
        <v>8</v>
      </c>
      <c r="OD656" s="27" t="s">
        <v>7</v>
      </c>
      <c r="OE656" s="27" t="s">
        <v>8</v>
      </c>
    </row>
    <row r="657" spans="1:491" x14ac:dyDescent="0.25">
      <c r="A657" s="7">
        <v>0.25002761412179503</v>
      </c>
      <c r="B657"/>
      <c r="C657"/>
      <c r="D657"/>
      <c r="E657"/>
      <c r="F657" s="27" t="s">
        <v>7</v>
      </c>
      <c r="OA657" s="27" t="s">
        <v>8</v>
      </c>
      <c r="OB657" s="27" t="s">
        <v>7</v>
      </c>
      <c r="OC657" s="27" t="s">
        <v>8</v>
      </c>
      <c r="OD657" s="27" t="s">
        <v>7</v>
      </c>
      <c r="OE657" s="27" t="s">
        <v>8</v>
      </c>
      <c r="OF657" s="27" t="s">
        <v>7</v>
      </c>
    </row>
    <row r="658" spans="1:491" x14ac:dyDescent="0.25">
      <c r="A658" s="7">
        <v>0.24512511188411276</v>
      </c>
      <c r="B658"/>
      <c r="C658"/>
      <c r="D658"/>
      <c r="E658"/>
      <c r="F658" s="27" t="s">
        <v>7</v>
      </c>
      <c r="OA658" s="27" t="s">
        <v>8</v>
      </c>
      <c r="OB658" s="27" t="s">
        <v>7</v>
      </c>
      <c r="OC658" s="27" t="s">
        <v>8</v>
      </c>
      <c r="OD658" s="27" t="s">
        <v>7</v>
      </c>
      <c r="OE658" s="27" t="s">
        <v>8</v>
      </c>
      <c r="OF658" s="27" t="s">
        <v>7</v>
      </c>
      <c r="OM658" s="27" t="s">
        <v>8</v>
      </c>
    </row>
    <row r="659" spans="1:491" x14ac:dyDescent="0.25">
      <c r="A659" s="7">
        <v>0.24031873714128701</v>
      </c>
      <c r="B659"/>
      <c r="C659"/>
      <c r="D659"/>
      <c r="E659"/>
      <c r="F659" s="27" t="s">
        <v>7</v>
      </c>
      <c r="OA659" s="27" t="s">
        <v>8</v>
      </c>
      <c r="OB659" s="27" t="s">
        <v>7</v>
      </c>
      <c r="OC659" s="27" t="s">
        <v>8</v>
      </c>
      <c r="OD659" s="27" t="s">
        <v>7</v>
      </c>
      <c r="OE659" s="27" t="s">
        <v>8</v>
      </c>
      <c r="OF659" s="27" t="s">
        <v>7</v>
      </c>
      <c r="OM659" s="27" t="s">
        <v>8</v>
      </c>
      <c r="ON659" s="27" t="s">
        <v>7</v>
      </c>
    </row>
    <row r="660" spans="1:491" x14ac:dyDescent="0.25">
      <c r="A660" s="7">
        <v>0.23560660504047748</v>
      </c>
      <c r="B660"/>
      <c r="C660"/>
      <c r="D660"/>
      <c r="E660"/>
      <c r="F660" s="27" t="s">
        <v>7</v>
      </c>
      <c r="OA660" s="27" t="s">
        <v>8</v>
      </c>
      <c r="OB660" s="27" t="s">
        <v>7</v>
      </c>
      <c r="OC660" s="27" t="s">
        <v>8</v>
      </c>
      <c r="OD660" s="27" t="s">
        <v>7</v>
      </c>
      <c r="OE660" s="27" t="s">
        <v>8</v>
      </c>
      <c r="OF660" s="27" t="s">
        <v>7</v>
      </c>
      <c r="OM660" s="27" t="s">
        <v>8</v>
      </c>
      <c r="ON660" s="27" t="s">
        <v>7</v>
      </c>
    </row>
    <row r="661" spans="1:491" x14ac:dyDescent="0.25">
      <c r="A661" s="7">
        <v>0.23098686768674265</v>
      </c>
      <c r="B661"/>
      <c r="C661"/>
      <c r="D661"/>
      <c r="E661"/>
      <c r="F661" s="27" t="s">
        <v>7</v>
      </c>
      <c r="OA661" s="27" t="s">
        <v>8</v>
      </c>
      <c r="OB661" s="27" t="s">
        <v>7</v>
      </c>
      <c r="OC661" s="27" t="s">
        <v>8</v>
      </c>
      <c r="OD661" s="27" t="s">
        <v>7</v>
      </c>
      <c r="OE661" s="27" t="s">
        <v>8</v>
      </c>
      <c r="OF661" s="27" t="s">
        <v>7</v>
      </c>
      <c r="OM661" s="27" t="s">
        <v>8</v>
      </c>
      <c r="ON661" s="27" t="s">
        <v>7</v>
      </c>
    </row>
    <row r="662" spans="1:491" x14ac:dyDescent="0.25">
      <c r="A662" s="7">
        <v>0.22645771341837515</v>
      </c>
      <c r="B662"/>
      <c r="C662"/>
      <c r="D662"/>
      <c r="E662"/>
      <c r="F662" s="27" t="s">
        <v>7</v>
      </c>
      <c r="OA662" s="27" t="s">
        <v>8</v>
      </c>
      <c r="OB662" s="27" t="s">
        <v>7</v>
      </c>
      <c r="OC662" s="27" t="s">
        <v>8</v>
      </c>
      <c r="OD662" s="27" t="s">
        <v>7</v>
      </c>
      <c r="OE662" s="27" t="s">
        <v>8</v>
      </c>
      <c r="OF662" s="27" t="s">
        <v>7</v>
      </c>
      <c r="OM662" s="27" t="s">
        <v>8</v>
      </c>
      <c r="ON662" s="27" t="s">
        <v>7</v>
      </c>
    </row>
    <row r="663" spans="1:491" x14ac:dyDescent="0.25">
      <c r="A663" s="7">
        <v>0.22201736609644623</v>
      </c>
      <c r="B663"/>
      <c r="C663"/>
      <c r="D663"/>
      <c r="E663"/>
      <c r="F663" s="27" t="s">
        <v>7</v>
      </c>
      <c r="OA663" s="27" t="s">
        <v>8</v>
      </c>
      <c r="OB663" s="27" t="s">
        <v>7</v>
      </c>
      <c r="OC663" s="27" t="s">
        <v>8</v>
      </c>
      <c r="OD663" s="27" t="s">
        <v>7</v>
      </c>
      <c r="OE663" s="27" t="s">
        <v>8</v>
      </c>
      <c r="OF663" s="27" t="s">
        <v>7</v>
      </c>
      <c r="OI663" s="27" t="s">
        <v>8</v>
      </c>
      <c r="OK663" s="27" t="s">
        <v>8</v>
      </c>
      <c r="OM663" s="27" t="s">
        <v>8</v>
      </c>
      <c r="ON663" s="27" t="s">
        <v>7</v>
      </c>
    </row>
    <row r="664" spans="1:491" x14ac:dyDescent="0.25">
      <c r="A664" s="7">
        <v>0.21766408440828061</v>
      </c>
      <c r="B664"/>
      <c r="C664"/>
      <c r="D664"/>
      <c r="E664"/>
      <c r="F664" s="27" t="s">
        <v>7</v>
      </c>
      <c r="OA664" s="27" t="s">
        <v>8</v>
      </c>
      <c r="OB664" s="27" t="s">
        <v>7</v>
      </c>
      <c r="OC664" s="27" t="s">
        <v>8</v>
      </c>
      <c r="OD664" s="27" t="s">
        <v>7</v>
      </c>
      <c r="OE664" s="27" t="s">
        <v>8</v>
      </c>
      <c r="OF664" s="27" t="s">
        <v>7</v>
      </c>
      <c r="OI664" s="27" t="s">
        <v>8</v>
      </c>
      <c r="OJ664" s="27" t="s">
        <v>7</v>
      </c>
      <c r="OK664" s="27" t="s">
        <v>8</v>
      </c>
      <c r="OL664" s="27" t="s">
        <v>7</v>
      </c>
      <c r="OM664" s="27" t="s">
        <v>8</v>
      </c>
      <c r="ON664" s="27" t="s">
        <v>7</v>
      </c>
    </row>
    <row r="665" spans="1:491" x14ac:dyDescent="0.25">
      <c r="A665" s="7">
        <v>0.21339616118458882</v>
      </c>
      <c r="B665"/>
      <c r="C665"/>
      <c r="D665"/>
      <c r="E665"/>
      <c r="F665" s="27" t="s">
        <v>7</v>
      </c>
      <c r="OA665" s="27" t="s">
        <v>8</v>
      </c>
      <c r="OB665" s="27" t="s">
        <v>7</v>
      </c>
      <c r="OC665" s="27" t="s">
        <v>8</v>
      </c>
      <c r="OD665" s="27" t="s">
        <v>7</v>
      </c>
      <c r="OE665" s="27" t="s">
        <v>8</v>
      </c>
      <c r="OF665" s="27" t="s">
        <v>7</v>
      </c>
      <c r="OI665" s="27" t="s">
        <v>8</v>
      </c>
      <c r="OJ665" s="27" t="s">
        <v>7</v>
      </c>
      <c r="OK665" s="27" t="s">
        <v>8</v>
      </c>
      <c r="OL665" s="27" t="s">
        <v>7</v>
      </c>
      <c r="OM665" s="27" t="s">
        <v>8</v>
      </c>
      <c r="ON665" s="27" t="s">
        <v>7</v>
      </c>
      <c r="OO665" s="27" t="s">
        <v>8</v>
      </c>
    </row>
    <row r="666" spans="1:491" x14ac:dyDescent="0.25">
      <c r="A666" s="7">
        <v>0.20921192272998904</v>
      </c>
      <c r="B666"/>
      <c r="C666"/>
      <c r="D666"/>
      <c r="E666"/>
      <c r="F666" s="27" t="s">
        <v>7</v>
      </c>
      <c r="OA666" s="27" t="s">
        <v>8</v>
      </c>
      <c r="OB666" s="27" t="s">
        <v>7</v>
      </c>
      <c r="OC666" s="27" t="s">
        <v>8</v>
      </c>
      <c r="OD666" s="27" t="s">
        <v>7</v>
      </c>
      <c r="OF666" s="27" t="s">
        <v>7</v>
      </c>
      <c r="OI666" s="27" t="s">
        <v>8</v>
      </c>
      <c r="OJ666" s="27" t="s">
        <v>7</v>
      </c>
      <c r="OK666" s="27" t="s">
        <v>8</v>
      </c>
      <c r="OL666" s="27" t="s">
        <v>7</v>
      </c>
      <c r="OM666" s="27" t="s">
        <v>8</v>
      </c>
      <c r="ON666" s="27" t="s">
        <v>7</v>
      </c>
      <c r="OO666" s="27" t="s">
        <v>8</v>
      </c>
      <c r="OP666" s="27" t="s">
        <v>7</v>
      </c>
    </row>
    <row r="667" spans="1:491" x14ac:dyDescent="0.25">
      <c r="A667" s="7">
        <v>0.20510972816665593</v>
      </c>
      <c r="B667"/>
      <c r="C667"/>
      <c r="D667"/>
      <c r="E667"/>
      <c r="F667" s="27" t="s">
        <v>7</v>
      </c>
      <c r="OA667" s="27" t="s">
        <v>8</v>
      </c>
      <c r="OB667" s="27" t="s">
        <v>7</v>
      </c>
      <c r="OC667" s="27" t="s">
        <v>8</v>
      </c>
      <c r="OF667" s="27" t="s">
        <v>7</v>
      </c>
      <c r="OG667" s="27" t="s">
        <v>8</v>
      </c>
      <c r="OI667" s="27" t="s">
        <v>8</v>
      </c>
      <c r="OJ667" s="27" t="s">
        <v>7</v>
      </c>
      <c r="OK667" s="27" t="s">
        <v>8</v>
      </c>
      <c r="OL667" s="27" t="s">
        <v>7</v>
      </c>
      <c r="OM667" s="27" t="s">
        <v>8</v>
      </c>
      <c r="ON667" s="27" t="s">
        <v>7</v>
      </c>
      <c r="OO667" s="27" t="s">
        <v>8</v>
      </c>
      <c r="OP667" s="27" t="s">
        <v>7</v>
      </c>
    </row>
    <row r="668" spans="1:491" x14ac:dyDescent="0.25">
      <c r="A668" s="7">
        <v>0.20108796879083912</v>
      </c>
      <c r="B668"/>
      <c r="C668"/>
      <c r="D668"/>
      <c r="E668"/>
      <c r="F668" s="27" t="s">
        <v>7</v>
      </c>
      <c r="OA668" s="27" t="s">
        <v>8</v>
      </c>
      <c r="OB668" s="27" t="s">
        <v>7</v>
      </c>
      <c r="OC668" s="27" t="s">
        <v>8</v>
      </c>
      <c r="OF668" s="27" t="s">
        <v>7</v>
      </c>
      <c r="OG668" s="27" t="s">
        <v>8</v>
      </c>
      <c r="OH668" s="27" t="s">
        <v>7</v>
      </c>
      <c r="OI668" s="27" t="s">
        <v>8</v>
      </c>
      <c r="OJ668" s="27" t="s">
        <v>7</v>
      </c>
      <c r="OK668" s="27" t="s">
        <v>8</v>
      </c>
      <c r="OL668" s="27" t="s">
        <v>7</v>
      </c>
      <c r="OM668" s="27" t="s">
        <v>8</v>
      </c>
      <c r="ON668" s="27" t="s">
        <v>7</v>
      </c>
      <c r="OO668" s="27" t="s">
        <v>8</v>
      </c>
      <c r="OP668" s="27" t="s">
        <v>7</v>
      </c>
    </row>
    <row r="669" spans="1:491" x14ac:dyDescent="0.25">
      <c r="A669" s="7">
        <v>0.19714506744199917</v>
      </c>
      <c r="B669"/>
      <c r="C669"/>
      <c r="D669"/>
      <c r="E669"/>
      <c r="F669" s="27" t="s">
        <v>7</v>
      </c>
      <c r="OA669" s="27" t="s">
        <v>8</v>
      </c>
      <c r="OB669" s="27" t="s">
        <v>7</v>
      </c>
      <c r="OC669" s="27" t="s">
        <v>8</v>
      </c>
      <c r="OF669" s="27" t="s">
        <v>7</v>
      </c>
      <c r="OG669" s="27" t="s">
        <v>8</v>
      </c>
      <c r="OH669" s="27" t="s">
        <v>7</v>
      </c>
      <c r="OI669" s="27" t="s">
        <v>8</v>
      </c>
      <c r="OJ669" s="27" t="s">
        <v>7</v>
      </c>
      <c r="OK669" s="27" t="s">
        <v>8</v>
      </c>
      <c r="OL669" s="27" t="s">
        <v>7</v>
      </c>
      <c r="OM669" s="27" t="s">
        <v>8</v>
      </c>
      <c r="ON669" s="27" t="s">
        <v>7</v>
      </c>
      <c r="OO669" s="27" t="s">
        <v>8</v>
      </c>
      <c r="OP669" s="27" t="s">
        <v>7</v>
      </c>
    </row>
    <row r="670" spans="1:491" x14ac:dyDescent="0.25">
      <c r="A670" s="7">
        <v>0.19327947788431293</v>
      </c>
      <c r="B670"/>
      <c r="C670"/>
      <c r="D670"/>
      <c r="E670"/>
      <c r="F670" s="27" t="s">
        <v>7</v>
      </c>
      <c r="OA670" s="27" t="s">
        <v>8</v>
      </c>
      <c r="OB670" s="27" t="s">
        <v>7</v>
      </c>
      <c r="OC670" s="27" t="s">
        <v>8</v>
      </c>
      <c r="OF670" s="27" t="s">
        <v>7</v>
      </c>
      <c r="OG670" s="27" t="s">
        <v>8</v>
      </c>
      <c r="OH670" s="27" t="s">
        <v>7</v>
      </c>
      <c r="OI670" s="27" t="s">
        <v>8</v>
      </c>
      <c r="OJ670" s="27" t="s">
        <v>7</v>
      </c>
      <c r="OK670" s="27" t="s">
        <v>8</v>
      </c>
      <c r="OL670" s="27" t="s">
        <v>7</v>
      </c>
      <c r="OM670" s="27" t="s">
        <v>8</v>
      </c>
      <c r="ON670" s="27" t="s">
        <v>7</v>
      </c>
      <c r="OO670" s="27" t="s">
        <v>8</v>
      </c>
      <c r="OP670" s="27" t="s">
        <v>7</v>
      </c>
    </row>
    <row r="671" spans="1:491" x14ac:dyDescent="0.25">
      <c r="A671" s="7">
        <v>0.18948968420030682</v>
      </c>
      <c r="B671"/>
      <c r="C671"/>
      <c r="D671"/>
      <c r="E671"/>
      <c r="F671" s="27" t="s">
        <v>7</v>
      </c>
      <c r="OA671" s="27" t="s">
        <v>8</v>
      </c>
      <c r="OB671" s="27" t="s">
        <v>7</v>
      </c>
      <c r="OC671" s="27" t="s">
        <v>8</v>
      </c>
      <c r="OF671" s="27" t="s">
        <v>7</v>
      </c>
      <c r="OG671" s="27" t="s">
        <v>8</v>
      </c>
      <c r="OH671" s="27" t="s">
        <v>7</v>
      </c>
      <c r="OI671" s="27" t="s">
        <v>8</v>
      </c>
      <c r="OJ671" s="27" t="s">
        <v>7</v>
      </c>
      <c r="OK671" s="27" t="s">
        <v>8</v>
      </c>
      <c r="OL671" s="27" t="s">
        <v>7</v>
      </c>
      <c r="OM671" s="27" t="s">
        <v>8</v>
      </c>
      <c r="ON671" s="27" t="s">
        <v>7</v>
      </c>
      <c r="OP671" s="27" t="s">
        <v>7</v>
      </c>
      <c r="OQ671" s="27" t="s">
        <v>8</v>
      </c>
    </row>
    <row r="672" spans="1:491" x14ac:dyDescent="0.25">
      <c r="A672" s="7">
        <v>0.18577420019637925</v>
      </c>
      <c r="B672"/>
      <c r="C672"/>
      <c r="D672"/>
      <c r="E672"/>
      <c r="F672" s="27" t="s">
        <v>7</v>
      </c>
      <c r="OA672" s="27" t="s">
        <v>8</v>
      </c>
      <c r="OB672" s="27" t="s">
        <v>7</v>
      </c>
      <c r="OC672" s="27" t="s">
        <v>8</v>
      </c>
      <c r="OF672" s="27" t="s">
        <v>7</v>
      </c>
      <c r="OG672" s="27" t="s">
        <v>8</v>
      </c>
      <c r="OH672" s="27" t="s">
        <v>7</v>
      </c>
      <c r="OI672" s="27" t="s">
        <v>8</v>
      </c>
      <c r="OJ672" s="27" t="s">
        <v>7</v>
      </c>
      <c r="OK672" s="27" t="s">
        <v>8</v>
      </c>
      <c r="OL672" s="27" t="s">
        <v>7</v>
      </c>
      <c r="OP672" s="27" t="s">
        <v>7</v>
      </c>
      <c r="OQ672" s="27" t="s">
        <v>8</v>
      </c>
      <c r="OR672" s="27" t="s">
        <v>7</v>
      </c>
      <c r="RW672" s="27" t="s">
        <v>8</v>
      </c>
    </row>
    <row r="673" spans="1:502" x14ac:dyDescent="0.25">
      <c r="A673" s="7">
        <v>0.18213156881997963</v>
      </c>
      <c r="B673"/>
      <c r="C673"/>
      <c r="D673"/>
      <c r="E673"/>
      <c r="F673" s="27" t="s">
        <v>7</v>
      </c>
      <c r="OA673" s="27" t="s">
        <v>8</v>
      </c>
      <c r="OB673" s="27" t="s">
        <v>7</v>
      </c>
      <c r="OC673" s="27" t="s">
        <v>8</v>
      </c>
      <c r="OF673" s="27" t="s">
        <v>7</v>
      </c>
      <c r="OG673" s="27" t="s">
        <v>8</v>
      </c>
      <c r="OH673" s="27" t="s">
        <v>7</v>
      </c>
      <c r="OI673" s="27" t="s">
        <v>8</v>
      </c>
      <c r="OJ673" s="27" t="s">
        <v>7</v>
      </c>
      <c r="OP673" s="27" t="s">
        <v>7</v>
      </c>
      <c r="OQ673" s="27" t="s">
        <v>8</v>
      </c>
      <c r="OR673" s="27" t="s">
        <v>7</v>
      </c>
      <c r="RW673" s="27" t="s">
        <v>8</v>
      </c>
      <c r="RX673" s="27" t="s">
        <v>7</v>
      </c>
    </row>
    <row r="674" spans="1:502" x14ac:dyDescent="0.25">
      <c r="A674" s="7">
        <v>0.17856036158821534</v>
      </c>
      <c r="B674"/>
      <c r="C674"/>
      <c r="D674"/>
      <c r="E674"/>
      <c r="F674" s="27" t="s">
        <v>7</v>
      </c>
      <c r="OA674" s="27" t="s">
        <v>8</v>
      </c>
      <c r="OB674" s="27" t="s">
        <v>7</v>
      </c>
      <c r="OC674" s="27" t="s">
        <v>8</v>
      </c>
      <c r="OF674" s="27" t="s">
        <v>7</v>
      </c>
      <c r="OG674" s="27" t="s">
        <v>8</v>
      </c>
      <c r="OH674" s="27" t="s">
        <v>7</v>
      </c>
      <c r="OI674" s="27" t="s">
        <v>8</v>
      </c>
      <c r="OP674" s="27" t="s">
        <v>7</v>
      </c>
      <c r="OQ674" s="27" t="s">
        <v>8</v>
      </c>
      <c r="OR674" s="27" t="s">
        <v>7</v>
      </c>
      <c r="RW674" s="27" t="s">
        <v>8</v>
      </c>
      <c r="RX674" s="27" t="s">
        <v>7</v>
      </c>
    </row>
    <row r="675" spans="1:502" x14ac:dyDescent="0.25">
      <c r="A675" s="7">
        <v>0.17505917802766208</v>
      </c>
      <c r="B675"/>
      <c r="C675"/>
      <c r="D675"/>
      <c r="E675"/>
      <c r="F675" s="27" t="s">
        <v>7</v>
      </c>
      <c r="OA675" s="27" t="s">
        <v>8</v>
      </c>
      <c r="OB675" s="27" t="s">
        <v>7</v>
      </c>
      <c r="OC675" s="27" t="s">
        <v>8</v>
      </c>
      <c r="OF675" s="27" t="s">
        <v>7</v>
      </c>
      <c r="OG675" s="27" t="s">
        <v>8</v>
      </c>
      <c r="OH675" s="27" t="s">
        <v>7</v>
      </c>
      <c r="OI675" s="27" t="s">
        <v>8</v>
      </c>
      <c r="OP675" s="27" t="s">
        <v>7</v>
      </c>
      <c r="OQ675" s="27" t="s">
        <v>8</v>
      </c>
      <c r="OR675" s="27" t="s">
        <v>7</v>
      </c>
      <c r="RW675" s="27" t="s">
        <v>8</v>
      </c>
      <c r="RX675" s="27" t="s">
        <v>7</v>
      </c>
      <c r="SC675" s="27" t="s">
        <v>8</v>
      </c>
    </row>
    <row r="676" spans="1:502" x14ac:dyDescent="0.25">
      <c r="A676" s="7">
        <v>0.17162664512515888</v>
      </c>
      <c r="B676"/>
      <c r="C676"/>
      <c r="D676"/>
      <c r="E676"/>
      <c r="F676" s="27" t="s">
        <v>7</v>
      </c>
      <c r="OA676" s="27" t="s">
        <v>8</v>
      </c>
      <c r="OB676" s="27" t="s">
        <v>7</v>
      </c>
      <c r="OF676" s="27" t="s">
        <v>7</v>
      </c>
      <c r="OG676" s="27" t="s">
        <v>8</v>
      </c>
      <c r="OH676" s="27" t="s">
        <v>7</v>
      </c>
      <c r="OI676" s="27" t="s">
        <v>8</v>
      </c>
      <c r="OP676" s="27" t="s">
        <v>7</v>
      </c>
      <c r="OQ676" s="27" t="s">
        <v>8</v>
      </c>
      <c r="OR676" s="27" t="s">
        <v>7</v>
      </c>
      <c r="RW676" s="27" t="s">
        <v>8</v>
      </c>
      <c r="RX676" s="27" t="s">
        <v>7</v>
      </c>
      <c r="SC676" s="27" t="s">
        <v>8</v>
      </c>
      <c r="SD676" s="27" t="s">
        <v>7</v>
      </c>
    </row>
    <row r="677" spans="1:502" x14ac:dyDescent="0.25">
      <c r="A677" s="7">
        <v>0.16826141678937145</v>
      </c>
      <c r="B677"/>
      <c r="C677"/>
      <c r="D677"/>
      <c r="E677"/>
      <c r="F677" s="27" t="s">
        <v>7</v>
      </c>
      <c r="OA677" s="27" t="s">
        <v>8</v>
      </c>
      <c r="OF677" s="27" t="s">
        <v>7</v>
      </c>
      <c r="OG677" s="27" t="s">
        <v>8</v>
      </c>
      <c r="OH677" s="27" t="s">
        <v>7</v>
      </c>
      <c r="OI677" s="27" t="s">
        <v>8</v>
      </c>
      <c r="OP677" s="27" t="s">
        <v>7</v>
      </c>
      <c r="OQ677" s="27" t="s">
        <v>8</v>
      </c>
      <c r="OR677" s="27" t="s">
        <v>7</v>
      </c>
      <c r="OS677" s="27" t="s">
        <v>8</v>
      </c>
      <c r="RW677" s="27" t="s">
        <v>8</v>
      </c>
      <c r="RX677" s="27" t="s">
        <v>7</v>
      </c>
      <c r="RY677" s="27" t="s">
        <v>8</v>
      </c>
      <c r="SC677" s="27" t="s">
        <v>8</v>
      </c>
      <c r="SD677" s="27" t="s">
        <v>7</v>
      </c>
    </row>
    <row r="678" spans="1:502" x14ac:dyDescent="0.25">
      <c r="A678" s="7">
        <v>0.16496217332291319</v>
      </c>
      <c r="B678"/>
      <c r="C678"/>
      <c r="D678"/>
      <c r="E678"/>
      <c r="F678" s="27" t="s">
        <v>7</v>
      </c>
      <c r="OA678" s="27" t="s">
        <v>8</v>
      </c>
      <c r="OF678" s="27" t="s">
        <v>7</v>
      </c>
      <c r="OG678" s="27" t="s">
        <v>8</v>
      </c>
      <c r="OH678" s="27" t="s">
        <v>7</v>
      </c>
      <c r="OI678" s="27" t="s">
        <v>8</v>
      </c>
      <c r="OP678" s="27" t="s">
        <v>7</v>
      </c>
      <c r="OQ678" s="27" t="s">
        <v>8</v>
      </c>
      <c r="OR678" s="27" t="s">
        <v>7</v>
      </c>
      <c r="OS678" s="27" t="s">
        <v>8</v>
      </c>
      <c r="OT678" s="27" t="s">
        <v>7</v>
      </c>
      <c r="RW678" s="27" t="s">
        <v>8</v>
      </c>
      <c r="RX678" s="27" t="s">
        <v>7</v>
      </c>
      <c r="RY678" s="27" t="s">
        <v>8</v>
      </c>
      <c r="RZ678" s="27" t="s">
        <v>7</v>
      </c>
      <c r="SA678" s="27" t="s">
        <v>8</v>
      </c>
      <c r="SC678" s="27" t="s">
        <v>8</v>
      </c>
      <c r="SD678" s="27" t="s">
        <v>7</v>
      </c>
    </row>
    <row r="679" spans="1:502" x14ac:dyDescent="0.25">
      <c r="A679" s="7">
        <v>0.16172762090481685</v>
      </c>
      <c r="B679"/>
      <c r="C679"/>
      <c r="D679"/>
      <c r="E679"/>
      <c r="F679" s="27" t="s">
        <v>7</v>
      </c>
      <c r="OA679" s="27" t="s">
        <v>8</v>
      </c>
      <c r="OF679" s="27" t="s">
        <v>7</v>
      </c>
      <c r="OG679" s="27" t="s">
        <v>8</v>
      </c>
      <c r="OH679" s="27" t="s">
        <v>7</v>
      </c>
      <c r="OI679" s="27" t="s">
        <v>8</v>
      </c>
      <c r="OP679" s="27" t="s">
        <v>7</v>
      </c>
      <c r="OQ679" s="27" t="s">
        <v>8</v>
      </c>
      <c r="OR679" s="27" t="s">
        <v>7</v>
      </c>
      <c r="OS679" s="27" t="s">
        <v>8</v>
      </c>
      <c r="OT679" s="27" t="s">
        <v>7</v>
      </c>
      <c r="RU679" s="27" t="s">
        <v>8</v>
      </c>
      <c r="RW679" s="27" t="s">
        <v>8</v>
      </c>
      <c r="RX679" s="27" t="s">
        <v>7</v>
      </c>
      <c r="RY679" s="27" t="s">
        <v>8</v>
      </c>
      <c r="RZ679" s="27" t="s">
        <v>7</v>
      </c>
      <c r="SA679" s="27" t="s">
        <v>8</v>
      </c>
      <c r="SB679" s="27" t="s">
        <v>7</v>
      </c>
      <c r="SC679" s="27" t="s">
        <v>8</v>
      </c>
      <c r="SD679" s="27" t="s">
        <v>7</v>
      </c>
    </row>
    <row r="680" spans="1:502" x14ac:dyDescent="0.25">
      <c r="A680" s="7">
        <v>0.15855649108315376</v>
      </c>
      <c r="B680"/>
      <c r="C680"/>
      <c r="D680"/>
      <c r="E680"/>
      <c r="F680" s="27" t="s">
        <v>7</v>
      </c>
      <c r="OA680" s="27" t="s">
        <v>8</v>
      </c>
      <c r="OF680" s="27" t="s">
        <v>7</v>
      </c>
      <c r="OG680" s="27" t="s">
        <v>8</v>
      </c>
      <c r="OH680" s="27" t="s">
        <v>7</v>
      </c>
      <c r="OI680" s="27" t="s">
        <v>8</v>
      </c>
      <c r="OP680" s="27" t="s">
        <v>7</v>
      </c>
      <c r="OR680" s="27" t="s">
        <v>7</v>
      </c>
      <c r="OS680" s="27" t="s">
        <v>8</v>
      </c>
      <c r="OT680" s="27" t="s">
        <v>7</v>
      </c>
      <c r="RU680" s="27" t="s">
        <v>8</v>
      </c>
      <c r="RV680" s="27" t="s">
        <v>7</v>
      </c>
      <c r="RW680" s="27" t="s">
        <v>8</v>
      </c>
      <c r="RX680" s="27" t="s">
        <v>7</v>
      </c>
      <c r="RY680" s="27" t="s">
        <v>8</v>
      </c>
      <c r="RZ680" s="27" t="s">
        <v>7</v>
      </c>
      <c r="SA680" s="27" t="s">
        <v>8</v>
      </c>
      <c r="SB680" s="27" t="s">
        <v>7</v>
      </c>
      <c r="SC680" s="27" t="s">
        <v>8</v>
      </c>
      <c r="SD680" s="27" t="s">
        <v>7</v>
      </c>
    </row>
    <row r="681" spans="1:502" x14ac:dyDescent="0.25">
      <c r="A681" s="7">
        <v>0.15544754027760171</v>
      </c>
      <c r="B681"/>
      <c r="C681"/>
      <c r="D681"/>
      <c r="E681"/>
      <c r="F681" s="27" t="s">
        <v>7</v>
      </c>
      <c r="OA681" s="27" t="s">
        <v>8</v>
      </c>
      <c r="OF681" s="27" t="s">
        <v>7</v>
      </c>
      <c r="OG681" s="27" t="s">
        <v>8</v>
      </c>
      <c r="OH681" s="27" t="s">
        <v>7</v>
      </c>
      <c r="OR681" s="27" t="s">
        <v>7</v>
      </c>
      <c r="OS681" s="27" t="s">
        <v>8</v>
      </c>
      <c r="OT681" s="27" t="s">
        <v>7</v>
      </c>
      <c r="QM681" s="27" t="s">
        <v>8</v>
      </c>
      <c r="RU681" s="27" t="s">
        <v>8</v>
      </c>
      <c r="RV681" s="27" t="s">
        <v>7</v>
      </c>
      <c r="RW681" s="27" t="s">
        <v>8</v>
      </c>
      <c r="RX681" s="27" t="s">
        <v>7</v>
      </c>
      <c r="RY681" s="27" t="s">
        <v>8</v>
      </c>
      <c r="RZ681" s="27" t="s">
        <v>7</v>
      </c>
      <c r="SA681" s="27" t="s">
        <v>8</v>
      </c>
      <c r="SB681" s="27" t="s">
        <v>7</v>
      </c>
      <c r="SD681" s="27" t="s">
        <v>7</v>
      </c>
    </row>
    <row r="682" spans="1:502" x14ac:dyDescent="0.25">
      <c r="A682" s="7">
        <v>0.15239954929176638</v>
      </c>
      <c r="B682"/>
      <c r="C682"/>
      <c r="D682"/>
      <c r="E682"/>
      <c r="F682" s="27" t="s">
        <v>7</v>
      </c>
      <c r="OA682" s="27" t="s">
        <v>8</v>
      </c>
      <c r="OF682" s="27" t="s">
        <v>7</v>
      </c>
      <c r="OG682" s="27" t="s">
        <v>8</v>
      </c>
      <c r="OR682" s="27" t="s">
        <v>7</v>
      </c>
      <c r="OS682" s="27" t="s">
        <v>8</v>
      </c>
      <c r="OT682" s="27" t="s">
        <v>7</v>
      </c>
      <c r="PA682" s="27" t="s">
        <v>8</v>
      </c>
      <c r="QM682" s="27" t="s">
        <v>8</v>
      </c>
      <c r="QN682" s="27" t="s">
        <v>7</v>
      </c>
      <c r="RU682" s="27" t="s">
        <v>8</v>
      </c>
      <c r="RV682" s="27" t="s">
        <v>7</v>
      </c>
      <c r="RW682" s="27" t="s">
        <v>8</v>
      </c>
      <c r="RX682" s="27" t="s">
        <v>7</v>
      </c>
      <c r="RY682" s="27" t="s">
        <v>8</v>
      </c>
      <c r="RZ682" s="27" t="s">
        <v>7</v>
      </c>
      <c r="SD682" s="27" t="s">
        <v>7</v>
      </c>
    </row>
    <row r="683" spans="1:502" x14ac:dyDescent="0.25">
      <c r="A683" s="7">
        <v>0.14941132283506509</v>
      </c>
      <c r="B683"/>
      <c r="C683"/>
      <c r="D683"/>
      <c r="E683"/>
      <c r="F683" s="27" t="s">
        <v>7</v>
      </c>
      <c r="OA683" s="27" t="s">
        <v>8</v>
      </c>
      <c r="OF683" s="27" t="s">
        <v>7</v>
      </c>
      <c r="OG683" s="27" t="s">
        <v>8</v>
      </c>
      <c r="OR683" s="27" t="s">
        <v>7</v>
      </c>
      <c r="OT683" s="27" t="s">
        <v>7</v>
      </c>
      <c r="PA683" s="27" t="s">
        <v>8</v>
      </c>
      <c r="PB683" s="27" t="s">
        <v>7</v>
      </c>
      <c r="QM683" s="27" t="s">
        <v>8</v>
      </c>
      <c r="QN683" s="27" t="s">
        <v>7</v>
      </c>
      <c r="RU683" s="27" t="s">
        <v>8</v>
      </c>
      <c r="RV683" s="27" t="s">
        <v>7</v>
      </c>
      <c r="RX683" s="27" t="s">
        <v>7</v>
      </c>
      <c r="SD683" s="27" t="s">
        <v>7</v>
      </c>
    </row>
    <row r="684" spans="1:502" x14ac:dyDescent="0.25">
      <c r="A684" s="7">
        <v>0.14648168905398537</v>
      </c>
      <c r="B684"/>
      <c r="C684"/>
      <c r="D684"/>
      <c r="E684"/>
      <c r="F684" s="27" t="s">
        <v>7</v>
      </c>
      <c r="NY684" s="27" t="s">
        <v>8</v>
      </c>
      <c r="OA684" s="27" t="s">
        <v>8</v>
      </c>
      <c r="OF684" s="27" t="s">
        <v>7</v>
      </c>
      <c r="OG684" s="27" t="s">
        <v>8</v>
      </c>
      <c r="OT684" s="27" t="s">
        <v>7</v>
      </c>
      <c r="PA684" s="27" t="s">
        <v>8</v>
      </c>
      <c r="PB684" s="27" t="s">
        <v>7</v>
      </c>
      <c r="QM684" s="27" t="s">
        <v>8</v>
      </c>
      <c r="QN684" s="27" t="s">
        <v>7</v>
      </c>
      <c r="RM684" s="27" t="s">
        <v>8</v>
      </c>
      <c r="RU684" s="27" t="s">
        <v>8</v>
      </c>
      <c r="SD684" s="27" t="s">
        <v>7</v>
      </c>
      <c r="SE684" s="27" t="s">
        <v>8</v>
      </c>
    </row>
    <row r="685" spans="1:502" x14ac:dyDescent="0.25">
      <c r="A685" s="7">
        <v>0.14360949907253467</v>
      </c>
      <c r="B685"/>
      <c r="C685"/>
      <c r="D685"/>
      <c r="E685"/>
      <c r="F685" s="27" t="s">
        <v>7</v>
      </c>
      <c r="NY685" s="27" t="s">
        <v>8</v>
      </c>
      <c r="NZ685" s="27" t="s">
        <v>7</v>
      </c>
      <c r="OA685" s="27" t="s">
        <v>8</v>
      </c>
      <c r="OF685" s="27" t="s">
        <v>7</v>
      </c>
      <c r="OG685" s="27" t="s">
        <v>8</v>
      </c>
      <c r="OT685" s="27" t="s">
        <v>7</v>
      </c>
      <c r="OU685" s="27" t="s">
        <v>8</v>
      </c>
      <c r="PA685" s="27" t="s">
        <v>8</v>
      </c>
      <c r="PB685" s="27" t="s">
        <v>7</v>
      </c>
      <c r="QG685" s="27" t="s">
        <v>8</v>
      </c>
      <c r="QM685" s="27" t="s">
        <v>8</v>
      </c>
      <c r="QN685" s="27" t="s">
        <v>7</v>
      </c>
      <c r="RM685" s="27" t="s">
        <v>8</v>
      </c>
      <c r="RN685" s="27" t="s">
        <v>7</v>
      </c>
      <c r="RU685" s="27" t="s">
        <v>8</v>
      </c>
      <c r="SD685" s="27" t="s">
        <v>7</v>
      </c>
      <c r="SE685" s="27" t="s">
        <v>8</v>
      </c>
      <c r="SF685" s="27" t="s">
        <v>7</v>
      </c>
    </row>
    <row r="686" spans="1:502" x14ac:dyDescent="0.25">
      <c r="A686" s="7">
        <v>0.14079362654170066</v>
      </c>
      <c r="B686"/>
      <c r="C686"/>
      <c r="D686"/>
      <c r="E686"/>
      <c r="F686" s="27" t="s">
        <v>7</v>
      </c>
      <c r="NY686" s="27" t="s">
        <v>8</v>
      </c>
      <c r="NZ686" s="27" t="s">
        <v>7</v>
      </c>
      <c r="OA686" s="27" t="s">
        <v>8</v>
      </c>
      <c r="OF686" s="27" t="s">
        <v>7</v>
      </c>
      <c r="OG686" s="27" t="s">
        <v>8</v>
      </c>
      <c r="OT686" s="27" t="s">
        <v>7</v>
      </c>
      <c r="OU686" s="27" t="s">
        <v>8</v>
      </c>
      <c r="OV686" s="27" t="s">
        <v>7</v>
      </c>
      <c r="OY686" s="27" t="s">
        <v>8</v>
      </c>
      <c r="PA686" s="27" t="s">
        <v>8</v>
      </c>
      <c r="PB686" s="27" t="s">
        <v>7</v>
      </c>
      <c r="QG686" s="27" t="s">
        <v>8</v>
      </c>
      <c r="QH686" s="27" t="s">
        <v>7</v>
      </c>
      <c r="QM686" s="27" t="s">
        <v>8</v>
      </c>
      <c r="QN686" s="27" t="s">
        <v>7</v>
      </c>
      <c r="RM686" s="27" t="s">
        <v>8</v>
      </c>
      <c r="RN686" s="27" t="s">
        <v>7</v>
      </c>
      <c r="RS686" s="27" t="s">
        <v>8</v>
      </c>
      <c r="RU686" s="27" t="s">
        <v>8</v>
      </c>
      <c r="SD686" s="27" t="s">
        <v>7</v>
      </c>
      <c r="SE686" s="27" t="s">
        <v>8</v>
      </c>
      <c r="SF686" s="27" t="s">
        <v>7</v>
      </c>
      <c r="SG686" s="27" t="s">
        <v>8</v>
      </c>
    </row>
    <row r="687" spans="1:502" x14ac:dyDescent="0.25">
      <c r="A687" s="7">
        <v>0.13803296719774574</v>
      </c>
      <c r="B687"/>
      <c r="C687"/>
      <c r="D687"/>
      <c r="E687"/>
      <c r="F687" s="27" t="s">
        <v>7</v>
      </c>
      <c r="NY687" s="27" t="s">
        <v>8</v>
      </c>
      <c r="NZ687" s="27" t="s">
        <v>7</v>
      </c>
      <c r="OA687" s="27" t="s">
        <v>8</v>
      </c>
      <c r="OF687" s="27" t="s">
        <v>7</v>
      </c>
      <c r="OG687" s="27" t="s">
        <v>8</v>
      </c>
      <c r="OT687" s="27" t="s">
        <v>7</v>
      </c>
      <c r="OU687" s="27" t="s">
        <v>8</v>
      </c>
      <c r="OV687" s="27" t="s">
        <v>7</v>
      </c>
      <c r="OY687" s="27" t="s">
        <v>8</v>
      </c>
      <c r="OZ687" s="27" t="s">
        <v>7</v>
      </c>
      <c r="PA687" s="27" t="s">
        <v>8</v>
      </c>
      <c r="PB687" s="27" t="s">
        <v>7</v>
      </c>
      <c r="QG687" s="27" t="s">
        <v>8</v>
      </c>
      <c r="QH687" s="27" t="s">
        <v>7</v>
      </c>
      <c r="QM687" s="27" t="s">
        <v>8</v>
      </c>
      <c r="QN687" s="27" t="s">
        <v>7</v>
      </c>
      <c r="RK687" s="27" t="s">
        <v>8</v>
      </c>
      <c r="RM687" s="27" t="s">
        <v>8</v>
      </c>
      <c r="RN687" s="27" t="s">
        <v>7</v>
      </c>
      <c r="RO687" s="27" t="s">
        <v>8</v>
      </c>
      <c r="RS687" s="27" t="s">
        <v>8</v>
      </c>
      <c r="RT687" s="27" t="s">
        <v>7</v>
      </c>
      <c r="RU687" s="27" t="s">
        <v>8</v>
      </c>
      <c r="SD687" s="27" t="s">
        <v>7</v>
      </c>
      <c r="SE687" s="27" t="s">
        <v>8</v>
      </c>
      <c r="SF687" s="27" t="s">
        <v>7</v>
      </c>
      <c r="SG687" s="27" t="s">
        <v>8</v>
      </c>
      <c r="SH687" s="27" t="s">
        <v>7</v>
      </c>
    </row>
    <row r="688" spans="1:502" x14ac:dyDescent="0.25">
      <c r="A688" s="7">
        <v>0.1353264384291625</v>
      </c>
      <c r="B688"/>
      <c r="C688"/>
      <c r="D688"/>
      <c r="E688"/>
      <c r="F688" s="27" t="s">
        <v>7</v>
      </c>
      <c r="NY688" s="27" t="s">
        <v>8</v>
      </c>
      <c r="NZ688" s="27" t="s">
        <v>7</v>
      </c>
      <c r="OA688" s="27" t="s">
        <v>8</v>
      </c>
      <c r="OF688" s="27" t="s">
        <v>7</v>
      </c>
      <c r="OG688" s="27" t="s">
        <v>8</v>
      </c>
      <c r="OT688" s="27" t="s">
        <v>7</v>
      </c>
      <c r="OU688" s="27" t="s">
        <v>8</v>
      </c>
      <c r="OV688" s="27" t="s">
        <v>7</v>
      </c>
      <c r="OY688" s="27" t="s">
        <v>8</v>
      </c>
      <c r="OZ688" s="27" t="s">
        <v>7</v>
      </c>
      <c r="PA688" s="27" t="s">
        <v>8</v>
      </c>
      <c r="PB688" s="27" t="s">
        <v>7</v>
      </c>
      <c r="PC688" s="27" t="s">
        <v>8</v>
      </c>
      <c r="QG688" s="27" t="s">
        <v>8</v>
      </c>
      <c r="QH688" s="27" t="s">
        <v>7</v>
      </c>
      <c r="QI688" s="27" t="s">
        <v>8</v>
      </c>
      <c r="QM688" s="27" t="s">
        <v>8</v>
      </c>
      <c r="QN688" s="27" t="s">
        <v>7</v>
      </c>
      <c r="RI688" s="27" t="s">
        <v>8</v>
      </c>
      <c r="RK688" s="27" t="s">
        <v>8</v>
      </c>
      <c r="RL688" s="27" t="s">
        <v>7</v>
      </c>
      <c r="RM688" s="27" t="s">
        <v>8</v>
      </c>
      <c r="RN688" s="27" t="s">
        <v>7</v>
      </c>
      <c r="RO688" s="27" t="s">
        <v>8</v>
      </c>
      <c r="RP688" s="27" t="s">
        <v>7</v>
      </c>
      <c r="RQ688" s="27" t="s">
        <v>8</v>
      </c>
      <c r="RS688" s="27" t="s">
        <v>8</v>
      </c>
      <c r="RT688" s="27" t="s">
        <v>7</v>
      </c>
      <c r="RU688" s="27" t="s">
        <v>8</v>
      </c>
      <c r="SD688" s="27" t="s">
        <v>7</v>
      </c>
      <c r="SF688" s="27" t="s">
        <v>7</v>
      </c>
      <c r="SG688" s="27" t="s">
        <v>8</v>
      </c>
      <c r="SH688" s="27" t="s">
        <v>7</v>
      </c>
    </row>
    <row r="689" spans="1:518" x14ac:dyDescent="0.25">
      <c r="A689" s="7">
        <v>0.13267297885212009</v>
      </c>
      <c r="B689"/>
      <c r="C689"/>
      <c r="D689"/>
      <c r="E689"/>
      <c r="F689" s="27" t="s">
        <v>7</v>
      </c>
      <c r="NY689" s="27" t="s">
        <v>8</v>
      </c>
      <c r="NZ689" s="27" t="s">
        <v>7</v>
      </c>
      <c r="OA689" s="27" t="s">
        <v>8</v>
      </c>
      <c r="OF689" s="27" t="s">
        <v>7</v>
      </c>
      <c r="OT689" s="27" t="s">
        <v>7</v>
      </c>
      <c r="OU689" s="27" t="s">
        <v>8</v>
      </c>
      <c r="OV689" s="27" t="s">
        <v>7</v>
      </c>
      <c r="OY689" s="27" t="s">
        <v>8</v>
      </c>
      <c r="OZ689" s="27" t="s">
        <v>7</v>
      </c>
      <c r="PA689" s="27" t="s">
        <v>8</v>
      </c>
      <c r="PB689" s="27" t="s">
        <v>7</v>
      </c>
      <c r="PC689" s="27" t="s">
        <v>8</v>
      </c>
      <c r="PD689" s="27" t="s">
        <v>7</v>
      </c>
      <c r="QG689" s="27" t="s">
        <v>8</v>
      </c>
      <c r="QH689" s="27" t="s">
        <v>7</v>
      </c>
      <c r="QI689" s="27" t="s">
        <v>8</v>
      </c>
      <c r="QJ689" s="27" t="s">
        <v>7</v>
      </c>
      <c r="QM689" s="27" t="s">
        <v>8</v>
      </c>
      <c r="QN689" s="27" t="s">
        <v>7</v>
      </c>
      <c r="RI689" s="27" t="s">
        <v>8</v>
      </c>
      <c r="RJ689" s="27" t="s">
        <v>7</v>
      </c>
      <c r="RK689" s="27" t="s">
        <v>8</v>
      </c>
      <c r="RL689" s="27" t="s">
        <v>7</v>
      </c>
      <c r="RM689" s="27" t="s">
        <v>8</v>
      </c>
      <c r="RN689" s="27" t="s">
        <v>7</v>
      </c>
      <c r="RO689" s="27" t="s">
        <v>8</v>
      </c>
      <c r="RP689" s="27" t="s">
        <v>7</v>
      </c>
      <c r="RQ689" s="27" t="s">
        <v>8</v>
      </c>
      <c r="RR689" s="27" t="s">
        <v>7</v>
      </c>
      <c r="RS689" s="27" t="s">
        <v>8</v>
      </c>
      <c r="RT689" s="27" t="s">
        <v>7</v>
      </c>
      <c r="SF689" s="27" t="s">
        <v>7</v>
      </c>
      <c r="SG689" s="27" t="s">
        <v>8</v>
      </c>
      <c r="SH689" s="27" t="s">
        <v>7</v>
      </c>
    </row>
    <row r="690" spans="1:518" x14ac:dyDescent="0.25">
      <c r="A690" s="7">
        <v>0.13007154789423539</v>
      </c>
      <c r="B690"/>
      <c r="C690"/>
      <c r="D690"/>
      <c r="E690"/>
      <c r="F690" s="27" t="s">
        <v>7</v>
      </c>
      <c r="NY690" s="27" t="s">
        <v>8</v>
      </c>
      <c r="NZ690" s="27" t="s">
        <v>7</v>
      </c>
      <c r="OA690" s="27" t="s">
        <v>8</v>
      </c>
      <c r="OT690" s="27" t="s">
        <v>7</v>
      </c>
      <c r="OU690" s="27" t="s">
        <v>8</v>
      </c>
      <c r="OV690" s="27" t="s">
        <v>7</v>
      </c>
      <c r="OY690" s="27" t="s">
        <v>8</v>
      </c>
      <c r="OZ690" s="27" t="s">
        <v>7</v>
      </c>
      <c r="PA690" s="27" t="s">
        <v>8</v>
      </c>
      <c r="PB690" s="27" t="s">
        <v>7</v>
      </c>
      <c r="PC690" s="27" t="s">
        <v>8</v>
      </c>
      <c r="PD690" s="27" t="s">
        <v>7</v>
      </c>
      <c r="QG690" s="27" t="s">
        <v>8</v>
      </c>
      <c r="QH690" s="27" t="s">
        <v>7</v>
      </c>
      <c r="QI690" s="27" t="s">
        <v>8</v>
      </c>
      <c r="QJ690" s="27" t="s">
        <v>7</v>
      </c>
      <c r="QM690" s="27" t="s">
        <v>8</v>
      </c>
      <c r="QN690" s="27" t="s">
        <v>7</v>
      </c>
      <c r="RI690" s="27" t="s">
        <v>8</v>
      </c>
      <c r="RJ690" s="27" t="s">
        <v>7</v>
      </c>
      <c r="RK690" s="27" t="s">
        <v>8</v>
      </c>
      <c r="RL690" s="27" t="s">
        <v>7</v>
      </c>
      <c r="RN690" s="27" t="s">
        <v>7</v>
      </c>
      <c r="RO690" s="27" t="s">
        <v>8</v>
      </c>
      <c r="RP690" s="27" t="s">
        <v>7</v>
      </c>
      <c r="RQ690" s="27" t="s">
        <v>8</v>
      </c>
      <c r="RR690" s="27" t="s">
        <v>7</v>
      </c>
      <c r="RS690" s="27" t="s">
        <v>8</v>
      </c>
      <c r="SF690" s="27" t="s">
        <v>7</v>
      </c>
      <c r="SG690" s="27" t="s">
        <v>8</v>
      </c>
      <c r="SH690" s="27" t="s">
        <v>7</v>
      </c>
    </row>
    <row r="691" spans="1:518" x14ac:dyDescent="0.25">
      <c r="A691" s="7">
        <v>0.12752112538650529</v>
      </c>
      <c r="B691"/>
      <c r="C691"/>
      <c r="D691"/>
      <c r="E691"/>
      <c r="F691" s="27" t="s">
        <v>7</v>
      </c>
      <c r="NY691" s="27" t="s">
        <v>8</v>
      </c>
      <c r="NZ691" s="27" t="s">
        <v>7</v>
      </c>
      <c r="OT691" s="27" t="s">
        <v>7</v>
      </c>
      <c r="OU691" s="27" t="s">
        <v>8</v>
      </c>
      <c r="OV691" s="27" t="s">
        <v>7</v>
      </c>
      <c r="OY691" s="27" t="s">
        <v>8</v>
      </c>
      <c r="OZ691" s="27" t="s">
        <v>7</v>
      </c>
      <c r="PA691" s="27" t="s">
        <v>8</v>
      </c>
      <c r="PB691" s="27" t="s">
        <v>7</v>
      </c>
      <c r="PC691" s="27" t="s">
        <v>8</v>
      </c>
      <c r="PD691" s="27" t="s">
        <v>7</v>
      </c>
      <c r="QG691" s="27" t="s">
        <v>8</v>
      </c>
      <c r="QH691" s="27" t="s">
        <v>7</v>
      </c>
      <c r="QI691" s="27" t="s">
        <v>8</v>
      </c>
      <c r="QJ691" s="27" t="s">
        <v>7</v>
      </c>
      <c r="QK691" s="27" t="s">
        <v>8</v>
      </c>
      <c r="QM691" s="27" t="s">
        <v>8</v>
      </c>
      <c r="QN691" s="27" t="s">
        <v>7</v>
      </c>
      <c r="QO691" s="27" t="s">
        <v>8</v>
      </c>
      <c r="RG691" s="27" t="s">
        <v>8</v>
      </c>
      <c r="RI691" s="27" t="s">
        <v>8</v>
      </c>
      <c r="RJ691" s="27" t="s">
        <v>7</v>
      </c>
      <c r="RN691" s="27" t="s">
        <v>7</v>
      </c>
      <c r="RO691" s="27" t="s">
        <v>8</v>
      </c>
      <c r="RP691" s="27" t="s">
        <v>7</v>
      </c>
      <c r="RR691" s="27" t="s">
        <v>7</v>
      </c>
      <c r="SF691" s="27" t="s">
        <v>7</v>
      </c>
      <c r="SG691" s="27" t="s">
        <v>8</v>
      </c>
      <c r="SH691" s="27" t="s">
        <v>7</v>
      </c>
    </row>
    <row r="692" spans="1:518" x14ac:dyDescent="0.25">
      <c r="A692" s="7">
        <v>0.12502071116324048</v>
      </c>
      <c r="B692"/>
      <c r="C692"/>
      <c r="D692"/>
      <c r="E692"/>
      <c r="F692" s="27" t="s">
        <v>7</v>
      </c>
      <c r="NY692" s="27" t="s">
        <v>8</v>
      </c>
      <c r="OT692" s="27" t="s">
        <v>7</v>
      </c>
      <c r="OU692" s="27" t="s">
        <v>8</v>
      </c>
      <c r="OV692" s="27" t="s">
        <v>7</v>
      </c>
      <c r="OY692" s="27" t="s">
        <v>8</v>
      </c>
      <c r="OZ692" s="27" t="s">
        <v>7</v>
      </c>
      <c r="PA692" s="27" t="s">
        <v>8</v>
      </c>
      <c r="PB692" s="27" t="s">
        <v>7</v>
      </c>
      <c r="PC692" s="27" t="s">
        <v>8</v>
      </c>
      <c r="PD692" s="27" t="s">
        <v>7</v>
      </c>
      <c r="QG692" s="27" t="s">
        <v>8</v>
      </c>
      <c r="QH692" s="27" t="s">
        <v>7</v>
      </c>
      <c r="QI692" s="27" t="s">
        <v>8</v>
      </c>
      <c r="QJ692" s="27" t="s">
        <v>7</v>
      </c>
      <c r="QK692" s="27" t="s">
        <v>8</v>
      </c>
      <c r="QL692" s="27" t="s">
        <v>7</v>
      </c>
      <c r="QM692" s="27" t="s">
        <v>8</v>
      </c>
      <c r="QN692" s="27" t="s">
        <v>7</v>
      </c>
      <c r="QO692" s="27" t="s">
        <v>8</v>
      </c>
      <c r="QP692" s="27" t="s">
        <v>7</v>
      </c>
      <c r="RG692" s="27" t="s">
        <v>8</v>
      </c>
      <c r="RH692" s="27" t="s">
        <v>7</v>
      </c>
      <c r="RI692" s="27" t="s">
        <v>8</v>
      </c>
      <c r="RN692" s="27" t="s">
        <v>7</v>
      </c>
      <c r="RO692" s="27" t="s">
        <v>8</v>
      </c>
      <c r="SF692" s="27" t="s">
        <v>7</v>
      </c>
      <c r="SH692" s="27" t="s">
        <v>7</v>
      </c>
      <c r="SK692" s="27" t="s">
        <v>8</v>
      </c>
    </row>
    <row r="693" spans="1:518" x14ac:dyDescent="0.25">
      <c r="A693" s="7">
        <v>0.1225693246698436</v>
      </c>
      <c r="B693"/>
      <c r="C693"/>
      <c r="D693"/>
      <c r="E693"/>
      <c r="F693" s="27" t="s">
        <v>7</v>
      </c>
      <c r="NY693" s="27" t="s">
        <v>8</v>
      </c>
      <c r="OT693" s="27" t="s">
        <v>7</v>
      </c>
      <c r="OU693" s="27" t="s">
        <v>8</v>
      </c>
      <c r="OV693" s="27" t="s">
        <v>7</v>
      </c>
      <c r="OY693" s="27" t="s">
        <v>8</v>
      </c>
      <c r="OZ693" s="27" t="s">
        <v>7</v>
      </c>
      <c r="PA693" s="27" t="s">
        <v>8</v>
      </c>
      <c r="PB693" s="27" t="s">
        <v>7</v>
      </c>
      <c r="PC693" s="27" t="s">
        <v>8</v>
      </c>
      <c r="PD693" s="27" t="s">
        <v>7</v>
      </c>
      <c r="PE693" s="27" t="s">
        <v>8</v>
      </c>
      <c r="QG693" s="27" t="s">
        <v>8</v>
      </c>
      <c r="QH693" s="27" t="s">
        <v>7</v>
      </c>
      <c r="QI693" s="27" t="s">
        <v>8</v>
      </c>
      <c r="QJ693" s="27" t="s">
        <v>7</v>
      </c>
      <c r="QK693" s="27" t="s">
        <v>8</v>
      </c>
      <c r="QL693" s="27" t="s">
        <v>7</v>
      </c>
      <c r="QM693" s="27" t="s">
        <v>8</v>
      </c>
      <c r="QN693" s="27" t="s">
        <v>7</v>
      </c>
      <c r="QO693" s="27" t="s">
        <v>8</v>
      </c>
      <c r="QP693" s="27" t="s">
        <v>7</v>
      </c>
      <c r="QQ693" s="27" t="s">
        <v>8</v>
      </c>
      <c r="QS693" s="27" t="s">
        <v>8</v>
      </c>
      <c r="RE693" s="27" t="s">
        <v>8</v>
      </c>
      <c r="RG693" s="27" t="s">
        <v>8</v>
      </c>
      <c r="RH693" s="27" t="s">
        <v>7</v>
      </c>
      <c r="RI693" s="27" t="s">
        <v>8</v>
      </c>
      <c r="RN693" s="27" t="s">
        <v>7</v>
      </c>
      <c r="RO693" s="27" t="s">
        <v>8</v>
      </c>
      <c r="SH693" s="27" t="s">
        <v>7</v>
      </c>
      <c r="SK693" s="27" t="s">
        <v>8</v>
      </c>
      <c r="SL693" s="27" t="s">
        <v>7</v>
      </c>
    </row>
    <row r="694" spans="1:518" x14ac:dyDescent="0.25">
      <c r="A694" s="7">
        <v>0.12016600457827803</v>
      </c>
      <c r="B694"/>
      <c r="C694"/>
      <c r="D694"/>
      <c r="E694"/>
      <c r="F694" s="27" t="s">
        <v>7</v>
      </c>
      <c r="NW694" s="27" t="s">
        <v>8</v>
      </c>
      <c r="NY694" s="27" t="s">
        <v>8</v>
      </c>
      <c r="OT694" s="27" t="s">
        <v>7</v>
      </c>
      <c r="OU694" s="27" t="s">
        <v>8</v>
      </c>
      <c r="OV694" s="27" t="s">
        <v>7</v>
      </c>
      <c r="OY694" s="27" t="s">
        <v>8</v>
      </c>
      <c r="OZ694" s="27" t="s">
        <v>7</v>
      </c>
      <c r="PA694" s="27" t="s">
        <v>8</v>
      </c>
      <c r="PB694" s="27" t="s">
        <v>7</v>
      </c>
      <c r="PD694" s="27" t="s">
        <v>7</v>
      </c>
      <c r="PE694" s="27" t="s">
        <v>8</v>
      </c>
      <c r="PF694" s="27" t="s">
        <v>7</v>
      </c>
      <c r="QG694" s="27" t="s">
        <v>8</v>
      </c>
      <c r="QH694" s="27" t="s">
        <v>7</v>
      </c>
      <c r="QI694" s="27" t="s">
        <v>8</v>
      </c>
      <c r="QJ694" s="27" t="s">
        <v>7</v>
      </c>
      <c r="QK694" s="27" t="s">
        <v>8</v>
      </c>
      <c r="QL694" s="27" t="s">
        <v>7</v>
      </c>
      <c r="QM694" s="27" t="s">
        <v>8</v>
      </c>
      <c r="QN694" s="27" t="s">
        <v>7</v>
      </c>
      <c r="QO694" s="27" t="s">
        <v>8</v>
      </c>
      <c r="QP694" s="27" t="s">
        <v>7</v>
      </c>
      <c r="QQ694" s="27" t="s">
        <v>8</v>
      </c>
      <c r="QR694" s="27" t="s">
        <v>7</v>
      </c>
      <c r="QS694" s="27" t="s">
        <v>8</v>
      </c>
      <c r="QT694" s="27" t="s">
        <v>7</v>
      </c>
      <c r="RE694" s="27" t="s">
        <v>8</v>
      </c>
      <c r="RF694" s="27" t="s">
        <v>7</v>
      </c>
      <c r="RG694" s="27" t="s">
        <v>8</v>
      </c>
      <c r="RH694" s="27" t="s">
        <v>7</v>
      </c>
      <c r="RI694" s="27" t="s">
        <v>8</v>
      </c>
      <c r="RN694" s="27" t="s">
        <v>7</v>
      </c>
      <c r="RO694" s="27" t="s">
        <v>8</v>
      </c>
      <c r="SH694" s="27" t="s">
        <v>7</v>
      </c>
      <c r="SK694" s="27" t="s">
        <v>8</v>
      </c>
      <c r="SL694" s="27" t="s">
        <v>7</v>
      </c>
    </row>
    <row r="695" spans="1:518" x14ac:dyDescent="0.25">
      <c r="A695" s="7">
        <v>0.1178098084100765</v>
      </c>
      <c r="B695"/>
      <c r="C695"/>
      <c r="D695"/>
      <c r="E695"/>
      <c r="F695" s="27" t="s">
        <v>7</v>
      </c>
      <c r="NW695" s="27" t="s">
        <v>8</v>
      </c>
      <c r="NX695" s="27" t="s">
        <v>7</v>
      </c>
      <c r="NY695" s="27" t="s">
        <v>8</v>
      </c>
      <c r="OT695" s="27" t="s">
        <v>7</v>
      </c>
      <c r="OU695" s="27" t="s">
        <v>8</v>
      </c>
      <c r="OV695" s="27" t="s">
        <v>7</v>
      </c>
      <c r="OY695" s="27" t="s">
        <v>8</v>
      </c>
      <c r="OZ695" s="27" t="s">
        <v>7</v>
      </c>
      <c r="PA695" s="27" t="s">
        <v>8</v>
      </c>
      <c r="PD695" s="27" t="s">
        <v>7</v>
      </c>
      <c r="PE695" s="27" t="s">
        <v>8</v>
      </c>
      <c r="PF695" s="27" t="s">
        <v>7</v>
      </c>
      <c r="QE695" s="27" t="s">
        <v>8</v>
      </c>
      <c r="QG695" s="27" t="s">
        <v>8</v>
      </c>
      <c r="QH695" s="27" t="s">
        <v>7</v>
      </c>
      <c r="QI695" s="27" t="s">
        <v>8</v>
      </c>
      <c r="QJ695" s="27" t="s">
        <v>7</v>
      </c>
      <c r="QK695" s="27" t="s">
        <v>8</v>
      </c>
      <c r="QL695" s="27" t="s">
        <v>7</v>
      </c>
      <c r="QN695" s="27" t="s">
        <v>7</v>
      </c>
      <c r="QO695" s="27" t="s">
        <v>8</v>
      </c>
      <c r="QP695" s="27" t="s">
        <v>7</v>
      </c>
      <c r="QQ695" s="27" t="s">
        <v>8</v>
      </c>
      <c r="QR695" s="27" t="s">
        <v>7</v>
      </c>
      <c r="QS695" s="27" t="s">
        <v>8</v>
      </c>
      <c r="QT695" s="27" t="s">
        <v>7</v>
      </c>
      <c r="RC695" s="27" t="s">
        <v>8</v>
      </c>
      <c r="RE695" s="27" t="s">
        <v>8</v>
      </c>
      <c r="RF695" s="27" t="s">
        <v>7</v>
      </c>
      <c r="RG695" s="27" t="s">
        <v>8</v>
      </c>
      <c r="RH695" s="27" t="s">
        <v>7</v>
      </c>
      <c r="RI695" s="27" t="s">
        <v>8</v>
      </c>
      <c r="RN695" s="27" t="s">
        <v>7</v>
      </c>
      <c r="SH695" s="27" t="s">
        <v>7</v>
      </c>
      <c r="SI695" s="27" t="s">
        <v>8</v>
      </c>
      <c r="SK695" s="27" t="s">
        <v>8</v>
      </c>
      <c r="SL695" s="27" t="s">
        <v>7</v>
      </c>
    </row>
    <row r="696" spans="1:518" x14ac:dyDescent="0.25">
      <c r="A696" s="7">
        <v>0.11549981216674166</v>
      </c>
      <c r="B696"/>
      <c r="C696"/>
      <c r="D696"/>
      <c r="E696"/>
      <c r="F696" s="27" t="s">
        <v>7</v>
      </c>
      <c r="NW696" s="27" t="s">
        <v>8</v>
      </c>
      <c r="NX696" s="27" t="s">
        <v>7</v>
      </c>
      <c r="NY696" s="27" t="s">
        <v>8</v>
      </c>
      <c r="OT696" s="27" t="s">
        <v>7</v>
      </c>
      <c r="OU696" s="27" t="s">
        <v>8</v>
      </c>
      <c r="OV696" s="27" t="s">
        <v>7</v>
      </c>
      <c r="OY696" s="27" t="s">
        <v>8</v>
      </c>
      <c r="OZ696" s="27" t="s">
        <v>7</v>
      </c>
      <c r="PA696" s="27" t="s">
        <v>8</v>
      </c>
      <c r="PD696" s="27" t="s">
        <v>7</v>
      </c>
      <c r="PE696" s="27" t="s">
        <v>8</v>
      </c>
      <c r="PF696" s="27" t="s">
        <v>7</v>
      </c>
      <c r="PG696" s="27" t="s">
        <v>8</v>
      </c>
      <c r="PI696" s="27" t="s">
        <v>8</v>
      </c>
      <c r="QE696" s="27" t="s">
        <v>8</v>
      </c>
      <c r="QF696" s="27" t="s">
        <v>7</v>
      </c>
      <c r="QG696" s="27" t="s">
        <v>8</v>
      </c>
      <c r="QH696" s="27" t="s">
        <v>7</v>
      </c>
      <c r="QI696" s="27" t="s">
        <v>8</v>
      </c>
      <c r="QJ696" s="27" t="s">
        <v>7</v>
      </c>
      <c r="QN696" s="27" t="s">
        <v>7</v>
      </c>
      <c r="QO696" s="27" t="s">
        <v>8</v>
      </c>
      <c r="QP696" s="27" t="s">
        <v>7</v>
      </c>
      <c r="QQ696" s="27" t="s">
        <v>8</v>
      </c>
      <c r="QR696" s="27" t="s">
        <v>7</v>
      </c>
      <c r="QS696" s="27" t="s">
        <v>8</v>
      </c>
      <c r="QT696" s="27" t="s">
        <v>7</v>
      </c>
      <c r="QY696" s="27" t="s">
        <v>8</v>
      </c>
      <c r="RA696" s="27" t="s">
        <v>8</v>
      </c>
      <c r="RC696" s="27" t="s">
        <v>8</v>
      </c>
      <c r="RD696" s="27" t="s">
        <v>7</v>
      </c>
      <c r="RE696" s="27" t="s">
        <v>8</v>
      </c>
      <c r="RF696" s="27" t="s">
        <v>7</v>
      </c>
      <c r="RG696" s="27" t="s">
        <v>8</v>
      </c>
      <c r="RH696" s="27" t="s">
        <v>7</v>
      </c>
      <c r="SH696" s="27" t="s">
        <v>7</v>
      </c>
      <c r="SI696" s="27" t="s">
        <v>8</v>
      </c>
      <c r="SJ696" s="27" t="s">
        <v>7</v>
      </c>
      <c r="SK696" s="27" t="s">
        <v>8</v>
      </c>
      <c r="SL696" s="27" t="s">
        <v>7</v>
      </c>
    </row>
    <row r="697" spans="1:518" x14ac:dyDescent="0.25">
      <c r="A697" s="7">
        <v>0.11323510996739378</v>
      </c>
      <c r="B697"/>
      <c r="C697"/>
      <c r="D697"/>
      <c r="E697"/>
      <c r="F697" s="27" t="s">
        <v>7</v>
      </c>
      <c r="NW697" s="27" t="s">
        <v>8</v>
      </c>
      <c r="NX697" s="27" t="s">
        <v>7</v>
      </c>
      <c r="NY697" s="27" t="s">
        <v>8</v>
      </c>
      <c r="OT697" s="27" t="s">
        <v>7</v>
      </c>
      <c r="OU697" s="27" t="s">
        <v>8</v>
      </c>
      <c r="OV697" s="27" t="s">
        <v>7</v>
      </c>
      <c r="OY697" s="27" t="s">
        <v>8</v>
      </c>
      <c r="OZ697" s="27" t="s">
        <v>7</v>
      </c>
      <c r="PA697" s="27" t="s">
        <v>8</v>
      </c>
      <c r="PD697" s="27" t="s">
        <v>7</v>
      </c>
      <c r="PE697" s="27" t="s">
        <v>8</v>
      </c>
      <c r="PF697" s="27" t="s">
        <v>7</v>
      </c>
      <c r="PG697" s="27" t="s">
        <v>8</v>
      </c>
      <c r="PH697" s="27" t="s">
        <v>7</v>
      </c>
      <c r="PI697" s="27" t="s">
        <v>8</v>
      </c>
      <c r="PJ697" s="27" t="s">
        <v>7</v>
      </c>
      <c r="QE697" s="27" t="s">
        <v>8</v>
      </c>
      <c r="QF697" s="27" t="s">
        <v>7</v>
      </c>
      <c r="QG697" s="27" t="s">
        <v>8</v>
      </c>
      <c r="QH697" s="27" t="s">
        <v>7</v>
      </c>
      <c r="QN697" s="27" t="s">
        <v>7</v>
      </c>
      <c r="QO697" s="27" t="s">
        <v>8</v>
      </c>
      <c r="QP697" s="27" t="s">
        <v>7</v>
      </c>
      <c r="QQ697" s="27" t="s">
        <v>8</v>
      </c>
      <c r="QR697" s="27" t="s">
        <v>7</v>
      </c>
      <c r="QS697" s="27" t="s">
        <v>8</v>
      </c>
      <c r="QT697" s="27" t="s">
        <v>7</v>
      </c>
      <c r="QY697" s="27" t="s">
        <v>8</v>
      </c>
      <c r="QZ697" s="27" t="s">
        <v>7</v>
      </c>
      <c r="RA697" s="27" t="s">
        <v>8</v>
      </c>
      <c r="RB697" s="27" t="s">
        <v>7</v>
      </c>
      <c r="RC697" s="27" t="s">
        <v>8</v>
      </c>
      <c r="RD697" s="27" t="s">
        <v>7</v>
      </c>
      <c r="RE697" s="27" t="s">
        <v>8</v>
      </c>
      <c r="RF697" s="27" t="s">
        <v>7</v>
      </c>
      <c r="RG697" s="27" t="s">
        <v>8</v>
      </c>
      <c r="SH697" s="27" t="s">
        <v>7</v>
      </c>
      <c r="SI697" s="27" t="s">
        <v>8</v>
      </c>
      <c r="SJ697" s="27" t="s">
        <v>7</v>
      </c>
      <c r="SK697" s="27" t="s">
        <v>8</v>
      </c>
      <c r="SL697" s="27" t="s">
        <v>7</v>
      </c>
    </row>
    <row r="698" spans="1:518" x14ac:dyDescent="0.25">
      <c r="A698" s="7">
        <v>0.11101481369352331</v>
      </c>
      <c r="B698"/>
      <c r="C698"/>
      <c r="D698"/>
      <c r="E698"/>
      <c r="F698" s="27" t="s">
        <v>7</v>
      </c>
      <c r="NW698" s="27" t="s">
        <v>8</v>
      </c>
      <c r="NX698" s="27" t="s">
        <v>7</v>
      </c>
      <c r="NY698" s="27" t="s">
        <v>8</v>
      </c>
      <c r="OT698" s="27" t="s">
        <v>7</v>
      </c>
      <c r="OU698" s="27" t="s">
        <v>8</v>
      </c>
      <c r="OV698" s="27" t="s">
        <v>7</v>
      </c>
      <c r="OW698" s="27" t="s">
        <v>8</v>
      </c>
      <c r="OY698" s="27" t="s">
        <v>8</v>
      </c>
      <c r="OZ698" s="27" t="s">
        <v>7</v>
      </c>
      <c r="PA698" s="27" t="s">
        <v>8</v>
      </c>
      <c r="PD698" s="27" t="s">
        <v>7</v>
      </c>
      <c r="PE698" s="27" t="s">
        <v>8</v>
      </c>
      <c r="PF698" s="27" t="s">
        <v>7</v>
      </c>
      <c r="PG698" s="27" t="s">
        <v>8</v>
      </c>
      <c r="PH698" s="27" t="s">
        <v>7</v>
      </c>
      <c r="PI698" s="27" t="s">
        <v>8</v>
      </c>
      <c r="PJ698" s="27" t="s">
        <v>7</v>
      </c>
      <c r="QE698" s="27" t="s">
        <v>8</v>
      </c>
      <c r="QF698" s="27" t="s">
        <v>7</v>
      </c>
      <c r="QG698" s="27" t="s">
        <v>8</v>
      </c>
      <c r="QN698" s="27" t="s">
        <v>7</v>
      </c>
      <c r="QO698" s="27" t="s">
        <v>8</v>
      </c>
      <c r="QP698" s="27" t="s">
        <v>7</v>
      </c>
      <c r="QR698" s="27" t="s">
        <v>7</v>
      </c>
      <c r="QS698" s="27" t="s">
        <v>8</v>
      </c>
      <c r="QT698" s="27" t="s">
        <v>7</v>
      </c>
      <c r="QY698" s="27" t="s">
        <v>8</v>
      </c>
      <c r="QZ698" s="27" t="s">
        <v>7</v>
      </c>
      <c r="RA698" s="27" t="s">
        <v>8</v>
      </c>
      <c r="RB698" s="27" t="s">
        <v>7</v>
      </c>
      <c r="RC698" s="27" t="s">
        <v>8</v>
      </c>
      <c r="RD698" s="27" t="s">
        <v>7</v>
      </c>
      <c r="RF698" s="27" t="s">
        <v>7</v>
      </c>
      <c r="RG698" s="27" t="s">
        <v>8</v>
      </c>
      <c r="SH698" s="27" t="s">
        <v>7</v>
      </c>
      <c r="SJ698" s="27" t="s">
        <v>7</v>
      </c>
      <c r="SK698" s="27" t="s">
        <v>8</v>
      </c>
      <c r="SL698" s="27" t="s">
        <v>7</v>
      </c>
    </row>
    <row r="699" spans="1:518" x14ac:dyDescent="0.25">
      <c r="A699" s="7">
        <v>0.10883805264070913</v>
      </c>
      <c r="B699"/>
      <c r="C699"/>
      <c r="D699"/>
      <c r="E699"/>
      <c r="F699" s="27" t="s">
        <v>7</v>
      </c>
      <c r="NW699" s="27" t="s">
        <v>8</v>
      </c>
      <c r="NX699" s="27" t="s">
        <v>7</v>
      </c>
      <c r="NY699" s="27" t="s">
        <v>8</v>
      </c>
      <c r="OT699" s="27" t="s">
        <v>7</v>
      </c>
      <c r="OU699" s="27" t="s">
        <v>8</v>
      </c>
      <c r="OV699" s="27" t="s">
        <v>7</v>
      </c>
      <c r="OW699" s="27" t="s">
        <v>8</v>
      </c>
      <c r="OX699" s="27" t="s">
        <v>7</v>
      </c>
      <c r="OY699" s="27" t="s">
        <v>8</v>
      </c>
      <c r="OZ699" s="27" t="s">
        <v>7</v>
      </c>
      <c r="PA699" s="27" t="s">
        <v>8</v>
      </c>
      <c r="PD699" s="27" t="s">
        <v>7</v>
      </c>
      <c r="PE699" s="27" t="s">
        <v>8</v>
      </c>
      <c r="PF699" s="27" t="s">
        <v>7</v>
      </c>
      <c r="PG699" s="27" t="s">
        <v>8</v>
      </c>
      <c r="PH699" s="27" t="s">
        <v>7</v>
      </c>
      <c r="PJ699" s="27" t="s">
        <v>7</v>
      </c>
      <c r="QC699" s="27" t="s">
        <v>8</v>
      </c>
      <c r="QE699" s="27" t="s">
        <v>8</v>
      </c>
      <c r="QF699" s="27" t="s">
        <v>7</v>
      </c>
      <c r="QG699" s="27" t="s">
        <v>8</v>
      </c>
      <c r="QN699" s="27" t="s">
        <v>7</v>
      </c>
      <c r="QO699" s="27" t="s">
        <v>8</v>
      </c>
      <c r="QR699" s="27" t="s">
        <v>7</v>
      </c>
      <c r="QT699" s="27" t="s">
        <v>7</v>
      </c>
      <c r="QY699" s="27" t="s">
        <v>8</v>
      </c>
      <c r="QZ699" s="27" t="s">
        <v>7</v>
      </c>
      <c r="RA699" s="27" t="s">
        <v>8</v>
      </c>
      <c r="RB699" s="27" t="s">
        <v>7</v>
      </c>
      <c r="RC699" s="27" t="s">
        <v>8</v>
      </c>
      <c r="RF699" s="27" t="s">
        <v>7</v>
      </c>
      <c r="RG699" s="27" t="s">
        <v>8</v>
      </c>
      <c r="SJ699" s="27" t="s">
        <v>7</v>
      </c>
      <c r="SK699" s="27" t="s">
        <v>8</v>
      </c>
      <c r="SL699" s="27" t="s">
        <v>7</v>
      </c>
    </row>
    <row r="700" spans="1:518" x14ac:dyDescent="0.25">
      <c r="A700" s="7">
        <v>0.10670397317716582</v>
      </c>
      <c r="B700"/>
      <c r="C700"/>
      <c r="D700"/>
      <c r="E700"/>
      <c r="F700" s="27" t="s">
        <v>7</v>
      </c>
      <c r="NW700" s="27" t="s">
        <v>8</v>
      </c>
      <c r="NX700" s="27" t="s">
        <v>7</v>
      </c>
      <c r="OT700" s="27" t="s">
        <v>7</v>
      </c>
      <c r="OU700" s="27" t="s">
        <v>8</v>
      </c>
      <c r="OV700" s="27" t="s">
        <v>7</v>
      </c>
      <c r="OW700" s="27" t="s">
        <v>8</v>
      </c>
      <c r="OX700" s="27" t="s">
        <v>7</v>
      </c>
      <c r="OY700" s="27" t="s">
        <v>8</v>
      </c>
      <c r="OZ700" s="27" t="s">
        <v>7</v>
      </c>
      <c r="PA700" s="27" t="s">
        <v>8</v>
      </c>
      <c r="PD700" s="27" t="s">
        <v>7</v>
      </c>
      <c r="PE700" s="27" t="s">
        <v>8</v>
      </c>
      <c r="PF700" s="27" t="s">
        <v>7</v>
      </c>
      <c r="PG700" s="27" t="s">
        <v>8</v>
      </c>
      <c r="PJ700" s="27" t="s">
        <v>7</v>
      </c>
      <c r="QC700" s="27" t="s">
        <v>8</v>
      </c>
      <c r="QD700" s="27" t="s">
        <v>7</v>
      </c>
      <c r="QE700" s="27" t="s">
        <v>8</v>
      </c>
      <c r="QF700" s="27" t="s">
        <v>7</v>
      </c>
      <c r="QG700" s="27" t="s">
        <v>8</v>
      </c>
      <c r="QN700" s="27" t="s">
        <v>7</v>
      </c>
      <c r="QO700" s="27" t="s">
        <v>8</v>
      </c>
      <c r="QT700" s="27" t="s">
        <v>7</v>
      </c>
      <c r="QY700" s="27" t="s">
        <v>8</v>
      </c>
      <c r="QZ700" s="27" t="s">
        <v>7</v>
      </c>
      <c r="RA700" s="27" t="s">
        <v>8</v>
      </c>
      <c r="RB700" s="27" t="s">
        <v>7</v>
      </c>
      <c r="RF700" s="27" t="s">
        <v>7</v>
      </c>
      <c r="RG700" s="27" t="s">
        <v>8</v>
      </c>
      <c r="SJ700" s="27" t="s">
        <v>7</v>
      </c>
      <c r="SK700" s="27" t="s">
        <v>8</v>
      </c>
      <c r="SL700" s="27" t="s">
        <v>7</v>
      </c>
    </row>
    <row r="701" spans="1:518" x14ac:dyDescent="0.25">
      <c r="A701" s="7">
        <v>0.1046117384089861</v>
      </c>
      <c r="B701"/>
      <c r="C701"/>
      <c r="D701"/>
      <c r="E701"/>
      <c r="F701" s="27" t="s">
        <v>7</v>
      </c>
      <c r="NW701" s="27" t="s">
        <v>8</v>
      </c>
      <c r="OT701" s="27" t="s">
        <v>7</v>
      </c>
      <c r="OU701" s="27" t="s">
        <v>8</v>
      </c>
      <c r="OV701" s="27" t="s">
        <v>7</v>
      </c>
      <c r="OW701" s="27" t="s">
        <v>8</v>
      </c>
      <c r="OX701" s="27" t="s">
        <v>7</v>
      </c>
      <c r="OY701" s="27" t="s">
        <v>8</v>
      </c>
      <c r="OZ701" s="27" t="s">
        <v>7</v>
      </c>
      <c r="PA701" s="27" t="s">
        <v>8</v>
      </c>
      <c r="PD701" s="27" t="s">
        <v>7</v>
      </c>
      <c r="PE701" s="27" t="s">
        <v>8</v>
      </c>
      <c r="PF701" s="27" t="s">
        <v>7</v>
      </c>
      <c r="PG701" s="27" t="s">
        <v>8</v>
      </c>
      <c r="PJ701" s="27" t="s">
        <v>7</v>
      </c>
      <c r="QC701" s="27" t="s">
        <v>8</v>
      </c>
      <c r="QD701" s="27" t="s">
        <v>7</v>
      </c>
      <c r="QE701" s="27" t="s">
        <v>8</v>
      </c>
      <c r="QF701" s="27" t="s">
        <v>7</v>
      </c>
      <c r="QN701" s="27" t="s">
        <v>7</v>
      </c>
      <c r="QO701" s="27" t="s">
        <v>8</v>
      </c>
      <c r="QT701" s="27" t="s">
        <v>7</v>
      </c>
      <c r="QY701" s="27" t="s">
        <v>8</v>
      </c>
      <c r="QZ701" s="27" t="s">
        <v>7</v>
      </c>
      <c r="RF701" s="27" t="s">
        <v>7</v>
      </c>
      <c r="RG701" s="27" t="s">
        <v>8</v>
      </c>
      <c r="SJ701" s="27" t="s">
        <v>7</v>
      </c>
      <c r="SL701" s="27" t="s">
        <v>7</v>
      </c>
    </row>
    <row r="702" spans="1:518" x14ac:dyDescent="0.25">
      <c r="A702" s="7">
        <v>0.10256052785194716</v>
      </c>
      <c r="B702"/>
      <c r="C702"/>
      <c r="D702"/>
      <c r="E702"/>
      <c r="F702" s="27" t="s">
        <v>7</v>
      </c>
      <c r="NW702" s="27" t="s">
        <v>8</v>
      </c>
      <c r="OT702" s="27" t="s">
        <v>7</v>
      </c>
      <c r="OU702" s="27" t="s">
        <v>8</v>
      </c>
      <c r="OV702" s="27" t="s">
        <v>7</v>
      </c>
      <c r="OW702" s="27" t="s">
        <v>8</v>
      </c>
      <c r="OX702" s="27" t="s">
        <v>7</v>
      </c>
      <c r="OY702" s="27" t="s">
        <v>8</v>
      </c>
      <c r="OZ702" s="27" t="s">
        <v>7</v>
      </c>
      <c r="PA702" s="27" t="s">
        <v>8</v>
      </c>
      <c r="PD702" s="27" t="s">
        <v>7</v>
      </c>
      <c r="PE702" s="27" t="s">
        <v>8</v>
      </c>
      <c r="PF702" s="27" t="s">
        <v>7</v>
      </c>
      <c r="PG702" s="27" t="s">
        <v>8</v>
      </c>
      <c r="PJ702" s="27" t="s">
        <v>7</v>
      </c>
      <c r="QC702" s="27" t="s">
        <v>8</v>
      </c>
      <c r="QD702" s="27" t="s">
        <v>7</v>
      </c>
      <c r="QE702" s="27" t="s">
        <v>8</v>
      </c>
      <c r="QN702" s="27" t="s">
        <v>7</v>
      </c>
      <c r="QO702" s="27" t="s">
        <v>8</v>
      </c>
      <c r="QT702" s="27" t="s">
        <v>7</v>
      </c>
      <c r="QU702" s="27" t="s">
        <v>8</v>
      </c>
      <c r="QY702" s="27" t="s">
        <v>8</v>
      </c>
      <c r="RF702" s="27" t="s">
        <v>7</v>
      </c>
      <c r="SL702" s="27" t="s">
        <v>7</v>
      </c>
      <c r="SW702" s="27" t="s">
        <v>8</v>
      </c>
    </row>
    <row r="703" spans="1:518" x14ac:dyDescent="0.25">
      <c r="A703" s="7">
        <v>0.10054953710975212</v>
      </c>
      <c r="B703"/>
      <c r="C703"/>
      <c r="D703"/>
      <c r="E703"/>
      <c r="F703" s="27" t="s">
        <v>7</v>
      </c>
      <c r="NW703" s="27" t="s">
        <v>8</v>
      </c>
      <c r="OT703" s="27" t="s">
        <v>7</v>
      </c>
      <c r="OU703" s="27" t="s">
        <v>8</v>
      </c>
      <c r="OV703" s="27" t="s">
        <v>7</v>
      </c>
      <c r="OW703" s="27" t="s">
        <v>8</v>
      </c>
      <c r="OX703" s="27" t="s">
        <v>7</v>
      </c>
      <c r="OY703" s="27" t="s">
        <v>8</v>
      </c>
      <c r="OZ703" s="27" t="s">
        <v>7</v>
      </c>
      <c r="PA703" s="27" t="s">
        <v>8</v>
      </c>
      <c r="PD703" s="27" t="s">
        <v>7</v>
      </c>
      <c r="PF703" s="27" t="s">
        <v>7</v>
      </c>
      <c r="PG703" s="27" t="s">
        <v>8</v>
      </c>
      <c r="PJ703" s="27" t="s">
        <v>7</v>
      </c>
      <c r="QC703" s="27" t="s">
        <v>8</v>
      </c>
      <c r="QD703" s="27" t="s">
        <v>7</v>
      </c>
      <c r="QE703" s="27" t="s">
        <v>8</v>
      </c>
      <c r="QN703" s="27" t="s">
        <v>7</v>
      </c>
      <c r="QO703" s="27" t="s">
        <v>8</v>
      </c>
      <c r="QT703" s="27" t="s">
        <v>7</v>
      </c>
      <c r="QU703" s="27" t="s">
        <v>8</v>
      </c>
      <c r="QV703" s="27" t="s">
        <v>7</v>
      </c>
      <c r="QY703" s="27" t="s">
        <v>8</v>
      </c>
      <c r="SL703" s="27" t="s">
        <v>7</v>
      </c>
      <c r="SW703" s="27" t="s">
        <v>8</v>
      </c>
      <c r="SX703" s="27" t="s">
        <v>7</v>
      </c>
    </row>
    <row r="704" spans="1:518" x14ac:dyDescent="0.25">
      <c r="A704" s="7">
        <v>9.8577977558580512E-2</v>
      </c>
      <c r="B704"/>
      <c r="C704"/>
      <c r="D704"/>
      <c r="E704"/>
      <c r="F704" s="27" t="s">
        <v>7</v>
      </c>
      <c r="NO704" s="27" t="s">
        <v>8</v>
      </c>
      <c r="NW704" s="27" t="s">
        <v>8</v>
      </c>
      <c r="OT704" s="27" t="s">
        <v>7</v>
      </c>
      <c r="OU704" s="27" t="s">
        <v>8</v>
      </c>
      <c r="OV704" s="27" t="s">
        <v>7</v>
      </c>
      <c r="OW704" s="27" t="s">
        <v>8</v>
      </c>
      <c r="OX704" s="27" t="s">
        <v>7</v>
      </c>
      <c r="OY704" s="27" t="s">
        <v>8</v>
      </c>
      <c r="OZ704" s="27" t="s">
        <v>7</v>
      </c>
      <c r="PA704" s="27" t="s">
        <v>8</v>
      </c>
      <c r="PF704" s="27" t="s">
        <v>7</v>
      </c>
      <c r="PG704" s="27" t="s">
        <v>8</v>
      </c>
      <c r="PJ704" s="27" t="s">
        <v>7</v>
      </c>
      <c r="QC704" s="27" t="s">
        <v>8</v>
      </c>
      <c r="QD704" s="27" t="s">
        <v>7</v>
      </c>
      <c r="QN704" s="27" t="s">
        <v>7</v>
      </c>
      <c r="QT704" s="27" t="s">
        <v>7</v>
      </c>
      <c r="QU704" s="27" t="s">
        <v>8</v>
      </c>
      <c r="QV704" s="27" t="s">
        <v>7</v>
      </c>
      <c r="QY704" s="27" t="s">
        <v>8</v>
      </c>
      <c r="SL704" s="27" t="s">
        <v>7</v>
      </c>
      <c r="SW704" s="27" t="s">
        <v>8</v>
      </c>
      <c r="SX704" s="27" t="s">
        <v>7</v>
      </c>
    </row>
    <row r="705" spans="1:524" x14ac:dyDescent="0.25">
      <c r="A705" s="7">
        <v>9.6645076037824032E-2</v>
      </c>
      <c r="B705"/>
      <c r="C705"/>
      <c r="D705"/>
      <c r="E705"/>
      <c r="F705" s="27" t="s">
        <v>7</v>
      </c>
      <c r="NO705" s="27" t="s">
        <v>8</v>
      </c>
      <c r="NP705" s="27" t="s">
        <v>7</v>
      </c>
      <c r="NS705" s="27" t="s">
        <v>8</v>
      </c>
      <c r="NU705" s="27" t="s">
        <v>8</v>
      </c>
      <c r="NW705" s="27" t="s">
        <v>8</v>
      </c>
      <c r="OT705" s="27" t="s">
        <v>7</v>
      </c>
      <c r="OU705" s="27" t="s">
        <v>8</v>
      </c>
      <c r="OV705" s="27" t="s">
        <v>7</v>
      </c>
      <c r="OW705" s="27" t="s">
        <v>8</v>
      </c>
      <c r="OX705" s="27" t="s">
        <v>7</v>
      </c>
      <c r="OY705" s="27" t="s">
        <v>8</v>
      </c>
      <c r="OZ705" s="27" t="s">
        <v>7</v>
      </c>
      <c r="PA705" s="27" t="s">
        <v>8</v>
      </c>
      <c r="PF705" s="27" t="s">
        <v>7</v>
      </c>
      <c r="PJ705" s="27" t="s">
        <v>7</v>
      </c>
      <c r="QC705" s="27" t="s">
        <v>8</v>
      </c>
      <c r="QT705" s="27" t="s">
        <v>7</v>
      </c>
      <c r="QU705" s="27" t="s">
        <v>8</v>
      </c>
      <c r="QV705" s="27" t="s">
        <v>7</v>
      </c>
      <c r="QY705" s="27" t="s">
        <v>8</v>
      </c>
      <c r="SL705" s="27" t="s">
        <v>7</v>
      </c>
      <c r="SM705" s="27" t="s">
        <v>8</v>
      </c>
      <c r="SO705" s="27" t="s">
        <v>8</v>
      </c>
      <c r="SW705" s="27" t="s">
        <v>8</v>
      </c>
      <c r="SX705" s="27" t="s">
        <v>7</v>
      </c>
    </row>
    <row r="706" spans="1:524" x14ac:dyDescent="0.25">
      <c r="A706" s="7">
        <v>9.4750074546886304E-2</v>
      </c>
      <c r="B706"/>
      <c r="C706"/>
      <c r="D706"/>
      <c r="E706"/>
      <c r="F706" s="27" t="s">
        <v>7</v>
      </c>
      <c r="NO706" s="27" t="s">
        <v>8</v>
      </c>
      <c r="NP706" s="27" t="s">
        <v>7</v>
      </c>
      <c r="NQ706" s="27" t="s">
        <v>8</v>
      </c>
      <c r="NS706" s="27" t="s">
        <v>8</v>
      </c>
      <c r="NT706" s="27" t="s">
        <v>7</v>
      </c>
      <c r="NU706" s="27" t="s">
        <v>8</v>
      </c>
      <c r="NV706" s="27" t="s">
        <v>7</v>
      </c>
      <c r="NW706" s="27" t="s">
        <v>8</v>
      </c>
      <c r="OT706" s="27" t="s">
        <v>7</v>
      </c>
      <c r="OU706" s="27" t="s">
        <v>8</v>
      </c>
      <c r="OV706" s="27" t="s">
        <v>7</v>
      </c>
      <c r="OW706" s="27" t="s">
        <v>8</v>
      </c>
      <c r="OX706" s="27" t="s">
        <v>7</v>
      </c>
      <c r="OY706" s="27" t="s">
        <v>8</v>
      </c>
      <c r="OZ706" s="27" t="s">
        <v>7</v>
      </c>
      <c r="PA706" s="27" t="s">
        <v>8</v>
      </c>
      <c r="PJ706" s="27" t="s">
        <v>7</v>
      </c>
      <c r="PM706" s="27" t="s">
        <v>8</v>
      </c>
      <c r="QC706" s="27" t="s">
        <v>8</v>
      </c>
      <c r="QT706" s="27" t="s">
        <v>7</v>
      </c>
      <c r="QU706" s="27" t="s">
        <v>8</v>
      </c>
      <c r="QV706" s="27" t="s">
        <v>7</v>
      </c>
      <c r="QY706" s="27" t="s">
        <v>8</v>
      </c>
      <c r="SL706" s="27" t="s">
        <v>7</v>
      </c>
      <c r="SM706" s="27" t="s">
        <v>8</v>
      </c>
      <c r="SN706" s="27" t="s">
        <v>7</v>
      </c>
      <c r="SO706" s="27" t="s">
        <v>8</v>
      </c>
      <c r="SP706" s="27" t="s">
        <v>7</v>
      </c>
      <c r="SW706" s="27" t="s">
        <v>8</v>
      </c>
      <c r="SX706" s="27" t="s">
        <v>7</v>
      </c>
      <c r="SY706" s="27" t="s">
        <v>8</v>
      </c>
    </row>
    <row r="707" spans="1:524" x14ac:dyDescent="0.25">
      <c r="A707" s="7">
        <v>9.2892229947927743E-2</v>
      </c>
      <c r="B707"/>
      <c r="C707"/>
      <c r="D707"/>
      <c r="E707"/>
      <c r="F707" s="27" t="s">
        <v>7</v>
      </c>
      <c r="NO707" s="27" t="s">
        <v>8</v>
      </c>
      <c r="NP707" s="27" t="s">
        <v>7</v>
      </c>
      <c r="NQ707" s="27" t="s">
        <v>8</v>
      </c>
      <c r="NR707" s="27" t="s">
        <v>7</v>
      </c>
      <c r="NS707" s="27" t="s">
        <v>8</v>
      </c>
      <c r="NT707" s="27" t="s">
        <v>7</v>
      </c>
      <c r="NU707" s="27" t="s">
        <v>8</v>
      </c>
      <c r="NV707" s="27" t="s">
        <v>7</v>
      </c>
      <c r="NW707" s="27" t="s">
        <v>8</v>
      </c>
      <c r="OT707" s="27" t="s">
        <v>7</v>
      </c>
      <c r="OU707" s="27" t="s">
        <v>8</v>
      </c>
      <c r="OV707" s="27" t="s">
        <v>7</v>
      </c>
      <c r="OW707" s="27" t="s">
        <v>8</v>
      </c>
      <c r="OX707" s="27" t="s">
        <v>7</v>
      </c>
      <c r="OY707" s="27" t="s">
        <v>8</v>
      </c>
      <c r="OZ707" s="27" t="s">
        <v>7</v>
      </c>
      <c r="PJ707" s="27" t="s">
        <v>7</v>
      </c>
      <c r="PM707" s="27" t="s">
        <v>8</v>
      </c>
      <c r="PN707" s="27" t="s">
        <v>7</v>
      </c>
      <c r="QA707" s="27" t="s">
        <v>8</v>
      </c>
      <c r="QC707" s="27" t="s">
        <v>8</v>
      </c>
      <c r="QT707" s="27" t="s">
        <v>7</v>
      </c>
      <c r="QU707" s="27" t="s">
        <v>8</v>
      </c>
      <c r="QV707" s="27" t="s">
        <v>7</v>
      </c>
      <c r="QW707" s="27" t="s">
        <v>8</v>
      </c>
      <c r="QY707" s="27" t="s">
        <v>8</v>
      </c>
      <c r="SL707" s="27" t="s">
        <v>7</v>
      </c>
      <c r="SM707" s="27" t="s">
        <v>8</v>
      </c>
      <c r="SN707" s="27" t="s">
        <v>7</v>
      </c>
      <c r="SO707" s="27" t="s">
        <v>8</v>
      </c>
      <c r="SP707" s="27" t="s">
        <v>7</v>
      </c>
      <c r="SW707" s="27" t="s">
        <v>8</v>
      </c>
      <c r="SX707" s="27" t="s">
        <v>7</v>
      </c>
      <c r="SY707" s="27" t="s">
        <v>8</v>
      </c>
      <c r="SZ707" s="27" t="s">
        <v>7</v>
      </c>
    </row>
    <row r="708" spans="1:524" x14ac:dyDescent="0.25">
      <c r="A708" s="7">
        <v>9.1070813674438963E-2</v>
      </c>
      <c r="B708"/>
      <c r="C708"/>
      <c r="D708"/>
      <c r="E708"/>
      <c r="F708" s="27" t="s">
        <v>7</v>
      </c>
      <c r="NO708" s="27" t="s">
        <v>8</v>
      </c>
      <c r="NP708" s="27" t="s">
        <v>7</v>
      </c>
      <c r="NQ708" s="27" t="s">
        <v>8</v>
      </c>
      <c r="NR708" s="27" t="s">
        <v>7</v>
      </c>
      <c r="NS708" s="27" t="s">
        <v>8</v>
      </c>
      <c r="NT708" s="27" t="s">
        <v>7</v>
      </c>
      <c r="NU708" s="27" t="s">
        <v>8</v>
      </c>
      <c r="NV708" s="27" t="s">
        <v>7</v>
      </c>
      <c r="NW708" s="27" t="s">
        <v>8</v>
      </c>
      <c r="OT708" s="27" t="s">
        <v>7</v>
      </c>
      <c r="OU708" s="27" t="s">
        <v>8</v>
      </c>
      <c r="OV708" s="27" t="s">
        <v>7</v>
      </c>
      <c r="OX708" s="27" t="s">
        <v>7</v>
      </c>
      <c r="OY708" s="27" t="s">
        <v>8</v>
      </c>
      <c r="PJ708" s="27" t="s">
        <v>7</v>
      </c>
      <c r="PM708" s="27" t="s">
        <v>8</v>
      </c>
      <c r="PN708" s="27" t="s">
        <v>7</v>
      </c>
      <c r="PO708" s="27" t="s">
        <v>8</v>
      </c>
      <c r="QA708" s="27" t="s">
        <v>8</v>
      </c>
      <c r="QB708" s="27" t="s">
        <v>7</v>
      </c>
      <c r="QC708" s="27" t="s">
        <v>8</v>
      </c>
      <c r="QT708" s="27" t="s">
        <v>7</v>
      </c>
      <c r="QU708" s="27" t="s">
        <v>8</v>
      </c>
      <c r="QV708" s="27" t="s">
        <v>7</v>
      </c>
      <c r="QW708" s="27" t="s">
        <v>8</v>
      </c>
      <c r="QX708" s="27" t="s">
        <v>7</v>
      </c>
      <c r="QY708" s="27" t="s">
        <v>8</v>
      </c>
      <c r="SL708" s="27" t="s">
        <v>7</v>
      </c>
      <c r="SM708" s="27" t="s">
        <v>8</v>
      </c>
      <c r="SN708" s="27" t="s">
        <v>7</v>
      </c>
      <c r="SO708" s="27" t="s">
        <v>8</v>
      </c>
      <c r="SP708" s="27" t="s">
        <v>7</v>
      </c>
      <c r="SW708" s="27" t="s">
        <v>8</v>
      </c>
      <c r="SX708" s="27" t="s">
        <v>7</v>
      </c>
      <c r="SY708" s="27" t="s">
        <v>8</v>
      </c>
      <c r="SZ708" s="27" t="s">
        <v>7</v>
      </c>
    </row>
    <row r="709" spans="1:524" x14ac:dyDescent="0.25">
      <c r="A709" s="7">
        <v>8.9285111445528392E-2</v>
      </c>
      <c r="B709"/>
      <c r="C709"/>
      <c r="D709"/>
      <c r="E709"/>
      <c r="F709" s="27" t="s">
        <v>7</v>
      </c>
      <c r="NO709" s="27" t="s">
        <v>8</v>
      </c>
      <c r="NP709" s="27" t="s">
        <v>7</v>
      </c>
      <c r="NQ709" s="27" t="s">
        <v>8</v>
      </c>
      <c r="NR709" s="27" t="s">
        <v>7</v>
      </c>
      <c r="NS709" s="27" t="s">
        <v>8</v>
      </c>
      <c r="NT709" s="27" t="s">
        <v>7</v>
      </c>
      <c r="NU709" s="27" t="s">
        <v>8</v>
      </c>
      <c r="NV709" s="27" t="s">
        <v>7</v>
      </c>
      <c r="NW709" s="27" t="s">
        <v>8</v>
      </c>
      <c r="OT709" s="27" t="s">
        <v>7</v>
      </c>
      <c r="OU709" s="27" t="s">
        <v>8</v>
      </c>
      <c r="OX709" s="27" t="s">
        <v>7</v>
      </c>
      <c r="OY709" s="27" t="s">
        <v>8</v>
      </c>
      <c r="PJ709" s="27" t="s">
        <v>7</v>
      </c>
      <c r="PM709" s="27" t="s">
        <v>8</v>
      </c>
      <c r="PN709" s="27" t="s">
        <v>7</v>
      </c>
      <c r="PO709" s="27" t="s">
        <v>8</v>
      </c>
      <c r="PP709" s="27" t="s">
        <v>7</v>
      </c>
      <c r="PQ709" s="27" t="s">
        <v>8</v>
      </c>
      <c r="PW709" s="27" t="s">
        <v>8</v>
      </c>
      <c r="QA709" s="27" t="s">
        <v>8</v>
      </c>
      <c r="QB709" s="27" t="s">
        <v>7</v>
      </c>
      <c r="QC709" s="27" t="s">
        <v>8</v>
      </c>
      <c r="QT709" s="27" t="s">
        <v>7</v>
      </c>
      <c r="QU709" s="27" t="s">
        <v>8</v>
      </c>
      <c r="QV709" s="27" t="s">
        <v>7</v>
      </c>
      <c r="QW709" s="27" t="s">
        <v>8</v>
      </c>
      <c r="QX709" s="27" t="s">
        <v>7</v>
      </c>
      <c r="QY709" s="27" t="s">
        <v>8</v>
      </c>
      <c r="SL709" s="27" t="s">
        <v>7</v>
      </c>
      <c r="SM709" s="27" t="s">
        <v>8</v>
      </c>
      <c r="SN709" s="27" t="s">
        <v>7</v>
      </c>
      <c r="SO709" s="27" t="s">
        <v>8</v>
      </c>
      <c r="SP709" s="27" t="s">
        <v>7</v>
      </c>
      <c r="SW709" s="27" t="s">
        <v>8</v>
      </c>
      <c r="SX709" s="27" t="s">
        <v>7</v>
      </c>
      <c r="SY709" s="27" t="s">
        <v>8</v>
      </c>
      <c r="SZ709" s="27" t="s">
        <v>7</v>
      </c>
    </row>
    <row r="710" spans="1:524" x14ac:dyDescent="0.25">
      <c r="A710" s="7">
        <v>8.7534422985812155E-2</v>
      </c>
      <c r="B710"/>
      <c r="C710"/>
      <c r="D710"/>
      <c r="E710"/>
      <c r="F710" s="27" t="s">
        <v>7</v>
      </c>
      <c r="NO710" s="27" t="s">
        <v>8</v>
      </c>
      <c r="NP710" s="27" t="s">
        <v>7</v>
      </c>
      <c r="NQ710" s="27" t="s">
        <v>8</v>
      </c>
      <c r="NR710" s="27" t="s">
        <v>7</v>
      </c>
      <c r="NS710" s="27" t="s">
        <v>8</v>
      </c>
      <c r="NT710" s="27" t="s">
        <v>7</v>
      </c>
      <c r="NU710" s="27" t="s">
        <v>8</v>
      </c>
      <c r="NV710" s="27" t="s">
        <v>7</v>
      </c>
      <c r="OT710" s="27" t="s">
        <v>7</v>
      </c>
      <c r="OU710" s="27" t="s">
        <v>8</v>
      </c>
      <c r="OX710" s="27" t="s">
        <v>7</v>
      </c>
      <c r="OY710" s="27" t="s">
        <v>8</v>
      </c>
      <c r="PJ710" s="27" t="s">
        <v>7</v>
      </c>
      <c r="PM710" s="27" t="s">
        <v>8</v>
      </c>
      <c r="PN710" s="27" t="s">
        <v>7</v>
      </c>
      <c r="PO710" s="27" t="s">
        <v>8</v>
      </c>
      <c r="PP710" s="27" t="s">
        <v>7</v>
      </c>
      <c r="PQ710" s="27" t="s">
        <v>8</v>
      </c>
      <c r="PR710" s="27" t="s">
        <v>7</v>
      </c>
      <c r="PW710" s="27" t="s">
        <v>8</v>
      </c>
      <c r="PX710" s="27" t="s">
        <v>7</v>
      </c>
      <c r="QA710" s="27" t="s">
        <v>8</v>
      </c>
      <c r="QB710" s="27" t="s">
        <v>7</v>
      </c>
      <c r="QC710" s="27" t="s">
        <v>8</v>
      </c>
      <c r="QT710" s="27" t="s">
        <v>7</v>
      </c>
      <c r="QU710" s="27" t="s">
        <v>8</v>
      </c>
      <c r="QV710" s="27" t="s">
        <v>7</v>
      </c>
      <c r="QW710" s="27" t="s">
        <v>8</v>
      </c>
      <c r="QX710" s="27" t="s">
        <v>7</v>
      </c>
      <c r="QY710" s="27" t="s">
        <v>8</v>
      </c>
      <c r="SL710" s="27" t="s">
        <v>7</v>
      </c>
      <c r="SM710" s="27" t="s">
        <v>8</v>
      </c>
      <c r="SN710" s="27" t="s">
        <v>7</v>
      </c>
      <c r="SO710" s="27" t="s">
        <v>8</v>
      </c>
      <c r="SP710" s="27" t="s">
        <v>7</v>
      </c>
      <c r="SQ710" s="27" t="s">
        <v>8</v>
      </c>
      <c r="SS710" s="27" t="s">
        <v>8</v>
      </c>
      <c r="SW710" s="27" t="s">
        <v>8</v>
      </c>
      <c r="SX710" s="27" t="s">
        <v>7</v>
      </c>
      <c r="SY710" s="27" t="s">
        <v>8</v>
      </c>
      <c r="SZ710" s="27" t="s">
        <v>7</v>
      </c>
    </row>
    <row r="711" spans="1:524" x14ac:dyDescent="0.25">
      <c r="A711" s="7">
        <v>8.5818061750796232E-2</v>
      </c>
      <c r="B711"/>
      <c r="C711"/>
      <c r="D711"/>
      <c r="E711"/>
      <c r="F711" s="27" t="s">
        <v>7</v>
      </c>
      <c r="NO711" s="27" t="s">
        <v>8</v>
      </c>
      <c r="NP711" s="27" t="s">
        <v>7</v>
      </c>
      <c r="NQ711" s="27" t="s">
        <v>8</v>
      </c>
      <c r="NR711" s="27" t="s">
        <v>7</v>
      </c>
      <c r="NS711" s="27" t="s">
        <v>8</v>
      </c>
      <c r="NT711" s="27" t="s">
        <v>7</v>
      </c>
      <c r="NU711" s="27" t="s">
        <v>8</v>
      </c>
      <c r="OT711" s="27" t="s">
        <v>7</v>
      </c>
      <c r="OU711" s="27" t="s">
        <v>8</v>
      </c>
      <c r="OX711" s="27" t="s">
        <v>7</v>
      </c>
      <c r="OY711" s="27" t="s">
        <v>8</v>
      </c>
      <c r="PJ711" s="27" t="s">
        <v>7</v>
      </c>
      <c r="PM711" s="27" t="s">
        <v>8</v>
      </c>
      <c r="PN711" s="27" t="s">
        <v>7</v>
      </c>
      <c r="PO711" s="27" t="s">
        <v>8</v>
      </c>
      <c r="PP711" s="27" t="s">
        <v>7</v>
      </c>
      <c r="PQ711" s="27" t="s">
        <v>8</v>
      </c>
      <c r="PR711" s="27" t="s">
        <v>7</v>
      </c>
      <c r="PW711" s="27" t="s">
        <v>8</v>
      </c>
      <c r="PX711" s="27" t="s">
        <v>7</v>
      </c>
      <c r="PY711" s="27" t="s">
        <v>8</v>
      </c>
      <c r="QA711" s="27" t="s">
        <v>8</v>
      </c>
      <c r="QB711" s="27" t="s">
        <v>7</v>
      </c>
      <c r="QC711" s="27" t="s">
        <v>8</v>
      </c>
      <c r="QT711" s="27" t="s">
        <v>7</v>
      </c>
      <c r="QV711" s="27" t="s">
        <v>7</v>
      </c>
      <c r="QW711" s="27" t="s">
        <v>8</v>
      </c>
      <c r="QX711" s="27" t="s">
        <v>7</v>
      </c>
      <c r="QY711" s="27" t="s">
        <v>8</v>
      </c>
      <c r="SL711" s="27" t="s">
        <v>7</v>
      </c>
      <c r="SM711" s="27" t="s">
        <v>8</v>
      </c>
      <c r="SN711" s="27" t="s">
        <v>7</v>
      </c>
      <c r="SO711" s="27" t="s">
        <v>8</v>
      </c>
      <c r="SP711" s="27" t="s">
        <v>7</v>
      </c>
      <c r="SQ711" s="27" t="s">
        <v>8</v>
      </c>
      <c r="SR711" s="27" t="s">
        <v>7</v>
      </c>
      <c r="SS711" s="27" t="s">
        <v>8</v>
      </c>
      <c r="ST711" s="27" t="s">
        <v>7</v>
      </c>
      <c r="SW711" s="27" t="s">
        <v>8</v>
      </c>
      <c r="SX711" s="27" t="s">
        <v>7</v>
      </c>
      <c r="SY711" s="27" t="s">
        <v>8</v>
      </c>
      <c r="SZ711" s="27" t="s">
        <v>7</v>
      </c>
    </row>
    <row r="712" spans="1:524" x14ac:dyDescent="0.25">
      <c r="A712" s="7">
        <v>8.4135354657643366E-2</v>
      </c>
      <c r="B712"/>
      <c r="C712"/>
      <c r="D712"/>
      <c r="E712"/>
      <c r="F712" s="27" t="s">
        <v>7</v>
      </c>
      <c r="NO712" s="27" t="s">
        <v>8</v>
      </c>
      <c r="NP712" s="27" t="s">
        <v>7</v>
      </c>
      <c r="NQ712" s="27" t="s">
        <v>8</v>
      </c>
      <c r="NR712" s="27" t="s">
        <v>7</v>
      </c>
      <c r="NS712" s="27" t="s">
        <v>8</v>
      </c>
      <c r="NT712" s="27" t="s">
        <v>7</v>
      </c>
      <c r="OT712" s="27" t="s">
        <v>7</v>
      </c>
      <c r="OU712" s="27" t="s">
        <v>8</v>
      </c>
      <c r="OX712" s="27" t="s">
        <v>7</v>
      </c>
      <c r="OY712" s="27" t="s">
        <v>8</v>
      </c>
      <c r="PJ712" s="27" t="s">
        <v>7</v>
      </c>
      <c r="PK712" s="27" t="s">
        <v>8</v>
      </c>
      <c r="PM712" s="27" t="s">
        <v>8</v>
      </c>
      <c r="PN712" s="27" t="s">
        <v>7</v>
      </c>
      <c r="PO712" s="27" t="s">
        <v>8</v>
      </c>
      <c r="PP712" s="27" t="s">
        <v>7</v>
      </c>
      <c r="PQ712" s="27" t="s">
        <v>8</v>
      </c>
      <c r="PR712" s="27" t="s">
        <v>7</v>
      </c>
      <c r="PW712" s="27" t="s">
        <v>8</v>
      </c>
      <c r="PX712" s="27" t="s">
        <v>7</v>
      </c>
      <c r="PY712" s="27" t="s">
        <v>8</v>
      </c>
      <c r="PZ712" s="27" t="s">
        <v>7</v>
      </c>
      <c r="QA712" s="27" t="s">
        <v>8</v>
      </c>
      <c r="QB712" s="27" t="s">
        <v>7</v>
      </c>
      <c r="QC712" s="27" t="s">
        <v>8</v>
      </c>
      <c r="QV712" s="27" t="s">
        <v>7</v>
      </c>
      <c r="QX712" s="27" t="s">
        <v>7</v>
      </c>
      <c r="QY712" s="27" t="s">
        <v>8</v>
      </c>
      <c r="SL712" s="27" t="s">
        <v>7</v>
      </c>
      <c r="SM712" s="27" t="s">
        <v>8</v>
      </c>
      <c r="SN712" s="27" t="s">
        <v>7</v>
      </c>
      <c r="SO712" s="27" t="s">
        <v>8</v>
      </c>
      <c r="SP712" s="27" t="s">
        <v>7</v>
      </c>
      <c r="SQ712" s="27" t="s">
        <v>8</v>
      </c>
      <c r="SR712" s="27" t="s">
        <v>7</v>
      </c>
      <c r="SS712" s="27" t="s">
        <v>8</v>
      </c>
      <c r="ST712" s="27" t="s">
        <v>7</v>
      </c>
      <c r="SU712" s="27" t="s">
        <v>8</v>
      </c>
      <c r="SW712" s="27" t="s">
        <v>8</v>
      </c>
      <c r="SX712" s="27" t="s">
        <v>7</v>
      </c>
      <c r="SY712" s="27" t="s">
        <v>8</v>
      </c>
      <c r="SZ712" s="27" t="s">
        <v>7</v>
      </c>
    </row>
    <row r="713" spans="1:524" x14ac:dyDescent="0.25">
      <c r="A713" s="7">
        <v>8.248564182121898E-2</v>
      </c>
      <c r="B713"/>
      <c r="C713"/>
      <c r="D713"/>
      <c r="E713"/>
      <c r="F713" s="27" t="s">
        <v>7</v>
      </c>
      <c r="NM713" s="27" t="s">
        <v>8</v>
      </c>
      <c r="NO713" s="27" t="s">
        <v>8</v>
      </c>
      <c r="NP713" s="27" t="s">
        <v>7</v>
      </c>
      <c r="NQ713" s="27" t="s">
        <v>8</v>
      </c>
      <c r="NR713" s="27" t="s">
        <v>7</v>
      </c>
      <c r="NS713" s="27" t="s">
        <v>8</v>
      </c>
      <c r="OT713" s="27" t="s">
        <v>7</v>
      </c>
      <c r="OU713" s="27" t="s">
        <v>8</v>
      </c>
      <c r="OX713" s="27" t="s">
        <v>7</v>
      </c>
      <c r="OY713" s="27" t="s">
        <v>8</v>
      </c>
      <c r="PJ713" s="27" t="s">
        <v>7</v>
      </c>
      <c r="PK713" s="27" t="s">
        <v>8</v>
      </c>
      <c r="PL713" s="27" t="s">
        <v>7</v>
      </c>
      <c r="PM713" s="27" t="s">
        <v>8</v>
      </c>
      <c r="PN713" s="27" t="s">
        <v>7</v>
      </c>
      <c r="PP713" s="27" t="s">
        <v>7</v>
      </c>
      <c r="PR713" s="27" t="s">
        <v>7</v>
      </c>
      <c r="PW713" s="27" t="s">
        <v>8</v>
      </c>
      <c r="PX713" s="27" t="s">
        <v>7</v>
      </c>
      <c r="PY713" s="27" t="s">
        <v>8</v>
      </c>
      <c r="PZ713" s="27" t="s">
        <v>7</v>
      </c>
      <c r="QA713" s="27" t="s">
        <v>8</v>
      </c>
      <c r="QB713" s="27" t="s">
        <v>7</v>
      </c>
      <c r="QX713" s="27" t="s">
        <v>7</v>
      </c>
      <c r="SL713" s="27" t="s">
        <v>7</v>
      </c>
      <c r="SM713" s="27" t="s">
        <v>8</v>
      </c>
      <c r="SN713" s="27" t="s">
        <v>7</v>
      </c>
      <c r="SO713" s="27" t="s">
        <v>8</v>
      </c>
      <c r="SP713" s="27" t="s">
        <v>7</v>
      </c>
      <c r="SQ713" s="27" t="s">
        <v>8</v>
      </c>
      <c r="SR713" s="27" t="s">
        <v>7</v>
      </c>
      <c r="SS713" s="27" t="s">
        <v>8</v>
      </c>
      <c r="ST713" s="27" t="s">
        <v>7</v>
      </c>
      <c r="SU713" s="27" t="s">
        <v>8</v>
      </c>
      <c r="SV713" s="27" t="s">
        <v>7</v>
      </c>
      <c r="SW713" s="27" t="s">
        <v>8</v>
      </c>
      <c r="SX713" s="27" t="s">
        <v>7</v>
      </c>
      <c r="SY713" s="27" t="s">
        <v>8</v>
      </c>
      <c r="SZ713" s="27" t="s">
        <v>7</v>
      </c>
      <c r="TC713" s="27" t="s">
        <v>8</v>
      </c>
    </row>
    <row r="714" spans="1:524" x14ac:dyDescent="0.25">
      <c r="A714" s="7">
        <v>8.0868276295312735E-2</v>
      </c>
      <c r="B714"/>
      <c r="C714"/>
      <c r="D714"/>
      <c r="E714"/>
      <c r="F714" s="27" t="s">
        <v>7</v>
      </c>
      <c r="NM714" s="27" t="s">
        <v>8</v>
      </c>
      <c r="NN714" s="27" t="s">
        <v>7</v>
      </c>
      <c r="NO714" s="27" t="s">
        <v>8</v>
      </c>
      <c r="NP714" s="27" t="s">
        <v>7</v>
      </c>
      <c r="NQ714" s="27" t="s">
        <v>8</v>
      </c>
      <c r="NR714" s="27" t="s">
        <v>7</v>
      </c>
      <c r="NS714" s="27" t="s">
        <v>8</v>
      </c>
      <c r="OT714" s="27" t="s">
        <v>7</v>
      </c>
      <c r="OU714" s="27" t="s">
        <v>8</v>
      </c>
      <c r="OX714" s="27" t="s">
        <v>7</v>
      </c>
      <c r="OY714" s="27" t="s">
        <v>8</v>
      </c>
      <c r="PJ714" s="27" t="s">
        <v>7</v>
      </c>
      <c r="PK714" s="27" t="s">
        <v>8</v>
      </c>
      <c r="PL714" s="27" t="s">
        <v>7</v>
      </c>
      <c r="PM714" s="27" t="s">
        <v>8</v>
      </c>
      <c r="PR714" s="27" t="s">
        <v>7</v>
      </c>
      <c r="PW714" s="27" t="s">
        <v>8</v>
      </c>
      <c r="PX714" s="27" t="s">
        <v>7</v>
      </c>
      <c r="PY714" s="27" t="s">
        <v>8</v>
      </c>
      <c r="PZ714" s="27" t="s">
        <v>7</v>
      </c>
      <c r="SL714" s="27" t="s">
        <v>7</v>
      </c>
      <c r="SM714" s="27" t="s">
        <v>8</v>
      </c>
      <c r="SN714" s="27" t="s">
        <v>7</v>
      </c>
      <c r="SO714" s="27" t="s">
        <v>8</v>
      </c>
      <c r="SP714" s="27" t="s">
        <v>7</v>
      </c>
      <c r="SQ714" s="27" t="s">
        <v>8</v>
      </c>
      <c r="SR714" s="27" t="s">
        <v>7</v>
      </c>
      <c r="SS714" s="27" t="s">
        <v>8</v>
      </c>
      <c r="ST714" s="27" t="s">
        <v>7</v>
      </c>
      <c r="SU714" s="27" t="s">
        <v>8</v>
      </c>
      <c r="SV714" s="27" t="s">
        <v>7</v>
      </c>
      <c r="SW714" s="27" t="s">
        <v>8</v>
      </c>
      <c r="SX714" s="27" t="s">
        <v>7</v>
      </c>
      <c r="SZ714" s="27" t="s">
        <v>7</v>
      </c>
      <c r="TC714" s="27" t="s">
        <v>8</v>
      </c>
      <c r="TD714" s="27" t="s">
        <v>7</v>
      </c>
    </row>
    <row r="715" spans="1:524" x14ac:dyDescent="0.25">
      <c r="A715" s="7">
        <v>7.9282623818934056E-2</v>
      </c>
      <c r="B715"/>
      <c r="C715"/>
      <c r="D715"/>
      <c r="E715"/>
      <c r="F715" s="27" t="s">
        <v>7</v>
      </c>
      <c r="NM715" s="27" t="s">
        <v>8</v>
      </c>
      <c r="NN715" s="27" t="s">
        <v>7</v>
      </c>
      <c r="NO715" s="27" t="s">
        <v>8</v>
      </c>
      <c r="NP715" s="27" t="s">
        <v>7</v>
      </c>
      <c r="NR715" s="27" t="s">
        <v>7</v>
      </c>
      <c r="NS715" s="27" t="s">
        <v>8</v>
      </c>
      <c r="OT715" s="27" t="s">
        <v>7</v>
      </c>
      <c r="OU715" s="27" t="s">
        <v>8</v>
      </c>
      <c r="OX715" s="27" t="s">
        <v>7</v>
      </c>
      <c r="OY715" s="27" t="s">
        <v>8</v>
      </c>
      <c r="PJ715" s="27" t="s">
        <v>7</v>
      </c>
      <c r="PK715" s="27" t="s">
        <v>8</v>
      </c>
      <c r="PL715" s="27" t="s">
        <v>7</v>
      </c>
      <c r="PM715" s="27" t="s">
        <v>8</v>
      </c>
      <c r="PR715" s="27" t="s">
        <v>7</v>
      </c>
      <c r="PW715" s="27" t="s">
        <v>8</v>
      </c>
      <c r="PX715" s="27" t="s">
        <v>7</v>
      </c>
      <c r="PY715" s="27" t="s">
        <v>8</v>
      </c>
      <c r="SL715" s="27" t="s">
        <v>7</v>
      </c>
      <c r="SM715" s="27" t="s">
        <v>8</v>
      </c>
      <c r="SN715" s="27" t="s">
        <v>7</v>
      </c>
      <c r="SP715" s="27" t="s">
        <v>7</v>
      </c>
      <c r="SR715" s="27" t="s">
        <v>7</v>
      </c>
      <c r="SS715" s="27" t="s">
        <v>8</v>
      </c>
      <c r="ST715" s="27" t="s">
        <v>7</v>
      </c>
      <c r="SU715" s="27" t="s">
        <v>8</v>
      </c>
      <c r="SV715" s="27" t="s">
        <v>7</v>
      </c>
      <c r="SW715" s="27" t="s">
        <v>8</v>
      </c>
      <c r="SZ715" s="27" t="s">
        <v>7</v>
      </c>
      <c r="TC715" s="27" t="s">
        <v>8</v>
      </c>
      <c r="TD715" s="27" t="s">
        <v>7</v>
      </c>
    </row>
    <row r="716" spans="1:524" x14ac:dyDescent="0.25">
      <c r="A716" s="7">
        <v>7.7728062567582412E-2</v>
      </c>
      <c r="B716"/>
      <c r="C716"/>
      <c r="D716"/>
      <c r="E716"/>
      <c r="F716" s="27" t="s">
        <v>7</v>
      </c>
      <c r="NM716" s="27" t="s">
        <v>8</v>
      </c>
      <c r="NN716" s="27" t="s">
        <v>7</v>
      </c>
      <c r="NO716" s="27" t="s">
        <v>8</v>
      </c>
      <c r="NR716" s="27" t="s">
        <v>7</v>
      </c>
      <c r="NS716" s="27" t="s">
        <v>8</v>
      </c>
      <c r="OT716" s="27" t="s">
        <v>7</v>
      </c>
      <c r="OU716" s="27" t="s">
        <v>8</v>
      </c>
      <c r="OX716" s="27" t="s">
        <v>7</v>
      </c>
      <c r="OY716" s="27" t="s">
        <v>8</v>
      </c>
      <c r="PJ716" s="27" t="s">
        <v>7</v>
      </c>
      <c r="PK716" s="27" t="s">
        <v>8</v>
      </c>
      <c r="PL716" s="27" t="s">
        <v>7</v>
      </c>
      <c r="PM716" s="27" t="s">
        <v>8</v>
      </c>
      <c r="PR716" s="27" t="s">
        <v>7</v>
      </c>
      <c r="PS716" s="27" t="s">
        <v>8</v>
      </c>
      <c r="PW716" s="27" t="s">
        <v>8</v>
      </c>
      <c r="PX716" s="27" t="s">
        <v>7</v>
      </c>
      <c r="PY716" s="27" t="s">
        <v>8</v>
      </c>
      <c r="SL716" s="27" t="s">
        <v>7</v>
      </c>
      <c r="SM716" s="27" t="s">
        <v>8</v>
      </c>
      <c r="SR716" s="27" t="s">
        <v>7</v>
      </c>
      <c r="SS716" s="27" t="s">
        <v>8</v>
      </c>
      <c r="ST716" s="27" t="s">
        <v>7</v>
      </c>
      <c r="SV716" s="27" t="s">
        <v>7</v>
      </c>
      <c r="SW716" s="27" t="s">
        <v>8</v>
      </c>
      <c r="SZ716" s="27" t="s">
        <v>7</v>
      </c>
      <c r="TA716" s="27" t="s">
        <v>8</v>
      </c>
      <c r="TC716" s="27" t="s">
        <v>8</v>
      </c>
      <c r="TD716" s="27" t="s">
        <v>7</v>
      </c>
    </row>
    <row r="717" spans="1:524" x14ac:dyDescent="0.25">
      <c r="A717" s="7">
        <v>7.6203982909394521E-2</v>
      </c>
      <c r="B717"/>
      <c r="C717"/>
      <c r="D717"/>
      <c r="E717"/>
      <c r="F717" s="27" t="s">
        <v>7</v>
      </c>
      <c r="NM717" s="27" t="s">
        <v>8</v>
      </c>
      <c r="NN717" s="27" t="s">
        <v>7</v>
      </c>
      <c r="NO717" s="27" t="s">
        <v>8</v>
      </c>
      <c r="NR717" s="27" t="s">
        <v>7</v>
      </c>
      <c r="OT717" s="27" t="s">
        <v>7</v>
      </c>
      <c r="OU717" s="27" t="s">
        <v>8</v>
      </c>
      <c r="OX717" s="27" t="s">
        <v>7</v>
      </c>
      <c r="OY717" s="27" t="s">
        <v>8</v>
      </c>
      <c r="PJ717" s="27" t="s">
        <v>7</v>
      </c>
      <c r="PK717" s="27" t="s">
        <v>8</v>
      </c>
      <c r="PL717" s="27" t="s">
        <v>7</v>
      </c>
      <c r="PM717" s="27" t="s">
        <v>8</v>
      </c>
      <c r="PR717" s="27" t="s">
        <v>7</v>
      </c>
      <c r="PS717" s="27" t="s">
        <v>8</v>
      </c>
      <c r="PT717" s="27" t="s">
        <v>7</v>
      </c>
      <c r="PW717" s="27" t="s">
        <v>8</v>
      </c>
      <c r="PX717" s="27" t="s">
        <v>7</v>
      </c>
      <c r="PY717" s="27" t="s">
        <v>8</v>
      </c>
      <c r="SL717" s="27" t="s">
        <v>7</v>
      </c>
      <c r="SM717" s="27" t="s">
        <v>8</v>
      </c>
      <c r="SR717" s="27" t="s">
        <v>7</v>
      </c>
      <c r="SV717" s="27" t="s">
        <v>7</v>
      </c>
      <c r="SZ717" s="27" t="s">
        <v>7</v>
      </c>
      <c r="TA717" s="27" t="s">
        <v>8</v>
      </c>
      <c r="TB717" s="27" t="s">
        <v>7</v>
      </c>
      <c r="TC717" s="27" t="s">
        <v>8</v>
      </c>
      <c r="TD717" s="27" t="s">
        <v>7</v>
      </c>
    </row>
    <row r="718" spans="1:524" x14ac:dyDescent="0.25">
      <c r="A718" s="7">
        <v>7.4709787166073058E-2</v>
      </c>
      <c r="B718"/>
      <c r="C718"/>
      <c r="D718"/>
      <c r="E718"/>
      <c r="F718" s="27" t="s">
        <v>7</v>
      </c>
      <c r="NM718" s="27" t="s">
        <v>8</v>
      </c>
      <c r="NN718" s="27" t="s">
        <v>7</v>
      </c>
      <c r="NO718" s="27" t="s">
        <v>8</v>
      </c>
      <c r="OT718" s="27" t="s">
        <v>7</v>
      </c>
      <c r="OU718" s="27" t="s">
        <v>8</v>
      </c>
      <c r="OX718" s="27" t="s">
        <v>7</v>
      </c>
      <c r="OY718" s="27" t="s">
        <v>8</v>
      </c>
      <c r="PJ718" s="27" t="s">
        <v>7</v>
      </c>
      <c r="PK718" s="27" t="s">
        <v>8</v>
      </c>
      <c r="PL718" s="27" t="s">
        <v>7</v>
      </c>
      <c r="PM718" s="27" t="s">
        <v>8</v>
      </c>
      <c r="PR718" s="27" t="s">
        <v>7</v>
      </c>
      <c r="PS718" s="27" t="s">
        <v>8</v>
      </c>
      <c r="PT718" s="27" t="s">
        <v>7</v>
      </c>
      <c r="PW718" s="27" t="s">
        <v>8</v>
      </c>
      <c r="PX718" s="27" t="s">
        <v>7</v>
      </c>
      <c r="SL718" s="27" t="s">
        <v>7</v>
      </c>
      <c r="SM718" s="27" t="s">
        <v>8</v>
      </c>
      <c r="SZ718" s="27" t="s">
        <v>7</v>
      </c>
      <c r="TA718" s="27" t="s">
        <v>8</v>
      </c>
      <c r="TB718" s="27" t="s">
        <v>7</v>
      </c>
      <c r="TC718" s="27" t="s">
        <v>8</v>
      </c>
      <c r="TD718" s="27" t="s">
        <v>7</v>
      </c>
    </row>
    <row r="719" spans="1:524" x14ac:dyDescent="0.25">
      <c r="A719" s="7">
        <v>7.3244889378503E-2</v>
      </c>
      <c r="B719"/>
      <c r="C719"/>
      <c r="D719"/>
      <c r="E719"/>
      <c r="F719" s="27" t="s">
        <v>7</v>
      </c>
      <c r="NM719" s="27" t="s">
        <v>8</v>
      </c>
      <c r="NN719" s="27" t="s">
        <v>7</v>
      </c>
      <c r="NO719" s="27" t="s">
        <v>8</v>
      </c>
      <c r="OT719" s="27" t="s">
        <v>7</v>
      </c>
      <c r="OU719" s="27" t="s">
        <v>8</v>
      </c>
      <c r="OX719" s="27" t="s">
        <v>7</v>
      </c>
      <c r="OY719" s="27" t="s">
        <v>8</v>
      </c>
      <c r="PJ719" s="27" t="s">
        <v>7</v>
      </c>
      <c r="PK719" s="27" t="s">
        <v>8</v>
      </c>
      <c r="PL719" s="27" t="s">
        <v>7</v>
      </c>
      <c r="PM719" s="27" t="s">
        <v>8</v>
      </c>
      <c r="PR719" s="27" t="s">
        <v>7</v>
      </c>
      <c r="PT719" s="27" t="s">
        <v>7</v>
      </c>
      <c r="PW719" s="27" t="s">
        <v>8</v>
      </c>
      <c r="SL719" s="27" t="s">
        <v>7</v>
      </c>
      <c r="SM719" s="27" t="s">
        <v>8</v>
      </c>
      <c r="SZ719" s="27" t="s">
        <v>7</v>
      </c>
      <c r="TB719" s="27" t="s">
        <v>7</v>
      </c>
      <c r="TC719" s="27" t="s">
        <v>8</v>
      </c>
      <c r="TD719" s="27" t="s">
        <v>7</v>
      </c>
    </row>
    <row r="720" spans="1:524" x14ac:dyDescent="0.25">
      <c r="A720" s="7">
        <v>7.1808715076963722E-2</v>
      </c>
      <c r="B720"/>
      <c r="C720"/>
      <c r="D720"/>
      <c r="E720"/>
      <c r="F720" s="27" t="s">
        <v>7</v>
      </c>
      <c r="NK720" s="27" t="s">
        <v>8</v>
      </c>
      <c r="NM720" s="27" t="s">
        <v>8</v>
      </c>
      <c r="NN720" s="27" t="s">
        <v>7</v>
      </c>
      <c r="NO720" s="27" t="s">
        <v>8</v>
      </c>
      <c r="OT720" s="27" t="s">
        <v>7</v>
      </c>
      <c r="OU720" s="27" t="s">
        <v>8</v>
      </c>
      <c r="OX720" s="27" t="s">
        <v>7</v>
      </c>
      <c r="OY720" s="27" t="s">
        <v>8</v>
      </c>
      <c r="PJ720" s="27" t="s">
        <v>7</v>
      </c>
      <c r="PK720" s="27" t="s">
        <v>8</v>
      </c>
      <c r="PL720" s="27" t="s">
        <v>7</v>
      </c>
      <c r="PM720" s="27" t="s">
        <v>8</v>
      </c>
      <c r="PT720" s="27" t="s">
        <v>7</v>
      </c>
      <c r="PW720" s="27" t="s">
        <v>8</v>
      </c>
      <c r="SL720" s="27" t="s">
        <v>7</v>
      </c>
      <c r="SM720" s="27" t="s">
        <v>8</v>
      </c>
      <c r="TB720" s="27" t="s">
        <v>7</v>
      </c>
      <c r="TC720" s="27" t="s">
        <v>8</v>
      </c>
      <c r="TD720" s="27" t="s">
        <v>7</v>
      </c>
    </row>
    <row r="721" spans="1:528" x14ac:dyDescent="0.25">
      <c r="A721" s="7">
        <v>7.0400701055846782E-2</v>
      </c>
      <c r="B721"/>
      <c r="C721"/>
      <c r="D721"/>
      <c r="E721"/>
      <c r="F721" s="27" t="s">
        <v>7</v>
      </c>
      <c r="NK721" s="27" t="s">
        <v>8</v>
      </c>
      <c r="NL721" s="27" t="s">
        <v>7</v>
      </c>
      <c r="NM721" s="27" t="s">
        <v>8</v>
      </c>
      <c r="NN721" s="27" t="s">
        <v>7</v>
      </c>
      <c r="OT721" s="27" t="s">
        <v>7</v>
      </c>
      <c r="OU721" s="27" t="s">
        <v>8</v>
      </c>
      <c r="OX721" s="27" t="s">
        <v>7</v>
      </c>
      <c r="OY721" s="27" t="s">
        <v>8</v>
      </c>
      <c r="PJ721" s="27" t="s">
        <v>7</v>
      </c>
      <c r="PK721" s="27" t="s">
        <v>8</v>
      </c>
      <c r="PL721" s="27" t="s">
        <v>7</v>
      </c>
      <c r="PM721" s="27" t="s">
        <v>8</v>
      </c>
      <c r="PT721" s="27" t="s">
        <v>7</v>
      </c>
      <c r="PW721" s="27" t="s">
        <v>8</v>
      </c>
      <c r="SL721" s="27" t="s">
        <v>7</v>
      </c>
      <c r="TB721" s="27" t="s">
        <v>7</v>
      </c>
      <c r="TC721" s="27" t="s">
        <v>8</v>
      </c>
      <c r="TD721" s="27" t="s">
        <v>7</v>
      </c>
    </row>
    <row r="722" spans="1:528" x14ac:dyDescent="0.25">
      <c r="A722" s="7">
        <v>6.9020295152790956E-2</v>
      </c>
      <c r="B722"/>
      <c r="C722"/>
      <c r="D722"/>
      <c r="E722"/>
      <c r="F722" s="27" t="s">
        <v>7</v>
      </c>
      <c r="NK722" s="27" t="s">
        <v>8</v>
      </c>
      <c r="NL722" s="27" t="s">
        <v>7</v>
      </c>
      <c r="NM722" s="27" t="s">
        <v>8</v>
      </c>
      <c r="OT722" s="27" t="s">
        <v>7</v>
      </c>
      <c r="OU722" s="27" t="s">
        <v>8</v>
      </c>
      <c r="OX722" s="27" t="s">
        <v>7</v>
      </c>
      <c r="OY722" s="27" t="s">
        <v>8</v>
      </c>
      <c r="PJ722" s="27" t="s">
        <v>7</v>
      </c>
      <c r="PK722" s="27" t="s">
        <v>8</v>
      </c>
      <c r="PL722" s="27" t="s">
        <v>7</v>
      </c>
      <c r="PT722" s="27" t="s">
        <v>7</v>
      </c>
      <c r="PW722" s="27" t="s">
        <v>8</v>
      </c>
      <c r="TB722" s="27" t="s">
        <v>7</v>
      </c>
      <c r="TD722" s="27" t="s">
        <v>7</v>
      </c>
    </row>
    <row r="723" spans="1:528" x14ac:dyDescent="0.25">
      <c r="A723" s="7">
        <v>6.7666956032147993E-2</v>
      </c>
      <c r="B723"/>
      <c r="C723"/>
      <c r="D723"/>
      <c r="E723"/>
      <c r="F723" s="27" t="s">
        <v>7</v>
      </c>
      <c r="NI723" s="27" t="s">
        <v>8</v>
      </c>
      <c r="NK723" s="27" t="s">
        <v>8</v>
      </c>
      <c r="NL723" s="27" t="s">
        <v>7</v>
      </c>
      <c r="NM723" s="27" t="s">
        <v>8</v>
      </c>
      <c r="OT723" s="27" t="s">
        <v>7</v>
      </c>
      <c r="OU723" s="27" t="s">
        <v>8</v>
      </c>
      <c r="OX723" s="27" t="s">
        <v>7</v>
      </c>
      <c r="OY723" s="27" t="s">
        <v>8</v>
      </c>
      <c r="PJ723" s="27" t="s">
        <v>7</v>
      </c>
      <c r="PK723" s="27" t="s">
        <v>8</v>
      </c>
      <c r="PT723" s="27" t="s">
        <v>7</v>
      </c>
      <c r="PU723" s="27" t="s">
        <v>8</v>
      </c>
      <c r="PW723" s="27" t="s">
        <v>8</v>
      </c>
      <c r="TD723" s="27" t="s">
        <v>7</v>
      </c>
    </row>
    <row r="724" spans="1:528" x14ac:dyDescent="0.25">
      <c r="A724" s="7">
        <v>6.6340152972694105E-2</v>
      </c>
      <c r="B724"/>
      <c r="C724"/>
      <c r="D724"/>
      <c r="E724"/>
      <c r="F724" s="27" t="s">
        <v>7</v>
      </c>
      <c r="NI724" s="27" t="s">
        <v>8</v>
      </c>
      <c r="NJ724" s="27" t="s">
        <v>7</v>
      </c>
      <c r="NK724" s="27" t="s">
        <v>8</v>
      </c>
      <c r="NL724" s="27" t="s">
        <v>7</v>
      </c>
      <c r="NM724" s="27" t="s">
        <v>8</v>
      </c>
      <c r="OT724" s="27" t="s">
        <v>7</v>
      </c>
      <c r="OU724" s="27" t="s">
        <v>8</v>
      </c>
      <c r="OX724" s="27" t="s">
        <v>7</v>
      </c>
      <c r="PJ724" s="27" t="s">
        <v>7</v>
      </c>
      <c r="PK724" s="27" t="s">
        <v>8</v>
      </c>
      <c r="PT724" s="27" t="s">
        <v>7</v>
      </c>
      <c r="PU724" s="27" t="s">
        <v>8</v>
      </c>
      <c r="PV724" s="27" t="s">
        <v>7</v>
      </c>
      <c r="PW724" s="27" t="s">
        <v>8</v>
      </c>
      <c r="TD724" s="27" t="s">
        <v>7</v>
      </c>
    </row>
    <row r="725" spans="1:528" x14ac:dyDescent="0.25">
      <c r="A725" s="7">
        <v>6.5039365659504023E-2</v>
      </c>
      <c r="B725"/>
      <c r="C725"/>
      <c r="D725"/>
      <c r="E725"/>
      <c r="F725" s="27" t="s">
        <v>7</v>
      </c>
      <c r="NI725" s="27" t="s">
        <v>8</v>
      </c>
      <c r="NJ725" s="27" t="s">
        <v>7</v>
      </c>
      <c r="NK725" s="27" t="s">
        <v>8</v>
      </c>
      <c r="NL725" s="27" t="s">
        <v>7</v>
      </c>
      <c r="NM725" s="27" t="s">
        <v>8</v>
      </c>
      <c r="OT725" s="27" t="s">
        <v>7</v>
      </c>
      <c r="OU725" s="27" t="s">
        <v>8</v>
      </c>
      <c r="PJ725" s="27" t="s">
        <v>7</v>
      </c>
      <c r="PK725" s="27" t="s">
        <v>8</v>
      </c>
      <c r="PT725" s="27" t="s">
        <v>7</v>
      </c>
      <c r="PU725" s="27" t="s">
        <v>8</v>
      </c>
      <c r="PV725" s="27" t="s">
        <v>7</v>
      </c>
      <c r="PW725" s="27" t="s">
        <v>8</v>
      </c>
      <c r="TD725" s="27" t="s">
        <v>7</v>
      </c>
    </row>
    <row r="726" spans="1:528" x14ac:dyDescent="0.25">
      <c r="A726" s="7">
        <v>6.3764083979905906E-2</v>
      </c>
      <c r="B726"/>
      <c r="C726"/>
      <c r="D726"/>
      <c r="E726"/>
      <c r="F726" s="27" t="s">
        <v>7</v>
      </c>
      <c r="NI726" s="27" t="s">
        <v>8</v>
      </c>
      <c r="NJ726" s="27" t="s">
        <v>7</v>
      </c>
      <c r="NK726" s="27" t="s">
        <v>8</v>
      </c>
      <c r="NL726" s="27" t="s">
        <v>7</v>
      </c>
      <c r="NM726" s="27" t="s">
        <v>8</v>
      </c>
      <c r="OT726" s="27" t="s">
        <v>7</v>
      </c>
      <c r="OU726" s="27" t="s">
        <v>8</v>
      </c>
      <c r="PJ726" s="27" t="s">
        <v>7</v>
      </c>
      <c r="PK726" s="27" t="s">
        <v>8</v>
      </c>
      <c r="PT726" s="27" t="s">
        <v>7</v>
      </c>
      <c r="PV726" s="27" t="s">
        <v>7</v>
      </c>
      <c r="PW726" s="27" t="s">
        <v>8</v>
      </c>
      <c r="TD726" s="27" t="s">
        <v>7</v>
      </c>
    </row>
    <row r="727" spans="1:528" x14ac:dyDescent="0.25">
      <c r="A727" s="7">
        <v>6.251380782343717E-2</v>
      </c>
      <c r="B727"/>
      <c r="C727"/>
      <c r="D727"/>
      <c r="E727"/>
      <c r="F727" s="27" t="s">
        <v>7</v>
      </c>
      <c r="NI727" s="27" t="s">
        <v>8</v>
      </c>
      <c r="NJ727" s="27" t="s">
        <v>7</v>
      </c>
      <c r="NK727" s="27" t="s">
        <v>8</v>
      </c>
      <c r="NL727" s="27" t="s">
        <v>7</v>
      </c>
      <c r="OT727" s="27" t="s">
        <v>7</v>
      </c>
      <c r="OU727" s="27" t="s">
        <v>8</v>
      </c>
      <c r="PJ727" s="27" t="s">
        <v>7</v>
      </c>
      <c r="PK727" s="27" t="s">
        <v>8</v>
      </c>
      <c r="PV727" s="18" t="s">
        <v>7</v>
      </c>
      <c r="PW727" s="27" t="s">
        <v>8</v>
      </c>
      <c r="TD727" s="27" t="s">
        <v>7</v>
      </c>
    </row>
    <row r="728" spans="1:528" x14ac:dyDescent="0.25">
      <c r="A728" s="7">
        <v>6.1288046885722716E-2</v>
      </c>
      <c r="B728"/>
      <c r="C728"/>
      <c r="D728"/>
      <c r="E728"/>
      <c r="F728" s="27" t="s">
        <v>7</v>
      </c>
      <c r="NI728" s="27" t="s">
        <v>8</v>
      </c>
      <c r="NJ728" s="27" t="s">
        <v>7</v>
      </c>
      <c r="NK728" s="27" t="s">
        <v>8</v>
      </c>
      <c r="OT728" s="27" t="s">
        <v>7</v>
      </c>
      <c r="OU728" s="27" t="s">
        <v>8</v>
      </c>
      <c r="PJ728" s="27" t="s">
        <v>7</v>
      </c>
      <c r="PK728" s="27" t="s">
        <v>8</v>
      </c>
      <c r="PV728" s="27" t="s">
        <v>7</v>
      </c>
      <c r="PW728" s="27" t="s">
        <v>8</v>
      </c>
      <c r="TD728" s="27" t="s">
        <v>7</v>
      </c>
    </row>
    <row r="729" spans="1:528" x14ac:dyDescent="0.25">
      <c r="A729" s="7">
        <v>6.0086320476198739E-2</v>
      </c>
      <c r="B729"/>
      <c r="C729"/>
      <c r="D729"/>
      <c r="E729"/>
      <c r="F729" s="27" t="s">
        <v>7</v>
      </c>
      <c r="MS729" s="27" t="s">
        <v>8</v>
      </c>
      <c r="NI729" s="27" t="s">
        <v>8</v>
      </c>
      <c r="NJ729" s="27" t="s">
        <v>7</v>
      </c>
      <c r="NK729" s="27" t="s">
        <v>8</v>
      </c>
      <c r="OT729" s="27" t="s">
        <v>7</v>
      </c>
      <c r="OU729" s="27" t="s">
        <v>8</v>
      </c>
      <c r="PJ729" s="27" t="s">
        <v>7</v>
      </c>
      <c r="PV729" s="27" t="s">
        <v>7</v>
      </c>
      <c r="PW729" s="27" t="s">
        <v>8</v>
      </c>
      <c r="TD729" s="27" t="s">
        <v>7</v>
      </c>
    </row>
    <row r="730" spans="1:528" x14ac:dyDescent="0.25">
      <c r="A730" s="7">
        <v>5.8908157329606609E-2</v>
      </c>
      <c r="B730"/>
      <c r="C730"/>
      <c r="D730"/>
      <c r="E730"/>
      <c r="F730" s="27" t="s">
        <v>7</v>
      </c>
      <c r="MS730" s="27" t="s">
        <v>8</v>
      </c>
      <c r="MT730" s="27" t="s">
        <v>7</v>
      </c>
      <c r="MU730" s="27" t="s">
        <v>8</v>
      </c>
      <c r="NI730" s="27" t="s">
        <v>8</v>
      </c>
      <c r="NJ730" s="27" t="s">
        <v>7</v>
      </c>
      <c r="OT730" s="27" t="s">
        <v>7</v>
      </c>
      <c r="OU730" s="27" t="s">
        <v>8</v>
      </c>
      <c r="PV730" s="27" t="s">
        <v>7</v>
      </c>
      <c r="PW730" s="27" t="s">
        <v>8</v>
      </c>
      <c r="TD730" s="27" t="s">
        <v>7</v>
      </c>
    </row>
    <row r="731" spans="1:528" x14ac:dyDescent="0.25">
      <c r="A731" s="7">
        <v>5.7753095421182947E-2</v>
      </c>
      <c r="B731"/>
      <c r="C731"/>
      <c r="D731"/>
      <c r="E731"/>
      <c r="F731" s="27" t="s">
        <v>7</v>
      </c>
      <c r="MS731" s="27" t="s">
        <v>8</v>
      </c>
      <c r="MT731" s="27" t="s">
        <v>7</v>
      </c>
      <c r="MU731" s="27" t="s">
        <v>8</v>
      </c>
      <c r="MV731" s="27" t="s">
        <v>7</v>
      </c>
      <c r="NI731" s="27" t="s">
        <v>8</v>
      </c>
      <c r="OT731" s="27" t="s">
        <v>7</v>
      </c>
      <c r="OU731" s="27" t="s">
        <v>8</v>
      </c>
      <c r="PV731" s="27" t="s">
        <v>7</v>
      </c>
      <c r="PW731" s="27" t="s">
        <v>8</v>
      </c>
      <c r="TD731" s="27" t="s">
        <v>7</v>
      </c>
      <c r="TG731" s="27" t="s">
        <v>8</v>
      </c>
    </row>
    <row r="732" spans="1:528" x14ac:dyDescent="0.25">
      <c r="A732" s="7">
        <v>5.6620681785473484E-2</v>
      </c>
      <c r="B732"/>
      <c r="C732"/>
      <c r="D732"/>
      <c r="E732"/>
      <c r="F732" s="27" t="s">
        <v>7</v>
      </c>
      <c r="MS732" s="27" t="s">
        <v>8</v>
      </c>
      <c r="MT732" s="27" t="s">
        <v>7</v>
      </c>
      <c r="MU732" s="27" t="s">
        <v>8</v>
      </c>
      <c r="MV732" s="27" t="s">
        <v>7</v>
      </c>
      <c r="MY732" s="27" t="s">
        <v>8</v>
      </c>
      <c r="NI732" s="27" t="s">
        <v>8</v>
      </c>
      <c r="OT732" s="27" t="s">
        <v>7</v>
      </c>
      <c r="OU732" s="27" t="s">
        <v>8</v>
      </c>
      <c r="PV732" s="27" t="s">
        <v>7</v>
      </c>
      <c r="TD732" s="27" t="s">
        <v>7</v>
      </c>
      <c r="TG732" s="27" t="s">
        <v>8</v>
      </c>
      <c r="TH732" s="27" t="s">
        <v>7</v>
      </c>
    </row>
    <row r="733" spans="1:528" x14ac:dyDescent="0.25">
      <c r="A733" s="7">
        <v>5.5510472338699497E-2</v>
      </c>
      <c r="B733"/>
      <c r="C733"/>
      <c r="D733"/>
      <c r="E733"/>
      <c r="F733" s="27" t="s">
        <v>7</v>
      </c>
      <c r="MS733" s="27" t="s">
        <v>8</v>
      </c>
      <c r="MT733" s="27" t="s">
        <v>7</v>
      </c>
      <c r="MU733" s="27" t="s">
        <v>8</v>
      </c>
      <c r="MV733" s="27" t="s">
        <v>7</v>
      </c>
      <c r="MY733" s="27" t="s">
        <v>8</v>
      </c>
      <c r="MZ733" s="27" t="s">
        <v>7</v>
      </c>
      <c r="NA733" s="27" t="s">
        <v>8</v>
      </c>
      <c r="NI733" s="27" t="s">
        <v>8</v>
      </c>
      <c r="OT733" s="27" t="s">
        <v>7</v>
      </c>
      <c r="OU733" s="27" t="s">
        <v>8</v>
      </c>
      <c r="TD733" s="27" t="s">
        <v>7</v>
      </c>
      <c r="TG733" s="27" t="s">
        <v>8</v>
      </c>
      <c r="TH733" s="27" t="s">
        <v>7</v>
      </c>
    </row>
    <row r="734" spans="1:528" x14ac:dyDescent="0.25">
      <c r="A734" s="7">
        <v>5.4422031704607354E-2</v>
      </c>
      <c r="B734"/>
      <c r="C734"/>
      <c r="D734"/>
      <c r="E734"/>
      <c r="F734" s="27" t="s">
        <v>7</v>
      </c>
      <c r="MS734" s="27" t="s">
        <v>8</v>
      </c>
      <c r="MT734" s="27" t="s">
        <v>7</v>
      </c>
      <c r="MU734" s="27" t="s">
        <v>8</v>
      </c>
      <c r="MV734" s="27" t="s">
        <v>7</v>
      </c>
      <c r="MY734" s="27" t="s">
        <v>8</v>
      </c>
      <c r="MZ734" s="27" t="s">
        <v>7</v>
      </c>
      <c r="NA734" s="27" t="s">
        <v>8</v>
      </c>
      <c r="NB734" s="27" t="s">
        <v>7</v>
      </c>
      <c r="NG734" s="27" t="s">
        <v>8</v>
      </c>
      <c r="NI734" s="27" t="s">
        <v>8</v>
      </c>
      <c r="OT734" s="27" t="s">
        <v>7</v>
      </c>
      <c r="OU734" s="27" t="s">
        <v>8</v>
      </c>
      <c r="TD734" s="27" t="s">
        <v>7</v>
      </c>
      <c r="TE734" s="27" t="s">
        <v>8</v>
      </c>
      <c r="TG734" s="27" t="s">
        <v>8</v>
      </c>
      <c r="TH734" s="27" t="s">
        <v>7</v>
      </c>
    </row>
    <row r="735" spans="1:528" x14ac:dyDescent="0.25">
      <c r="A735" s="7">
        <v>5.3354933043732705E-2</v>
      </c>
      <c r="B735"/>
      <c r="C735"/>
      <c r="D735"/>
      <c r="E735"/>
      <c r="F735" s="27" t="s">
        <v>7</v>
      </c>
      <c r="MS735" s="27" t="s">
        <v>8</v>
      </c>
      <c r="MT735" s="27" t="s">
        <v>7</v>
      </c>
      <c r="MU735" s="27" t="s">
        <v>8</v>
      </c>
      <c r="MV735" s="27" t="s">
        <v>7</v>
      </c>
      <c r="MW735" s="27" t="s">
        <v>8</v>
      </c>
      <c r="MY735" s="27" t="s">
        <v>8</v>
      </c>
      <c r="MZ735" s="27" t="s">
        <v>7</v>
      </c>
      <c r="NA735" s="27" t="s">
        <v>8</v>
      </c>
      <c r="NB735" s="27" t="s">
        <v>7</v>
      </c>
      <c r="NG735" s="27" t="s">
        <v>8</v>
      </c>
      <c r="NH735" s="27" t="s">
        <v>7</v>
      </c>
      <c r="NI735" s="27" t="s">
        <v>8</v>
      </c>
      <c r="OT735" s="27" t="s">
        <v>7</v>
      </c>
      <c r="OU735" s="27" t="s">
        <v>8</v>
      </c>
      <c r="TD735" s="27" t="s">
        <v>7</v>
      </c>
      <c r="TE735" s="27" t="s">
        <v>8</v>
      </c>
      <c r="TF735" s="27" t="s">
        <v>7</v>
      </c>
      <c r="TG735" s="27" t="s">
        <v>8</v>
      </c>
      <c r="TH735" s="27" t="s">
        <v>7</v>
      </c>
    </row>
    <row r="736" spans="1:528" x14ac:dyDescent="0.25">
      <c r="A736" s="7">
        <v>5.2308757886012455E-2</v>
      </c>
      <c r="B736"/>
      <c r="C736"/>
      <c r="D736"/>
      <c r="E736"/>
      <c r="F736" s="27" t="s">
        <v>7</v>
      </c>
      <c r="MS736" s="27" t="s">
        <v>8</v>
      </c>
      <c r="MT736" s="27" t="s">
        <v>7</v>
      </c>
      <c r="MU736" s="27" t="s">
        <v>8</v>
      </c>
      <c r="MV736" s="27" t="s">
        <v>7</v>
      </c>
      <c r="MW736" s="27" t="s">
        <v>8</v>
      </c>
      <c r="MX736" s="27" t="s">
        <v>7</v>
      </c>
      <c r="MY736" s="27" t="s">
        <v>8</v>
      </c>
      <c r="MZ736" s="27" t="s">
        <v>7</v>
      </c>
      <c r="NA736" s="27" t="s">
        <v>8</v>
      </c>
      <c r="NB736" s="27" t="s">
        <v>7</v>
      </c>
      <c r="NG736" s="27" t="s">
        <v>8</v>
      </c>
      <c r="NH736" s="27" t="s">
        <v>7</v>
      </c>
      <c r="NI736" s="27" t="s">
        <v>8</v>
      </c>
      <c r="OT736" s="27" t="s">
        <v>7</v>
      </c>
      <c r="TD736" s="27" t="s">
        <v>7</v>
      </c>
      <c r="TE736" s="27" t="s">
        <v>8</v>
      </c>
      <c r="TF736" s="27" t="s">
        <v>7</v>
      </c>
      <c r="TG736" s="27" t="s">
        <v>8</v>
      </c>
      <c r="TH736" s="27" t="s">
        <v>7</v>
      </c>
    </row>
    <row r="737" spans="1:527" x14ac:dyDescent="0.25">
      <c r="A737" s="7">
        <v>5.1283095966678877E-2</v>
      </c>
      <c r="B737"/>
      <c r="C737"/>
      <c r="D737"/>
      <c r="E737"/>
      <c r="F737" s="27" t="s">
        <v>7</v>
      </c>
      <c r="MS737" s="27" t="s">
        <v>8</v>
      </c>
      <c r="MT737" s="27" t="s">
        <v>7</v>
      </c>
      <c r="MU737" s="27" t="s">
        <v>8</v>
      </c>
      <c r="MV737" s="27" t="s">
        <v>7</v>
      </c>
      <c r="MW737" s="27" t="s">
        <v>8</v>
      </c>
      <c r="MX737" s="27" t="s">
        <v>7</v>
      </c>
      <c r="MY737" s="27" t="s">
        <v>8</v>
      </c>
      <c r="MZ737" s="27" t="s">
        <v>7</v>
      </c>
      <c r="NA737" s="27" t="s">
        <v>8</v>
      </c>
      <c r="NB737" s="27" t="s">
        <v>7</v>
      </c>
      <c r="NG737" s="27" t="s">
        <v>8</v>
      </c>
      <c r="NH737" s="27" t="s">
        <v>7</v>
      </c>
      <c r="NI737" s="27" t="s">
        <v>8</v>
      </c>
      <c r="TD737" s="27" t="s">
        <v>7</v>
      </c>
      <c r="TE737" s="27" t="s">
        <v>8</v>
      </c>
      <c r="TF737" s="27" t="s">
        <v>7</v>
      </c>
      <c r="TG737" s="27" t="s">
        <v>8</v>
      </c>
    </row>
    <row r="738" spans="1:527" x14ac:dyDescent="0.25">
      <c r="A738" s="7">
        <v>5.0277545065371444E-2</v>
      </c>
      <c r="B738"/>
      <c r="C738"/>
      <c r="D738"/>
      <c r="E738"/>
      <c r="F738" s="27" t="s">
        <v>7</v>
      </c>
      <c r="MS738" s="27" t="s">
        <v>8</v>
      </c>
      <c r="MT738" s="27" t="s">
        <v>7</v>
      </c>
      <c r="MU738" s="27" t="s">
        <v>8</v>
      </c>
      <c r="MV738" s="27" t="s">
        <v>7</v>
      </c>
      <c r="MW738" s="27" t="s">
        <v>8</v>
      </c>
      <c r="MX738" s="27" t="s">
        <v>7</v>
      </c>
      <c r="MY738" s="27" t="s">
        <v>8</v>
      </c>
      <c r="MZ738" s="27" t="s">
        <v>7</v>
      </c>
      <c r="NB738" s="27" t="s">
        <v>7</v>
      </c>
      <c r="NG738" s="27" t="s">
        <v>8</v>
      </c>
      <c r="NH738" s="27" t="s">
        <v>7</v>
      </c>
      <c r="NI738" s="27" t="s">
        <v>8</v>
      </c>
      <c r="TD738" s="27" t="s">
        <v>7</v>
      </c>
      <c r="TE738" s="27" t="s">
        <v>8</v>
      </c>
      <c r="TF738" s="27" t="s">
        <v>7</v>
      </c>
      <c r="TG738" s="27" t="s">
        <v>8</v>
      </c>
    </row>
    <row r="739" spans="1:527" x14ac:dyDescent="0.25">
      <c r="A739" s="7">
        <v>4.9291710848403378E-2</v>
      </c>
      <c r="B739"/>
      <c r="C739"/>
      <c r="D739"/>
      <c r="E739"/>
      <c r="F739" s="27" t="s">
        <v>7</v>
      </c>
      <c r="MS739" s="27" t="s">
        <v>8</v>
      </c>
      <c r="MT739" s="27" t="s">
        <v>7</v>
      </c>
      <c r="MV739" s="27" t="s">
        <v>7</v>
      </c>
      <c r="MW739" s="27" t="s">
        <v>8</v>
      </c>
      <c r="MX739" s="27" t="s">
        <v>7</v>
      </c>
      <c r="MY739" s="27" t="s">
        <v>8</v>
      </c>
      <c r="NB739" s="27" t="s">
        <v>7</v>
      </c>
      <c r="NG739" s="27" t="s">
        <v>8</v>
      </c>
      <c r="NH739" s="27" t="s">
        <v>7</v>
      </c>
      <c r="NI739" s="27" t="s">
        <v>8</v>
      </c>
      <c r="TD739" s="27" t="s">
        <v>7</v>
      </c>
      <c r="TE739" s="27" t="s">
        <v>8</v>
      </c>
      <c r="TF739" s="27" t="s">
        <v>7</v>
      </c>
      <c r="TG739" s="27" t="s">
        <v>8</v>
      </c>
    </row>
    <row r="740" spans="1:527" x14ac:dyDescent="0.25">
      <c r="A740" s="7">
        <v>4.8325206714120959E-2</v>
      </c>
      <c r="B740"/>
      <c r="C740"/>
      <c r="D740"/>
      <c r="E740"/>
      <c r="F740" s="27" t="s">
        <v>7</v>
      </c>
      <c r="MS740" s="27" t="s">
        <v>8</v>
      </c>
      <c r="MV740" s="27" t="s">
        <v>7</v>
      </c>
      <c r="MW740" s="27" t="s">
        <v>8</v>
      </c>
      <c r="MX740" s="27" t="s">
        <v>7</v>
      </c>
      <c r="MY740" s="27" t="s">
        <v>8</v>
      </c>
      <c r="NB740" s="27" t="s">
        <v>7</v>
      </c>
      <c r="NG740" s="27" t="s">
        <v>8</v>
      </c>
      <c r="NH740" s="27" t="s">
        <v>7</v>
      </c>
      <c r="NI740" s="27" t="s">
        <v>8</v>
      </c>
      <c r="TD740" s="27" t="s">
        <v>7</v>
      </c>
      <c r="TE740" s="27" t="s">
        <v>8</v>
      </c>
      <c r="TF740" s="27" t="s">
        <v>7</v>
      </c>
      <c r="TG740" s="27" t="s">
        <v>8</v>
      </c>
    </row>
    <row r="741" spans="1:527" x14ac:dyDescent="0.25">
      <c r="A741" s="7">
        <v>4.7377653641295057E-2</v>
      </c>
      <c r="B741"/>
      <c r="C741"/>
      <c r="D741"/>
      <c r="E741"/>
      <c r="F741" s="27" t="s">
        <v>7</v>
      </c>
      <c r="MS741" s="27" t="s">
        <v>8</v>
      </c>
      <c r="MV741" s="27" t="s">
        <v>7</v>
      </c>
      <c r="MW741" s="27" t="s">
        <v>8</v>
      </c>
      <c r="MX741" s="27" t="s">
        <v>7</v>
      </c>
      <c r="MY741" s="27" t="s">
        <v>8</v>
      </c>
      <c r="NB741" s="27" t="s">
        <v>7</v>
      </c>
      <c r="NG741" s="27" t="s">
        <v>8</v>
      </c>
      <c r="NH741" s="27" t="s">
        <v>7</v>
      </c>
      <c r="NI741" s="27" t="s">
        <v>8</v>
      </c>
      <c r="TD741" s="27" t="s">
        <v>7</v>
      </c>
      <c r="TE741" s="27" t="s">
        <v>8</v>
      </c>
      <c r="TF741" s="27" t="s">
        <v>7</v>
      </c>
      <c r="TG741" s="27" t="s">
        <v>8</v>
      </c>
    </row>
    <row r="742" spans="1:527" x14ac:dyDescent="0.25">
      <c r="A742" s="7">
        <v>4.644868004048535E-2</v>
      </c>
      <c r="B742"/>
      <c r="C742"/>
      <c r="D742"/>
      <c r="E742"/>
      <c r="F742" s="27" t="s">
        <v>7</v>
      </c>
      <c r="MS742" s="27" t="s">
        <v>8</v>
      </c>
      <c r="MV742" s="27" t="s">
        <v>7</v>
      </c>
      <c r="MW742" s="27" t="s">
        <v>8</v>
      </c>
      <c r="MX742" s="27" t="s">
        <v>7</v>
      </c>
      <c r="NB742" s="27" t="s">
        <v>7</v>
      </c>
      <c r="NC742" s="27" t="s">
        <v>8</v>
      </c>
      <c r="NG742" s="27" t="s">
        <v>8</v>
      </c>
      <c r="NH742" s="27" t="s">
        <v>7</v>
      </c>
      <c r="TD742" s="27" t="s">
        <v>7</v>
      </c>
      <c r="TE742" s="27" t="s">
        <v>8</v>
      </c>
      <c r="TF742" s="27" t="s">
        <v>7</v>
      </c>
      <c r="TG742" s="27" t="s">
        <v>8</v>
      </c>
    </row>
    <row r="743" spans="1:527" x14ac:dyDescent="0.25">
      <c r="A743" s="7">
        <v>4.5537921608318974E-2</v>
      </c>
      <c r="B743"/>
      <c r="C743"/>
      <c r="D743"/>
      <c r="E743"/>
      <c r="F743" s="27" t="s">
        <v>7</v>
      </c>
      <c r="MS743" s="27" t="s">
        <v>8</v>
      </c>
      <c r="MV743" s="27" t="s">
        <v>7</v>
      </c>
      <c r="MW743" s="27" t="s">
        <v>8</v>
      </c>
      <c r="NB743" s="27" t="s">
        <v>7</v>
      </c>
      <c r="NC743" s="27" t="s">
        <v>8</v>
      </c>
      <c r="ND743" s="27" t="s">
        <v>7</v>
      </c>
      <c r="NG743" s="27" t="s">
        <v>8</v>
      </c>
      <c r="TD743" s="27" t="s">
        <v>7</v>
      </c>
      <c r="TF743" s="27" t="s">
        <v>7</v>
      </c>
      <c r="TG743" s="27" t="s">
        <v>8</v>
      </c>
    </row>
    <row r="744" spans="1:527" x14ac:dyDescent="0.25">
      <c r="A744" s="7">
        <v>4.4645021184626446E-2</v>
      </c>
      <c r="B744"/>
      <c r="C744"/>
      <c r="D744"/>
      <c r="E744"/>
      <c r="F744" s="27" t="s">
        <v>7</v>
      </c>
      <c r="MS744" s="27" t="s">
        <v>8</v>
      </c>
      <c r="MV744" s="27" t="s">
        <v>7</v>
      </c>
      <c r="MW744" s="27" t="s">
        <v>8</v>
      </c>
      <c r="NB744" s="27" t="s">
        <v>7</v>
      </c>
      <c r="NC744" s="27" t="s">
        <v>8</v>
      </c>
      <c r="ND744" s="27" t="s">
        <v>7</v>
      </c>
      <c r="NG744" s="27" t="s">
        <v>8</v>
      </c>
      <c r="TF744" s="27" t="s">
        <v>7</v>
      </c>
    </row>
    <row r="745" spans="1:527" x14ac:dyDescent="0.25">
      <c r="A745" s="7">
        <v>4.3769628612378868E-2</v>
      </c>
      <c r="B745"/>
      <c r="C745"/>
      <c r="D745"/>
      <c r="E745"/>
      <c r="F745" s="27" t="s">
        <v>7</v>
      </c>
      <c r="MS745" s="27" t="s">
        <v>8</v>
      </c>
      <c r="MV745" s="27" t="s">
        <v>7</v>
      </c>
      <c r="MW745" s="27" t="s">
        <v>8</v>
      </c>
      <c r="NB745" s="27" t="s">
        <v>7</v>
      </c>
      <c r="NC745" s="27" t="s">
        <v>8</v>
      </c>
      <c r="ND745" s="27" t="s">
        <v>7</v>
      </c>
      <c r="NG745" s="27" t="s">
        <v>8</v>
      </c>
    </row>
    <row r="746" spans="1:527" x14ac:dyDescent="0.25">
      <c r="A746" s="7">
        <v>4.2911400600371442E-2</v>
      </c>
      <c r="B746"/>
      <c r="C746"/>
      <c r="D746"/>
      <c r="E746"/>
      <c r="F746" s="27" t="s">
        <v>7</v>
      </c>
      <c r="MS746" s="27" t="s">
        <v>8</v>
      </c>
      <c r="MV746" s="27" t="s">
        <v>7</v>
      </c>
      <c r="NB746" s="27" t="s">
        <v>7</v>
      </c>
      <c r="NC746" s="27" t="s">
        <v>8</v>
      </c>
      <c r="ND746" s="27" t="s">
        <v>7</v>
      </c>
      <c r="NG746" s="27" t="s">
        <v>8</v>
      </c>
    </row>
    <row r="747" spans="1:527" x14ac:dyDescent="0.25">
      <c r="A747" s="7">
        <v>4.2070000588599457E-2</v>
      </c>
      <c r="B747"/>
      <c r="C747"/>
      <c r="D747"/>
      <c r="E747"/>
      <c r="F747" s="27" t="s">
        <v>7</v>
      </c>
      <c r="MS747" s="27" t="s">
        <v>8</v>
      </c>
      <c r="NB747" s="27" t="s">
        <v>7</v>
      </c>
      <c r="NC747" s="27" t="s">
        <v>8</v>
      </c>
      <c r="ND747" s="27" t="s">
        <v>7</v>
      </c>
      <c r="NE747" s="27" t="s">
        <v>8</v>
      </c>
      <c r="NG747" s="27" t="s">
        <v>8</v>
      </c>
    </row>
    <row r="748" spans="1:527" x14ac:dyDescent="0.25">
      <c r="A748" s="7">
        <v>4.1245098616273977E-2</v>
      </c>
      <c r="B748"/>
      <c r="C748"/>
      <c r="D748"/>
      <c r="E748"/>
      <c r="F748" s="27" t="s">
        <v>7</v>
      </c>
      <c r="MS748" s="27" t="s">
        <v>8</v>
      </c>
      <c r="NB748" s="27" t="s">
        <v>7</v>
      </c>
      <c r="NC748" s="27" t="s">
        <v>8</v>
      </c>
      <c r="ND748" s="27" t="s">
        <v>7</v>
      </c>
      <c r="NE748" s="27" t="s">
        <v>8</v>
      </c>
      <c r="NF748" s="27" t="s">
        <v>7</v>
      </c>
      <c r="NG748" s="27" t="s">
        <v>8</v>
      </c>
    </row>
    <row r="749" spans="1:527" x14ac:dyDescent="0.25">
      <c r="A749" s="7">
        <v>4.043637119242547E-2</v>
      </c>
      <c r="B749"/>
      <c r="C749"/>
      <c r="D749"/>
      <c r="E749"/>
      <c r="F749" s="27" t="s">
        <v>7</v>
      </c>
      <c r="MS749" s="27" t="s">
        <v>8</v>
      </c>
      <c r="NB749" s="27" t="s">
        <v>7</v>
      </c>
      <c r="NC749" s="27" t="s">
        <v>8</v>
      </c>
      <c r="ND749" s="27" t="s">
        <v>7</v>
      </c>
      <c r="NE749" s="27" t="s">
        <v>8</v>
      </c>
      <c r="NF749" s="27" t="s">
        <v>7</v>
      </c>
      <c r="NG749" s="27" t="s">
        <v>8</v>
      </c>
    </row>
    <row r="750" spans="1:527" x14ac:dyDescent="0.25">
      <c r="A750" s="7">
        <v>3.9643501169044582E-2</v>
      </c>
      <c r="B750"/>
      <c r="C750"/>
      <c r="D750"/>
      <c r="E750"/>
      <c r="F750" s="27" t="s">
        <v>7</v>
      </c>
      <c r="MS750" s="27" t="s">
        <v>8</v>
      </c>
      <c r="NB750" s="27" t="s">
        <v>7</v>
      </c>
      <c r="NC750" s="27" t="s">
        <v>8</v>
      </c>
      <c r="ND750" s="27" t="s">
        <v>7</v>
      </c>
      <c r="NE750" s="27" t="s">
        <v>8</v>
      </c>
      <c r="NF750" s="27" t="s">
        <v>7</v>
      </c>
      <c r="NG750" s="27" t="s">
        <v>8</v>
      </c>
    </row>
    <row r="751" spans="1:527" x14ac:dyDescent="0.25">
      <c r="A751" s="7">
        <v>3.8866177616710372E-2</v>
      </c>
      <c r="B751"/>
      <c r="C751"/>
      <c r="D751"/>
      <c r="E751"/>
      <c r="F751" s="27" t="s">
        <v>7</v>
      </c>
      <c r="MS751" s="27" t="s">
        <v>8</v>
      </c>
      <c r="NB751" s="27" t="s">
        <v>7</v>
      </c>
      <c r="NC751" s="27" t="s">
        <v>8</v>
      </c>
      <c r="ND751" s="27" t="s">
        <v>7</v>
      </c>
      <c r="NE751" s="27" t="s">
        <v>8</v>
      </c>
      <c r="NF751" s="27" t="s">
        <v>7</v>
      </c>
      <c r="NG751" s="27" t="s">
        <v>8</v>
      </c>
    </row>
    <row r="752" spans="1:527" x14ac:dyDescent="0.25">
      <c r="A752" s="7">
        <v>3.8104095702657229E-2</v>
      </c>
      <c r="B752"/>
      <c r="C752"/>
      <c r="D752"/>
      <c r="E752"/>
      <c r="F752" s="27" t="s">
        <v>7</v>
      </c>
      <c r="MS752" s="27" t="s">
        <v>8</v>
      </c>
      <c r="NB752" s="27" t="s">
        <v>7</v>
      </c>
      <c r="NC752" s="27" t="s">
        <v>8</v>
      </c>
      <c r="ND752" s="27" t="s">
        <v>7</v>
      </c>
      <c r="NE752" s="27" t="s">
        <v>8</v>
      </c>
      <c r="NF752" s="27" t="s">
        <v>7</v>
      </c>
      <c r="NG752" s="27" t="s">
        <v>8</v>
      </c>
    </row>
    <row r="753" spans="1:371" x14ac:dyDescent="0.25">
      <c r="A753" s="7">
        <v>3.7356956571232579E-2</v>
      </c>
      <c r="B753"/>
      <c r="C753"/>
      <c r="D753"/>
      <c r="E753"/>
      <c r="F753" s="27" t="s">
        <v>7</v>
      </c>
      <c r="MS753" s="27" t="s">
        <v>8</v>
      </c>
      <c r="NB753" s="27" t="s">
        <v>7</v>
      </c>
      <c r="NC753" s="27" t="s">
        <v>8</v>
      </c>
      <c r="ND753" s="27" t="s">
        <v>7</v>
      </c>
      <c r="NE753" s="27" t="s">
        <v>8</v>
      </c>
      <c r="NF753" s="27" t="s">
        <v>7</v>
      </c>
      <c r="NG753" s="27" t="s">
        <v>8</v>
      </c>
    </row>
    <row r="754" spans="1:371" x14ac:dyDescent="0.25">
      <c r="A754" s="7">
        <v>3.6624467226698605E-2</v>
      </c>
      <c r="B754"/>
      <c r="C754"/>
      <c r="D754"/>
      <c r="E754"/>
      <c r="F754" s="27" t="s">
        <v>7</v>
      </c>
      <c r="MS754" s="27" t="s">
        <v>8</v>
      </c>
      <c r="NB754" s="27" t="s">
        <v>7</v>
      </c>
      <c r="NC754" s="27" t="s">
        <v>8</v>
      </c>
      <c r="ND754" s="27" t="s">
        <v>7</v>
      </c>
      <c r="NF754" s="27" t="s">
        <v>7</v>
      </c>
    </row>
    <row r="755" spans="1:371" x14ac:dyDescent="0.25">
      <c r="A755" s="7">
        <v>3.5906340418331961E-2</v>
      </c>
      <c r="B755"/>
      <c r="C755"/>
      <c r="D755"/>
      <c r="E755"/>
      <c r="F755" s="27" t="s">
        <v>7</v>
      </c>
      <c r="MS755" s="27" t="s">
        <v>8</v>
      </c>
      <c r="NB755" s="27" t="s">
        <v>7</v>
      </c>
      <c r="NC755" s="27" t="s">
        <v>8</v>
      </c>
    </row>
    <row r="756" spans="1:371" x14ac:dyDescent="0.25">
      <c r="A756" s="7">
        <v>3.5202294527776436E-2</v>
      </c>
      <c r="B756"/>
      <c r="C756"/>
      <c r="D756"/>
      <c r="E756"/>
      <c r="F756" s="27" t="s">
        <v>7</v>
      </c>
      <c r="MG756" s="27" t="s">
        <v>8</v>
      </c>
      <c r="MS756" s="27" t="s">
        <v>8</v>
      </c>
      <c r="NB756" s="27" t="s">
        <v>7</v>
      </c>
    </row>
    <row r="757" spans="1:371" x14ac:dyDescent="0.25">
      <c r="A757" s="7">
        <v>3.451205345860435E-2</v>
      </c>
      <c r="B757"/>
      <c r="C757"/>
      <c r="D757"/>
      <c r="E757"/>
      <c r="F757" s="27" t="s">
        <v>7</v>
      </c>
      <c r="MG757" s="27" t="s">
        <v>8</v>
      </c>
      <c r="MH757" s="27" t="s">
        <v>7</v>
      </c>
      <c r="MS757" s="27" t="s">
        <v>8</v>
      </c>
    </row>
    <row r="758" spans="1:371" x14ac:dyDescent="0.25">
      <c r="A758" s="7">
        <v>3.3835346528043479E-2</v>
      </c>
      <c r="B758"/>
      <c r="C758"/>
      <c r="D758"/>
      <c r="E758"/>
      <c r="F758" s="27" t="s">
        <v>7</v>
      </c>
      <c r="MG758" s="27" t="s">
        <v>8</v>
      </c>
      <c r="MH758" s="27" t="s">
        <v>7</v>
      </c>
      <c r="MS758" s="27" t="s">
        <v>8</v>
      </c>
    </row>
    <row r="759" spans="1:371" x14ac:dyDescent="0.25">
      <c r="A759" s="7">
        <v>3.3171908360826938E-2</v>
      </c>
      <c r="B759"/>
      <c r="C759"/>
      <c r="D759"/>
      <c r="E759"/>
      <c r="F759" s="27" t="s">
        <v>7</v>
      </c>
      <c r="MG759" s="27" t="s">
        <v>8</v>
      </c>
      <c r="MH759" s="27" t="s">
        <v>7</v>
      </c>
      <c r="MS759" s="27" t="s">
        <v>8</v>
      </c>
    </row>
    <row r="760" spans="1:371" x14ac:dyDescent="0.25">
      <c r="A760" s="7">
        <v>3.2521478785124451E-2</v>
      </c>
      <c r="B760"/>
      <c r="C760"/>
      <c r="D760"/>
      <c r="E760"/>
      <c r="F760" s="27" t="s">
        <v>7</v>
      </c>
      <c r="MG760" s="27" t="s">
        <v>8</v>
      </c>
      <c r="MH760" s="27" t="s">
        <v>7</v>
      </c>
      <c r="MQ760" s="27" t="s">
        <v>8</v>
      </c>
      <c r="MS760" s="27" t="s">
        <v>8</v>
      </c>
    </row>
    <row r="761" spans="1:371" x14ac:dyDescent="0.25">
      <c r="A761" s="7">
        <v>3.1883802730514173E-2</v>
      </c>
      <c r="B761"/>
      <c r="C761"/>
      <c r="D761"/>
      <c r="E761"/>
      <c r="F761" s="27" t="s">
        <v>7</v>
      </c>
      <c r="LY761" s="27" t="s">
        <v>8</v>
      </c>
      <c r="MG761" s="27" t="s">
        <v>8</v>
      </c>
      <c r="MH761" s="27" t="s">
        <v>7</v>
      </c>
      <c r="MI761" s="27" t="s">
        <v>8</v>
      </c>
      <c r="MQ761" s="27" t="s">
        <v>8</v>
      </c>
      <c r="MR761" s="27" t="s">
        <v>7</v>
      </c>
      <c r="MS761" s="27" t="s">
        <v>8</v>
      </c>
    </row>
    <row r="762" spans="1:371" x14ac:dyDescent="0.25">
      <c r="A762" s="7">
        <v>3.1258630127955073E-2</v>
      </c>
      <c r="B762"/>
      <c r="C762"/>
      <c r="D762"/>
      <c r="E762"/>
      <c r="F762" s="27" t="s">
        <v>7</v>
      </c>
      <c r="LY762" s="27" t="s">
        <v>8</v>
      </c>
      <c r="LZ762" s="27" t="s">
        <v>7</v>
      </c>
      <c r="MG762" s="27" t="s">
        <v>8</v>
      </c>
      <c r="MH762" s="27" t="s">
        <v>7</v>
      </c>
      <c r="MI762" s="27" t="s">
        <v>8</v>
      </c>
      <c r="MJ762" s="27" t="s">
        <v>7</v>
      </c>
      <c r="MQ762" s="27" t="s">
        <v>8</v>
      </c>
      <c r="MR762" s="27" t="s">
        <v>7</v>
      </c>
      <c r="MS762" s="27" t="s">
        <v>8</v>
      </c>
    </row>
    <row r="763" spans="1:371" x14ac:dyDescent="0.25">
      <c r="A763" s="7">
        <v>3.064571581172066E-2</v>
      </c>
      <c r="B763"/>
      <c r="C763"/>
      <c r="D763"/>
      <c r="E763"/>
      <c r="F763" s="27" t="s">
        <v>7</v>
      </c>
      <c r="LY763" s="27" t="s">
        <v>8</v>
      </c>
      <c r="LZ763" s="27" t="s">
        <v>7</v>
      </c>
      <c r="MA763" s="27" t="s">
        <v>8</v>
      </c>
      <c r="MG763" s="27" t="s">
        <v>8</v>
      </c>
      <c r="MH763" s="27" t="s">
        <v>7</v>
      </c>
      <c r="MI763" s="27" t="s">
        <v>8</v>
      </c>
      <c r="MJ763" s="27" t="s">
        <v>7</v>
      </c>
      <c r="MQ763" s="27" t="s">
        <v>8</v>
      </c>
      <c r="MR763" s="27" t="s">
        <v>7</v>
      </c>
      <c r="MS763" s="27" t="s">
        <v>8</v>
      </c>
    </row>
    <row r="764" spans="1:371" x14ac:dyDescent="0.25">
      <c r="A764" s="7">
        <v>3.0044819423255549E-2</v>
      </c>
      <c r="B764"/>
      <c r="C764"/>
      <c r="D764"/>
      <c r="E764"/>
      <c r="F764" s="27" t="s">
        <v>7</v>
      </c>
      <c r="LY764" s="27" t="s">
        <v>8</v>
      </c>
      <c r="LZ764" s="27" t="s">
        <v>7</v>
      </c>
      <c r="MA764" s="27" t="s">
        <v>8</v>
      </c>
      <c r="MB764" s="27" t="s">
        <v>7</v>
      </c>
      <c r="MG764" s="27" t="s">
        <v>8</v>
      </c>
      <c r="MH764" s="27" t="s">
        <v>7</v>
      </c>
      <c r="MI764" s="27" t="s">
        <v>8</v>
      </c>
      <c r="MJ764" s="27" t="s">
        <v>7</v>
      </c>
      <c r="MO764" s="27" t="s">
        <v>8</v>
      </c>
      <c r="MQ764" s="27" t="s">
        <v>8</v>
      </c>
      <c r="MR764" s="27" t="s">
        <v>7</v>
      </c>
      <c r="MS764" s="27" t="s">
        <v>8</v>
      </c>
    </row>
    <row r="765" spans="1:371" x14ac:dyDescent="0.25">
      <c r="A765" s="7">
        <v>2.9455705316917203E-2</v>
      </c>
      <c r="B765"/>
      <c r="C765"/>
      <c r="D765"/>
      <c r="E765"/>
      <c r="F765" s="27" t="s">
        <v>7</v>
      </c>
      <c r="LY765" s="27" t="s">
        <v>8</v>
      </c>
      <c r="LZ765" s="27" t="s">
        <v>7</v>
      </c>
      <c r="MA765" s="27" t="s">
        <v>8</v>
      </c>
      <c r="MB765" s="27" t="s">
        <v>7</v>
      </c>
      <c r="MG765" s="27" t="s">
        <v>8</v>
      </c>
      <c r="MH765" s="27" t="s">
        <v>7</v>
      </c>
      <c r="MI765" s="27" t="s">
        <v>8</v>
      </c>
      <c r="MJ765" s="27" t="s">
        <v>7</v>
      </c>
      <c r="MK765" s="27" t="s">
        <v>8</v>
      </c>
      <c r="MM765" s="27" t="s">
        <v>8</v>
      </c>
      <c r="MO765" s="27" t="s">
        <v>8</v>
      </c>
      <c r="MP765" s="27" t="s">
        <v>7</v>
      </c>
      <c r="MQ765" s="27" t="s">
        <v>8</v>
      </c>
      <c r="MR765" s="27" t="s">
        <v>7</v>
      </c>
      <c r="MS765" s="27" t="s">
        <v>8</v>
      </c>
    </row>
    <row r="766" spans="1:371" x14ac:dyDescent="0.25">
      <c r="A766" s="7">
        <v>2.8878142467565884E-2</v>
      </c>
      <c r="B766"/>
      <c r="C766"/>
      <c r="D766"/>
      <c r="E766"/>
      <c r="F766" s="27" t="s">
        <v>7</v>
      </c>
      <c r="LY766" s="27" t="s">
        <v>8</v>
      </c>
      <c r="LZ766" s="27" t="s">
        <v>7</v>
      </c>
      <c r="MA766" s="27" t="s">
        <v>8</v>
      </c>
      <c r="MB766" s="27" t="s">
        <v>7</v>
      </c>
      <c r="ME766" s="27" t="s">
        <v>8</v>
      </c>
      <c r="MG766" s="27" t="s">
        <v>8</v>
      </c>
      <c r="MH766" s="27" t="s">
        <v>7</v>
      </c>
      <c r="MI766" s="27" t="s">
        <v>8</v>
      </c>
      <c r="MJ766" s="27" t="s">
        <v>7</v>
      </c>
      <c r="MK766" s="27" t="s">
        <v>8</v>
      </c>
      <c r="ML766" s="27" t="s">
        <v>7</v>
      </c>
      <c r="MM766" s="27" t="s">
        <v>8</v>
      </c>
      <c r="MN766" s="27" t="s">
        <v>7</v>
      </c>
      <c r="MO766" s="27" t="s">
        <v>8</v>
      </c>
      <c r="MP766" s="27" t="s">
        <v>7</v>
      </c>
      <c r="MQ766" s="27" t="s">
        <v>8</v>
      </c>
      <c r="MR766" s="27" t="s">
        <v>7</v>
      </c>
      <c r="MS766" s="27" t="s">
        <v>8</v>
      </c>
    </row>
    <row r="767" spans="1:371" x14ac:dyDescent="0.25">
      <c r="A767" s="7">
        <v>2.8311904379966554E-2</v>
      </c>
      <c r="B767"/>
      <c r="C767"/>
      <c r="D767"/>
      <c r="E767"/>
      <c r="F767" s="27" t="s">
        <v>7</v>
      </c>
      <c r="LY767" s="27" t="s">
        <v>8</v>
      </c>
      <c r="LZ767" s="27" t="s">
        <v>7</v>
      </c>
      <c r="MA767" s="27" t="s">
        <v>8</v>
      </c>
      <c r="MB767" s="27" t="s">
        <v>7</v>
      </c>
      <c r="ME767" s="27" t="s">
        <v>8</v>
      </c>
      <c r="MF767" s="27" t="s">
        <v>7</v>
      </c>
      <c r="MG767" s="27" t="s">
        <v>8</v>
      </c>
      <c r="MH767" s="27" t="s">
        <v>7</v>
      </c>
      <c r="MI767" s="27" t="s">
        <v>8</v>
      </c>
      <c r="MJ767" s="27" t="s">
        <v>7</v>
      </c>
      <c r="MK767" s="27" t="s">
        <v>8</v>
      </c>
      <c r="ML767" s="27" t="s">
        <v>7</v>
      </c>
      <c r="MM767" s="27" t="s">
        <v>8</v>
      </c>
      <c r="MN767" s="27" t="s">
        <v>7</v>
      </c>
      <c r="MO767" s="27" t="s">
        <v>8</v>
      </c>
      <c r="MP767" s="27" t="s">
        <v>7</v>
      </c>
      <c r="MQ767" s="27" t="s">
        <v>8</v>
      </c>
      <c r="MR767" s="27" t="s">
        <v>7</v>
      </c>
      <c r="MS767" s="27" t="s">
        <v>8</v>
      </c>
    </row>
    <row r="768" spans="1:371" x14ac:dyDescent="0.25">
      <c r="A768" s="7">
        <v>2.7756768999967207E-2</v>
      </c>
      <c r="B768"/>
      <c r="C768"/>
      <c r="D768"/>
      <c r="E768"/>
      <c r="F768" s="27" t="s">
        <v>7</v>
      </c>
      <c r="LY768" s="27" t="s">
        <v>8</v>
      </c>
      <c r="LZ768" s="27" t="s">
        <v>7</v>
      </c>
      <c r="MA768" s="27" t="s">
        <v>8</v>
      </c>
      <c r="MB768" s="27" t="s">
        <v>7</v>
      </c>
      <c r="ME768" s="27" t="s">
        <v>8</v>
      </c>
      <c r="MF768" s="27" t="s">
        <v>7</v>
      </c>
      <c r="MG768" s="27" t="s">
        <v>8</v>
      </c>
      <c r="MH768" s="27" t="s">
        <v>7</v>
      </c>
      <c r="MI768" s="27" t="s">
        <v>8</v>
      </c>
      <c r="MJ768" s="27" t="s">
        <v>7</v>
      </c>
      <c r="MK768" s="27" t="s">
        <v>8</v>
      </c>
      <c r="ML768" s="27" t="s">
        <v>7</v>
      </c>
      <c r="MM768" s="27" t="s">
        <v>8</v>
      </c>
      <c r="MN768" s="27" t="s">
        <v>7</v>
      </c>
      <c r="MP768" s="27" t="s">
        <v>7</v>
      </c>
      <c r="MQ768" s="27" t="s">
        <v>8</v>
      </c>
      <c r="MR768" s="27" t="s">
        <v>7</v>
      </c>
      <c r="MS768" s="27" t="s">
        <v>8</v>
      </c>
    </row>
    <row r="769" spans="1:356" x14ac:dyDescent="0.25">
      <c r="A769" s="7">
        <v>2.7212518627418834E-2</v>
      </c>
      <c r="B769"/>
      <c r="C769"/>
      <c r="D769"/>
      <c r="E769"/>
      <c r="F769" s="27" t="s">
        <v>7</v>
      </c>
      <c r="LY769" s="27" t="s">
        <v>8</v>
      </c>
      <c r="LZ769" s="27" t="s">
        <v>7</v>
      </c>
      <c r="MA769" s="27" t="s">
        <v>8</v>
      </c>
      <c r="MB769" s="27" t="s">
        <v>7</v>
      </c>
      <c r="ME769" s="27" t="s">
        <v>8</v>
      </c>
      <c r="MF769" s="27" t="s">
        <v>7</v>
      </c>
      <c r="MG769" s="27" t="s">
        <v>8</v>
      </c>
      <c r="MH769" s="27" t="s">
        <v>7</v>
      </c>
      <c r="MI769" s="27" t="s">
        <v>8</v>
      </c>
      <c r="MJ769" s="27" t="s">
        <v>7</v>
      </c>
      <c r="MK769" s="27" t="s">
        <v>8</v>
      </c>
      <c r="ML769" s="27" t="s">
        <v>7</v>
      </c>
      <c r="MM769" s="27" t="s">
        <v>8</v>
      </c>
      <c r="MP769" s="27" t="s">
        <v>7</v>
      </c>
      <c r="MR769" s="27" t="s">
        <v>7</v>
      </c>
    </row>
    <row r="770" spans="1:356" x14ac:dyDescent="0.25">
      <c r="A770" s="7">
        <v>2.6678939830802779E-2</v>
      </c>
      <c r="B770"/>
      <c r="C770"/>
      <c r="D770"/>
      <c r="E770"/>
      <c r="F770" s="27" t="s">
        <v>7</v>
      </c>
      <c r="LW770" s="27" t="s">
        <v>8</v>
      </c>
      <c r="LY770" s="27" t="s">
        <v>8</v>
      </c>
      <c r="LZ770" s="27" t="s">
        <v>7</v>
      </c>
      <c r="MA770" s="27" t="s">
        <v>8</v>
      </c>
      <c r="MB770" s="27" t="s">
        <v>7</v>
      </c>
      <c r="MC770" s="27" t="s">
        <v>8</v>
      </c>
      <c r="ME770" s="27" t="s">
        <v>8</v>
      </c>
      <c r="MF770" s="27" t="s">
        <v>7</v>
      </c>
      <c r="MG770" s="27" t="s">
        <v>8</v>
      </c>
      <c r="MH770" s="27" t="s">
        <v>7</v>
      </c>
      <c r="MI770" s="27" t="s">
        <v>8</v>
      </c>
      <c r="MJ770" s="27" t="s">
        <v>7</v>
      </c>
      <c r="MK770" s="27" t="s">
        <v>8</v>
      </c>
      <c r="ML770" s="27" t="s">
        <v>7</v>
      </c>
      <c r="MM770" s="27" t="s">
        <v>8</v>
      </c>
    </row>
    <row r="771" spans="1:356" x14ac:dyDescent="0.25">
      <c r="A771" s="7">
        <v>2.615582336353214E-2</v>
      </c>
      <c r="B771"/>
      <c r="C771"/>
      <c r="D771"/>
      <c r="E771"/>
      <c r="F771" s="27" t="s">
        <v>7</v>
      </c>
      <c r="LW771" s="27" t="s">
        <v>8</v>
      </c>
      <c r="LX771" s="27" t="s">
        <v>7</v>
      </c>
      <c r="LY771" s="27" t="s">
        <v>8</v>
      </c>
      <c r="LZ771" s="27" t="s">
        <v>7</v>
      </c>
      <c r="MA771" s="27" t="s">
        <v>8</v>
      </c>
      <c r="MB771" s="27" t="s">
        <v>7</v>
      </c>
      <c r="MC771" s="27" t="s">
        <v>8</v>
      </c>
      <c r="MD771" s="27" t="s">
        <v>7</v>
      </c>
      <c r="ME771" s="27" t="s">
        <v>8</v>
      </c>
      <c r="MF771" s="27" t="s">
        <v>7</v>
      </c>
      <c r="MG771" s="27" t="s">
        <v>8</v>
      </c>
      <c r="MH771" s="27" t="s">
        <v>7</v>
      </c>
      <c r="MI771" s="27" t="s">
        <v>8</v>
      </c>
      <c r="MJ771" s="27" t="s">
        <v>7</v>
      </c>
      <c r="MK771" s="27" t="s">
        <v>8</v>
      </c>
      <c r="ML771" s="27" t="s">
        <v>7</v>
      </c>
      <c r="MM771" s="27" t="s">
        <v>8</v>
      </c>
    </row>
    <row r="772" spans="1:356" x14ac:dyDescent="0.25">
      <c r="A772" s="7">
        <v>2.5642964081894253E-2</v>
      </c>
      <c r="B772"/>
      <c r="C772"/>
      <c r="D772"/>
      <c r="E772"/>
      <c r="F772" s="27" t="s">
        <v>7</v>
      </c>
      <c r="LW772" s="27" t="s">
        <v>8</v>
      </c>
      <c r="LX772" s="27" t="s">
        <v>7</v>
      </c>
      <c r="LY772" s="27" t="s">
        <v>8</v>
      </c>
      <c r="LZ772" s="27" t="s">
        <v>7</v>
      </c>
      <c r="MA772" s="27" t="s">
        <v>8</v>
      </c>
      <c r="MB772" s="27" t="s">
        <v>7</v>
      </c>
      <c r="MC772" s="27" t="s">
        <v>8</v>
      </c>
      <c r="MD772" s="27" t="s">
        <v>7</v>
      </c>
      <c r="ME772" s="27" t="s">
        <v>8</v>
      </c>
      <c r="MF772" s="27" t="s">
        <v>7</v>
      </c>
      <c r="MG772" s="27" t="s">
        <v>8</v>
      </c>
      <c r="MH772" s="27" t="s">
        <v>7</v>
      </c>
      <c r="MI772" s="27" t="s">
        <v>8</v>
      </c>
      <c r="MJ772" s="27" t="s">
        <v>7</v>
      </c>
      <c r="ML772" s="27" t="s">
        <v>7</v>
      </c>
      <c r="MM772" s="27" t="s">
        <v>8</v>
      </c>
    </row>
    <row r="773" spans="1:356" x14ac:dyDescent="0.25">
      <c r="A773" s="7">
        <v>2.5140160864602207E-2</v>
      </c>
      <c r="B773"/>
      <c r="C773"/>
      <c r="D773"/>
      <c r="E773"/>
      <c r="F773" s="27" t="s">
        <v>7</v>
      </c>
      <c r="LW773" s="27" t="s">
        <v>8</v>
      </c>
      <c r="LX773" s="27" t="s">
        <v>7</v>
      </c>
      <c r="LY773" s="27" t="s">
        <v>8</v>
      </c>
      <c r="LZ773" s="27" t="s">
        <v>7</v>
      </c>
      <c r="MA773" s="27" t="s">
        <v>8</v>
      </c>
      <c r="MB773" s="27" t="s">
        <v>7</v>
      </c>
      <c r="MC773" s="27" t="s">
        <v>8</v>
      </c>
      <c r="MD773" s="27" t="s">
        <v>7</v>
      </c>
      <c r="ME773" s="27" t="s">
        <v>8</v>
      </c>
      <c r="MF773" s="27" t="s">
        <v>7</v>
      </c>
      <c r="MH773" s="27" t="s">
        <v>7</v>
      </c>
      <c r="ML773" s="27" t="s">
        <v>7</v>
      </c>
      <c r="MM773" s="27" t="s">
        <v>8</v>
      </c>
    </row>
    <row r="774" spans="1:356" x14ac:dyDescent="0.25">
      <c r="A774" s="7">
        <v>2.4647216533923735E-2</v>
      </c>
      <c r="B774"/>
      <c r="C774"/>
      <c r="D774"/>
      <c r="E774"/>
      <c r="F774" s="27" t="s">
        <v>7</v>
      </c>
      <c r="LW774" s="27" t="s">
        <v>8</v>
      </c>
      <c r="LX774" s="27" t="s">
        <v>7</v>
      </c>
      <c r="LY774" s="27" t="s">
        <v>8</v>
      </c>
      <c r="LZ774" s="27" t="s">
        <v>7</v>
      </c>
      <c r="MB774" s="27" t="s">
        <v>7</v>
      </c>
      <c r="MC774" s="27" t="s">
        <v>8</v>
      </c>
      <c r="MD774" s="27" t="s">
        <v>7</v>
      </c>
      <c r="ME774" s="27" t="s">
        <v>8</v>
      </c>
      <c r="ML774" s="27" t="s">
        <v>7</v>
      </c>
    </row>
    <row r="775" spans="1:356" x14ac:dyDescent="0.25">
      <c r="A775" s="7">
        <v>2.4163937778356601E-2</v>
      </c>
      <c r="B775"/>
      <c r="C775"/>
      <c r="D775"/>
      <c r="E775"/>
      <c r="F775" s="27" t="s">
        <v>7</v>
      </c>
      <c r="LW775" s="27" t="s">
        <v>8</v>
      </c>
      <c r="LX775" s="27" t="s">
        <v>7</v>
      </c>
      <c r="LY775" s="27" t="s">
        <v>8</v>
      </c>
      <c r="MB775" s="27" t="s">
        <v>7</v>
      </c>
      <c r="MC775" s="27" t="s">
        <v>8</v>
      </c>
      <c r="MD775" s="27" t="s">
        <v>7</v>
      </c>
      <c r="ME775" s="27" t="s">
        <v>8</v>
      </c>
    </row>
    <row r="776" spans="1:356" x14ac:dyDescent="0.25">
      <c r="A776" s="7">
        <v>2.3690135076820197E-2</v>
      </c>
      <c r="B776"/>
      <c r="C776"/>
      <c r="D776"/>
      <c r="E776"/>
      <c r="F776" s="27" t="s">
        <v>7</v>
      </c>
      <c r="LW776" s="27" t="s">
        <v>8</v>
      </c>
      <c r="LX776" s="27" t="s">
        <v>7</v>
      </c>
      <c r="LY776" s="27" t="s">
        <v>8</v>
      </c>
      <c r="MB776" s="27" t="s">
        <v>7</v>
      </c>
      <c r="MC776" s="27" t="s">
        <v>8</v>
      </c>
      <c r="MD776" s="27" t="s">
        <v>7</v>
      </c>
      <c r="ME776" s="27" t="s">
        <v>8</v>
      </c>
    </row>
    <row r="777" spans="1:356" x14ac:dyDescent="0.25">
      <c r="A777" s="7">
        <v>2.3225622624333527E-2</v>
      </c>
      <c r="B777"/>
      <c r="C777"/>
      <c r="D777"/>
      <c r="E777"/>
      <c r="F777" s="27" t="s">
        <v>7</v>
      </c>
      <c r="LW777" s="27" t="s">
        <v>8</v>
      </c>
      <c r="LX777" s="27" t="s">
        <v>7</v>
      </c>
      <c r="LY777" s="27" t="s">
        <v>8</v>
      </c>
      <c r="MB777" s="27" t="s">
        <v>7</v>
      </c>
      <c r="MC777" s="27" t="s">
        <v>8</v>
      </c>
      <c r="MD777" s="27" t="s">
        <v>7</v>
      </c>
      <c r="ME777" s="27" t="s">
        <v>8</v>
      </c>
    </row>
    <row r="778" spans="1:356" x14ac:dyDescent="0.25">
      <c r="A778" s="7">
        <v>2.2770218259150519E-2</v>
      </c>
      <c r="B778"/>
      <c r="C778"/>
      <c r="D778"/>
      <c r="E778"/>
      <c r="F778" s="27" t="s">
        <v>7</v>
      </c>
      <c r="IW778" s="27" t="s">
        <v>8</v>
      </c>
      <c r="LW778" s="27" t="s">
        <v>8</v>
      </c>
      <c r="LX778" s="27" t="s">
        <v>7</v>
      </c>
      <c r="LY778" s="27" t="s">
        <v>8</v>
      </c>
      <c r="MB778" s="27" t="s">
        <v>7</v>
      </c>
      <c r="MC778" s="27" t="s">
        <v>8</v>
      </c>
      <c r="MD778" s="27" t="s">
        <v>7</v>
      </c>
    </row>
    <row r="779" spans="1:356" x14ac:dyDescent="0.25">
      <c r="A779" s="7">
        <v>2.2323743391324039E-2</v>
      </c>
      <c r="B779"/>
      <c r="C779"/>
      <c r="D779"/>
      <c r="E779"/>
      <c r="F779" s="27" t="s">
        <v>7</v>
      </c>
      <c r="IW779" s="27" t="s">
        <v>8</v>
      </c>
      <c r="IX779" s="27" t="s">
        <v>7</v>
      </c>
      <c r="LW779" s="27" t="s">
        <v>8</v>
      </c>
      <c r="LX779" s="27" t="s">
        <v>7</v>
      </c>
      <c r="LY779" s="27" t="s">
        <v>8</v>
      </c>
      <c r="MB779" s="27" t="s">
        <v>7</v>
      </c>
      <c r="MC779" s="27" t="s">
        <v>8</v>
      </c>
    </row>
    <row r="780" spans="1:356" x14ac:dyDescent="0.25">
      <c r="A780" s="7">
        <v>2.188602293267063E-2</v>
      </c>
      <c r="B780"/>
      <c r="C780"/>
      <c r="D780"/>
      <c r="E780"/>
      <c r="F780" s="27" t="s">
        <v>7</v>
      </c>
      <c r="IC780" s="27" t="s">
        <v>8</v>
      </c>
      <c r="IW780" s="27" t="s">
        <v>8</v>
      </c>
      <c r="IX780" s="27" t="s">
        <v>7</v>
      </c>
      <c r="LW780" s="27" t="s">
        <v>8</v>
      </c>
      <c r="LX780" s="27" t="s">
        <v>7</v>
      </c>
      <c r="LY780" s="27" t="s">
        <v>8</v>
      </c>
      <c r="MB780" s="27" t="s">
        <v>7</v>
      </c>
      <c r="MC780" s="27" t="s">
        <v>8</v>
      </c>
    </row>
    <row r="781" spans="1:356" x14ac:dyDescent="0.25">
      <c r="A781" s="7">
        <v>2.1456885228108461E-2</v>
      </c>
      <c r="B781"/>
      <c r="C781"/>
      <c r="D781"/>
      <c r="E781"/>
      <c r="F781" s="27" t="s">
        <v>7</v>
      </c>
      <c r="IC781" s="27" t="s">
        <v>8</v>
      </c>
      <c r="ID781" s="27" t="s">
        <v>7</v>
      </c>
      <c r="IW781" s="27" t="s">
        <v>8</v>
      </c>
      <c r="IX781" s="27" t="s">
        <v>7</v>
      </c>
      <c r="LW781" s="27" t="s">
        <v>8</v>
      </c>
      <c r="LX781" s="27" t="s">
        <v>7</v>
      </c>
      <c r="MB781" s="27" t="s">
        <v>7</v>
      </c>
      <c r="MC781" s="27" t="s">
        <v>8</v>
      </c>
    </row>
    <row r="782" spans="1:356" x14ac:dyDescent="0.25">
      <c r="A782" s="7">
        <v>2.1036161988341632E-2</v>
      </c>
      <c r="B782"/>
      <c r="C782"/>
      <c r="D782"/>
      <c r="E782"/>
      <c r="F782" s="27" t="s">
        <v>7</v>
      </c>
      <c r="IC782" s="27" t="s">
        <v>8</v>
      </c>
      <c r="ID782" s="27" t="s">
        <v>7</v>
      </c>
      <c r="IW782" s="27" t="s">
        <v>8</v>
      </c>
      <c r="IX782" s="27" t="s">
        <v>7</v>
      </c>
      <c r="JA782" s="27" t="s">
        <v>8</v>
      </c>
      <c r="LU782" s="27" t="s">
        <v>8</v>
      </c>
      <c r="LW782" s="27" t="s">
        <v>8</v>
      </c>
      <c r="MB782" s="27" t="s">
        <v>7</v>
      </c>
      <c r="MC782" s="27" t="s">
        <v>8</v>
      </c>
    </row>
    <row r="783" spans="1:356" x14ac:dyDescent="0.25">
      <c r="A783" s="7">
        <v>2.0623688223864345E-2</v>
      </c>
      <c r="B783"/>
      <c r="C783"/>
      <c r="D783"/>
      <c r="E783"/>
      <c r="F783" s="27" t="s">
        <v>7</v>
      </c>
      <c r="IC783" s="27" t="s">
        <v>8</v>
      </c>
      <c r="ID783" s="27" t="s">
        <v>7</v>
      </c>
      <c r="IW783" s="27" t="s">
        <v>8</v>
      </c>
      <c r="IX783" s="27" t="s">
        <v>7</v>
      </c>
      <c r="IY783" s="27" t="s">
        <v>8</v>
      </c>
      <c r="JA783" s="27" t="s">
        <v>8</v>
      </c>
      <c r="JB783" s="27" t="s">
        <v>7</v>
      </c>
      <c r="LU783" s="27" t="s">
        <v>8</v>
      </c>
      <c r="LV783" s="27" t="s">
        <v>7</v>
      </c>
      <c r="LW783" s="27" t="s">
        <v>8</v>
      </c>
      <c r="MB783" s="27" t="s">
        <v>7</v>
      </c>
      <c r="MC783" s="27" t="s">
        <v>8</v>
      </c>
    </row>
    <row r="784" spans="1:356" x14ac:dyDescent="0.25">
      <c r="A784" s="7">
        <v>2.021930218025916E-2</v>
      </c>
      <c r="B784"/>
      <c r="C784"/>
      <c r="D784"/>
      <c r="E784"/>
      <c r="F784" s="27" t="s">
        <v>7</v>
      </c>
      <c r="IC784" s="27" t="s">
        <v>8</v>
      </c>
      <c r="ID784" s="27" t="s">
        <v>7</v>
      </c>
      <c r="IU784" s="27" t="s">
        <v>8</v>
      </c>
      <c r="IW784" s="27" t="s">
        <v>8</v>
      </c>
      <c r="IX784" s="27" t="s">
        <v>7</v>
      </c>
      <c r="IY784" s="27" t="s">
        <v>8</v>
      </c>
      <c r="IZ784" s="27" t="s">
        <v>7</v>
      </c>
      <c r="JA784" s="27" t="s">
        <v>8</v>
      </c>
      <c r="JB784" s="27" t="s">
        <v>7</v>
      </c>
      <c r="LU784" s="27" t="s">
        <v>8</v>
      </c>
      <c r="LV784" s="27" t="s">
        <v>7</v>
      </c>
      <c r="LW784" s="27" t="s">
        <v>8</v>
      </c>
      <c r="MB784" s="27" t="s">
        <v>7</v>
      </c>
      <c r="MC784" s="27" t="s">
        <v>8</v>
      </c>
    </row>
    <row r="785" spans="1:341" x14ac:dyDescent="0.25">
      <c r="A785" s="7">
        <v>1.9822845274763884E-2</v>
      </c>
      <c r="B785"/>
      <c r="C785"/>
      <c r="D785"/>
      <c r="E785"/>
      <c r="F785" s="27" t="s">
        <v>7</v>
      </c>
      <c r="IC785" s="27" t="s">
        <v>8</v>
      </c>
      <c r="ID785" s="27" t="s">
        <v>7</v>
      </c>
      <c r="II785" s="27" t="s">
        <v>8</v>
      </c>
      <c r="IU785" s="27" t="s">
        <v>8</v>
      </c>
      <c r="IV785" s="27" t="s">
        <v>7</v>
      </c>
      <c r="IW785" s="27" t="s">
        <v>8</v>
      </c>
      <c r="IX785" s="27" t="s">
        <v>7</v>
      </c>
      <c r="IY785" s="27" t="s">
        <v>8</v>
      </c>
      <c r="IZ785" s="27" t="s">
        <v>7</v>
      </c>
      <c r="JA785" s="27" t="s">
        <v>8</v>
      </c>
      <c r="JB785" s="27" t="s">
        <v>7</v>
      </c>
      <c r="JC785" s="27" t="s">
        <v>8</v>
      </c>
      <c r="LU785" s="27" t="s">
        <v>8</v>
      </c>
      <c r="LV785" s="27" t="s">
        <v>7</v>
      </c>
      <c r="LW785" s="27" t="s">
        <v>8</v>
      </c>
      <c r="MB785" s="27" t="s">
        <v>7</v>
      </c>
      <c r="MC785" s="27" t="s">
        <v>8</v>
      </c>
    </row>
    <row r="786" spans="1:341" x14ac:dyDescent="0.25">
      <c r="A786" s="7">
        <v>1.9434162034082238E-2</v>
      </c>
      <c r="B786"/>
      <c r="C786"/>
      <c r="D786"/>
      <c r="E786"/>
      <c r="F786" s="27" t="s">
        <v>7</v>
      </c>
      <c r="IC786" s="27" t="s">
        <v>8</v>
      </c>
      <c r="ID786" s="27" t="s">
        <v>7</v>
      </c>
      <c r="IG786" s="27" t="s">
        <v>8</v>
      </c>
      <c r="II786" s="27" t="s">
        <v>8</v>
      </c>
      <c r="IJ786" s="27" t="s">
        <v>7</v>
      </c>
      <c r="IU786" s="27" t="s">
        <v>8</v>
      </c>
      <c r="IV786" s="27" t="s">
        <v>7</v>
      </c>
      <c r="IW786" s="27" t="s">
        <v>8</v>
      </c>
      <c r="IX786" s="27" t="s">
        <v>7</v>
      </c>
      <c r="IY786" s="27" t="s">
        <v>8</v>
      </c>
      <c r="IZ786" s="27" t="s">
        <v>7</v>
      </c>
      <c r="JA786" s="27" t="s">
        <v>8</v>
      </c>
      <c r="JB786" s="27" t="s">
        <v>7</v>
      </c>
      <c r="JC786" s="27" t="s">
        <v>8</v>
      </c>
      <c r="JD786" s="27" t="s">
        <v>7</v>
      </c>
      <c r="LU786" s="27" t="s">
        <v>8</v>
      </c>
      <c r="LV786" s="27" t="s">
        <v>7</v>
      </c>
      <c r="LW786" s="27" t="s">
        <v>8</v>
      </c>
      <c r="MB786" s="27" t="s">
        <v>7</v>
      </c>
    </row>
    <row r="787" spans="1:341" x14ac:dyDescent="0.25">
      <c r="A787" s="7">
        <v>1.9053100033413959E-2</v>
      </c>
      <c r="B787"/>
      <c r="C787"/>
      <c r="D787"/>
      <c r="E787"/>
      <c r="F787" s="27" t="s">
        <v>7</v>
      </c>
      <c r="IC787" s="27" t="s">
        <v>8</v>
      </c>
      <c r="ID787" s="27" t="s">
        <v>7</v>
      </c>
      <c r="IG787" s="27" t="s">
        <v>8</v>
      </c>
      <c r="IH787" s="27" t="s">
        <v>7</v>
      </c>
      <c r="II787" s="27" t="s">
        <v>8</v>
      </c>
      <c r="IJ787" s="27" t="s">
        <v>7</v>
      </c>
      <c r="IK787" s="27" t="s">
        <v>8</v>
      </c>
      <c r="IU787" s="27" t="s">
        <v>8</v>
      </c>
      <c r="IV787" s="27" t="s">
        <v>7</v>
      </c>
      <c r="IW787" s="27" t="s">
        <v>8</v>
      </c>
      <c r="IX787" s="27" t="s">
        <v>7</v>
      </c>
      <c r="IY787" s="27" t="s">
        <v>8</v>
      </c>
      <c r="IZ787" s="27" t="s">
        <v>7</v>
      </c>
      <c r="JB787" s="27" t="s">
        <v>7</v>
      </c>
      <c r="JC787" s="27" t="s">
        <v>8</v>
      </c>
      <c r="JD787" s="27" t="s">
        <v>7</v>
      </c>
      <c r="LU787" s="27" t="s">
        <v>8</v>
      </c>
      <c r="LV787" s="27" t="s">
        <v>7</v>
      </c>
      <c r="LW787" s="27" t="s">
        <v>8</v>
      </c>
    </row>
    <row r="788" spans="1:341" x14ac:dyDescent="0.25">
      <c r="A788" s="7">
        <v>1.867950983668035E-2</v>
      </c>
      <c r="B788"/>
      <c r="C788"/>
      <c r="D788"/>
      <c r="E788"/>
      <c r="F788" s="27" t="s">
        <v>7</v>
      </c>
      <c r="IC788" s="27" t="s">
        <v>8</v>
      </c>
      <c r="ID788" s="27" t="s">
        <v>7</v>
      </c>
      <c r="IE788" s="27" t="s">
        <v>8</v>
      </c>
      <c r="IG788" s="27" t="s">
        <v>8</v>
      </c>
      <c r="IH788" s="27" t="s">
        <v>7</v>
      </c>
      <c r="II788" s="27" t="s">
        <v>8</v>
      </c>
      <c r="IJ788" s="27" t="s">
        <v>7</v>
      </c>
      <c r="IK788" s="27" t="s">
        <v>8</v>
      </c>
      <c r="IL788" s="27" t="s">
        <v>7</v>
      </c>
      <c r="IM788" s="27" t="s">
        <v>8</v>
      </c>
      <c r="IU788" s="27" t="s">
        <v>8</v>
      </c>
      <c r="IV788" s="27" t="s">
        <v>7</v>
      </c>
      <c r="IW788" s="27" t="s">
        <v>8</v>
      </c>
      <c r="IX788" s="27" t="s">
        <v>7</v>
      </c>
      <c r="JB788" s="27" t="s">
        <v>7</v>
      </c>
      <c r="JC788" s="27" t="s">
        <v>8</v>
      </c>
      <c r="JD788" s="27" t="s">
        <v>7</v>
      </c>
      <c r="JE788" s="27" t="s">
        <v>8</v>
      </c>
      <c r="LA788" s="27" t="s">
        <v>8</v>
      </c>
      <c r="LU788" s="27" t="s">
        <v>8</v>
      </c>
      <c r="LV788" s="27" t="s">
        <v>7</v>
      </c>
      <c r="LW788" s="27" t="s">
        <v>8</v>
      </c>
    </row>
    <row r="789" spans="1:341" x14ac:dyDescent="0.25">
      <c r="A789" s="7">
        <v>1.8313244937921913E-2</v>
      </c>
      <c r="B789"/>
      <c r="C789"/>
      <c r="D789"/>
      <c r="E789"/>
      <c r="F789" s="27" t="s">
        <v>7</v>
      </c>
      <c r="IC789" s="27" t="s">
        <v>8</v>
      </c>
      <c r="ID789" s="27" t="s">
        <v>7</v>
      </c>
      <c r="IE789" s="27" t="s">
        <v>8</v>
      </c>
      <c r="IF789" s="27" t="s">
        <v>7</v>
      </c>
      <c r="IG789" s="27" t="s">
        <v>8</v>
      </c>
      <c r="IH789" s="27" t="s">
        <v>7</v>
      </c>
      <c r="II789" s="27" t="s">
        <v>8</v>
      </c>
      <c r="IJ789" s="27" t="s">
        <v>7</v>
      </c>
      <c r="IK789" s="27" t="s">
        <v>8</v>
      </c>
      <c r="IL789" s="27" t="s">
        <v>7</v>
      </c>
      <c r="IM789" s="27" t="s">
        <v>8</v>
      </c>
      <c r="IN789" s="27" t="s">
        <v>7</v>
      </c>
      <c r="IO789" s="27" t="s">
        <v>8</v>
      </c>
      <c r="IS789" s="27" t="s">
        <v>8</v>
      </c>
      <c r="IU789" s="27" t="s">
        <v>8</v>
      </c>
      <c r="IV789" s="27" t="s">
        <v>7</v>
      </c>
      <c r="IW789" s="27" t="s">
        <v>8</v>
      </c>
      <c r="JB789" s="27" t="s">
        <v>7</v>
      </c>
      <c r="JC789" s="27" t="s">
        <v>8</v>
      </c>
      <c r="JD789" s="27" t="s">
        <v>7</v>
      </c>
      <c r="JE789" s="27" t="s">
        <v>8</v>
      </c>
      <c r="JF789" s="27" t="s">
        <v>7</v>
      </c>
      <c r="JI789" s="27" t="s">
        <v>8</v>
      </c>
      <c r="LA789" s="27" t="s">
        <v>8</v>
      </c>
      <c r="LB789" s="27" t="s">
        <v>7</v>
      </c>
      <c r="LK789" s="27" t="s">
        <v>8</v>
      </c>
      <c r="LU789" s="27" t="s">
        <v>8</v>
      </c>
      <c r="LV789" s="27" t="s">
        <v>7</v>
      </c>
    </row>
    <row r="790" spans="1:341" x14ac:dyDescent="0.25">
      <c r="A790" s="7">
        <v>1.7954161703845013E-2</v>
      </c>
      <c r="B790"/>
      <c r="C790"/>
      <c r="D790"/>
      <c r="E790"/>
      <c r="F790" s="27" t="s">
        <v>7</v>
      </c>
      <c r="IC790" s="27" t="s">
        <v>8</v>
      </c>
      <c r="ID790" s="27" t="s">
        <v>7</v>
      </c>
      <c r="IE790" s="27" t="s">
        <v>8</v>
      </c>
      <c r="IF790" s="27" t="s">
        <v>7</v>
      </c>
      <c r="IG790" s="27" t="s">
        <v>8</v>
      </c>
      <c r="IH790" s="27" t="s">
        <v>7</v>
      </c>
      <c r="II790" s="27" t="s">
        <v>8</v>
      </c>
      <c r="IJ790" s="27" t="s">
        <v>7</v>
      </c>
      <c r="IK790" s="27" t="s">
        <v>8</v>
      </c>
      <c r="IL790" s="27" t="s">
        <v>7</v>
      </c>
      <c r="IM790" s="27" t="s">
        <v>8</v>
      </c>
      <c r="IN790" s="27" t="s">
        <v>7</v>
      </c>
      <c r="IO790" s="27" t="s">
        <v>8</v>
      </c>
      <c r="IP790" s="27" t="s">
        <v>7</v>
      </c>
      <c r="IS790" s="27" t="s">
        <v>8</v>
      </c>
      <c r="IT790" s="27" t="s">
        <v>7</v>
      </c>
      <c r="IU790" s="27" t="s">
        <v>8</v>
      </c>
      <c r="IV790" s="27" t="s">
        <v>7</v>
      </c>
      <c r="JB790" s="27" t="s">
        <v>7</v>
      </c>
      <c r="JC790" s="27" t="s">
        <v>8</v>
      </c>
      <c r="JD790" s="27" t="s">
        <v>7</v>
      </c>
      <c r="JE790" s="27" t="s">
        <v>8</v>
      </c>
      <c r="JF790" s="27" t="s">
        <v>7</v>
      </c>
      <c r="JI790" s="27" t="s">
        <v>8</v>
      </c>
      <c r="JJ790" s="27" t="s">
        <v>7</v>
      </c>
      <c r="LA790" s="27" t="s">
        <v>8</v>
      </c>
      <c r="LB790" s="27" t="s">
        <v>7</v>
      </c>
      <c r="LG790" s="27" t="s">
        <v>8</v>
      </c>
      <c r="LK790" s="27" t="s">
        <v>8</v>
      </c>
      <c r="LL790" s="27" t="s">
        <v>7</v>
      </c>
      <c r="LO790" s="27" t="s">
        <v>8</v>
      </c>
      <c r="LQ790" s="27" t="s">
        <v>8</v>
      </c>
      <c r="LU790" s="27" t="s">
        <v>8</v>
      </c>
    </row>
    <row r="791" spans="1:341" x14ac:dyDescent="0.25">
      <c r="A791" s="7">
        <v>1.7602119317495109E-2</v>
      </c>
      <c r="B791"/>
      <c r="C791"/>
      <c r="D791"/>
      <c r="E791"/>
      <c r="F791" s="27" t="s">
        <v>7</v>
      </c>
      <c r="IC791" s="27" t="s">
        <v>8</v>
      </c>
      <c r="ID791" s="27" t="s">
        <v>7</v>
      </c>
      <c r="IE791" s="27" t="s">
        <v>8</v>
      </c>
      <c r="IF791" s="27" t="s">
        <v>7</v>
      </c>
      <c r="IH791" s="27" t="s">
        <v>7</v>
      </c>
      <c r="IJ791" s="27" t="s">
        <v>7</v>
      </c>
      <c r="IK791" s="27" t="s">
        <v>8</v>
      </c>
      <c r="IL791" s="27" t="s">
        <v>7</v>
      </c>
      <c r="IM791" s="27" t="s">
        <v>8</v>
      </c>
      <c r="IN791" s="27" t="s">
        <v>7</v>
      </c>
      <c r="IO791" s="27" t="s">
        <v>8</v>
      </c>
      <c r="IP791" s="27" t="s">
        <v>7</v>
      </c>
      <c r="IS791" s="27" t="s">
        <v>8</v>
      </c>
      <c r="IT791" s="27" t="s">
        <v>7</v>
      </c>
      <c r="IU791" s="27" t="s">
        <v>8</v>
      </c>
      <c r="JB791" s="27" t="s">
        <v>7</v>
      </c>
      <c r="JC791" s="27" t="s">
        <v>8</v>
      </c>
      <c r="JD791" s="27" t="s">
        <v>7</v>
      </c>
      <c r="JE791" s="27" t="s">
        <v>8</v>
      </c>
      <c r="JF791" s="27" t="s">
        <v>7</v>
      </c>
      <c r="JI791" s="27" t="s">
        <v>8</v>
      </c>
      <c r="JJ791" s="27" t="s">
        <v>7</v>
      </c>
      <c r="LA791" s="27" t="s">
        <v>8</v>
      </c>
      <c r="LB791" s="27" t="s">
        <v>7</v>
      </c>
      <c r="LG791" s="27" t="s">
        <v>8</v>
      </c>
      <c r="LH791" s="27" t="s">
        <v>7</v>
      </c>
      <c r="LI791" s="27" t="s">
        <v>8</v>
      </c>
      <c r="LK791" s="27" t="s">
        <v>8</v>
      </c>
      <c r="LL791" s="27" t="s">
        <v>7</v>
      </c>
      <c r="LO791" s="27" t="s">
        <v>8</v>
      </c>
      <c r="LP791" s="27" t="s">
        <v>7</v>
      </c>
      <c r="LQ791" s="27" t="s">
        <v>8</v>
      </c>
      <c r="LR791" s="27" t="s">
        <v>7</v>
      </c>
      <c r="LU791" s="27" t="s">
        <v>8</v>
      </c>
    </row>
    <row r="792" spans="1:341" x14ac:dyDescent="0.25">
      <c r="A792" s="7">
        <v>1.7256979723034419E-2</v>
      </c>
      <c r="B792"/>
      <c r="C792"/>
      <c r="D792"/>
      <c r="E792"/>
      <c r="F792" s="27" t="s">
        <v>7</v>
      </c>
      <c r="IC792" s="27" t="s">
        <v>8</v>
      </c>
      <c r="ID792" s="27" t="s">
        <v>7</v>
      </c>
      <c r="IE792" s="27" t="s">
        <v>8</v>
      </c>
      <c r="IJ792" s="27" t="s">
        <v>7</v>
      </c>
      <c r="IL792" s="27" t="s">
        <v>7</v>
      </c>
      <c r="IM792" s="27" t="s">
        <v>8</v>
      </c>
      <c r="IN792" s="27" t="s">
        <v>7</v>
      </c>
      <c r="IO792" s="27" t="s">
        <v>8</v>
      </c>
      <c r="IP792" s="27" t="s">
        <v>7</v>
      </c>
      <c r="IS792" s="27" t="s">
        <v>8</v>
      </c>
      <c r="IT792" s="27" t="s">
        <v>7</v>
      </c>
      <c r="IU792" s="27" t="s">
        <v>8</v>
      </c>
      <c r="JB792" s="27" t="s">
        <v>7</v>
      </c>
      <c r="JD792" s="27" t="s">
        <v>7</v>
      </c>
      <c r="JF792" s="27" t="s">
        <v>7</v>
      </c>
      <c r="JG792" s="27" t="s">
        <v>8</v>
      </c>
      <c r="JI792" s="27" t="s">
        <v>8</v>
      </c>
      <c r="JJ792" s="27" t="s">
        <v>7</v>
      </c>
      <c r="LA792" s="27" t="s">
        <v>8</v>
      </c>
      <c r="LB792" s="27" t="s">
        <v>7</v>
      </c>
      <c r="LG792" s="27" t="s">
        <v>8</v>
      </c>
      <c r="LH792" s="27" t="s">
        <v>7</v>
      </c>
      <c r="LI792" s="27" t="s">
        <v>8</v>
      </c>
      <c r="LJ792" s="27" t="s">
        <v>7</v>
      </c>
      <c r="LK792" s="27" t="s">
        <v>8</v>
      </c>
      <c r="LL792" s="27" t="s">
        <v>7</v>
      </c>
      <c r="LO792" s="27" t="s">
        <v>8</v>
      </c>
      <c r="LP792" s="27" t="s">
        <v>7</v>
      </c>
      <c r="LQ792" s="27" t="s">
        <v>8</v>
      </c>
      <c r="LR792" s="27" t="s">
        <v>7</v>
      </c>
      <c r="LU792" s="27" t="s">
        <v>8</v>
      </c>
    </row>
    <row r="793" spans="1:341" x14ac:dyDescent="0.25">
      <c r="A793" s="7">
        <v>1.6918607571602372E-2</v>
      </c>
      <c r="B793"/>
      <c r="C793"/>
      <c r="D793"/>
      <c r="E793"/>
      <c r="F793" s="27" t="s">
        <v>7</v>
      </c>
      <c r="IA793" s="27" t="s">
        <v>8</v>
      </c>
      <c r="IC793" s="27" t="s">
        <v>8</v>
      </c>
      <c r="ID793" s="27" t="s">
        <v>7</v>
      </c>
      <c r="IE793" s="27" t="s">
        <v>8</v>
      </c>
      <c r="IL793" s="27" t="s">
        <v>7</v>
      </c>
      <c r="IM793" s="27" t="s">
        <v>8</v>
      </c>
      <c r="IN793" s="27" t="s">
        <v>7</v>
      </c>
      <c r="IP793" s="27" t="s">
        <v>7</v>
      </c>
      <c r="IS793" s="27" t="s">
        <v>8</v>
      </c>
      <c r="IT793" s="27" t="s">
        <v>7</v>
      </c>
      <c r="IU793" s="27" t="s">
        <v>8</v>
      </c>
      <c r="JF793" s="27" t="s">
        <v>7</v>
      </c>
      <c r="JG793" s="27" t="s">
        <v>8</v>
      </c>
      <c r="JH793" s="27" t="s">
        <v>7</v>
      </c>
      <c r="JI793" s="27" t="s">
        <v>8</v>
      </c>
      <c r="JJ793" s="27" t="s">
        <v>7</v>
      </c>
      <c r="LA793" s="27" t="s">
        <v>8</v>
      </c>
      <c r="LB793" s="27" t="s">
        <v>7</v>
      </c>
      <c r="LG793" s="27" t="s">
        <v>8</v>
      </c>
      <c r="LH793" s="27" t="s">
        <v>7</v>
      </c>
      <c r="LI793" s="27" t="s">
        <v>8</v>
      </c>
      <c r="LJ793" s="27" t="s">
        <v>7</v>
      </c>
      <c r="LK793" s="27" t="s">
        <v>8</v>
      </c>
      <c r="LL793" s="27" t="s">
        <v>7</v>
      </c>
      <c r="LO793" s="27" t="s">
        <v>8</v>
      </c>
      <c r="LP793" s="27" t="s">
        <v>7</v>
      </c>
      <c r="LR793" s="27" t="s">
        <v>7</v>
      </c>
      <c r="LU793" s="27" t="s">
        <v>8</v>
      </c>
    </row>
    <row r="794" spans="1:341" x14ac:dyDescent="0.25">
      <c r="A794" s="7">
        <v>1.6586870168237622E-2</v>
      </c>
      <c r="B794"/>
      <c r="C794"/>
      <c r="D794"/>
      <c r="E794"/>
      <c r="F794" s="27" t="s">
        <v>7</v>
      </c>
      <c r="IA794" s="27" t="s">
        <v>8</v>
      </c>
      <c r="IB794" s="27" t="s">
        <v>7</v>
      </c>
      <c r="IC794" s="27" t="s">
        <v>8</v>
      </c>
      <c r="ID794" s="27" t="s">
        <v>7</v>
      </c>
      <c r="IE794" s="27" t="s">
        <v>8</v>
      </c>
      <c r="IL794" s="27" t="s">
        <v>7</v>
      </c>
      <c r="IM794" s="27" t="s">
        <v>8</v>
      </c>
      <c r="IP794" s="27" t="s">
        <v>7</v>
      </c>
      <c r="IQ794" s="27" t="s">
        <v>8</v>
      </c>
      <c r="IS794" s="27" t="s">
        <v>8</v>
      </c>
      <c r="IT794" s="27" t="s">
        <v>7</v>
      </c>
      <c r="IU794" s="27" t="s">
        <v>8</v>
      </c>
      <c r="JF794" s="27" t="s">
        <v>7</v>
      </c>
      <c r="JG794" s="27" t="s">
        <v>8</v>
      </c>
      <c r="JH794" s="27" t="s">
        <v>7</v>
      </c>
      <c r="JI794" s="27" t="s">
        <v>8</v>
      </c>
      <c r="JJ794" s="27" t="s">
        <v>7</v>
      </c>
      <c r="LA794" s="27" t="s">
        <v>8</v>
      </c>
      <c r="LB794" s="27" t="s">
        <v>7</v>
      </c>
      <c r="LG794" s="27" t="s">
        <v>8</v>
      </c>
      <c r="LH794" s="27" t="s">
        <v>7</v>
      </c>
      <c r="LI794" s="27" t="s">
        <v>8</v>
      </c>
      <c r="LJ794" s="27" t="s">
        <v>7</v>
      </c>
      <c r="LL794" s="27" t="s">
        <v>7</v>
      </c>
      <c r="LM794" s="27" t="s">
        <v>8</v>
      </c>
      <c r="LO794" s="27" t="s">
        <v>8</v>
      </c>
      <c r="LR794" s="27" t="s">
        <v>7</v>
      </c>
      <c r="LU794" s="27" t="s">
        <v>8</v>
      </c>
    </row>
    <row r="795" spans="1:341" x14ac:dyDescent="0.25">
      <c r="A795" s="7">
        <v>1.6261637419840807E-2</v>
      </c>
      <c r="B795"/>
      <c r="C795"/>
      <c r="D795"/>
      <c r="E795"/>
      <c r="F795" s="27" t="s">
        <v>7</v>
      </c>
      <c r="IA795" s="27" t="s">
        <v>8</v>
      </c>
      <c r="IB795" s="27" t="s">
        <v>7</v>
      </c>
      <c r="IC795" s="27" t="s">
        <v>8</v>
      </c>
      <c r="ID795" s="27" t="s">
        <v>7</v>
      </c>
      <c r="IE795" s="27" t="s">
        <v>8</v>
      </c>
      <c r="IL795" s="27" t="s">
        <v>7</v>
      </c>
      <c r="IM795" s="27" t="s">
        <v>8</v>
      </c>
      <c r="IP795" s="27" t="s">
        <v>7</v>
      </c>
      <c r="IQ795" s="27" t="s">
        <v>8</v>
      </c>
      <c r="IR795" s="27" t="s">
        <v>7</v>
      </c>
      <c r="IS795" s="27" t="s">
        <v>8</v>
      </c>
      <c r="IT795" s="27" t="s">
        <v>7</v>
      </c>
      <c r="IU795" s="27" t="s">
        <v>8</v>
      </c>
      <c r="JF795" s="27" t="s">
        <v>7</v>
      </c>
      <c r="JH795" s="27" t="s">
        <v>7</v>
      </c>
      <c r="JI795" s="27" t="s">
        <v>8</v>
      </c>
      <c r="JJ795" s="27" t="s">
        <v>7</v>
      </c>
      <c r="LA795" s="27" t="s">
        <v>8</v>
      </c>
      <c r="LB795" s="27" t="s">
        <v>7</v>
      </c>
      <c r="LE795" s="27" t="s">
        <v>8</v>
      </c>
      <c r="LG795" s="27" t="s">
        <v>8</v>
      </c>
      <c r="LH795" s="27" t="s">
        <v>7</v>
      </c>
      <c r="LI795" s="27" t="s">
        <v>8</v>
      </c>
      <c r="LL795" s="27" t="s">
        <v>7</v>
      </c>
      <c r="LM795" s="27" t="s">
        <v>8</v>
      </c>
      <c r="LN795" s="27" t="s">
        <v>7</v>
      </c>
      <c r="LO795" s="27" t="s">
        <v>8</v>
      </c>
      <c r="LR795" s="27" t="s">
        <v>7</v>
      </c>
      <c r="LU795" s="27" t="s">
        <v>8</v>
      </c>
    </row>
    <row r="796" spans="1:341" x14ac:dyDescent="0.25">
      <c r="A796" s="7">
        <v>1.5942781784157655E-2</v>
      </c>
      <c r="B796"/>
      <c r="C796"/>
      <c r="D796"/>
      <c r="E796"/>
      <c r="F796" s="27" t="s">
        <v>7</v>
      </c>
      <c r="IA796" s="27" t="s">
        <v>8</v>
      </c>
      <c r="IB796" s="27" t="s">
        <v>7</v>
      </c>
      <c r="IC796" s="27" t="s">
        <v>8</v>
      </c>
      <c r="ID796" s="27" t="s">
        <v>7</v>
      </c>
      <c r="IE796" s="27" t="s">
        <v>8</v>
      </c>
      <c r="IL796" s="27" t="s">
        <v>7</v>
      </c>
      <c r="IP796" s="27" t="s">
        <v>7</v>
      </c>
      <c r="IQ796" s="27" t="s">
        <v>8</v>
      </c>
      <c r="IR796" s="27" t="s">
        <v>7</v>
      </c>
      <c r="IS796" s="27" t="s">
        <v>8</v>
      </c>
      <c r="IT796" s="27" t="s">
        <v>7</v>
      </c>
      <c r="IU796" s="27" t="s">
        <v>8</v>
      </c>
      <c r="JH796" s="27" t="s">
        <v>7</v>
      </c>
      <c r="JI796" s="27" t="s">
        <v>8</v>
      </c>
      <c r="JJ796" s="27" t="s">
        <v>7</v>
      </c>
      <c r="LA796" s="27" t="s">
        <v>8</v>
      </c>
      <c r="LB796" s="27" t="s">
        <v>7</v>
      </c>
      <c r="LC796" s="27" t="s">
        <v>8</v>
      </c>
      <c r="LE796" s="27" t="s">
        <v>8</v>
      </c>
      <c r="LF796" s="27" t="s">
        <v>7</v>
      </c>
      <c r="LG796" s="27" t="s">
        <v>8</v>
      </c>
      <c r="LH796" s="27" t="s">
        <v>7</v>
      </c>
      <c r="LI796" s="27" t="s">
        <v>8</v>
      </c>
      <c r="LL796" s="27" t="s">
        <v>7</v>
      </c>
      <c r="LM796" s="27" t="s">
        <v>8</v>
      </c>
      <c r="LN796" s="27" t="s">
        <v>7</v>
      </c>
      <c r="LO796" s="27" t="s">
        <v>8</v>
      </c>
      <c r="LR796" s="27" t="s">
        <v>7</v>
      </c>
      <c r="LU796" s="27" t="s">
        <v>8</v>
      </c>
    </row>
    <row r="797" spans="1:341" x14ac:dyDescent="0.25">
      <c r="A797" s="7">
        <v>1.5630178219762408E-2</v>
      </c>
      <c r="B797"/>
      <c r="C797"/>
      <c r="D797"/>
      <c r="E797"/>
      <c r="F797" s="27" t="s">
        <v>7</v>
      </c>
      <c r="IA797" s="27" t="s">
        <v>8</v>
      </c>
      <c r="IB797" s="27" t="s">
        <v>7</v>
      </c>
      <c r="IC797" s="27" t="s">
        <v>8</v>
      </c>
      <c r="ID797" s="27" t="s">
        <v>7</v>
      </c>
      <c r="IE797" s="27" t="s">
        <v>8</v>
      </c>
      <c r="IP797" s="27" t="s">
        <v>7</v>
      </c>
      <c r="IQ797" s="27" t="s">
        <v>8</v>
      </c>
      <c r="IR797" s="27" t="s">
        <v>7</v>
      </c>
      <c r="IS797" s="27" t="s">
        <v>8</v>
      </c>
      <c r="IT797" s="27" t="s">
        <v>7</v>
      </c>
      <c r="IU797" s="27" t="s">
        <v>8</v>
      </c>
      <c r="JH797" s="27" t="s">
        <v>7</v>
      </c>
      <c r="JI797" s="27" t="s">
        <v>8</v>
      </c>
      <c r="JJ797" s="27" t="s">
        <v>7</v>
      </c>
      <c r="JW797" s="27" t="s">
        <v>8</v>
      </c>
      <c r="LA797" s="27" t="s">
        <v>8</v>
      </c>
      <c r="LB797" s="27" t="s">
        <v>7</v>
      </c>
      <c r="LC797" s="27" t="s">
        <v>8</v>
      </c>
      <c r="LD797" s="27" t="s">
        <v>7</v>
      </c>
      <c r="LE797" s="27" t="s">
        <v>8</v>
      </c>
      <c r="LF797" s="27" t="s">
        <v>7</v>
      </c>
      <c r="LG797" s="27" t="s">
        <v>8</v>
      </c>
      <c r="LH797" s="27" t="s">
        <v>7</v>
      </c>
      <c r="LL797" s="27" t="s">
        <v>7</v>
      </c>
      <c r="LM797" s="27" t="s">
        <v>8</v>
      </c>
      <c r="LN797" s="27" t="s">
        <v>7</v>
      </c>
      <c r="LO797" s="27" t="s">
        <v>8</v>
      </c>
      <c r="LR797" s="27" t="s">
        <v>7</v>
      </c>
      <c r="LU797" s="27" t="s">
        <v>8</v>
      </c>
    </row>
    <row r="798" spans="1:341" x14ac:dyDescent="0.25">
      <c r="A798" s="7">
        <v>1.5323704137021967E-2</v>
      </c>
      <c r="B798"/>
      <c r="C798"/>
      <c r="D798"/>
      <c r="E798"/>
      <c r="F798" s="27" t="s">
        <v>7</v>
      </c>
      <c r="IA798" s="27" t="s">
        <v>8</v>
      </c>
      <c r="IB798" s="27" t="s">
        <v>7</v>
      </c>
      <c r="IC798" s="27" t="s">
        <v>8</v>
      </c>
      <c r="ID798" s="27" t="s">
        <v>7</v>
      </c>
      <c r="IE798" s="27" t="s">
        <v>8</v>
      </c>
      <c r="IP798" s="27" t="s">
        <v>7</v>
      </c>
      <c r="IQ798" s="27" t="s">
        <v>8</v>
      </c>
      <c r="IR798" s="27" t="s">
        <v>7</v>
      </c>
      <c r="IT798" s="27" t="s">
        <v>7</v>
      </c>
      <c r="IU798" s="27" t="s">
        <v>8</v>
      </c>
      <c r="JH798" s="27" t="s">
        <v>7</v>
      </c>
      <c r="JJ798" s="27" t="s">
        <v>7</v>
      </c>
      <c r="JU798" s="27" t="s">
        <v>8</v>
      </c>
      <c r="JW798" s="27" t="s">
        <v>8</v>
      </c>
      <c r="JX798" s="27" t="s">
        <v>7</v>
      </c>
      <c r="LA798" s="27" t="s">
        <v>8</v>
      </c>
      <c r="LB798" s="27" t="s">
        <v>7</v>
      </c>
      <c r="LC798" s="27" t="s">
        <v>8</v>
      </c>
      <c r="LD798" s="27" t="s">
        <v>7</v>
      </c>
      <c r="LE798" s="27" t="s">
        <v>8</v>
      </c>
      <c r="LF798" s="27" t="s">
        <v>7</v>
      </c>
      <c r="LG798" s="27" t="s">
        <v>8</v>
      </c>
      <c r="LL798" s="27" t="s">
        <v>7</v>
      </c>
      <c r="LN798" s="27" t="s">
        <v>7</v>
      </c>
      <c r="LO798" s="27" t="s">
        <v>8</v>
      </c>
      <c r="LR798" s="27" t="s">
        <v>7</v>
      </c>
      <c r="LU798" s="27" t="s">
        <v>8</v>
      </c>
    </row>
    <row r="799" spans="1:341" x14ac:dyDescent="0.25">
      <c r="A799" s="7">
        <v>1.5023239350021535E-2</v>
      </c>
      <c r="B799"/>
      <c r="C799"/>
      <c r="D799"/>
      <c r="E799"/>
      <c r="F799" s="27" t="s">
        <v>7</v>
      </c>
      <c r="IA799" s="27" t="s">
        <v>8</v>
      </c>
      <c r="IB799" s="27" t="s">
        <v>7</v>
      </c>
      <c r="IC799" s="27" t="s">
        <v>8</v>
      </c>
      <c r="ID799" s="27" t="s">
        <v>7</v>
      </c>
      <c r="IE799" s="27" t="s">
        <v>8</v>
      </c>
      <c r="IP799" s="27" t="s">
        <v>7</v>
      </c>
      <c r="IQ799" s="27" t="s">
        <v>8</v>
      </c>
      <c r="IT799" s="27" t="s">
        <v>7</v>
      </c>
      <c r="IU799" s="27" t="s">
        <v>8</v>
      </c>
      <c r="JJ799" s="27" t="s">
        <v>7</v>
      </c>
      <c r="JU799" s="27" t="s">
        <v>8</v>
      </c>
      <c r="JV799" s="27" t="s">
        <v>7</v>
      </c>
      <c r="JW799" s="27" t="s">
        <v>8</v>
      </c>
      <c r="JX799" s="27" t="s">
        <v>7</v>
      </c>
      <c r="LA799" s="27" t="s">
        <v>8</v>
      </c>
      <c r="LB799" s="27" t="s">
        <v>7</v>
      </c>
      <c r="LC799" s="27" t="s">
        <v>8</v>
      </c>
      <c r="LD799" s="27" t="s">
        <v>7</v>
      </c>
      <c r="LE799" s="27" t="s">
        <v>8</v>
      </c>
      <c r="LF799" s="27" t="s">
        <v>7</v>
      </c>
      <c r="LG799" s="27" t="s">
        <v>8</v>
      </c>
      <c r="LN799" s="27" t="s">
        <v>7</v>
      </c>
      <c r="LR799" s="27" t="s">
        <v>7</v>
      </c>
      <c r="LS799" s="27" t="s">
        <v>8</v>
      </c>
      <c r="LU799" s="27" t="s">
        <v>8</v>
      </c>
    </row>
    <row r="800" spans="1:341" x14ac:dyDescent="0.25">
      <c r="A800" s="7">
        <v>1.4728666029432878E-2</v>
      </c>
      <c r="B800"/>
      <c r="C800"/>
      <c r="D800"/>
      <c r="E800"/>
      <c r="F800" s="27" t="s">
        <v>7</v>
      </c>
      <c r="IA800" s="27" t="s">
        <v>8</v>
      </c>
      <c r="IB800" s="27" t="s">
        <v>7</v>
      </c>
      <c r="IC800" s="27" t="s">
        <v>8</v>
      </c>
      <c r="ID800" s="27" t="s">
        <v>7</v>
      </c>
      <c r="IE800" s="27" t="s">
        <v>8</v>
      </c>
      <c r="IP800" s="27" t="s">
        <v>7</v>
      </c>
      <c r="IQ800" s="27" t="s">
        <v>8</v>
      </c>
      <c r="IT800" s="27" t="s">
        <v>7</v>
      </c>
      <c r="JJ800" s="27" t="s">
        <v>7</v>
      </c>
      <c r="JU800" s="27" t="s">
        <v>8</v>
      </c>
      <c r="JV800" s="27" t="s">
        <v>7</v>
      </c>
      <c r="JW800" s="27" t="s">
        <v>8</v>
      </c>
      <c r="JX800" s="27" t="s">
        <v>7</v>
      </c>
      <c r="LA800" s="27" t="s">
        <v>8</v>
      </c>
      <c r="LB800" s="27" t="s">
        <v>7</v>
      </c>
      <c r="LC800" s="27" t="s">
        <v>8</v>
      </c>
      <c r="LD800" s="27" t="s">
        <v>7</v>
      </c>
      <c r="LF800" s="27" t="s">
        <v>7</v>
      </c>
      <c r="LG800" s="27" t="s">
        <v>8</v>
      </c>
      <c r="LR800" s="27" t="s">
        <v>7</v>
      </c>
      <c r="LS800" s="27" t="s">
        <v>8</v>
      </c>
      <c r="LT800" s="27" t="s">
        <v>7</v>
      </c>
      <c r="LU800" s="27" t="s">
        <v>8</v>
      </c>
    </row>
    <row r="801" spans="1:333" x14ac:dyDescent="0.25">
      <c r="A801" s="7">
        <v>1.4439868656306743E-2</v>
      </c>
      <c r="B801"/>
      <c r="C801"/>
      <c r="D801"/>
      <c r="E801"/>
      <c r="F801" s="27" t="s">
        <v>7</v>
      </c>
      <c r="IA801" s="27" t="s">
        <v>8</v>
      </c>
      <c r="IB801" s="27" t="s">
        <v>7</v>
      </c>
      <c r="IC801" s="27" t="s">
        <v>8</v>
      </c>
      <c r="ID801" s="27" t="s">
        <v>7</v>
      </c>
      <c r="IE801" s="27" t="s">
        <v>8</v>
      </c>
      <c r="IP801" s="27" t="s">
        <v>7</v>
      </c>
      <c r="JJ801" s="27" t="s">
        <v>7</v>
      </c>
      <c r="JK801" s="27" t="s">
        <v>8</v>
      </c>
      <c r="JU801" s="27" t="s">
        <v>8</v>
      </c>
      <c r="JV801" s="27" t="s">
        <v>7</v>
      </c>
      <c r="JW801" s="27" t="s">
        <v>8</v>
      </c>
      <c r="JX801" s="27" t="s">
        <v>7</v>
      </c>
      <c r="KY801" s="27" t="s">
        <v>8</v>
      </c>
      <c r="LA801" s="27" t="s">
        <v>8</v>
      </c>
      <c r="LB801" s="27" t="s">
        <v>7</v>
      </c>
      <c r="LC801" s="27" t="s">
        <v>8</v>
      </c>
      <c r="LF801" s="27" t="s">
        <v>7</v>
      </c>
      <c r="LG801" s="27" t="s">
        <v>8</v>
      </c>
      <c r="LR801" s="27" t="s">
        <v>7</v>
      </c>
      <c r="LS801" s="27" t="s">
        <v>8</v>
      </c>
      <c r="LT801" s="27" t="s">
        <v>7</v>
      </c>
      <c r="LU801" s="27" t="s">
        <v>8</v>
      </c>
    </row>
    <row r="802" spans="1:333" x14ac:dyDescent="0.25">
      <c r="A802" s="7">
        <v>1.4156733976771318E-2</v>
      </c>
      <c r="B802"/>
      <c r="C802"/>
      <c r="D802"/>
      <c r="E802"/>
      <c r="F802" s="27" t="s">
        <v>7</v>
      </c>
      <c r="IA802" s="27" t="s">
        <v>8</v>
      </c>
      <c r="IB802" s="27" t="s">
        <v>7</v>
      </c>
      <c r="ID802" s="27" t="s">
        <v>7</v>
      </c>
      <c r="IE802" s="27" t="s">
        <v>8</v>
      </c>
      <c r="JJ802" s="27" t="s">
        <v>7</v>
      </c>
      <c r="JK802" s="27" t="s">
        <v>8</v>
      </c>
      <c r="JL802" s="27" t="s">
        <v>7</v>
      </c>
      <c r="JU802" s="27" t="s">
        <v>8</v>
      </c>
      <c r="JV802" s="27" t="s">
        <v>7</v>
      </c>
      <c r="JW802" s="27" t="s">
        <v>8</v>
      </c>
      <c r="JX802" s="27" t="s">
        <v>7</v>
      </c>
      <c r="KY802" s="27" t="s">
        <v>8</v>
      </c>
      <c r="KZ802" s="27" t="s">
        <v>7</v>
      </c>
      <c r="LA802" s="27" t="s">
        <v>8</v>
      </c>
      <c r="LB802" s="27" t="s">
        <v>7</v>
      </c>
      <c r="LC802" s="27" t="s">
        <v>8</v>
      </c>
      <c r="LF802" s="27" t="s">
        <v>7</v>
      </c>
      <c r="LR802" s="27" t="s">
        <v>7</v>
      </c>
      <c r="LS802" s="27" t="s">
        <v>8</v>
      </c>
      <c r="LT802" s="27" t="s">
        <v>7</v>
      </c>
      <c r="LU802" s="27" t="s">
        <v>8</v>
      </c>
    </row>
    <row r="803" spans="1:333" x14ac:dyDescent="0.25">
      <c r="A803" s="7">
        <v>1.3879150957618939E-2</v>
      </c>
      <c r="B803"/>
      <c r="C803"/>
      <c r="D803"/>
      <c r="E803"/>
      <c r="F803" s="27" t="s">
        <v>7</v>
      </c>
      <c r="IA803" s="27" t="s">
        <v>8</v>
      </c>
      <c r="ID803" s="27" t="s">
        <v>7</v>
      </c>
      <c r="IE803" s="27" t="s">
        <v>8</v>
      </c>
      <c r="JJ803" s="27" t="s">
        <v>7</v>
      </c>
      <c r="JK803" s="27" t="s">
        <v>8</v>
      </c>
      <c r="JL803" s="27" t="s">
        <v>7</v>
      </c>
      <c r="JU803" s="27" t="s">
        <v>8</v>
      </c>
      <c r="JV803" s="27" t="s">
        <v>7</v>
      </c>
      <c r="JX803" s="27" t="s">
        <v>7</v>
      </c>
      <c r="KY803" s="27" t="s">
        <v>8</v>
      </c>
      <c r="KZ803" s="27" t="s">
        <v>7</v>
      </c>
      <c r="LA803" s="27" t="s">
        <v>8</v>
      </c>
      <c r="LB803" s="27" t="s">
        <v>7</v>
      </c>
      <c r="LC803" s="27" t="s">
        <v>8</v>
      </c>
      <c r="LR803" s="27" t="s">
        <v>7</v>
      </c>
      <c r="LS803" s="27" t="s">
        <v>8</v>
      </c>
      <c r="LT803" s="27" t="s">
        <v>7</v>
      </c>
    </row>
    <row r="804" spans="1:333" x14ac:dyDescent="0.25">
      <c r="A804" s="7">
        <v>1.3607010742763666E-2</v>
      </c>
      <c r="B804"/>
      <c r="C804"/>
      <c r="D804"/>
      <c r="E804"/>
      <c r="F804" s="27" t="s">
        <v>7</v>
      </c>
      <c r="IA804" s="27" t="s">
        <v>8</v>
      </c>
      <c r="ID804" s="27" t="s">
        <v>7</v>
      </c>
      <c r="JJ804" s="27" t="s">
        <v>7</v>
      </c>
      <c r="JK804" s="27" t="s">
        <v>8</v>
      </c>
      <c r="JL804" s="27" t="s">
        <v>7</v>
      </c>
      <c r="JO804" s="27" t="s">
        <v>8</v>
      </c>
      <c r="JQ804" s="27" t="s">
        <v>8</v>
      </c>
      <c r="JU804" s="27" t="s">
        <v>8</v>
      </c>
      <c r="JX804" s="27" t="s">
        <v>7</v>
      </c>
      <c r="KC804" s="27" t="s">
        <v>8</v>
      </c>
      <c r="KY804" s="27" t="s">
        <v>8</v>
      </c>
      <c r="KZ804" s="27" t="s">
        <v>7</v>
      </c>
      <c r="LA804" s="27" t="s">
        <v>8</v>
      </c>
      <c r="LB804" s="27" t="s">
        <v>7</v>
      </c>
      <c r="LC804" s="27" t="s">
        <v>8</v>
      </c>
      <c r="LR804" s="27" t="s">
        <v>7</v>
      </c>
      <c r="LS804" s="27" t="s">
        <v>8</v>
      </c>
    </row>
    <row r="805" spans="1:333" x14ac:dyDescent="0.25">
      <c r="A805" s="7">
        <v>1.3340206610552614E-2</v>
      </c>
      <c r="B805"/>
      <c r="C805"/>
      <c r="D805"/>
      <c r="E805"/>
      <c r="F805" s="27" t="s">
        <v>7</v>
      </c>
      <c r="IA805" s="27" t="s">
        <v>8</v>
      </c>
      <c r="JJ805" s="27" t="s">
        <v>7</v>
      </c>
      <c r="JK805" s="27" t="s">
        <v>8</v>
      </c>
      <c r="JL805" s="27" t="s">
        <v>7</v>
      </c>
      <c r="JM805" s="27" t="s">
        <v>8</v>
      </c>
      <c r="JO805" s="27" t="s">
        <v>8</v>
      </c>
      <c r="JP805" s="27" t="s">
        <v>7</v>
      </c>
      <c r="JQ805" s="27" t="s">
        <v>8</v>
      </c>
      <c r="JR805" s="27" t="s">
        <v>7</v>
      </c>
      <c r="JS805" s="27" t="s">
        <v>8</v>
      </c>
      <c r="JU805" s="27" t="s">
        <v>8</v>
      </c>
      <c r="JX805" s="27" t="s">
        <v>7</v>
      </c>
      <c r="JY805" s="27" t="s">
        <v>8</v>
      </c>
      <c r="KA805" s="27" t="s">
        <v>8</v>
      </c>
      <c r="KC805" s="27" t="s">
        <v>8</v>
      </c>
      <c r="KD805" s="27" t="s">
        <v>7</v>
      </c>
      <c r="KY805" s="27" t="s">
        <v>8</v>
      </c>
      <c r="KZ805" s="27" t="s">
        <v>7</v>
      </c>
      <c r="LA805" s="27" t="s">
        <v>8</v>
      </c>
      <c r="LB805" s="27" t="s">
        <v>7</v>
      </c>
      <c r="LC805" s="27" t="s">
        <v>8</v>
      </c>
      <c r="LR805" s="27" t="s">
        <v>7</v>
      </c>
      <c r="LS805" s="27" t="s">
        <v>8</v>
      </c>
    </row>
    <row r="806" spans="1:333" x14ac:dyDescent="0.25">
      <c r="A806" s="7">
        <v>1.3078633931914328E-2</v>
      </c>
      <c r="B806"/>
      <c r="C806"/>
      <c r="D806"/>
      <c r="E806"/>
      <c r="F806" s="27" t="s">
        <v>7</v>
      </c>
      <c r="IA806" s="27" t="s">
        <v>8</v>
      </c>
      <c r="JJ806" s="27" t="s">
        <v>7</v>
      </c>
      <c r="JK806" s="27" t="s">
        <v>8</v>
      </c>
      <c r="JL806" s="27" t="s">
        <v>7</v>
      </c>
      <c r="JM806" s="27" t="s">
        <v>8</v>
      </c>
      <c r="JN806" s="27" t="s">
        <v>7</v>
      </c>
      <c r="JO806" s="27" t="s">
        <v>8</v>
      </c>
      <c r="JP806" s="27" t="s">
        <v>7</v>
      </c>
      <c r="JQ806" s="27" t="s">
        <v>8</v>
      </c>
      <c r="JR806" s="27" t="s">
        <v>7</v>
      </c>
      <c r="JS806" s="27" t="s">
        <v>8</v>
      </c>
      <c r="JT806" s="27" t="s">
        <v>7</v>
      </c>
      <c r="JU806" s="27" t="s">
        <v>8</v>
      </c>
      <c r="JX806" s="27" t="s">
        <v>7</v>
      </c>
      <c r="JY806" s="27" t="s">
        <v>8</v>
      </c>
      <c r="JZ806" s="27" t="s">
        <v>7</v>
      </c>
      <c r="KA806" s="27" t="s">
        <v>8</v>
      </c>
      <c r="KB806" s="27" t="s">
        <v>7</v>
      </c>
      <c r="KC806" s="27" t="s">
        <v>8</v>
      </c>
      <c r="KD806" s="27" t="s">
        <v>7</v>
      </c>
      <c r="KY806" s="27" t="s">
        <v>8</v>
      </c>
      <c r="KZ806" s="27" t="s">
        <v>7</v>
      </c>
      <c r="LA806" s="27" t="s">
        <v>8</v>
      </c>
      <c r="LB806" s="27" t="s">
        <v>7</v>
      </c>
      <c r="LC806" s="27" t="s">
        <v>8</v>
      </c>
      <c r="LR806" s="27" t="s">
        <v>7</v>
      </c>
      <c r="LS806" s="27" t="s">
        <v>8</v>
      </c>
    </row>
    <row r="807" spans="1:333" x14ac:dyDescent="0.25">
      <c r="A807" s="7">
        <v>1.2822190129327771E-2</v>
      </c>
      <c r="B807"/>
      <c r="C807"/>
      <c r="D807"/>
      <c r="E807"/>
      <c r="F807" s="27" t="s">
        <v>7</v>
      </c>
      <c r="IA807" s="27" t="s">
        <v>8</v>
      </c>
      <c r="JJ807" s="27" t="s">
        <v>7</v>
      </c>
      <c r="JK807" s="27" t="s">
        <v>8</v>
      </c>
      <c r="JL807" s="27" t="s">
        <v>7</v>
      </c>
      <c r="JM807" s="27" t="s">
        <v>8</v>
      </c>
      <c r="JN807" s="27" t="s">
        <v>7</v>
      </c>
      <c r="JO807" s="27" t="s">
        <v>8</v>
      </c>
      <c r="JP807" s="27" t="s">
        <v>7</v>
      </c>
      <c r="JQ807" s="27" t="s">
        <v>8</v>
      </c>
      <c r="JR807" s="27" t="s">
        <v>7</v>
      </c>
      <c r="JS807" s="27" t="s">
        <v>8</v>
      </c>
      <c r="JT807" s="27" t="s">
        <v>7</v>
      </c>
      <c r="JU807" s="27" t="s">
        <v>8</v>
      </c>
      <c r="JX807" s="27" t="s">
        <v>7</v>
      </c>
      <c r="JY807" s="27" t="s">
        <v>8</v>
      </c>
      <c r="JZ807" s="27" t="s">
        <v>7</v>
      </c>
      <c r="KA807" s="27" t="s">
        <v>8</v>
      </c>
      <c r="KB807" s="27" t="s">
        <v>7</v>
      </c>
      <c r="KC807" s="27" t="s">
        <v>8</v>
      </c>
      <c r="KD807" s="27" t="s">
        <v>7</v>
      </c>
      <c r="KY807" s="27" t="s">
        <v>8</v>
      </c>
      <c r="KZ807" s="27" t="s">
        <v>7</v>
      </c>
      <c r="LB807" s="27" t="s">
        <v>7</v>
      </c>
      <c r="LC807" s="27" t="s">
        <v>8</v>
      </c>
      <c r="LR807" s="27" t="s">
        <v>7</v>
      </c>
      <c r="LS807" s="27" t="s">
        <v>8</v>
      </c>
    </row>
    <row r="808" spans="1:333" x14ac:dyDescent="0.25">
      <c r="A808" s="7">
        <v>1.2570774636595854E-2</v>
      </c>
      <c r="B808"/>
      <c r="C808"/>
      <c r="D808"/>
      <c r="E808"/>
      <c r="F808" s="27" t="s">
        <v>7</v>
      </c>
      <c r="IA808" s="27" t="s">
        <v>8</v>
      </c>
      <c r="JJ808" s="27" t="s">
        <v>7</v>
      </c>
      <c r="JK808" s="27" t="s">
        <v>8</v>
      </c>
      <c r="JL808" s="27" t="s">
        <v>7</v>
      </c>
      <c r="JM808" s="27" t="s">
        <v>8</v>
      </c>
      <c r="JN808" s="27" t="s">
        <v>7</v>
      </c>
      <c r="JO808" s="27" t="s">
        <v>8</v>
      </c>
      <c r="JP808" s="27" t="s">
        <v>7</v>
      </c>
      <c r="JR808" s="27" t="s">
        <v>7</v>
      </c>
      <c r="JT808" s="27" t="s">
        <v>7</v>
      </c>
      <c r="JU808" s="27" t="s">
        <v>8</v>
      </c>
      <c r="JX808" s="27" t="s">
        <v>7</v>
      </c>
      <c r="JY808" s="27" t="s">
        <v>8</v>
      </c>
      <c r="JZ808" s="27" t="s">
        <v>7</v>
      </c>
      <c r="KA808" s="27" t="s">
        <v>8</v>
      </c>
      <c r="KB808" s="27" t="s">
        <v>7</v>
      </c>
      <c r="KC808" s="27" t="s">
        <v>8</v>
      </c>
      <c r="KD808" s="27" t="s">
        <v>7</v>
      </c>
      <c r="KK808" s="27" t="s">
        <v>8</v>
      </c>
      <c r="KW808" s="27" t="s">
        <v>8</v>
      </c>
      <c r="KY808" s="27" t="s">
        <v>8</v>
      </c>
      <c r="LB808" s="27" t="s">
        <v>7</v>
      </c>
      <c r="LC808" s="27" t="s">
        <v>8</v>
      </c>
      <c r="LR808" s="27" t="s">
        <v>7</v>
      </c>
      <c r="LS808" s="27" t="s">
        <v>8</v>
      </c>
    </row>
    <row r="809" spans="1:333" x14ac:dyDescent="0.25">
      <c r="A809" s="7">
        <v>1.23242888594077E-2</v>
      </c>
      <c r="B809"/>
      <c r="C809"/>
      <c r="D809"/>
      <c r="E809"/>
      <c r="F809" s="27" t="s">
        <v>7</v>
      </c>
      <c r="IA809" s="27" t="s">
        <v>8</v>
      </c>
      <c r="JJ809" s="27" t="s">
        <v>7</v>
      </c>
      <c r="JK809" s="27" t="s">
        <v>8</v>
      </c>
      <c r="JL809" s="27" t="s">
        <v>7</v>
      </c>
      <c r="JM809" s="27" t="s">
        <v>8</v>
      </c>
      <c r="JN809" s="27" t="s">
        <v>7</v>
      </c>
      <c r="JO809" s="27" t="s">
        <v>8</v>
      </c>
      <c r="JT809" s="27" t="s">
        <v>7</v>
      </c>
      <c r="JX809" s="27" t="s">
        <v>7</v>
      </c>
      <c r="JY809" s="27" t="s">
        <v>8</v>
      </c>
      <c r="JZ809" s="27" t="s">
        <v>7</v>
      </c>
      <c r="KB809" s="27" t="s">
        <v>7</v>
      </c>
      <c r="KD809" s="27" t="s">
        <v>7</v>
      </c>
      <c r="KK809" s="27" t="s">
        <v>8</v>
      </c>
      <c r="KL809" s="27" t="s">
        <v>7</v>
      </c>
      <c r="KW809" s="27" t="s">
        <v>8</v>
      </c>
      <c r="KX809" s="27" t="s">
        <v>7</v>
      </c>
      <c r="KY809" s="27" t="s">
        <v>8</v>
      </c>
      <c r="LB809" s="27" t="s">
        <v>7</v>
      </c>
      <c r="LR809" s="27" t="s">
        <v>7</v>
      </c>
      <c r="LS809" s="27" t="s">
        <v>8</v>
      </c>
    </row>
    <row r="810" spans="1:333" x14ac:dyDescent="0.25">
      <c r="A810" s="7">
        <v>1.2082636136674216E-2</v>
      </c>
      <c r="B810"/>
      <c r="C810"/>
      <c r="D810"/>
      <c r="E810"/>
      <c r="F810" s="27" t="s">
        <v>7</v>
      </c>
      <c r="IA810" s="27" t="s">
        <v>8</v>
      </c>
      <c r="JJ810" s="27" t="s">
        <v>7</v>
      </c>
      <c r="JK810" s="27" t="s">
        <v>8</v>
      </c>
      <c r="JL810" s="27" t="s">
        <v>7</v>
      </c>
      <c r="JM810" s="27" t="s">
        <v>8</v>
      </c>
      <c r="JN810" s="27" t="s">
        <v>7</v>
      </c>
      <c r="JO810" s="27" t="s">
        <v>8</v>
      </c>
      <c r="JX810" s="27" t="s">
        <v>7</v>
      </c>
      <c r="JY810" s="27" t="s">
        <v>8</v>
      </c>
      <c r="KD810" s="27" t="s">
        <v>7</v>
      </c>
      <c r="KK810" s="27" t="s">
        <v>8</v>
      </c>
      <c r="KL810" s="27" t="s">
        <v>7</v>
      </c>
      <c r="KO810" s="27" t="s">
        <v>8</v>
      </c>
      <c r="KW810" s="27" t="s">
        <v>8</v>
      </c>
      <c r="KX810" s="27" t="s">
        <v>7</v>
      </c>
      <c r="KY810" s="27" t="s">
        <v>8</v>
      </c>
      <c r="LR810" s="27" t="s">
        <v>7</v>
      </c>
      <c r="LS810" s="27" t="s">
        <v>8</v>
      </c>
    </row>
    <row r="811" spans="1:333" x14ac:dyDescent="0.25">
      <c r="A811" s="7">
        <v>1.184572170262178E-2</v>
      </c>
      <c r="B811"/>
      <c r="C811"/>
      <c r="D811"/>
      <c r="E811"/>
      <c r="F811" s="27" t="s">
        <v>7</v>
      </c>
      <c r="IA811" s="27" t="s">
        <v>8</v>
      </c>
      <c r="JJ811" s="27" t="s">
        <v>7</v>
      </c>
      <c r="JK811" s="27" t="s">
        <v>8</v>
      </c>
      <c r="JL811" s="27" t="s">
        <v>7</v>
      </c>
      <c r="JM811" s="27" t="s">
        <v>8</v>
      </c>
      <c r="JN811" s="27" t="s">
        <v>7</v>
      </c>
      <c r="JX811" s="27" t="s">
        <v>7</v>
      </c>
      <c r="JY811" s="27" t="s">
        <v>8</v>
      </c>
      <c r="KD811" s="27" t="s">
        <v>7</v>
      </c>
      <c r="KE811" s="27" t="s">
        <v>8</v>
      </c>
      <c r="KI811" s="27" t="s">
        <v>8</v>
      </c>
      <c r="KK811" s="27" t="s">
        <v>8</v>
      </c>
      <c r="KL811" s="27" t="s">
        <v>7</v>
      </c>
      <c r="KO811" s="27" t="s">
        <v>8</v>
      </c>
      <c r="KP811" s="27" t="s">
        <v>7</v>
      </c>
      <c r="KQ811" s="27" t="s">
        <v>8</v>
      </c>
      <c r="KS811" s="27" t="s">
        <v>8</v>
      </c>
      <c r="KW811" s="27" t="s">
        <v>8</v>
      </c>
      <c r="KX811" s="27" t="s">
        <v>7</v>
      </c>
      <c r="KY811" s="27" t="s">
        <v>8</v>
      </c>
      <c r="LR811" s="27" t="s">
        <v>7</v>
      </c>
      <c r="LS811" s="27" t="s">
        <v>8</v>
      </c>
    </row>
    <row r="812" spans="1:333" x14ac:dyDescent="0.25">
      <c r="A812" s="7">
        <v>1.1613452649629196E-2</v>
      </c>
      <c r="B812"/>
      <c r="C812"/>
      <c r="D812"/>
      <c r="E812"/>
      <c r="F812" s="27" t="s">
        <v>7</v>
      </c>
      <c r="IA812" s="27" t="s">
        <v>8</v>
      </c>
      <c r="JJ812" s="27" t="s">
        <v>7</v>
      </c>
      <c r="JK812" s="27" t="s">
        <v>8</v>
      </c>
      <c r="JL812" s="27" t="s">
        <v>7</v>
      </c>
      <c r="JM812" s="27" t="s">
        <v>8</v>
      </c>
      <c r="JX812" s="27" t="s">
        <v>7</v>
      </c>
      <c r="JY812" s="27" t="s">
        <v>8</v>
      </c>
      <c r="KD812" s="27" t="s">
        <v>7</v>
      </c>
      <c r="KE812" s="27" t="s">
        <v>8</v>
      </c>
      <c r="KF812" s="27" t="s">
        <v>7</v>
      </c>
      <c r="KG812" s="27" t="s">
        <v>8</v>
      </c>
      <c r="KI812" s="27" t="s">
        <v>8</v>
      </c>
      <c r="KJ812" s="27" t="s">
        <v>7</v>
      </c>
      <c r="KK812" s="27" t="s">
        <v>8</v>
      </c>
      <c r="KL812" s="27" t="s">
        <v>7</v>
      </c>
      <c r="KO812" s="27" t="s">
        <v>8</v>
      </c>
      <c r="KP812" s="27" t="s">
        <v>7</v>
      </c>
      <c r="KQ812" s="27" t="s">
        <v>8</v>
      </c>
      <c r="KR812" s="27" t="s">
        <v>7</v>
      </c>
      <c r="KS812" s="27" t="s">
        <v>8</v>
      </c>
      <c r="KT812" s="27" t="s">
        <v>7</v>
      </c>
      <c r="KU812" s="27" t="s">
        <v>8</v>
      </c>
      <c r="KW812" s="27" t="s">
        <v>8</v>
      </c>
      <c r="KX812" s="27" t="s">
        <v>7</v>
      </c>
      <c r="KY812" s="27" t="s">
        <v>8</v>
      </c>
      <c r="LR812" s="27" t="s">
        <v>7</v>
      </c>
    </row>
    <row r="813" spans="1:333" x14ac:dyDescent="0.25">
      <c r="A813" s="7">
        <v>1.138573789179333E-2</v>
      </c>
      <c r="B813"/>
      <c r="C813"/>
      <c r="D813"/>
      <c r="E813"/>
      <c r="F813" s="27" t="s">
        <v>7</v>
      </c>
      <c r="G813" s="27" t="s">
        <v>8</v>
      </c>
      <c r="IA813" s="27" t="s">
        <v>8</v>
      </c>
      <c r="JJ813" s="27" t="s">
        <v>7</v>
      </c>
      <c r="JK813" s="27" t="s">
        <v>8</v>
      </c>
      <c r="JL813" s="27" t="s">
        <v>7</v>
      </c>
      <c r="JM813" s="27" t="s">
        <v>8</v>
      </c>
      <c r="JX813" s="27" t="s">
        <v>7</v>
      </c>
      <c r="JY813" s="27" t="s">
        <v>8</v>
      </c>
      <c r="KD813" s="27" t="s">
        <v>7</v>
      </c>
      <c r="KE813" s="27" t="s">
        <v>8</v>
      </c>
      <c r="KF813" s="27" t="s">
        <v>7</v>
      </c>
      <c r="KG813" s="27" t="s">
        <v>8</v>
      </c>
      <c r="KH813" s="27" t="s">
        <v>7</v>
      </c>
      <c r="KI813" s="27" t="s">
        <v>8</v>
      </c>
      <c r="KJ813" s="27" t="s">
        <v>7</v>
      </c>
      <c r="KK813" s="27" t="s">
        <v>8</v>
      </c>
      <c r="KL813" s="27" t="s">
        <v>7</v>
      </c>
      <c r="KO813" s="27" t="s">
        <v>8</v>
      </c>
      <c r="KP813" s="27" t="s">
        <v>7</v>
      </c>
      <c r="KQ813" s="27" t="s">
        <v>8</v>
      </c>
      <c r="KR813" s="27" t="s">
        <v>7</v>
      </c>
      <c r="KS813" s="27" t="s">
        <v>8</v>
      </c>
      <c r="KT813" s="27" t="s">
        <v>7</v>
      </c>
      <c r="KU813" s="27" t="s">
        <v>8</v>
      </c>
      <c r="KV813" s="27" t="s">
        <v>7</v>
      </c>
      <c r="KW813" s="27" t="s">
        <v>8</v>
      </c>
      <c r="KX813" s="27" t="s">
        <v>7</v>
      </c>
      <c r="KY813" s="27" t="s">
        <v>8</v>
      </c>
    </row>
    <row r="814" spans="1:333" x14ac:dyDescent="0.25">
      <c r="A814" s="7">
        <v>1.1162488129209149E-2</v>
      </c>
      <c r="B814"/>
      <c r="C814"/>
      <c r="D814"/>
      <c r="E814"/>
      <c r="F814" s="27" t="s">
        <v>7</v>
      </c>
      <c r="G814" s="27" t="s">
        <v>8</v>
      </c>
      <c r="H814" s="27" t="s">
        <v>7</v>
      </c>
      <c r="IA814" s="27" t="s">
        <v>8</v>
      </c>
      <c r="JJ814" s="27" t="s">
        <v>7</v>
      </c>
      <c r="JK814" s="27" t="s">
        <v>8</v>
      </c>
      <c r="JL814" s="27" t="s">
        <v>7</v>
      </c>
      <c r="JX814" s="27" t="s">
        <v>7</v>
      </c>
      <c r="KD814" s="27" t="s">
        <v>7</v>
      </c>
      <c r="KE814" s="27" t="s">
        <v>8</v>
      </c>
      <c r="KF814" s="27" t="s">
        <v>7</v>
      </c>
      <c r="KG814" s="27" t="s">
        <v>8</v>
      </c>
      <c r="KH814" s="27" t="s">
        <v>7</v>
      </c>
      <c r="KI814" s="27" t="s">
        <v>8</v>
      </c>
      <c r="KJ814" s="27" t="s">
        <v>7</v>
      </c>
      <c r="KK814" s="27" t="s">
        <v>8</v>
      </c>
      <c r="KL814" s="27" t="s">
        <v>7</v>
      </c>
      <c r="KO814" s="27" t="s">
        <v>8</v>
      </c>
      <c r="KP814" s="27" t="s">
        <v>7</v>
      </c>
      <c r="KQ814" s="27" t="s">
        <v>8</v>
      </c>
      <c r="KR814" s="27" t="s">
        <v>7</v>
      </c>
      <c r="KS814" s="27" t="s">
        <v>8</v>
      </c>
      <c r="KT814" s="27" t="s">
        <v>7</v>
      </c>
      <c r="KU814" s="27" t="s">
        <v>8</v>
      </c>
      <c r="KV814" s="27" t="s">
        <v>7</v>
      </c>
      <c r="KW814" s="27" t="s">
        <v>8</v>
      </c>
      <c r="KX814" s="27" t="s">
        <v>7</v>
      </c>
    </row>
    <row r="815" spans="1:333" x14ac:dyDescent="0.25">
      <c r="A815" s="7">
        <v>1.0943615812950145E-2</v>
      </c>
      <c r="B815"/>
      <c r="C815"/>
      <c r="D815"/>
      <c r="E815"/>
      <c r="F815" s="27" t="s">
        <v>7</v>
      </c>
      <c r="G815" s="27" t="s">
        <v>8</v>
      </c>
      <c r="H815" s="27" t="s">
        <v>7</v>
      </c>
      <c r="CS815" s="27" t="s">
        <v>8</v>
      </c>
      <c r="IA815" s="27" t="s">
        <v>8</v>
      </c>
      <c r="JJ815" s="27" t="s">
        <v>7</v>
      </c>
      <c r="JK815" s="27" t="s">
        <v>8</v>
      </c>
      <c r="KD815" s="27" t="s">
        <v>7</v>
      </c>
      <c r="KE815" s="27" t="s">
        <v>8</v>
      </c>
      <c r="KF815" s="27" t="s">
        <v>7</v>
      </c>
      <c r="KH815" s="27" t="s">
        <v>7</v>
      </c>
      <c r="KI815" s="27" t="s">
        <v>8</v>
      </c>
      <c r="KJ815" s="27" t="s">
        <v>7</v>
      </c>
      <c r="KK815" s="27" t="s">
        <v>8</v>
      </c>
      <c r="KL815" s="27" t="s">
        <v>7</v>
      </c>
      <c r="KO815" s="27" t="s">
        <v>8</v>
      </c>
      <c r="KP815" s="27" t="s">
        <v>7</v>
      </c>
      <c r="KQ815" s="27" t="s">
        <v>8</v>
      </c>
      <c r="KR815" s="27" t="s">
        <v>7</v>
      </c>
      <c r="KT815" s="27" t="s">
        <v>7</v>
      </c>
      <c r="KU815" s="27" t="s">
        <v>8</v>
      </c>
      <c r="KV815" s="27" t="s">
        <v>7</v>
      </c>
    </row>
    <row r="816" spans="1:333" x14ac:dyDescent="0.25">
      <c r="A816" s="7">
        <v>1.0729035110735436E-2</v>
      </c>
      <c r="B816"/>
      <c r="C816"/>
      <c r="D816"/>
      <c r="E816"/>
      <c r="F816" s="27" t="s">
        <v>7</v>
      </c>
      <c r="G816" s="27" t="s">
        <v>8</v>
      </c>
      <c r="H816" s="27" t="s">
        <v>7</v>
      </c>
      <c r="CS816" s="27" t="s">
        <v>8</v>
      </c>
      <c r="CT816" s="27" t="s">
        <v>7</v>
      </c>
      <c r="IA816" s="27" t="s">
        <v>8</v>
      </c>
      <c r="JJ816" s="27" t="s">
        <v>7</v>
      </c>
      <c r="KD816" s="27" t="s">
        <v>7</v>
      </c>
      <c r="KE816" s="27" t="s">
        <v>8</v>
      </c>
      <c r="KH816" s="27" t="s">
        <v>7</v>
      </c>
      <c r="KI816" s="27" t="s">
        <v>8</v>
      </c>
      <c r="KJ816" s="27" t="s">
        <v>7</v>
      </c>
      <c r="KL816" s="27" t="s">
        <v>7</v>
      </c>
      <c r="KO816" s="27" t="s">
        <v>8</v>
      </c>
      <c r="KP816" s="27" t="s">
        <v>7</v>
      </c>
      <c r="KQ816" s="27" t="s">
        <v>8</v>
      </c>
      <c r="KT816" s="27" t="s">
        <v>7</v>
      </c>
      <c r="KU816" s="27" t="s">
        <v>8</v>
      </c>
    </row>
    <row r="817" spans="1:307" x14ac:dyDescent="0.25">
      <c r="A817" s="7">
        <v>1.0518661873270036E-2</v>
      </c>
      <c r="B817"/>
      <c r="C817"/>
      <c r="D817"/>
      <c r="E817"/>
      <c r="F817" s="27" t="s">
        <v>7</v>
      </c>
      <c r="G817" s="27" t="s">
        <v>8</v>
      </c>
      <c r="H817" s="27" t="s">
        <v>7</v>
      </c>
      <c r="CS817" s="27" t="s">
        <v>8</v>
      </c>
      <c r="CT817" s="27" t="s">
        <v>7</v>
      </c>
      <c r="HS817" s="27" t="s">
        <v>8</v>
      </c>
      <c r="IA817" s="27" t="s">
        <v>8</v>
      </c>
      <c r="KD817" s="27" t="s">
        <v>7</v>
      </c>
      <c r="KE817" s="27" t="s">
        <v>8</v>
      </c>
      <c r="KH817" s="27" t="s">
        <v>7</v>
      </c>
      <c r="KL817" s="27" t="s">
        <v>7</v>
      </c>
      <c r="KM817" s="27" t="s">
        <v>8</v>
      </c>
      <c r="KO817" s="27" t="s">
        <v>8</v>
      </c>
      <c r="KP817" s="27" t="s">
        <v>7</v>
      </c>
      <c r="KQ817" s="27" t="s">
        <v>8</v>
      </c>
      <c r="KT817" s="27" t="s">
        <v>7</v>
      </c>
      <c r="KU817" s="27" t="s">
        <v>8</v>
      </c>
    </row>
    <row r="818" spans="1:307" x14ac:dyDescent="0.25">
      <c r="A818" s="7">
        <v>1.0312413601245135E-2</v>
      </c>
      <c r="B818"/>
      <c r="C818"/>
      <c r="D818"/>
      <c r="E818"/>
      <c r="F818" s="27" t="s">
        <v>7</v>
      </c>
      <c r="G818" s="27" t="s">
        <v>8</v>
      </c>
      <c r="H818" s="27" t="s">
        <v>7</v>
      </c>
      <c r="CS818" s="27" t="s">
        <v>8</v>
      </c>
      <c r="CT818" s="27" t="s">
        <v>7</v>
      </c>
      <c r="HS818" s="27" t="s">
        <v>8</v>
      </c>
      <c r="HT818" s="27" t="s">
        <v>7</v>
      </c>
      <c r="IA818" s="27" t="s">
        <v>8</v>
      </c>
      <c r="KD818" s="27" t="s">
        <v>7</v>
      </c>
      <c r="KE818" s="27" t="s">
        <v>8</v>
      </c>
      <c r="KL818" s="27" t="s">
        <v>7</v>
      </c>
      <c r="KM818" s="27" t="s">
        <v>8</v>
      </c>
      <c r="KN818" s="27" t="s">
        <v>7</v>
      </c>
      <c r="KO818" s="27" t="s">
        <v>8</v>
      </c>
      <c r="KP818" s="27" t="s">
        <v>7</v>
      </c>
      <c r="KT818" s="27" t="s">
        <v>7</v>
      </c>
      <c r="KU818" s="27" t="s">
        <v>8</v>
      </c>
    </row>
    <row r="819" spans="1:307" x14ac:dyDescent="0.25">
      <c r="A819" s="7">
        <v>1.0110209412985426E-2</v>
      </c>
      <c r="B819"/>
      <c r="C819"/>
      <c r="D819"/>
      <c r="E819"/>
      <c r="F819" s="27" t="s">
        <v>7</v>
      </c>
      <c r="H819" s="27" t="s">
        <v>7</v>
      </c>
      <c r="CS819" s="27" t="s">
        <v>8</v>
      </c>
      <c r="CT819" s="27" t="s">
        <v>7</v>
      </c>
      <c r="HS819" s="27" t="s">
        <v>8</v>
      </c>
      <c r="HT819" s="27" t="s">
        <v>7</v>
      </c>
      <c r="IA819" s="27" t="s">
        <v>8</v>
      </c>
      <c r="KD819" s="27" t="s">
        <v>7</v>
      </c>
      <c r="KE819" s="27" t="s">
        <v>8</v>
      </c>
      <c r="KL819" s="27" t="s">
        <v>7</v>
      </c>
      <c r="KM819" s="27" t="s">
        <v>8</v>
      </c>
      <c r="KN819" s="27" t="s">
        <v>7</v>
      </c>
      <c r="KO819" s="27" t="s">
        <v>8</v>
      </c>
      <c r="KT819" s="27" t="s">
        <v>7</v>
      </c>
    </row>
    <row r="820" spans="1:307" x14ac:dyDescent="0.25">
      <c r="A820" s="7">
        <v>9.9119700127308103E-3</v>
      </c>
      <c r="B820"/>
      <c r="C820"/>
      <c r="D820"/>
      <c r="E820"/>
      <c r="H820" s="27" t="s">
        <v>7</v>
      </c>
      <c r="CS820" s="27" t="s">
        <v>8</v>
      </c>
      <c r="CT820" s="27" t="s">
        <v>7</v>
      </c>
      <c r="HS820" s="27" t="s">
        <v>8</v>
      </c>
      <c r="HT820" s="27" t="s">
        <v>7</v>
      </c>
      <c r="IA820" s="27" t="s">
        <v>8</v>
      </c>
      <c r="KD820" s="27" t="s">
        <v>7</v>
      </c>
      <c r="KE820" s="27" t="s">
        <v>8</v>
      </c>
      <c r="KL820" s="27" t="s">
        <v>7</v>
      </c>
      <c r="KM820" s="27" t="s">
        <v>8</v>
      </c>
      <c r="KN820" s="27" t="s">
        <v>7</v>
      </c>
      <c r="KO820" s="27" t="s">
        <v>8</v>
      </c>
    </row>
    <row r="821" spans="1:307" x14ac:dyDescent="0.25">
      <c r="A821" s="7">
        <v>9.717617659540009E-3</v>
      </c>
      <c r="B821"/>
      <c r="C821"/>
      <c r="D821"/>
      <c r="E821"/>
      <c r="H821" s="27" t="s">
        <v>7</v>
      </c>
      <c r="CS821" s="27" t="s">
        <v>8</v>
      </c>
      <c r="CT821" s="27" t="s">
        <v>7</v>
      </c>
      <c r="HS821" s="27" t="s">
        <v>8</v>
      </c>
      <c r="HT821" s="27" t="s">
        <v>7</v>
      </c>
      <c r="HU821" s="27" t="s">
        <v>8</v>
      </c>
      <c r="IA821" s="27" t="s">
        <v>8</v>
      </c>
      <c r="KD821" s="27" t="s">
        <v>7</v>
      </c>
      <c r="KL821" s="27" t="s">
        <v>7</v>
      </c>
      <c r="KM821" s="27" t="s">
        <v>8</v>
      </c>
      <c r="KN821" s="27" t="s">
        <v>7</v>
      </c>
      <c r="KO821" s="27" t="s">
        <v>8</v>
      </c>
    </row>
    <row r="822" spans="1:307" x14ac:dyDescent="0.25">
      <c r="A822" s="7">
        <v>9.5270761368039299E-3</v>
      </c>
      <c r="B822"/>
      <c r="C822"/>
      <c r="D822"/>
      <c r="E822"/>
      <c r="H822" s="27" t="s">
        <v>7</v>
      </c>
      <c r="CS822" s="27" t="s">
        <v>8</v>
      </c>
      <c r="CT822" s="27" t="s">
        <v>7</v>
      </c>
      <c r="CU822" s="27" t="s">
        <v>8</v>
      </c>
      <c r="HS822" s="27" t="s">
        <v>8</v>
      </c>
      <c r="HT822" s="27" t="s">
        <v>7</v>
      </c>
      <c r="HU822" s="27" t="s">
        <v>8</v>
      </c>
      <c r="HV822" s="27" t="s">
        <v>7</v>
      </c>
      <c r="IA822" s="27" t="s">
        <v>8</v>
      </c>
      <c r="KL822" s="27" t="s">
        <v>7</v>
      </c>
      <c r="KN822" s="27" t="s">
        <v>7</v>
      </c>
      <c r="KO822" s="27" t="s">
        <v>8</v>
      </c>
    </row>
    <row r="823" spans="1:307" x14ac:dyDescent="0.25">
      <c r="A823" s="7">
        <v>9.3402707223567936E-3</v>
      </c>
      <c r="B823"/>
      <c r="C823"/>
      <c r="D823"/>
      <c r="E823"/>
      <c r="H823" s="27" t="s">
        <v>7</v>
      </c>
      <c r="CS823" s="27" t="s">
        <v>8</v>
      </c>
      <c r="CT823" s="27" t="s">
        <v>7</v>
      </c>
      <c r="CU823" s="27" t="s">
        <v>8</v>
      </c>
      <c r="CV823" s="27" t="s">
        <v>7</v>
      </c>
      <c r="HS823" s="27" t="s">
        <v>8</v>
      </c>
      <c r="HT823" s="27" t="s">
        <v>7</v>
      </c>
      <c r="HU823" s="27" t="s">
        <v>8</v>
      </c>
      <c r="HV823" s="27" t="s">
        <v>7</v>
      </c>
      <c r="HW823" s="27" t="s">
        <v>8</v>
      </c>
      <c r="HY823" s="27" t="s">
        <v>8</v>
      </c>
      <c r="IA823" s="27" t="s">
        <v>8</v>
      </c>
      <c r="KN823" s="27" t="s">
        <v>7</v>
      </c>
      <c r="KO823" s="27" t="s">
        <v>8</v>
      </c>
    </row>
    <row r="824" spans="1:307" x14ac:dyDescent="0.25">
      <c r="A824" s="7">
        <v>9.1571281591733261E-3</v>
      </c>
      <c r="B824"/>
      <c r="C824"/>
      <c r="D824"/>
      <c r="E824"/>
      <c r="H824" s="27" t="s">
        <v>7</v>
      </c>
      <c r="CS824" s="27" t="s">
        <v>8</v>
      </c>
      <c r="CT824" s="27" t="s">
        <v>7</v>
      </c>
      <c r="CU824" s="27" t="s">
        <v>8</v>
      </c>
      <c r="CV824" s="27" t="s">
        <v>7</v>
      </c>
      <c r="HS824" s="27" t="s">
        <v>8</v>
      </c>
      <c r="HT824" s="27" t="s">
        <v>7</v>
      </c>
      <c r="HU824" s="27" t="s">
        <v>8</v>
      </c>
      <c r="HV824" s="27" t="s">
        <v>7</v>
      </c>
      <c r="HW824" s="27" t="s">
        <v>8</v>
      </c>
      <c r="HX824" s="27" t="s">
        <v>7</v>
      </c>
      <c r="HY824" s="27" t="s">
        <v>8</v>
      </c>
      <c r="HZ824" s="27" t="s">
        <v>7</v>
      </c>
      <c r="IA824" s="27" t="s">
        <v>8</v>
      </c>
      <c r="KN824" s="27" t="s">
        <v>7</v>
      </c>
      <c r="KO824" s="27" t="s">
        <v>8</v>
      </c>
    </row>
    <row r="825" spans="1:307" x14ac:dyDescent="0.25">
      <c r="A825" s="7">
        <v>8.9775766266405148E-3</v>
      </c>
      <c r="B825"/>
      <c r="C825"/>
      <c r="D825"/>
      <c r="E825"/>
      <c r="H825" s="27" t="s">
        <v>7</v>
      </c>
      <c r="CS825" s="27" t="s">
        <v>8</v>
      </c>
      <c r="CT825" s="27" t="s">
        <v>7</v>
      </c>
      <c r="CU825" s="27" t="s">
        <v>8</v>
      </c>
      <c r="CV825" s="27" t="s">
        <v>7</v>
      </c>
      <c r="HS825" s="27" t="s">
        <v>8</v>
      </c>
      <c r="HT825" s="27" t="s">
        <v>7</v>
      </c>
      <c r="HU825" s="27" t="s">
        <v>8</v>
      </c>
      <c r="HV825" s="27" t="s">
        <v>7</v>
      </c>
      <c r="HW825" s="27" t="s">
        <v>8</v>
      </c>
      <c r="HX825" s="27" t="s">
        <v>7</v>
      </c>
      <c r="HY825" s="27" t="s">
        <v>8</v>
      </c>
      <c r="HZ825" s="27" t="s">
        <v>7</v>
      </c>
      <c r="IA825" s="27" t="s">
        <v>8</v>
      </c>
      <c r="KN825" s="27" t="s">
        <v>7</v>
      </c>
    </row>
    <row r="826" spans="1:307" x14ac:dyDescent="0.25">
      <c r="A826" s="7">
        <v>8.8015457123926614E-3</v>
      </c>
      <c r="B826"/>
      <c r="C826"/>
      <c r="D826"/>
      <c r="E826"/>
      <c r="H826" s="27" t="s">
        <v>7</v>
      </c>
      <c r="BY826" s="27" t="s">
        <v>8</v>
      </c>
      <c r="CS826" s="27" t="s">
        <v>8</v>
      </c>
      <c r="CT826" s="27" t="s">
        <v>7</v>
      </c>
      <c r="CU826" s="27" t="s">
        <v>8</v>
      </c>
      <c r="CV826" s="27" t="s">
        <v>7</v>
      </c>
      <c r="HS826" s="27" t="s">
        <v>8</v>
      </c>
      <c r="HT826" s="27" t="s">
        <v>7</v>
      </c>
      <c r="HV826" s="27" t="s">
        <v>7</v>
      </c>
      <c r="HW826" s="27" t="s">
        <v>8</v>
      </c>
      <c r="HX826" s="27" t="s">
        <v>7</v>
      </c>
      <c r="HY826" s="27" t="s">
        <v>8</v>
      </c>
      <c r="HZ826" s="27" t="s">
        <v>7</v>
      </c>
      <c r="IA826" s="27" t="s">
        <v>8</v>
      </c>
    </row>
    <row r="827" spans="1:307" x14ac:dyDescent="0.25">
      <c r="A827" s="7">
        <v>8.6289663846986879E-3</v>
      </c>
      <c r="B827"/>
      <c r="C827"/>
      <c r="D827"/>
      <c r="E827"/>
      <c r="H827" s="27" t="s">
        <v>7</v>
      </c>
      <c r="BY827" s="27" t="s">
        <v>8</v>
      </c>
      <c r="BZ827" s="27" t="s">
        <v>7</v>
      </c>
      <c r="CS827" s="27" t="s">
        <v>8</v>
      </c>
      <c r="CT827" s="27" t="s">
        <v>7</v>
      </c>
      <c r="CU827" s="27" t="s">
        <v>8</v>
      </c>
      <c r="CV827" s="27" t="s">
        <v>7</v>
      </c>
      <c r="HS827" s="27" t="s">
        <v>8</v>
      </c>
      <c r="HV827" s="27" t="s">
        <v>7</v>
      </c>
      <c r="HW827" s="27" t="s">
        <v>8</v>
      </c>
      <c r="HX827" s="27" t="s">
        <v>7</v>
      </c>
      <c r="HY827" s="27" t="s">
        <v>8</v>
      </c>
      <c r="HZ827" s="27" t="s">
        <v>7</v>
      </c>
      <c r="IA827" s="27" t="s">
        <v>8</v>
      </c>
    </row>
    <row r="828" spans="1:307" x14ac:dyDescent="0.25">
      <c r="A828" s="7">
        <v>8.4597709653908715E-3</v>
      </c>
      <c r="B828"/>
      <c r="C828"/>
      <c r="D828"/>
      <c r="E828"/>
      <c r="H828" s="27" t="s">
        <v>7</v>
      </c>
      <c r="BY828" s="27" t="s">
        <v>8</v>
      </c>
      <c r="BZ828" s="27" t="s">
        <v>7</v>
      </c>
      <c r="CS828" s="27" t="s">
        <v>8</v>
      </c>
      <c r="CT828" s="27" t="s">
        <v>7</v>
      </c>
      <c r="CU828" s="27" t="s">
        <v>8</v>
      </c>
      <c r="CV828" s="27" t="s">
        <v>7</v>
      </c>
      <c r="HS828" s="27" t="s">
        <v>8</v>
      </c>
      <c r="HV828" s="27" t="s">
        <v>7</v>
      </c>
      <c r="HW828" s="27" t="s">
        <v>8</v>
      </c>
      <c r="HX828" s="27" t="s">
        <v>7</v>
      </c>
      <c r="HY828" s="27" t="s">
        <v>8</v>
      </c>
      <c r="HZ828" s="27" t="s">
        <v>7</v>
      </c>
      <c r="IA828" s="27" t="s">
        <v>8</v>
      </c>
    </row>
    <row r="829" spans="1:307" x14ac:dyDescent="0.25">
      <c r="A829" s="7">
        <v>8.2938931033243839E-3</v>
      </c>
      <c r="B829"/>
      <c r="C829"/>
      <c r="D829"/>
      <c r="E829"/>
      <c r="H829" s="27" t="s">
        <v>7</v>
      </c>
      <c r="BY829" s="27" t="s">
        <v>8</v>
      </c>
      <c r="BZ829" s="27" t="s">
        <v>7</v>
      </c>
      <c r="CS829" s="27" t="s">
        <v>8</v>
      </c>
      <c r="CT829" s="27" t="s">
        <v>7</v>
      </c>
      <c r="CU829" s="27" t="s">
        <v>8</v>
      </c>
      <c r="CV829" s="27" t="s">
        <v>7</v>
      </c>
      <c r="FU829" s="27" t="s">
        <v>8</v>
      </c>
      <c r="HS829" s="27" t="s">
        <v>8</v>
      </c>
      <c r="HV829" s="27" t="s">
        <v>7</v>
      </c>
      <c r="HW829" s="27" t="s">
        <v>8</v>
      </c>
      <c r="HX829" s="27" t="s">
        <v>7</v>
      </c>
      <c r="HY829" s="27" t="s">
        <v>8</v>
      </c>
      <c r="HZ829" s="27" t="s">
        <v>7</v>
      </c>
    </row>
    <row r="830" spans="1:307" x14ac:dyDescent="0.25">
      <c r="A830" s="7">
        <v>8.1312677483572383E-3</v>
      </c>
      <c r="B830"/>
      <c r="C830"/>
      <c r="D830"/>
      <c r="E830"/>
      <c r="H830" s="27" t="s">
        <v>7</v>
      </c>
      <c r="I830" s="27" t="s">
        <v>8</v>
      </c>
      <c r="BY830" s="27" t="s">
        <v>8</v>
      </c>
      <c r="BZ830" s="27" t="s">
        <v>7</v>
      </c>
      <c r="CG830" s="27" t="s">
        <v>8</v>
      </c>
      <c r="CS830" s="27" t="s">
        <v>8</v>
      </c>
      <c r="CT830" s="27" t="s">
        <v>7</v>
      </c>
      <c r="CU830" s="27" t="s">
        <v>8</v>
      </c>
      <c r="CV830" s="27" t="s">
        <v>7</v>
      </c>
      <c r="FU830" s="27" t="s">
        <v>8</v>
      </c>
      <c r="FV830" s="27" t="s">
        <v>7</v>
      </c>
      <c r="HS830" s="27" t="s">
        <v>8</v>
      </c>
      <c r="HV830" s="27" t="s">
        <v>7</v>
      </c>
      <c r="HW830" s="27" t="s">
        <v>8</v>
      </c>
      <c r="HX830" s="27" t="s">
        <v>7</v>
      </c>
    </row>
    <row r="831" spans="1:307" x14ac:dyDescent="0.25">
      <c r="A831" s="7">
        <v>7.9718311258404305E-3</v>
      </c>
      <c r="B831"/>
      <c r="C831"/>
      <c r="D831"/>
      <c r="E831"/>
      <c r="H831" s="27" t="s">
        <v>7</v>
      </c>
      <c r="I831" s="27" t="s">
        <v>8</v>
      </c>
      <c r="J831" s="27" t="s">
        <v>7</v>
      </c>
      <c r="BY831" s="27" t="s">
        <v>8</v>
      </c>
      <c r="BZ831" s="27" t="s">
        <v>7</v>
      </c>
      <c r="CA831" s="27" t="s">
        <v>8</v>
      </c>
      <c r="CC831" s="27" t="s">
        <v>8</v>
      </c>
      <c r="CG831" s="27" t="s">
        <v>8</v>
      </c>
      <c r="CH831" s="27" t="s">
        <v>7</v>
      </c>
      <c r="CK831" s="27" t="s">
        <v>8</v>
      </c>
      <c r="CS831" s="27" t="s">
        <v>8</v>
      </c>
      <c r="CT831" s="27" t="s">
        <v>7</v>
      </c>
      <c r="CU831" s="27" t="s">
        <v>8</v>
      </c>
      <c r="CV831" s="27" t="s">
        <v>7</v>
      </c>
      <c r="CW831" s="27" t="s">
        <v>8</v>
      </c>
      <c r="EQ831" s="27" t="s">
        <v>8</v>
      </c>
      <c r="EY831" s="27" t="s">
        <v>8</v>
      </c>
      <c r="FU831" s="27" t="s">
        <v>8</v>
      </c>
      <c r="FV831" s="27" t="s">
        <v>7</v>
      </c>
      <c r="HS831" s="27" t="s">
        <v>8</v>
      </c>
      <c r="HV831" s="27" t="s">
        <v>7</v>
      </c>
      <c r="HW831" s="27" t="s">
        <v>8</v>
      </c>
    </row>
    <row r="832" spans="1:307" x14ac:dyDescent="0.25">
      <c r="A832" s="7">
        <v>7.8155207116082648E-3</v>
      </c>
      <c r="B832"/>
      <c r="C832"/>
      <c r="D832"/>
      <c r="E832"/>
      <c r="H832" s="27" t="s">
        <v>7</v>
      </c>
      <c r="I832" s="27" t="s">
        <v>8</v>
      </c>
      <c r="J832" s="27" t="s">
        <v>7</v>
      </c>
      <c r="BE832" s="27" t="s">
        <v>8</v>
      </c>
      <c r="BG832" s="27" t="s">
        <v>8</v>
      </c>
      <c r="BY832" s="27" t="s">
        <v>8</v>
      </c>
      <c r="BZ832" s="27" t="s">
        <v>7</v>
      </c>
      <c r="CA832" s="27" t="s">
        <v>8</v>
      </c>
      <c r="CB832" s="27" t="s">
        <v>7</v>
      </c>
      <c r="CC832" s="27" t="s">
        <v>8</v>
      </c>
      <c r="CD832" s="27" t="s">
        <v>7</v>
      </c>
      <c r="CG832" s="27" t="s">
        <v>8</v>
      </c>
      <c r="CH832" s="27" t="s">
        <v>7</v>
      </c>
      <c r="CI832" s="27" t="s">
        <v>8</v>
      </c>
      <c r="CK832" s="27" t="s">
        <v>8</v>
      </c>
      <c r="CL832" s="27" t="s">
        <v>7</v>
      </c>
      <c r="CS832" s="27" t="s">
        <v>8</v>
      </c>
      <c r="CT832" s="27" t="s">
        <v>7</v>
      </c>
      <c r="CU832" s="27" t="s">
        <v>8</v>
      </c>
      <c r="CV832" s="27" t="s">
        <v>7</v>
      </c>
      <c r="CW832" s="27" t="s">
        <v>8</v>
      </c>
      <c r="CX832" s="27" t="s">
        <v>7</v>
      </c>
      <c r="CY832" s="27" t="s">
        <v>8</v>
      </c>
      <c r="EQ832" s="27" t="s">
        <v>8</v>
      </c>
      <c r="ER832" s="27" t="s">
        <v>7</v>
      </c>
      <c r="EY832" s="27" t="s">
        <v>8</v>
      </c>
      <c r="EZ832" s="27" t="s">
        <v>7</v>
      </c>
      <c r="FU832" s="27" t="s">
        <v>8</v>
      </c>
      <c r="FV832" s="27" t="s">
        <v>7</v>
      </c>
      <c r="HS832" s="27" t="s">
        <v>8</v>
      </c>
      <c r="HV832" s="27" t="s">
        <v>7</v>
      </c>
    </row>
    <row r="833" spans="1:227" x14ac:dyDescent="0.25">
      <c r="A833" s="7">
        <v>7.6622752074590825E-3</v>
      </c>
      <c r="B833"/>
      <c r="C833"/>
      <c r="D833"/>
      <c r="E833"/>
      <c r="H833" s="27" t="s">
        <v>7</v>
      </c>
      <c r="I833" s="27" t="s">
        <v>8</v>
      </c>
      <c r="J833" s="27" t="s">
        <v>7</v>
      </c>
      <c r="BE833" s="27" t="s">
        <v>8</v>
      </c>
      <c r="BF833" s="27" t="s">
        <v>7</v>
      </c>
      <c r="BG833" s="27" t="s">
        <v>8</v>
      </c>
      <c r="BH833" s="27" t="s">
        <v>7</v>
      </c>
      <c r="BY833" s="27" t="s">
        <v>8</v>
      </c>
      <c r="BZ833" s="27" t="s">
        <v>7</v>
      </c>
      <c r="CA833" s="27" t="s">
        <v>8</v>
      </c>
      <c r="CB833" s="27" t="s">
        <v>7</v>
      </c>
      <c r="CC833" s="27" t="s">
        <v>8</v>
      </c>
      <c r="CD833" s="27" t="s">
        <v>7</v>
      </c>
      <c r="CG833" s="27" t="s">
        <v>8</v>
      </c>
      <c r="CH833" s="27" t="s">
        <v>7</v>
      </c>
      <c r="CI833" s="27" t="s">
        <v>8</v>
      </c>
      <c r="CJ833" s="27" t="s">
        <v>7</v>
      </c>
      <c r="CK833" s="27" t="s">
        <v>8</v>
      </c>
      <c r="CL833" s="27" t="s">
        <v>7</v>
      </c>
      <c r="CM833" s="27" t="s">
        <v>8</v>
      </c>
      <c r="CS833" s="27" t="s">
        <v>8</v>
      </c>
      <c r="CT833" s="27" t="s">
        <v>7</v>
      </c>
      <c r="CU833" s="27" t="s">
        <v>8</v>
      </c>
      <c r="CV833" s="27" t="s">
        <v>7</v>
      </c>
      <c r="CW833" s="27" t="s">
        <v>8</v>
      </c>
      <c r="CX833" s="27" t="s">
        <v>7</v>
      </c>
      <c r="CY833" s="27" t="s">
        <v>8</v>
      </c>
      <c r="CZ833" s="27" t="s">
        <v>7</v>
      </c>
      <c r="EQ833" s="27" t="s">
        <v>8</v>
      </c>
      <c r="ER833" s="27" t="s">
        <v>7</v>
      </c>
      <c r="ES833" s="27" t="s">
        <v>8</v>
      </c>
      <c r="EY833" s="27" t="s">
        <v>8</v>
      </c>
      <c r="EZ833" s="27" t="s">
        <v>7</v>
      </c>
      <c r="FA833" s="27" t="s">
        <v>8</v>
      </c>
      <c r="FU833" s="27" t="s">
        <v>8</v>
      </c>
      <c r="FV833" s="27" t="s">
        <v>7</v>
      </c>
      <c r="HO833" s="27" t="s">
        <v>8</v>
      </c>
      <c r="HS833" s="27" t="s">
        <v>8</v>
      </c>
    </row>
    <row r="834" spans="1:227" x14ac:dyDescent="0.25">
      <c r="A834" s="7">
        <v>7.5120345171167469E-3</v>
      </c>
      <c r="B834"/>
      <c r="C834"/>
      <c r="D834"/>
      <c r="E834"/>
      <c r="H834" s="27" t="s">
        <v>7</v>
      </c>
      <c r="I834" s="27" t="s">
        <v>8</v>
      </c>
      <c r="J834" s="27" t="s">
        <v>7</v>
      </c>
      <c r="BE834" s="27" t="s">
        <v>8</v>
      </c>
      <c r="BF834" s="27" t="s">
        <v>7</v>
      </c>
      <c r="BG834" s="27" t="s">
        <v>8</v>
      </c>
      <c r="BH834" s="27" t="s">
        <v>7</v>
      </c>
      <c r="BY834" s="27" t="s">
        <v>8</v>
      </c>
      <c r="BZ834" s="27" t="s">
        <v>7</v>
      </c>
      <c r="CA834" s="27" t="s">
        <v>8</v>
      </c>
      <c r="CB834" s="27" t="s">
        <v>7</v>
      </c>
      <c r="CC834" s="27" t="s">
        <v>8</v>
      </c>
      <c r="CD834" s="27" t="s">
        <v>7</v>
      </c>
      <c r="CE834" s="27" t="s">
        <v>8</v>
      </c>
      <c r="CG834" s="27" t="s">
        <v>8</v>
      </c>
      <c r="CH834" s="27" t="s">
        <v>7</v>
      </c>
      <c r="CI834" s="27" t="s">
        <v>8</v>
      </c>
      <c r="CJ834" s="27" t="s">
        <v>7</v>
      </c>
      <c r="CK834" s="27" t="s">
        <v>8</v>
      </c>
      <c r="CL834" s="27" t="s">
        <v>7</v>
      </c>
      <c r="CM834" s="27" t="s">
        <v>8</v>
      </c>
      <c r="CN834" s="27" t="s">
        <v>7</v>
      </c>
      <c r="CO834" s="27" t="s">
        <v>8</v>
      </c>
      <c r="CQ834" s="27" t="s">
        <v>8</v>
      </c>
      <c r="CS834" s="27" t="s">
        <v>8</v>
      </c>
      <c r="CT834" s="27" t="s">
        <v>7</v>
      </c>
      <c r="CV834" s="27" t="s">
        <v>7</v>
      </c>
      <c r="CW834" s="27" t="s">
        <v>8</v>
      </c>
      <c r="CX834" s="27" t="s">
        <v>7</v>
      </c>
      <c r="CY834" s="27" t="s">
        <v>8</v>
      </c>
      <c r="CZ834" s="27" t="s">
        <v>7</v>
      </c>
      <c r="EQ834" s="27" t="s">
        <v>8</v>
      </c>
      <c r="ER834" s="27" t="s">
        <v>7</v>
      </c>
      <c r="ES834" s="27" t="s">
        <v>8</v>
      </c>
      <c r="ET834" s="27" t="s">
        <v>7</v>
      </c>
      <c r="EY834" s="27" t="s">
        <v>8</v>
      </c>
      <c r="EZ834" s="27" t="s">
        <v>7</v>
      </c>
      <c r="FA834" s="27" t="s">
        <v>8</v>
      </c>
      <c r="FB834" s="27" t="s">
        <v>7</v>
      </c>
      <c r="FU834" s="27" t="s">
        <v>8</v>
      </c>
      <c r="FV834" s="27" t="s">
        <v>7</v>
      </c>
      <c r="HO834" s="27" t="s">
        <v>8</v>
      </c>
      <c r="HP834" s="27" t="s">
        <v>7</v>
      </c>
      <c r="HS834" s="27" t="s">
        <v>8</v>
      </c>
    </row>
    <row r="835" spans="1:227" x14ac:dyDescent="0.25">
      <c r="A835" s="7">
        <v>7.3647397226634772E-3</v>
      </c>
      <c r="B835"/>
      <c r="C835"/>
      <c r="D835"/>
      <c r="E835"/>
      <c r="H835" s="27" t="s">
        <v>7</v>
      </c>
      <c r="I835" s="27" t="s">
        <v>8</v>
      </c>
      <c r="J835" s="27" t="s">
        <v>7</v>
      </c>
      <c r="BE835" s="27" t="s">
        <v>8</v>
      </c>
      <c r="BF835" s="27" t="s">
        <v>7</v>
      </c>
      <c r="BG835" s="27" t="s">
        <v>8</v>
      </c>
      <c r="BH835" s="27" t="s">
        <v>7</v>
      </c>
      <c r="BI835" s="27" t="s">
        <v>8</v>
      </c>
      <c r="BK835" s="27" t="s">
        <v>8</v>
      </c>
      <c r="BY835" s="27" t="s">
        <v>8</v>
      </c>
      <c r="BZ835" s="27" t="s">
        <v>7</v>
      </c>
      <c r="CA835" s="27" t="s">
        <v>8</v>
      </c>
      <c r="CB835" s="27" t="s">
        <v>7</v>
      </c>
      <c r="CD835" s="27" t="s">
        <v>7</v>
      </c>
      <c r="CE835" s="27" t="s">
        <v>8</v>
      </c>
      <c r="CF835" s="27" t="s">
        <v>7</v>
      </c>
      <c r="CG835" s="27" t="s">
        <v>8</v>
      </c>
      <c r="CH835" s="27" t="s">
        <v>7</v>
      </c>
      <c r="CI835" s="27" t="s">
        <v>8</v>
      </c>
      <c r="CJ835" s="27" t="s">
        <v>7</v>
      </c>
      <c r="CK835" s="27" t="s">
        <v>8</v>
      </c>
      <c r="CL835" s="27" t="s">
        <v>7</v>
      </c>
      <c r="CM835" s="27" t="s">
        <v>8</v>
      </c>
      <c r="CN835" s="27" t="s">
        <v>7</v>
      </c>
      <c r="CO835" s="27" t="s">
        <v>8</v>
      </c>
      <c r="CP835" s="27" t="s">
        <v>7</v>
      </c>
      <c r="CQ835" s="27" t="s">
        <v>8</v>
      </c>
      <c r="CR835" s="27" t="s">
        <v>7</v>
      </c>
      <c r="CS835" s="27" t="s">
        <v>8</v>
      </c>
      <c r="CV835" s="27" t="s">
        <v>7</v>
      </c>
      <c r="CX835" s="27" t="s">
        <v>7</v>
      </c>
      <c r="CY835" s="27" t="s">
        <v>8</v>
      </c>
      <c r="CZ835" s="27" t="s">
        <v>7</v>
      </c>
      <c r="EQ835" s="27" t="s">
        <v>8</v>
      </c>
      <c r="ER835" s="27" t="s">
        <v>7</v>
      </c>
      <c r="ES835" s="27" t="s">
        <v>8</v>
      </c>
      <c r="ET835" s="27" t="s">
        <v>7</v>
      </c>
      <c r="EY835" s="27" t="s">
        <v>8</v>
      </c>
      <c r="EZ835" s="27" t="s">
        <v>7</v>
      </c>
      <c r="FA835" s="27" t="s">
        <v>8</v>
      </c>
      <c r="FB835" s="27" t="s">
        <v>7</v>
      </c>
      <c r="FE835" s="27" t="s">
        <v>8</v>
      </c>
      <c r="FU835" s="27" t="s">
        <v>8</v>
      </c>
      <c r="FV835" s="27" t="s">
        <v>7</v>
      </c>
      <c r="HO835" s="27" t="s">
        <v>8</v>
      </c>
      <c r="HP835" s="27" t="s">
        <v>7</v>
      </c>
      <c r="HQ835" s="27" t="s">
        <v>8</v>
      </c>
      <c r="HS835" s="27" t="s">
        <v>8</v>
      </c>
    </row>
    <row r="836" spans="1:227" x14ac:dyDescent="0.25">
      <c r="A836" s="7">
        <v>7.2203330614347815E-3</v>
      </c>
      <c r="B836"/>
      <c r="C836"/>
      <c r="D836"/>
      <c r="E836"/>
      <c r="H836" s="27" t="s">
        <v>7</v>
      </c>
      <c r="J836" s="27" t="s">
        <v>7</v>
      </c>
      <c r="BE836" s="27" t="s">
        <v>8</v>
      </c>
      <c r="BF836" s="27" t="s">
        <v>7</v>
      </c>
      <c r="BG836" s="27" t="s">
        <v>8</v>
      </c>
      <c r="BH836" s="27" t="s">
        <v>7</v>
      </c>
      <c r="BI836" s="27" t="s">
        <v>8</v>
      </c>
      <c r="BJ836" s="27" t="s">
        <v>7</v>
      </c>
      <c r="BK836" s="27" t="s">
        <v>8</v>
      </c>
      <c r="BL836" s="27" t="s">
        <v>7</v>
      </c>
      <c r="BY836" s="27" t="s">
        <v>8</v>
      </c>
      <c r="BZ836" s="27" t="s">
        <v>7</v>
      </c>
      <c r="CA836" s="27" t="s">
        <v>8</v>
      </c>
      <c r="CD836" s="27" t="s">
        <v>7</v>
      </c>
      <c r="CE836" s="27" t="s">
        <v>8</v>
      </c>
      <c r="CF836" s="27" t="s">
        <v>7</v>
      </c>
      <c r="CG836" s="27" t="s">
        <v>8</v>
      </c>
      <c r="CH836" s="27" t="s">
        <v>7</v>
      </c>
      <c r="CI836" s="27" t="s">
        <v>8</v>
      </c>
      <c r="CJ836" s="27" t="s">
        <v>7</v>
      </c>
      <c r="CK836" s="27" t="s">
        <v>8</v>
      </c>
      <c r="CL836" s="27" t="s">
        <v>7</v>
      </c>
      <c r="CM836" s="27" t="s">
        <v>8</v>
      </c>
      <c r="CN836" s="27" t="s">
        <v>7</v>
      </c>
      <c r="CO836" s="27" t="s">
        <v>8</v>
      </c>
      <c r="CP836" s="27" t="s">
        <v>7</v>
      </c>
      <c r="CQ836" s="27" t="s">
        <v>8</v>
      </c>
      <c r="CR836" s="27" t="s">
        <v>7</v>
      </c>
      <c r="CS836" s="27" t="s">
        <v>8</v>
      </c>
      <c r="CX836" s="27" t="s">
        <v>7</v>
      </c>
      <c r="CZ836" s="27" t="s">
        <v>7</v>
      </c>
      <c r="DA836" s="27" t="s">
        <v>8</v>
      </c>
      <c r="EQ836" s="27" t="s">
        <v>8</v>
      </c>
      <c r="ER836" s="27" t="s">
        <v>7</v>
      </c>
      <c r="ET836" s="27" t="s">
        <v>7</v>
      </c>
      <c r="EY836" s="27" t="s">
        <v>8</v>
      </c>
      <c r="EZ836" s="27" t="s">
        <v>7</v>
      </c>
      <c r="FA836" s="27" t="s">
        <v>8</v>
      </c>
      <c r="FB836" s="27" t="s">
        <v>7</v>
      </c>
      <c r="FC836" s="27" t="s">
        <v>8</v>
      </c>
      <c r="FE836" s="27" t="s">
        <v>8</v>
      </c>
      <c r="FF836" s="27" t="s">
        <v>7</v>
      </c>
      <c r="FU836" s="27" t="s">
        <v>8</v>
      </c>
      <c r="FV836" s="27" t="s">
        <v>7</v>
      </c>
      <c r="FW836" s="27" t="s">
        <v>8</v>
      </c>
      <c r="FY836" s="27" t="s">
        <v>8</v>
      </c>
      <c r="HO836" s="27" t="s">
        <v>8</v>
      </c>
      <c r="HP836" s="27" t="s">
        <v>7</v>
      </c>
      <c r="HQ836" s="27" t="s">
        <v>8</v>
      </c>
      <c r="HR836" s="27" t="s">
        <v>7</v>
      </c>
      <c r="HS836" s="27" t="s">
        <v>8</v>
      </c>
    </row>
    <row r="837" spans="1:227" x14ac:dyDescent="0.25">
      <c r="A837" s="7">
        <v>7.0787579033674327E-3</v>
      </c>
      <c r="B837"/>
      <c r="C837"/>
      <c r="D837"/>
      <c r="E837"/>
      <c r="J837" s="27" t="s">
        <v>7</v>
      </c>
      <c r="BE837" s="27" t="s">
        <v>8</v>
      </c>
      <c r="BF837" s="27" t="s">
        <v>7</v>
      </c>
      <c r="BG837" s="27" t="s">
        <v>8</v>
      </c>
      <c r="BH837" s="27" t="s">
        <v>7</v>
      </c>
      <c r="BI837" s="27" t="s">
        <v>8</v>
      </c>
      <c r="BJ837" s="27" t="s">
        <v>7</v>
      </c>
      <c r="BK837" s="27" t="s">
        <v>8</v>
      </c>
      <c r="BL837" s="27" t="s">
        <v>7</v>
      </c>
      <c r="BY837" s="27" t="s">
        <v>8</v>
      </c>
      <c r="BZ837" s="27" t="s">
        <v>7</v>
      </c>
      <c r="CA837" s="27" t="s">
        <v>8</v>
      </c>
      <c r="CD837" s="27" t="s">
        <v>7</v>
      </c>
      <c r="CE837" s="27" t="s">
        <v>8</v>
      </c>
      <c r="CF837" s="27" t="s">
        <v>7</v>
      </c>
      <c r="CH837" s="27" t="s">
        <v>7</v>
      </c>
      <c r="CJ837" s="27" t="s">
        <v>7</v>
      </c>
      <c r="CK837" s="27" t="s">
        <v>8</v>
      </c>
      <c r="CL837" s="27" t="s">
        <v>7</v>
      </c>
      <c r="CN837" s="27" t="s">
        <v>7</v>
      </c>
      <c r="CP837" s="27" t="s">
        <v>7</v>
      </c>
      <c r="CQ837" s="27" t="s">
        <v>8</v>
      </c>
      <c r="CR837" s="27" t="s">
        <v>7</v>
      </c>
      <c r="CZ837" s="27" t="s">
        <v>7</v>
      </c>
      <c r="DA837" s="27" t="s">
        <v>8</v>
      </c>
      <c r="DB837" s="27" t="s">
        <v>7</v>
      </c>
      <c r="EQ837" s="27" t="s">
        <v>8</v>
      </c>
      <c r="ET837" s="27" t="s">
        <v>7</v>
      </c>
      <c r="EY837" s="27" t="s">
        <v>8</v>
      </c>
      <c r="EZ837" s="27" t="s">
        <v>7</v>
      </c>
      <c r="FA837" s="27" t="s">
        <v>8</v>
      </c>
      <c r="FB837" s="27" t="s">
        <v>7</v>
      </c>
      <c r="FC837" s="27" t="s">
        <v>8</v>
      </c>
      <c r="FD837" s="27" t="s">
        <v>7</v>
      </c>
      <c r="FE837" s="27" t="s">
        <v>8</v>
      </c>
      <c r="FF837" s="27" t="s">
        <v>7</v>
      </c>
      <c r="FU837" s="27" t="s">
        <v>8</v>
      </c>
      <c r="FV837" s="27" t="s">
        <v>7</v>
      </c>
      <c r="FW837" s="27" t="s">
        <v>8</v>
      </c>
      <c r="FX837" s="27" t="s">
        <v>7</v>
      </c>
      <c r="FY837" s="27" t="s">
        <v>8</v>
      </c>
      <c r="FZ837" s="27" t="s">
        <v>7</v>
      </c>
      <c r="HO837" s="27" t="s">
        <v>8</v>
      </c>
      <c r="HP837" s="27" t="s">
        <v>7</v>
      </c>
      <c r="HQ837" s="27" t="s">
        <v>8</v>
      </c>
      <c r="HR837" s="27" t="s">
        <v>7</v>
      </c>
      <c r="HS837" s="27" t="s">
        <v>8</v>
      </c>
    </row>
    <row r="838" spans="1:227" x14ac:dyDescent="0.25">
      <c r="A838" s="7">
        <v>6.9399587287916013E-3</v>
      </c>
      <c r="B838"/>
      <c r="C838"/>
      <c r="D838"/>
      <c r="E838"/>
      <c r="J838" s="27" t="s">
        <v>7</v>
      </c>
      <c r="BE838" s="27" t="s">
        <v>8</v>
      </c>
      <c r="BF838" s="27" t="s">
        <v>7</v>
      </c>
      <c r="BG838" s="27" t="s">
        <v>8</v>
      </c>
      <c r="BH838" s="27" t="s">
        <v>7</v>
      </c>
      <c r="BJ838" s="27" t="s">
        <v>7</v>
      </c>
      <c r="BK838" s="27" t="s">
        <v>8</v>
      </c>
      <c r="BL838" s="27" t="s">
        <v>7</v>
      </c>
      <c r="BM838" s="27" t="s">
        <v>8</v>
      </c>
      <c r="BY838" s="27" t="s">
        <v>8</v>
      </c>
      <c r="BZ838" s="27" t="s">
        <v>7</v>
      </c>
      <c r="CD838" s="27" t="s">
        <v>7</v>
      </c>
      <c r="CJ838" s="27" t="s">
        <v>7</v>
      </c>
      <c r="CK838" s="27" t="s">
        <v>8</v>
      </c>
      <c r="CP838" s="27" t="s">
        <v>7</v>
      </c>
      <c r="CQ838" s="27" t="s">
        <v>8</v>
      </c>
      <c r="CZ838" s="27" t="s">
        <v>7</v>
      </c>
      <c r="DA838" s="27" t="s">
        <v>8</v>
      </c>
      <c r="DB838" s="27" t="s">
        <v>7</v>
      </c>
      <c r="EQ838" s="27" t="s">
        <v>8</v>
      </c>
      <c r="ET838" s="27" t="s">
        <v>7</v>
      </c>
      <c r="EY838" s="27" t="s">
        <v>8</v>
      </c>
      <c r="EZ838" s="27" t="s">
        <v>7</v>
      </c>
      <c r="FA838" s="27" t="s">
        <v>8</v>
      </c>
      <c r="FB838" s="27" t="s">
        <v>7</v>
      </c>
      <c r="FC838" s="27" t="s">
        <v>8</v>
      </c>
      <c r="FD838" s="27" t="s">
        <v>7</v>
      </c>
      <c r="FE838" s="27" t="s">
        <v>8</v>
      </c>
      <c r="FF838" s="27" t="s">
        <v>7</v>
      </c>
      <c r="FS838" s="27" t="s">
        <v>8</v>
      </c>
      <c r="FU838" s="27" t="s">
        <v>8</v>
      </c>
      <c r="FV838" s="27" t="s">
        <v>7</v>
      </c>
      <c r="FW838" s="27" t="s">
        <v>8</v>
      </c>
      <c r="FX838" s="27" t="s">
        <v>7</v>
      </c>
      <c r="FY838" s="27" t="s">
        <v>8</v>
      </c>
      <c r="FZ838" s="27" t="s">
        <v>7</v>
      </c>
      <c r="HM838" s="27" t="s">
        <v>8</v>
      </c>
      <c r="HO838" s="27" t="s">
        <v>8</v>
      </c>
      <c r="HP838" s="27" t="s">
        <v>7</v>
      </c>
      <c r="HQ838" s="27" t="s">
        <v>8</v>
      </c>
      <c r="HR838" s="27" t="s">
        <v>7</v>
      </c>
    </row>
    <row r="839" spans="1:227" x14ac:dyDescent="0.25">
      <c r="A839" s="7">
        <v>6.8038811066584333E-3</v>
      </c>
      <c r="B839"/>
      <c r="C839"/>
      <c r="D839"/>
      <c r="E839"/>
      <c r="J839" s="27" t="s">
        <v>7</v>
      </c>
      <c r="BE839" s="27" t="s">
        <v>8</v>
      </c>
      <c r="BF839" s="27" t="s">
        <v>7</v>
      </c>
      <c r="BJ839" s="27" t="s">
        <v>7</v>
      </c>
      <c r="BK839" s="27" t="s">
        <v>8</v>
      </c>
      <c r="BL839" s="27" t="s">
        <v>7</v>
      </c>
      <c r="BM839" s="27" t="s">
        <v>8</v>
      </c>
      <c r="BN839" s="27" t="s">
        <v>7</v>
      </c>
      <c r="BY839" s="27" t="s">
        <v>8</v>
      </c>
      <c r="CJ839" s="27" t="s">
        <v>7</v>
      </c>
      <c r="CP839" s="27" t="s">
        <v>7</v>
      </c>
      <c r="CQ839" s="27" t="s">
        <v>8</v>
      </c>
      <c r="CZ839" s="27" t="s">
        <v>7</v>
      </c>
      <c r="DA839" s="27" t="s">
        <v>8</v>
      </c>
      <c r="DB839" s="27" t="s">
        <v>7</v>
      </c>
      <c r="EQ839" s="27" t="s">
        <v>8</v>
      </c>
      <c r="ET839" s="27" t="s">
        <v>7</v>
      </c>
      <c r="EY839" s="27" t="s">
        <v>8</v>
      </c>
      <c r="EZ839" s="27" t="s">
        <v>7</v>
      </c>
      <c r="FB839" s="27" t="s">
        <v>7</v>
      </c>
      <c r="FC839" s="27" t="s">
        <v>8</v>
      </c>
      <c r="FD839" s="27" t="s">
        <v>7</v>
      </c>
      <c r="FE839" s="27" t="s">
        <v>8</v>
      </c>
      <c r="FF839" s="27" t="s">
        <v>7</v>
      </c>
      <c r="FS839" s="27" t="s">
        <v>8</v>
      </c>
      <c r="FT839" s="27" t="s">
        <v>7</v>
      </c>
      <c r="FU839" s="27" t="s">
        <v>8</v>
      </c>
      <c r="FV839" s="27" t="s">
        <v>7</v>
      </c>
      <c r="FW839" s="27" t="s">
        <v>8</v>
      </c>
      <c r="FX839" s="27" t="s">
        <v>7</v>
      </c>
      <c r="FY839" s="27" t="s">
        <v>8</v>
      </c>
      <c r="FZ839" s="27" t="s">
        <v>7</v>
      </c>
      <c r="HM839" s="27" t="s">
        <v>8</v>
      </c>
      <c r="HN839" s="27" t="s">
        <v>7</v>
      </c>
      <c r="HO839" s="27" t="s">
        <v>8</v>
      </c>
      <c r="HP839" s="27" t="s">
        <v>7</v>
      </c>
      <c r="HQ839" s="27" t="s">
        <v>8</v>
      </c>
    </row>
    <row r="840" spans="1:227" x14ac:dyDescent="0.25">
      <c r="A840" s="7">
        <v>6.6704716731945425E-3</v>
      </c>
      <c r="B840"/>
      <c r="C840"/>
      <c r="D840"/>
      <c r="E840"/>
      <c r="J840" s="27" t="s">
        <v>7</v>
      </c>
      <c r="BE840" s="27" t="s">
        <v>8</v>
      </c>
      <c r="BJ840" s="27" t="s">
        <v>7</v>
      </c>
      <c r="BK840" s="27" t="s">
        <v>8</v>
      </c>
      <c r="BL840" s="27" t="s">
        <v>7</v>
      </c>
      <c r="BM840" s="27" t="s">
        <v>8</v>
      </c>
      <c r="BN840" s="27" t="s">
        <v>7</v>
      </c>
      <c r="BQ840" s="27" t="s">
        <v>8</v>
      </c>
      <c r="BS840" s="27" t="s">
        <v>8</v>
      </c>
      <c r="BY840" s="27" t="s">
        <v>8</v>
      </c>
      <c r="CP840" s="27" t="s">
        <v>7</v>
      </c>
      <c r="CQ840" s="27" t="s">
        <v>8</v>
      </c>
      <c r="CZ840" s="27" t="s">
        <v>7</v>
      </c>
      <c r="DA840" s="27" t="s">
        <v>8</v>
      </c>
      <c r="DB840" s="27" t="s">
        <v>7</v>
      </c>
      <c r="EO840" s="27" t="s">
        <v>8</v>
      </c>
      <c r="EQ840" s="27" t="s">
        <v>8</v>
      </c>
      <c r="ET840" s="27" t="s">
        <v>7</v>
      </c>
      <c r="EY840" s="27" t="s">
        <v>8</v>
      </c>
      <c r="FB840" s="27" t="s">
        <v>7</v>
      </c>
      <c r="FC840" s="27" t="s">
        <v>8</v>
      </c>
      <c r="FD840" s="27" t="s">
        <v>7</v>
      </c>
      <c r="FF840" s="27" t="s">
        <v>7</v>
      </c>
      <c r="FS840" s="27" t="s">
        <v>8</v>
      </c>
      <c r="FT840" s="27" t="s">
        <v>7</v>
      </c>
      <c r="FU840" s="27" t="s">
        <v>8</v>
      </c>
      <c r="FV840" s="27" t="s">
        <v>7</v>
      </c>
      <c r="FW840" s="27" t="s">
        <v>8</v>
      </c>
      <c r="FX840" s="27" t="s">
        <v>7</v>
      </c>
      <c r="FY840" s="27" t="s">
        <v>8</v>
      </c>
      <c r="FZ840" s="27" t="s">
        <v>7</v>
      </c>
      <c r="HM840" s="27" t="s">
        <v>8</v>
      </c>
      <c r="HN840" s="27" t="s">
        <v>7</v>
      </c>
      <c r="HO840" s="27" t="s">
        <v>8</v>
      </c>
      <c r="HP840" s="27" t="s">
        <v>7</v>
      </c>
    </row>
    <row r="841" spans="1:227" x14ac:dyDescent="0.25">
      <c r="A841" s="7">
        <v>6.5396781109750427E-3</v>
      </c>
      <c r="B841"/>
      <c r="C841"/>
      <c r="D841"/>
      <c r="E841"/>
      <c r="J841" s="27" t="s">
        <v>7</v>
      </c>
      <c r="BE841" s="27" t="s">
        <v>8</v>
      </c>
      <c r="BJ841" s="27" t="s">
        <v>7</v>
      </c>
      <c r="BK841" s="27" t="s">
        <v>8</v>
      </c>
      <c r="BL841" s="27" t="s">
        <v>7</v>
      </c>
      <c r="BN841" s="27" t="s">
        <v>7</v>
      </c>
      <c r="BQ841" s="27" t="s">
        <v>8</v>
      </c>
      <c r="BR841" s="27" t="s">
        <v>7</v>
      </c>
      <c r="BS841" s="27" t="s">
        <v>8</v>
      </c>
      <c r="BT841" s="27" t="s">
        <v>7</v>
      </c>
      <c r="BW841" s="27" t="s">
        <v>8</v>
      </c>
      <c r="BY841" s="27" t="s">
        <v>8</v>
      </c>
      <c r="CP841" s="27" t="s">
        <v>7</v>
      </c>
      <c r="CZ841" s="27" t="s">
        <v>7</v>
      </c>
      <c r="DA841" s="27" t="s">
        <v>8</v>
      </c>
      <c r="DB841" s="27" t="s">
        <v>7</v>
      </c>
      <c r="EO841" s="27" t="s">
        <v>8</v>
      </c>
      <c r="EP841" s="27" t="s">
        <v>7</v>
      </c>
      <c r="EQ841" s="27" t="s">
        <v>8</v>
      </c>
      <c r="ET841" s="27" t="s">
        <v>7</v>
      </c>
      <c r="EW841" s="27" t="s">
        <v>8</v>
      </c>
      <c r="EY841" s="27" t="s">
        <v>8</v>
      </c>
      <c r="FB841" s="27" t="s">
        <v>7</v>
      </c>
      <c r="FF841" s="27" t="s">
        <v>7</v>
      </c>
      <c r="FQ841" s="27" t="s">
        <v>8</v>
      </c>
      <c r="FS841" s="27" t="s">
        <v>8</v>
      </c>
      <c r="FT841" s="27" t="s">
        <v>7</v>
      </c>
      <c r="FU841" s="27" t="s">
        <v>8</v>
      </c>
      <c r="FV841" s="27" t="s">
        <v>7</v>
      </c>
      <c r="FW841" s="27" t="s">
        <v>8</v>
      </c>
      <c r="FX841" s="27" t="s">
        <v>7</v>
      </c>
      <c r="FY841" s="27" t="s">
        <v>8</v>
      </c>
      <c r="FZ841" s="27" t="s">
        <v>7</v>
      </c>
      <c r="HM841" s="27" t="s">
        <v>8</v>
      </c>
      <c r="HN841" s="27" t="s">
        <v>7</v>
      </c>
      <c r="HO841" s="27" t="s">
        <v>8</v>
      </c>
    </row>
    <row r="842" spans="1:227" x14ac:dyDescent="0.25">
      <c r="A842" s="7">
        <v>6.4114491284069045E-3</v>
      </c>
      <c r="B842"/>
      <c r="C842"/>
      <c r="D842"/>
      <c r="E842"/>
      <c r="J842" s="27" t="s">
        <v>7</v>
      </c>
      <c r="BE842" s="27" t="s">
        <v>8</v>
      </c>
      <c r="BJ842" s="27" t="s">
        <v>7</v>
      </c>
      <c r="BK842" s="27" t="s">
        <v>8</v>
      </c>
      <c r="BN842" s="27" t="s">
        <v>7</v>
      </c>
      <c r="BQ842" s="27" t="s">
        <v>8</v>
      </c>
      <c r="BR842" s="27" t="s">
        <v>7</v>
      </c>
      <c r="BS842" s="27" t="s">
        <v>8</v>
      </c>
      <c r="BT842" s="27" t="s">
        <v>7</v>
      </c>
      <c r="BU842" s="27" t="s">
        <v>8</v>
      </c>
      <c r="BW842" s="27" t="s">
        <v>8</v>
      </c>
      <c r="BX842" s="27" t="s">
        <v>7</v>
      </c>
      <c r="BY842" s="27" t="s">
        <v>8</v>
      </c>
      <c r="CZ842" s="27" t="s">
        <v>7</v>
      </c>
      <c r="DA842" s="27" t="s">
        <v>8</v>
      </c>
      <c r="DB842" s="27" t="s">
        <v>7</v>
      </c>
      <c r="DE842" s="27" t="s">
        <v>8</v>
      </c>
      <c r="EO842" s="27" t="s">
        <v>8</v>
      </c>
      <c r="EP842" s="27" t="s">
        <v>7</v>
      </c>
      <c r="EQ842" s="27" t="s">
        <v>8</v>
      </c>
      <c r="ET842" s="27" t="s">
        <v>7</v>
      </c>
      <c r="EW842" s="27" t="s">
        <v>8</v>
      </c>
      <c r="EX842" s="27" t="s">
        <v>7</v>
      </c>
      <c r="EY842" s="27" t="s">
        <v>8</v>
      </c>
      <c r="FF842" s="27" t="s">
        <v>7</v>
      </c>
      <c r="FQ842" s="27" t="s">
        <v>8</v>
      </c>
      <c r="FR842" s="27" t="s">
        <v>7</v>
      </c>
      <c r="FS842" s="27" t="s">
        <v>8</v>
      </c>
      <c r="FT842" s="27" t="s">
        <v>7</v>
      </c>
      <c r="FV842" s="27" t="s">
        <v>7</v>
      </c>
      <c r="FW842" s="27" t="s">
        <v>8</v>
      </c>
      <c r="FX842" s="27" t="s">
        <v>7</v>
      </c>
      <c r="FZ842" s="27" t="s">
        <v>7</v>
      </c>
      <c r="HM842" s="27" t="s">
        <v>8</v>
      </c>
      <c r="HN842" s="27" t="s">
        <v>7</v>
      </c>
      <c r="HO842" s="27" t="s">
        <v>8</v>
      </c>
    </row>
    <row r="843" spans="1:227" x14ac:dyDescent="0.25">
      <c r="A843" s="7">
        <v>6.2857344396146115E-3</v>
      </c>
      <c r="B843"/>
      <c r="C843"/>
      <c r="D843"/>
      <c r="E843"/>
      <c r="J843" s="27" t="s">
        <v>7</v>
      </c>
      <c r="BE843" s="27" t="s">
        <v>8</v>
      </c>
      <c r="BJ843" s="27" t="s">
        <v>7</v>
      </c>
      <c r="BK843" s="27" t="s">
        <v>8</v>
      </c>
      <c r="BN843" s="27" t="s">
        <v>7</v>
      </c>
      <c r="BO843" s="27" t="s">
        <v>8</v>
      </c>
      <c r="BQ843" s="27" t="s">
        <v>8</v>
      </c>
      <c r="BR843" s="27" t="s">
        <v>7</v>
      </c>
      <c r="BT843" s="27" t="s">
        <v>7</v>
      </c>
      <c r="BU843" s="27" t="s">
        <v>8</v>
      </c>
      <c r="BV843" s="27" t="s">
        <v>7</v>
      </c>
      <c r="BW843" s="27" t="s">
        <v>8</v>
      </c>
      <c r="BX843" s="27" t="s">
        <v>7</v>
      </c>
      <c r="BY843" s="27" t="s">
        <v>8</v>
      </c>
      <c r="CZ843" s="27" t="s">
        <v>7</v>
      </c>
      <c r="DA843" s="27" t="s">
        <v>8</v>
      </c>
      <c r="DB843" s="27" t="s">
        <v>7</v>
      </c>
      <c r="DE843" s="27" t="s">
        <v>8</v>
      </c>
      <c r="DF843" s="27" t="s">
        <v>7</v>
      </c>
      <c r="EO843" s="27" t="s">
        <v>8</v>
      </c>
      <c r="EP843" s="27" t="s">
        <v>7</v>
      </c>
      <c r="EQ843" s="27" t="s">
        <v>8</v>
      </c>
      <c r="ET843" s="27" t="s">
        <v>7</v>
      </c>
      <c r="EW843" s="27" t="s">
        <v>8</v>
      </c>
      <c r="EX843" s="27" t="s">
        <v>7</v>
      </c>
      <c r="EY843" s="27" t="s">
        <v>8</v>
      </c>
      <c r="FF843" s="27" t="s">
        <v>7</v>
      </c>
      <c r="FG843" s="27" t="s">
        <v>8</v>
      </c>
      <c r="FQ843" s="27" t="s">
        <v>8</v>
      </c>
      <c r="FR843" s="27" t="s">
        <v>7</v>
      </c>
      <c r="FS843" s="27" t="s">
        <v>8</v>
      </c>
      <c r="FV843" s="27" t="s">
        <v>7</v>
      </c>
      <c r="FZ843" s="27" t="s">
        <v>7</v>
      </c>
      <c r="GC843" s="27" t="s">
        <v>8</v>
      </c>
      <c r="HM843" s="27" t="s">
        <v>8</v>
      </c>
      <c r="HN843" s="27" t="s">
        <v>7</v>
      </c>
    </row>
    <row r="844" spans="1:227" x14ac:dyDescent="0.25">
      <c r="A844" s="7">
        <v>6.1624847447202076E-3</v>
      </c>
      <c r="B844"/>
      <c r="C844"/>
      <c r="D844"/>
      <c r="E844"/>
      <c r="J844" s="27" t="s">
        <v>7</v>
      </c>
      <c r="BE844" s="27" t="s">
        <v>8</v>
      </c>
      <c r="BJ844" s="27" t="s">
        <v>7</v>
      </c>
      <c r="BN844" s="27" t="s">
        <v>7</v>
      </c>
      <c r="BO844" s="27" t="s">
        <v>8</v>
      </c>
      <c r="BP844" s="27" t="s">
        <v>7</v>
      </c>
      <c r="BQ844" s="27" t="s">
        <v>8</v>
      </c>
      <c r="BT844" s="27" t="s">
        <v>7</v>
      </c>
      <c r="BU844" s="27" t="s">
        <v>8</v>
      </c>
      <c r="BV844" s="27" t="s">
        <v>7</v>
      </c>
      <c r="BW844" s="27" t="s">
        <v>8</v>
      </c>
      <c r="BX844" s="27" t="s">
        <v>7</v>
      </c>
      <c r="BY844" s="27" t="s">
        <v>8</v>
      </c>
      <c r="CZ844" s="27" t="s">
        <v>7</v>
      </c>
      <c r="DA844" s="27" t="s">
        <v>8</v>
      </c>
      <c r="DB844" s="27" t="s">
        <v>7</v>
      </c>
      <c r="DE844" s="27" t="s">
        <v>8</v>
      </c>
      <c r="DF844" s="27" t="s">
        <v>7</v>
      </c>
      <c r="EO844" s="27" t="s">
        <v>8</v>
      </c>
      <c r="EP844" s="27" t="s">
        <v>7</v>
      </c>
      <c r="ET844" s="27" t="s">
        <v>7</v>
      </c>
      <c r="EW844" s="27" t="s">
        <v>8</v>
      </c>
      <c r="EX844" s="27" t="s">
        <v>7</v>
      </c>
      <c r="EY844" s="27" t="s">
        <v>8</v>
      </c>
      <c r="FF844" s="27" t="s">
        <v>7</v>
      </c>
      <c r="FG844" s="27" t="s">
        <v>8</v>
      </c>
      <c r="FH844" s="27" t="s">
        <v>7</v>
      </c>
      <c r="FO844" s="27" t="s">
        <v>8</v>
      </c>
      <c r="FQ844" s="27" t="s">
        <v>8</v>
      </c>
      <c r="FR844" s="27" t="s">
        <v>7</v>
      </c>
      <c r="FS844" s="27" t="s">
        <v>8</v>
      </c>
      <c r="FZ844" s="27" t="s">
        <v>7</v>
      </c>
      <c r="GC844" s="27" t="s">
        <v>8</v>
      </c>
      <c r="GD844" s="27" t="s">
        <v>7</v>
      </c>
      <c r="HM844" s="27" t="s">
        <v>8</v>
      </c>
    </row>
    <row r="845" spans="1:227" x14ac:dyDescent="0.25">
      <c r="A845" s="7">
        <v>6.0416517105100079E-3</v>
      </c>
      <c r="B845"/>
      <c r="C845"/>
      <c r="D845"/>
      <c r="E845"/>
      <c r="J845" s="27" t="s">
        <v>7</v>
      </c>
      <c r="K845" s="27" t="s">
        <v>8</v>
      </c>
      <c r="BA845" s="27" t="s">
        <v>8</v>
      </c>
      <c r="BC845" s="27" t="s">
        <v>8</v>
      </c>
      <c r="BE845" s="27" t="s">
        <v>8</v>
      </c>
      <c r="BN845" s="27" t="s">
        <v>7</v>
      </c>
      <c r="BO845" s="27" t="s">
        <v>8</v>
      </c>
      <c r="BP845" s="27" t="s">
        <v>7</v>
      </c>
      <c r="BQ845" s="27" t="s">
        <v>8</v>
      </c>
      <c r="BT845" s="27" t="s">
        <v>7</v>
      </c>
      <c r="BV845" s="27" t="s">
        <v>7</v>
      </c>
      <c r="BW845" s="27" t="s">
        <v>8</v>
      </c>
      <c r="BX845" s="27" t="s">
        <v>7</v>
      </c>
      <c r="BY845" s="27" t="s">
        <v>8</v>
      </c>
      <c r="CZ845" s="27" t="s">
        <v>7</v>
      </c>
      <c r="DA845" s="27" t="s">
        <v>8</v>
      </c>
      <c r="DB845" s="27" t="s">
        <v>7</v>
      </c>
      <c r="DE845" s="27" t="s">
        <v>8</v>
      </c>
      <c r="DF845" s="27" t="s">
        <v>7</v>
      </c>
      <c r="DG845" s="27" t="s">
        <v>8</v>
      </c>
      <c r="EO845" s="27" t="s">
        <v>8</v>
      </c>
      <c r="ET845" s="27" t="s">
        <v>7</v>
      </c>
      <c r="EU845" s="27" t="s">
        <v>8</v>
      </c>
      <c r="EW845" s="27" t="s">
        <v>8</v>
      </c>
      <c r="EX845" s="27" t="s">
        <v>7</v>
      </c>
      <c r="EY845" s="27" t="s">
        <v>8</v>
      </c>
      <c r="FF845" s="27" t="s">
        <v>7</v>
      </c>
      <c r="FG845" s="27" t="s">
        <v>8</v>
      </c>
      <c r="FH845" s="27" t="s">
        <v>7</v>
      </c>
      <c r="FO845" s="27" t="s">
        <v>8</v>
      </c>
      <c r="FP845" s="27" t="s">
        <v>7</v>
      </c>
      <c r="FQ845" s="27" t="s">
        <v>8</v>
      </c>
      <c r="FR845" s="27" t="s">
        <v>7</v>
      </c>
      <c r="FS845" s="27" t="s">
        <v>8</v>
      </c>
      <c r="FZ845" s="27" t="s">
        <v>7</v>
      </c>
      <c r="GC845" s="27" t="s">
        <v>8</v>
      </c>
      <c r="GD845" s="27" t="s">
        <v>7</v>
      </c>
      <c r="HM845" s="27" t="s">
        <v>8</v>
      </c>
    </row>
    <row r="846" spans="1:227" x14ac:dyDescent="0.25">
      <c r="A846" s="7">
        <v>5.9231879514803996E-3</v>
      </c>
      <c r="B846"/>
      <c r="C846"/>
      <c r="D846"/>
      <c r="E846"/>
      <c r="J846" s="27" t="s">
        <v>7</v>
      </c>
      <c r="K846" s="27" t="s">
        <v>8</v>
      </c>
      <c r="L846" s="27" t="s">
        <v>7</v>
      </c>
      <c r="BA846" s="27" t="s">
        <v>8</v>
      </c>
      <c r="BB846" s="27" t="s">
        <v>7</v>
      </c>
      <c r="BC846" s="27" t="s">
        <v>8</v>
      </c>
      <c r="BD846" s="27" t="s">
        <v>7</v>
      </c>
      <c r="BE846" s="27" t="s">
        <v>8</v>
      </c>
      <c r="BN846" s="27" t="s">
        <v>7</v>
      </c>
      <c r="BO846" s="27" t="s">
        <v>8</v>
      </c>
      <c r="BP846" s="27" t="s">
        <v>7</v>
      </c>
      <c r="BQ846" s="27" t="s">
        <v>8</v>
      </c>
      <c r="BV846" s="27" t="s">
        <v>7</v>
      </c>
      <c r="BW846" s="27" t="s">
        <v>8</v>
      </c>
      <c r="BX846" s="27" t="s">
        <v>7</v>
      </c>
      <c r="CZ846" s="27" t="s">
        <v>7</v>
      </c>
      <c r="DA846" s="27" t="s">
        <v>8</v>
      </c>
      <c r="DB846" s="27" t="s">
        <v>7</v>
      </c>
      <c r="DE846" s="27" t="s">
        <v>8</v>
      </c>
      <c r="DF846" s="27" t="s">
        <v>7</v>
      </c>
      <c r="DG846" s="27" t="s">
        <v>8</v>
      </c>
      <c r="DH846" s="27" t="s">
        <v>7</v>
      </c>
      <c r="EM846" s="27" t="s">
        <v>8</v>
      </c>
      <c r="EO846" s="27" t="s">
        <v>8</v>
      </c>
      <c r="ET846" s="27" t="s">
        <v>7</v>
      </c>
      <c r="EU846" s="27" t="s">
        <v>8</v>
      </c>
      <c r="EV846" s="27" t="s">
        <v>7</v>
      </c>
      <c r="EW846" s="27" t="s">
        <v>8</v>
      </c>
      <c r="EX846" s="27" t="s">
        <v>7</v>
      </c>
      <c r="EY846" s="27" t="s">
        <v>8</v>
      </c>
      <c r="FF846" s="27" t="s">
        <v>7</v>
      </c>
      <c r="FG846" s="27" t="s">
        <v>8</v>
      </c>
      <c r="FH846" s="27" t="s">
        <v>7</v>
      </c>
      <c r="FO846" s="27" t="s">
        <v>8</v>
      </c>
      <c r="FP846" s="27" t="s">
        <v>7</v>
      </c>
      <c r="FQ846" s="27" t="s">
        <v>8</v>
      </c>
      <c r="FR846" s="27" t="s">
        <v>7</v>
      </c>
      <c r="FS846" s="27" t="s">
        <v>8</v>
      </c>
      <c r="FZ846" s="27" t="s">
        <v>7</v>
      </c>
      <c r="GC846" s="27" t="s">
        <v>8</v>
      </c>
      <c r="GD846" s="27" t="s">
        <v>7</v>
      </c>
      <c r="HM846" s="27" t="s">
        <v>8</v>
      </c>
    </row>
    <row r="847" spans="1:227" x14ac:dyDescent="0.25">
      <c r="A847" s="7">
        <v>5.8070470112552936E-3</v>
      </c>
      <c r="B847"/>
      <c r="C847"/>
      <c r="D847"/>
      <c r="E847"/>
      <c r="J847" s="27" t="s">
        <v>7</v>
      </c>
      <c r="K847" s="27" t="s">
        <v>8</v>
      </c>
      <c r="L847" s="27" t="s">
        <v>7</v>
      </c>
      <c r="BA847" s="27" t="s">
        <v>8</v>
      </c>
      <c r="BB847" s="27" t="s">
        <v>7</v>
      </c>
      <c r="BC847" s="27" t="s">
        <v>8</v>
      </c>
      <c r="BD847" s="27" t="s">
        <v>7</v>
      </c>
      <c r="BE847" s="27" t="s">
        <v>8</v>
      </c>
      <c r="BN847" s="27" t="s">
        <v>7</v>
      </c>
      <c r="BP847" s="27" t="s">
        <v>7</v>
      </c>
      <c r="BV847" s="27" t="s">
        <v>7</v>
      </c>
      <c r="CZ847" s="27" t="s">
        <v>7</v>
      </c>
      <c r="DB847" s="27" t="s">
        <v>7</v>
      </c>
      <c r="DE847" s="27" t="s">
        <v>8</v>
      </c>
      <c r="DF847" s="27" t="s">
        <v>7</v>
      </c>
      <c r="DG847" s="27" t="s">
        <v>8</v>
      </c>
      <c r="DH847" s="27" t="s">
        <v>7</v>
      </c>
      <c r="EM847" s="27" t="s">
        <v>8</v>
      </c>
      <c r="EN847" s="27" t="s">
        <v>7</v>
      </c>
      <c r="EO847" s="27" t="s">
        <v>8</v>
      </c>
      <c r="ET847" s="27" t="s">
        <v>7</v>
      </c>
      <c r="EU847" s="27" t="s">
        <v>8</v>
      </c>
      <c r="EV847" s="27" t="s">
        <v>7</v>
      </c>
      <c r="EW847" s="27" t="s">
        <v>8</v>
      </c>
      <c r="EX847" s="27" t="s">
        <v>7</v>
      </c>
      <c r="FF847" s="27" t="s">
        <v>7</v>
      </c>
      <c r="FG847" s="27" t="s">
        <v>8</v>
      </c>
      <c r="FH847" s="27" t="s">
        <v>7</v>
      </c>
      <c r="FI847" s="27" t="s">
        <v>8</v>
      </c>
      <c r="FO847" s="27" t="s">
        <v>8</v>
      </c>
      <c r="FP847" s="27" t="s">
        <v>7</v>
      </c>
      <c r="FR847" s="27" t="s">
        <v>7</v>
      </c>
      <c r="FS847" s="27" t="s">
        <v>8</v>
      </c>
      <c r="FZ847" s="27" t="s">
        <v>7</v>
      </c>
      <c r="GA847" s="27" t="s">
        <v>8</v>
      </c>
      <c r="GC847" s="27" t="s">
        <v>8</v>
      </c>
      <c r="GD847" s="27" t="s">
        <v>7</v>
      </c>
      <c r="HM847" s="27" t="s">
        <v>8</v>
      </c>
    </row>
    <row r="848" spans="1:227" x14ac:dyDescent="0.25">
      <c r="A848" s="7">
        <v>5.6931833443679353E-3</v>
      </c>
      <c r="B848"/>
      <c r="C848"/>
      <c r="D848"/>
      <c r="E848"/>
      <c r="J848" s="27" t="s">
        <v>7</v>
      </c>
      <c r="K848" s="27" t="s">
        <v>8</v>
      </c>
      <c r="L848" s="27" t="s">
        <v>7</v>
      </c>
      <c r="O848" s="27" t="s">
        <v>8</v>
      </c>
      <c r="BA848" s="27" t="s">
        <v>8</v>
      </c>
      <c r="BB848" s="27" t="s">
        <v>7</v>
      </c>
      <c r="BC848" s="27" t="s">
        <v>8</v>
      </c>
      <c r="BD848" s="27" t="s">
        <v>7</v>
      </c>
      <c r="BE848" s="27" t="s">
        <v>8</v>
      </c>
      <c r="DB848" s="27" t="s">
        <v>7</v>
      </c>
      <c r="DC848" s="27" t="s">
        <v>8</v>
      </c>
      <c r="DE848" s="27" t="s">
        <v>8</v>
      </c>
      <c r="DF848" s="27" t="s">
        <v>7</v>
      </c>
      <c r="DH848" s="27" t="s">
        <v>7</v>
      </c>
      <c r="DI848" s="27" t="s">
        <v>8</v>
      </c>
      <c r="EM848" s="27" t="s">
        <v>8</v>
      </c>
      <c r="EN848" s="27" t="s">
        <v>7</v>
      </c>
      <c r="EO848" s="27" t="s">
        <v>8</v>
      </c>
      <c r="ET848" s="27" t="s">
        <v>7</v>
      </c>
      <c r="EU848" s="27" t="s">
        <v>8</v>
      </c>
      <c r="EV848" s="27" t="s">
        <v>7</v>
      </c>
      <c r="EW848" s="27" t="s">
        <v>8</v>
      </c>
      <c r="FF848" s="27" t="s">
        <v>7</v>
      </c>
      <c r="FG848" s="27" t="s">
        <v>8</v>
      </c>
      <c r="FH848" s="27" t="s">
        <v>7</v>
      </c>
      <c r="FI848" s="27" t="s">
        <v>8</v>
      </c>
      <c r="FJ848" s="27" t="s">
        <v>7</v>
      </c>
      <c r="FM848" s="27" t="s">
        <v>8</v>
      </c>
      <c r="FO848" s="27" t="s">
        <v>8</v>
      </c>
      <c r="FR848" s="27" t="s">
        <v>7</v>
      </c>
      <c r="FS848" s="27" t="s">
        <v>8</v>
      </c>
      <c r="FZ848" s="27" t="s">
        <v>7</v>
      </c>
      <c r="GA848" s="27" t="s">
        <v>8</v>
      </c>
      <c r="GB848" s="27" t="s">
        <v>7</v>
      </c>
      <c r="GC848" s="27" t="s">
        <v>8</v>
      </c>
      <c r="GD848" s="27" t="s">
        <v>7</v>
      </c>
      <c r="HM848" s="27" t="s">
        <v>8</v>
      </c>
    </row>
    <row r="849" spans="1:221" x14ac:dyDescent="0.25">
      <c r="A849" s="7">
        <v>5.5815522983999367E-3</v>
      </c>
      <c r="B849"/>
      <c r="C849"/>
      <c r="D849"/>
      <c r="E849"/>
      <c r="J849" s="27" t="s">
        <v>7</v>
      </c>
      <c r="K849" s="27" t="s">
        <v>8</v>
      </c>
      <c r="L849" s="27" t="s">
        <v>7</v>
      </c>
      <c r="O849" s="27" t="s">
        <v>8</v>
      </c>
      <c r="P849" s="27" t="s">
        <v>7</v>
      </c>
      <c r="BA849" s="27" t="s">
        <v>8</v>
      </c>
      <c r="BB849" s="27" t="s">
        <v>7</v>
      </c>
      <c r="BD849" s="27" t="s">
        <v>7</v>
      </c>
      <c r="BE849" s="27" t="s">
        <v>8</v>
      </c>
      <c r="DB849" s="27" t="s">
        <v>7</v>
      </c>
      <c r="DC849" s="27" t="s">
        <v>8</v>
      </c>
      <c r="DD849" s="27" t="s">
        <v>7</v>
      </c>
      <c r="DE849" s="27" t="s">
        <v>8</v>
      </c>
      <c r="DH849" s="27" t="s">
        <v>7</v>
      </c>
      <c r="DI849" s="27" t="s">
        <v>8</v>
      </c>
      <c r="DJ849" s="27" t="s">
        <v>7</v>
      </c>
      <c r="EM849" s="27" t="s">
        <v>8</v>
      </c>
      <c r="EN849" s="27" t="s">
        <v>7</v>
      </c>
      <c r="EO849" s="27" t="s">
        <v>8</v>
      </c>
      <c r="ET849" s="27" t="s">
        <v>7</v>
      </c>
      <c r="EU849" s="27" t="s">
        <v>8</v>
      </c>
      <c r="EV849" s="27" t="s">
        <v>7</v>
      </c>
      <c r="EW849" s="27" t="s">
        <v>8</v>
      </c>
      <c r="FF849" s="27" t="s">
        <v>7</v>
      </c>
      <c r="FG849" s="27" t="s">
        <v>8</v>
      </c>
      <c r="FH849" s="27" t="s">
        <v>7</v>
      </c>
      <c r="FI849" s="27" t="s">
        <v>8</v>
      </c>
      <c r="FJ849" s="27" t="s">
        <v>7</v>
      </c>
      <c r="FM849" s="27" t="s">
        <v>8</v>
      </c>
      <c r="FN849" s="27" t="s">
        <v>7</v>
      </c>
      <c r="FO849" s="27" t="s">
        <v>8</v>
      </c>
      <c r="FR849" s="27" t="s">
        <v>7</v>
      </c>
      <c r="FS849" s="27" t="s">
        <v>8</v>
      </c>
      <c r="FZ849" s="27" t="s">
        <v>7</v>
      </c>
      <c r="GA849" s="27" t="s">
        <v>8</v>
      </c>
      <c r="GB849" s="27" t="s">
        <v>7</v>
      </c>
      <c r="GC849" s="27" t="s">
        <v>8</v>
      </c>
      <c r="GD849" s="27" t="s">
        <v>7</v>
      </c>
      <c r="HM849" s="27" t="s">
        <v>8</v>
      </c>
    </row>
    <row r="850" spans="1:221" x14ac:dyDescent="0.25">
      <c r="A850" s="7">
        <v>5.4721100964705257E-3</v>
      </c>
      <c r="B850"/>
      <c r="C850"/>
      <c r="D850"/>
      <c r="E850"/>
      <c r="J850" s="27" t="s">
        <v>7</v>
      </c>
      <c r="K850" s="27" t="s">
        <v>8</v>
      </c>
      <c r="L850" s="27" t="s">
        <v>7</v>
      </c>
      <c r="O850" s="27" t="s">
        <v>8</v>
      </c>
      <c r="P850" s="27" t="s">
        <v>7</v>
      </c>
      <c r="AY850" s="27" t="s">
        <v>8</v>
      </c>
      <c r="BA850" s="27" t="s">
        <v>8</v>
      </c>
      <c r="BD850" s="27" t="s">
        <v>7</v>
      </c>
      <c r="BE850" s="27" t="s">
        <v>8</v>
      </c>
      <c r="DB850" s="27" t="s">
        <v>7</v>
      </c>
      <c r="DC850" s="27" t="s">
        <v>8</v>
      </c>
      <c r="DD850" s="27" t="s">
        <v>7</v>
      </c>
      <c r="DE850" s="27" t="s">
        <v>8</v>
      </c>
      <c r="DH850" s="27" t="s">
        <v>7</v>
      </c>
      <c r="DI850" s="27" t="s">
        <v>8</v>
      </c>
      <c r="DJ850" s="27" t="s">
        <v>7</v>
      </c>
      <c r="EM850" s="27" t="s">
        <v>8</v>
      </c>
      <c r="EN850" s="27" t="s">
        <v>7</v>
      </c>
      <c r="EO850" s="27" t="s">
        <v>8</v>
      </c>
      <c r="ET850" s="27" t="s">
        <v>7</v>
      </c>
      <c r="EU850" s="27" t="s">
        <v>8</v>
      </c>
      <c r="EV850" s="27" t="s">
        <v>7</v>
      </c>
      <c r="EW850" s="27" t="s">
        <v>8</v>
      </c>
      <c r="FF850" s="27" t="s">
        <v>7</v>
      </c>
      <c r="FG850" s="27" t="s">
        <v>8</v>
      </c>
      <c r="FH850" s="27" t="s">
        <v>7</v>
      </c>
      <c r="FI850" s="27" t="s">
        <v>8</v>
      </c>
      <c r="FJ850" s="27" t="s">
        <v>7</v>
      </c>
      <c r="FK850" s="27" t="s">
        <v>8</v>
      </c>
      <c r="FM850" s="27" t="s">
        <v>8</v>
      </c>
      <c r="FN850" s="27" t="s">
        <v>7</v>
      </c>
      <c r="FO850" s="27" t="s">
        <v>8</v>
      </c>
      <c r="FR850" s="27" t="s">
        <v>7</v>
      </c>
      <c r="FZ850" s="27" t="s">
        <v>7</v>
      </c>
      <c r="GA850" s="27" t="s">
        <v>8</v>
      </c>
      <c r="GB850" s="27" t="s">
        <v>7</v>
      </c>
      <c r="GC850" s="27" t="s">
        <v>8</v>
      </c>
      <c r="GD850" s="27" t="s">
        <v>7</v>
      </c>
      <c r="HM850" s="27" t="s">
        <v>8</v>
      </c>
    </row>
    <row r="851" spans="1:221" x14ac:dyDescent="0.25">
      <c r="A851" s="7">
        <v>5.3648138200691423E-3</v>
      </c>
      <c r="B851"/>
      <c r="C851"/>
      <c r="D851"/>
      <c r="E851"/>
      <c r="J851" s="27" t="s">
        <v>7</v>
      </c>
      <c r="K851" s="27" t="s">
        <v>8</v>
      </c>
      <c r="L851" s="27" t="s">
        <v>7</v>
      </c>
      <c r="O851" s="27" t="s">
        <v>8</v>
      </c>
      <c r="P851" s="27" t="s">
        <v>7</v>
      </c>
      <c r="AY851" s="27" t="s">
        <v>8</v>
      </c>
      <c r="AZ851" s="27" t="s">
        <v>7</v>
      </c>
      <c r="BA851" s="27" t="s">
        <v>8</v>
      </c>
      <c r="BD851" s="27" t="s">
        <v>7</v>
      </c>
      <c r="DB851" s="27" t="s">
        <v>7</v>
      </c>
      <c r="DC851" s="27" t="s">
        <v>8</v>
      </c>
      <c r="DD851" s="27" t="s">
        <v>7</v>
      </c>
      <c r="DE851" s="27" t="s">
        <v>8</v>
      </c>
      <c r="DH851" s="27" t="s">
        <v>7</v>
      </c>
      <c r="DI851" s="27" t="s">
        <v>8</v>
      </c>
      <c r="DJ851" s="27" t="s">
        <v>7</v>
      </c>
      <c r="DK851" s="27" t="s">
        <v>8</v>
      </c>
      <c r="DM851" s="27" t="s">
        <v>8</v>
      </c>
      <c r="EM851" s="27" t="s">
        <v>8</v>
      </c>
      <c r="EN851" s="27" t="s">
        <v>7</v>
      </c>
      <c r="EO851" s="27" t="s">
        <v>8</v>
      </c>
      <c r="ET851" s="27" t="s">
        <v>7</v>
      </c>
      <c r="EU851" s="27" t="s">
        <v>8</v>
      </c>
      <c r="EV851" s="27" t="s">
        <v>7</v>
      </c>
      <c r="EW851" s="27" t="s">
        <v>8</v>
      </c>
      <c r="FF851" s="27" t="s">
        <v>7</v>
      </c>
      <c r="FG851" s="27" t="s">
        <v>8</v>
      </c>
      <c r="FH851" s="27" t="s">
        <v>7</v>
      </c>
      <c r="FJ851" s="27" t="s">
        <v>7</v>
      </c>
      <c r="FK851" s="27" t="s">
        <v>8</v>
      </c>
      <c r="FL851" s="27" t="s">
        <v>7</v>
      </c>
      <c r="FM851" s="27" t="s">
        <v>8</v>
      </c>
      <c r="FN851" s="27" t="s">
        <v>7</v>
      </c>
      <c r="FO851" s="27" t="s">
        <v>8</v>
      </c>
      <c r="FZ851" s="27" t="s">
        <v>7</v>
      </c>
      <c r="GA851" s="27" t="s">
        <v>8</v>
      </c>
      <c r="GB851" s="27" t="s">
        <v>7</v>
      </c>
      <c r="GD851" s="27" t="s">
        <v>7</v>
      </c>
      <c r="HM851" s="27" t="s">
        <v>8</v>
      </c>
    </row>
    <row r="852" spans="1:221" x14ac:dyDescent="0.25">
      <c r="A852" s="7">
        <v>5.2596213922246494E-3</v>
      </c>
      <c r="B852"/>
      <c r="C852"/>
      <c r="D852"/>
      <c r="E852"/>
      <c r="J852" s="27" t="s">
        <v>7</v>
      </c>
      <c r="K852" s="27" t="s">
        <v>8</v>
      </c>
      <c r="L852" s="27" t="s">
        <v>7</v>
      </c>
      <c r="O852" s="27" t="s">
        <v>8</v>
      </c>
      <c r="P852" s="27" t="s">
        <v>7</v>
      </c>
      <c r="AY852" s="27" t="s">
        <v>8</v>
      </c>
      <c r="AZ852" s="27" t="s">
        <v>7</v>
      </c>
      <c r="BA852" s="27" t="s">
        <v>8</v>
      </c>
      <c r="DB852" s="27" t="s">
        <v>7</v>
      </c>
      <c r="DC852" s="27" t="s">
        <v>8</v>
      </c>
      <c r="DD852" s="27" t="s">
        <v>7</v>
      </c>
      <c r="DH852" s="27" t="s">
        <v>7</v>
      </c>
      <c r="DI852" s="27" t="s">
        <v>8</v>
      </c>
      <c r="DJ852" s="27" t="s">
        <v>7</v>
      </c>
      <c r="DK852" s="27" t="s">
        <v>8</v>
      </c>
      <c r="DL852" s="27" t="s">
        <v>7</v>
      </c>
      <c r="DM852" s="27" t="s">
        <v>8</v>
      </c>
      <c r="DN852" s="27" t="s">
        <v>7</v>
      </c>
      <c r="EM852" s="27" t="s">
        <v>8</v>
      </c>
      <c r="EN852" s="27" t="s">
        <v>7</v>
      </c>
      <c r="EO852" s="27" t="s">
        <v>8</v>
      </c>
      <c r="ET852" s="27" t="s">
        <v>7</v>
      </c>
      <c r="EU852" s="27" t="s">
        <v>8</v>
      </c>
      <c r="EV852" s="27" t="s">
        <v>7</v>
      </c>
      <c r="EW852" s="27" t="s">
        <v>8</v>
      </c>
      <c r="FF852" s="27" t="s">
        <v>7</v>
      </c>
      <c r="FG852" s="27" t="s">
        <v>8</v>
      </c>
      <c r="FJ852" s="27" t="s">
        <v>7</v>
      </c>
      <c r="FK852" s="27" t="s">
        <v>8</v>
      </c>
      <c r="FL852" s="27" t="s">
        <v>7</v>
      </c>
      <c r="FM852" s="27" t="s">
        <v>8</v>
      </c>
      <c r="FN852" s="27" t="s">
        <v>7</v>
      </c>
      <c r="FZ852" s="27" t="s">
        <v>7</v>
      </c>
      <c r="GA852" s="27" t="s">
        <v>8</v>
      </c>
      <c r="GD852" s="27" t="s">
        <v>7</v>
      </c>
      <c r="HM852" s="27" t="s">
        <v>8</v>
      </c>
    </row>
    <row r="853" spans="1:221" x14ac:dyDescent="0.25">
      <c r="A853" s="7">
        <v>5.1564915610045588E-3</v>
      </c>
      <c r="B853"/>
      <c r="C853"/>
      <c r="D853"/>
      <c r="E853"/>
      <c r="J853" s="27" t="s">
        <v>7</v>
      </c>
      <c r="K853" s="27" t="s">
        <v>8</v>
      </c>
      <c r="L853" s="27" t="s">
        <v>7</v>
      </c>
      <c r="O853" s="27" t="s">
        <v>8</v>
      </c>
      <c r="P853" s="27" t="s">
        <v>7</v>
      </c>
      <c r="Q853" s="27" t="s">
        <v>8</v>
      </c>
      <c r="AA853" s="27" t="s">
        <v>8</v>
      </c>
      <c r="AY853" s="27" t="s">
        <v>8</v>
      </c>
      <c r="AZ853" s="27" t="s">
        <v>7</v>
      </c>
      <c r="BA853" s="27" t="s">
        <v>8</v>
      </c>
      <c r="DB853" s="27" t="s">
        <v>7</v>
      </c>
      <c r="DC853" s="27" t="s">
        <v>8</v>
      </c>
      <c r="DH853" s="27" t="s">
        <v>7</v>
      </c>
      <c r="DI853" s="27" t="s">
        <v>8</v>
      </c>
      <c r="DJ853" s="27" t="s">
        <v>7</v>
      </c>
      <c r="DK853" s="27" t="s">
        <v>8</v>
      </c>
      <c r="DL853" s="27" t="s">
        <v>7</v>
      </c>
      <c r="DM853" s="27" t="s">
        <v>8</v>
      </c>
      <c r="DN853" s="27" t="s">
        <v>7</v>
      </c>
      <c r="EM853" s="27" t="s">
        <v>8</v>
      </c>
      <c r="EN853" s="27" t="s">
        <v>7</v>
      </c>
      <c r="ET853" s="27" t="s">
        <v>7</v>
      </c>
      <c r="EU853" s="27" t="s">
        <v>8</v>
      </c>
      <c r="EV853" s="27" t="s">
        <v>7</v>
      </c>
      <c r="EW853" s="27" t="s">
        <v>8</v>
      </c>
      <c r="FF853" s="27" t="s">
        <v>7</v>
      </c>
      <c r="FG853" s="27" t="s">
        <v>8</v>
      </c>
      <c r="FJ853" s="27" t="s">
        <v>7</v>
      </c>
      <c r="FL853" s="27" t="s">
        <v>7</v>
      </c>
      <c r="FM853" s="27" t="s">
        <v>8</v>
      </c>
      <c r="FZ853" s="27" t="s">
        <v>7</v>
      </c>
      <c r="GD853" s="27" t="s">
        <v>7</v>
      </c>
      <c r="HM853" s="27" t="s">
        <v>8</v>
      </c>
    </row>
    <row r="854" spans="1:221" x14ac:dyDescent="0.25">
      <c r="A854" s="7">
        <v>5.0553838833378023E-3</v>
      </c>
      <c r="B854"/>
      <c r="C854"/>
      <c r="D854"/>
      <c r="E854"/>
      <c r="J854" s="27" t="s">
        <v>7</v>
      </c>
      <c r="L854" s="27" t="s">
        <v>7</v>
      </c>
      <c r="O854" s="27" t="s">
        <v>8</v>
      </c>
      <c r="P854" s="27" t="s">
        <v>7</v>
      </c>
      <c r="Q854" s="27" t="s">
        <v>8</v>
      </c>
      <c r="R854" s="27" t="s">
        <v>7</v>
      </c>
      <c r="AA854" s="27" t="s">
        <v>8</v>
      </c>
      <c r="AB854" s="27" t="s">
        <v>7</v>
      </c>
      <c r="AY854" s="27" t="s">
        <v>8</v>
      </c>
      <c r="AZ854" s="27" t="s">
        <v>7</v>
      </c>
      <c r="DB854" s="27" t="s">
        <v>7</v>
      </c>
      <c r="DH854" s="27" t="s">
        <v>7</v>
      </c>
      <c r="DI854" s="27" t="s">
        <v>8</v>
      </c>
      <c r="DJ854" s="27" t="s">
        <v>7</v>
      </c>
      <c r="DK854" s="27" t="s">
        <v>8</v>
      </c>
      <c r="DL854" s="27" t="s">
        <v>7</v>
      </c>
      <c r="DM854" s="27" t="s">
        <v>8</v>
      </c>
      <c r="DN854" s="27" t="s">
        <v>7</v>
      </c>
      <c r="EM854" s="27" t="s">
        <v>8</v>
      </c>
      <c r="ET854" s="27" t="s">
        <v>7</v>
      </c>
      <c r="EU854" s="27" t="s">
        <v>8</v>
      </c>
      <c r="EV854" s="27" t="s">
        <v>7</v>
      </c>
      <c r="FF854" s="27" t="s">
        <v>7</v>
      </c>
      <c r="FG854" s="27" t="s">
        <v>8</v>
      </c>
      <c r="FL854" s="27" t="s">
        <v>7</v>
      </c>
      <c r="GD854" s="27" t="s">
        <v>7</v>
      </c>
      <c r="HM854" s="27" t="s">
        <v>8</v>
      </c>
    </row>
    <row r="855" spans="1:221" x14ac:dyDescent="0.25">
      <c r="A855" s="7">
        <v>4.9562587091547079E-3</v>
      </c>
      <c r="B855"/>
      <c r="C855"/>
      <c r="D855"/>
      <c r="E855"/>
      <c r="L855" s="27" t="s">
        <v>7</v>
      </c>
      <c r="O855" s="27" t="s">
        <v>8</v>
      </c>
      <c r="P855" s="27" t="s">
        <v>7</v>
      </c>
      <c r="Q855" s="27" t="s">
        <v>8</v>
      </c>
      <c r="R855" s="27" t="s">
        <v>7</v>
      </c>
      <c r="AA855" s="27" t="s">
        <v>8</v>
      </c>
      <c r="AB855" s="27" t="s">
        <v>7</v>
      </c>
      <c r="AS855" s="27" t="s">
        <v>8</v>
      </c>
      <c r="AY855" s="27" t="s">
        <v>8</v>
      </c>
      <c r="DH855" s="27" t="s">
        <v>7</v>
      </c>
      <c r="DI855" s="27" t="s">
        <v>8</v>
      </c>
      <c r="DJ855" s="27" t="s">
        <v>7</v>
      </c>
      <c r="DK855" s="27" t="s">
        <v>8</v>
      </c>
      <c r="DL855" s="27" t="s">
        <v>7</v>
      </c>
      <c r="DM855" s="27" t="s">
        <v>8</v>
      </c>
      <c r="DN855" s="27" t="s">
        <v>7</v>
      </c>
      <c r="DQ855" s="27" t="s">
        <v>8</v>
      </c>
      <c r="EM855" s="27" t="s">
        <v>8</v>
      </c>
      <c r="ET855" s="27" t="s">
        <v>7</v>
      </c>
      <c r="EU855" s="27" t="s">
        <v>8</v>
      </c>
      <c r="FF855" s="27" t="s">
        <v>7</v>
      </c>
      <c r="FG855" s="27" t="s">
        <v>8</v>
      </c>
      <c r="GD855" s="27" t="s">
        <v>7</v>
      </c>
      <c r="HM855" s="27" t="s">
        <v>8</v>
      </c>
    </row>
    <row r="856" spans="1:221" x14ac:dyDescent="0.25">
      <c r="A856" s="7">
        <v>4.8590771658379491E-3</v>
      </c>
      <c r="B856"/>
      <c r="C856"/>
      <c r="D856"/>
      <c r="E856"/>
      <c r="L856" s="27" t="s">
        <v>7</v>
      </c>
      <c r="M856" s="27" t="s">
        <v>8</v>
      </c>
      <c r="O856" s="27" t="s">
        <v>8</v>
      </c>
      <c r="P856" s="27" t="s">
        <v>7</v>
      </c>
      <c r="Q856" s="27" t="s">
        <v>8</v>
      </c>
      <c r="R856" s="27" t="s">
        <v>7</v>
      </c>
      <c r="Y856" s="27" t="s">
        <v>8</v>
      </c>
      <c r="AA856" s="27" t="s">
        <v>8</v>
      </c>
      <c r="AB856" s="27" t="s">
        <v>7</v>
      </c>
      <c r="AS856" s="27" t="s">
        <v>8</v>
      </c>
      <c r="AT856" s="27" t="s">
        <v>7</v>
      </c>
      <c r="AW856" s="27" t="s">
        <v>8</v>
      </c>
      <c r="AY856" s="27" t="s">
        <v>8</v>
      </c>
      <c r="DH856" s="27" t="s">
        <v>7</v>
      </c>
      <c r="DJ856" s="27" t="s">
        <v>7</v>
      </c>
      <c r="DL856" s="27" t="s">
        <v>7</v>
      </c>
      <c r="DM856" s="27" t="s">
        <v>8</v>
      </c>
      <c r="DN856" s="27" t="s">
        <v>7</v>
      </c>
      <c r="DQ856" s="27" t="s">
        <v>8</v>
      </c>
      <c r="DR856" s="27" t="s">
        <v>7</v>
      </c>
      <c r="EM856" s="27" t="s">
        <v>8</v>
      </c>
      <c r="ET856" s="27" t="s">
        <v>7</v>
      </c>
      <c r="EU856" s="27" t="s">
        <v>8</v>
      </c>
      <c r="FF856" s="27" t="s">
        <v>7</v>
      </c>
      <c r="FG856" s="27" t="s">
        <v>8</v>
      </c>
      <c r="GD856" s="27" t="s">
        <v>7</v>
      </c>
      <c r="GE856" s="27" t="s">
        <v>8</v>
      </c>
      <c r="HC856" s="27" t="s">
        <v>8</v>
      </c>
      <c r="HG856" s="27" t="s">
        <v>8</v>
      </c>
      <c r="HM856" s="27" t="s">
        <v>8</v>
      </c>
    </row>
    <row r="857" spans="1:221" x14ac:dyDescent="0.25">
      <c r="A857" s="7">
        <v>4.7638011429783815E-3</v>
      </c>
      <c r="B857"/>
      <c r="C857"/>
      <c r="D857"/>
      <c r="E857"/>
      <c r="L857" s="27" t="s">
        <v>7</v>
      </c>
      <c r="M857" s="27" t="s">
        <v>8</v>
      </c>
      <c r="N857" s="27" t="s">
        <v>7</v>
      </c>
      <c r="O857" s="27" t="s">
        <v>8</v>
      </c>
      <c r="P857" s="27" t="s">
        <v>7</v>
      </c>
      <c r="Q857" s="27" t="s">
        <v>8</v>
      </c>
      <c r="R857" s="27" t="s">
        <v>7</v>
      </c>
      <c r="Y857" s="27" t="s">
        <v>8</v>
      </c>
      <c r="Z857" s="27" t="s">
        <v>7</v>
      </c>
      <c r="AA857" s="27" t="s">
        <v>8</v>
      </c>
      <c r="AB857" s="27" t="s">
        <v>7</v>
      </c>
      <c r="AI857" s="27" t="s">
        <v>8</v>
      </c>
      <c r="AS857" s="27" t="s">
        <v>8</v>
      </c>
      <c r="AT857" s="27" t="s">
        <v>7</v>
      </c>
      <c r="AW857" s="27" t="s">
        <v>8</v>
      </c>
      <c r="AX857" s="27" t="s">
        <v>7</v>
      </c>
      <c r="AY857" s="27" t="s">
        <v>8</v>
      </c>
      <c r="DL857" s="27" t="s">
        <v>7</v>
      </c>
      <c r="DN857" s="27" t="s">
        <v>7</v>
      </c>
      <c r="DQ857" s="27" t="s">
        <v>8</v>
      </c>
      <c r="DR857" s="27" t="s">
        <v>7</v>
      </c>
      <c r="EI857" s="27" t="s">
        <v>8</v>
      </c>
      <c r="EM857" s="27" t="s">
        <v>8</v>
      </c>
      <c r="ET857" s="27" t="s">
        <v>7</v>
      </c>
      <c r="EU857" s="27" t="s">
        <v>8</v>
      </c>
      <c r="FF857" s="27" t="s">
        <v>7</v>
      </c>
      <c r="FG857" s="27" t="s">
        <v>8</v>
      </c>
      <c r="GD857" s="27" t="s">
        <v>7</v>
      </c>
      <c r="GE857" s="27" t="s">
        <v>8</v>
      </c>
      <c r="GF857" s="27" t="s">
        <v>7</v>
      </c>
      <c r="HC857" s="27" t="s">
        <v>8</v>
      </c>
      <c r="HD857" s="27" t="s">
        <v>7</v>
      </c>
      <c r="HG857" s="27" t="s">
        <v>8</v>
      </c>
      <c r="HH857" s="27" t="s">
        <v>7</v>
      </c>
      <c r="HK857" s="27" t="s">
        <v>8</v>
      </c>
      <c r="HM857" s="27" t="s">
        <v>8</v>
      </c>
    </row>
    <row r="858" spans="1:221" x14ac:dyDescent="0.25">
      <c r="A858" s="7">
        <v>4.6703932774297859E-3</v>
      </c>
      <c r="B858"/>
      <c r="C858"/>
      <c r="D858"/>
      <c r="E858"/>
      <c r="L858" s="27" t="s">
        <v>7</v>
      </c>
      <c r="M858" s="27" t="s">
        <v>8</v>
      </c>
      <c r="N858" s="27" t="s">
        <v>7</v>
      </c>
      <c r="O858" s="27" t="s">
        <v>8</v>
      </c>
      <c r="P858" s="27" t="s">
        <v>7</v>
      </c>
      <c r="Q858" s="27" t="s">
        <v>8</v>
      </c>
      <c r="R858" s="27" t="s">
        <v>7</v>
      </c>
      <c r="Y858" s="27" t="s">
        <v>8</v>
      </c>
      <c r="Z858" s="27" t="s">
        <v>7</v>
      </c>
      <c r="AA858" s="27" t="s">
        <v>8</v>
      </c>
      <c r="AB858" s="27" t="s">
        <v>7</v>
      </c>
      <c r="AI858" s="27" t="s">
        <v>8</v>
      </c>
      <c r="AJ858" s="27" t="s">
        <v>7</v>
      </c>
      <c r="AS858" s="27" t="s">
        <v>8</v>
      </c>
      <c r="AT858" s="27" t="s">
        <v>7</v>
      </c>
      <c r="AU858" s="27" t="s">
        <v>8</v>
      </c>
      <c r="AW858" s="27" t="s">
        <v>8</v>
      </c>
      <c r="AX858" s="27" t="s">
        <v>7</v>
      </c>
      <c r="AY858" s="27" t="s">
        <v>8</v>
      </c>
      <c r="DN858" s="27" t="s">
        <v>7</v>
      </c>
      <c r="DO858" s="27" t="s">
        <v>8</v>
      </c>
      <c r="DQ858" s="27" t="s">
        <v>8</v>
      </c>
      <c r="DR858" s="27" t="s">
        <v>7</v>
      </c>
      <c r="EI858" s="27" t="s">
        <v>8</v>
      </c>
      <c r="EJ858" s="27" t="s">
        <v>7</v>
      </c>
      <c r="EM858" s="27" t="s">
        <v>8</v>
      </c>
      <c r="ET858" s="27" t="s">
        <v>7</v>
      </c>
      <c r="FF858" s="27" t="s">
        <v>7</v>
      </c>
      <c r="FG858" s="27" t="s">
        <v>8</v>
      </c>
      <c r="GD858" s="27" t="s">
        <v>7</v>
      </c>
      <c r="GE858" s="27" t="s">
        <v>8</v>
      </c>
      <c r="GF858" s="27" t="s">
        <v>7</v>
      </c>
      <c r="HC858" s="27" t="s">
        <v>8</v>
      </c>
      <c r="HD858" s="27" t="s">
        <v>7</v>
      </c>
      <c r="HG858" s="27" t="s">
        <v>8</v>
      </c>
      <c r="HH858" s="27" t="s">
        <v>7</v>
      </c>
      <c r="HK858" s="27" t="s">
        <v>8</v>
      </c>
      <c r="HL858" s="27" t="s">
        <v>7</v>
      </c>
      <c r="HM858" s="27" t="s">
        <v>8</v>
      </c>
    </row>
    <row r="859" spans="1:221" x14ac:dyDescent="0.25">
      <c r="A859" s="7">
        <v>4.5788169386566527E-3</v>
      </c>
      <c r="B859"/>
      <c r="C859"/>
      <c r="D859"/>
      <c r="E859"/>
      <c r="L859" s="27" t="s">
        <v>7</v>
      </c>
      <c r="M859" s="27" t="s">
        <v>8</v>
      </c>
      <c r="N859" s="27" t="s">
        <v>7</v>
      </c>
      <c r="O859" s="27" t="s">
        <v>8</v>
      </c>
      <c r="P859" s="27" t="s">
        <v>7</v>
      </c>
      <c r="R859" s="27" t="s">
        <v>7</v>
      </c>
      <c r="Y859" s="27" t="s">
        <v>8</v>
      </c>
      <c r="Z859" s="27" t="s">
        <v>7</v>
      </c>
      <c r="AA859" s="27" t="s">
        <v>8</v>
      </c>
      <c r="AB859" s="27" t="s">
        <v>7</v>
      </c>
      <c r="AI859" s="27" t="s">
        <v>8</v>
      </c>
      <c r="AJ859" s="27" t="s">
        <v>7</v>
      </c>
      <c r="AS859" s="27" t="s">
        <v>8</v>
      </c>
      <c r="AT859" s="27" t="s">
        <v>7</v>
      </c>
      <c r="AU859" s="27" t="s">
        <v>8</v>
      </c>
      <c r="AV859" s="27" t="s">
        <v>7</v>
      </c>
      <c r="AW859" s="27" t="s">
        <v>8</v>
      </c>
      <c r="AX859" s="27" t="s">
        <v>7</v>
      </c>
      <c r="AY859" s="27" t="s">
        <v>8</v>
      </c>
      <c r="DN859" s="27" t="s">
        <v>7</v>
      </c>
      <c r="DO859" s="27" t="s">
        <v>8</v>
      </c>
      <c r="DP859" s="27" t="s">
        <v>7</v>
      </c>
      <c r="DQ859" s="27" t="s">
        <v>8</v>
      </c>
      <c r="DR859" s="27" t="s">
        <v>7</v>
      </c>
      <c r="EI859" s="27" t="s">
        <v>8</v>
      </c>
      <c r="EJ859" s="27" t="s">
        <v>7</v>
      </c>
      <c r="EM859" s="27" t="s">
        <v>8</v>
      </c>
      <c r="FF859" s="27" t="s">
        <v>7</v>
      </c>
      <c r="FG859" s="27" t="s">
        <v>8</v>
      </c>
      <c r="GD859" s="27" t="s">
        <v>7</v>
      </c>
      <c r="GE859" s="27" t="s">
        <v>8</v>
      </c>
      <c r="GF859" s="27" t="s">
        <v>7</v>
      </c>
      <c r="GU859" s="27" t="s">
        <v>8</v>
      </c>
      <c r="HC859" s="27" t="s">
        <v>8</v>
      </c>
      <c r="HD859" s="27" t="s">
        <v>7</v>
      </c>
      <c r="HE859" s="27" t="s">
        <v>8</v>
      </c>
      <c r="HG859" s="27" t="s">
        <v>8</v>
      </c>
      <c r="HH859" s="27" t="s">
        <v>7</v>
      </c>
      <c r="HI859" s="27" t="s">
        <v>8</v>
      </c>
      <c r="HK859" s="27" t="s">
        <v>8</v>
      </c>
      <c r="HL859" s="27" t="s">
        <v>7</v>
      </c>
      <c r="HM859" s="27" t="s">
        <v>8</v>
      </c>
    </row>
    <row r="860" spans="1:221" x14ac:dyDescent="0.25">
      <c r="A860" s="7">
        <v>4.4890362143692672E-3</v>
      </c>
      <c r="B860"/>
      <c r="C860"/>
      <c r="D860"/>
      <c r="E860"/>
      <c r="L860" s="27" t="s">
        <v>7</v>
      </c>
      <c r="M860" s="27" t="s">
        <v>8</v>
      </c>
      <c r="N860" s="27" t="s">
        <v>7</v>
      </c>
      <c r="O860" s="27" t="s">
        <v>8</v>
      </c>
      <c r="R860" s="27" t="s">
        <v>7</v>
      </c>
      <c r="W860" s="27" t="s">
        <v>8</v>
      </c>
      <c r="Y860" s="27" t="s">
        <v>8</v>
      </c>
      <c r="Z860" s="27" t="s">
        <v>7</v>
      </c>
      <c r="AA860" s="27" t="s">
        <v>8</v>
      </c>
      <c r="AB860" s="27" t="s">
        <v>7</v>
      </c>
      <c r="AC860" s="27" t="s">
        <v>8</v>
      </c>
      <c r="AI860" s="27" t="s">
        <v>8</v>
      </c>
      <c r="AJ860" s="27" t="s">
        <v>7</v>
      </c>
      <c r="AM860" s="27" t="s">
        <v>8</v>
      </c>
      <c r="AS860" s="27" t="s">
        <v>8</v>
      </c>
      <c r="AT860" s="27" t="s">
        <v>7</v>
      </c>
      <c r="AU860" s="27" t="s">
        <v>8</v>
      </c>
      <c r="AV860" s="27" t="s">
        <v>7</v>
      </c>
      <c r="AW860" s="27" t="s">
        <v>8</v>
      </c>
      <c r="AX860" s="27" t="s">
        <v>7</v>
      </c>
      <c r="DN860" s="27" t="s">
        <v>7</v>
      </c>
      <c r="DO860" s="27" t="s">
        <v>8</v>
      </c>
      <c r="DP860" s="27" t="s">
        <v>7</v>
      </c>
      <c r="DQ860" s="27" t="s">
        <v>8</v>
      </c>
      <c r="DR860" s="27" t="s">
        <v>7</v>
      </c>
      <c r="EI860" s="27" t="s">
        <v>8</v>
      </c>
      <c r="EJ860" s="27" t="s">
        <v>7</v>
      </c>
      <c r="EM860" s="27" t="s">
        <v>8</v>
      </c>
      <c r="FF860" s="27" t="s">
        <v>7</v>
      </c>
      <c r="GD860" s="27" t="s">
        <v>7</v>
      </c>
      <c r="GE860" s="27" t="s">
        <v>8</v>
      </c>
      <c r="GF860" s="27" t="s">
        <v>7</v>
      </c>
      <c r="GU860" s="27" t="s">
        <v>8</v>
      </c>
      <c r="GV860" s="27" t="s">
        <v>7</v>
      </c>
      <c r="HC860" s="27" t="s">
        <v>8</v>
      </c>
      <c r="HD860" s="27" t="s">
        <v>7</v>
      </c>
      <c r="HE860" s="27" t="s">
        <v>8</v>
      </c>
      <c r="HF860" s="27" t="s">
        <v>7</v>
      </c>
      <c r="HG860" s="27" t="s">
        <v>8</v>
      </c>
      <c r="HH860" s="27" t="s">
        <v>7</v>
      </c>
      <c r="HI860" s="27" t="s">
        <v>8</v>
      </c>
      <c r="HJ860" s="27" t="s">
        <v>7</v>
      </c>
      <c r="HK860" s="27" t="s">
        <v>8</v>
      </c>
      <c r="HL860" s="27" t="s">
        <v>7</v>
      </c>
      <c r="HM860" s="27" t="s">
        <v>8</v>
      </c>
    </row>
    <row r="861" spans="1:221" x14ac:dyDescent="0.25">
      <c r="A861" s="7">
        <v>4.4010158964404578E-3</v>
      </c>
      <c r="B861"/>
      <c r="C861"/>
      <c r="D861"/>
      <c r="E861"/>
      <c r="L861" s="27" t="s">
        <v>7</v>
      </c>
      <c r="M861" s="27" t="s">
        <v>8</v>
      </c>
      <c r="N861" s="27" t="s">
        <v>7</v>
      </c>
      <c r="O861" s="27" t="s">
        <v>8</v>
      </c>
      <c r="R861" s="27" t="s">
        <v>7</v>
      </c>
      <c r="W861" s="27" t="s">
        <v>8</v>
      </c>
      <c r="X861" s="27" t="s">
        <v>7</v>
      </c>
      <c r="Y861" s="27" t="s">
        <v>8</v>
      </c>
      <c r="Z861" s="27" t="s">
        <v>7</v>
      </c>
      <c r="AA861" s="27" t="s">
        <v>8</v>
      </c>
      <c r="AB861" s="27" t="s">
        <v>7</v>
      </c>
      <c r="AC861" s="27" t="s">
        <v>8</v>
      </c>
      <c r="AD861" s="27" t="s">
        <v>7</v>
      </c>
      <c r="AI861" s="27" t="s">
        <v>8</v>
      </c>
      <c r="AJ861" s="27" t="s">
        <v>7</v>
      </c>
      <c r="AM861" s="27" t="s">
        <v>8</v>
      </c>
      <c r="AN861" s="27" t="s">
        <v>7</v>
      </c>
      <c r="AS861" s="27" t="s">
        <v>8</v>
      </c>
      <c r="AT861" s="27" t="s">
        <v>7</v>
      </c>
      <c r="AU861" s="27" t="s">
        <v>8</v>
      </c>
      <c r="AV861" s="27" t="s">
        <v>7</v>
      </c>
      <c r="AW861" s="27" t="s">
        <v>8</v>
      </c>
      <c r="DN861" s="27" t="s">
        <v>7</v>
      </c>
      <c r="DP861" s="27" t="s">
        <v>7</v>
      </c>
      <c r="DQ861" s="27" t="s">
        <v>8</v>
      </c>
      <c r="DR861" s="27" t="s">
        <v>7</v>
      </c>
      <c r="DS861" s="27" t="s">
        <v>8</v>
      </c>
      <c r="DY861" s="27" t="s">
        <v>8</v>
      </c>
      <c r="EI861" s="27" t="s">
        <v>8</v>
      </c>
      <c r="EJ861" s="27" t="s">
        <v>7</v>
      </c>
      <c r="EK861" s="27" t="s">
        <v>8</v>
      </c>
      <c r="EM861" s="27" t="s">
        <v>8</v>
      </c>
      <c r="GD861" s="27" t="s">
        <v>7</v>
      </c>
      <c r="GF861" s="27" t="s">
        <v>7</v>
      </c>
      <c r="GU861" s="27" t="s">
        <v>8</v>
      </c>
      <c r="GV861" s="27" t="s">
        <v>7</v>
      </c>
      <c r="HC861" s="27" t="s">
        <v>8</v>
      </c>
      <c r="HD861" s="27" t="s">
        <v>7</v>
      </c>
      <c r="HE861" s="27" t="s">
        <v>8</v>
      </c>
      <c r="HF861" s="27" t="s">
        <v>7</v>
      </c>
      <c r="HG861" s="27" t="s">
        <v>8</v>
      </c>
      <c r="HH861" s="27" t="s">
        <v>7</v>
      </c>
      <c r="HI861" s="27" t="s">
        <v>8</v>
      </c>
      <c r="HJ861" s="27" t="s">
        <v>7</v>
      </c>
      <c r="HK861" s="27" t="s">
        <v>8</v>
      </c>
      <c r="HL861" s="27" t="s">
        <v>7</v>
      </c>
    </row>
    <row r="862" spans="1:221" x14ac:dyDescent="0.25">
      <c r="A862" s="7">
        <v>4.314721467098488E-3</v>
      </c>
      <c r="B862"/>
      <c r="C862"/>
      <c r="D862"/>
      <c r="E862"/>
      <c r="L862" s="27" t="s">
        <v>7</v>
      </c>
      <c r="M862" s="27" t="s">
        <v>8</v>
      </c>
      <c r="N862" s="27" t="s">
        <v>7</v>
      </c>
      <c r="O862" s="27" t="s">
        <v>8</v>
      </c>
      <c r="R862" s="27" t="s">
        <v>7</v>
      </c>
      <c r="W862" s="27" t="s">
        <v>8</v>
      </c>
      <c r="X862" s="27" t="s">
        <v>7</v>
      </c>
      <c r="Y862" s="27" t="s">
        <v>8</v>
      </c>
      <c r="Z862" s="27" t="s">
        <v>7</v>
      </c>
      <c r="AB862" s="27" t="s">
        <v>7</v>
      </c>
      <c r="AC862" s="27" t="s">
        <v>8</v>
      </c>
      <c r="AD862" s="27" t="s">
        <v>7</v>
      </c>
      <c r="AE862" s="27" t="s">
        <v>8</v>
      </c>
      <c r="AI862" s="27" t="s">
        <v>8</v>
      </c>
      <c r="AJ862" s="27" t="s">
        <v>7</v>
      </c>
      <c r="AM862" s="27" t="s">
        <v>8</v>
      </c>
      <c r="AN862" s="27" t="s">
        <v>7</v>
      </c>
      <c r="AS862" s="27" t="s">
        <v>8</v>
      </c>
      <c r="AT862" s="27" t="s">
        <v>7</v>
      </c>
      <c r="AU862" s="27" t="s">
        <v>8</v>
      </c>
      <c r="AV862" s="27" t="s">
        <v>7</v>
      </c>
      <c r="AW862" s="27" t="s">
        <v>8</v>
      </c>
      <c r="DP862" s="27" t="s">
        <v>7</v>
      </c>
      <c r="DQ862" s="27" t="s">
        <v>8</v>
      </c>
      <c r="DR862" s="27" t="s">
        <v>7</v>
      </c>
      <c r="DS862" s="27" t="s">
        <v>8</v>
      </c>
      <c r="DT862" s="27" t="s">
        <v>7</v>
      </c>
      <c r="DW862" s="27" t="s">
        <v>8</v>
      </c>
      <c r="DY862" s="27" t="s">
        <v>8</v>
      </c>
      <c r="DZ862" s="27" t="s">
        <v>7</v>
      </c>
      <c r="EI862" s="27" t="s">
        <v>8</v>
      </c>
      <c r="EJ862" s="27" t="s">
        <v>7</v>
      </c>
      <c r="EK862" s="27" t="s">
        <v>8</v>
      </c>
      <c r="EL862" s="27" t="s">
        <v>7</v>
      </c>
      <c r="EM862" s="27" t="s">
        <v>8</v>
      </c>
      <c r="GF862" s="27" t="s">
        <v>7</v>
      </c>
      <c r="GU862" s="27" t="s">
        <v>8</v>
      </c>
      <c r="GV862" s="27" t="s">
        <v>7</v>
      </c>
      <c r="HC862" s="27" t="s">
        <v>8</v>
      </c>
      <c r="HD862" s="27" t="s">
        <v>7</v>
      </c>
      <c r="HE862" s="27" t="s">
        <v>8</v>
      </c>
      <c r="HF862" s="27" t="s">
        <v>7</v>
      </c>
      <c r="HG862" s="27" t="s">
        <v>8</v>
      </c>
      <c r="HH862" s="27" t="s">
        <v>7</v>
      </c>
      <c r="HI862" s="27" t="s">
        <v>8</v>
      </c>
      <c r="HJ862" s="27" t="s">
        <v>7</v>
      </c>
      <c r="HK862" s="27" t="s">
        <v>8</v>
      </c>
    </row>
    <row r="863" spans="1:221" x14ac:dyDescent="0.25">
      <c r="A863" s="7">
        <v>4.2301190853906746E-3</v>
      </c>
      <c r="B863"/>
      <c r="C863"/>
      <c r="D863"/>
      <c r="E863"/>
      <c r="L863" s="27" t="s">
        <v>7</v>
      </c>
      <c r="M863" s="27" t="s">
        <v>8</v>
      </c>
      <c r="N863" s="27" t="s">
        <v>7</v>
      </c>
      <c r="O863" s="27" t="s">
        <v>8</v>
      </c>
      <c r="R863" s="27" t="s">
        <v>7</v>
      </c>
      <c r="W863" s="27" t="s">
        <v>8</v>
      </c>
      <c r="X863" s="27" t="s">
        <v>7</v>
      </c>
      <c r="Y863" s="27" t="s">
        <v>8</v>
      </c>
      <c r="AB863" s="27" t="s">
        <v>7</v>
      </c>
      <c r="AC863" s="27" t="s">
        <v>8</v>
      </c>
      <c r="AD863" s="27" t="s">
        <v>7</v>
      </c>
      <c r="AE863" s="27" t="s">
        <v>8</v>
      </c>
      <c r="AF863" s="27" t="s">
        <v>7</v>
      </c>
      <c r="AI863" s="27" t="s">
        <v>8</v>
      </c>
      <c r="AJ863" s="27" t="s">
        <v>7</v>
      </c>
      <c r="AK863" s="27" t="s">
        <v>8</v>
      </c>
      <c r="AM863" s="27" t="s">
        <v>8</v>
      </c>
      <c r="AN863" s="27" t="s">
        <v>7</v>
      </c>
      <c r="AS863" s="27" t="s">
        <v>8</v>
      </c>
      <c r="AT863" s="27" t="s">
        <v>7</v>
      </c>
      <c r="AV863" s="27" t="s">
        <v>7</v>
      </c>
      <c r="AW863" s="27" t="s">
        <v>8</v>
      </c>
      <c r="DP863" s="27" t="s">
        <v>7</v>
      </c>
      <c r="DQ863" s="27" t="s">
        <v>8</v>
      </c>
      <c r="DR863" s="27" t="s">
        <v>7</v>
      </c>
      <c r="DS863" s="27" t="s">
        <v>8</v>
      </c>
      <c r="DT863" s="27" t="s">
        <v>7</v>
      </c>
      <c r="DW863" s="27" t="s">
        <v>8</v>
      </c>
      <c r="DX863" s="27" t="s">
        <v>7</v>
      </c>
      <c r="DY863" s="27" t="s">
        <v>8</v>
      </c>
      <c r="DZ863" s="27" t="s">
        <v>7</v>
      </c>
      <c r="EI863" s="27" t="s">
        <v>8</v>
      </c>
      <c r="EJ863" s="27" t="s">
        <v>7</v>
      </c>
      <c r="EK863" s="27" t="s">
        <v>8</v>
      </c>
      <c r="EL863" s="27" t="s">
        <v>7</v>
      </c>
      <c r="EM863" s="27" t="s">
        <v>8</v>
      </c>
      <c r="GF863" s="27" t="s">
        <v>7</v>
      </c>
      <c r="GU863" s="27" t="s">
        <v>8</v>
      </c>
      <c r="GV863" s="27" t="s">
        <v>7</v>
      </c>
      <c r="HC863" s="27" t="s">
        <v>8</v>
      </c>
      <c r="HD863" s="27" t="s">
        <v>7</v>
      </c>
      <c r="HF863" s="27" t="s">
        <v>7</v>
      </c>
      <c r="HG863" s="27" t="s">
        <v>8</v>
      </c>
      <c r="HH863" s="27" t="s">
        <v>7</v>
      </c>
      <c r="HI863" s="27" t="s">
        <v>8</v>
      </c>
      <c r="HJ863" s="27" t="s">
        <v>7</v>
      </c>
      <c r="HK863" s="27" t="s">
        <v>8</v>
      </c>
    </row>
    <row r="864" spans="1:221" x14ac:dyDescent="0.25">
      <c r="A864" s="7">
        <v>4.1471755739124266E-3</v>
      </c>
      <c r="B864"/>
      <c r="C864"/>
      <c r="D864"/>
      <c r="E864"/>
      <c r="L864" s="27" t="s">
        <v>7</v>
      </c>
      <c r="N864" s="27" t="s">
        <v>7</v>
      </c>
      <c r="R864" s="27" t="s">
        <v>7</v>
      </c>
      <c r="S864" s="27" t="s">
        <v>8</v>
      </c>
      <c r="W864" s="27" t="s">
        <v>8</v>
      </c>
      <c r="X864" s="27" t="s">
        <v>7</v>
      </c>
      <c r="Y864" s="27" t="s">
        <v>8</v>
      </c>
      <c r="AB864" s="27" t="s">
        <v>7</v>
      </c>
      <c r="AD864" s="27" t="s">
        <v>7</v>
      </c>
      <c r="AE864" s="27" t="s">
        <v>8</v>
      </c>
      <c r="AF864" s="27" t="s">
        <v>7</v>
      </c>
      <c r="AG864" s="27" t="s">
        <v>8</v>
      </c>
      <c r="AI864" s="27" t="s">
        <v>8</v>
      </c>
      <c r="AJ864" s="27" t="s">
        <v>7</v>
      </c>
      <c r="AK864" s="27" t="s">
        <v>8</v>
      </c>
      <c r="AL864" s="27" t="s">
        <v>7</v>
      </c>
      <c r="AM864" s="27" t="s">
        <v>8</v>
      </c>
      <c r="AN864" s="27" t="s">
        <v>7</v>
      </c>
      <c r="AS864" s="27" t="s">
        <v>8</v>
      </c>
      <c r="AV864" s="27" t="s">
        <v>7</v>
      </c>
      <c r="AW864" s="27" t="s">
        <v>8</v>
      </c>
      <c r="DP864" s="27" t="s">
        <v>7</v>
      </c>
      <c r="DR864" s="27" t="s">
        <v>7</v>
      </c>
      <c r="DS864" s="27" t="s">
        <v>8</v>
      </c>
      <c r="DT864" s="27" t="s">
        <v>7</v>
      </c>
      <c r="DW864" s="27" t="s">
        <v>8</v>
      </c>
      <c r="DX864" s="27" t="s">
        <v>7</v>
      </c>
      <c r="DY864" s="27" t="s">
        <v>8</v>
      </c>
      <c r="DZ864" s="27" t="s">
        <v>7</v>
      </c>
      <c r="EI864" s="27" t="s">
        <v>8</v>
      </c>
      <c r="EJ864" s="27" t="s">
        <v>7</v>
      </c>
      <c r="EK864" s="27" t="s">
        <v>8</v>
      </c>
      <c r="EL864" s="27" t="s">
        <v>7</v>
      </c>
      <c r="EM864" s="27" t="s">
        <v>8</v>
      </c>
      <c r="GF864" s="27" t="s">
        <v>7</v>
      </c>
      <c r="GU864" s="27" t="s">
        <v>8</v>
      </c>
      <c r="GV864" s="27" t="s">
        <v>7</v>
      </c>
      <c r="HC864" s="27" t="s">
        <v>8</v>
      </c>
      <c r="HF864" s="27" t="s">
        <v>7</v>
      </c>
      <c r="HG864" s="27" t="s">
        <v>8</v>
      </c>
      <c r="HH864" s="27" t="s">
        <v>7</v>
      </c>
      <c r="HI864" s="27" t="s">
        <v>8</v>
      </c>
      <c r="HJ864" s="27" t="s">
        <v>7</v>
      </c>
    </row>
    <row r="865" spans="1:217" x14ac:dyDescent="0.25">
      <c r="A865" s="7">
        <v>4.0658584057964966E-3</v>
      </c>
      <c r="B865"/>
      <c r="C865"/>
      <c r="D865"/>
      <c r="E865"/>
      <c r="R865" s="27" t="s">
        <v>7</v>
      </c>
      <c r="S865" s="27" t="s">
        <v>8</v>
      </c>
      <c r="T865" s="27" t="s">
        <v>7</v>
      </c>
      <c r="U865" s="27" t="s">
        <v>8</v>
      </c>
      <c r="W865" s="27" t="s">
        <v>8</v>
      </c>
      <c r="X865" s="27" t="s">
        <v>7</v>
      </c>
      <c r="AD865" s="27" t="s">
        <v>7</v>
      </c>
      <c r="AE865" s="27" t="s">
        <v>8</v>
      </c>
      <c r="AF865" s="27" t="s">
        <v>7</v>
      </c>
      <c r="AG865" s="27" t="s">
        <v>8</v>
      </c>
      <c r="AH865" s="27" t="s">
        <v>7</v>
      </c>
      <c r="AI865" s="27" t="s">
        <v>8</v>
      </c>
      <c r="AJ865" s="27" t="s">
        <v>7</v>
      </c>
      <c r="AK865" s="27" t="s">
        <v>8</v>
      </c>
      <c r="AL865" s="27" t="s">
        <v>7</v>
      </c>
      <c r="AM865" s="27" t="s">
        <v>8</v>
      </c>
      <c r="AN865" s="27" t="s">
        <v>7</v>
      </c>
      <c r="AO865" s="27" t="s">
        <v>8</v>
      </c>
      <c r="AQ865" s="27" t="s">
        <v>8</v>
      </c>
      <c r="AS865" s="27" t="s">
        <v>8</v>
      </c>
      <c r="AV865" s="27" t="s">
        <v>7</v>
      </c>
      <c r="DR865" s="27" t="s">
        <v>7</v>
      </c>
      <c r="DS865" s="27" t="s">
        <v>8</v>
      </c>
      <c r="DT865" s="27" t="s">
        <v>7</v>
      </c>
      <c r="DW865" s="27" t="s">
        <v>8</v>
      </c>
      <c r="DX865" s="27" t="s">
        <v>7</v>
      </c>
      <c r="DZ865" s="27" t="s">
        <v>7</v>
      </c>
      <c r="EI865" s="27" t="s">
        <v>8</v>
      </c>
      <c r="EJ865" s="27" t="s">
        <v>7</v>
      </c>
      <c r="EK865" s="27" t="s">
        <v>8</v>
      </c>
      <c r="EL865" s="27" t="s">
        <v>7</v>
      </c>
      <c r="EM865" s="27" t="s">
        <v>8</v>
      </c>
      <c r="GF865" s="27" t="s">
        <v>7</v>
      </c>
      <c r="GU865" s="27" t="s">
        <v>8</v>
      </c>
      <c r="GV865" s="27" t="s">
        <v>7</v>
      </c>
      <c r="HC865" s="27" t="s">
        <v>8</v>
      </c>
      <c r="HF865" s="27" t="s">
        <v>7</v>
      </c>
      <c r="HH865" s="27" t="s">
        <v>7</v>
      </c>
      <c r="HI865" s="27" t="s">
        <v>8</v>
      </c>
    </row>
    <row r="866" spans="1:217" x14ac:dyDescent="0.25">
      <c r="A866" s="7">
        <v>3.9861356919573491E-3</v>
      </c>
      <c r="B866"/>
      <c r="C866"/>
      <c r="D866"/>
      <c r="E866"/>
      <c r="R866" s="27" t="s">
        <v>7</v>
      </c>
      <c r="S866" s="27" t="s">
        <v>8</v>
      </c>
      <c r="T866" s="27" t="s">
        <v>7</v>
      </c>
      <c r="U866" s="27" t="s">
        <v>8</v>
      </c>
      <c r="V866" s="27" t="s">
        <v>7</v>
      </c>
      <c r="W866" s="27" t="s">
        <v>8</v>
      </c>
      <c r="AD866" s="27" t="s">
        <v>7</v>
      </c>
      <c r="AE866" s="27" t="s">
        <v>8</v>
      </c>
      <c r="AF866" s="27" t="s">
        <v>7</v>
      </c>
      <c r="AG866" s="27" t="s">
        <v>8</v>
      </c>
      <c r="AH866" s="27" t="s">
        <v>7</v>
      </c>
      <c r="AI866" s="27" t="s">
        <v>8</v>
      </c>
      <c r="AJ866" s="27" t="s">
        <v>7</v>
      </c>
      <c r="AK866" s="27" t="s">
        <v>8</v>
      </c>
      <c r="AL866" s="27" t="s">
        <v>7</v>
      </c>
      <c r="AM866" s="27" t="s">
        <v>8</v>
      </c>
      <c r="AN866" s="27" t="s">
        <v>7</v>
      </c>
      <c r="AO866" s="27" t="s">
        <v>8</v>
      </c>
      <c r="AP866" s="27" t="s">
        <v>7</v>
      </c>
      <c r="AQ866" s="27" t="s">
        <v>8</v>
      </c>
      <c r="AR866" s="27" t="s">
        <v>7</v>
      </c>
      <c r="AS866" s="27" t="s">
        <v>8</v>
      </c>
      <c r="DR866" s="27" t="s">
        <v>7</v>
      </c>
      <c r="DT866" s="27" t="s">
        <v>7</v>
      </c>
      <c r="DU866" s="27" t="s">
        <v>8</v>
      </c>
      <c r="DW866" s="27" t="s">
        <v>8</v>
      </c>
      <c r="DZ866" s="27" t="s">
        <v>7</v>
      </c>
      <c r="EI866" s="27" t="s">
        <v>8</v>
      </c>
      <c r="EJ866" s="27" t="s">
        <v>7</v>
      </c>
      <c r="EK866" s="27" t="s">
        <v>8</v>
      </c>
      <c r="EL866" s="27" t="s">
        <v>7</v>
      </c>
      <c r="EM866" s="27" t="s">
        <v>8</v>
      </c>
      <c r="GF866" s="27" t="s">
        <v>7</v>
      </c>
      <c r="GU866" s="27" t="s">
        <v>8</v>
      </c>
      <c r="GV866" s="27" t="s">
        <v>7</v>
      </c>
      <c r="HA866" s="27" t="s">
        <v>8</v>
      </c>
      <c r="HC866" s="27" t="s">
        <v>8</v>
      </c>
      <c r="HH866" s="27" t="s">
        <v>7</v>
      </c>
      <c r="HI866" s="27" t="s">
        <v>8</v>
      </c>
    </row>
    <row r="867" spans="1:217" x14ac:dyDescent="0.25">
      <c r="A867" s="7">
        <v>3.9079761685856364E-3</v>
      </c>
      <c r="B867"/>
      <c r="C867"/>
      <c r="D867"/>
      <c r="E867"/>
      <c r="R867" s="27" t="s">
        <v>7</v>
      </c>
      <c r="S867" s="27" t="s">
        <v>8</v>
      </c>
      <c r="T867" s="27" t="s">
        <v>7</v>
      </c>
      <c r="U867" s="27" t="s">
        <v>8</v>
      </c>
      <c r="V867" s="27" t="s">
        <v>7</v>
      </c>
      <c r="W867" s="27" t="s">
        <v>8</v>
      </c>
      <c r="AD867" s="27" t="s">
        <v>7</v>
      </c>
      <c r="AE867" s="27" t="s">
        <v>8</v>
      </c>
      <c r="AF867" s="27" t="s">
        <v>7</v>
      </c>
      <c r="AH867" s="27" t="s">
        <v>7</v>
      </c>
      <c r="AJ867" s="27" t="s">
        <v>7</v>
      </c>
      <c r="AK867" s="27" t="s">
        <v>8</v>
      </c>
      <c r="AL867" s="27" t="s">
        <v>7</v>
      </c>
      <c r="AM867" s="27" t="s">
        <v>8</v>
      </c>
      <c r="AN867" s="27" t="s">
        <v>7</v>
      </c>
      <c r="AO867" s="27" t="s">
        <v>8</v>
      </c>
      <c r="AP867" s="27" t="s">
        <v>7</v>
      </c>
      <c r="AQ867" s="27" t="s">
        <v>8</v>
      </c>
      <c r="AR867" s="27" t="s">
        <v>7</v>
      </c>
      <c r="AS867" s="27" t="s">
        <v>8</v>
      </c>
      <c r="DT867" s="27" t="s">
        <v>7</v>
      </c>
      <c r="DU867" s="27" t="s">
        <v>8</v>
      </c>
      <c r="DV867" s="27" t="s">
        <v>7</v>
      </c>
      <c r="DW867" s="27" t="s">
        <v>8</v>
      </c>
      <c r="DZ867" s="27" t="s">
        <v>7</v>
      </c>
      <c r="EI867" s="27" t="s">
        <v>8</v>
      </c>
      <c r="EJ867" s="27" t="s">
        <v>7</v>
      </c>
      <c r="EK867" s="27" t="s">
        <v>8</v>
      </c>
      <c r="EL867" s="27" t="s">
        <v>7</v>
      </c>
      <c r="GF867" s="27" t="s">
        <v>7</v>
      </c>
      <c r="GU867" s="27" t="s">
        <v>8</v>
      </c>
      <c r="GV867" s="27" t="s">
        <v>7</v>
      </c>
      <c r="HA867" s="27" t="s">
        <v>8</v>
      </c>
      <c r="HB867" s="27" t="s">
        <v>7</v>
      </c>
      <c r="HC867" s="27" t="s">
        <v>8</v>
      </c>
      <c r="HH867" s="27" t="s">
        <v>7</v>
      </c>
      <c r="HI867" s="27" t="s">
        <v>8</v>
      </c>
    </row>
    <row r="868" spans="1:217" x14ac:dyDescent="0.25">
      <c r="A868" s="7">
        <v>3.8313491848878793E-3</v>
      </c>
      <c r="B868"/>
      <c r="C868"/>
      <c r="D868"/>
      <c r="E868"/>
      <c r="R868" s="27" t="s">
        <v>7</v>
      </c>
      <c r="S868" s="27" t="s">
        <v>8</v>
      </c>
      <c r="T868" s="27" t="s">
        <v>7</v>
      </c>
      <c r="U868" s="27" t="s">
        <v>8</v>
      </c>
      <c r="V868" s="27" t="s">
        <v>7</v>
      </c>
      <c r="W868" s="27" t="s">
        <v>8</v>
      </c>
      <c r="AD868" s="27" t="s">
        <v>7</v>
      </c>
      <c r="AJ868" s="27" t="s">
        <v>7</v>
      </c>
      <c r="AK868" s="27" t="s">
        <v>8</v>
      </c>
      <c r="AL868" s="27" t="s">
        <v>7</v>
      </c>
      <c r="AN868" s="27" t="s">
        <v>7</v>
      </c>
      <c r="AO868" s="27" t="s">
        <v>8</v>
      </c>
      <c r="AP868" s="27" t="s">
        <v>7</v>
      </c>
      <c r="AQ868" s="27" t="s">
        <v>8</v>
      </c>
      <c r="AR868" s="27" t="s">
        <v>7</v>
      </c>
      <c r="DT868" s="27" t="s">
        <v>7</v>
      </c>
      <c r="DU868" s="27" t="s">
        <v>8</v>
      </c>
      <c r="DV868" s="27" t="s">
        <v>7</v>
      </c>
      <c r="DW868" s="27" t="s">
        <v>8</v>
      </c>
      <c r="DZ868" s="27" t="s">
        <v>7</v>
      </c>
      <c r="EG868" s="27" t="s">
        <v>8</v>
      </c>
      <c r="EI868" s="27" t="s">
        <v>8</v>
      </c>
      <c r="EJ868" s="27" t="s">
        <v>7</v>
      </c>
      <c r="GF868" s="27" t="s">
        <v>7</v>
      </c>
      <c r="GU868" s="27" t="s">
        <v>8</v>
      </c>
      <c r="GV868" s="27" t="s">
        <v>7</v>
      </c>
      <c r="GW868" s="27" t="s">
        <v>8</v>
      </c>
      <c r="GY868" s="27" t="s">
        <v>8</v>
      </c>
      <c r="HA868" s="27" t="s">
        <v>8</v>
      </c>
      <c r="HB868" s="27" t="s">
        <v>7</v>
      </c>
      <c r="HC868" s="27" t="s">
        <v>8</v>
      </c>
      <c r="HH868" s="27" t="s">
        <v>7</v>
      </c>
    </row>
    <row r="869" spans="1:217" x14ac:dyDescent="0.25">
      <c r="A869" s="7">
        <v>3.7562246910665485E-3</v>
      </c>
      <c r="B869"/>
      <c r="C869"/>
      <c r="D869"/>
      <c r="E869"/>
      <c r="R869" s="27" t="s">
        <v>7</v>
      </c>
      <c r="S869" s="27" t="s">
        <v>8</v>
      </c>
      <c r="T869" s="27" t="s">
        <v>7</v>
      </c>
      <c r="U869" s="27" t="s">
        <v>8</v>
      </c>
      <c r="V869" s="27" t="s">
        <v>7</v>
      </c>
      <c r="AJ869" s="27" t="s">
        <v>7</v>
      </c>
      <c r="AK869" s="27" t="s">
        <v>8</v>
      </c>
      <c r="AN869" s="27" t="s">
        <v>7</v>
      </c>
      <c r="AP869" s="27" t="s">
        <v>7</v>
      </c>
      <c r="AQ869" s="27" t="s">
        <v>8</v>
      </c>
      <c r="DT869" s="27" t="s">
        <v>7</v>
      </c>
      <c r="DV869" s="27" t="s">
        <v>7</v>
      </c>
      <c r="DW869" s="27" t="s">
        <v>8</v>
      </c>
      <c r="DZ869" s="27" t="s">
        <v>7</v>
      </c>
      <c r="EG869" s="27" t="s">
        <v>8</v>
      </c>
      <c r="EH869" s="27" t="s">
        <v>7</v>
      </c>
      <c r="EI869" s="27" t="s">
        <v>8</v>
      </c>
      <c r="GF869" s="27" t="s">
        <v>7</v>
      </c>
      <c r="GU869" s="27" t="s">
        <v>8</v>
      </c>
      <c r="GV869" s="27" t="s">
        <v>7</v>
      </c>
      <c r="GW869" s="27" t="s">
        <v>8</v>
      </c>
      <c r="GX869" s="27" t="s">
        <v>7</v>
      </c>
      <c r="GY869" s="27" t="s">
        <v>8</v>
      </c>
      <c r="GZ869" s="27" t="s">
        <v>7</v>
      </c>
      <c r="HA869" s="27" t="s">
        <v>8</v>
      </c>
      <c r="HB869" s="27" t="s">
        <v>7</v>
      </c>
      <c r="HC869" s="27" t="s">
        <v>8</v>
      </c>
    </row>
    <row r="870" spans="1:217" x14ac:dyDescent="0.25">
      <c r="A870" s="7">
        <v>3.6825732265358315E-3</v>
      </c>
      <c r="B870"/>
      <c r="C870"/>
      <c r="D870"/>
      <c r="E870"/>
      <c r="R870" s="27" t="s">
        <v>7</v>
      </c>
      <c r="T870" s="27" t="s">
        <v>7</v>
      </c>
      <c r="U870" s="27" t="s">
        <v>8</v>
      </c>
      <c r="AJ870" s="27" t="s">
        <v>7</v>
      </c>
      <c r="AK870" s="27" t="s">
        <v>8</v>
      </c>
      <c r="AP870" s="27" t="s">
        <v>7</v>
      </c>
      <c r="DV870" s="27" t="s">
        <v>7</v>
      </c>
      <c r="DW870" s="27" t="s">
        <v>8</v>
      </c>
      <c r="DZ870" s="27" t="s">
        <v>7</v>
      </c>
      <c r="EG870" s="27" t="s">
        <v>8</v>
      </c>
      <c r="EH870" s="27" t="s">
        <v>7</v>
      </c>
      <c r="EI870" s="27" t="s">
        <v>8</v>
      </c>
      <c r="GF870" s="27" t="s">
        <v>7</v>
      </c>
      <c r="GU870" s="27" t="s">
        <v>8</v>
      </c>
      <c r="GV870" s="27" t="s">
        <v>7</v>
      </c>
      <c r="GW870" s="27" t="s">
        <v>8</v>
      </c>
      <c r="GX870" s="27" t="s">
        <v>7</v>
      </c>
      <c r="GY870" s="27" t="s">
        <v>8</v>
      </c>
      <c r="GZ870" s="27" t="s">
        <v>7</v>
      </c>
      <c r="HA870" s="27" t="s">
        <v>8</v>
      </c>
      <c r="HB870" s="27" t="s">
        <v>7</v>
      </c>
      <c r="HC870" s="27" t="s">
        <v>8</v>
      </c>
    </row>
    <row r="871" spans="1:217" x14ac:dyDescent="0.25">
      <c r="A871" s="7">
        <v>3.6103659083684624E-3</v>
      </c>
      <c r="B871"/>
      <c r="C871"/>
      <c r="D871"/>
      <c r="E871"/>
      <c r="T871" s="27" t="s">
        <v>7</v>
      </c>
      <c r="U871" s="27" t="s">
        <v>8</v>
      </c>
      <c r="AJ871" s="27" t="s">
        <v>7</v>
      </c>
      <c r="DV871" s="27" t="s">
        <v>7</v>
      </c>
      <c r="DZ871" s="27" t="s">
        <v>7</v>
      </c>
      <c r="EG871" s="27" t="s">
        <v>8</v>
      </c>
      <c r="EH871" s="27" t="s">
        <v>7</v>
      </c>
      <c r="EI871" s="27" t="s">
        <v>8</v>
      </c>
      <c r="GF871" s="27" t="s">
        <v>7</v>
      </c>
      <c r="GU871" s="27" t="s">
        <v>8</v>
      </c>
      <c r="GV871" s="27" t="s">
        <v>7</v>
      </c>
      <c r="GW871" s="27" t="s">
        <v>8</v>
      </c>
      <c r="GX871" s="27" t="s">
        <v>7</v>
      </c>
      <c r="GY871" s="27" t="s">
        <v>8</v>
      </c>
      <c r="GZ871" s="27" t="s">
        <v>7</v>
      </c>
      <c r="HA871" s="27" t="s">
        <v>8</v>
      </c>
      <c r="HB871" s="27" t="s">
        <v>7</v>
      </c>
    </row>
    <row r="872" spans="1:217" x14ac:dyDescent="0.25">
      <c r="A872" s="7">
        <v>3.539574419969081E-3</v>
      </c>
      <c r="B872"/>
      <c r="C872"/>
      <c r="D872"/>
      <c r="E872"/>
      <c r="T872" s="27" t="s">
        <v>7</v>
      </c>
      <c r="U872" s="27" t="s">
        <v>8</v>
      </c>
      <c r="DZ872" s="27" t="s">
        <v>7</v>
      </c>
      <c r="EE872" s="27" t="s">
        <v>8</v>
      </c>
      <c r="EG872" s="27" t="s">
        <v>8</v>
      </c>
      <c r="EH872" s="27" t="s">
        <v>7</v>
      </c>
      <c r="EI872" s="27" t="s">
        <v>8</v>
      </c>
      <c r="GF872" s="27" t="s">
        <v>7</v>
      </c>
      <c r="GO872" s="27" t="s">
        <v>8</v>
      </c>
      <c r="GU872" s="27" t="s">
        <v>8</v>
      </c>
      <c r="GV872" s="27" t="s">
        <v>7</v>
      </c>
      <c r="GW872" s="27" t="s">
        <v>8</v>
      </c>
      <c r="GX872" s="27" t="s">
        <v>7</v>
      </c>
      <c r="GY872" s="27" t="s">
        <v>8</v>
      </c>
      <c r="GZ872" s="27" t="s">
        <v>7</v>
      </c>
    </row>
    <row r="873" spans="1:217" x14ac:dyDescent="0.25">
      <c r="A873" s="7">
        <v>3.4701709999696872E-3</v>
      </c>
      <c r="B873"/>
      <c r="C873"/>
      <c r="D873"/>
      <c r="E873"/>
      <c r="T873" s="27" t="s">
        <v>7</v>
      </c>
      <c r="U873" s="27" t="s">
        <v>8</v>
      </c>
      <c r="DZ873" s="27" t="s">
        <v>7</v>
      </c>
      <c r="EA873" s="27" t="s">
        <v>8</v>
      </c>
      <c r="EC873" s="27" t="s">
        <v>8</v>
      </c>
      <c r="EE873" s="27" t="s">
        <v>8</v>
      </c>
      <c r="EF873" s="27" t="s">
        <v>7</v>
      </c>
      <c r="EG873" s="27" t="s">
        <v>8</v>
      </c>
      <c r="EH873" s="27" t="s">
        <v>7</v>
      </c>
      <c r="EI873" s="27" t="s">
        <v>8</v>
      </c>
      <c r="GF873" s="27" t="s">
        <v>7</v>
      </c>
      <c r="GO873" s="27" t="s">
        <v>8</v>
      </c>
      <c r="GP873" s="27" t="s">
        <v>7</v>
      </c>
      <c r="GU873" s="27" t="s">
        <v>8</v>
      </c>
      <c r="GV873" s="27" t="s">
        <v>7</v>
      </c>
      <c r="GX873" s="27" t="s">
        <v>7</v>
      </c>
    </row>
    <row r="874" spans="1:217" x14ac:dyDescent="0.25">
      <c r="A874" s="7">
        <v>3.4021284313428307E-3</v>
      </c>
      <c r="B874"/>
      <c r="C874"/>
      <c r="D874"/>
      <c r="E874"/>
      <c r="T874" s="27" t="s">
        <v>7</v>
      </c>
      <c r="U874" s="27" t="s">
        <v>8</v>
      </c>
      <c r="DZ874" s="27" t="s">
        <v>7</v>
      </c>
      <c r="EA874" s="27" t="s">
        <v>8</v>
      </c>
      <c r="EB874" s="27" t="s">
        <v>7</v>
      </c>
      <c r="EC874" s="27" t="s">
        <v>8</v>
      </c>
      <c r="ED874" s="27" t="s">
        <v>7</v>
      </c>
      <c r="EE874" s="27" t="s">
        <v>8</v>
      </c>
      <c r="EF874" s="27" t="s">
        <v>7</v>
      </c>
      <c r="EG874" s="27" t="s">
        <v>8</v>
      </c>
      <c r="EH874" s="27" t="s">
        <v>7</v>
      </c>
      <c r="EI874" s="27" t="s">
        <v>8</v>
      </c>
      <c r="GF874" s="27" t="s">
        <v>7</v>
      </c>
      <c r="GO874" s="27" t="s">
        <v>8</v>
      </c>
      <c r="GP874" s="27" t="s">
        <v>7</v>
      </c>
      <c r="GS874" s="27" t="s">
        <v>8</v>
      </c>
      <c r="GU874" s="27" t="s">
        <v>8</v>
      </c>
    </row>
    <row r="875" spans="1:217" x14ac:dyDescent="0.25">
      <c r="A875" s="7">
        <v>3.3354200307282654E-3</v>
      </c>
      <c r="B875"/>
      <c r="C875"/>
      <c r="D875"/>
      <c r="E875"/>
      <c r="T875" s="27" t="s">
        <v>7</v>
      </c>
      <c r="U875" s="27" t="s">
        <v>8</v>
      </c>
      <c r="DZ875" s="27" t="s">
        <v>7</v>
      </c>
      <c r="EA875" s="27" t="s">
        <v>8</v>
      </c>
      <c r="EB875" s="27" t="s">
        <v>7</v>
      </c>
      <c r="EC875" s="27" t="s">
        <v>8</v>
      </c>
      <c r="ED875" s="27" t="s">
        <v>7</v>
      </c>
      <c r="EE875" s="27" t="s">
        <v>8</v>
      </c>
      <c r="EF875" s="27" t="s">
        <v>7</v>
      </c>
      <c r="EH875" s="27" t="s">
        <v>7</v>
      </c>
      <c r="EI875" s="27" t="s">
        <v>8</v>
      </c>
      <c r="GF875" s="27" t="s">
        <v>7</v>
      </c>
      <c r="GO875" s="27" t="s">
        <v>8</v>
      </c>
      <c r="GP875" s="27" t="s">
        <v>7</v>
      </c>
      <c r="GS875" s="27" t="s">
        <v>8</v>
      </c>
      <c r="GT875" s="27" t="s">
        <v>7</v>
      </c>
      <c r="GU875" s="27" t="s">
        <v>8</v>
      </c>
    </row>
    <row r="876" spans="1:217" x14ac:dyDescent="0.25">
      <c r="A876" s="7">
        <v>3.2700196379688881E-3</v>
      </c>
      <c r="B876"/>
      <c r="C876"/>
      <c r="D876"/>
      <c r="E876"/>
      <c r="T876" s="27" t="s">
        <v>7</v>
      </c>
      <c r="DZ876" s="27" t="s">
        <v>7</v>
      </c>
      <c r="EA876" s="27" t="s">
        <v>8</v>
      </c>
      <c r="EB876" s="27" t="s">
        <v>7</v>
      </c>
      <c r="EC876" s="27" t="s">
        <v>8</v>
      </c>
      <c r="ED876" s="27" t="s">
        <v>7</v>
      </c>
      <c r="EE876" s="27" t="s">
        <v>8</v>
      </c>
      <c r="EH876" s="27" t="s">
        <v>7</v>
      </c>
      <c r="EI876" s="27" t="s">
        <v>8</v>
      </c>
      <c r="GF876" s="27" t="s">
        <v>7</v>
      </c>
      <c r="GO876" s="27" t="s">
        <v>8</v>
      </c>
      <c r="GP876" s="27" t="s">
        <v>7</v>
      </c>
      <c r="GQ876" s="27" t="s">
        <v>8</v>
      </c>
      <c r="GS876" s="27" t="s">
        <v>8</v>
      </c>
      <c r="GT876" s="27" t="s">
        <v>7</v>
      </c>
      <c r="GU876" s="27" t="s">
        <v>8</v>
      </c>
    </row>
    <row r="877" spans="1:217" x14ac:dyDescent="0.25">
      <c r="A877" s="7">
        <v>3.205901605851851E-3</v>
      </c>
      <c r="B877"/>
      <c r="C877"/>
      <c r="D877"/>
      <c r="E877"/>
      <c r="DZ877" s="27" t="s">
        <v>7</v>
      </c>
      <c r="EA877" s="27" t="s">
        <v>8</v>
      </c>
      <c r="EB877" s="27" t="s">
        <v>7</v>
      </c>
      <c r="EC877" s="27" t="s">
        <v>8</v>
      </c>
      <c r="ED877" s="27" t="s">
        <v>7</v>
      </c>
      <c r="EH877" s="27" t="s">
        <v>7</v>
      </c>
      <c r="EI877" s="27" t="s">
        <v>8</v>
      </c>
      <c r="GF877" s="27" t="s">
        <v>7</v>
      </c>
      <c r="GM877" s="27" t="s">
        <v>8</v>
      </c>
      <c r="GO877" s="27" t="s">
        <v>8</v>
      </c>
      <c r="GP877" s="27" t="s">
        <v>7</v>
      </c>
      <c r="GQ877" s="27" t="s">
        <v>8</v>
      </c>
      <c r="GR877" s="27" t="s">
        <v>7</v>
      </c>
      <c r="GS877" s="27" t="s">
        <v>8</v>
      </c>
      <c r="GT877" s="27" t="s">
        <v>7</v>
      </c>
    </row>
    <row r="878" spans="1:217" x14ac:dyDescent="0.25">
      <c r="A878" s="7">
        <v>3.1430407900508344E-3</v>
      </c>
      <c r="B878"/>
      <c r="C878"/>
      <c r="D878"/>
      <c r="E878"/>
      <c r="DZ878" s="27" t="s">
        <v>7</v>
      </c>
      <c r="EA878" s="27" t="s">
        <v>8</v>
      </c>
      <c r="EB878" s="27" t="s">
        <v>7</v>
      </c>
      <c r="EC878" s="27" t="s">
        <v>8</v>
      </c>
      <c r="EH878" s="27" t="s">
        <v>7</v>
      </c>
      <c r="EI878" s="27" t="s">
        <v>8</v>
      </c>
      <c r="GF878" s="27" t="s">
        <v>7</v>
      </c>
      <c r="GM878" s="27" t="s">
        <v>8</v>
      </c>
      <c r="GN878" s="27" t="s">
        <v>7</v>
      </c>
      <c r="GO878" s="27" t="s">
        <v>8</v>
      </c>
      <c r="GP878" s="27" t="s">
        <v>7</v>
      </c>
      <c r="GQ878" s="27" t="s">
        <v>8</v>
      </c>
      <c r="GR878" s="27" t="s">
        <v>7</v>
      </c>
      <c r="GS878" s="27" t="s">
        <v>8</v>
      </c>
    </row>
    <row r="879" spans="1:217" x14ac:dyDescent="0.25">
      <c r="A879" s="7">
        <v>3.0814125392655241E-3</v>
      </c>
      <c r="B879"/>
      <c r="C879"/>
      <c r="D879"/>
      <c r="E879"/>
      <c r="DZ879" s="27" t="s">
        <v>7</v>
      </c>
      <c r="EB879" s="27" t="s">
        <v>7</v>
      </c>
      <c r="EH879" s="27" t="s">
        <v>7</v>
      </c>
      <c r="EI879" s="27" t="s">
        <v>8</v>
      </c>
      <c r="GF879" s="27" t="s">
        <v>7</v>
      </c>
      <c r="GK879" s="27" t="s">
        <v>8</v>
      </c>
      <c r="GM879" s="27" t="s">
        <v>8</v>
      </c>
      <c r="GN879" s="27" t="s">
        <v>7</v>
      </c>
      <c r="GO879" s="27" t="s">
        <v>8</v>
      </c>
      <c r="GP879" s="27" t="s">
        <v>7</v>
      </c>
      <c r="GQ879" s="27" t="s">
        <v>8</v>
      </c>
      <c r="GR879" s="27" t="s">
        <v>7</v>
      </c>
      <c r="GS879" s="27" t="s">
        <v>8</v>
      </c>
    </row>
    <row r="880" spans="1:217" x14ac:dyDescent="0.25">
      <c r="A880" s="7">
        <v>3.0209926855544354E-3</v>
      </c>
      <c r="B880"/>
      <c r="C880"/>
      <c r="D880"/>
      <c r="E880"/>
      <c r="EH880" s="27" t="s">
        <v>7</v>
      </c>
      <c r="EI880" s="27" t="s">
        <v>8</v>
      </c>
      <c r="GF880" s="27" t="s">
        <v>7</v>
      </c>
      <c r="GK880" s="27" t="s">
        <v>8</v>
      </c>
      <c r="GL880" s="27" t="s">
        <v>7</v>
      </c>
      <c r="GM880" s="27" t="s">
        <v>8</v>
      </c>
      <c r="GN880" s="27" t="s">
        <v>7</v>
      </c>
      <c r="GP880" s="27" t="s">
        <v>7</v>
      </c>
      <c r="GQ880" s="27" t="s">
        <v>8</v>
      </c>
      <c r="GR880" s="27" t="s">
        <v>7</v>
      </c>
      <c r="GS880" s="27" t="s">
        <v>8</v>
      </c>
    </row>
    <row r="881" spans="1:200" x14ac:dyDescent="0.25">
      <c r="A881" s="7">
        <v>2.9617575348572897E-3</v>
      </c>
      <c r="B881"/>
      <c r="C881"/>
      <c r="D881"/>
      <c r="E881"/>
      <c r="EH881" s="27" t="s">
        <v>7</v>
      </c>
      <c r="EI881" s="27" t="s">
        <v>8</v>
      </c>
      <c r="GF881" s="27" t="s">
        <v>7</v>
      </c>
      <c r="GK881" s="27" t="s">
        <v>8</v>
      </c>
      <c r="GL881" s="27" t="s">
        <v>7</v>
      </c>
      <c r="GM881" s="27" t="s">
        <v>8</v>
      </c>
      <c r="GP881" s="27" t="s">
        <v>7</v>
      </c>
      <c r="GQ881" s="27" t="s">
        <v>8</v>
      </c>
      <c r="GR881" s="27" t="s">
        <v>7</v>
      </c>
    </row>
    <row r="882" spans="1:200" x14ac:dyDescent="0.25">
      <c r="A882" s="7">
        <v>2.9036838577032251E-3</v>
      </c>
      <c r="B882"/>
      <c r="C882"/>
      <c r="D882"/>
      <c r="E882"/>
      <c r="EH882" s="27" t="s">
        <v>7</v>
      </c>
      <c r="EI882" s="27" t="s">
        <v>8</v>
      </c>
      <c r="GF882" s="27" t="s">
        <v>7</v>
      </c>
      <c r="GK882" s="27" t="s">
        <v>8</v>
      </c>
      <c r="GL882" s="27" t="s">
        <v>7</v>
      </c>
      <c r="GM882" s="27" t="s">
        <v>8</v>
      </c>
      <c r="GP882" s="27" t="s">
        <v>7</v>
      </c>
      <c r="GQ882" s="27" t="s">
        <v>8</v>
      </c>
    </row>
    <row r="883" spans="1:200" x14ac:dyDescent="0.25">
      <c r="A883" s="7">
        <v>2.8467488801012012E-3</v>
      </c>
      <c r="B883"/>
      <c r="C883"/>
      <c r="D883"/>
      <c r="E883"/>
      <c r="EH883" s="27" t="s">
        <v>7</v>
      </c>
      <c r="GF883" s="27" t="s">
        <v>7</v>
      </c>
      <c r="GK883" s="27" t="s">
        <v>8</v>
      </c>
      <c r="GL883" s="27" t="s">
        <v>7</v>
      </c>
      <c r="GM883" s="27" t="s">
        <v>8</v>
      </c>
      <c r="GP883" s="27" t="s">
        <v>7</v>
      </c>
      <c r="GQ883" s="27" t="s">
        <v>8</v>
      </c>
    </row>
    <row r="884" spans="1:200" x14ac:dyDescent="0.25">
      <c r="A884" s="7">
        <v>2.7909302746090209E-3</v>
      </c>
      <c r="B884"/>
      <c r="C884"/>
      <c r="D884"/>
      <c r="E884"/>
      <c r="GF884" s="27" t="s">
        <v>7</v>
      </c>
      <c r="GG884" s="27" t="s">
        <v>8</v>
      </c>
      <c r="GK884" s="27" t="s">
        <v>8</v>
      </c>
      <c r="GL884" s="27" t="s">
        <v>7</v>
      </c>
      <c r="GM884" s="27" t="s">
        <v>8</v>
      </c>
      <c r="GP884" s="27" t="s">
        <v>7</v>
      </c>
      <c r="GQ884" s="27" t="s">
        <v>8</v>
      </c>
    </row>
    <row r="885" spans="1:200" x14ac:dyDescent="0.25">
      <c r="A885" s="7">
        <v>2.7362061515774716E-3</v>
      </c>
      <c r="B885"/>
      <c r="C885"/>
      <c r="D885"/>
      <c r="E885"/>
      <c r="GF885" s="27" t="s">
        <v>7</v>
      </c>
      <c r="GG885" s="27" t="s">
        <v>8</v>
      </c>
      <c r="GH885" s="27" t="s">
        <v>7</v>
      </c>
      <c r="GK885" s="27" t="s">
        <v>8</v>
      </c>
      <c r="GL885" s="27" t="s">
        <v>7</v>
      </c>
      <c r="GM885" s="27" t="s">
        <v>8</v>
      </c>
      <c r="GP885" s="27" t="s">
        <v>7</v>
      </c>
    </row>
    <row r="886" spans="1:200" x14ac:dyDescent="0.25">
      <c r="A886" s="7">
        <v>2.6825550505661486E-3</v>
      </c>
      <c r="B886"/>
      <c r="C886"/>
      <c r="D886"/>
      <c r="E886"/>
      <c r="GF886" s="27" t="s">
        <v>7</v>
      </c>
      <c r="GG886" s="27" t="s">
        <v>8</v>
      </c>
      <c r="GH886" s="27" t="s">
        <v>7</v>
      </c>
      <c r="GK886" s="27" t="s">
        <v>8</v>
      </c>
      <c r="GL886" s="27" t="s">
        <v>7</v>
      </c>
      <c r="GM886" s="27" t="s">
        <v>8</v>
      </c>
    </row>
    <row r="887" spans="1:200" x14ac:dyDescent="0.25">
      <c r="A887" s="7">
        <v>2.6299559319275965E-3</v>
      </c>
      <c r="B887"/>
      <c r="C887"/>
      <c r="D887"/>
      <c r="E887"/>
      <c r="GF887" s="27" t="s">
        <v>7</v>
      </c>
      <c r="GG887" s="27" t="s">
        <v>8</v>
      </c>
      <c r="GH887" s="27" t="s">
        <v>7</v>
      </c>
      <c r="GK887" s="27" t="s">
        <v>8</v>
      </c>
      <c r="GL887" s="27" t="s">
        <v>7</v>
      </c>
      <c r="GM887" s="27" t="s">
        <v>8</v>
      </c>
    </row>
    <row r="888" spans="1:200" x14ac:dyDescent="0.25">
      <c r="A888" s="7">
        <v>2.578388168556467E-3</v>
      </c>
      <c r="B888"/>
      <c r="C888"/>
      <c r="D888"/>
      <c r="E888"/>
      <c r="GF888" s="27" t="s">
        <v>7</v>
      </c>
      <c r="GG888" s="27" t="s">
        <v>8</v>
      </c>
      <c r="GH888" s="27" t="s">
        <v>7</v>
      </c>
      <c r="GK888" s="27" t="s">
        <v>8</v>
      </c>
      <c r="GL888" s="27" t="s">
        <v>7</v>
      </c>
    </row>
    <row r="889" spans="1:200" x14ac:dyDescent="0.25">
      <c r="A889" s="7">
        <v>2.5278315378004577E-3</v>
      </c>
      <c r="B889"/>
      <c r="C889"/>
      <c r="D889"/>
      <c r="E889"/>
      <c r="GF889" s="27" t="s">
        <v>7</v>
      </c>
      <c r="GG889" s="27" t="s">
        <v>8</v>
      </c>
      <c r="GH889" s="27" t="s">
        <v>7</v>
      </c>
      <c r="GI889" s="27" t="s">
        <v>8</v>
      </c>
      <c r="GK889" s="27" t="s">
        <v>8</v>
      </c>
    </row>
    <row r="890" spans="1:200" x14ac:dyDescent="0.25">
      <c r="A890" s="7">
        <v>2.4782662135298603E-3</v>
      </c>
      <c r="B890"/>
      <c r="C890"/>
      <c r="D890"/>
      <c r="E890"/>
      <c r="GF890" s="27" t="s">
        <v>7</v>
      </c>
      <c r="GG890" s="27" t="s">
        <v>8</v>
      </c>
      <c r="GH890" s="27" t="s">
        <v>7</v>
      </c>
      <c r="GI890" s="27" t="s">
        <v>8</v>
      </c>
      <c r="GJ890" s="27" t="s">
        <v>7</v>
      </c>
      <c r="GK890" s="27" t="s">
        <v>8</v>
      </c>
    </row>
    <row r="891" spans="1:200" x14ac:dyDescent="0.25">
      <c r="A891" s="7">
        <v>2.4296727583626083E-3</v>
      </c>
      <c r="B891"/>
      <c r="C891"/>
      <c r="D891"/>
      <c r="E891"/>
      <c r="GF891" s="27" t="s">
        <v>7</v>
      </c>
      <c r="GG891" s="27" t="s">
        <v>8</v>
      </c>
      <c r="GH891" s="27" t="s">
        <v>7</v>
      </c>
      <c r="GI891" s="27" t="s">
        <v>8</v>
      </c>
      <c r="GJ891" s="27" t="s">
        <v>7</v>
      </c>
      <c r="GK891" s="27" t="s">
        <v>8</v>
      </c>
    </row>
    <row r="892" spans="1:200" x14ac:dyDescent="0.25">
      <c r="A892" s="7">
        <v>2.3820321160417726E-3</v>
      </c>
      <c r="B892"/>
      <c r="C892"/>
      <c r="D892"/>
      <c r="E892"/>
      <c r="GF892" s="27" t="s">
        <v>7</v>
      </c>
      <c r="GG892" s="27" t="s">
        <v>8</v>
      </c>
      <c r="GH892" s="27" t="s">
        <v>7</v>
      </c>
      <c r="GI892" s="27" t="s">
        <v>8</v>
      </c>
      <c r="GJ892" s="27" t="s">
        <v>7</v>
      </c>
      <c r="GK892" s="27" t="s">
        <v>8</v>
      </c>
    </row>
    <row r="893" spans="1:200" x14ac:dyDescent="0.25">
      <c r="A893" s="7">
        <v>2.3353256039625224E-3</v>
      </c>
      <c r="B893"/>
      <c r="C893"/>
      <c r="D893"/>
      <c r="E893"/>
      <c r="GF893" s="27" t="s">
        <v>7</v>
      </c>
      <c r="GG893" s="27" t="s">
        <v>8</v>
      </c>
      <c r="GH893" s="27" t="s">
        <v>7</v>
      </c>
      <c r="GI893" s="27" t="s">
        <v>8</v>
      </c>
      <c r="GJ893" s="27" t="s">
        <v>7</v>
      </c>
      <c r="GK893" s="27" t="s">
        <v>8</v>
      </c>
    </row>
    <row r="894" spans="1:200" x14ac:dyDescent="0.25">
      <c r="A894" s="7">
        <v>2.2895349058456101E-3</v>
      </c>
      <c r="B894"/>
      <c r="C894"/>
      <c r="D894"/>
      <c r="E894"/>
      <c r="GF894" s="27" t="s">
        <v>7</v>
      </c>
      <c r="GG894" s="27" t="s">
        <v>8</v>
      </c>
      <c r="GH894" s="27" t="s">
        <v>7</v>
      </c>
      <c r="GI894" s="27" t="s">
        <v>8</v>
      </c>
      <c r="GJ894" s="27" t="s">
        <v>7</v>
      </c>
    </row>
    <row r="895" spans="1:200" x14ac:dyDescent="0.25">
      <c r="A895" s="7">
        <v>2.24464206455452E-3</v>
      </c>
      <c r="B895"/>
      <c r="C895"/>
      <c r="D895"/>
      <c r="E895"/>
      <c r="GF895" s="27" t="s">
        <v>7</v>
      </c>
      <c r="GG895" s="27" t="s">
        <v>8</v>
      </c>
      <c r="GH895" s="27" t="s">
        <v>7</v>
      </c>
      <c r="GI895" s="27" t="s">
        <v>8</v>
      </c>
    </row>
    <row r="896" spans="1:200" x14ac:dyDescent="0.25">
      <c r="A896" s="7">
        <v>2.200629475053451E-3</v>
      </c>
      <c r="B896"/>
      <c r="C896"/>
      <c r="D896"/>
      <c r="E896"/>
      <c r="GF896" s="27" t="s">
        <v>7</v>
      </c>
      <c r="GG896" s="27" t="s">
        <v>8</v>
      </c>
      <c r="GH896" s="27" t="s">
        <v>7</v>
      </c>
      <c r="GI896" s="27" t="s">
        <v>8</v>
      </c>
    </row>
    <row r="897" spans="1:191" x14ac:dyDescent="0.25">
      <c r="A897" s="7">
        <v>2.1574798775033832E-3</v>
      </c>
      <c r="B897"/>
      <c r="C897"/>
      <c r="D897"/>
      <c r="E897"/>
      <c r="GF897" s="27" t="s">
        <v>7</v>
      </c>
      <c r="GG897" s="27" t="s">
        <v>8</v>
      </c>
      <c r="GH897" s="27" t="s">
        <v>7</v>
      </c>
      <c r="GI897" s="27" t="s">
        <v>8</v>
      </c>
    </row>
    <row r="898" spans="1:191" x14ac:dyDescent="0.25">
      <c r="A898" s="7">
        <v>2.115176350493513E-3</v>
      </c>
      <c r="B898"/>
      <c r="C898"/>
      <c r="D898"/>
      <c r="E898"/>
      <c r="GF898" s="27" t="s">
        <v>7</v>
      </c>
      <c r="GG898" s="27" t="s">
        <v>8</v>
      </c>
      <c r="GH898" s="27" t="s">
        <v>7</v>
      </c>
      <c r="GI898" s="27" t="s">
        <v>8</v>
      </c>
    </row>
    <row r="899" spans="1:191" x14ac:dyDescent="0.25">
      <c r="A899" s="7">
        <v>2.0737023044054047E-3</v>
      </c>
      <c r="B899"/>
      <c r="C899"/>
      <c r="D899"/>
      <c r="E899"/>
      <c r="GF899" s="27" t="s">
        <v>7</v>
      </c>
      <c r="GG899" s="27" t="s">
        <v>8</v>
      </c>
      <c r="GH899" s="27" t="s">
        <v>7</v>
      </c>
      <c r="GI899" s="27" t="s">
        <v>8</v>
      </c>
    </row>
    <row r="900" spans="1:191" x14ac:dyDescent="0.25">
      <c r="A900" s="7">
        <v>2.0330414749072595E-3</v>
      </c>
      <c r="B900"/>
      <c r="C900"/>
      <c r="D900"/>
      <c r="E900"/>
      <c r="GF900" s="27" t="s">
        <v>7</v>
      </c>
      <c r="GG900" s="27" t="s">
        <v>8</v>
      </c>
      <c r="GH900" s="27" t="s">
        <v>7</v>
      </c>
      <c r="GI900" s="27" t="s">
        <v>8</v>
      </c>
    </row>
    <row r="901" spans="1:191" x14ac:dyDescent="0.25">
      <c r="A901" s="7">
        <v>1.9931779165757446E-3</v>
      </c>
      <c r="B901"/>
      <c r="C901"/>
      <c r="D901"/>
      <c r="E901"/>
      <c r="GF901" s="27" t="s">
        <v>7</v>
      </c>
      <c r="GG901" s="27" t="s">
        <v>8</v>
      </c>
      <c r="GH901" s="27" t="s">
        <v>7</v>
      </c>
    </row>
    <row r="902" spans="1:191" x14ac:dyDescent="0.25">
      <c r="A902" s="7">
        <v>1.954095996642887E-3</v>
      </c>
      <c r="B902"/>
      <c r="C902"/>
      <c r="D902"/>
      <c r="E902"/>
      <c r="GF902" s="27" t="s">
        <v>7</v>
      </c>
      <c r="GG902" s="27" t="s">
        <v>8</v>
      </c>
    </row>
    <row r="903" spans="1:191" x14ac:dyDescent="0.25">
      <c r="A903" s="7">
        <v>1.9157803888655755E-3</v>
      </c>
      <c r="B903"/>
      <c r="C903"/>
      <c r="D903"/>
      <c r="E903"/>
      <c r="GF903" s="27" t="s">
        <v>7</v>
      </c>
      <c r="GG903" s="27" t="s">
        <v>8</v>
      </c>
    </row>
    <row r="904" spans="1:191" x14ac:dyDescent="0.25">
      <c r="A904" s="7">
        <v>1.8782160675152703E-3</v>
      </c>
      <c r="B904"/>
      <c r="C904"/>
      <c r="D904"/>
      <c r="E904"/>
      <c r="GF904" s="27" t="s">
        <v>7</v>
      </c>
      <c r="GG904" s="27" t="s">
        <v>8</v>
      </c>
    </row>
    <row r="905" spans="1:191" x14ac:dyDescent="0.25">
      <c r="A905" s="7">
        <v>1.8413883014855592E-3</v>
      </c>
      <c r="B905"/>
      <c r="C905"/>
      <c r="D905"/>
      <c r="E905"/>
      <c r="GF905" s="27" t="s">
        <v>7</v>
      </c>
      <c r="GG905" s="27" t="s">
        <v>8</v>
      </c>
    </row>
    <row r="906" spans="1:191" x14ac:dyDescent="0.25">
      <c r="A906" s="7">
        <v>1.8052826485152542E-3</v>
      </c>
      <c r="B906"/>
      <c r="C906"/>
      <c r="D906"/>
      <c r="E906"/>
      <c r="GF906" s="27" t="s">
        <v>7</v>
      </c>
      <c r="GG906" s="27" t="s">
        <v>8</v>
      </c>
    </row>
    <row r="907" spans="1:191" x14ac:dyDescent="0.25">
      <c r="A907" s="7">
        <v>1.7698849495247592E-3</v>
      </c>
      <c r="B907"/>
      <c r="C907"/>
      <c r="D907"/>
      <c r="E907"/>
      <c r="GF907" s="27" t="s">
        <v>7</v>
      </c>
      <c r="GG907" s="27" t="s">
        <v>8</v>
      </c>
    </row>
    <row r="908" spans="1:191" x14ac:dyDescent="0.25">
      <c r="A908" s="7">
        <v>1.7351813230634893E-3</v>
      </c>
      <c r="B908"/>
      <c r="C908"/>
      <c r="D908"/>
      <c r="E908"/>
      <c r="GF908" s="27" t="s">
        <v>7</v>
      </c>
      <c r="GG908" s="27" t="s">
        <v>8</v>
      </c>
    </row>
    <row r="909" spans="1:191" x14ac:dyDescent="0.25">
      <c r="A909" s="7">
        <v>1.701158159866166E-3</v>
      </c>
      <c r="B909"/>
      <c r="C909"/>
      <c r="D909"/>
      <c r="E909"/>
      <c r="GF909" s="27" t="s">
        <v>7</v>
      </c>
      <c r="GG909" s="27" t="s">
        <v>8</v>
      </c>
    </row>
    <row r="910" spans="1:191" x14ac:dyDescent="0.25">
      <c r="A910" s="7">
        <v>1.6678021175158492E-3</v>
      </c>
      <c r="B910"/>
      <c r="C910"/>
      <c r="D910"/>
      <c r="E910"/>
      <c r="GF910" s="27" t="s">
        <v>7</v>
      </c>
      <c r="GG910" s="27" t="s">
        <v>8</v>
      </c>
    </row>
    <row r="911" spans="1:191" x14ac:dyDescent="0.25">
      <c r="A911" s="7">
        <v>1.6351001152116167E-3</v>
      </c>
      <c r="B911"/>
      <c r="C911"/>
      <c r="D911"/>
      <c r="E911"/>
      <c r="GF911" s="27" t="s">
        <v>7</v>
      </c>
      <c r="GG911" s="27" t="s">
        <v>8</v>
      </c>
    </row>
    <row r="912" spans="1:191" x14ac:dyDescent="0.25">
      <c r="A912" s="7">
        <v>1.60303932863884E-3</v>
      </c>
      <c r="B912"/>
      <c r="C912"/>
      <c r="D912"/>
      <c r="E912"/>
      <c r="GF912" s="27" t="s">
        <v>7</v>
      </c>
      <c r="GG912" s="27" t="s">
        <v>8</v>
      </c>
    </row>
    <row r="913" spans="1:188" x14ac:dyDescent="0.25">
      <c r="A913" s="7">
        <v>1.5716071849400392E-3</v>
      </c>
      <c r="B913"/>
      <c r="C913"/>
      <c r="D913"/>
      <c r="E913"/>
      <c r="GF913" s="27" t="s">
        <v>7</v>
      </c>
    </row>
    <row r="914" spans="1:188" x14ac:dyDescent="0.25">
      <c r="A914" s="7">
        <v>1.5407913577843522E-3</v>
      </c>
      <c r="B914"/>
      <c r="C914"/>
      <c r="D914"/>
      <c r="E914"/>
    </row>
    <row r="915" spans="1:188" x14ac:dyDescent="0.25">
      <c r="A915" s="7">
        <v>1.5105797625336785E-3</v>
      </c>
      <c r="B915"/>
      <c r="C915"/>
      <c r="D915"/>
      <c r="E915"/>
    </row>
    <row r="916" spans="1:188" x14ac:dyDescent="0.25">
      <c r="A916" s="7">
        <v>1.4809605515036064E-3</v>
      </c>
      <c r="B916"/>
      <c r="C916"/>
      <c r="D916"/>
      <c r="E916"/>
    </row>
    <row r="917" spans="1:188" x14ac:dyDescent="0.25">
      <c r="A917" s="7">
        <v>1.4519221093172612E-3</v>
      </c>
      <c r="B917"/>
      <c r="C917"/>
      <c r="D917"/>
      <c r="E917"/>
    </row>
    <row r="918" spans="1:188" x14ac:dyDescent="0.25">
      <c r="A918" s="7">
        <v>1.423453048350256E-3</v>
      </c>
      <c r="B918"/>
      <c r="C918"/>
      <c r="D918"/>
      <c r="E918"/>
    </row>
    <row r="919" spans="1:188" x14ac:dyDescent="0.25">
      <c r="A919" s="7">
        <v>1.3955422042649568E-3</v>
      </c>
      <c r="B919"/>
      <c r="C919"/>
      <c r="D919"/>
      <c r="E919"/>
    </row>
    <row r="920" spans="1:188" x14ac:dyDescent="0.25">
      <c r="A920" s="7">
        <v>1.3681786316323105E-3</v>
      </c>
      <c r="B920"/>
      <c r="C920"/>
      <c r="D920"/>
      <c r="E920"/>
    </row>
    <row r="921" spans="1:188" x14ac:dyDescent="0.25">
      <c r="A921" s="7">
        <v>1.3413515996395203E-3</v>
      </c>
      <c r="B921"/>
      <c r="C921"/>
      <c r="D921"/>
      <c r="E921"/>
    </row>
    <row r="922" spans="1:188" x14ac:dyDescent="0.25">
      <c r="A922" s="7">
        <v>1.3150505878818826E-3</v>
      </c>
      <c r="B922"/>
      <c r="C922"/>
      <c r="D922"/>
      <c r="E922"/>
    </row>
    <row r="923" spans="1:188" x14ac:dyDescent="0.25">
      <c r="A923" s="7">
        <v>1.2892652822371396E-3</v>
      </c>
      <c r="B923"/>
      <c r="C923"/>
      <c r="D923"/>
      <c r="E923"/>
    </row>
    <row r="924" spans="1:188" x14ac:dyDescent="0.25">
      <c r="A924" s="7">
        <v>1.2639855708207251E-3</v>
      </c>
      <c r="B924"/>
      <c r="C924"/>
      <c r="D924"/>
      <c r="E924"/>
    </row>
    <row r="925" spans="1:188" x14ac:dyDescent="0.25">
      <c r="A925" s="7">
        <v>1.2392015400203187E-3</v>
      </c>
      <c r="B925"/>
      <c r="C925"/>
      <c r="D925"/>
      <c r="E925"/>
    </row>
    <row r="926" spans="1:188" x14ac:dyDescent="0.25">
      <c r="A926" s="7">
        <v>1.2149034706081556E-3</v>
      </c>
      <c r="B926"/>
      <c r="C926"/>
      <c r="D926"/>
      <c r="E926"/>
    </row>
    <row r="927" spans="1:188" x14ac:dyDescent="0.25">
      <c r="A927" s="7">
        <v>1.1910818339295644E-3</v>
      </c>
      <c r="B927"/>
      <c r="C927"/>
      <c r="D927"/>
      <c r="E927"/>
    </row>
    <row r="928" spans="1:188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69" zoomScale="90" zoomScaleNormal="90" workbookViewId="0">
      <pane xSplit="4" topLeftCell="EJ1" activePane="topRight" state="frozen"/>
      <selection activeCell="A109" sqref="A109"/>
      <selection pane="topRight" activeCell="GU299" sqref="GU29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$A$298</v>
      </c>
      <c r="D111" s="1" t="str">
        <f>ADDRESS(C121-1,D121,1,1)</f>
        <v>$GU$298</v>
      </c>
      <c r="E111"/>
    </row>
    <row r="112" spans="1:5" x14ac:dyDescent="0.25">
      <c r="A112" s="30">
        <v>515.50191262726139</v>
      </c>
      <c r="C112" s="1" t="str">
        <f>ADDRESS(C121,1,1,1)</f>
        <v>$A$299</v>
      </c>
      <c r="D112" s="1" t="str">
        <f>ADDRESS(C121,D121-1,1,1)</f>
        <v>$GT$299</v>
      </c>
      <c r="E112"/>
    </row>
    <row r="113" spans="1:5" x14ac:dyDescent="0.25">
      <c r="A113" s="30">
        <v>490.95420250215363</v>
      </c>
      <c r="C113" s="1" t="str">
        <f>ADDRESS(C121+1,1,1,1)</f>
        <v>$A$300</v>
      </c>
      <c r="D113" s="1" t="str">
        <f>ADDRESS(C121-1,D121+1,1,1)</f>
        <v>$GV$298</v>
      </c>
    </row>
    <row r="114" spans="1:5" x14ac:dyDescent="0.25">
      <c r="A114" s="30">
        <v>467.57543095443202</v>
      </c>
      <c r="C114" s="1" t="str">
        <f>ADDRESS(C121,D121,1,1)</f>
        <v>$GU$299</v>
      </c>
      <c r="D114" s="1" t="str">
        <f>ADDRESS(C121+1,D121+1,1,1)</f>
        <v>$GV$300</v>
      </c>
    </row>
    <row r="115" spans="1:5" x14ac:dyDescent="0.25">
      <c r="A115" s="30">
        <v>445.30993424231622</v>
      </c>
      <c r="C115" s="1" t="str">
        <f>ADDRESS(C121+1,D121,1,1)</f>
        <v>$GU$300</v>
      </c>
    </row>
    <row r="116" spans="1:5" x14ac:dyDescent="0.25">
      <c r="A116" s="30">
        <v>424.10469927839637</v>
      </c>
      <c r="C116" s="1">
        <f>C117-1</f>
        <v>298</v>
      </c>
    </row>
    <row r="117" spans="1:5" x14ac:dyDescent="0.25">
      <c r="A117" s="30">
        <v>403.9092374079965</v>
      </c>
      <c r="C117" s="1">
        <f>C121</f>
        <v>299</v>
      </c>
      <c r="D117" s="1">
        <f>D121</f>
        <v>203</v>
      </c>
    </row>
    <row r="118" spans="1:5" x14ac:dyDescent="0.25">
      <c r="A118" s="30">
        <v>384.6754641980919</v>
      </c>
      <c r="C118" s="1">
        <f>C117+1</f>
        <v>300</v>
      </c>
      <c r="D118" s="1">
        <f>D117+1</f>
        <v>204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299</v>
      </c>
      <c r="D121" s="19">
        <v>203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R299</v>
      </c>
      <c r="D123" s="1" t="str">
        <f>"C"&amp;D121</f>
        <v>C203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5.6212299933817669E-2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156" x14ac:dyDescent="0.25">
      <c r="A257" s="30">
        <v>0.43629668761085438</v>
      </c>
      <c r="B257"/>
      <c r="C257"/>
      <c r="D257"/>
      <c r="E257"/>
      <c r="F257" s="27" t="s">
        <v>7</v>
      </c>
    </row>
    <row r="258" spans="1:156" x14ac:dyDescent="0.25">
      <c r="A258" s="30">
        <v>0.41552065486748019</v>
      </c>
      <c r="B258"/>
      <c r="C258"/>
      <c r="D258"/>
      <c r="E258"/>
      <c r="F258" s="27" t="s">
        <v>7</v>
      </c>
    </row>
    <row r="259" spans="1:156" x14ac:dyDescent="0.25">
      <c r="A259" s="30">
        <v>0.39573395701664765</v>
      </c>
      <c r="B259"/>
      <c r="C259"/>
      <c r="D259"/>
      <c r="E259"/>
      <c r="F259" s="27" t="s">
        <v>7</v>
      </c>
    </row>
    <row r="260" spans="1:156" x14ac:dyDescent="0.25">
      <c r="A260" s="30">
        <v>0.37688948287299762</v>
      </c>
      <c r="B260"/>
      <c r="C260"/>
      <c r="D260"/>
      <c r="E260"/>
      <c r="F260" s="27" t="s">
        <v>7</v>
      </c>
    </row>
    <row r="261" spans="1:156" x14ac:dyDescent="0.25">
      <c r="A261" s="30">
        <v>0.35894236464094997</v>
      </c>
      <c r="B261"/>
      <c r="C261"/>
      <c r="D261"/>
      <c r="E261"/>
      <c r="F261" s="27" t="s">
        <v>7</v>
      </c>
    </row>
    <row r="262" spans="1:156" x14ac:dyDescent="0.25">
      <c r="A262" s="30">
        <v>0.34184987108661891</v>
      </c>
      <c r="B262"/>
      <c r="C262"/>
      <c r="D262"/>
      <c r="E262"/>
      <c r="F262" s="27" t="s">
        <v>7</v>
      </c>
    </row>
    <row r="263" spans="1:156" x14ac:dyDescent="0.25">
      <c r="A263" s="30">
        <v>0.32557130579677979</v>
      </c>
      <c r="B263"/>
      <c r="C263"/>
      <c r="D263"/>
      <c r="E263"/>
      <c r="F263" s="27" t="s">
        <v>7</v>
      </c>
    </row>
    <row r="264" spans="1:156" x14ac:dyDescent="0.25">
      <c r="A264" s="30">
        <v>0.3100679102826473</v>
      </c>
      <c r="B264"/>
      <c r="C264"/>
      <c r="D264"/>
      <c r="E264"/>
      <c r="F264" s="27" t="s">
        <v>7</v>
      </c>
    </row>
    <row r="265" spans="1:156" x14ac:dyDescent="0.25">
      <c r="A265" s="30">
        <v>0.2953027716977592</v>
      </c>
      <c r="B265"/>
      <c r="C265"/>
      <c r="D265"/>
      <c r="E265"/>
      <c r="F265" s="27" t="s">
        <v>7</v>
      </c>
    </row>
    <row r="266" spans="1:156" x14ac:dyDescent="0.25">
      <c r="A266" s="30">
        <v>0.28124073495024676</v>
      </c>
      <c r="B266"/>
      <c r="C266"/>
      <c r="D266"/>
      <c r="E266"/>
      <c r="F266" s="27" t="s">
        <v>7</v>
      </c>
    </row>
    <row r="267" spans="1:156" x14ac:dyDescent="0.25">
      <c r="A267" s="30">
        <v>0.26784831900023492</v>
      </c>
      <c r="B267"/>
      <c r="C267"/>
      <c r="D267"/>
      <c r="E267"/>
      <c r="F267" s="27" t="s">
        <v>7</v>
      </c>
      <c r="EK267" s="32" t="s">
        <v>8</v>
      </c>
      <c r="EM267" s="32" t="s">
        <v>8</v>
      </c>
    </row>
    <row r="268" spans="1:156" x14ac:dyDescent="0.25">
      <c r="A268" s="30">
        <v>0.25509363714308075</v>
      </c>
      <c r="B268"/>
      <c r="C268"/>
      <c r="D268"/>
      <c r="E268"/>
      <c r="F268" s="27" t="s">
        <v>7</v>
      </c>
      <c r="EK268" s="27" t="s">
        <v>8</v>
      </c>
      <c r="EL268" s="27" t="s">
        <v>7</v>
      </c>
      <c r="EM268" s="27" t="s">
        <v>8</v>
      </c>
      <c r="EN268" s="27" t="s">
        <v>7</v>
      </c>
      <c r="EO268" s="27" t="s">
        <v>8</v>
      </c>
    </row>
    <row r="269" spans="1:156" x14ac:dyDescent="0.25">
      <c r="A269" s="30">
        <v>0.24294632108864825</v>
      </c>
      <c r="B269"/>
      <c r="C269"/>
      <c r="D269"/>
      <c r="E269"/>
      <c r="F269" s="27" t="s">
        <v>7</v>
      </c>
      <c r="EK269" s="27" t="s">
        <v>8</v>
      </c>
      <c r="EL269" s="27" t="s">
        <v>7</v>
      </c>
      <c r="EM269" s="27" t="s">
        <v>8</v>
      </c>
      <c r="EN269" s="27" t="s">
        <v>7</v>
      </c>
      <c r="EO269" s="27" t="s">
        <v>8</v>
      </c>
      <c r="EP269" s="27" t="s">
        <v>7</v>
      </c>
      <c r="EW269" s="31" t="s">
        <v>8</v>
      </c>
    </row>
    <row r="270" spans="1:156" x14ac:dyDescent="0.25">
      <c r="A270" s="30">
        <v>0.23137744865585538</v>
      </c>
      <c r="B270"/>
      <c r="C270"/>
      <c r="D270"/>
      <c r="E270"/>
      <c r="F270" s="27" t="s">
        <v>7</v>
      </c>
      <c r="EK270" s="27" t="s">
        <v>8</v>
      </c>
      <c r="EL270" s="27" t="s">
        <v>7</v>
      </c>
      <c r="EM270" s="27" t="s">
        <v>8</v>
      </c>
      <c r="EN270" s="27" t="s">
        <v>7</v>
      </c>
      <c r="EO270" s="27" t="s">
        <v>8</v>
      </c>
      <c r="EP270" s="27" t="s">
        <v>7</v>
      </c>
      <c r="EW270" s="34" t="s">
        <v>8</v>
      </c>
      <c r="EX270" s="31" t="s">
        <v>7</v>
      </c>
    </row>
    <row r="271" spans="1:156" x14ac:dyDescent="0.25">
      <c r="A271" s="30">
        <v>0.22035947491033836</v>
      </c>
      <c r="B271"/>
      <c r="C271"/>
      <c r="D271"/>
      <c r="E271"/>
      <c r="F271" s="27" t="s">
        <v>7</v>
      </c>
      <c r="EK271" s="27" t="s">
        <v>8</v>
      </c>
      <c r="EL271" s="27" t="s">
        <v>7</v>
      </c>
      <c r="EM271" s="27" t="s">
        <v>8</v>
      </c>
      <c r="EN271" s="27" t="s">
        <v>7</v>
      </c>
      <c r="EO271" s="27" t="s">
        <v>8</v>
      </c>
      <c r="EP271" s="27" t="s">
        <v>7</v>
      </c>
      <c r="ES271" s="32" t="s">
        <v>8</v>
      </c>
      <c r="EU271" s="32" t="s">
        <v>8</v>
      </c>
      <c r="EW271" s="27" t="s">
        <v>8</v>
      </c>
      <c r="EX271" s="27" t="s">
        <v>7</v>
      </c>
      <c r="EY271" s="31"/>
    </row>
    <row r="272" spans="1:156" x14ac:dyDescent="0.25">
      <c r="A272" s="30">
        <v>0.20986616658127455</v>
      </c>
      <c r="B272"/>
      <c r="C272"/>
      <c r="D272"/>
      <c r="E272"/>
      <c r="F272" s="27" t="s">
        <v>7</v>
      </c>
      <c r="EK272" s="27" t="s">
        <v>8</v>
      </c>
      <c r="EL272" s="27" t="s">
        <v>7</v>
      </c>
      <c r="EM272" s="27" t="s">
        <v>8</v>
      </c>
      <c r="EN272" s="27" t="s">
        <v>7</v>
      </c>
      <c r="EP272" s="27" t="s">
        <v>7</v>
      </c>
      <c r="ES272" s="27" t="s">
        <v>8</v>
      </c>
      <c r="ET272" s="27" t="s">
        <v>7</v>
      </c>
      <c r="EU272" s="27" t="s">
        <v>8</v>
      </c>
      <c r="EV272" s="27" t="s">
        <v>7</v>
      </c>
      <c r="EW272" s="27" t="s">
        <v>8</v>
      </c>
      <c r="EX272" s="27" t="s">
        <v>7</v>
      </c>
      <c r="EZ272" s="31"/>
    </row>
    <row r="273" spans="1:198" x14ac:dyDescent="0.25">
      <c r="A273" s="30">
        <v>0.19987253960121379</v>
      </c>
      <c r="B273"/>
      <c r="C273"/>
      <c r="D273"/>
      <c r="E273"/>
      <c r="F273" s="27" t="s">
        <v>7</v>
      </c>
      <c r="EK273" s="27" t="s">
        <v>8</v>
      </c>
      <c r="EL273" s="27" t="s">
        <v>7</v>
      </c>
      <c r="EM273" s="27" t="s">
        <v>8</v>
      </c>
      <c r="EP273" s="33" t="s">
        <v>7</v>
      </c>
      <c r="EQ273" s="27" t="s">
        <v>8</v>
      </c>
      <c r="ES273" s="27" t="s">
        <v>8</v>
      </c>
      <c r="ET273" s="27" t="s">
        <v>7</v>
      </c>
      <c r="EU273" s="27" t="s">
        <v>8</v>
      </c>
      <c r="EV273" s="27" t="s">
        <v>7</v>
      </c>
      <c r="EW273" s="27" t="s">
        <v>8</v>
      </c>
      <c r="EX273" s="27" t="s">
        <v>7</v>
      </c>
      <c r="FA273" s="31"/>
    </row>
    <row r="274" spans="1:198" x14ac:dyDescent="0.25">
      <c r="A274" s="30">
        <v>0.19035479962020352</v>
      </c>
      <c r="B274"/>
      <c r="C274"/>
      <c r="D274"/>
      <c r="E274"/>
      <c r="F274" s="27" t="s">
        <v>7</v>
      </c>
      <c r="EK274" s="27" t="s">
        <v>8</v>
      </c>
      <c r="EL274" s="27" t="s">
        <v>7</v>
      </c>
      <c r="EM274" s="27" t="s">
        <v>8</v>
      </c>
      <c r="EP274" s="27" t="s">
        <v>7</v>
      </c>
      <c r="EQ274" s="27" t="s">
        <v>8</v>
      </c>
      <c r="ER274" s="27" t="s">
        <v>7</v>
      </c>
      <c r="ES274" s="27" t="s">
        <v>8</v>
      </c>
      <c r="ET274" s="32" t="s">
        <v>7</v>
      </c>
      <c r="EV274" s="32" t="s">
        <v>7</v>
      </c>
      <c r="EX274" s="27" t="s">
        <v>7</v>
      </c>
      <c r="EY274" s="27" t="s">
        <v>8</v>
      </c>
      <c r="FB274" s="31"/>
    </row>
    <row r="275" spans="1:198" x14ac:dyDescent="0.25">
      <c r="A275" s="30">
        <v>0.18129028535257471</v>
      </c>
      <c r="B275"/>
      <c r="C275"/>
      <c r="D275"/>
      <c r="E275"/>
      <c r="F275" s="27" t="s">
        <v>7</v>
      </c>
      <c r="EK275" s="27" t="s">
        <v>8</v>
      </c>
      <c r="EL275" s="27" t="s">
        <v>7</v>
      </c>
      <c r="EM275" s="27" t="s">
        <v>8</v>
      </c>
      <c r="EP275" s="27" t="s">
        <v>7</v>
      </c>
      <c r="EQ275" s="27" t="s">
        <v>8</v>
      </c>
      <c r="ER275" s="27" t="s">
        <v>7</v>
      </c>
      <c r="ES275" s="27" t="s">
        <v>8</v>
      </c>
      <c r="EX275" s="35" t="s">
        <v>7</v>
      </c>
      <c r="EY275" s="27" t="s">
        <v>8</v>
      </c>
      <c r="EZ275" s="27" t="s">
        <v>7</v>
      </c>
      <c r="FC275" s="31"/>
      <c r="GE275" s="27" t="s">
        <v>8</v>
      </c>
    </row>
    <row r="276" spans="1:198" x14ac:dyDescent="0.25">
      <c r="A276" s="30">
        <v>0.17265741462149967</v>
      </c>
      <c r="B276"/>
      <c r="C276"/>
      <c r="D276"/>
      <c r="E276"/>
      <c r="F276" s="27" t="s">
        <v>7</v>
      </c>
      <c r="EK276" s="27" t="s">
        <v>8</v>
      </c>
      <c r="EL276" s="27" t="s">
        <v>7</v>
      </c>
      <c r="EP276" s="27" t="s">
        <v>7</v>
      </c>
      <c r="EQ276" s="27" t="s">
        <v>8</v>
      </c>
      <c r="ER276" s="27" t="s">
        <v>7</v>
      </c>
      <c r="ES276" s="27" t="s">
        <v>8</v>
      </c>
      <c r="EX276" s="27" t="s">
        <v>7</v>
      </c>
      <c r="EY276" s="27" t="s">
        <v>8</v>
      </c>
      <c r="EZ276" s="27" t="s">
        <v>7</v>
      </c>
      <c r="FD276" s="31"/>
      <c r="GE276" s="27" t="s">
        <v>8</v>
      </c>
      <c r="GF276" s="27" t="s">
        <v>7</v>
      </c>
      <c r="GG276" s="27" t="s">
        <v>8</v>
      </c>
    </row>
    <row r="277" spans="1:198" x14ac:dyDescent="0.25">
      <c r="A277" s="30">
        <v>0.16443563297285677</v>
      </c>
      <c r="B277"/>
      <c r="C277"/>
      <c r="D277"/>
      <c r="E277"/>
      <c r="F277" s="27" t="s">
        <v>7</v>
      </c>
      <c r="EK277" s="27" t="s">
        <v>8</v>
      </c>
      <c r="EP277" s="27" t="s">
        <v>7</v>
      </c>
      <c r="EQ277" s="27" t="s">
        <v>8</v>
      </c>
      <c r="ER277" s="27" t="s">
        <v>7</v>
      </c>
      <c r="ES277" s="27" t="s">
        <v>8</v>
      </c>
      <c r="EX277" s="27" t="s">
        <v>7</v>
      </c>
      <c r="EY277" s="27" t="s">
        <v>8</v>
      </c>
      <c r="EZ277" s="27" t="s">
        <v>7</v>
      </c>
      <c r="FE277" s="31"/>
      <c r="GE277" s="27" t="s">
        <v>8</v>
      </c>
      <c r="GF277" s="27" t="s">
        <v>7</v>
      </c>
      <c r="GG277" s="27" t="s">
        <v>8</v>
      </c>
      <c r="GH277" s="27" t="s">
        <v>7</v>
      </c>
    </row>
    <row r="278" spans="1:198" x14ac:dyDescent="0.25">
      <c r="A278" s="30">
        <v>0.15660536473605399</v>
      </c>
      <c r="B278"/>
      <c r="C278"/>
      <c r="D278"/>
      <c r="E278"/>
      <c r="F278" s="27" t="s">
        <v>7</v>
      </c>
      <c r="EK278" s="27" t="s">
        <v>8</v>
      </c>
      <c r="EP278" s="27" t="s">
        <v>7</v>
      </c>
      <c r="EQ278" s="27" t="s">
        <v>8</v>
      </c>
      <c r="ER278" s="27" t="s">
        <v>7</v>
      </c>
      <c r="EX278" s="27" t="s">
        <v>7</v>
      </c>
      <c r="EZ278" s="27" t="s">
        <v>7</v>
      </c>
      <c r="FF278" s="31"/>
      <c r="FU278" s="27" t="s">
        <v>8</v>
      </c>
      <c r="GE278" s="27" t="s">
        <v>8</v>
      </c>
      <c r="GF278" s="27" t="s">
        <v>7</v>
      </c>
      <c r="GG278" s="27" t="s">
        <v>8</v>
      </c>
      <c r="GH278" s="27" t="s">
        <v>7</v>
      </c>
    </row>
    <row r="279" spans="1:198" x14ac:dyDescent="0.25">
      <c r="A279" s="30">
        <v>0.14914796641528946</v>
      </c>
      <c r="B279"/>
      <c r="C279"/>
      <c r="D279"/>
      <c r="E279"/>
      <c r="F279" s="27" t="s">
        <v>7</v>
      </c>
      <c r="EK279" s="27" t="s">
        <v>8</v>
      </c>
      <c r="EP279" s="27" t="s">
        <v>7</v>
      </c>
      <c r="EQ279" s="27" t="s">
        <v>8</v>
      </c>
      <c r="EZ279" s="27" t="s">
        <v>7</v>
      </c>
      <c r="FG279" s="31" t="s">
        <v>8</v>
      </c>
      <c r="FU279" s="27" t="s">
        <v>8</v>
      </c>
      <c r="FV279" s="27" t="s">
        <v>7</v>
      </c>
      <c r="GE279" s="27" t="s">
        <v>8</v>
      </c>
      <c r="GF279" s="27" t="s">
        <v>7</v>
      </c>
      <c r="GH279" s="27" t="s">
        <v>7</v>
      </c>
    </row>
    <row r="280" spans="1:198" x14ac:dyDescent="0.25">
      <c r="A280" s="30">
        <v>0.14204568230027562</v>
      </c>
      <c r="B280"/>
      <c r="C280"/>
      <c r="D280"/>
      <c r="E280"/>
      <c r="F280" s="27" t="s">
        <v>7</v>
      </c>
      <c r="EK280" s="27" t="s">
        <v>8</v>
      </c>
      <c r="EP280" s="27" t="s">
        <v>7</v>
      </c>
      <c r="EQ280" s="27" t="s">
        <v>8</v>
      </c>
      <c r="EZ280" s="27" t="s">
        <v>7</v>
      </c>
      <c r="FA280" s="27" t="s">
        <v>8</v>
      </c>
      <c r="FG280" s="27" t="s">
        <v>8</v>
      </c>
      <c r="FH280" s="31" t="s">
        <v>7</v>
      </c>
      <c r="FQ280" s="27" t="s">
        <v>8</v>
      </c>
      <c r="FU280" s="27" t="s">
        <v>8</v>
      </c>
      <c r="FV280" s="27" t="s">
        <v>7</v>
      </c>
      <c r="GC280" s="27" t="s">
        <v>8</v>
      </c>
      <c r="GE280" s="27" t="s">
        <v>8</v>
      </c>
      <c r="GH280" s="27" t="s">
        <v>7</v>
      </c>
    </row>
    <row r="281" spans="1:198" x14ac:dyDescent="0.25">
      <c r="A281" s="30">
        <v>0.13528160219073862</v>
      </c>
      <c r="B281"/>
      <c r="C281"/>
      <c r="D281"/>
      <c r="E281"/>
      <c r="F281" s="27" t="s">
        <v>7</v>
      </c>
      <c r="EK281" s="27" t="s">
        <v>8</v>
      </c>
      <c r="EP281" s="27" t="s">
        <v>7</v>
      </c>
      <c r="EZ281" s="27" t="s">
        <v>7</v>
      </c>
      <c r="FA281" s="27" t="s">
        <v>8</v>
      </c>
      <c r="FB281" s="27" t="s">
        <v>7</v>
      </c>
      <c r="FE281" s="27" t="s">
        <v>8</v>
      </c>
      <c r="FG281" s="27" t="s">
        <v>8</v>
      </c>
      <c r="FH281" s="27" t="s">
        <v>7</v>
      </c>
      <c r="FI281" s="31"/>
      <c r="FQ281" s="27" t="s">
        <v>8</v>
      </c>
      <c r="FR281" s="27" t="s">
        <v>7</v>
      </c>
      <c r="FS281" s="27" t="s">
        <v>8</v>
      </c>
      <c r="FU281" s="27" t="s">
        <v>8</v>
      </c>
      <c r="FV281" s="27" t="s">
        <v>7</v>
      </c>
      <c r="GC281" s="27" t="s">
        <v>8</v>
      </c>
      <c r="GD281" s="27" t="s">
        <v>7</v>
      </c>
      <c r="GE281" s="27" t="s">
        <v>8</v>
      </c>
      <c r="GH281" s="27" t="s">
        <v>7</v>
      </c>
    </row>
    <row r="282" spans="1:198" x14ac:dyDescent="0.25">
      <c r="A282" s="30">
        <v>0.12883962113403674</v>
      </c>
      <c r="B282"/>
      <c r="C282"/>
      <c r="D282"/>
      <c r="E282"/>
      <c r="F282" s="27" t="s">
        <v>7</v>
      </c>
      <c r="EK282" s="27" t="s">
        <v>8</v>
      </c>
      <c r="EZ282" s="27" t="s">
        <v>7</v>
      </c>
      <c r="FA282" s="27" t="s">
        <v>8</v>
      </c>
      <c r="FB282" s="27" t="s">
        <v>7</v>
      </c>
      <c r="FE282" s="27" t="s">
        <v>8</v>
      </c>
      <c r="FF282" s="27" t="s">
        <v>7</v>
      </c>
      <c r="FG282" s="27" t="s">
        <v>8</v>
      </c>
      <c r="FH282" s="27" t="s">
        <v>7</v>
      </c>
      <c r="FJ282" s="31"/>
      <c r="FQ282" s="27" t="s">
        <v>8</v>
      </c>
      <c r="FR282" s="27" t="s">
        <v>7</v>
      </c>
      <c r="FS282" s="27" t="s">
        <v>8</v>
      </c>
      <c r="FT282" s="27" t="s">
        <v>7</v>
      </c>
      <c r="FU282" s="27" t="s">
        <v>8</v>
      </c>
      <c r="FV282" s="27" t="s">
        <v>7</v>
      </c>
      <c r="GC282" s="27" t="s">
        <v>8</v>
      </c>
      <c r="GD282" s="27" t="s">
        <v>7</v>
      </c>
      <c r="GE282" s="27" t="s">
        <v>8</v>
      </c>
      <c r="GH282" s="27" t="s">
        <v>7</v>
      </c>
    </row>
    <row r="283" spans="1:198" x14ac:dyDescent="0.25">
      <c r="A283" s="30">
        <v>0.12270440108003494</v>
      </c>
      <c r="B283"/>
      <c r="C283"/>
      <c r="D283"/>
      <c r="E283"/>
      <c r="F283" s="27" t="s">
        <v>7</v>
      </c>
      <c r="EK283" s="27" t="s">
        <v>8</v>
      </c>
      <c r="EZ283" s="27" t="s">
        <v>7</v>
      </c>
      <c r="FA283" s="27" t="s">
        <v>8</v>
      </c>
      <c r="FB283" s="27" t="s">
        <v>7</v>
      </c>
      <c r="FE283" s="27" t="s">
        <v>8</v>
      </c>
      <c r="FF283" s="27" t="s">
        <v>7</v>
      </c>
      <c r="FG283" s="27" t="s">
        <v>8</v>
      </c>
      <c r="FH283" s="27" t="s">
        <v>7</v>
      </c>
      <c r="FK283" s="31"/>
      <c r="FQ283" s="27" t="s">
        <v>8</v>
      </c>
      <c r="FR283" s="27" t="s">
        <v>7</v>
      </c>
      <c r="FS283" s="27" t="s">
        <v>8</v>
      </c>
      <c r="FT283" s="27" t="s">
        <v>7</v>
      </c>
      <c r="FU283" s="27" t="s">
        <v>8</v>
      </c>
      <c r="FV283" s="27" t="s">
        <v>7</v>
      </c>
      <c r="FW283" s="27" t="s">
        <v>8</v>
      </c>
      <c r="GA283" s="27" t="s">
        <v>8</v>
      </c>
      <c r="GC283" s="27" t="s">
        <v>8</v>
      </c>
      <c r="GD283" s="27" t="s">
        <v>7</v>
      </c>
      <c r="GH283" s="27" t="s">
        <v>7</v>
      </c>
      <c r="GI283" s="27" t="s">
        <v>8</v>
      </c>
    </row>
    <row r="284" spans="1:198" x14ac:dyDescent="0.25">
      <c r="A284" s="30">
        <v>0.11686133436193799</v>
      </c>
      <c r="B284"/>
      <c r="C284"/>
      <c r="D284"/>
      <c r="E284"/>
      <c r="F284" s="27" t="s">
        <v>7</v>
      </c>
      <c r="EK284" s="27" t="s">
        <v>8</v>
      </c>
      <c r="EZ284" s="27" t="s">
        <v>7</v>
      </c>
      <c r="FA284" s="27" t="s">
        <v>8</v>
      </c>
      <c r="FB284" s="27" t="s">
        <v>7</v>
      </c>
      <c r="FE284" s="34" t="s">
        <v>8</v>
      </c>
      <c r="FF284" s="27" t="s">
        <v>7</v>
      </c>
      <c r="FG284" s="27" t="s">
        <v>8</v>
      </c>
      <c r="FH284" s="27" t="s">
        <v>7</v>
      </c>
      <c r="FI284" s="27" t="s">
        <v>8</v>
      </c>
      <c r="FL284" s="31"/>
      <c r="FQ284" s="27" t="s">
        <v>8</v>
      </c>
      <c r="FR284" s="27" t="s">
        <v>7</v>
      </c>
      <c r="FT284" s="27" t="s">
        <v>7</v>
      </c>
      <c r="FV284" s="27" t="s">
        <v>7</v>
      </c>
      <c r="FW284" s="27" t="s">
        <v>8</v>
      </c>
      <c r="FX284" s="27" t="s">
        <v>7</v>
      </c>
      <c r="GA284" s="27" t="s">
        <v>8</v>
      </c>
      <c r="GB284" s="27" t="s">
        <v>7</v>
      </c>
      <c r="GC284" s="27" t="s">
        <v>8</v>
      </c>
      <c r="GH284" s="27" t="s">
        <v>7</v>
      </c>
      <c r="GI284" s="27" t="s">
        <v>8</v>
      </c>
      <c r="GJ284" s="27" t="s">
        <v>7</v>
      </c>
    </row>
    <row r="285" spans="1:198" x14ac:dyDescent="0.25">
      <c r="A285" s="30">
        <v>0.11129650891613138</v>
      </c>
      <c r="B285"/>
      <c r="C285"/>
      <c r="D285"/>
      <c r="E285"/>
      <c r="F285" s="27" t="s">
        <v>7</v>
      </c>
      <c r="EK285" s="27" t="s">
        <v>8</v>
      </c>
      <c r="EZ285" s="27" t="s">
        <v>7</v>
      </c>
      <c r="FA285" s="27" t="s">
        <v>8</v>
      </c>
      <c r="FB285" s="27" t="s">
        <v>7</v>
      </c>
      <c r="FC285" s="27" t="s">
        <v>8</v>
      </c>
      <c r="FE285" s="27" t="s">
        <v>8</v>
      </c>
      <c r="FF285" s="27" t="s">
        <v>7</v>
      </c>
      <c r="FG285" s="27" t="s">
        <v>8</v>
      </c>
      <c r="FH285" s="27" t="s">
        <v>7</v>
      </c>
      <c r="FI285" s="27" t="s">
        <v>8</v>
      </c>
      <c r="FJ285" s="27" t="s">
        <v>7</v>
      </c>
      <c r="FM285" s="31"/>
      <c r="FQ285" s="27" t="s">
        <v>8</v>
      </c>
      <c r="FV285" s="27" t="s">
        <v>7</v>
      </c>
      <c r="FW285" s="27" t="s">
        <v>8</v>
      </c>
      <c r="FX285" s="27" t="s">
        <v>7</v>
      </c>
      <c r="GA285" s="27" t="s">
        <v>8</v>
      </c>
      <c r="GB285" s="27" t="s">
        <v>7</v>
      </c>
      <c r="GC285" s="27" t="s">
        <v>8</v>
      </c>
      <c r="GH285" s="27" t="s">
        <v>7</v>
      </c>
      <c r="GI285" s="27" t="s">
        <v>8</v>
      </c>
      <c r="GJ285" s="27" t="s">
        <v>7</v>
      </c>
    </row>
    <row r="286" spans="1:198" x14ac:dyDescent="0.25">
      <c r="A286" s="30">
        <v>0.10599667515822032</v>
      </c>
      <c r="B286"/>
      <c r="C286"/>
      <c r="D286"/>
      <c r="E286"/>
      <c r="F286" s="27" t="s">
        <v>7</v>
      </c>
      <c r="EK286" s="27" t="s">
        <v>8</v>
      </c>
      <c r="EZ286" s="27" t="s">
        <v>7</v>
      </c>
      <c r="FA286" s="27" t="s">
        <v>8</v>
      </c>
      <c r="FB286" s="27" t="s">
        <v>7</v>
      </c>
      <c r="FC286" s="27" t="s">
        <v>8</v>
      </c>
      <c r="FD286" s="27" t="s">
        <v>7</v>
      </c>
      <c r="FE286" s="27" t="s">
        <v>8</v>
      </c>
      <c r="FF286" s="27" t="s">
        <v>7</v>
      </c>
      <c r="FG286" s="27" t="s">
        <v>8</v>
      </c>
      <c r="FH286" s="27" t="s">
        <v>7</v>
      </c>
      <c r="FI286" s="27" t="s">
        <v>8</v>
      </c>
      <c r="FJ286" s="27" t="s">
        <v>7</v>
      </c>
      <c r="FN286" s="31"/>
      <c r="FQ286" s="27" t="s">
        <v>8</v>
      </c>
      <c r="FV286" s="27" t="s">
        <v>7</v>
      </c>
      <c r="FW286" s="27" t="s">
        <v>8</v>
      </c>
      <c r="FX286" s="27" t="s">
        <v>7</v>
      </c>
      <c r="GA286" s="27" t="s">
        <v>8</v>
      </c>
      <c r="GB286" s="27" t="s">
        <v>7</v>
      </c>
      <c r="GC286" s="27" t="s">
        <v>8</v>
      </c>
      <c r="GH286" s="27" t="s">
        <v>7</v>
      </c>
      <c r="GJ286" s="27" t="s">
        <v>7</v>
      </c>
    </row>
    <row r="287" spans="1:198" x14ac:dyDescent="0.25">
      <c r="A287" s="30">
        <v>0.10094921443640027</v>
      </c>
      <c r="B287"/>
      <c r="C287"/>
      <c r="D287"/>
      <c r="E287"/>
      <c r="F287" s="27" t="s">
        <v>7</v>
      </c>
      <c r="EK287" s="27" t="s">
        <v>8</v>
      </c>
      <c r="EZ287" s="27" t="s">
        <v>7</v>
      </c>
      <c r="FA287" s="27" t="s">
        <v>8</v>
      </c>
      <c r="FB287" s="27" t="s">
        <v>7</v>
      </c>
      <c r="FC287" s="27" t="s">
        <v>8</v>
      </c>
      <c r="FD287" s="27" t="s">
        <v>7</v>
      </c>
      <c r="FE287" s="27" t="s">
        <v>8</v>
      </c>
      <c r="FF287" s="27" t="s">
        <v>7</v>
      </c>
      <c r="FG287" s="27" t="s">
        <v>8</v>
      </c>
      <c r="FH287" s="27" t="s">
        <v>7</v>
      </c>
      <c r="FJ287" s="27" t="s">
        <v>7</v>
      </c>
      <c r="FO287" s="31"/>
      <c r="FQ287" s="27" t="s">
        <v>8</v>
      </c>
      <c r="FV287" s="27" t="s">
        <v>7</v>
      </c>
      <c r="FX287" s="27" t="s">
        <v>7</v>
      </c>
      <c r="FY287" s="27" t="s">
        <v>8</v>
      </c>
      <c r="GA287" s="27" t="s">
        <v>8</v>
      </c>
      <c r="GB287" s="27" t="s">
        <v>7</v>
      </c>
      <c r="GD287" s="31"/>
      <c r="GJ287" s="27" t="s">
        <v>7</v>
      </c>
      <c r="GO287" s="27" t="s">
        <v>8</v>
      </c>
    </row>
    <row r="288" spans="1:198" x14ac:dyDescent="0.25">
      <c r="A288" s="30">
        <v>9.6142108987047836E-2</v>
      </c>
      <c r="B288"/>
      <c r="C288"/>
      <c r="D288"/>
      <c r="E288"/>
      <c r="F288" s="27" t="s">
        <v>7</v>
      </c>
      <c r="EE288" s="27" t="s">
        <v>8</v>
      </c>
      <c r="EI288" s="27" t="s">
        <v>8</v>
      </c>
      <c r="EK288" s="27" t="s">
        <v>8</v>
      </c>
      <c r="EZ288" s="27" t="s">
        <v>7</v>
      </c>
      <c r="FA288" s="27" t="s">
        <v>8</v>
      </c>
      <c r="FB288" s="27" t="s">
        <v>7</v>
      </c>
      <c r="FC288" s="27" t="s">
        <v>8</v>
      </c>
      <c r="FD288" s="27" t="s">
        <v>7</v>
      </c>
      <c r="FE288" s="27" t="s">
        <v>8</v>
      </c>
      <c r="FF288" s="27" t="s">
        <v>7</v>
      </c>
      <c r="FJ288" s="33" t="s">
        <v>7</v>
      </c>
      <c r="FP288" s="31"/>
      <c r="FQ288" s="27" t="s">
        <v>8</v>
      </c>
      <c r="FX288" s="27" t="s">
        <v>7</v>
      </c>
      <c r="FY288" s="27" t="s">
        <v>8</v>
      </c>
      <c r="FZ288" s="27" t="s">
        <v>7</v>
      </c>
      <c r="GA288" s="27" t="s">
        <v>8</v>
      </c>
      <c r="GC288" s="31"/>
      <c r="GJ288" s="27" t="s">
        <v>7</v>
      </c>
      <c r="GK288" s="27" t="s">
        <v>8</v>
      </c>
      <c r="GM288" s="27" t="s">
        <v>8</v>
      </c>
      <c r="GO288" s="27" t="s">
        <v>8</v>
      </c>
      <c r="GP288" s="27" t="s">
        <v>7</v>
      </c>
    </row>
    <row r="289" spans="1:203" x14ac:dyDescent="0.25">
      <c r="A289" s="30">
        <v>9.1563913320997906E-2</v>
      </c>
      <c r="B289"/>
      <c r="C289"/>
      <c r="D289"/>
      <c r="E289"/>
      <c r="F289" s="27" t="s">
        <v>7</v>
      </c>
      <c r="EE289" s="27" t="s">
        <v>8</v>
      </c>
      <c r="EF289" s="27" t="s">
        <v>7</v>
      </c>
      <c r="EG289" s="27" t="s">
        <v>8</v>
      </c>
      <c r="EI289" s="27" t="s">
        <v>8</v>
      </c>
      <c r="EJ289" s="27" t="s">
        <v>7</v>
      </c>
      <c r="EK289" s="27" t="s">
        <v>8</v>
      </c>
      <c r="EZ289" s="27" t="s">
        <v>7</v>
      </c>
      <c r="FA289" s="27" t="s">
        <v>8</v>
      </c>
      <c r="FB289" s="27" t="s">
        <v>7</v>
      </c>
      <c r="FD289" s="27" t="s">
        <v>7</v>
      </c>
      <c r="FE289" s="27" t="s">
        <v>8</v>
      </c>
      <c r="FJ289" s="27" t="s">
        <v>7</v>
      </c>
      <c r="FM289" s="27" t="s">
        <v>8</v>
      </c>
      <c r="FQ289" s="34" t="s">
        <v>8</v>
      </c>
      <c r="FX289" s="31" t="s">
        <v>7</v>
      </c>
      <c r="FY289" s="27" t="s">
        <v>8</v>
      </c>
      <c r="FZ289" s="27" t="s">
        <v>7</v>
      </c>
      <c r="GA289" s="27" t="s">
        <v>8</v>
      </c>
      <c r="GB289" s="31"/>
      <c r="GJ289" s="27" t="s">
        <v>7</v>
      </c>
      <c r="GK289" s="27" t="s">
        <v>8</v>
      </c>
      <c r="GL289" s="27" t="s">
        <v>7</v>
      </c>
      <c r="GM289" s="27" t="s">
        <v>8</v>
      </c>
      <c r="GN289" s="27" t="s">
        <v>7</v>
      </c>
      <c r="GO289" s="27" t="s">
        <v>8</v>
      </c>
      <c r="GP289" s="27" t="s">
        <v>7</v>
      </c>
    </row>
    <row r="290" spans="1:203" x14ac:dyDescent="0.25">
      <c r="A290" s="30">
        <v>8.7203726972378923E-2</v>
      </c>
      <c r="B290"/>
      <c r="C290"/>
      <c r="D290"/>
      <c r="E290"/>
      <c r="F290" s="27" t="s">
        <v>7</v>
      </c>
      <c r="EE290" s="27" t="s">
        <v>8</v>
      </c>
      <c r="EF290" s="27" t="s">
        <v>7</v>
      </c>
      <c r="EG290" s="27" t="s">
        <v>8</v>
      </c>
      <c r="EH290" s="27" t="s">
        <v>7</v>
      </c>
      <c r="EI290" s="27" t="s">
        <v>8</v>
      </c>
      <c r="EJ290" s="27" t="s">
        <v>7</v>
      </c>
      <c r="EK290" s="27" t="s">
        <v>8</v>
      </c>
      <c r="EZ290" s="27" t="s">
        <v>7</v>
      </c>
      <c r="FA290" s="27" t="s">
        <v>8</v>
      </c>
      <c r="FD290" s="27" t="s">
        <v>7</v>
      </c>
      <c r="FE290" s="27" t="s">
        <v>8</v>
      </c>
      <c r="FJ290" s="27" t="s">
        <v>7</v>
      </c>
      <c r="FM290" s="34" t="s">
        <v>8</v>
      </c>
      <c r="FN290" s="27" t="s">
        <v>7</v>
      </c>
      <c r="FO290" s="27" t="s">
        <v>8</v>
      </c>
      <c r="FQ290" s="27" t="s">
        <v>8</v>
      </c>
      <c r="FW290" s="31"/>
      <c r="FX290" s="27" t="s">
        <v>7</v>
      </c>
      <c r="FZ290" s="27" t="s">
        <v>7</v>
      </c>
      <c r="GA290" s="31" t="s">
        <v>8</v>
      </c>
      <c r="GJ290" s="27" t="s">
        <v>7</v>
      </c>
      <c r="GK290" s="27" t="s">
        <v>8</v>
      </c>
      <c r="GL290" s="27" t="s">
        <v>7</v>
      </c>
      <c r="GM290" s="27" t="s">
        <v>8</v>
      </c>
      <c r="GN290" s="27" t="s">
        <v>7</v>
      </c>
      <c r="GO290" s="27" t="s">
        <v>8</v>
      </c>
      <c r="GP290" s="27" t="s">
        <v>7</v>
      </c>
    </row>
    <row r="291" spans="1:203" x14ac:dyDescent="0.25">
      <c r="A291" s="30">
        <v>8.3051168545122747E-2</v>
      </c>
      <c r="B291"/>
      <c r="C291"/>
      <c r="D291"/>
      <c r="E291"/>
      <c r="F291" s="27" t="s">
        <v>7</v>
      </c>
      <c r="EC291" s="27" t="s">
        <v>8</v>
      </c>
      <c r="EE291" s="27" t="s">
        <v>8</v>
      </c>
      <c r="EF291" s="27" t="s">
        <v>7</v>
      </c>
      <c r="EG291" s="27" t="s">
        <v>8</v>
      </c>
      <c r="EH291" s="27" t="s">
        <v>7</v>
      </c>
      <c r="EI291" s="27" t="s">
        <v>8</v>
      </c>
      <c r="EJ291" s="27" t="s">
        <v>7</v>
      </c>
      <c r="EZ291" s="27" t="s">
        <v>7</v>
      </c>
      <c r="FA291" s="27" t="s">
        <v>8</v>
      </c>
      <c r="FD291" s="27" t="s">
        <v>7</v>
      </c>
      <c r="FE291" s="27" t="s">
        <v>8</v>
      </c>
      <c r="FJ291" s="27" t="s">
        <v>7</v>
      </c>
      <c r="FK291" s="27" t="s">
        <v>8</v>
      </c>
      <c r="FM291" s="27" t="s">
        <v>8</v>
      </c>
      <c r="FN291" s="27" t="s">
        <v>7</v>
      </c>
      <c r="FO291" s="27" t="s">
        <v>8</v>
      </c>
      <c r="FP291" s="27" t="s">
        <v>7</v>
      </c>
      <c r="FQ291" s="27" t="s">
        <v>8</v>
      </c>
      <c r="FV291" s="31"/>
      <c r="FZ291" s="31" t="s">
        <v>7</v>
      </c>
      <c r="GJ291" s="27" t="s">
        <v>7</v>
      </c>
      <c r="GK291" s="27" t="s">
        <v>8</v>
      </c>
      <c r="GL291" s="27" t="s">
        <v>7</v>
      </c>
      <c r="GN291" s="27" t="s">
        <v>7</v>
      </c>
      <c r="GO291" s="27" t="s">
        <v>8</v>
      </c>
      <c r="GP291" s="27" t="s">
        <v>7</v>
      </c>
      <c r="GQ291" s="27" t="s">
        <v>8</v>
      </c>
    </row>
    <row r="292" spans="1:203" x14ac:dyDescent="0.25">
      <c r="A292" s="30">
        <v>7.9096350995354961E-2</v>
      </c>
      <c r="B292"/>
      <c r="C292"/>
      <c r="D292"/>
      <c r="E292"/>
      <c r="F292" s="27" t="s">
        <v>7</v>
      </c>
      <c r="EC292" s="27" t="s">
        <v>8</v>
      </c>
      <c r="ED292" s="27" t="s">
        <v>7</v>
      </c>
      <c r="EE292" s="27" t="s">
        <v>8</v>
      </c>
      <c r="EF292" s="32" t="s">
        <v>7</v>
      </c>
      <c r="EH292" s="32" t="s">
        <v>7</v>
      </c>
      <c r="EZ292" s="27" t="s">
        <v>7</v>
      </c>
      <c r="FA292" s="27" t="s">
        <v>8</v>
      </c>
      <c r="FD292" s="27" t="s">
        <v>7</v>
      </c>
      <c r="FE292" s="27" t="s">
        <v>8</v>
      </c>
      <c r="FJ292" s="27" t="s">
        <v>7</v>
      </c>
      <c r="FK292" s="27" t="s">
        <v>8</v>
      </c>
      <c r="FL292" s="27" t="s">
        <v>7</v>
      </c>
      <c r="FM292" s="27" t="s">
        <v>8</v>
      </c>
      <c r="FN292" s="27" t="s">
        <v>7</v>
      </c>
      <c r="FO292" s="27" t="s">
        <v>8</v>
      </c>
      <c r="FP292" s="27" t="s">
        <v>7</v>
      </c>
      <c r="FQ292" s="27" t="s">
        <v>8</v>
      </c>
      <c r="FU292" s="31"/>
      <c r="GJ292" s="27" t="s">
        <v>7</v>
      </c>
      <c r="GK292" s="27" t="s">
        <v>8</v>
      </c>
      <c r="GN292" s="27" t="s">
        <v>7</v>
      </c>
      <c r="GO292" s="27" t="s">
        <v>8</v>
      </c>
      <c r="GP292" s="27" t="s">
        <v>7</v>
      </c>
      <c r="GQ292" s="27" t="s">
        <v>8</v>
      </c>
      <c r="GR292" s="27" t="s">
        <v>7</v>
      </c>
    </row>
    <row r="293" spans="1:203" x14ac:dyDescent="0.25">
      <c r="A293" s="30">
        <v>7.5329858090814217E-2</v>
      </c>
      <c r="B293"/>
      <c r="C293"/>
      <c r="D293"/>
      <c r="E293"/>
      <c r="F293" s="27" t="s">
        <v>7</v>
      </c>
      <c r="EC293" s="27" t="s">
        <v>8</v>
      </c>
      <c r="ED293" s="27" t="s">
        <v>7</v>
      </c>
      <c r="EE293" s="27" t="s">
        <v>8</v>
      </c>
      <c r="EZ293" s="27" t="s">
        <v>7</v>
      </c>
      <c r="FA293" s="27" t="s">
        <v>8</v>
      </c>
      <c r="FD293" s="27" t="s">
        <v>7</v>
      </c>
      <c r="FE293" s="27" t="s">
        <v>8</v>
      </c>
      <c r="FJ293" s="27" t="s">
        <v>7</v>
      </c>
      <c r="FK293" s="27" t="s">
        <v>8</v>
      </c>
      <c r="FL293" s="27" t="s">
        <v>7</v>
      </c>
      <c r="FM293" s="27" t="s">
        <v>8</v>
      </c>
      <c r="FN293" s="27" t="s">
        <v>7</v>
      </c>
      <c r="FO293" s="27" t="s">
        <v>8</v>
      </c>
      <c r="FP293" s="27" t="s">
        <v>7</v>
      </c>
      <c r="FT293" s="31"/>
      <c r="GJ293" s="27" t="s">
        <v>7</v>
      </c>
      <c r="GK293" s="27" t="s">
        <v>8</v>
      </c>
      <c r="GN293" s="27" t="s">
        <v>7</v>
      </c>
      <c r="GP293" s="27" t="s">
        <v>7</v>
      </c>
      <c r="GQ293" s="27" t="s">
        <v>8</v>
      </c>
      <c r="GR293" s="27" t="s">
        <v>7</v>
      </c>
    </row>
    <row r="294" spans="1:203" x14ac:dyDescent="0.25">
      <c r="A294" s="30">
        <v>7.1742721991251604E-2</v>
      </c>
      <c r="B294"/>
      <c r="C294"/>
      <c r="D294"/>
      <c r="E294"/>
      <c r="F294" s="27" t="s">
        <v>7</v>
      </c>
      <c r="EA294" s="27" t="s">
        <v>8</v>
      </c>
      <c r="EC294" s="27" t="s">
        <v>8</v>
      </c>
      <c r="ED294" s="27" t="s">
        <v>7</v>
      </c>
      <c r="EZ294" s="27" t="s">
        <v>7</v>
      </c>
      <c r="FA294" s="27" t="s">
        <v>8</v>
      </c>
      <c r="FD294" s="27" t="s">
        <v>7</v>
      </c>
      <c r="FE294" s="27" t="s">
        <v>8</v>
      </c>
      <c r="FJ294" s="27" t="s">
        <v>7</v>
      </c>
      <c r="FK294" s="27" t="s">
        <v>8</v>
      </c>
      <c r="FL294" s="27" t="s">
        <v>7</v>
      </c>
      <c r="FN294" s="27" t="s">
        <v>7</v>
      </c>
      <c r="FO294" s="27" t="s">
        <v>8</v>
      </c>
      <c r="FS294" s="31"/>
      <c r="GJ294" s="27" t="s">
        <v>7</v>
      </c>
      <c r="GP294" s="27" t="s">
        <v>7</v>
      </c>
      <c r="GR294" s="27" t="s">
        <v>7</v>
      </c>
    </row>
    <row r="295" spans="1:203" x14ac:dyDescent="0.25">
      <c r="A295" s="30">
        <v>6.8326401896430078E-2</v>
      </c>
      <c r="B295"/>
      <c r="C295"/>
      <c r="D295"/>
      <c r="E295"/>
      <c r="F295" s="27" t="s">
        <v>7</v>
      </c>
      <c r="EA295" s="27" t="s">
        <v>8</v>
      </c>
      <c r="EB295" s="27" t="s">
        <v>7</v>
      </c>
      <c r="EC295" s="27" t="s">
        <v>8</v>
      </c>
      <c r="EZ295" s="27" t="s">
        <v>7</v>
      </c>
      <c r="FA295" s="27" t="s">
        <v>8</v>
      </c>
      <c r="FD295" s="27" t="s">
        <v>7</v>
      </c>
      <c r="FJ295" s="27" t="s">
        <v>7</v>
      </c>
      <c r="FK295" s="27" t="s">
        <v>8</v>
      </c>
      <c r="FN295" s="33" t="s">
        <v>7</v>
      </c>
      <c r="FO295" s="27" t="s">
        <v>8</v>
      </c>
      <c r="FR295" s="31"/>
      <c r="GR295" s="27" t="s">
        <v>7</v>
      </c>
    </row>
    <row r="296" spans="1:203" x14ac:dyDescent="0.25">
      <c r="A296" s="30">
        <v>6.5072763710885759E-2</v>
      </c>
      <c r="B296"/>
      <c r="C296"/>
      <c r="D296"/>
      <c r="E296"/>
      <c r="F296" s="27" t="s">
        <v>7</v>
      </c>
      <c r="EA296" s="27" t="s">
        <v>8</v>
      </c>
      <c r="EB296" s="27" t="s">
        <v>7</v>
      </c>
      <c r="EC296" s="27" t="s">
        <v>8</v>
      </c>
      <c r="EZ296" s="27" t="s">
        <v>7</v>
      </c>
      <c r="FA296" s="27" t="s">
        <v>8</v>
      </c>
      <c r="FJ296" s="27" t="s">
        <v>7</v>
      </c>
      <c r="FK296" s="27" t="s">
        <v>8</v>
      </c>
      <c r="FN296" s="27" t="s">
        <v>7</v>
      </c>
      <c r="FO296" s="27" t="s">
        <v>8</v>
      </c>
      <c r="FQ296" s="31"/>
      <c r="GR296" s="27" t="s">
        <v>7</v>
      </c>
    </row>
    <row r="297" spans="1:203" x14ac:dyDescent="0.25">
      <c r="A297" s="30">
        <v>6.197406067703403E-2</v>
      </c>
      <c r="B297"/>
      <c r="C297"/>
      <c r="D297"/>
      <c r="E297"/>
      <c r="F297" s="27" t="s">
        <v>7</v>
      </c>
      <c r="EA297" s="27" t="s">
        <v>8</v>
      </c>
      <c r="EB297" s="27" t="s">
        <v>7</v>
      </c>
      <c r="EZ297" s="27" t="s">
        <v>7</v>
      </c>
      <c r="FA297" s="27" t="s">
        <v>8</v>
      </c>
      <c r="FJ297" s="27" t="s">
        <v>7</v>
      </c>
      <c r="FN297" s="19" t="s">
        <v>7</v>
      </c>
      <c r="FO297" s="27" t="s">
        <v>8</v>
      </c>
      <c r="FP297" s="31"/>
      <c r="GR297" s="27" t="s">
        <v>7</v>
      </c>
    </row>
    <row r="298" spans="1:203" x14ac:dyDescent="0.25">
      <c r="A298" s="30">
        <v>5.9022914930508576E-2</v>
      </c>
      <c r="B298"/>
      <c r="C298"/>
      <c r="D298"/>
      <c r="E298"/>
      <c r="F298" s="27" t="s">
        <v>7</v>
      </c>
      <c r="DO298" s="27" t="s">
        <v>8</v>
      </c>
      <c r="DQ298" s="27" t="s">
        <v>8</v>
      </c>
      <c r="DU298" s="27" t="s">
        <v>8</v>
      </c>
      <c r="EA298" s="27" t="s">
        <v>8</v>
      </c>
      <c r="EZ298" s="27" t="s">
        <v>7</v>
      </c>
      <c r="FA298" s="27" t="s">
        <v>8</v>
      </c>
      <c r="FN298" s="27" t="s">
        <v>7</v>
      </c>
      <c r="FO298" s="31" t="s">
        <v>8</v>
      </c>
      <c r="GR298" s="27" t="s">
        <v>7</v>
      </c>
    </row>
    <row r="299" spans="1:203" x14ac:dyDescent="0.25">
      <c r="A299" s="30">
        <v>5.6212299933817669E-2</v>
      </c>
      <c r="B299"/>
      <c r="C299"/>
      <c r="D299"/>
      <c r="E299"/>
      <c r="F299" s="27" t="s">
        <v>7</v>
      </c>
      <c r="DO299" s="27" t="s">
        <v>8</v>
      </c>
      <c r="DP299" s="27" t="s">
        <v>7</v>
      </c>
      <c r="DQ299" s="27" t="s">
        <v>8</v>
      </c>
      <c r="DR299" s="27" t="s">
        <v>7</v>
      </c>
      <c r="DU299" s="27" t="s">
        <v>8</v>
      </c>
      <c r="DV299" s="27" t="s">
        <v>7</v>
      </c>
      <c r="EA299" s="27" t="s">
        <v>8</v>
      </c>
      <c r="EZ299" s="27" t="s">
        <v>7</v>
      </c>
      <c r="FA299" s="27" t="s">
        <v>8</v>
      </c>
      <c r="FN299" s="31" t="s">
        <v>7</v>
      </c>
      <c r="GR299" s="27" t="s">
        <v>7</v>
      </c>
      <c r="GU299" s="27" t="s">
        <v>8</v>
      </c>
    </row>
    <row r="300" spans="1:203" x14ac:dyDescent="0.25">
      <c r="A300" s="30">
        <v>5.3535523746492994E-2</v>
      </c>
      <c r="B300"/>
      <c r="C300"/>
      <c r="D300"/>
      <c r="E300"/>
      <c r="F300" s="27" t="s">
        <v>7</v>
      </c>
      <c r="DO300" s="27" t="s">
        <v>8</v>
      </c>
      <c r="DP300" s="27" t="s">
        <v>7</v>
      </c>
      <c r="DQ300" s="27" t="s">
        <v>8</v>
      </c>
      <c r="DR300" s="27" t="s">
        <v>7</v>
      </c>
      <c r="DS300" s="27" t="s">
        <v>8</v>
      </c>
      <c r="DU300" s="27" t="s">
        <v>8</v>
      </c>
      <c r="DV300" s="27" t="s">
        <v>7</v>
      </c>
      <c r="DY300" s="27" t="s">
        <v>8</v>
      </c>
      <c r="EA300" s="27" t="s">
        <v>8</v>
      </c>
      <c r="EZ300" s="27" t="s">
        <v>7</v>
      </c>
      <c r="GR300" s="27" t="s">
        <v>7</v>
      </c>
      <c r="GS300" s="27" t="s">
        <v>8</v>
      </c>
      <c r="GU300" s="27" t="s">
        <v>8</v>
      </c>
    </row>
    <row r="301" spans="1:203" x14ac:dyDescent="0.25">
      <c r="A301" s="30">
        <v>5.0986213091898068E-2</v>
      </c>
      <c r="B301"/>
      <c r="C301"/>
      <c r="D301"/>
      <c r="E301"/>
      <c r="F301" s="27" t="s">
        <v>7</v>
      </c>
      <c r="DO301" s="27" t="s">
        <v>8</v>
      </c>
      <c r="DP301" s="27" t="s">
        <v>7</v>
      </c>
      <c r="DR301" s="27" t="s">
        <v>7</v>
      </c>
      <c r="DS301" s="27" t="s">
        <v>8</v>
      </c>
      <c r="DT301" s="27" t="s">
        <v>7</v>
      </c>
      <c r="DU301" s="27" t="s">
        <v>8</v>
      </c>
      <c r="DV301" s="27" t="s">
        <v>7</v>
      </c>
      <c r="DY301" s="27" t="s">
        <v>8</v>
      </c>
      <c r="DZ301" s="27" t="s">
        <v>7</v>
      </c>
      <c r="EA301" s="27" t="s">
        <v>8</v>
      </c>
      <c r="GR301" s="27" t="s">
        <v>7</v>
      </c>
      <c r="GS301" s="27" t="s">
        <v>8</v>
      </c>
      <c r="GT301" s="27" t="s">
        <v>7</v>
      </c>
      <c r="GU301" s="27" t="s">
        <v>8</v>
      </c>
    </row>
    <row r="302" spans="1:203" x14ac:dyDescent="0.25">
      <c r="A302" s="30">
        <v>4.8558298182760043E-2</v>
      </c>
      <c r="B302"/>
      <c r="C302"/>
      <c r="D302"/>
      <c r="E302"/>
      <c r="F302" s="27" t="s">
        <v>7</v>
      </c>
      <c r="DO302" s="27" t="s">
        <v>8</v>
      </c>
      <c r="DR302" s="27" t="s">
        <v>7</v>
      </c>
      <c r="DS302" s="27" t="s">
        <v>8</v>
      </c>
      <c r="DT302" s="27" t="s">
        <v>7</v>
      </c>
      <c r="DU302" s="27" t="s">
        <v>8</v>
      </c>
      <c r="DV302" s="27" t="s">
        <v>7</v>
      </c>
      <c r="DY302" s="27" t="s">
        <v>8</v>
      </c>
      <c r="DZ302" s="27" t="s">
        <v>7</v>
      </c>
      <c r="EA302" s="27" t="s">
        <v>8</v>
      </c>
      <c r="GR302" s="27" t="s">
        <v>7</v>
      </c>
      <c r="GS302" s="27" t="s">
        <v>8</v>
      </c>
      <c r="GT302" s="27" t="s">
        <v>7</v>
      </c>
      <c r="GU302" s="27" t="s">
        <v>8</v>
      </c>
    </row>
    <row r="303" spans="1:203" x14ac:dyDescent="0.25">
      <c r="A303" s="30">
        <v>4.6245998269295263E-2</v>
      </c>
      <c r="B303"/>
      <c r="C303"/>
      <c r="D303"/>
      <c r="E303"/>
      <c r="F303" s="27" t="s">
        <v>7</v>
      </c>
      <c r="DO303" s="27" t="s">
        <v>8</v>
      </c>
      <c r="DR303" s="27" t="s">
        <v>7</v>
      </c>
      <c r="DS303" s="27" t="s">
        <v>8</v>
      </c>
      <c r="DT303" s="27" t="s">
        <v>7</v>
      </c>
      <c r="DV303" s="27" t="s">
        <v>7</v>
      </c>
      <c r="DW303" s="27" t="s">
        <v>8</v>
      </c>
      <c r="DY303" s="27" t="s">
        <v>8</v>
      </c>
      <c r="DZ303" s="27" t="s">
        <v>7</v>
      </c>
      <c r="GR303" s="27" t="s">
        <v>7</v>
      </c>
      <c r="GT303" s="27" t="s">
        <v>7</v>
      </c>
      <c r="GU303" s="27" t="s">
        <v>8</v>
      </c>
    </row>
    <row r="304" spans="1:203" x14ac:dyDescent="0.25">
      <c r="A304" s="30">
        <v>4.4043807875519279E-2</v>
      </c>
      <c r="B304"/>
      <c r="C304"/>
      <c r="D304"/>
      <c r="E304"/>
      <c r="F304" s="27" t="s">
        <v>7</v>
      </c>
      <c r="DO304" s="27" t="s">
        <v>8</v>
      </c>
      <c r="DR304" s="27" t="s">
        <v>7</v>
      </c>
      <c r="DV304" s="27" t="s">
        <v>7</v>
      </c>
      <c r="DW304" s="27" t="s">
        <v>8</v>
      </c>
      <c r="DX304" s="27" t="s">
        <v>7</v>
      </c>
      <c r="DY304" s="27" t="s">
        <v>8</v>
      </c>
      <c r="GT304" s="27" t="s">
        <v>7</v>
      </c>
    </row>
    <row r="305" spans="1:129" x14ac:dyDescent="0.25">
      <c r="A305" s="30">
        <v>4.1946483690970725E-2</v>
      </c>
      <c r="B305"/>
      <c r="C305"/>
      <c r="D305"/>
      <c r="E305"/>
      <c r="F305" s="27" t="s">
        <v>7</v>
      </c>
      <c r="DO305" s="27" t="s">
        <v>8</v>
      </c>
      <c r="DV305" s="27" t="s">
        <v>7</v>
      </c>
      <c r="DW305" s="27" t="s">
        <v>8</v>
      </c>
      <c r="DX305" s="27" t="s">
        <v>7</v>
      </c>
      <c r="DY305" s="27" t="s">
        <v>8</v>
      </c>
    </row>
    <row r="306" spans="1:129" x14ac:dyDescent="0.25">
      <c r="A306" s="30">
        <v>3.9949032086638768E-2</v>
      </c>
      <c r="B306"/>
      <c r="C306"/>
      <c r="D306"/>
      <c r="E306"/>
      <c r="F306" s="27" t="s">
        <v>7</v>
      </c>
      <c r="DO306" s="27" t="s">
        <v>8</v>
      </c>
      <c r="DV306" s="27" t="s">
        <v>7</v>
      </c>
      <c r="DW306" s="27" t="s">
        <v>8</v>
      </c>
      <c r="DX306" s="27" t="s">
        <v>7</v>
      </c>
      <c r="DY306" s="27" t="s">
        <v>8</v>
      </c>
    </row>
    <row r="307" spans="1:129" x14ac:dyDescent="0.25">
      <c r="A307" s="30">
        <v>3.8046697225370241E-2</v>
      </c>
      <c r="B307"/>
      <c r="C307"/>
      <c r="D307"/>
      <c r="E307"/>
      <c r="F307" s="27" t="s">
        <v>7</v>
      </c>
      <c r="DO307" s="27" t="s">
        <v>8</v>
      </c>
      <c r="DV307" s="27" t="s">
        <v>7</v>
      </c>
      <c r="DW307" s="27" t="s">
        <v>8</v>
      </c>
      <c r="DX307" s="27" t="s">
        <v>7</v>
      </c>
    </row>
    <row r="308" spans="1:129" x14ac:dyDescent="0.25">
      <c r="A308" s="30">
        <v>3.6234949738447833E-2</v>
      </c>
      <c r="B308"/>
      <c r="C308"/>
      <c r="D308"/>
      <c r="E308"/>
      <c r="F308" s="27" t="s">
        <v>7</v>
      </c>
      <c r="DO308" s="27" t="s">
        <v>8</v>
      </c>
      <c r="DV308" s="27" t="s">
        <v>7</v>
      </c>
    </row>
    <row r="309" spans="1:129" x14ac:dyDescent="0.25">
      <c r="A309" s="30">
        <v>3.4509475941378875E-2</v>
      </c>
      <c r="B309"/>
      <c r="C309"/>
      <c r="D309"/>
      <c r="E309"/>
      <c r="F309" s="27" t="s">
        <v>7</v>
      </c>
      <c r="DI309" s="27" t="s">
        <v>8</v>
      </c>
      <c r="DO309" s="27" t="s">
        <v>8</v>
      </c>
    </row>
    <row r="310" spans="1:129" x14ac:dyDescent="0.25">
      <c r="A310" s="30">
        <v>3.286616756321796E-2</v>
      </c>
      <c r="B310"/>
      <c r="C310"/>
      <c r="D310"/>
      <c r="E310"/>
      <c r="F310" s="27" t="s">
        <v>7</v>
      </c>
      <c r="DI310" s="27" t="s">
        <v>8</v>
      </c>
      <c r="DJ310" s="27" t="s">
        <v>7</v>
      </c>
      <c r="DM310" s="27" t="s">
        <v>8</v>
      </c>
      <c r="DO310" s="27" t="s">
        <v>8</v>
      </c>
    </row>
    <row r="311" spans="1:129" x14ac:dyDescent="0.25">
      <c r="A311" s="30">
        <v>3.1301111964969472E-2</v>
      </c>
      <c r="B311"/>
      <c r="C311"/>
      <c r="D311"/>
      <c r="E311"/>
      <c r="F311" s="27" t="s">
        <v>7</v>
      </c>
      <c r="DE311" s="27" t="s">
        <v>8</v>
      </c>
      <c r="DI311" s="27" t="s">
        <v>8</v>
      </c>
      <c r="DJ311" s="27" t="s">
        <v>7</v>
      </c>
      <c r="DK311" s="27" t="s">
        <v>8</v>
      </c>
      <c r="DM311" s="27" t="s">
        <v>8</v>
      </c>
      <c r="DN311" s="27" t="s">
        <v>7</v>
      </c>
      <c r="DO311" s="27" t="s">
        <v>8</v>
      </c>
    </row>
    <row r="312" spans="1:129" x14ac:dyDescent="0.25">
      <c r="A312" s="30">
        <v>2.9810582823780438E-2</v>
      </c>
      <c r="B312"/>
      <c r="C312"/>
      <c r="D312"/>
      <c r="E312"/>
      <c r="F312" s="27" t="s">
        <v>7</v>
      </c>
      <c r="DE312" s="27" t="s">
        <v>8</v>
      </c>
      <c r="DF312" s="27" t="s">
        <v>7</v>
      </c>
      <c r="DG312" s="27" t="s">
        <v>8</v>
      </c>
      <c r="DI312" s="27" t="s">
        <v>8</v>
      </c>
      <c r="DJ312" s="27" t="s">
        <v>7</v>
      </c>
      <c r="DK312" s="27" t="s">
        <v>8</v>
      </c>
      <c r="DL312" s="27" t="s">
        <v>7</v>
      </c>
      <c r="DM312" s="27" t="s">
        <v>8</v>
      </c>
      <c r="DN312" s="27" t="s">
        <v>7</v>
      </c>
      <c r="DO312" s="27" t="s">
        <v>8</v>
      </c>
    </row>
    <row r="313" spans="1:129" x14ac:dyDescent="0.25">
      <c r="A313" s="30">
        <v>2.8391031260743264E-2</v>
      </c>
      <c r="B313"/>
      <c r="C313"/>
      <c r="D313"/>
      <c r="E313"/>
      <c r="F313" s="27" t="s">
        <v>7</v>
      </c>
      <c r="DE313" s="27" t="s">
        <v>8</v>
      </c>
      <c r="DF313" s="27" t="s">
        <v>7</v>
      </c>
      <c r="DG313" s="27" t="s">
        <v>8</v>
      </c>
      <c r="DH313" s="27" t="s">
        <v>7</v>
      </c>
      <c r="DI313" s="27" t="s">
        <v>8</v>
      </c>
      <c r="DJ313" s="27" t="s">
        <v>7</v>
      </c>
      <c r="DK313" s="27" t="s">
        <v>8</v>
      </c>
      <c r="DL313" s="27" t="s">
        <v>7</v>
      </c>
      <c r="DM313" s="27" t="s">
        <v>8</v>
      </c>
      <c r="DN313" s="27" t="s">
        <v>7</v>
      </c>
      <c r="DO313" s="27" t="s">
        <v>8</v>
      </c>
    </row>
    <row r="314" spans="1:129" x14ac:dyDescent="0.25">
      <c r="A314" s="30">
        <v>2.7039077391184052E-2</v>
      </c>
      <c r="B314"/>
      <c r="C314"/>
      <c r="D314"/>
      <c r="E314"/>
      <c r="F314" s="27" t="s">
        <v>7</v>
      </c>
      <c r="DE314" s="27" t="s">
        <v>8</v>
      </c>
      <c r="DF314" s="27" t="s">
        <v>7</v>
      </c>
      <c r="DG314" s="27" t="s">
        <v>8</v>
      </c>
      <c r="DH314" s="27" t="s">
        <v>7</v>
      </c>
      <c r="DI314" s="27" t="s">
        <v>8</v>
      </c>
      <c r="DJ314" s="27" t="s">
        <v>7</v>
      </c>
      <c r="DK314" s="27" t="s">
        <v>8</v>
      </c>
      <c r="DL314" s="27" t="s">
        <v>7</v>
      </c>
      <c r="DM314" s="27" t="s">
        <v>8</v>
      </c>
      <c r="DN314" s="27" t="s">
        <v>7</v>
      </c>
    </row>
    <row r="315" spans="1:129" x14ac:dyDescent="0.25">
      <c r="A315" s="30">
        <v>2.5751502277318133E-2</v>
      </c>
      <c r="B315"/>
      <c r="C315"/>
      <c r="D315"/>
      <c r="E315"/>
      <c r="F315" s="27" t="s">
        <v>7</v>
      </c>
      <c r="DE315" s="27" t="s">
        <v>8</v>
      </c>
      <c r="DF315" s="27" t="s">
        <v>7</v>
      </c>
      <c r="DG315" s="27" t="s">
        <v>8</v>
      </c>
      <c r="DH315" s="27" t="s">
        <v>7</v>
      </c>
      <c r="DI315" s="27" t="s">
        <v>8</v>
      </c>
      <c r="DJ315" s="27" t="s">
        <v>7</v>
      </c>
      <c r="DL315" s="27" t="s">
        <v>7</v>
      </c>
      <c r="DM315" s="27" t="s">
        <v>8</v>
      </c>
    </row>
    <row r="316" spans="1:129" x14ac:dyDescent="0.25">
      <c r="A316" s="30">
        <v>2.4525240264112496E-2</v>
      </c>
      <c r="B316"/>
      <c r="C316"/>
      <c r="D316"/>
      <c r="E316"/>
      <c r="F316" s="27" t="s">
        <v>7</v>
      </c>
      <c r="DE316" s="27" t="s">
        <v>8</v>
      </c>
      <c r="DF316" s="27" t="s">
        <v>7</v>
      </c>
      <c r="DH316" s="27" t="s">
        <v>7</v>
      </c>
      <c r="DI316" s="27" t="s">
        <v>8</v>
      </c>
      <c r="DL316" s="27" t="s">
        <v>7</v>
      </c>
    </row>
    <row r="317" spans="1:129" x14ac:dyDescent="0.25">
      <c r="A317" s="30">
        <v>2.3357371680107129E-2</v>
      </c>
      <c r="B317"/>
      <c r="C317"/>
      <c r="D317"/>
      <c r="E317"/>
      <c r="F317" s="27" t="s">
        <v>7</v>
      </c>
      <c r="DE317" s="27" t="s">
        <v>8</v>
      </c>
      <c r="DH317" s="27" t="s">
        <v>7</v>
      </c>
      <c r="DI317" s="27" t="s">
        <v>8</v>
      </c>
    </row>
    <row r="318" spans="1:129" x14ac:dyDescent="0.25">
      <c r="A318" s="30">
        <v>2.2245115885816305E-2</v>
      </c>
      <c r="B318"/>
      <c r="C318"/>
      <c r="D318"/>
      <c r="E318"/>
      <c r="F318" s="27" t="s">
        <v>7</v>
      </c>
      <c r="CG318" s="27" t="s">
        <v>8</v>
      </c>
      <c r="DE318" s="27" t="s">
        <v>8</v>
      </c>
      <c r="DH318" s="27" t="s">
        <v>7</v>
      </c>
      <c r="DI318" s="27" t="s">
        <v>8</v>
      </c>
    </row>
    <row r="319" spans="1:129" x14ac:dyDescent="0.25">
      <c r="A319" s="30">
        <v>2.1185824653158377E-2</v>
      </c>
      <c r="B319"/>
      <c r="C319"/>
      <c r="D319"/>
      <c r="E319"/>
      <c r="F319" s="27" t="s">
        <v>7</v>
      </c>
      <c r="CA319" s="27" t="s">
        <v>8</v>
      </c>
      <c r="CG319" s="27" t="s">
        <v>8</v>
      </c>
      <c r="CH319" s="27" t="s">
        <v>7</v>
      </c>
      <c r="DC319" s="27" t="s">
        <v>8</v>
      </c>
      <c r="DE319" s="27" t="s">
        <v>8</v>
      </c>
      <c r="DH319" s="27" t="s">
        <v>7</v>
      </c>
      <c r="DI319" s="27" t="s">
        <v>8</v>
      </c>
    </row>
    <row r="320" spans="1:129" x14ac:dyDescent="0.25">
      <c r="A320" s="30">
        <v>2.0176975860150829E-2</v>
      </c>
      <c r="B320"/>
      <c r="C320"/>
      <c r="D320"/>
      <c r="E320"/>
      <c r="F320" s="27" t="s">
        <v>7</v>
      </c>
      <c r="CA320" s="27" t="s">
        <v>8</v>
      </c>
      <c r="CB320" s="27" t="s">
        <v>7</v>
      </c>
      <c r="CG320" s="27" t="s">
        <v>8</v>
      </c>
      <c r="CH320" s="27" t="s">
        <v>7</v>
      </c>
      <c r="DC320" s="27" t="s">
        <v>8</v>
      </c>
      <c r="DD320" s="27" t="s">
        <v>7</v>
      </c>
      <c r="DE320" s="27" t="s">
        <v>8</v>
      </c>
      <c r="DH320" s="27" t="s">
        <v>7</v>
      </c>
    </row>
    <row r="321" spans="1:109" x14ac:dyDescent="0.25">
      <c r="A321" s="30">
        <v>1.9216167485857926E-2</v>
      </c>
      <c r="B321"/>
      <c r="C321"/>
      <c r="D321"/>
      <c r="E321"/>
      <c r="F321" s="27" t="s">
        <v>7</v>
      </c>
      <c r="CA321" s="27" t="s">
        <v>8</v>
      </c>
      <c r="CB321" s="27" t="s">
        <v>7</v>
      </c>
      <c r="CC321" s="27" t="s">
        <v>8</v>
      </c>
      <c r="CG321" s="27" t="s">
        <v>8</v>
      </c>
      <c r="CH321" s="27" t="s">
        <v>7</v>
      </c>
      <c r="DC321" s="27" t="s">
        <v>8</v>
      </c>
      <c r="DD321" s="27" t="s">
        <v>7</v>
      </c>
      <c r="DE321" s="27" t="s">
        <v>8</v>
      </c>
    </row>
    <row r="322" spans="1:109" x14ac:dyDescent="0.25">
      <c r="A322" s="30">
        <v>1.8301111891293256E-2</v>
      </c>
      <c r="B322"/>
      <c r="C322"/>
      <c r="D322"/>
      <c r="E322"/>
      <c r="F322" s="27" t="s">
        <v>7</v>
      </c>
      <c r="CA322" s="27" t="s">
        <v>8</v>
      </c>
      <c r="CB322" s="27" t="s">
        <v>7</v>
      </c>
      <c r="CC322" s="27" t="s">
        <v>8</v>
      </c>
      <c r="CD322" s="27" t="s">
        <v>7</v>
      </c>
      <c r="CE322" s="27" t="s">
        <v>8</v>
      </c>
      <c r="CG322" s="27" t="s">
        <v>8</v>
      </c>
      <c r="CH322" s="27" t="s">
        <v>7</v>
      </c>
      <c r="CI322" s="27" t="s">
        <v>8</v>
      </c>
      <c r="CW322" s="27" t="s">
        <v>8</v>
      </c>
      <c r="CY322" s="27" t="s">
        <v>8</v>
      </c>
      <c r="DC322" s="27" t="s">
        <v>8</v>
      </c>
      <c r="DD322" s="27" t="s">
        <v>7</v>
      </c>
    </row>
    <row r="323" spans="1:109" x14ac:dyDescent="0.25">
      <c r="A323" s="30">
        <v>1.7429630372660238E-2</v>
      </c>
      <c r="B323"/>
      <c r="C323"/>
      <c r="D323"/>
      <c r="E323"/>
      <c r="F323" s="27" t="s">
        <v>7</v>
      </c>
      <c r="CA323" s="27" t="s">
        <v>8</v>
      </c>
      <c r="CB323" s="27" t="s">
        <v>7</v>
      </c>
      <c r="CC323" s="27" t="s">
        <v>8</v>
      </c>
      <c r="CD323" s="27" t="s">
        <v>7</v>
      </c>
      <c r="CE323" s="27" t="s">
        <v>8</v>
      </c>
      <c r="CF323" s="27" t="s">
        <v>7</v>
      </c>
      <c r="CG323" s="27" t="s">
        <v>8</v>
      </c>
      <c r="CH323" s="27" t="s">
        <v>7</v>
      </c>
      <c r="CI323" s="27" t="s">
        <v>8</v>
      </c>
      <c r="CJ323" s="27" t="s">
        <v>7</v>
      </c>
      <c r="CW323" s="27" t="s">
        <v>8</v>
      </c>
      <c r="CX323" s="27" t="s">
        <v>7</v>
      </c>
      <c r="CY323" s="27" t="s">
        <v>8</v>
      </c>
      <c r="CZ323" s="27" t="s">
        <v>7</v>
      </c>
      <c r="DA323" s="27" t="s">
        <v>8</v>
      </c>
      <c r="DC323" s="27" t="s">
        <v>8</v>
      </c>
    </row>
    <row r="324" spans="1:109" x14ac:dyDescent="0.25">
      <c r="A324" s="30">
        <v>1.6599647973962125E-2</v>
      </c>
      <c r="B324"/>
      <c r="C324"/>
      <c r="D324"/>
      <c r="E324"/>
      <c r="F324" s="27" t="s">
        <v>7</v>
      </c>
      <c r="BY324" s="27" t="s">
        <v>8</v>
      </c>
      <c r="CA324" s="27" t="s">
        <v>8</v>
      </c>
      <c r="CB324" s="27" t="s">
        <v>7</v>
      </c>
      <c r="CC324" s="27" t="s">
        <v>8</v>
      </c>
      <c r="CD324" s="27" t="s">
        <v>7</v>
      </c>
      <c r="CE324" s="27" t="s">
        <v>8</v>
      </c>
      <c r="CF324" s="27" t="s">
        <v>7</v>
      </c>
      <c r="CG324" s="27" t="s">
        <v>8</v>
      </c>
      <c r="CH324" s="27" t="s">
        <v>7</v>
      </c>
      <c r="CI324" s="27" t="s">
        <v>8</v>
      </c>
      <c r="CJ324" s="27" t="s">
        <v>7</v>
      </c>
      <c r="CW324" s="27" t="s">
        <v>8</v>
      </c>
      <c r="CX324" s="27" t="s">
        <v>7</v>
      </c>
      <c r="CY324" s="27" t="s">
        <v>8</v>
      </c>
      <c r="CZ324" s="27" t="s">
        <v>7</v>
      </c>
      <c r="DA324" s="27" t="s">
        <v>8</v>
      </c>
      <c r="DB324" s="27" t="s">
        <v>7</v>
      </c>
      <c r="DC324" s="27" t="s">
        <v>8</v>
      </c>
    </row>
    <row r="325" spans="1:109" x14ac:dyDescent="0.25">
      <c r="A325" s="30">
        <v>1.580918854663059E-2</v>
      </c>
      <c r="B325"/>
      <c r="C325"/>
      <c r="D325"/>
      <c r="E325"/>
      <c r="F325" s="27" t="s">
        <v>7</v>
      </c>
      <c r="BY325" s="27" t="s">
        <v>8</v>
      </c>
      <c r="BZ325" s="27" t="s">
        <v>7</v>
      </c>
      <c r="CA325" s="27" t="s">
        <v>8</v>
      </c>
      <c r="CB325" s="27" t="s">
        <v>7</v>
      </c>
      <c r="CC325" s="27" t="s">
        <v>8</v>
      </c>
      <c r="CD325" s="27" t="s">
        <v>7</v>
      </c>
      <c r="CE325" s="27" t="s">
        <v>8</v>
      </c>
      <c r="CF325" s="27" t="s">
        <v>7</v>
      </c>
      <c r="CG325" s="27" t="s">
        <v>8</v>
      </c>
      <c r="CH325" s="27" t="s">
        <v>7</v>
      </c>
      <c r="CJ325" s="27" t="s">
        <v>7</v>
      </c>
      <c r="CM325" s="27" t="s">
        <v>8</v>
      </c>
      <c r="CW325" s="27" t="s">
        <v>8</v>
      </c>
      <c r="CX325" s="27" t="s">
        <v>7</v>
      </c>
      <c r="CY325" s="27" t="s">
        <v>8</v>
      </c>
      <c r="CZ325" s="27" t="s">
        <v>7</v>
      </c>
      <c r="DA325" s="27" t="s">
        <v>8</v>
      </c>
      <c r="DB325" s="27" t="s">
        <v>7</v>
      </c>
      <c r="DC325" s="27" t="s">
        <v>8</v>
      </c>
    </row>
    <row r="326" spans="1:109" x14ac:dyDescent="0.25">
      <c r="A326" s="30">
        <v>1.5056370044410079E-2</v>
      </c>
      <c r="B326"/>
      <c r="C326"/>
      <c r="D326"/>
      <c r="E326"/>
      <c r="F326" s="27" t="s">
        <v>7</v>
      </c>
      <c r="BY326" s="27" t="s">
        <v>8</v>
      </c>
      <c r="BZ326" s="27" t="s">
        <v>7</v>
      </c>
      <c r="CA326" s="27" t="s">
        <v>8</v>
      </c>
      <c r="CB326" s="27" t="s">
        <v>7</v>
      </c>
      <c r="CC326" s="27" t="s">
        <v>8</v>
      </c>
      <c r="CD326" s="27" t="s">
        <v>7</v>
      </c>
      <c r="CE326" s="27" t="s">
        <v>8</v>
      </c>
      <c r="CF326" s="27" t="s">
        <v>7</v>
      </c>
      <c r="CJ326" s="27" t="s">
        <v>7</v>
      </c>
      <c r="CM326" s="27" t="s">
        <v>8</v>
      </c>
      <c r="CN326" s="27" t="s">
        <v>7</v>
      </c>
      <c r="CW326" s="27" t="s">
        <v>8</v>
      </c>
      <c r="CX326" s="27" t="s">
        <v>7</v>
      </c>
      <c r="CY326" s="27" t="s">
        <v>8</v>
      </c>
      <c r="CZ326" s="27" t="s">
        <v>7</v>
      </c>
      <c r="DB326" s="27" t="s">
        <v>7</v>
      </c>
      <c r="DC326" s="27" t="s">
        <v>8</v>
      </c>
    </row>
    <row r="327" spans="1:109" x14ac:dyDescent="0.25">
      <c r="A327" s="30">
        <v>1.4339400042295308E-2</v>
      </c>
      <c r="B327"/>
      <c r="C327"/>
      <c r="D327"/>
      <c r="E327"/>
      <c r="F327" s="27" t="s">
        <v>7</v>
      </c>
      <c r="BY327" s="27" t="s">
        <v>8</v>
      </c>
      <c r="BZ327" s="27" t="s">
        <v>7</v>
      </c>
      <c r="CB327" s="27" t="s">
        <v>7</v>
      </c>
      <c r="CC327" s="27" t="s">
        <v>8</v>
      </c>
      <c r="CD327" s="27" t="s">
        <v>7</v>
      </c>
      <c r="CJ327" s="27" t="s">
        <v>7</v>
      </c>
      <c r="CK327" s="27" t="s">
        <v>8</v>
      </c>
      <c r="CM327" s="27" t="s">
        <v>8</v>
      </c>
      <c r="CN327" s="27" t="s">
        <v>7</v>
      </c>
      <c r="CW327" s="27" t="s">
        <v>8</v>
      </c>
      <c r="CX327" s="27" t="s">
        <v>7</v>
      </c>
      <c r="CY327" s="27" t="s">
        <v>8</v>
      </c>
      <c r="DB327" s="27" t="s">
        <v>7</v>
      </c>
      <c r="DC327" s="27" t="s">
        <v>8</v>
      </c>
    </row>
    <row r="328" spans="1:109" x14ac:dyDescent="0.25">
      <c r="A328" s="30">
        <v>1.365657146885267E-2</v>
      </c>
      <c r="B328"/>
      <c r="C328"/>
      <c r="D328"/>
      <c r="E328"/>
      <c r="F328" s="27" t="s">
        <v>7</v>
      </c>
      <c r="BY328" s="27" t="s">
        <v>8</v>
      </c>
      <c r="CB328" s="27" t="s">
        <v>7</v>
      </c>
      <c r="CJ328" s="27" t="s">
        <v>7</v>
      </c>
      <c r="CK328" s="27" t="s">
        <v>8</v>
      </c>
      <c r="CL328" s="27" t="s">
        <v>7</v>
      </c>
      <c r="CM328" s="27" t="s">
        <v>8</v>
      </c>
      <c r="CN328" s="27" t="s">
        <v>7</v>
      </c>
      <c r="CW328" s="27" t="s">
        <v>8</v>
      </c>
      <c r="CX328" s="27" t="s">
        <v>7</v>
      </c>
      <c r="CY328" s="27" t="s">
        <v>8</v>
      </c>
      <c r="DB328" s="27" t="s">
        <v>7</v>
      </c>
      <c r="DC328" s="27" t="s">
        <v>8</v>
      </c>
    </row>
    <row r="329" spans="1:109" x14ac:dyDescent="0.25">
      <c r="A329" s="30">
        <v>1.3006258541764442E-2</v>
      </c>
      <c r="B329"/>
      <c r="C329"/>
      <c r="D329"/>
      <c r="E329"/>
      <c r="F329" s="27" t="s">
        <v>7</v>
      </c>
      <c r="BY329" s="27" t="s">
        <v>8</v>
      </c>
      <c r="CJ329" s="27" t="s">
        <v>7</v>
      </c>
      <c r="CK329" s="27" t="s">
        <v>8</v>
      </c>
      <c r="CL329" s="27" t="s">
        <v>7</v>
      </c>
      <c r="CM329" s="27" t="s">
        <v>8</v>
      </c>
      <c r="CN329" s="27" t="s">
        <v>7</v>
      </c>
      <c r="CO329" s="27" t="s">
        <v>8</v>
      </c>
      <c r="CW329" s="27" t="s">
        <v>8</v>
      </c>
      <c r="CX329" s="27" t="s">
        <v>7</v>
      </c>
      <c r="CY329" s="27" t="s">
        <v>8</v>
      </c>
      <c r="DB329" s="27" t="s">
        <v>7</v>
      </c>
      <c r="DC329" s="27" t="s">
        <v>8</v>
      </c>
    </row>
    <row r="330" spans="1:109" x14ac:dyDescent="0.25">
      <c r="A330" s="30">
        <v>1.2386912896918512E-2</v>
      </c>
      <c r="B330"/>
      <c r="C330"/>
      <c r="D330"/>
      <c r="E330"/>
      <c r="F330" s="27" t="s">
        <v>7</v>
      </c>
      <c r="BY330" s="27" t="s">
        <v>8</v>
      </c>
      <c r="CJ330" s="27" t="s">
        <v>7</v>
      </c>
      <c r="CK330" s="27" t="s">
        <v>8</v>
      </c>
      <c r="CL330" s="27" t="s">
        <v>7</v>
      </c>
      <c r="CM330" s="27" t="s">
        <v>8</v>
      </c>
      <c r="CN330" s="27" t="s">
        <v>7</v>
      </c>
      <c r="CO330" s="27" t="s">
        <v>8</v>
      </c>
      <c r="CP330" s="27" t="s">
        <v>7</v>
      </c>
      <c r="CQ330" s="27" t="s">
        <v>8</v>
      </c>
      <c r="CW330" s="27" t="s">
        <v>8</v>
      </c>
      <c r="CX330" s="27" t="s">
        <v>7</v>
      </c>
      <c r="DB330" s="27" t="s">
        <v>7</v>
      </c>
      <c r="DC330" s="27" t="s">
        <v>8</v>
      </c>
    </row>
    <row r="331" spans="1:109" x14ac:dyDescent="0.25">
      <c r="A331" s="30">
        <v>1.179705990182715E-2</v>
      </c>
      <c r="B331"/>
      <c r="C331"/>
      <c r="D331"/>
      <c r="E331"/>
      <c r="F331" s="27" t="s">
        <v>7</v>
      </c>
      <c r="BY331" s="27" t="s">
        <v>8</v>
      </c>
      <c r="CJ331" s="27" t="s">
        <v>7</v>
      </c>
      <c r="CK331" s="27" t="s">
        <v>8</v>
      </c>
      <c r="CL331" s="27" t="s">
        <v>7</v>
      </c>
      <c r="CM331" s="27" t="s">
        <v>8</v>
      </c>
      <c r="CN331" s="27" t="s">
        <v>7</v>
      </c>
      <c r="CO331" s="27" t="s">
        <v>8</v>
      </c>
      <c r="CP331" s="27" t="s">
        <v>7</v>
      </c>
      <c r="CQ331" s="27" t="s">
        <v>8</v>
      </c>
      <c r="CR331" s="27" t="s">
        <v>7</v>
      </c>
      <c r="CS331" s="27" t="s">
        <v>8</v>
      </c>
      <c r="CU331" s="27" t="s">
        <v>8</v>
      </c>
      <c r="CW331" s="27" t="s">
        <v>8</v>
      </c>
      <c r="DB331" s="27" t="s">
        <v>7</v>
      </c>
    </row>
    <row r="332" spans="1:109" x14ac:dyDescent="0.25">
      <c r="A332" s="30">
        <v>1.1235295144597281E-2</v>
      </c>
      <c r="B332"/>
      <c r="C332"/>
      <c r="D332"/>
      <c r="E332"/>
      <c r="F332" s="27" t="s">
        <v>7</v>
      </c>
      <c r="BY332" s="27" t="s">
        <v>8</v>
      </c>
      <c r="CJ332" s="27" t="s">
        <v>7</v>
      </c>
      <c r="CK332" s="27" t="s">
        <v>8</v>
      </c>
      <c r="CL332" s="27" t="s">
        <v>7</v>
      </c>
      <c r="CN332" s="27" t="s">
        <v>7</v>
      </c>
      <c r="CP332" s="27" t="s">
        <v>7</v>
      </c>
      <c r="CQ332" s="27" t="s">
        <v>8</v>
      </c>
      <c r="CR332" s="27" t="s">
        <v>7</v>
      </c>
      <c r="CS332" s="27" t="s">
        <v>8</v>
      </c>
      <c r="CT332" s="27" t="s">
        <v>7</v>
      </c>
      <c r="CU332" s="27" t="s">
        <v>8</v>
      </c>
      <c r="CV332" s="27" t="s">
        <v>7</v>
      </c>
      <c r="CW332" s="27" t="s">
        <v>8</v>
      </c>
    </row>
    <row r="333" spans="1:109" x14ac:dyDescent="0.25">
      <c r="A333" s="30">
        <v>1.0700281090092644E-2</v>
      </c>
      <c r="B333"/>
      <c r="C333"/>
      <c r="D333"/>
      <c r="E333"/>
      <c r="F333" s="27" t="s">
        <v>7</v>
      </c>
      <c r="AE333" s="27" t="s">
        <v>8</v>
      </c>
      <c r="BY333" s="27" t="s">
        <v>8</v>
      </c>
      <c r="CJ333" s="27" t="s">
        <v>7</v>
      </c>
      <c r="CP333" s="27" t="s">
        <v>7</v>
      </c>
      <c r="CQ333" s="27" t="s">
        <v>8</v>
      </c>
      <c r="CR333" s="27" t="s">
        <v>7</v>
      </c>
      <c r="CS333" s="27" t="s">
        <v>8</v>
      </c>
      <c r="CT333" s="27" t="s">
        <v>7</v>
      </c>
      <c r="CU333" s="27" t="s">
        <v>8</v>
      </c>
      <c r="CV333" s="27" t="s">
        <v>7</v>
      </c>
      <c r="CW333" s="27" t="s">
        <v>8</v>
      </c>
    </row>
    <row r="334" spans="1:109" x14ac:dyDescent="0.25">
      <c r="A334" s="30">
        <v>1.0190743895326324E-2</v>
      </c>
      <c r="B334"/>
      <c r="C334"/>
      <c r="D334"/>
      <c r="E334"/>
      <c r="F334" s="27" t="s">
        <v>7</v>
      </c>
      <c r="AE334" s="27" t="s">
        <v>8</v>
      </c>
      <c r="AF334" s="27" t="s">
        <v>7</v>
      </c>
      <c r="BW334" s="27" t="s">
        <v>8</v>
      </c>
      <c r="BY334" s="27" t="s">
        <v>8</v>
      </c>
      <c r="CP334" s="27" t="s">
        <v>7</v>
      </c>
      <c r="CQ334" s="27" t="s">
        <v>8</v>
      </c>
      <c r="CR334" s="27" t="s">
        <v>7</v>
      </c>
      <c r="CS334" s="27" t="s">
        <v>8</v>
      </c>
      <c r="CT334" s="27" t="s">
        <v>7</v>
      </c>
      <c r="CV334" s="27" t="s">
        <v>7</v>
      </c>
    </row>
    <row r="335" spans="1:109" x14ac:dyDescent="0.25">
      <c r="A335" s="30">
        <v>9.7054703765012563E-3</v>
      </c>
      <c r="B335"/>
      <c r="C335"/>
      <c r="D335"/>
      <c r="E335"/>
      <c r="F335" s="27" t="s">
        <v>7</v>
      </c>
      <c r="AE335" s="27" t="s">
        <v>8</v>
      </c>
      <c r="AF335" s="27" t="s">
        <v>7</v>
      </c>
      <c r="BW335" s="27" t="s">
        <v>8</v>
      </c>
      <c r="BX335" s="27" t="s">
        <v>7</v>
      </c>
      <c r="BY335" s="27" t="s">
        <v>8</v>
      </c>
      <c r="CP335" s="27" t="s">
        <v>7</v>
      </c>
      <c r="CR335" s="27" t="s">
        <v>7</v>
      </c>
      <c r="CS335" s="27" t="s">
        <v>8</v>
      </c>
    </row>
    <row r="336" spans="1:109" x14ac:dyDescent="0.25">
      <c r="A336" s="30">
        <v>9.2433051204773835E-3</v>
      </c>
      <c r="B336"/>
      <c r="C336"/>
      <c r="D336"/>
      <c r="E336"/>
      <c r="F336" s="27" t="s">
        <v>7</v>
      </c>
      <c r="AE336" s="27" t="s">
        <v>8</v>
      </c>
      <c r="AF336" s="27" t="s">
        <v>7</v>
      </c>
      <c r="AG336" s="27" t="s">
        <v>8</v>
      </c>
      <c r="BW336" s="27" t="s">
        <v>8</v>
      </c>
      <c r="BX336" s="27" t="s">
        <v>7</v>
      </c>
      <c r="BY336" s="27" t="s">
        <v>8</v>
      </c>
      <c r="CR336" s="27" t="s">
        <v>7</v>
      </c>
    </row>
    <row r="337" spans="1:77" x14ac:dyDescent="0.25">
      <c r="A337" s="30">
        <v>8.8031477337879808E-3</v>
      </c>
      <c r="B337"/>
      <c r="C337"/>
      <c r="D337"/>
      <c r="E337"/>
      <c r="F337" s="27" t="s">
        <v>7</v>
      </c>
      <c r="Y337" s="27" t="s">
        <v>8</v>
      </c>
      <c r="AE337" s="27" t="s">
        <v>8</v>
      </c>
      <c r="AF337" s="27" t="s">
        <v>7</v>
      </c>
      <c r="AG337" s="27" t="s">
        <v>8</v>
      </c>
      <c r="AH337" s="27" t="s">
        <v>7</v>
      </c>
      <c r="BW337" s="27" t="s">
        <v>8</v>
      </c>
      <c r="BX337" s="27" t="s">
        <v>7</v>
      </c>
      <c r="BY337" s="27" t="s">
        <v>8</v>
      </c>
    </row>
    <row r="338" spans="1:77" x14ac:dyDescent="0.25">
      <c r="A338" s="30">
        <v>8.3839502226552166E-3</v>
      </c>
      <c r="B338"/>
      <c r="C338"/>
      <c r="D338"/>
      <c r="E338"/>
      <c r="F338" s="27" t="s">
        <v>7</v>
      </c>
      <c r="Y338" s="27" t="s">
        <v>8</v>
      </c>
      <c r="Z338" s="27" t="s">
        <v>7</v>
      </c>
      <c r="AA338" s="27" t="s">
        <v>8</v>
      </c>
      <c r="AE338" s="27" t="s">
        <v>8</v>
      </c>
      <c r="AF338" s="27" t="s">
        <v>7</v>
      </c>
      <c r="AG338" s="27" t="s">
        <v>8</v>
      </c>
      <c r="AH338" s="27" t="s">
        <v>7</v>
      </c>
      <c r="BI338" s="27" t="s">
        <v>8</v>
      </c>
      <c r="BW338" s="27" t="s">
        <v>8</v>
      </c>
      <c r="BX338" s="27" t="s">
        <v>7</v>
      </c>
      <c r="BY338" s="27" t="s">
        <v>8</v>
      </c>
    </row>
    <row r="339" spans="1:77" x14ac:dyDescent="0.25">
      <c r="A339" s="30">
        <v>7.9847144977668698E-3</v>
      </c>
      <c r="B339"/>
      <c r="C339"/>
      <c r="D339"/>
      <c r="E339"/>
      <c r="F339" s="27" t="s">
        <v>7</v>
      </c>
      <c r="Y339" s="27" t="s">
        <v>8</v>
      </c>
      <c r="Z339" s="27" t="s">
        <v>7</v>
      </c>
      <c r="AA339" s="27" t="s">
        <v>8</v>
      </c>
      <c r="AB339" s="27" t="s">
        <v>7</v>
      </c>
      <c r="AC339" s="27" t="s">
        <v>8</v>
      </c>
      <c r="AE339" s="27" t="s">
        <v>8</v>
      </c>
      <c r="AF339" s="27" t="s">
        <v>7</v>
      </c>
      <c r="AG339" s="27" t="s">
        <v>8</v>
      </c>
      <c r="AH339" s="27" t="s">
        <v>7</v>
      </c>
      <c r="AY339" s="27" t="s">
        <v>8</v>
      </c>
      <c r="BC339" s="27" t="s">
        <v>8</v>
      </c>
      <c r="BI339" s="27" t="s">
        <v>8</v>
      </c>
      <c r="BJ339" s="27" t="s">
        <v>7</v>
      </c>
      <c r="BW339" s="27" t="s">
        <v>8</v>
      </c>
      <c r="BX339" s="27" t="s">
        <v>7</v>
      </c>
    </row>
    <row r="340" spans="1:77" x14ac:dyDescent="0.25">
      <c r="A340" s="30">
        <v>7.6044899978732058E-3</v>
      </c>
      <c r="B340"/>
      <c r="C340"/>
      <c r="D340"/>
      <c r="E340"/>
      <c r="F340" s="27" t="s">
        <v>7</v>
      </c>
      <c r="U340" s="27" t="s">
        <v>8</v>
      </c>
      <c r="Y340" s="27" t="s">
        <v>8</v>
      </c>
      <c r="Z340" s="27" t="s">
        <v>7</v>
      </c>
      <c r="AA340" s="27" t="s">
        <v>8</v>
      </c>
      <c r="AB340" s="27" t="s">
        <v>7</v>
      </c>
      <c r="AC340" s="27" t="s">
        <v>8</v>
      </c>
      <c r="AD340" s="27" t="s">
        <v>7</v>
      </c>
      <c r="AE340" s="27" t="s">
        <v>8</v>
      </c>
      <c r="AF340" s="27" t="s">
        <v>7</v>
      </c>
      <c r="AH340" s="27" t="s">
        <v>7</v>
      </c>
      <c r="AY340" s="27" t="s">
        <v>8</v>
      </c>
      <c r="AZ340" s="27" t="s">
        <v>7</v>
      </c>
      <c r="BC340" s="27" t="s">
        <v>8</v>
      </c>
      <c r="BD340" s="27" t="s">
        <v>7</v>
      </c>
      <c r="BI340" s="27" t="s">
        <v>8</v>
      </c>
      <c r="BJ340" s="27" t="s">
        <v>7</v>
      </c>
      <c r="BW340" s="27" t="s">
        <v>8</v>
      </c>
    </row>
    <row r="341" spans="1:77" x14ac:dyDescent="0.25">
      <c r="A341" s="30">
        <v>7.2423714265459072E-3</v>
      </c>
      <c r="B341"/>
      <c r="C341"/>
      <c r="D341"/>
      <c r="E341"/>
      <c r="F341" s="27" t="s">
        <v>7</v>
      </c>
      <c r="U341" s="27" t="s">
        <v>8</v>
      </c>
      <c r="V341" s="27" t="s">
        <v>7</v>
      </c>
      <c r="W341" s="27" t="s">
        <v>8</v>
      </c>
      <c r="Y341" s="27" t="s">
        <v>8</v>
      </c>
      <c r="Z341" s="27" t="s">
        <v>7</v>
      </c>
      <c r="AB341" s="27" t="s">
        <v>7</v>
      </c>
      <c r="AC341" s="27" t="s">
        <v>8</v>
      </c>
      <c r="AD341" s="27" t="s">
        <v>7</v>
      </c>
      <c r="AE341" s="27" t="s">
        <v>8</v>
      </c>
      <c r="AH341" s="27" t="s">
        <v>7</v>
      </c>
      <c r="AI341" s="27" t="s">
        <v>8</v>
      </c>
      <c r="AY341" s="27" t="s">
        <v>8</v>
      </c>
      <c r="AZ341" s="27" t="s">
        <v>7</v>
      </c>
      <c r="BC341" s="27" t="s">
        <v>8</v>
      </c>
      <c r="BD341" s="27" t="s">
        <v>7</v>
      </c>
      <c r="BI341" s="27" t="s">
        <v>8</v>
      </c>
      <c r="BJ341" s="27" t="s">
        <v>7</v>
      </c>
      <c r="BW341" s="27" t="s">
        <v>8</v>
      </c>
    </row>
    <row r="342" spans="1:77" x14ac:dyDescent="0.25">
      <c r="A342" s="30">
        <v>6.8974965967103846E-3</v>
      </c>
      <c r="B342"/>
      <c r="C342"/>
      <c r="D342"/>
      <c r="E342"/>
      <c r="F342" s="27" t="s">
        <v>7</v>
      </c>
      <c r="U342" s="27" t="s">
        <v>8</v>
      </c>
      <c r="V342" s="27" t="s">
        <v>7</v>
      </c>
      <c r="W342" s="27" t="s">
        <v>8</v>
      </c>
      <c r="X342" s="27" t="s">
        <v>7</v>
      </c>
      <c r="Y342" s="27" t="s">
        <v>8</v>
      </c>
      <c r="AB342" s="27" t="s">
        <v>7</v>
      </c>
      <c r="AD342" s="27" t="s">
        <v>7</v>
      </c>
      <c r="AE342" s="27" t="s">
        <v>8</v>
      </c>
      <c r="AH342" s="27" t="s">
        <v>7</v>
      </c>
      <c r="AI342" s="27" t="s">
        <v>8</v>
      </c>
      <c r="AJ342" s="27" t="s">
        <v>7</v>
      </c>
      <c r="AY342" s="27" t="s">
        <v>8</v>
      </c>
      <c r="AZ342" s="27" t="s">
        <v>7</v>
      </c>
      <c r="BC342" s="27" t="s">
        <v>8</v>
      </c>
      <c r="BD342" s="27" t="s">
        <v>7</v>
      </c>
      <c r="BI342" s="27" t="s">
        <v>8</v>
      </c>
      <c r="BJ342" s="27" t="s">
        <v>7</v>
      </c>
      <c r="BW342" s="27" t="s">
        <v>8</v>
      </c>
    </row>
    <row r="343" spans="1:77" x14ac:dyDescent="0.25">
      <c r="A343" s="30">
        <v>6.5690443778194116E-3</v>
      </c>
      <c r="B343"/>
      <c r="C343"/>
      <c r="D343"/>
      <c r="E343"/>
      <c r="F343" s="27" t="s">
        <v>7</v>
      </c>
      <c r="U343" s="27" t="s">
        <v>8</v>
      </c>
      <c r="V343" s="27" t="s">
        <v>7</v>
      </c>
      <c r="W343" s="27" t="s">
        <v>8</v>
      </c>
      <c r="X343" s="27" t="s">
        <v>7</v>
      </c>
      <c r="Y343" s="27" t="s">
        <v>8</v>
      </c>
      <c r="AD343" s="27" t="s">
        <v>7</v>
      </c>
      <c r="AH343" s="27" t="s">
        <v>7</v>
      </c>
      <c r="AI343" s="27" t="s">
        <v>8</v>
      </c>
      <c r="AJ343" s="27" t="s">
        <v>7</v>
      </c>
      <c r="AY343" s="27" t="s">
        <v>8</v>
      </c>
      <c r="AZ343" s="27" t="s">
        <v>7</v>
      </c>
      <c r="BC343" s="27" t="s">
        <v>8</v>
      </c>
      <c r="BD343" s="27" t="s">
        <v>7</v>
      </c>
      <c r="BG343" s="27" t="s">
        <v>8</v>
      </c>
      <c r="BI343" s="27" t="s">
        <v>8</v>
      </c>
      <c r="BJ343" s="27" t="s">
        <v>7</v>
      </c>
      <c r="BW343" s="27" t="s">
        <v>8</v>
      </c>
    </row>
    <row r="344" spans="1:77" x14ac:dyDescent="0.25">
      <c r="A344" s="30">
        <v>6.2562327407803897E-3</v>
      </c>
      <c r="B344"/>
      <c r="C344"/>
      <c r="D344"/>
      <c r="E344"/>
      <c r="F344" s="27" t="s">
        <v>7</v>
      </c>
      <c r="U344" s="27" t="s">
        <v>8</v>
      </c>
      <c r="V344" s="27" t="s">
        <v>7</v>
      </c>
      <c r="X344" s="27" t="s">
        <v>7</v>
      </c>
      <c r="Y344" s="27" t="s">
        <v>8</v>
      </c>
      <c r="AH344" s="27" t="s">
        <v>7</v>
      </c>
      <c r="AI344" s="27" t="s">
        <v>8</v>
      </c>
      <c r="AJ344" s="27" t="s">
        <v>7</v>
      </c>
      <c r="AK344" s="27" t="s">
        <v>8</v>
      </c>
      <c r="AY344" s="27" t="s">
        <v>8</v>
      </c>
      <c r="AZ344" s="27" t="s">
        <v>7</v>
      </c>
      <c r="BC344" s="27" t="s">
        <v>8</v>
      </c>
      <c r="BD344" s="27" t="s">
        <v>7</v>
      </c>
      <c r="BE344" s="27" t="s">
        <v>8</v>
      </c>
      <c r="BG344" s="27" t="s">
        <v>8</v>
      </c>
      <c r="BH344" s="27" t="s">
        <v>7</v>
      </c>
      <c r="BI344" s="27" t="s">
        <v>8</v>
      </c>
      <c r="BJ344" s="27" t="s">
        <v>7</v>
      </c>
      <c r="BK344" s="27" t="s">
        <v>8</v>
      </c>
      <c r="BW344" s="27" t="s">
        <v>8</v>
      </c>
    </row>
    <row r="345" spans="1:77" x14ac:dyDescent="0.25">
      <c r="A345" s="30">
        <v>5.9583168959813212E-3</v>
      </c>
      <c r="B345"/>
      <c r="C345"/>
      <c r="D345"/>
      <c r="E345"/>
      <c r="F345" s="27" t="s">
        <v>7</v>
      </c>
      <c r="G345" s="27" t="s">
        <v>8</v>
      </c>
      <c r="U345" s="27" t="s">
        <v>8</v>
      </c>
      <c r="X345" s="27" t="s">
        <v>7</v>
      </c>
      <c r="AH345" s="27" t="s">
        <v>7</v>
      </c>
      <c r="AJ345" s="27" t="s">
        <v>7</v>
      </c>
      <c r="AK345" s="27" t="s">
        <v>8</v>
      </c>
      <c r="AL345" s="27" t="s">
        <v>7</v>
      </c>
      <c r="AW345" s="27" t="s">
        <v>8</v>
      </c>
      <c r="AY345" s="27" t="s">
        <v>8</v>
      </c>
      <c r="AZ345" s="27" t="s">
        <v>7</v>
      </c>
      <c r="BA345" s="27" t="s">
        <v>8</v>
      </c>
      <c r="BC345" s="27" t="s">
        <v>8</v>
      </c>
      <c r="BD345" s="27" t="s">
        <v>7</v>
      </c>
      <c r="BE345" s="27" t="s">
        <v>8</v>
      </c>
      <c r="BF345" s="27" t="s">
        <v>7</v>
      </c>
      <c r="BG345" s="27" t="s">
        <v>8</v>
      </c>
      <c r="BH345" s="27" t="s">
        <v>7</v>
      </c>
      <c r="BI345" s="27" t="s">
        <v>8</v>
      </c>
      <c r="BJ345" s="27" t="s">
        <v>7</v>
      </c>
      <c r="BK345" s="27" t="s">
        <v>8</v>
      </c>
      <c r="BL345" s="27" t="s">
        <v>7</v>
      </c>
      <c r="BW345" s="27" t="s">
        <v>8</v>
      </c>
    </row>
    <row r="346" spans="1:77" x14ac:dyDescent="0.25">
      <c r="A346" s="30">
        <v>5.6745875199822084E-3</v>
      </c>
      <c r="B346"/>
      <c r="C346"/>
      <c r="D346"/>
      <c r="E346"/>
      <c r="F346" s="27" t="s">
        <v>7</v>
      </c>
      <c r="G346" s="27" t="s">
        <v>8</v>
      </c>
      <c r="H346" s="27" t="s">
        <v>7</v>
      </c>
      <c r="K346" s="27" t="s">
        <v>8</v>
      </c>
      <c r="U346" s="27" t="s">
        <v>8</v>
      </c>
      <c r="AJ346" s="27" t="s">
        <v>7</v>
      </c>
      <c r="AK346" s="27" t="s">
        <v>8</v>
      </c>
      <c r="AL346" s="27" t="s">
        <v>7</v>
      </c>
      <c r="AM346" s="27" t="s">
        <v>8</v>
      </c>
      <c r="AW346" s="27" t="s">
        <v>8</v>
      </c>
      <c r="AX346" s="27" t="s">
        <v>7</v>
      </c>
      <c r="AY346" s="27" t="s">
        <v>8</v>
      </c>
      <c r="AZ346" s="27" t="s">
        <v>7</v>
      </c>
      <c r="BA346" s="27" t="s">
        <v>8</v>
      </c>
      <c r="BB346" s="27" t="s">
        <v>7</v>
      </c>
      <c r="BC346" s="27" t="s">
        <v>8</v>
      </c>
      <c r="BD346" s="27" t="s">
        <v>7</v>
      </c>
      <c r="BE346" s="27" t="s">
        <v>8</v>
      </c>
      <c r="BF346" s="27" t="s">
        <v>7</v>
      </c>
      <c r="BG346" s="27" t="s">
        <v>8</v>
      </c>
      <c r="BH346" s="27" t="s">
        <v>7</v>
      </c>
      <c r="BJ346" s="27" t="s">
        <v>7</v>
      </c>
      <c r="BK346" s="27" t="s">
        <v>8</v>
      </c>
      <c r="BL346" s="27" t="s">
        <v>7</v>
      </c>
      <c r="BW346" s="27" t="s">
        <v>8</v>
      </c>
    </row>
    <row r="347" spans="1:77" x14ac:dyDescent="0.25">
      <c r="A347" s="30">
        <v>5.4043690666497205E-3</v>
      </c>
      <c r="B347"/>
      <c r="C347"/>
      <c r="D347"/>
      <c r="E347"/>
      <c r="F347" s="27" t="s">
        <v>7</v>
      </c>
      <c r="G347" s="27" t="s">
        <v>8</v>
      </c>
      <c r="H347" s="27" t="s">
        <v>7</v>
      </c>
      <c r="K347" s="27" t="s">
        <v>8</v>
      </c>
      <c r="L347" s="27" t="s">
        <v>7</v>
      </c>
      <c r="U347" s="27" t="s">
        <v>8</v>
      </c>
      <c r="AJ347" s="27" t="s">
        <v>7</v>
      </c>
      <c r="AK347" s="27" t="s">
        <v>8</v>
      </c>
      <c r="AL347" s="27" t="s">
        <v>7</v>
      </c>
      <c r="AM347" s="27" t="s">
        <v>8</v>
      </c>
      <c r="AN347" s="27" t="s">
        <v>7</v>
      </c>
      <c r="AW347" s="27" t="s">
        <v>8</v>
      </c>
      <c r="AX347" s="27" t="s">
        <v>7</v>
      </c>
      <c r="AY347" s="27" t="s">
        <v>8</v>
      </c>
      <c r="AZ347" s="27" t="s">
        <v>7</v>
      </c>
      <c r="BA347" s="27" t="s">
        <v>8</v>
      </c>
      <c r="BB347" s="27" t="s">
        <v>7</v>
      </c>
      <c r="BC347" s="27" t="s">
        <v>8</v>
      </c>
      <c r="BD347" s="27" t="s">
        <v>7</v>
      </c>
      <c r="BE347" s="27" t="s">
        <v>8</v>
      </c>
      <c r="BF347" s="27" t="s">
        <v>7</v>
      </c>
      <c r="BG347" s="27" t="s">
        <v>8</v>
      </c>
      <c r="BJ347" s="27" t="s">
        <v>7</v>
      </c>
      <c r="BL347" s="27" t="s">
        <v>7</v>
      </c>
      <c r="BW347" s="27" t="s">
        <v>8</v>
      </c>
    </row>
    <row r="348" spans="1:77" x14ac:dyDescent="0.25">
      <c r="A348" s="30">
        <v>5.1470181587140174E-3</v>
      </c>
      <c r="B348"/>
      <c r="C348"/>
      <c r="D348"/>
      <c r="E348"/>
      <c r="F348" s="27" t="s">
        <v>7</v>
      </c>
      <c r="H348" s="27" t="s">
        <v>7</v>
      </c>
      <c r="K348" s="27" t="s">
        <v>8</v>
      </c>
      <c r="L348" s="27" t="s">
        <v>7</v>
      </c>
      <c r="M348" s="27" t="s">
        <v>8</v>
      </c>
      <c r="U348" s="27" t="s">
        <v>8</v>
      </c>
      <c r="AJ348" s="27" t="s">
        <v>7</v>
      </c>
      <c r="AL348" s="27" t="s">
        <v>7</v>
      </c>
      <c r="AM348" s="27" t="s">
        <v>8</v>
      </c>
      <c r="AN348" s="27" t="s">
        <v>7</v>
      </c>
      <c r="AW348" s="27" t="s">
        <v>8</v>
      </c>
      <c r="AX348" s="27" t="s">
        <v>7</v>
      </c>
      <c r="AZ348" s="27" t="s">
        <v>7</v>
      </c>
      <c r="BA348" s="27" t="s">
        <v>8</v>
      </c>
      <c r="BB348" s="27" t="s">
        <v>7</v>
      </c>
      <c r="BD348" s="27" t="s">
        <v>7</v>
      </c>
      <c r="BE348" s="27" t="s">
        <v>8</v>
      </c>
      <c r="BF348" s="27" t="s">
        <v>7</v>
      </c>
      <c r="BL348" s="27" t="s">
        <v>7</v>
      </c>
      <c r="BW348" s="27" t="s">
        <v>8</v>
      </c>
    </row>
    <row r="349" spans="1:77" x14ac:dyDescent="0.25">
      <c r="A349" s="30">
        <v>4.9019220559181099E-3</v>
      </c>
      <c r="B349"/>
      <c r="C349"/>
      <c r="D349"/>
      <c r="E349"/>
      <c r="H349" s="27" t="s">
        <v>7</v>
      </c>
      <c r="I349" s="27" t="s">
        <v>8</v>
      </c>
      <c r="K349" s="27" t="s">
        <v>8</v>
      </c>
      <c r="L349" s="27" t="s">
        <v>7</v>
      </c>
      <c r="M349" s="27" t="s">
        <v>8</v>
      </c>
      <c r="N349" s="27" t="s">
        <v>7</v>
      </c>
      <c r="S349" s="27" t="s">
        <v>8</v>
      </c>
      <c r="U349" s="27" t="s">
        <v>8</v>
      </c>
      <c r="AL349" s="27" t="s">
        <v>7</v>
      </c>
      <c r="AN349" s="27" t="s">
        <v>7</v>
      </c>
      <c r="AO349" s="27" t="s">
        <v>8</v>
      </c>
      <c r="AW349" s="27" t="s">
        <v>8</v>
      </c>
      <c r="AZ349" s="27" t="s">
        <v>7</v>
      </c>
      <c r="BA349" s="27" t="s">
        <v>8</v>
      </c>
      <c r="BD349" s="27" t="s">
        <v>7</v>
      </c>
      <c r="BE349" s="27" t="s">
        <v>8</v>
      </c>
      <c r="BL349" s="27" t="s">
        <v>7</v>
      </c>
      <c r="BU349" s="27" t="s">
        <v>8</v>
      </c>
      <c r="BW349" s="27" t="s">
        <v>8</v>
      </c>
    </row>
    <row r="350" spans="1:77" x14ac:dyDescent="0.25">
      <c r="A350" s="30">
        <v>4.6684971961124836E-3</v>
      </c>
      <c r="B350"/>
      <c r="C350"/>
      <c r="D350"/>
      <c r="E350"/>
      <c r="H350" s="27" t="s">
        <v>7</v>
      </c>
      <c r="I350" s="27" t="s">
        <v>8</v>
      </c>
      <c r="J350" s="27" t="s">
        <v>7</v>
      </c>
      <c r="K350" s="27" t="s">
        <v>8</v>
      </c>
      <c r="L350" s="27" t="s">
        <v>7</v>
      </c>
      <c r="M350" s="27" t="s">
        <v>8</v>
      </c>
      <c r="N350" s="27" t="s">
        <v>7</v>
      </c>
      <c r="O350" s="27" t="s">
        <v>8</v>
      </c>
      <c r="S350" s="27" t="s">
        <v>8</v>
      </c>
      <c r="T350" s="27" t="s">
        <v>7</v>
      </c>
      <c r="U350" s="27" t="s">
        <v>8</v>
      </c>
      <c r="AN350" s="27" t="s">
        <v>7</v>
      </c>
      <c r="AO350" s="27" t="s">
        <v>8</v>
      </c>
      <c r="AP350" s="27" t="s">
        <v>7</v>
      </c>
      <c r="AU350" s="27" t="s">
        <v>8</v>
      </c>
      <c r="AW350" s="27" t="s">
        <v>8</v>
      </c>
      <c r="AZ350" s="27" t="s">
        <v>7</v>
      </c>
      <c r="BD350" s="27" t="s">
        <v>7</v>
      </c>
      <c r="BL350" s="27" t="s">
        <v>7</v>
      </c>
      <c r="BU350" s="27" t="s">
        <v>8</v>
      </c>
      <c r="BV350" s="27" t="s">
        <v>7</v>
      </c>
      <c r="BW350" s="27" t="s">
        <v>8</v>
      </c>
    </row>
    <row r="351" spans="1:77" x14ac:dyDescent="0.25">
      <c r="A351" s="30">
        <v>4.4461878058214112E-3</v>
      </c>
      <c r="B351"/>
      <c r="C351"/>
      <c r="D351"/>
      <c r="E351"/>
      <c r="H351" s="27" t="s">
        <v>7</v>
      </c>
      <c r="I351" s="27" t="s">
        <v>8</v>
      </c>
      <c r="J351" s="27" t="s">
        <v>7</v>
      </c>
      <c r="K351" s="27" t="s">
        <v>8</v>
      </c>
      <c r="L351" s="27" t="s">
        <v>7</v>
      </c>
      <c r="M351" s="27" t="s">
        <v>8</v>
      </c>
      <c r="N351" s="27" t="s">
        <v>7</v>
      </c>
      <c r="O351" s="27" t="s">
        <v>8</v>
      </c>
      <c r="P351" s="27" t="s">
        <v>7</v>
      </c>
      <c r="Q351" s="27" t="s">
        <v>8</v>
      </c>
      <c r="S351" s="27" t="s">
        <v>8</v>
      </c>
      <c r="T351" s="27" t="s">
        <v>7</v>
      </c>
      <c r="U351" s="27" t="s">
        <v>8</v>
      </c>
      <c r="AN351" s="27" t="s">
        <v>7</v>
      </c>
      <c r="AO351" s="27" t="s">
        <v>8</v>
      </c>
      <c r="AP351" s="27" t="s">
        <v>7</v>
      </c>
      <c r="AU351" s="27" t="s">
        <v>8</v>
      </c>
      <c r="AV351" s="27" t="s">
        <v>7</v>
      </c>
      <c r="AW351" s="27" t="s">
        <v>8</v>
      </c>
      <c r="BL351" s="27" t="s">
        <v>7</v>
      </c>
      <c r="BS351" s="27" t="s">
        <v>8</v>
      </c>
      <c r="BU351" s="27" t="s">
        <v>8</v>
      </c>
      <c r="BV351" s="27" t="s">
        <v>7</v>
      </c>
      <c r="BW351" s="27" t="s">
        <v>8</v>
      </c>
    </row>
    <row r="352" spans="1:77" x14ac:dyDescent="0.25">
      <c r="A352" s="30">
        <v>4.2344645769727711E-3</v>
      </c>
      <c r="B352"/>
      <c r="C352"/>
      <c r="D352"/>
      <c r="E352"/>
      <c r="H352" s="27" t="s">
        <v>7</v>
      </c>
      <c r="J352" s="27" t="s">
        <v>7</v>
      </c>
      <c r="L352" s="27" t="s">
        <v>7</v>
      </c>
      <c r="M352" s="27" t="s">
        <v>8</v>
      </c>
      <c r="N352" s="27" t="s">
        <v>7</v>
      </c>
      <c r="O352" s="27" t="s">
        <v>8</v>
      </c>
      <c r="P352" s="27" t="s">
        <v>7</v>
      </c>
      <c r="Q352" s="27" t="s">
        <v>8</v>
      </c>
      <c r="R352" s="27" t="s">
        <v>7</v>
      </c>
      <c r="S352" s="27" t="s">
        <v>8</v>
      </c>
      <c r="T352" s="27" t="s">
        <v>7</v>
      </c>
      <c r="U352" s="27" t="s">
        <v>8</v>
      </c>
      <c r="AN352" s="27" t="s">
        <v>7</v>
      </c>
      <c r="AP352" s="27" t="s">
        <v>7</v>
      </c>
      <c r="AQ352" s="27" t="s">
        <v>8</v>
      </c>
      <c r="AU352" s="27" t="s">
        <v>8</v>
      </c>
      <c r="AV352" s="27" t="s">
        <v>7</v>
      </c>
      <c r="AW352" s="27" t="s">
        <v>8</v>
      </c>
      <c r="BL352" s="27" t="s">
        <v>7</v>
      </c>
      <c r="BS352" s="27" t="s">
        <v>8</v>
      </c>
      <c r="BT352" s="27" t="s">
        <v>7</v>
      </c>
      <c r="BU352" s="27" t="s">
        <v>8</v>
      </c>
      <c r="BV352" s="27" t="s">
        <v>7</v>
      </c>
      <c r="BW352" s="27" t="s">
        <v>8</v>
      </c>
    </row>
    <row r="353" spans="1:75" x14ac:dyDescent="0.25">
      <c r="A353" s="30">
        <v>4.0328234066407329E-3</v>
      </c>
      <c r="B353"/>
      <c r="C353"/>
      <c r="D353"/>
      <c r="E353"/>
      <c r="L353" s="27" t="s">
        <v>7</v>
      </c>
      <c r="M353" s="27" t="s">
        <v>8</v>
      </c>
      <c r="N353" s="27" t="s">
        <v>7</v>
      </c>
      <c r="O353" s="27" t="s">
        <v>8</v>
      </c>
      <c r="P353" s="27" t="s">
        <v>7</v>
      </c>
      <c r="Q353" s="27" t="s">
        <v>8</v>
      </c>
      <c r="R353" s="27" t="s">
        <v>7</v>
      </c>
      <c r="S353" s="27" t="s">
        <v>8</v>
      </c>
      <c r="T353" s="27" t="s">
        <v>7</v>
      </c>
      <c r="AP353" s="27" t="s">
        <v>7</v>
      </c>
      <c r="AQ353" s="27" t="s">
        <v>8</v>
      </c>
      <c r="AR353" s="27" t="s">
        <v>7</v>
      </c>
      <c r="AU353" s="27" t="s">
        <v>8</v>
      </c>
      <c r="AV353" s="27" t="s">
        <v>7</v>
      </c>
      <c r="AW353" s="27" t="s">
        <v>8</v>
      </c>
      <c r="BL353" s="27" t="s">
        <v>7</v>
      </c>
      <c r="BS353" s="27" t="s">
        <v>8</v>
      </c>
      <c r="BT353" s="27" t="s">
        <v>7</v>
      </c>
      <c r="BU353" s="27" t="s">
        <v>8</v>
      </c>
      <c r="BV353" s="27" t="s">
        <v>7</v>
      </c>
      <c r="BW353" s="27" t="s">
        <v>8</v>
      </c>
    </row>
    <row r="354" spans="1:75" x14ac:dyDescent="0.25">
      <c r="A354" s="30">
        <v>3.8407841968006963E-3</v>
      </c>
      <c r="B354"/>
      <c r="C354"/>
      <c r="D354"/>
      <c r="E354"/>
      <c r="L354" s="27" t="s">
        <v>7</v>
      </c>
      <c r="M354" s="27" t="s">
        <v>8</v>
      </c>
      <c r="N354" s="27" t="s">
        <v>7</v>
      </c>
      <c r="P354" s="27" t="s">
        <v>7</v>
      </c>
      <c r="Q354" s="27" t="s">
        <v>8</v>
      </c>
      <c r="R354" s="27" t="s">
        <v>7</v>
      </c>
      <c r="S354" s="27" t="s">
        <v>8</v>
      </c>
      <c r="AP354" s="27" t="s">
        <v>7</v>
      </c>
      <c r="AQ354" s="27" t="s">
        <v>8</v>
      </c>
      <c r="AR354" s="27" t="s">
        <v>7</v>
      </c>
      <c r="AS354" s="27" t="s">
        <v>8</v>
      </c>
      <c r="AU354" s="27" t="s">
        <v>8</v>
      </c>
      <c r="AV354" s="27" t="s">
        <v>7</v>
      </c>
      <c r="BL354" s="27" t="s">
        <v>7</v>
      </c>
      <c r="BS354" s="27" t="s">
        <v>8</v>
      </c>
      <c r="BT354" s="27" t="s">
        <v>7</v>
      </c>
      <c r="BU354" s="27" t="s">
        <v>8</v>
      </c>
      <c r="BV354" s="27" t="s">
        <v>7</v>
      </c>
    </row>
    <row r="355" spans="1:75" x14ac:dyDescent="0.25">
      <c r="A355" s="30">
        <v>3.6578897112387568E-3</v>
      </c>
      <c r="B355"/>
      <c r="C355"/>
      <c r="D355"/>
      <c r="E355"/>
      <c r="L355" s="27" t="s">
        <v>7</v>
      </c>
      <c r="M355" s="27" t="s">
        <v>8</v>
      </c>
      <c r="P355" s="27" t="s">
        <v>7</v>
      </c>
      <c r="R355" s="27" t="s">
        <v>7</v>
      </c>
      <c r="AP355" s="27" t="s">
        <v>7</v>
      </c>
      <c r="AR355" s="27" t="s">
        <v>7</v>
      </c>
      <c r="AS355" s="27" t="s">
        <v>8</v>
      </c>
      <c r="AT355" s="27" t="s">
        <v>7</v>
      </c>
      <c r="AU355" s="27" t="s">
        <v>8</v>
      </c>
      <c r="BL355" s="27" t="s">
        <v>7</v>
      </c>
      <c r="BS355" s="27" t="s">
        <v>8</v>
      </c>
      <c r="BT355" s="27" t="s">
        <v>7</v>
      </c>
      <c r="BU355" s="27" t="s">
        <v>8</v>
      </c>
    </row>
    <row r="356" spans="1:75" x14ac:dyDescent="0.25">
      <c r="A356" s="30">
        <v>3.4837044868940526E-3</v>
      </c>
      <c r="B356"/>
      <c r="C356"/>
      <c r="D356"/>
      <c r="E356"/>
      <c r="L356" s="27" t="s">
        <v>7</v>
      </c>
      <c r="M356" s="27" t="s">
        <v>8</v>
      </c>
      <c r="AR356" s="27" t="s">
        <v>7</v>
      </c>
      <c r="AS356" s="27" t="s">
        <v>8</v>
      </c>
      <c r="AT356" s="27" t="s">
        <v>7</v>
      </c>
      <c r="AU356" s="27" t="s">
        <v>8</v>
      </c>
      <c r="BL356" s="27" t="s">
        <v>7</v>
      </c>
      <c r="BQ356" s="27" t="s">
        <v>8</v>
      </c>
      <c r="BS356" s="27" t="s">
        <v>8</v>
      </c>
      <c r="BT356" s="27" t="s">
        <v>7</v>
      </c>
    </row>
    <row r="357" spans="1:75" x14ac:dyDescent="0.25">
      <c r="A357" s="30">
        <v>3.3178137970419535E-3</v>
      </c>
      <c r="B357"/>
      <c r="C357"/>
      <c r="D357"/>
      <c r="E357"/>
      <c r="L357" s="27" t="s">
        <v>7</v>
      </c>
      <c r="AR357" s="27" t="s">
        <v>7</v>
      </c>
      <c r="AS357" s="27" t="s">
        <v>8</v>
      </c>
      <c r="AT357" s="27" t="s">
        <v>7</v>
      </c>
      <c r="AU357" s="27" t="s">
        <v>8</v>
      </c>
      <c r="BL357" s="27" t="s">
        <v>7</v>
      </c>
      <c r="BQ357" s="27" t="s">
        <v>8</v>
      </c>
      <c r="BR357" s="27" t="s">
        <v>7</v>
      </c>
      <c r="BS357" s="27" t="s">
        <v>8</v>
      </c>
    </row>
    <row r="358" spans="1:75" x14ac:dyDescent="0.25">
      <c r="A358" s="30">
        <v>3.1598226638494781E-3</v>
      </c>
      <c r="B358"/>
      <c r="C358"/>
      <c r="D358"/>
      <c r="E358"/>
      <c r="AR358" s="27" t="s">
        <v>7</v>
      </c>
      <c r="AT358" s="27" t="s">
        <v>7</v>
      </c>
      <c r="AU358" s="27" t="s">
        <v>8</v>
      </c>
      <c r="BL358" s="27" t="s">
        <v>7</v>
      </c>
      <c r="BQ358" s="27" t="s">
        <v>8</v>
      </c>
      <c r="BR358" s="27" t="s">
        <v>7</v>
      </c>
      <c r="BS358" s="27" t="s">
        <v>8</v>
      </c>
    </row>
    <row r="359" spans="1:75" x14ac:dyDescent="0.25">
      <c r="A359" s="30">
        <v>3.0093549179518826E-3</v>
      </c>
      <c r="B359"/>
      <c r="C359"/>
      <c r="D359"/>
      <c r="E359"/>
      <c r="AT359" s="27" t="s">
        <v>7</v>
      </c>
      <c r="AU359" s="27" t="s">
        <v>8</v>
      </c>
      <c r="BL359" s="27" t="s">
        <v>7</v>
      </c>
      <c r="BO359" s="27" t="s">
        <v>8</v>
      </c>
      <c r="BQ359" s="27" t="s">
        <v>8</v>
      </c>
      <c r="BR359" s="27" t="s">
        <v>7</v>
      </c>
      <c r="BS359" s="27" t="s">
        <v>8</v>
      </c>
    </row>
    <row r="360" spans="1:75" x14ac:dyDescent="0.25">
      <c r="A360" s="30">
        <v>2.8660523028113155E-3</v>
      </c>
      <c r="B360"/>
      <c r="C360"/>
      <c r="D360"/>
      <c r="E360"/>
      <c r="AT360" s="27" t="s">
        <v>7</v>
      </c>
      <c r="BL360" s="27" t="s">
        <v>7</v>
      </c>
      <c r="BO360" s="27" t="s">
        <v>8</v>
      </c>
      <c r="BP360" s="27" t="s">
        <v>7</v>
      </c>
      <c r="BQ360" s="27" t="s">
        <v>8</v>
      </c>
      <c r="BR360" s="27" t="s">
        <v>7</v>
      </c>
      <c r="BS360" s="27" t="s">
        <v>8</v>
      </c>
    </row>
    <row r="361" spans="1:75" x14ac:dyDescent="0.25">
      <c r="A361" s="30">
        <v>2.7295736217250611E-3</v>
      </c>
      <c r="B361"/>
      <c r="C361"/>
      <c r="D361"/>
      <c r="E361"/>
      <c r="BL361" s="27" t="s">
        <v>7</v>
      </c>
      <c r="BM361" s="27" t="s">
        <v>8</v>
      </c>
      <c r="BO361" s="27" t="s">
        <v>8</v>
      </c>
      <c r="BP361" s="27" t="s">
        <v>7</v>
      </c>
      <c r="BQ361" s="27" t="s">
        <v>8</v>
      </c>
      <c r="BR361" s="27" t="s">
        <v>7</v>
      </c>
    </row>
    <row r="362" spans="1:75" x14ac:dyDescent="0.25">
      <c r="A362" s="30">
        <v>2.5995939254524381E-3</v>
      </c>
      <c r="B362"/>
      <c r="C362"/>
      <c r="D362"/>
      <c r="E362"/>
      <c r="BL362" s="27" t="s">
        <v>7</v>
      </c>
      <c r="BM362" s="27" t="s">
        <v>8</v>
      </c>
      <c r="BN362" s="27" t="s">
        <v>7</v>
      </c>
      <c r="BO362" s="27" t="s">
        <v>8</v>
      </c>
      <c r="BP362" s="27" t="s">
        <v>7</v>
      </c>
    </row>
    <row r="363" spans="1:75" x14ac:dyDescent="0.25">
      <c r="A363" s="30">
        <v>2.4758037385261304E-3</v>
      </c>
      <c r="B363"/>
      <c r="C363"/>
      <c r="D363"/>
      <c r="E363"/>
      <c r="BL363" s="27" t="s">
        <v>7</v>
      </c>
      <c r="BM363" s="27" t="s">
        <v>8</v>
      </c>
      <c r="BN363" s="27" t="s">
        <v>7</v>
      </c>
      <c r="BO363" s="27" t="s">
        <v>8</v>
      </c>
    </row>
    <row r="364" spans="1:75" x14ac:dyDescent="0.25">
      <c r="A364" s="30">
        <v>2.3579083224058374E-3</v>
      </c>
      <c r="B364"/>
      <c r="C364"/>
      <c r="D364"/>
      <c r="E364"/>
      <c r="BL364" s="27" t="s">
        <v>7</v>
      </c>
      <c r="BM364" s="27" t="s">
        <v>8</v>
      </c>
      <c r="BN364" s="27" t="s">
        <v>7</v>
      </c>
      <c r="BO364" s="27" t="s">
        <v>8</v>
      </c>
    </row>
    <row r="365" spans="1:75" x14ac:dyDescent="0.25">
      <c r="A365" s="30">
        <v>2.245626973719844E-3</v>
      </c>
      <c r="B365"/>
      <c r="C365"/>
      <c r="D365"/>
      <c r="E365"/>
      <c r="BL365" s="27" t="s">
        <v>7</v>
      </c>
      <c r="BM365" s="27" t="s">
        <v>8</v>
      </c>
      <c r="BN365" s="27" t="s">
        <v>7</v>
      </c>
      <c r="BO365" s="27" t="s">
        <v>8</v>
      </c>
    </row>
    <row r="366" spans="1:75" x14ac:dyDescent="0.25">
      <c r="A366" s="30">
        <v>2.1386923559236601E-3</v>
      </c>
      <c r="B366"/>
      <c r="C366"/>
      <c r="D366"/>
      <c r="E366"/>
      <c r="BL366" s="27" t="s">
        <v>7</v>
      </c>
      <c r="BM366" s="27" t="s">
        <v>8</v>
      </c>
      <c r="BN366" s="27" t="s">
        <v>7</v>
      </c>
      <c r="BO366" s="27" t="s">
        <v>8</v>
      </c>
    </row>
    <row r="367" spans="1:75" x14ac:dyDescent="0.25">
      <c r="A367" s="30">
        <v>2.0368498627844375E-3</v>
      </c>
      <c r="B367"/>
      <c r="C367"/>
      <c r="D367"/>
      <c r="E367"/>
      <c r="BL367" s="27" t="s">
        <v>7</v>
      </c>
      <c r="BM367" s="27" t="s">
        <v>8</v>
      </c>
      <c r="BN367" s="27" t="s">
        <v>7</v>
      </c>
    </row>
    <row r="368" spans="1:75" x14ac:dyDescent="0.25">
      <c r="A368" s="30">
        <v>1.9398570121756541E-3</v>
      </c>
      <c r="B368"/>
      <c r="C368"/>
      <c r="D368"/>
      <c r="E368"/>
      <c r="BL368" s="27" t="s">
        <v>7</v>
      </c>
      <c r="BM368" s="27" t="s">
        <v>8</v>
      </c>
    </row>
    <row r="369" spans="1:65" x14ac:dyDescent="0.25">
      <c r="A369" s="30">
        <v>1.8474828687387174E-3</v>
      </c>
      <c r="B369"/>
      <c r="C369"/>
      <c r="D369"/>
      <c r="E369"/>
      <c r="BL369" s="27" t="s">
        <v>7</v>
      </c>
      <c r="BM369" s="27" t="s">
        <v>8</v>
      </c>
    </row>
    <row r="370" spans="1:65" x14ac:dyDescent="0.25">
      <c r="A370" s="30">
        <v>1.759507494036873E-3</v>
      </c>
      <c r="B370"/>
      <c r="C370"/>
      <c r="D370"/>
      <c r="E370"/>
      <c r="BL370" s="27" t="s">
        <v>7</v>
      </c>
      <c r="BM370" s="27" t="s">
        <v>8</v>
      </c>
    </row>
    <row r="371" spans="1:65" x14ac:dyDescent="0.25">
      <c r="A371" s="30">
        <v>1.6757214228922594E-3</v>
      </c>
      <c r="B371"/>
      <c r="C371"/>
      <c r="D371"/>
      <c r="E371"/>
      <c r="BL371" s="27" t="s">
        <v>7</v>
      </c>
      <c r="BM371" s="27" t="s">
        <v>8</v>
      </c>
    </row>
    <row r="372" spans="1:65" x14ac:dyDescent="0.25">
      <c r="A372" s="30">
        <v>1.595925164659294E-3</v>
      </c>
      <c r="B372"/>
      <c r="C372"/>
      <c r="D372"/>
      <c r="E372"/>
      <c r="BL372" s="27" t="s">
        <v>7</v>
      </c>
    </row>
    <row r="373" spans="1:65" x14ac:dyDescent="0.25">
      <c r="A373" s="30">
        <v>1.5199287282469461E-3</v>
      </c>
      <c r="B373"/>
      <c r="C373"/>
      <c r="D373"/>
      <c r="E373"/>
    </row>
    <row r="374" spans="1:65" x14ac:dyDescent="0.25">
      <c r="A374" s="30">
        <v>1.4475511697589958E-3</v>
      </c>
      <c r="B374"/>
      <c r="C374"/>
      <c r="D374"/>
      <c r="E374"/>
    </row>
    <row r="375" spans="1:65" x14ac:dyDescent="0.25">
      <c r="A375" s="30">
        <v>1.3786201616752334E-3</v>
      </c>
      <c r="B375"/>
      <c r="C375"/>
      <c r="D375"/>
      <c r="E375"/>
    </row>
    <row r="376" spans="1:65" x14ac:dyDescent="0.25">
      <c r="A376" s="30">
        <v>1.3129715825478407E-3</v>
      </c>
      <c r="B376"/>
      <c r="C376"/>
      <c r="D376"/>
      <c r="E376"/>
    </row>
    <row r="377" spans="1:65" x14ac:dyDescent="0.25">
      <c r="A377" s="30">
        <v>1.2504491262360382E-3</v>
      </c>
      <c r="B377"/>
      <c r="C377"/>
      <c r="D377"/>
      <c r="E377"/>
    </row>
    <row r="378" spans="1:65" x14ac:dyDescent="0.25">
      <c r="A378" s="30">
        <v>1.1909039297486072E-3</v>
      </c>
      <c r="B378"/>
      <c r="C378"/>
      <c r="D378"/>
      <c r="E378"/>
    </row>
    <row r="379" spans="1:65" x14ac:dyDescent="0.25">
      <c r="A379" s="30">
        <v>1.1341942188081969E-3</v>
      </c>
      <c r="B379"/>
      <c r="C379"/>
      <c r="D379"/>
      <c r="E379"/>
    </row>
    <row r="380" spans="1:65" x14ac:dyDescent="0.25">
      <c r="A380" s="30">
        <v>1.0801849702935203E-3</v>
      </c>
      <c r="B380"/>
      <c r="C380"/>
      <c r="D380"/>
      <c r="E380"/>
    </row>
    <row r="381" spans="1:65" x14ac:dyDescent="0.25">
      <c r="A381" s="30">
        <v>1.0287475907557332E-3</v>
      </c>
      <c r="B381"/>
      <c r="C381"/>
      <c r="D381"/>
      <c r="E381"/>
    </row>
    <row r="382" spans="1:65" x14ac:dyDescent="0.25">
      <c r="A382" s="30">
        <v>9.7731021121794646E-4</v>
      </c>
    </row>
    <row r="383" spans="1:65" x14ac:dyDescent="0.25">
      <c r="A383" s="30">
        <v>9.2844470065704904E-4</v>
      </c>
    </row>
    <row r="384" spans="1:6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25" zoomScale="90" zoomScaleNormal="90" workbookViewId="0">
      <pane xSplit="4" topLeftCell="G1" activePane="topRight" state="frozen"/>
      <selection activeCell="A109" sqref="A109"/>
      <selection pane="topRight" activeCell="BF153" sqref="BF15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$A$152</v>
      </c>
      <c r="D111" s="1" t="str">
        <f>ADDRESS(C121-1,D121,1,1)</f>
        <v>$BF$152</v>
      </c>
      <c r="E111"/>
    </row>
    <row r="112" spans="1:5" x14ac:dyDescent="0.25">
      <c r="A112" s="30">
        <v>2.3579476910000019</v>
      </c>
      <c r="C112" s="1" t="str">
        <f>ADDRESS(C121,1,1,1)</f>
        <v>$A$153</v>
      </c>
      <c r="D112" s="1" t="str">
        <f>ADDRESS(C121,D121-1,1,1)</f>
        <v>$BE$153</v>
      </c>
      <c r="E112"/>
    </row>
    <row r="113" spans="1:6" x14ac:dyDescent="0.25">
      <c r="A113" s="30">
        <v>2.1435888100000016</v>
      </c>
      <c r="C113" s="1" t="str">
        <f>ADDRESS(C121+1,1,1,1)</f>
        <v>$A$154</v>
      </c>
      <c r="D113" s="1" t="str">
        <f>ADDRESS(C121-1,D121+1,1,1)</f>
        <v>$BG$152</v>
      </c>
    </row>
    <row r="114" spans="1:6" x14ac:dyDescent="0.25">
      <c r="A114" s="30">
        <v>1.9487171000000014</v>
      </c>
      <c r="C114" s="1" t="str">
        <f>ADDRESS(C121,D121,1,1)</f>
        <v>$BF$153</v>
      </c>
      <c r="D114" s="1" t="str">
        <f>ADDRESS(C121+1,D121+1,1,1)</f>
        <v>$BG$154</v>
      </c>
    </row>
    <row r="115" spans="1:6" x14ac:dyDescent="0.25">
      <c r="A115" s="30">
        <v>1.7715610000000011</v>
      </c>
      <c r="C115" s="1" t="str">
        <f>ADDRESS(C121+1,D121,1,1)</f>
        <v>$BF$154</v>
      </c>
    </row>
    <row r="116" spans="1:6" x14ac:dyDescent="0.25">
      <c r="A116" s="30">
        <v>1.6105100000000008</v>
      </c>
      <c r="C116" s="1">
        <f>C117-1</f>
        <v>152</v>
      </c>
    </row>
    <row r="117" spans="1:6" x14ac:dyDescent="0.25">
      <c r="A117" s="30">
        <v>1.4641000000000006</v>
      </c>
      <c r="C117" s="1">
        <f>C121</f>
        <v>153</v>
      </c>
      <c r="D117" s="1">
        <f>D121</f>
        <v>58</v>
      </c>
    </row>
    <row r="118" spans="1:6" x14ac:dyDescent="0.25">
      <c r="A118" s="30">
        <v>1.3310000000000004</v>
      </c>
      <c r="C118" s="1">
        <f>C117+1</f>
        <v>154</v>
      </c>
      <c r="D118" s="1">
        <f>D117+1</f>
        <v>59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153</v>
      </c>
      <c r="D121" s="19">
        <v>58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R153</v>
      </c>
      <c r="D123" s="1" t="str">
        <f>"C"&amp;D121</f>
        <v>C58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4.7362440744766775E-2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5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56" x14ac:dyDescent="0.25">
      <c r="A130" s="30">
        <v>0.42409761837248428</v>
      </c>
      <c r="C130" s="6"/>
      <c r="D130" s="6"/>
      <c r="E130"/>
      <c r="F130" s="27" t="s">
        <v>7</v>
      </c>
    </row>
    <row r="131" spans="1:56" x14ac:dyDescent="0.25">
      <c r="A131" s="30">
        <v>0.38554328942953109</v>
      </c>
      <c r="E131"/>
      <c r="F131" s="27" t="s">
        <v>7</v>
      </c>
    </row>
    <row r="132" spans="1:56" x14ac:dyDescent="0.25">
      <c r="A132" s="30">
        <v>0.35049389948139187</v>
      </c>
      <c r="C132" s="1" t="s">
        <v>13</v>
      </c>
      <c r="E132"/>
      <c r="F132" s="27" t="s">
        <v>7</v>
      </c>
    </row>
    <row r="133" spans="1:5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56" x14ac:dyDescent="0.25">
      <c r="A134" s="30">
        <v>0.28966437973668741</v>
      </c>
      <c r="C134"/>
      <c r="D134"/>
      <c r="E134"/>
      <c r="F134" s="27" t="s">
        <v>7</v>
      </c>
    </row>
    <row r="135" spans="1:56" x14ac:dyDescent="0.25">
      <c r="A135" s="30">
        <v>0.2633312543060794</v>
      </c>
      <c r="C135" s="1" t="s">
        <v>14</v>
      </c>
      <c r="E135"/>
      <c r="F135" s="27" t="s">
        <v>7</v>
      </c>
      <c r="AM135" s="32" t="s">
        <v>8</v>
      </c>
      <c r="AO135" s="32" t="s">
        <v>8</v>
      </c>
    </row>
    <row r="136" spans="1:5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M136" s="27" t="s">
        <v>8</v>
      </c>
      <c r="AN136" s="27" t="s">
        <v>7</v>
      </c>
      <c r="AO136" s="27" t="s">
        <v>8</v>
      </c>
      <c r="AP136" s="27" t="s">
        <v>7</v>
      </c>
      <c r="AQ136" s="31" t="s">
        <v>8</v>
      </c>
    </row>
    <row r="137" spans="1:56" x14ac:dyDescent="0.25">
      <c r="A137" s="30">
        <v>0.2176291357901482</v>
      </c>
      <c r="E137"/>
      <c r="F137" s="27" t="s">
        <v>7</v>
      </c>
      <c r="AM137" s="27" t="s">
        <v>8</v>
      </c>
      <c r="AN137" s="27" t="s">
        <v>7</v>
      </c>
      <c r="AO137" s="27" t="s">
        <v>8</v>
      </c>
      <c r="AP137" s="27" t="s">
        <v>7</v>
      </c>
      <c r="AQ137" s="27" t="s">
        <v>8</v>
      </c>
      <c r="AR137" s="31" t="s">
        <v>7</v>
      </c>
    </row>
    <row r="138" spans="1:5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M138" s="27" t="s">
        <v>8</v>
      </c>
      <c r="AN138" s="27" t="s">
        <v>7</v>
      </c>
      <c r="AO138" s="27" t="s">
        <v>8</v>
      </c>
      <c r="AP138" s="27" t="s">
        <v>7</v>
      </c>
      <c r="AQ138" s="27" t="s">
        <v>8</v>
      </c>
      <c r="AR138" s="27" t="s">
        <v>7</v>
      </c>
      <c r="AS138" s="31"/>
    </row>
    <row r="139" spans="1:56" x14ac:dyDescent="0.25">
      <c r="A139" s="30">
        <v>0.17985878990921333</v>
      </c>
      <c r="E139"/>
      <c r="F139" s="27" t="s">
        <v>7</v>
      </c>
      <c r="AM139" s="27" t="s">
        <v>8</v>
      </c>
      <c r="AN139" s="27" t="s">
        <v>7</v>
      </c>
      <c r="AP139" s="27" t="s">
        <v>7</v>
      </c>
      <c r="AQ139" s="27" t="s">
        <v>8</v>
      </c>
      <c r="AR139" s="27" t="s">
        <v>7</v>
      </c>
      <c r="AT139" s="31"/>
      <c r="BC139" s="27" t="s">
        <v>8</v>
      </c>
    </row>
    <row r="140" spans="1:56" x14ac:dyDescent="0.25">
      <c r="A140" s="30">
        <v>0.16350799082655756</v>
      </c>
      <c r="C140" s="1">
        <v>0</v>
      </c>
      <c r="E140"/>
      <c r="F140" s="27" t="s">
        <v>7</v>
      </c>
      <c r="AM140" s="27" t="s">
        <v>8</v>
      </c>
      <c r="AP140" s="33" t="s">
        <v>7</v>
      </c>
      <c r="AQ140" s="27" t="s">
        <v>8</v>
      </c>
      <c r="AR140" s="27" t="s">
        <v>7</v>
      </c>
      <c r="AU140" s="31"/>
      <c r="BC140" s="27" t="s">
        <v>8</v>
      </c>
      <c r="BD140" s="27" t="s">
        <v>7</v>
      </c>
    </row>
    <row r="141" spans="1:56" x14ac:dyDescent="0.25">
      <c r="A141" s="30">
        <v>0.14864362802414322</v>
      </c>
      <c r="C141" s="1">
        <v>1</v>
      </c>
      <c r="E141"/>
      <c r="F141" s="27" t="s">
        <v>7</v>
      </c>
      <c r="AM141" s="27" t="s">
        <v>8</v>
      </c>
      <c r="AP141" s="27" t="s">
        <v>7</v>
      </c>
      <c r="AQ141" s="27" t="s">
        <v>8</v>
      </c>
      <c r="AR141" s="27" t="s">
        <v>7</v>
      </c>
      <c r="AV141" s="31"/>
      <c r="AW141" s="34" t="s">
        <v>8</v>
      </c>
      <c r="BA141" s="27" t="s">
        <v>8</v>
      </c>
      <c r="BC141" s="27" t="s">
        <v>8</v>
      </c>
      <c r="BD141" s="27" t="s">
        <v>7</v>
      </c>
    </row>
    <row r="142" spans="1:56" x14ac:dyDescent="0.25">
      <c r="A142" s="30">
        <v>0.13513057093103928</v>
      </c>
      <c r="C142" s="1">
        <v>2</v>
      </c>
      <c r="E142"/>
      <c r="F142" s="27" t="s">
        <v>7</v>
      </c>
      <c r="AM142" s="27" t="s">
        <v>8</v>
      </c>
      <c r="AP142" s="27" t="s">
        <v>7</v>
      </c>
      <c r="AR142" s="27" t="s">
        <v>7</v>
      </c>
      <c r="AS142" s="32" t="s">
        <v>8</v>
      </c>
      <c r="AU142" s="32" t="s">
        <v>8</v>
      </c>
      <c r="AW142" s="31" t="s">
        <v>8</v>
      </c>
      <c r="AX142" s="31" t="s">
        <v>7</v>
      </c>
      <c r="BA142" s="27" t="s">
        <v>8</v>
      </c>
      <c r="BB142" s="27" t="s">
        <v>7</v>
      </c>
      <c r="BC142" s="27" t="s">
        <v>8</v>
      </c>
      <c r="BD142" s="27" t="s">
        <v>7</v>
      </c>
    </row>
    <row r="143" spans="1:56" x14ac:dyDescent="0.25">
      <c r="A143" s="30">
        <v>0.12284597357367205</v>
      </c>
      <c r="C143" s="1">
        <v>3</v>
      </c>
      <c r="E143"/>
      <c r="F143" s="27" t="s">
        <v>7</v>
      </c>
      <c r="AM143" s="27" t="s">
        <v>8</v>
      </c>
      <c r="AR143" s="27" t="s">
        <v>7</v>
      </c>
      <c r="AS143" s="27" t="s">
        <v>8</v>
      </c>
      <c r="AT143" s="27" t="s">
        <v>7</v>
      </c>
      <c r="AU143" s="27" t="s">
        <v>8</v>
      </c>
      <c r="AV143" s="27" t="s">
        <v>7</v>
      </c>
      <c r="AW143" s="27" t="s">
        <v>8</v>
      </c>
      <c r="AX143" s="27" t="s">
        <v>7</v>
      </c>
      <c r="AY143" s="31"/>
      <c r="BA143" s="27" t="s">
        <v>8</v>
      </c>
      <c r="BB143" s="27" t="s">
        <v>7</v>
      </c>
      <c r="BC143" s="27" t="s">
        <v>8</v>
      </c>
      <c r="BD143" s="27" t="s">
        <v>7</v>
      </c>
    </row>
    <row r="144" spans="1:56" x14ac:dyDescent="0.25">
      <c r="A144" s="30">
        <v>0.11167815779424731</v>
      </c>
      <c r="C144" s="1">
        <v>4</v>
      </c>
      <c r="E144"/>
      <c r="F144" s="27" t="s">
        <v>7</v>
      </c>
      <c r="AM144" s="27" t="s">
        <v>8</v>
      </c>
      <c r="AR144" s="27" t="s">
        <v>7</v>
      </c>
      <c r="AS144" s="27" t="s">
        <v>8</v>
      </c>
      <c r="AT144" s="27" t="s">
        <v>7</v>
      </c>
      <c r="AU144" s="27" t="s">
        <v>8</v>
      </c>
      <c r="AV144" s="27" t="s">
        <v>7</v>
      </c>
      <c r="AW144" s="27" t="s">
        <v>8</v>
      </c>
      <c r="AX144" s="27" t="s">
        <v>7</v>
      </c>
      <c r="AZ144" s="31"/>
      <c r="BA144" s="27" t="s">
        <v>8</v>
      </c>
      <c r="BB144" s="27" t="s">
        <v>7</v>
      </c>
      <c r="BC144" s="27" t="s">
        <v>8</v>
      </c>
      <c r="BD144" s="27" t="s">
        <v>7</v>
      </c>
    </row>
    <row r="145" spans="1:58" x14ac:dyDescent="0.25">
      <c r="A145" s="30">
        <v>0.10152559799477026</v>
      </c>
      <c r="B145"/>
      <c r="C145"/>
      <c r="D145"/>
      <c r="E145"/>
      <c r="F145" s="27" t="s">
        <v>7</v>
      </c>
      <c r="AM145" s="27" t="s">
        <v>8</v>
      </c>
      <c r="AR145" s="27" t="s">
        <v>7</v>
      </c>
      <c r="AS145" s="27" t="s">
        <v>8</v>
      </c>
      <c r="AT145" s="27" t="s">
        <v>7</v>
      </c>
      <c r="AU145" s="27" t="s">
        <v>8</v>
      </c>
      <c r="AV145" s="27" t="s">
        <v>7</v>
      </c>
      <c r="AX145" s="27" t="s">
        <v>7</v>
      </c>
      <c r="BA145" s="31" t="s">
        <v>8</v>
      </c>
      <c r="BB145" s="27" t="s">
        <v>7</v>
      </c>
      <c r="BC145" s="27" t="s">
        <v>8</v>
      </c>
      <c r="BD145" s="27" t="s">
        <v>7</v>
      </c>
      <c r="BE145" s="27" t="s">
        <v>8</v>
      </c>
    </row>
    <row r="146" spans="1:58" x14ac:dyDescent="0.25">
      <c r="A146" s="30">
        <v>9.2295998177063854E-2</v>
      </c>
      <c r="B146"/>
      <c r="C146"/>
      <c r="D146"/>
      <c r="E146"/>
      <c r="F146" s="27" t="s">
        <v>7</v>
      </c>
      <c r="AM146" s="27" t="s">
        <v>8</v>
      </c>
      <c r="AR146" s="27" t="s">
        <v>7</v>
      </c>
      <c r="AS146" s="27" t="s">
        <v>8</v>
      </c>
      <c r="AT146" s="27" t="s">
        <v>7</v>
      </c>
      <c r="AU146" s="27" t="s">
        <v>8</v>
      </c>
      <c r="AX146" s="33" t="s">
        <v>7</v>
      </c>
      <c r="AY146" s="32" t="s">
        <v>8</v>
      </c>
      <c r="BA146" s="32" t="s">
        <v>8</v>
      </c>
      <c r="BB146" s="31" t="s">
        <v>7</v>
      </c>
      <c r="BC146" s="27" t="s">
        <v>8</v>
      </c>
      <c r="BD146" s="27" t="s">
        <v>7</v>
      </c>
      <c r="BE146" s="27" t="s">
        <v>8</v>
      </c>
      <c r="BF146" s="27" t="s">
        <v>7</v>
      </c>
    </row>
    <row r="147" spans="1:58" x14ac:dyDescent="0.25">
      <c r="A147" s="30">
        <v>8.3905452888239848E-2</v>
      </c>
      <c r="B147"/>
      <c r="C147"/>
      <c r="D147"/>
      <c r="E147"/>
      <c r="F147" s="27" t="s">
        <v>7</v>
      </c>
      <c r="AM147" s="27" t="s">
        <v>8</v>
      </c>
      <c r="AR147" s="27" t="s">
        <v>7</v>
      </c>
      <c r="AS147" s="27" t="s">
        <v>8</v>
      </c>
      <c r="AT147" s="27" t="s">
        <v>7</v>
      </c>
      <c r="AU147" s="27" t="s">
        <v>8</v>
      </c>
      <c r="AX147" s="27" t="s">
        <v>7</v>
      </c>
      <c r="AY147" s="27" t="s">
        <v>8</v>
      </c>
      <c r="AZ147" s="27" t="s">
        <v>7</v>
      </c>
      <c r="BA147" s="27" t="s">
        <v>8</v>
      </c>
      <c r="BB147" s="27" t="s">
        <v>7</v>
      </c>
      <c r="BC147" s="19"/>
      <c r="BD147" s="31" t="s">
        <v>7</v>
      </c>
      <c r="BE147" s="27" t="s">
        <v>8</v>
      </c>
      <c r="BF147" s="27" t="s">
        <v>7</v>
      </c>
    </row>
    <row r="148" spans="1:58" x14ac:dyDescent="0.25">
      <c r="A148" s="30">
        <v>7.6277684443854396E-2</v>
      </c>
      <c r="B148"/>
      <c r="C148"/>
      <c r="D148"/>
      <c r="E148"/>
      <c r="F148" s="27" t="s">
        <v>7</v>
      </c>
      <c r="AM148" s="27" t="s">
        <v>8</v>
      </c>
      <c r="AR148" s="27" t="s">
        <v>7</v>
      </c>
      <c r="AS148" s="27" t="s">
        <v>8</v>
      </c>
      <c r="AT148" s="27" t="s">
        <v>7</v>
      </c>
      <c r="AU148" s="27" t="s">
        <v>8</v>
      </c>
      <c r="AX148" s="27" t="s">
        <v>7</v>
      </c>
      <c r="AY148" s="27" t="s">
        <v>8</v>
      </c>
      <c r="AZ148" s="27" t="s">
        <v>7</v>
      </c>
      <c r="BA148" s="27" t="s">
        <v>8</v>
      </c>
      <c r="BC148" s="31"/>
      <c r="BD148" s="27" t="s">
        <v>7</v>
      </c>
      <c r="BF148" s="27" t="s">
        <v>7</v>
      </c>
    </row>
    <row r="149" spans="1:58" x14ac:dyDescent="0.25">
      <c r="A149" s="30">
        <v>6.9343349494413078E-2</v>
      </c>
      <c r="B149"/>
      <c r="C149"/>
      <c r="D149"/>
      <c r="E149"/>
      <c r="F149" s="27" t="s">
        <v>7</v>
      </c>
      <c r="AM149" s="27" t="s">
        <v>8</v>
      </c>
      <c r="AR149" s="27" t="s">
        <v>7</v>
      </c>
      <c r="AS149" s="27" t="s">
        <v>8</v>
      </c>
      <c r="AT149" s="27" t="s">
        <v>7</v>
      </c>
      <c r="AX149" s="27" t="s">
        <v>7</v>
      </c>
      <c r="AY149" s="27" t="s">
        <v>8</v>
      </c>
      <c r="AZ149" s="27" t="s">
        <v>7</v>
      </c>
      <c r="BA149" s="27" t="s">
        <v>8</v>
      </c>
      <c r="BB149" s="31"/>
      <c r="BF149" s="27" t="s">
        <v>7</v>
      </c>
    </row>
    <row r="150" spans="1:58" x14ac:dyDescent="0.25">
      <c r="A150" s="30">
        <v>6.3039408631284613E-2</v>
      </c>
      <c r="B150"/>
      <c r="C150"/>
      <c r="D150"/>
      <c r="E150"/>
      <c r="F150" s="27" t="s">
        <v>7</v>
      </c>
      <c r="AM150" s="34" t="s">
        <v>8</v>
      </c>
      <c r="AR150" s="27" t="s">
        <v>7</v>
      </c>
      <c r="AS150" s="27" t="s">
        <v>8</v>
      </c>
      <c r="AX150" s="27" t="s">
        <v>7</v>
      </c>
      <c r="AZ150" s="18" t="s">
        <v>7</v>
      </c>
      <c r="BA150" s="31" t="s">
        <v>8</v>
      </c>
      <c r="BF150" s="27" t="s">
        <v>7</v>
      </c>
    </row>
    <row r="151" spans="1:58" x14ac:dyDescent="0.25">
      <c r="A151" s="30">
        <v>5.7308553301167818E-2</v>
      </c>
      <c r="B151"/>
      <c r="C151"/>
      <c r="D151"/>
      <c r="E151"/>
      <c r="F151" s="27" t="s">
        <v>7</v>
      </c>
      <c r="AI151" s="32" t="s">
        <v>8</v>
      </c>
      <c r="AK151" s="32" t="s">
        <v>8</v>
      </c>
      <c r="AM151" s="27" t="s">
        <v>8</v>
      </c>
      <c r="AR151" s="27" t="s">
        <v>7</v>
      </c>
      <c r="AS151" s="27" t="s">
        <v>8</v>
      </c>
      <c r="AZ151" s="31" t="s">
        <v>7</v>
      </c>
      <c r="BC151" s="31"/>
      <c r="BF151" s="27" t="s">
        <v>7</v>
      </c>
    </row>
    <row r="152" spans="1:58" x14ac:dyDescent="0.25">
      <c r="A152" s="30">
        <v>5.2098684819243464E-2</v>
      </c>
      <c r="B152"/>
      <c r="C152"/>
      <c r="D152"/>
      <c r="E152"/>
      <c r="F152" s="27" t="s">
        <v>7</v>
      </c>
      <c r="AI152" s="27" t="s">
        <v>8</v>
      </c>
      <c r="AJ152" s="27" t="s">
        <v>7</v>
      </c>
      <c r="AK152" s="27" t="s">
        <v>8</v>
      </c>
      <c r="AL152" s="27" t="s">
        <v>7</v>
      </c>
      <c r="AM152" s="27" t="s">
        <v>8</v>
      </c>
      <c r="AR152" s="27" t="s">
        <v>7</v>
      </c>
      <c r="BB152" s="31"/>
      <c r="BF152" s="27" t="s">
        <v>7</v>
      </c>
    </row>
    <row r="153" spans="1:58" x14ac:dyDescent="0.25">
      <c r="A153" s="30">
        <v>4.7362440744766775E-2</v>
      </c>
      <c r="B153"/>
      <c r="C153"/>
      <c r="D153"/>
      <c r="E153"/>
      <c r="F153" s="27" t="s">
        <v>7</v>
      </c>
      <c r="AI153" s="27" t="s">
        <v>8</v>
      </c>
      <c r="AJ153" s="27" t="s">
        <v>7</v>
      </c>
      <c r="AK153" s="27" t="s">
        <v>8</v>
      </c>
      <c r="AL153" s="27" t="s">
        <v>7</v>
      </c>
      <c r="AM153" s="27" t="s">
        <v>8</v>
      </c>
      <c r="BA153" s="31"/>
      <c r="BF153" s="27" t="s">
        <v>7</v>
      </c>
    </row>
    <row r="154" spans="1:58" x14ac:dyDescent="0.25">
      <c r="A154" s="30">
        <v>4.3056764313424332E-2</v>
      </c>
      <c r="B154"/>
      <c r="C154"/>
      <c r="D154"/>
      <c r="E154"/>
      <c r="F154" s="27" t="s">
        <v>7</v>
      </c>
      <c r="AI154" s="27" t="s">
        <v>8</v>
      </c>
      <c r="AJ154" s="27" t="s">
        <v>7</v>
      </c>
      <c r="AL154" s="27" t="s">
        <v>7</v>
      </c>
      <c r="AM154" s="27" t="s">
        <v>8</v>
      </c>
      <c r="AZ154" s="31"/>
    </row>
    <row r="155" spans="1:58" x14ac:dyDescent="0.25">
      <c r="A155" s="30">
        <v>3.9142513012203929E-2</v>
      </c>
      <c r="B155"/>
      <c r="C155"/>
      <c r="D155"/>
      <c r="E155"/>
      <c r="F155" s="27" t="s">
        <v>7</v>
      </c>
      <c r="AI155" s="27" t="s">
        <v>8</v>
      </c>
      <c r="AL155" s="33" t="s">
        <v>7</v>
      </c>
      <c r="AM155" s="27" t="s">
        <v>8</v>
      </c>
      <c r="AY155" s="31"/>
    </row>
    <row r="156" spans="1:58" x14ac:dyDescent="0.25">
      <c r="A156" s="30">
        <v>3.55841027383672E-2</v>
      </c>
      <c r="B156"/>
      <c r="C156"/>
      <c r="D156"/>
      <c r="E156"/>
      <c r="F156" s="27" t="s">
        <v>7</v>
      </c>
      <c r="AI156" s="27" t="s">
        <v>8</v>
      </c>
      <c r="AL156" s="27" t="s">
        <v>7</v>
      </c>
      <c r="AX156" s="31"/>
    </row>
    <row r="157" spans="1:58" x14ac:dyDescent="0.25">
      <c r="A157" s="30">
        <v>3.2349184307606541E-2</v>
      </c>
      <c r="B157"/>
      <c r="C157"/>
      <c r="D157"/>
      <c r="E157"/>
      <c r="F157" s="27" t="s">
        <v>7</v>
      </c>
      <c r="AI157" s="27" t="s">
        <v>8</v>
      </c>
      <c r="AW157" s="31"/>
    </row>
    <row r="158" spans="1:58" x14ac:dyDescent="0.25">
      <c r="A158" s="30">
        <v>2.9408349370551395E-2</v>
      </c>
      <c r="B158"/>
      <c r="C158"/>
      <c r="D158"/>
      <c r="E158"/>
      <c r="F158" s="27" t="s">
        <v>7</v>
      </c>
      <c r="AG158" s="27" t="s">
        <v>8</v>
      </c>
      <c r="AI158" s="27" t="s">
        <v>8</v>
      </c>
      <c r="AV158" s="31"/>
    </row>
    <row r="159" spans="1:58" x14ac:dyDescent="0.25">
      <c r="A159" s="30">
        <v>2.6734863064137627E-2</v>
      </c>
      <c r="B159"/>
      <c r="C159"/>
      <c r="D159"/>
      <c r="E159"/>
      <c r="F159" s="27" t="s">
        <v>7</v>
      </c>
      <c r="AG159" s="27" t="s">
        <v>8</v>
      </c>
      <c r="AH159" s="27" t="s">
        <v>7</v>
      </c>
      <c r="AI159" s="27" t="s">
        <v>8</v>
      </c>
      <c r="AU159" s="31"/>
    </row>
    <row r="160" spans="1:58" x14ac:dyDescent="0.25">
      <c r="A160" s="30">
        <v>2.4304420967397839E-2</v>
      </c>
      <c r="B160"/>
      <c r="C160"/>
      <c r="D160"/>
      <c r="E160"/>
      <c r="F160" s="27" t="s">
        <v>7</v>
      </c>
      <c r="AG160" s="27" t="s">
        <v>8</v>
      </c>
      <c r="AH160" s="27" t="s">
        <v>7</v>
      </c>
      <c r="AI160" s="27" t="s">
        <v>8</v>
      </c>
      <c r="AT160" s="31"/>
    </row>
    <row r="161" spans="1:45" x14ac:dyDescent="0.25">
      <c r="A161" s="30">
        <v>2.2094928152179852E-2</v>
      </c>
      <c r="B161"/>
      <c r="C161"/>
      <c r="D161"/>
      <c r="E161"/>
      <c r="F161" s="27" t="s">
        <v>7</v>
      </c>
      <c r="Y161" s="27" t="s">
        <v>8</v>
      </c>
      <c r="AG161" s="27" t="s">
        <v>8</v>
      </c>
      <c r="AH161" s="27" t="s">
        <v>7</v>
      </c>
      <c r="AI161" s="27" t="s">
        <v>8</v>
      </c>
      <c r="AS161" s="31"/>
    </row>
    <row r="162" spans="1:45" x14ac:dyDescent="0.25">
      <c r="A162" s="30">
        <v>2.0086298320163499E-2</v>
      </c>
      <c r="B162"/>
      <c r="C162"/>
      <c r="D162"/>
      <c r="E162"/>
      <c r="F162" s="27" t="s">
        <v>7</v>
      </c>
      <c r="W162" s="27" t="s">
        <v>8</v>
      </c>
      <c r="Y162" s="27" t="s">
        <v>8</v>
      </c>
      <c r="Z162" s="27" t="s">
        <v>7</v>
      </c>
      <c r="AG162" s="27" t="s">
        <v>8</v>
      </c>
      <c r="AH162" s="27" t="s">
        <v>7</v>
      </c>
      <c r="AR162" s="31"/>
    </row>
    <row r="163" spans="1:45" x14ac:dyDescent="0.25">
      <c r="A163" s="30">
        <v>1.8260271200148632E-2</v>
      </c>
      <c r="B163"/>
      <c r="C163"/>
      <c r="D163"/>
      <c r="E163"/>
      <c r="F163" s="27" t="s">
        <v>7</v>
      </c>
      <c r="W163" s="27" t="s">
        <v>8</v>
      </c>
      <c r="X163" s="27" t="s">
        <v>7</v>
      </c>
      <c r="Y163" s="27" t="s">
        <v>8</v>
      </c>
      <c r="Z163" s="27" t="s">
        <v>7</v>
      </c>
      <c r="AC163" s="32" t="s">
        <v>8</v>
      </c>
      <c r="AE163" s="32" t="s">
        <v>8</v>
      </c>
      <c r="AG163" s="27" t="s">
        <v>8</v>
      </c>
      <c r="AQ163" s="31"/>
    </row>
    <row r="164" spans="1:45" x14ac:dyDescent="0.25">
      <c r="A164" s="30">
        <v>1.6600246545589663E-2</v>
      </c>
      <c r="B164"/>
      <c r="C164"/>
      <c r="D164"/>
      <c r="E164"/>
      <c r="F164" s="27" t="s">
        <v>7</v>
      </c>
      <c r="W164" s="27" t="s">
        <v>8</v>
      </c>
      <c r="X164" s="27" t="s">
        <v>7</v>
      </c>
      <c r="Y164" s="27" t="s">
        <v>8</v>
      </c>
      <c r="Z164" s="27" t="s">
        <v>7</v>
      </c>
      <c r="AC164" s="34" t="s">
        <v>8</v>
      </c>
      <c r="AD164" s="27" t="s">
        <v>7</v>
      </c>
      <c r="AE164" s="27" t="s">
        <v>8</v>
      </c>
      <c r="AF164" s="27" t="s">
        <v>7</v>
      </c>
      <c r="AG164" s="27" t="s">
        <v>8</v>
      </c>
      <c r="AP164" s="31"/>
    </row>
    <row r="165" spans="1:45" x14ac:dyDescent="0.25">
      <c r="A165" s="30">
        <v>1.5091133223263328E-2</v>
      </c>
      <c r="B165"/>
      <c r="C165"/>
      <c r="D165"/>
      <c r="E165"/>
      <c r="F165" s="27" t="s">
        <v>7</v>
      </c>
      <c r="W165" s="27" t="s">
        <v>8</v>
      </c>
      <c r="X165" s="27" t="s">
        <v>7</v>
      </c>
      <c r="Y165" s="27" t="s">
        <v>8</v>
      </c>
      <c r="Z165" s="27" t="s">
        <v>7</v>
      </c>
      <c r="AA165" s="27" t="s">
        <v>8</v>
      </c>
      <c r="AC165" s="27" t="s">
        <v>8</v>
      </c>
      <c r="AD165" s="27" t="s">
        <v>7</v>
      </c>
      <c r="AE165" s="27" t="s">
        <v>8</v>
      </c>
      <c r="AF165" s="27" t="s">
        <v>7</v>
      </c>
      <c r="AG165" s="27" t="s">
        <v>8</v>
      </c>
      <c r="AO165" s="31"/>
    </row>
    <row r="166" spans="1:45" x14ac:dyDescent="0.25">
      <c r="A166" s="30">
        <v>1.3719212021148477E-2</v>
      </c>
      <c r="B166"/>
      <c r="C166"/>
      <c r="D166"/>
      <c r="E166"/>
      <c r="F166" s="27" t="s">
        <v>7</v>
      </c>
      <c r="W166" s="27" t="s">
        <v>8</v>
      </c>
      <c r="X166" s="27" t="s">
        <v>7</v>
      </c>
      <c r="Z166" s="27" t="s">
        <v>7</v>
      </c>
      <c r="AA166" s="27" t="s">
        <v>8</v>
      </c>
      <c r="AB166" s="27" t="s">
        <v>7</v>
      </c>
      <c r="AC166" s="27" t="s">
        <v>8</v>
      </c>
      <c r="AD166" s="27" t="s">
        <v>7</v>
      </c>
      <c r="AE166" s="27" t="s">
        <v>8</v>
      </c>
      <c r="AF166" s="27" t="s">
        <v>7</v>
      </c>
      <c r="AG166" s="27" t="s">
        <v>8</v>
      </c>
      <c r="AN166" s="31"/>
    </row>
    <row r="167" spans="1:45" x14ac:dyDescent="0.25">
      <c r="A167" s="30">
        <v>1.2472010928316795E-2</v>
      </c>
      <c r="B167"/>
      <c r="C167"/>
      <c r="D167"/>
      <c r="E167"/>
      <c r="F167" s="27" t="s">
        <v>7</v>
      </c>
      <c r="W167" s="27" t="s">
        <v>8</v>
      </c>
      <c r="Z167" s="33" t="s">
        <v>7</v>
      </c>
      <c r="AA167" s="27" t="s">
        <v>8</v>
      </c>
      <c r="AB167" s="27" t="s">
        <v>7</v>
      </c>
      <c r="AC167" s="27" t="s">
        <v>8</v>
      </c>
      <c r="AD167" s="32" t="s">
        <v>7</v>
      </c>
      <c r="AF167" s="32" t="s">
        <v>7</v>
      </c>
      <c r="AM167" s="31"/>
    </row>
    <row r="168" spans="1:45" x14ac:dyDescent="0.25">
      <c r="A168" s="30">
        <v>1.1338191753015267E-2</v>
      </c>
      <c r="B168"/>
      <c r="C168"/>
      <c r="D168"/>
      <c r="E168"/>
      <c r="F168" s="27" t="s">
        <v>7</v>
      </c>
      <c r="W168" s="27" t="s">
        <v>8</v>
      </c>
      <c r="Z168" s="27" t="s">
        <v>7</v>
      </c>
      <c r="AB168" s="27" t="s">
        <v>7</v>
      </c>
      <c r="AC168" s="27" t="s">
        <v>8</v>
      </c>
      <c r="AL168" s="31"/>
    </row>
    <row r="169" spans="1:45" x14ac:dyDescent="0.25">
      <c r="A169" s="30">
        <v>1.0307447048195697E-2</v>
      </c>
      <c r="B169"/>
      <c r="C169"/>
      <c r="D169"/>
      <c r="E169"/>
      <c r="F169" s="27" t="s">
        <v>7</v>
      </c>
      <c r="K169" s="27" t="s">
        <v>8</v>
      </c>
      <c r="U169" s="27" t="s">
        <v>8</v>
      </c>
      <c r="W169" s="27" t="s">
        <v>8</v>
      </c>
      <c r="AB169" s="27" t="s">
        <v>7</v>
      </c>
      <c r="AC169" s="27" t="s">
        <v>8</v>
      </c>
      <c r="AK169" s="31"/>
    </row>
    <row r="170" spans="1:45" x14ac:dyDescent="0.25">
      <c r="A170" s="30">
        <v>9.3704064074506318E-3</v>
      </c>
      <c r="B170"/>
      <c r="C170"/>
      <c r="D170"/>
      <c r="E170"/>
      <c r="F170" s="27" t="s">
        <v>7</v>
      </c>
      <c r="K170" s="27" t="s">
        <v>8</v>
      </c>
      <c r="L170" s="27" t="s">
        <v>7</v>
      </c>
      <c r="U170" s="27" t="s">
        <v>8</v>
      </c>
      <c r="V170" s="27" t="s">
        <v>7</v>
      </c>
      <c r="W170" s="27" t="s">
        <v>8</v>
      </c>
      <c r="AB170" s="27" t="s">
        <v>7</v>
      </c>
      <c r="AJ170" s="31"/>
    </row>
    <row r="171" spans="1:45" x14ac:dyDescent="0.25">
      <c r="A171" s="30">
        <v>8.5185512795005747E-3</v>
      </c>
      <c r="F171" s="27" t="s">
        <v>7</v>
      </c>
      <c r="K171" s="27" t="s">
        <v>8</v>
      </c>
      <c r="L171" s="27" t="s">
        <v>7</v>
      </c>
      <c r="U171" s="27" t="s">
        <v>8</v>
      </c>
      <c r="V171" s="27" t="s">
        <v>7</v>
      </c>
      <c r="W171" s="27" t="s">
        <v>8</v>
      </c>
      <c r="AI171" s="31"/>
    </row>
    <row r="172" spans="1:45" x14ac:dyDescent="0.25">
      <c r="A172" s="30">
        <v>7.744137526818704E-3</v>
      </c>
      <c r="F172" s="27" t="s">
        <v>7</v>
      </c>
      <c r="I172" s="27" t="s">
        <v>8</v>
      </c>
      <c r="K172" s="27" t="s">
        <v>8</v>
      </c>
      <c r="L172" s="27" t="s">
        <v>7</v>
      </c>
      <c r="M172" s="32" t="s">
        <v>8</v>
      </c>
      <c r="O172" s="32" t="s">
        <v>8</v>
      </c>
      <c r="Q172" s="32" t="s">
        <v>8</v>
      </c>
      <c r="U172" s="27" t="s">
        <v>8</v>
      </c>
      <c r="V172" s="27" t="s">
        <v>7</v>
      </c>
      <c r="AH172" s="31"/>
    </row>
    <row r="173" spans="1:45" x14ac:dyDescent="0.25">
      <c r="A173" s="30">
        <v>7.0401250243806394E-3</v>
      </c>
      <c r="F173" s="27" t="s">
        <v>7</v>
      </c>
      <c r="I173" s="27" t="s">
        <v>8</v>
      </c>
      <c r="J173" s="27" t="s">
        <v>7</v>
      </c>
      <c r="K173" s="27" t="s">
        <v>8</v>
      </c>
      <c r="L173" s="27" t="s">
        <v>7</v>
      </c>
      <c r="M173" s="27" t="s">
        <v>8</v>
      </c>
      <c r="N173" s="27" t="s">
        <v>7</v>
      </c>
      <c r="O173" s="27" t="s">
        <v>8</v>
      </c>
      <c r="P173" s="27" t="s">
        <v>7</v>
      </c>
      <c r="Q173" s="27" t="s">
        <v>8</v>
      </c>
      <c r="R173" s="27" t="s">
        <v>7</v>
      </c>
      <c r="U173" s="27" t="s">
        <v>8</v>
      </c>
      <c r="AG173" s="31"/>
    </row>
    <row r="174" spans="1:45" x14ac:dyDescent="0.25">
      <c r="A174" s="30">
        <v>6.4001136585278536E-3</v>
      </c>
      <c r="F174" s="27" t="s">
        <v>7</v>
      </c>
      <c r="I174" s="27" t="s">
        <v>8</v>
      </c>
      <c r="J174" s="27" t="s">
        <v>7</v>
      </c>
      <c r="K174" s="27" t="s">
        <v>8</v>
      </c>
      <c r="L174" s="27" t="s">
        <v>7</v>
      </c>
      <c r="M174" s="27" t="s">
        <v>8</v>
      </c>
      <c r="N174" s="27" t="s">
        <v>7</v>
      </c>
      <c r="O174" s="27" t="s">
        <v>8</v>
      </c>
      <c r="P174" s="27" t="s">
        <v>7</v>
      </c>
      <c r="Q174" s="27" t="s">
        <v>8</v>
      </c>
      <c r="R174" s="27" t="s">
        <v>7</v>
      </c>
      <c r="U174" s="27" t="s">
        <v>8</v>
      </c>
      <c r="AF174" s="31"/>
    </row>
    <row r="175" spans="1:45" x14ac:dyDescent="0.25">
      <c r="A175" s="30">
        <v>5.8182851441162305E-3</v>
      </c>
      <c r="F175" s="27" t="s">
        <v>7</v>
      </c>
      <c r="I175" s="27" t="s">
        <v>8</v>
      </c>
      <c r="J175" s="27" t="s">
        <v>7</v>
      </c>
      <c r="L175" s="27" t="s">
        <v>7</v>
      </c>
      <c r="M175" s="27" t="s">
        <v>8</v>
      </c>
      <c r="N175" s="27" t="s">
        <v>7</v>
      </c>
      <c r="O175" s="27" t="s">
        <v>8</v>
      </c>
      <c r="P175" s="27" t="s">
        <v>7</v>
      </c>
      <c r="Q175" s="27" t="s">
        <v>8</v>
      </c>
      <c r="R175" s="27" t="s">
        <v>7</v>
      </c>
      <c r="U175" s="27" t="s">
        <v>8</v>
      </c>
      <c r="AE175" s="31"/>
    </row>
    <row r="176" spans="1:45" x14ac:dyDescent="0.25">
      <c r="A176" s="30">
        <v>5.2893501310147546E-3</v>
      </c>
      <c r="F176" s="27" t="s">
        <v>7</v>
      </c>
      <c r="I176" s="27" t="s">
        <v>8</v>
      </c>
      <c r="L176" s="27" t="s">
        <v>7</v>
      </c>
      <c r="M176" s="27" t="s">
        <v>8</v>
      </c>
      <c r="N176" s="27" t="s">
        <v>7</v>
      </c>
      <c r="O176" s="27" t="s">
        <v>8</v>
      </c>
      <c r="P176" s="27" t="s">
        <v>7</v>
      </c>
      <c r="Q176" s="27" t="s">
        <v>8</v>
      </c>
      <c r="R176" s="27" t="s">
        <v>7</v>
      </c>
      <c r="U176" s="27" t="s">
        <v>8</v>
      </c>
      <c r="AD176" s="31"/>
    </row>
    <row r="177" spans="1:29" x14ac:dyDescent="0.25">
      <c r="A177" s="30">
        <v>4.8085001191043222E-3</v>
      </c>
      <c r="F177" s="27" t="s">
        <v>7</v>
      </c>
      <c r="G177" s="27" t="s">
        <v>8</v>
      </c>
      <c r="I177" s="27" t="s">
        <v>8</v>
      </c>
      <c r="L177" s="27" t="s">
        <v>7</v>
      </c>
      <c r="M177" s="27" t="s">
        <v>8</v>
      </c>
      <c r="N177" s="32" t="s">
        <v>7</v>
      </c>
      <c r="P177" s="32" t="s">
        <v>7</v>
      </c>
      <c r="R177" s="27" t="s">
        <v>7</v>
      </c>
      <c r="U177" s="27" t="s">
        <v>8</v>
      </c>
      <c r="AC177" s="31"/>
    </row>
    <row r="178" spans="1:29" x14ac:dyDescent="0.25">
      <c r="A178" s="30">
        <v>4.3713637446402926E-3</v>
      </c>
      <c r="F178" s="27" t="s">
        <v>7</v>
      </c>
      <c r="G178" s="27" t="s">
        <v>8</v>
      </c>
      <c r="H178" s="27" t="s">
        <v>7</v>
      </c>
      <c r="I178" s="27" t="s">
        <v>8</v>
      </c>
      <c r="L178" s="27" t="s">
        <v>7</v>
      </c>
      <c r="M178" s="27" t="s">
        <v>8</v>
      </c>
      <c r="R178" s="27" t="s">
        <v>7</v>
      </c>
      <c r="U178" s="27" t="s">
        <v>8</v>
      </c>
      <c r="AB178" s="31"/>
    </row>
    <row r="179" spans="1:29" x14ac:dyDescent="0.25">
      <c r="A179" s="30">
        <v>3.9739670405820838E-3</v>
      </c>
      <c r="F179" s="27" t="s">
        <v>7</v>
      </c>
      <c r="G179" s="27" t="s">
        <v>8</v>
      </c>
      <c r="H179" s="27" t="s">
        <v>7</v>
      </c>
      <c r="I179" s="27" t="s">
        <v>8</v>
      </c>
      <c r="L179" s="27" t="s">
        <v>7</v>
      </c>
      <c r="M179" s="27" t="s">
        <v>8</v>
      </c>
      <c r="R179" s="27" t="s">
        <v>7</v>
      </c>
      <c r="U179" s="27" t="s">
        <v>8</v>
      </c>
      <c r="AA179" s="31"/>
    </row>
    <row r="180" spans="1:29" x14ac:dyDescent="0.25">
      <c r="A180" s="30">
        <v>3.6126973096200759E-3</v>
      </c>
      <c r="F180" s="27" t="s">
        <v>7</v>
      </c>
      <c r="G180" s="27" t="s">
        <v>8</v>
      </c>
      <c r="H180" s="27" t="s">
        <v>7</v>
      </c>
      <c r="L180" s="27" t="s">
        <v>7</v>
      </c>
      <c r="M180" s="27" t="s">
        <v>8</v>
      </c>
      <c r="R180" s="27" t="s">
        <v>7</v>
      </c>
      <c r="U180" s="27" t="s">
        <v>8</v>
      </c>
      <c r="Z180" s="31"/>
    </row>
    <row r="181" spans="1:29" x14ac:dyDescent="0.25">
      <c r="A181" s="30">
        <v>3.2842702814727962E-3</v>
      </c>
      <c r="F181" s="27" t="s">
        <v>7</v>
      </c>
      <c r="L181" s="27" t="s">
        <v>7</v>
      </c>
      <c r="M181" s="27" t="s">
        <v>8</v>
      </c>
      <c r="R181" s="27" t="s">
        <v>7</v>
      </c>
      <c r="U181" s="27" t="s">
        <v>8</v>
      </c>
      <c r="Y181" s="31"/>
    </row>
    <row r="182" spans="1:29" x14ac:dyDescent="0.25">
      <c r="A182" s="30">
        <v>2.9857002558843601E-3</v>
      </c>
      <c r="L182" s="27" t="s">
        <v>7</v>
      </c>
      <c r="R182" s="27" t="s">
        <v>7</v>
      </c>
      <c r="U182" s="34" t="s">
        <v>8</v>
      </c>
      <c r="X182" s="31"/>
    </row>
    <row r="183" spans="1:29" x14ac:dyDescent="0.25">
      <c r="A183" s="30">
        <v>2.7142729598948726E-3</v>
      </c>
      <c r="R183" s="27" t="s">
        <v>7</v>
      </c>
      <c r="S183" s="27" t="s">
        <v>8</v>
      </c>
      <c r="U183" s="27" t="s">
        <v>8</v>
      </c>
      <c r="W183" s="31"/>
    </row>
    <row r="184" spans="1:29" x14ac:dyDescent="0.25">
      <c r="A184" s="30">
        <v>2.4675208726317021E-3</v>
      </c>
      <c r="R184" s="27" t="s">
        <v>7</v>
      </c>
      <c r="S184" s="27" t="s">
        <v>8</v>
      </c>
      <c r="T184" s="27" t="s">
        <v>7</v>
      </c>
      <c r="U184" s="27" t="s">
        <v>8</v>
      </c>
      <c r="V184" s="31"/>
    </row>
    <row r="185" spans="1:29" x14ac:dyDescent="0.25">
      <c r="A185" s="30">
        <v>2.2432007933015472E-3</v>
      </c>
      <c r="R185" s="27" t="s">
        <v>7</v>
      </c>
      <c r="S185" s="27" t="s">
        <v>8</v>
      </c>
      <c r="T185" s="27" t="s">
        <v>7</v>
      </c>
      <c r="U185" s="31" t="s">
        <v>8</v>
      </c>
    </row>
    <row r="186" spans="1:29" x14ac:dyDescent="0.25">
      <c r="A186" s="30">
        <v>2.0392734484559519E-3</v>
      </c>
      <c r="R186" s="27" t="s">
        <v>7</v>
      </c>
      <c r="S186" s="27" t="s">
        <v>8</v>
      </c>
      <c r="T186" s="31" t="s">
        <v>7</v>
      </c>
    </row>
    <row r="187" spans="1:29" x14ac:dyDescent="0.25">
      <c r="A187" s="30">
        <v>1.8538849531417744E-3</v>
      </c>
      <c r="R187" s="27" t="s">
        <v>7</v>
      </c>
      <c r="S187" s="31" t="s">
        <v>8</v>
      </c>
    </row>
    <row r="188" spans="1:29" x14ac:dyDescent="0.25">
      <c r="A188" s="30">
        <v>1.6853499574016129E-3</v>
      </c>
      <c r="R188" s="31" t="s">
        <v>7</v>
      </c>
    </row>
    <row r="189" spans="1:29" x14ac:dyDescent="0.25">
      <c r="A189" s="30">
        <v>1.5321363249105571E-3</v>
      </c>
    </row>
    <row r="190" spans="1:29" x14ac:dyDescent="0.25">
      <c r="A190" s="30">
        <v>1.3928512044641427E-3</v>
      </c>
    </row>
    <row r="191" spans="1:29" x14ac:dyDescent="0.25">
      <c r="A191" s="30">
        <v>1.2662283676946752E-3</v>
      </c>
    </row>
    <row r="192" spans="1:29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F3" sqref="F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5.6212299933817669E-2</v>
      </c>
      <c r="F3" s="30">
        <v>7.9096350995354961E-2</v>
      </c>
      <c r="G3" s="30">
        <v>0.14204568230027562</v>
      </c>
      <c r="H3" s="25">
        <f>IF(G3="","",(3*(G3-F3))+E3)</f>
        <v>0.24506029384857964</v>
      </c>
      <c r="I3" s="7"/>
      <c r="J3" s="7">
        <f>(E3+G3)/2</f>
        <v>9.912899111704665E-2</v>
      </c>
      <c r="K3" s="7">
        <f>H3/2</f>
        <v>0.12253014692428982</v>
      </c>
      <c r="M3" s="26">
        <f>IF(OR(J3="",H3=""),"",H3/J3)</f>
        <v>2.4721354579229446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2022-01-28T01:22:46Z</dcterms:modified>
</cp:coreProperties>
</file>