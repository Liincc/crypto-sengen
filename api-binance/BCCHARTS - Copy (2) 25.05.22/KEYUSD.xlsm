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A864032-3914-4A2B-90B4-7F4929BCF6F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89" i="1"/>
  <c r="Q889" i="1" s="1"/>
  <c r="R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89" i="1"/>
  <c r="T88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C136" i="4" s="1"/>
  <c r="C116" i="4"/>
  <c r="C118" i="4"/>
  <c r="R888" i="1"/>
  <c r="S888" i="1" s="1"/>
  <c r="T888" i="1" s="1"/>
  <c r="C136" i="5"/>
  <c r="D136" i="5"/>
  <c r="C118" i="3"/>
  <c r="C122" i="3"/>
  <c r="C133" i="3" s="1"/>
  <c r="C136" i="3" s="1"/>
  <c r="R887" i="1"/>
  <c r="D136" i="4" l="1"/>
  <c r="C138" i="4" s="1"/>
  <c r="C138" i="5"/>
  <c r="D136" i="3"/>
  <c r="C138" i="3" s="1"/>
  <c r="R886" i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<sst xmlns="http://schemas.openxmlformats.org/spreadsheetml/2006/main" count="10775" uniqueCount="34">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</sst>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6.0600000000000003E-3</c:v>
                </c:pt>
                <c:pt idx="1">
                  <c:v>6.2069999999999998E-3</c:v>
                </c:pt>
                <c:pt idx="2">
                  <c:v>6.3109999999999998E-3</c:v>
                </c:pt>
                <c:pt idx="3">
                  <c:v>6.3090000000000004E-3</c:v>
                </c:pt>
                <c:pt idx="4">
                  <c:v>6.9649999999999998E-3</c:v>
                </c:pt>
                <c:pt idx="5">
                  <c:v>6.4900000000000001E-3</c:v>
                </c:pt>
                <c:pt idx="6">
                  <c:v>7.5069999999999998E-3</c:v>
                </c:pt>
                <c:pt idx="7">
                  <c:v>9.3299999999999998E-3</c:v>
                </c:pt>
                <c:pt idx="8">
                  <c:v>9.8589999999999997E-3</c:v>
                </c:pt>
                <c:pt idx="9">
                  <c:v>1.0199E-2</c:v>
                </c:pt>
                <c:pt idx="10">
                  <c:v>1.0130999999999999E-2</c:v>
                </c:pt>
                <c:pt idx="11">
                  <c:v>1.0484E-2</c:v>
                </c:pt>
                <c:pt idx="12">
                  <c:v>1.0642E-2</c:v>
                </c:pt>
                <c:pt idx="13">
                  <c:v>1.038E-2</c:v>
                </c:pt>
                <c:pt idx="14">
                  <c:v>1.0318000000000001E-2</c:v>
                </c:pt>
                <c:pt idx="15">
                  <c:v>1.0904E-2</c:v>
                </c:pt>
                <c:pt idx="16">
                  <c:v>1.0434000000000001E-2</c:v>
                </c:pt>
                <c:pt idx="17">
                  <c:v>1.0071E-2</c:v>
                </c:pt>
                <c:pt idx="18">
                  <c:v>1.061E-2</c:v>
                </c:pt>
                <c:pt idx="19">
                  <c:v>1.0409E-2</c:v>
                </c:pt>
                <c:pt idx="20">
                  <c:v>1.0682000000000001E-2</c:v>
                </c:pt>
                <c:pt idx="21">
                  <c:v>1.1606999999999999E-2</c:v>
                </c:pt>
                <c:pt idx="22">
                  <c:v>1.1818E-2</c:v>
                </c:pt>
                <c:pt idx="23">
                  <c:v>1.2324E-2</c:v>
                </c:pt>
                <c:pt idx="24">
                  <c:v>1.2441000000000001E-2</c:v>
                </c:pt>
                <c:pt idx="25">
                  <c:v>1.2777E-2</c:v>
                </c:pt>
                <c:pt idx="26">
                  <c:v>1.3237000000000001E-2</c:v>
                </c:pt>
                <c:pt idx="27">
                  <c:v>1.2926999999999999E-2</c:v>
                </c:pt>
                <c:pt idx="28">
                  <c:v>1.2428E-2</c:v>
                </c:pt>
                <c:pt idx="29">
                  <c:v>1.2003E-2</c:v>
                </c:pt>
                <c:pt idx="30">
                  <c:v>1.1974E-2</c:v>
                </c:pt>
                <c:pt idx="31">
                  <c:v>1.3112E-2</c:v>
                </c:pt>
                <c:pt idx="32">
                  <c:v>1.2434000000000001E-2</c:v>
                </c:pt>
                <c:pt idx="33">
                  <c:v>1.2423E-2</c:v>
                </c:pt>
                <c:pt idx="34">
                  <c:v>1.2351000000000001E-2</c:v>
                </c:pt>
                <c:pt idx="35">
                  <c:v>1.2455000000000001E-2</c:v>
                </c:pt>
                <c:pt idx="36">
                  <c:v>1.2085E-2</c:v>
                </c:pt>
                <c:pt idx="37">
                  <c:v>1.2069E-2</c:v>
                </c:pt>
                <c:pt idx="38">
                  <c:v>1.1697000000000001E-2</c:v>
                </c:pt>
                <c:pt idx="39">
                  <c:v>1.2253999999999999E-2</c:v>
                </c:pt>
                <c:pt idx="40">
                  <c:v>1.2017999999999999E-2</c:v>
                </c:pt>
                <c:pt idx="41">
                  <c:v>1.1957000000000001E-2</c:v>
                </c:pt>
                <c:pt idx="42">
                  <c:v>1.2222E-2</c:v>
                </c:pt>
                <c:pt idx="43">
                  <c:v>1.2919999999999999E-2</c:v>
                </c:pt>
                <c:pt idx="44">
                  <c:v>1.3117E-2</c:v>
                </c:pt>
                <c:pt idx="45">
                  <c:v>1.1155E-2</c:v>
                </c:pt>
                <c:pt idx="46">
                  <c:v>1.2906000000000001E-2</c:v>
                </c:pt>
                <c:pt idx="47">
                  <c:v>1.2638999999999999E-2</c:v>
                </c:pt>
                <c:pt idx="48">
                  <c:v>1.2711E-2</c:v>
                </c:pt>
                <c:pt idx="49">
                  <c:v>1.2886E-2</c:v>
                </c:pt>
                <c:pt idx="50">
                  <c:v>1.371E-2</c:v>
                </c:pt>
                <c:pt idx="51">
                  <c:v>1.3421000000000001E-2</c:v>
                </c:pt>
                <c:pt idx="52">
                  <c:v>1.3840999999999999E-2</c:v>
                </c:pt>
                <c:pt idx="53">
                  <c:v>1.4156E-2</c:v>
                </c:pt>
                <c:pt idx="54">
                  <c:v>1.4788000000000001E-2</c:v>
                </c:pt>
                <c:pt idx="55">
                  <c:v>1.5409000000000001E-2</c:v>
                </c:pt>
                <c:pt idx="56">
                  <c:v>1.7347999999999999E-2</c:v>
                </c:pt>
                <c:pt idx="57">
                  <c:v>1.4721E-2</c:v>
                </c:pt>
                <c:pt idx="58">
                  <c:v>1.4326E-2</c:v>
                </c:pt>
                <c:pt idx="59">
                  <c:v>1.5269E-2</c:v>
                </c:pt>
                <c:pt idx="60">
                  <c:v>1.5620999999999999E-2</c:v>
                </c:pt>
                <c:pt idx="61">
                  <c:v>1.5678000000000001E-2</c:v>
                </c:pt>
                <c:pt idx="62">
                  <c:v>1.4906000000000001E-2</c:v>
                </c:pt>
                <c:pt idx="63">
                  <c:v>1.6420000000000001E-2</c:v>
                </c:pt>
                <c:pt idx="64">
                  <c:v>1.8148000000000001E-2</c:v>
                </c:pt>
                <c:pt idx="65">
                  <c:v>1.5904000000000001E-2</c:v>
                </c:pt>
                <c:pt idx="66">
                  <c:v>1.4309000000000001E-2</c:v>
                </c:pt>
                <c:pt idx="67">
                  <c:v>1.5886000000000001E-2</c:v>
                </c:pt>
                <c:pt idx="68">
                  <c:v>2.2536E-2</c:v>
                </c:pt>
                <c:pt idx="69">
                  <c:v>1.1011E-2</c:v>
                </c:pt>
                <c:pt idx="70">
                  <c:v>1.0168E-2</c:v>
                </c:pt>
                <c:pt idx="71">
                  <c:v>1.1275E-2</c:v>
                </c:pt>
                <c:pt idx="72">
                  <c:v>1.0925000000000001E-2</c:v>
                </c:pt>
                <c:pt idx="73">
                  <c:v>1.1762999999999999E-2</c:v>
                </c:pt>
                <c:pt idx="74">
                  <c:v>1.1815000000000001E-2</c:v>
                </c:pt>
                <c:pt idx="75">
                  <c:v>1.1906E-2</c:v>
                </c:pt>
                <c:pt idx="76">
                  <c:v>1.1735000000000001E-2</c:v>
                </c:pt>
                <c:pt idx="77">
                  <c:v>1.2064999999999999E-2</c:v>
                </c:pt>
                <c:pt idx="78">
                  <c:v>1.176E-2</c:v>
                </c:pt>
                <c:pt idx="79">
                  <c:v>1.2756999999999999E-2</c:v>
                </c:pt>
                <c:pt idx="80">
                  <c:v>1.2607999999999999E-2</c:v>
                </c:pt>
                <c:pt idx="81">
                  <c:v>1.2290000000000001E-2</c:v>
                </c:pt>
                <c:pt idx="82">
                  <c:v>1.2224E-2</c:v>
                </c:pt>
                <c:pt idx="83">
                  <c:v>1.2411E-2</c:v>
                </c:pt>
                <c:pt idx="84">
                  <c:v>1.1676000000000001E-2</c:v>
                </c:pt>
                <c:pt idx="85">
                  <c:v>1.1809999999999999E-2</c:v>
                </c:pt>
                <c:pt idx="86">
                  <c:v>1.2201E-2</c:v>
                </c:pt>
                <c:pt idx="87">
                  <c:v>1.2161999999999999E-2</c:v>
                </c:pt>
                <c:pt idx="88">
                  <c:v>1.2231000000000001E-2</c:v>
                </c:pt>
                <c:pt idx="89">
                  <c:v>1.0853E-2</c:v>
                </c:pt>
                <c:pt idx="90">
                  <c:v>1.1139E-2</c:v>
                </c:pt>
                <c:pt idx="91">
                  <c:v>1.0468E-2</c:v>
                </c:pt>
                <c:pt idx="92">
                  <c:v>1.0292000000000001E-2</c:v>
                </c:pt>
                <c:pt idx="93">
                  <c:v>1.1795999999999999E-2</c:v>
                </c:pt>
                <c:pt idx="94">
                  <c:v>1.252E-2</c:v>
                </c:pt>
                <c:pt idx="95">
                  <c:v>1.1762999999999999E-2</c:v>
                </c:pt>
                <c:pt idx="96">
                  <c:v>1.2511E-2</c:v>
                </c:pt>
                <c:pt idx="97">
                  <c:v>1.257E-2</c:v>
                </c:pt>
                <c:pt idx="98">
                  <c:v>1.3204E-2</c:v>
                </c:pt>
                <c:pt idx="99">
                  <c:v>1.414E-2</c:v>
                </c:pt>
                <c:pt idx="100">
                  <c:v>1.1324000000000001E-2</c:v>
                </c:pt>
                <c:pt idx="101">
                  <c:v>1.1089E-2</c:v>
                </c:pt>
                <c:pt idx="102">
                  <c:v>1.0385E-2</c:v>
                </c:pt>
                <c:pt idx="103">
                  <c:v>9.3279999999999995E-3</c:v>
                </c:pt>
                <c:pt idx="104">
                  <c:v>9.8469999999999999E-3</c:v>
                </c:pt>
                <c:pt idx="105">
                  <c:v>9.0629999999999999E-3</c:v>
                </c:pt>
                <c:pt idx="106">
                  <c:v>9.025E-3</c:v>
                </c:pt>
                <c:pt idx="107">
                  <c:v>9.0229999999999998E-3</c:v>
                </c:pt>
                <c:pt idx="108">
                  <c:v>9.0559999999999998E-3</c:v>
                </c:pt>
                <c:pt idx="109">
                  <c:v>8.7410000000000005E-3</c:v>
                </c:pt>
                <c:pt idx="110">
                  <c:v>9.4509999999999993E-3</c:v>
                </c:pt>
                <c:pt idx="111">
                  <c:v>8.4499999999999992E-3</c:v>
                </c:pt>
                <c:pt idx="112">
                  <c:v>8.3119999999999999E-3</c:v>
                </c:pt>
                <c:pt idx="113">
                  <c:v>8.3680000000000004E-3</c:v>
                </c:pt>
                <c:pt idx="114">
                  <c:v>8.4550000000000007E-3</c:v>
                </c:pt>
                <c:pt idx="115">
                  <c:v>8.0169999999999998E-3</c:v>
                </c:pt>
                <c:pt idx="116">
                  <c:v>8.1110000000000002E-3</c:v>
                </c:pt>
                <c:pt idx="117">
                  <c:v>8.0909999999999992E-3</c:v>
                </c:pt>
                <c:pt idx="118">
                  <c:v>7.9000000000000008E-3</c:v>
                </c:pt>
                <c:pt idx="119">
                  <c:v>7.3860000000000002E-3</c:v>
                </c:pt>
                <c:pt idx="120">
                  <c:v>7.1469999999999997E-3</c:v>
                </c:pt>
                <c:pt idx="121">
                  <c:v>7.0590000000000002E-3</c:v>
                </c:pt>
                <c:pt idx="122">
                  <c:v>7.7000000000000002E-3</c:v>
                </c:pt>
                <c:pt idx="123">
                  <c:v>8.2129999999999998E-3</c:v>
                </c:pt>
                <c:pt idx="124">
                  <c:v>7.5380000000000004E-3</c:v>
                </c:pt>
                <c:pt idx="125">
                  <c:v>7.7929999999999996E-3</c:v>
                </c:pt>
                <c:pt idx="126">
                  <c:v>8.7869999999999997E-3</c:v>
                </c:pt>
                <c:pt idx="127">
                  <c:v>8.3929999999999994E-3</c:v>
                </c:pt>
                <c:pt idx="128">
                  <c:v>7.6629999999999997E-3</c:v>
                </c:pt>
                <c:pt idx="129">
                  <c:v>9.2460000000000007E-3</c:v>
                </c:pt>
                <c:pt idx="130">
                  <c:v>1.0271000000000001E-2</c:v>
                </c:pt>
                <c:pt idx="131">
                  <c:v>8.7639999999999992E-3</c:v>
                </c:pt>
                <c:pt idx="132">
                  <c:v>8.4270000000000005E-3</c:v>
                </c:pt>
                <c:pt idx="133">
                  <c:v>8.7679999999999998E-3</c:v>
                </c:pt>
                <c:pt idx="134">
                  <c:v>9.0869999999999996E-3</c:v>
                </c:pt>
                <c:pt idx="135">
                  <c:v>8.855E-3</c:v>
                </c:pt>
                <c:pt idx="136">
                  <c:v>8.1010000000000006E-3</c:v>
                </c:pt>
                <c:pt idx="137">
                  <c:v>8.6730000000000002E-3</c:v>
                </c:pt>
                <c:pt idx="138">
                  <c:v>8.3239999999999998E-3</c:v>
                </c:pt>
                <c:pt idx="139">
                  <c:v>8.1119999999999994E-3</c:v>
                </c:pt>
                <c:pt idx="140">
                  <c:v>8.5019999999999991E-3</c:v>
                </c:pt>
                <c:pt idx="141">
                  <c:v>8.7790000000000003E-3</c:v>
                </c:pt>
                <c:pt idx="142">
                  <c:v>8.4480000000000006E-3</c:v>
                </c:pt>
                <c:pt idx="143">
                  <c:v>1.0501999999999999E-2</c:v>
                </c:pt>
                <c:pt idx="144">
                  <c:v>1.1143999999999999E-2</c:v>
                </c:pt>
                <c:pt idx="145">
                  <c:v>1.0453E-2</c:v>
                </c:pt>
                <c:pt idx="146">
                  <c:v>1.0696000000000001E-2</c:v>
                </c:pt>
                <c:pt idx="147">
                  <c:v>1.0070000000000001E-2</c:v>
                </c:pt>
                <c:pt idx="148">
                  <c:v>1.0102999999999999E-2</c:v>
                </c:pt>
                <c:pt idx="149">
                  <c:v>9.7929999999999996E-3</c:v>
                </c:pt>
                <c:pt idx="150">
                  <c:v>1.0278000000000001E-2</c:v>
                </c:pt>
                <c:pt idx="151">
                  <c:v>9.5350000000000001E-3</c:v>
                </c:pt>
                <c:pt idx="152">
                  <c:v>9.5479999999999992E-3</c:v>
                </c:pt>
                <c:pt idx="153">
                  <c:v>9.9109999999999997E-3</c:v>
                </c:pt>
                <c:pt idx="154">
                  <c:v>9.1999999999999998E-3</c:v>
                </c:pt>
                <c:pt idx="155">
                  <c:v>1.0034E-2</c:v>
                </c:pt>
                <c:pt idx="156">
                  <c:v>9.7280000000000005E-3</c:v>
                </c:pt>
                <c:pt idx="157">
                  <c:v>1.0671E-2</c:v>
                </c:pt>
                <c:pt idx="158">
                  <c:v>1.0359999999999999E-2</c:v>
                </c:pt>
                <c:pt idx="159">
                  <c:v>9.9109999999999997E-3</c:v>
                </c:pt>
                <c:pt idx="160">
                  <c:v>1.0120000000000001E-2</c:v>
                </c:pt>
                <c:pt idx="161">
                  <c:v>9.9319999999999999E-3</c:v>
                </c:pt>
                <c:pt idx="162">
                  <c:v>9.162E-3</c:v>
                </c:pt>
                <c:pt idx="163">
                  <c:v>9.1090000000000008E-3</c:v>
                </c:pt>
                <c:pt idx="164">
                  <c:v>9.9260000000000008E-3</c:v>
                </c:pt>
                <c:pt idx="165">
                  <c:v>1.0152E-2</c:v>
                </c:pt>
                <c:pt idx="166">
                  <c:v>1.0045999999999999E-2</c:v>
                </c:pt>
                <c:pt idx="167">
                  <c:v>1.0500000000000001E-2</c:v>
                </c:pt>
                <c:pt idx="168">
                  <c:v>9.2370000000000004E-3</c:v>
                </c:pt>
                <c:pt idx="169">
                  <c:v>9.8200000000000006E-3</c:v>
                </c:pt>
                <c:pt idx="170">
                  <c:v>8.8350000000000008E-3</c:v>
                </c:pt>
                <c:pt idx="171">
                  <c:v>8.848E-3</c:v>
                </c:pt>
                <c:pt idx="172">
                  <c:v>7.6759999999999997E-3</c:v>
                </c:pt>
                <c:pt idx="173">
                  <c:v>8.3149999999999995E-3</c:v>
                </c:pt>
                <c:pt idx="174">
                  <c:v>8.1720000000000004E-3</c:v>
                </c:pt>
                <c:pt idx="175">
                  <c:v>7.3619999999999996E-3</c:v>
                </c:pt>
                <c:pt idx="176">
                  <c:v>7.0419999999999996E-3</c:v>
                </c:pt>
                <c:pt idx="177">
                  <c:v>6.8370000000000002E-3</c:v>
                </c:pt>
                <c:pt idx="178">
                  <c:v>6.9979999999999999E-3</c:v>
                </c:pt>
                <c:pt idx="179">
                  <c:v>6.8910000000000004E-3</c:v>
                </c:pt>
                <c:pt idx="180">
                  <c:v>7.3000000000000001E-3</c:v>
                </c:pt>
                <c:pt idx="181">
                  <c:v>6.9839999999999998E-3</c:v>
                </c:pt>
                <c:pt idx="182">
                  <c:v>6.8230000000000001E-3</c:v>
                </c:pt>
                <c:pt idx="183">
                  <c:v>6.6140000000000001E-3</c:v>
                </c:pt>
                <c:pt idx="184">
                  <c:v>6.8770000000000003E-3</c:v>
                </c:pt>
                <c:pt idx="185">
                  <c:v>6.7000000000000002E-3</c:v>
                </c:pt>
                <c:pt idx="186">
                  <c:v>6.8389999999999996E-3</c:v>
                </c:pt>
                <c:pt idx="187">
                  <c:v>7.3150000000000003E-3</c:v>
                </c:pt>
                <c:pt idx="188">
                  <c:v>6.3080000000000002E-3</c:v>
                </c:pt>
                <c:pt idx="189">
                  <c:v>6.0980000000000001E-3</c:v>
                </c:pt>
                <c:pt idx="190">
                  <c:v>6.045E-3</c:v>
                </c:pt>
                <c:pt idx="191">
                  <c:v>5.4970000000000001E-3</c:v>
                </c:pt>
                <c:pt idx="192">
                  <c:v>6.3400000000000001E-3</c:v>
                </c:pt>
                <c:pt idx="193">
                  <c:v>6.3350000000000004E-3</c:v>
                </c:pt>
                <c:pt idx="194">
                  <c:v>6.522E-3</c:v>
                </c:pt>
                <c:pt idx="195">
                  <c:v>6.5440000000000003E-3</c:v>
                </c:pt>
                <c:pt idx="196">
                  <c:v>6.8890000000000002E-3</c:v>
                </c:pt>
                <c:pt idx="197">
                  <c:v>7.2500000000000004E-3</c:v>
                </c:pt>
                <c:pt idx="198">
                  <c:v>7.1349999999999998E-3</c:v>
                </c:pt>
                <c:pt idx="199">
                  <c:v>7.3359999999999996E-3</c:v>
                </c:pt>
                <c:pt idx="200">
                  <c:v>7.6010000000000001E-3</c:v>
                </c:pt>
                <c:pt idx="201">
                  <c:v>7.2049999999999996E-3</c:v>
                </c:pt>
                <c:pt idx="202">
                  <c:v>7.3749999999999996E-3</c:v>
                </c:pt>
                <c:pt idx="203">
                  <c:v>7.2420000000000002E-3</c:v>
                </c:pt>
                <c:pt idx="204">
                  <c:v>7.7660000000000003E-3</c:v>
                </c:pt>
                <c:pt idx="205">
                  <c:v>7.6439999999999998E-3</c:v>
                </c:pt>
                <c:pt idx="206">
                  <c:v>7.5209999999999999E-3</c:v>
                </c:pt>
                <c:pt idx="207">
                  <c:v>7.6800000000000002E-3</c:v>
                </c:pt>
                <c:pt idx="208">
                  <c:v>7.7010000000000004E-3</c:v>
                </c:pt>
                <c:pt idx="209">
                  <c:v>7.7149999999999996E-3</c:v>
                </c:pt>
                <c:pt idx="210">
                  <c:v>7.3039999999999997E-3</c:v>
                </c:pt>
                <c:pt idx="211">
                  <c:v>7.6660000000000001E-3</c:v>
                </c:pt>
                <c:pt idx="212">
                  <c:v>8.0579999999999992E-3</c:v>
                </c:pt>
                <c:pt idx="213">
                  <c:v>7.528E-3</c:v>
                </c:pt>
                <c:pt idx="214">
                  <c:v>7.541E-3</c:v>
                </c:pt>
                <c:pt idx="215">
                  <c:v>7.404E-3</c:v>
                </c:pt>
                <c:pt idx="216">
                  <c:v>7.1409999999999998E-3</c:v>
                </c:pt>
                <c:pt idx="217">
                  <c:v>8.0850000000000002E-3</c:v>
                </c:pt>
                <c:pt idx="218">
                  <c:v>8.2710000000000006E-3</c:v>
                </c:pt>
                <c:pt idx="219">
                  <c:v>7.4079999999999997E-3</c:v>
                </c:pt>
                <c:pt idx="220">
                  <c:v>7.5789999999999998E-3</c:v>
                </c:pt>
                <c:pt idx="221">
                  <c:v>9.6629999999999997E-3</c:v>
                </c:pt>
                <c:pt idx="222">
                  <c:v>9.8910000000000005E-3</c:v>
                </c:pt>
                <c:pt idx="223">
                  <c:v>1.0519000000000001E-2</c:v>
                </c:pt>
                <c:pt idx="224">
                  <c:v>1.0064E-2</c:v>
                </c:pt>
                <c:pt idx="225">
                  <c:v>1.0037000000000001E-2</c:v>
                </c:pt>
                <c:pt idx="226">
                  <c:v>1.1202E-2</c:v>
                </c:pt>
                <c:pt idx="227">
                  <c:v>1.1098999999999999E-2</c:v>
                </c:pt>
                <c:pt idx="228">
                  <c:v>1.1209999999999999E-2</c:v>
                </c:pt>
                <c:pt idx="229">
                  <c:v>8.5489999999999993E-3</c:v>
                </c:pt>
                <c:pt idx="230">
                  <c:v>8.8129999999999997E-3</c:v>
                </c:pt>
                <c:pt idx="231">
                  <c:v>1.0056000000000001E-2</c:v>
                </c:pt>
                <c:pt idx="232">
                  <c:v>1.2397E-2</c:v>
                </c:pt>
                <c:pt idx="233">
                  <c:v>1.2127000000000001E-2</c:v>
                </c:pt>
                <c:pt idx="234">
                  <c:v>8.4320000000000003E-3</c:v>
                </c:pt>
                <c:pt idx="235">
                  <c:v>9.4339999999999997E-3</c:v>
                </c:pt>
                <c:pt idx="236">
                  <c:v>8.1880000000000008E-3</c:v>
                </c:pt>
                <c:pt idx="237">
                  <c:v>8.0909999999999992E-3</c:v>
                </c:pt>
                <c:pt idx="238">
                  <c:v>8.4989999999999996E-3</c:v>
                </c:pt>
                <c:pt idx="239">
                  <c:v>8.3280000000000003E-3</c:v>
                </c:pt>
                <c:pt idx="240">
                  <c:v>8.0000000000000002E-3</c:v>
                </c:pt>
                <c:pt idx="241">
                  <c:v>8.6300000000000005E-3</c:v>
                </c:pt>
                <c:pt idx="242">
                  <c:v>7.7510000000000001E-3</c:v>
                </c:pt>
                <c:pt idx="243">
                  <c:v>7.3920000000000001E-3</c:v>
                </c:pt>
                <c:pt idx="244">
                  <c:v>7.8619999999999992E-3</c:v>
                </c:pt>
                <c:pt idx="245">
                  <c:v>9.9839999999999998E-3</c:v>
                </c:pt>
                <c:pt idx="246">
                  <c:v>9.4450000000000003E-3</c:v>
                </c:pt>
                <c:pt idx="247">
                  <c:v>8.574E-3</c:v>
                </c:pt>
                <c:pt idx="248">
                  <c:v>8.0160000000000006E-3</c:v>
                </c:pt>
                <c:pt idx="249">
                  <c:v>6.6959999999999997E-3</c:v>
                </c:pt>
                <c:pt idx="250">
                  <c:v>8.855E-3</c:v>
                </c:pt>
                <c:pt idx="251">
                  <c:v>8.0090000000000005E-3</c:v>
                </c:pt>
                <c:pt idx="252">
                  <c:v>9.0360000000000006E-3</c:v>
                </c:pt>
                <c:pt idx="253">
                  <c:v>7.5950000000000002E-3</c:v>
                </c:pt>
                <c:pt idx="254">
                  <c:v>1.2156E-2</c:v>
                </c:pt>
                <c:pt idx="255">
                  <c:v>1.1958E-2</c:v>
                </c:pt>
                <c:pt idx="256">
                  <c:v>1.29E-2</c:v>
                </c:pt>
                <c:pt idx="257">
                  <c:v>1.3013E-2</c:v>
                </c:pt>
                <c:pt idx="258">
                  <c:v>1.4404E-2</c:v>
                </c:pt>
                <c:pt idx="259">
                  <c:v>1.4664E-2</c:v>
                </c:pt>
                <c:pt idx="260">
                  <c:v>1.2586999999999999E-2</c:v>
                </c:pt>
                <c:pt idx="261">
                  <c:v>1.5506000000000001E-2</c:v>
                </c:pt>
                <c:pt idx="262">
                  <c:v>1.4355E-2</c:v>
                </c:pt>
                <c:pt idx="263">
                  <c:v>1.6299999999999999E-2</c:v>
                </c:pt>
                <c:pt idx="264">
                  <c:v>1.7142000000000001E-2</c:v>
                </c:pt>
                <c:pt idx="265">
                  <c:v>1.7114999999999998E-2</c:v>
                </c:pt>
                <c:pt idx="266">
                  <c:v>1.6837999999999999E-2</c:v>
                </c:pt>
                <c:pt idx="267">
                  <c:v>1.8131999999999999E-2</c:v>
                </c:pt>
                <c:pt idx="268">
                  <c:v>1.6573000000000001E-2</c:v>
                </c:pt>
                <c:pt idx="269">
                  <c:v>1.9115E-2</c:v>
                </c:pt>
                <c:pt idx="270">
                  <c:v>1.9612000000000001E-2</c:v>
                </c:pt>
                <c:pt idx="271">
                  <c:v>2.0514999999999999E-2</c:v>
                </c:pt>
                <c:pt idx="272">
                  <c:v>1.8096999999999999E-2</c:v>
                </c:pt>
                <c:pt idx="273">
                  <c:v>1.7100000000000001E-2</c:v>
                </c:pt>
                <c:pt idx="274">
                  <c:v>1.7441999999999999E-2</c:v>
                </c:pt>
                <c:pt idx="275">
                  <c:v>1.7099E-2</c:v>
                </c:pt>
                <c:pt idx="276">
                  <c:v>1.489E-2</c:v>
                </c:pt>
                <c:pt idx="277">
                  <c:v>1.2584E-2</c:v>
                </c:pt>
                <c:pt idx="278">
                  <c:v>1.1977E-2</c:v>
                </c:pt>
                <c:pt idx="279">
                  <c:v>1.3252999999999999E-2</c:v>
                </c:pt>
                <c:pt idx="280">
                  <c:v>1.3998999999999999E-2</c:v>
                </c:pt>
                <c:pt idx="281">
                  <c:v>1.5886999999999998E-2</c:v>
                </c:pt>
                <c:pt idx="282">
                  <c:v>1.6778999999999999E-2</c:v>
                </c:pt>
                <c:pt idx="283">
                  <c:v>1.5540999999999999E-2</c:v>
                </c:pt>
                <c:pt idx="284">
                  <c:v>1.8168E-2</c:v>
                </c:pt>
                <c:pt idx="285">
                  <c:v>2.0709000000000002E-2</c:v>
                </c:pt>
                <c:pt idx="286">
                  <c:v>2.0133000000000002E-2</c:v>
                </c:pt>
                <c:pt idx="287">
                  <c:v>2.1767999999999999E-2</c:v>
                </c:pt>
                <c:pt idx="288">
                  <c:v>2.1291000000000001E-2</c:v>
                </c:pt>
                <c:pt idx="289">
                  <c:v>2.2106000000000001E-2</c:v>
                </c:pt>
                <c:pt idx="290">
                  <c:v>2.1780000000000001E-2</c:v>
                </c:pt>
                <c:pt idx="291">
                  <c:v>2.3754999999999998E-2</c:v>
                </c:pt>
                <c:pt idx="292">
                  <c:v>2.3104E-2</c:v>
                </c:pt>
                <c:pt idx="293">
                  <c:v>2.3599999999999999E-2</c:v>
                </c:pt>
                <c:pt idx="294">
                  <c:v>2.4867E-2</c:v>
                </c:pt>
                <c:pt idx="295">
                  <c:v>2.1398E-2</c:v>
                </c:pt>
                <c:pt idx="296">
                  <c:v>2.4334999999999999E-2</c:v>
                </c:pt>
                <c:pt idx="297">
                  <c:v>2.6436999999999999E-2</c:v>
                </c:pt>
                <c:pt idx="298">
                  <c:v>2.7002000000000002E-2</c:v>
                </c:pt>
                <c:pt idx="299">
                  <c:v>2.6381000000000002E-2</c:v>
                </c:pt>
                <c:pt idx="300">
                  <c:v>2.1947000000000001E-2</c:v>
                </c:pt>
                <c:pt idx="301">
                  <c:v>2.1180000000000001E-2</c:v>
                </c:pt>
                <c:pt idx="302">
                  <c:v>2.162E-2</c:v>
                </c:pt>
                <c:pt idx="303">
                  <c:v>2.2287000000000001E-2</c:v>
                </c:pt>
                <c:pt idx="304">
                  <c:v>2.2563E-2</c:v>
                </c:pt>
                <c:pt idx="305">
                  <c:v>2.1493999999999999E-2</c:v>
                </c:pt>
                <c:pt idx="306">
                  <c:v>2.2429000000000001E-2</c:v>
                </c:pt>
                <c:pt idx="307">
                  <c:v>2.1849E-2</c:v>
                </c:pt>
                <c:pt idx="308">
                  <c:v>1.9462E-2</c:v>
                </c:pt>
                <c:pt idx="309">
                  <c:v>2.0910999999999999E-2</c:v>
                </c:pt>
                <c:pt idx="310">
                  <c:v>2.3050999999999999E-2</c:v>
                </c:pt>
                <c:pt idx="311">
                  <c:v>2.4740999999999999E-2</c:v>
                </c:pt>
                <c:pt idx="312">
                  <c:v>2.4007000000000001E-2</c:v>
                </c:pt>
                <c:pt idx="313">
                  <c:v>2.3269999999999999E-2</c:v>
                </c:pt>
                <c:pt idx="314">
                  <c:v>1.9202E-2</c:v>
                </c:pt>
                <c:pt idx="315">
                  <c:v>1.4962E-2</c:v>
                </c:pt>
                <c:pt idx="316">
                  <c:v>1.5845000000000001E-2</c:v>
                </c:pt>
                <c:pt idx="317">
                  <c:v>1.6101000000000001E-2</c:v>
                </c:pt>
                <c:pt idx="318">
                  <c:v>1.7333000000000001E-2</c:v>
                </c:pt>
                <c:pt idx="319">
                  <c:v>1.6268999999999999E-2</c:v>
                </c:pt>
                <c:pt idx="320">
                  <c:v>1.4916E-2</c:v>
                </c:pt>
                <c:pt idx="321">
                  <c:v>1.0944000000000001E-2</c:v>
                </c:pt>
                <c:pt idx="322">
                  <c:v>9.0830000000000008E-3</c:v>
                </c:pt>
                <c:pt idx="323">
                  <c:v>9.1520000000000004E-3</c:v>
                </c:pt>
                <c:pt idx="324">
                  <c:v>8.6499999999999997E-3</c:v>
                </c:pt>
                <c:pt idx="325">
                  <c:v>7.5510000000000004E-3</c:v>
                </c:pt>
                <c:pt idx="326">
                  <c:v>7.6930000000000002E-3</c:v>
                </c:pt>
                <c:pt idx="327">
                  <c:v>7.4139999999999996E-3</c:v>
                </c:pt>
                <c:pt idx="328">
                  <c:v>7.7429999999999999E-3</c:v>
                </c:pt>
                <c:pt idx="329">
                  <c:v>7.0439999999999999E-3</c:v>
                </c:pt>
                <c:pt idx="330">
                  <c:v>7.9920000000000008E-3</c:v>
                </c:pt>
                <c:pt idx="331">
                  <c:v>7.3369999999999998E-3</c:v>
                </c:pt>
                <c:pt idx="332">
                  <c:v>7.9609999999999993E-3</c:v>
                </c:pt>
                <c:pt idx="333">
                  <c:v>7.1809999999999999E-3</c:v>
                </c:pt>
                <c:pt idx="334">
                  <c:v>8.4840000000000002E-3</c:v>
                </c:pt>
                <c:pt idx="335">
                  <c:v>8.1930000000000006E-3</c:v>
                </c:pt>
                <c:pt idx="336">
                  <c:v>8.8199999999999997E-3</c:v>
                </c:pt>
                <c:pt idx="337">
                  <c:v>9.7999999999999997E-3</c:v>
                </c:pt>
                <c:pt idx="338">
                  <c:v>9.6780000000000008E-3</c:v>
                </c:pt>
                <c:pt idx="339">
                  <c:v>1.2609E-2</c:v>
                </c:pt>
                <c:pt idx="340">
                  <c:v>1.2218E-2</c:v>
                </c:pt>
                <c:pt idx="341">
                  <c:v>9.7999999999999997E-3</c:v>
                </c:pt>
                <c:pt idx="342">
                  <c:v>8.1010000000000006E-3</c:v>
                </c:pt>
                <c:pt idx="343">
                  <c:v>8.6189999999999999E-3</c:v>
                </c:pt>
                <c:pt idx="344">
                  <c:v>6.3610000000000003E-3</c:v>
                </c:pt>
                <c:pt idx="345">
                  <c:v>5.4809999999999998E-3</c:v>
                </c:pt>
                <c:pt idx="346">
                  <c:v>5.5510000000000004E-3</c:v>
                </c:pt>
                <c:pt idx="347">
                  <c:v>5.9589999999999999E-3</c:v>
                </c:pt>
                <c:pt idx="348">
                  <c:v>6.4999999999999997E-3</c:v>
                </c:pt>
                <c:pt idx="349">
                  <c:v>6.0569999999999999E-3</c:v>
                </c:pt>
                <c:pt idx="350">
                  <c:v>6.2899999999999996E-3</c:v>
                </c:pt>
                <c:pt idx="351">
                  <c:v>5.0679999999999996E-3</c:v>
                </c:pt>
                <c:pt idx="352">
                  <c:v>5.2729999999999999E-3</c:v>
                </c:pt>
                <c:pt idx="353">
                  <c:v>4.6959999999999997E-3</c:v>
                </c:pt>
                <c:pt idx="354">
                  <c:v>4.163E-3</c:v>
                </c:pt>
                <c:pt idx="355">
                  <c:v>4.2500000000000003E-3</c:v>
                </c:pt>
                <c:pt idx="356">
                  <c:v>4.6600000000000001E-3</c:v>
                </c:pt>
                <c:pt idx="357">
                  <c:v>4.4739999999999997E-3</c:v>
                </c:pt>
                <c:pt idx="358">
                  <c:v>4.9020000000000001E-3</c:v>
                </c:pt>
                <c:pt idx="359">
                  <c:v>3.9680000000000002E-3</c:v>
                </c:pt>
                <c:pt idx="360">
                  <c:v>3.166E-3</c:v>
                </c:pt>
                <c:pt idx="361">
                  <c:v>2.8890000000000001E-3</c:v>
                </c:pt>
                <c:pt idx="362">
                  <c:v>3.0200000000000001E-3</c:v>
                </c:pt>
                <c:pt idx="363">
                  <c:v>3.0829999999999998E-3</c:v>
                </c:pt>
                <c:pt idx="364">
                  <c:v>2.8449999999999999E-3</c:v>
                </c:pt>
                <c:pt idx="365">
                  <c:v>2.4320000000000001E-3</c:v>
                </c:pt>
                <c:pt idx="366">
                  <c:v>2.7160000000000001E-3</c:v>
                </c:pt>
                <c:pt idx="367">
                  <c:v>2.565E-3</c:v>
                </c:pt>
                <c:pt idx="368">
                  <c:v>2.539E-3</c:v>
                </c:pt>
                <c:pt idx="369">
                  <c:v>2.4610000000000001E-3</c:v>
                </c:pt>
                <c:pt idx="370">
                  <c:v>2.405E-3</c:v>
                </c:pt>
                <c:pt idx="371">
                  <c:v>2.3600000000000001E-3</c:v>
                </c:pt>
                <c:pt idx="372">
                  <c:v>2.6380000000000002E-3</c:v>
                </c:pt>
                <c:pt idx="373">
                  <c:v>2.6559999999999999E-3</c:v>
                </c:pt>
                <c:pt idx="374">
                  <c:v>2.6480000000000002E-3</c:v>
                </c:pt>
                <c:pt idx="375">
                  <c:v>2.4420000000000002E-3</c:v>
                </c:pt>
                <c:pt idx="376">
                  <c:v>2.5490000000000001E-3</c:v>
                </c:pt>
                <c:pt idx="377">
                  <c:v>2.2780000000000001E-3</c:v>
                </c:pt>
                <c:pt idx="378">
                  <c:v>2.294E-3</c:v>
                </c:pt>
                <c:pt idx="379">
                  <c:v>2.31E-3</c:v>
                </c:pt>
                <c:pt idx="380">
                  <c:v>2.1020000000000001E-3</c:v>
                </c:pt>
                <c:pt idx="381">
                  <c:v>2.2190000000000001E-3</c:v>
                </c:pt>
                <c:pt idx="382">
                  <c:v>2.5690000000000001E-3</c:v>
                </c:pt>
                <c:pt idx="383">
                  <c:v>2.611E-3</c:v>
                </c:pt>
                <c:pt idx="384">
                  <c:v>2.3249999999999998E-3</c:v>
                </c:pt>
                <c:pt idx="385">
                  <c:v>2.2989999999999998E-3</c:v>
                </c:pt>
                <c:pt idx="386">
                  <c:v>2.137E-3</c:v>
                </c:pt>
                <c:pt idx="387">
                  <c:v>2.0890000000000001E-3</c:v>
                </c:pt>
                <c:pt idx="388">
                  <c:v>2.0209999999999998E-3</c:v>
                </c:pt>
                <c:pt idx="389">
                  <c:v>2.0769999999999999E-3</c:v>
                </c:pt>
                <c:pt idx="390">
                  <c:v>2.006E-3</c:v>
                </c:pt>
                <c:pt idx="391">
                  <c:v>2.0990000000000002E-3</c:v>
                </c:pt>
                <c:pt idx="392">
                  <c:v>1.946E-3</c:v>
                </c:pt>
                <c:pt idx="393">
                  <c:v>1.939E-3</c:v>
                </c:pt>
                <c:pt idx="394">
                  <c:v>1.9980000000000002E-3</c:v>
                </c:pt>
                <c:pt idx="395">
                  <c:v>2.1310000000000001E-3</c:v>
                </c:pt>
                <c:pt idx="396">
                  <c:v>1.9759999999999999E-3</c:v>
                </c:pt>
                <c:pt idx="397">
                  <c:v>1.892E-3</c:v>
                </c:pt>
                <c:pt idx="398">
                  <c:v>1.9870000000000001E-3</c:v>
                </c:pt>
                <c:pt idx="399">
                  <c:v>1.98E-3</c:v>
                </c:pt>
                <c:pt idx="400">
                  <c:v>1.787E-3</c:v>
                </c:pt>
                <c:pt idx="401">
                  <c:v>2.2409999999999999E-3</c:v>
                </c:pt>
                <c:pt idx="402">
                  <c:v>2.2409999999999999E-3</c:v>
                </c:pt>
                <c:pt idx="403">
                  <c:v>2.421E-3</c:v>
                </c:pt>
                <c:pt idx="404">
                  <c:v>2.3289999999999999E-3</c:v>
                </c:pt>
                <c:pt idx="405">
                  <c:v>2.3110000000000001E-3</c:v>
                </c:pt>
                <c:pt idx="406">
                  <c:v>2.3219999999999998E-3</c:v>
                </c:pt>
                <c:pt idx="407">
                  <c:v>2.3319999999999999E-3</c:v>
                </c:pt>
                <c:pt idx="408">
                  <c:v>2.3089999999999999E-3</c:v>
                </c:pt>
                <c:pt idx="409">
                  <c:v>2.3349999999999998E-3</c:v>
                </c:pt>
                <c:pt idx="410">
                  <c:v>2.379E-3</c:v>
                </c:pt>
                <c:pt idx="411">
                  <c:v>2.2650000000000001E-3</c:v>
                </c:pt>
                <c:pt idx="412">
                  <c:v>2.1510000000000001E-3</c:v>
                </c:pt>
                <c:pt idx="413">
                  <c:v>2.307E-3</c:v>
                </c:pt>
                <c:pt idx="414">
                  <c:v>2.4199999999999998E-3</c:v>
                </c:pt>
                <c:pt idx="415">
                  <c:v>2.3999999999999998E-3</c:v>
                </c:pt>
                <c:pt idx="416">
                  <c:v>2.552E-3</c:v>
                </c:pt>
                <c:pt idx="417">
                  <c:v>2.562E-3</c:v>
                </c:pt>
                <c:pt idx="418">
                  <c:v>2.65E-3</c:v>
                </c:pt>
                <c:pt idx="419">
                  <c:v>2.5569999999999998E-3</c:v>
                </c:pt>
                <c:pt idx="420">
                  <c:v>2.5720000000000001E-3</c:v>
                </c:pt>
                <c:pt idx="421">
                  <c:v>2.5490000000000001E-3</c:v>
                </c:pt>
                <c:pt idx="422">
                  <c:v>2.4510000000000001E-3</c:v>
                </c:pt>
                <c:pt idx="423">
                  <c:v>2.5999999999999999E-3</c:v>
                </c:pt>
                <c:pt idx="424">
                  <c:v>2.5010000000000002E-3</c:v>
                </c:pt>
                <c:pt idx="425">
                  <c:v>2.5400000000000002E-3</c:v>
                </c:pt>
                <c:pt idx="426">
                  <c:v>2.552E-3</c:v>
                </c:pt>
                <c:pt idx="427">
                  <c:v>2.5149999999999999E-3</c:v>
                </c:pt>
                <c:pt idx="428">
                  <c:v>2.882E-3</c:v>
                </c:pt>
                <c:pt idx="429">
                  <c:v>3.101E-3</c:v>
                </c:pt>
                <c:pt idx="430">
                  <c:v>2.7030000000000001E-3</c:v>
                </c:pt>
                <c:pt idx="431">
                  <c:v>2.5699999999999998E-3</c:v>
                </c:pt>
                <c:pt idx="432">
                  <c:v>2.8110000000000001E-3</c:v>
                </c:pt>
                <c:pt idx="433">
                  <c:v>2.4320000000000001E-3</c:v>
                </c:pt>
                <c:pt idx="434">
                  <c:v>2.3930000000000002E-3</c:v>
                </c:pt>
                <c:pt idx="435">
                  <c:v>2.4819999999999998E-3</c:v>
                </c:pt>
                <c:pt idx="436">
                  <c:v>2.3760000000000001E-3</c:v>
                </c:pt>
                <c:pt idx="437">
                  <c:v>2.369E-3</c:v>
                </c:pt>
                <c:pt idx="438">
                  <c:v>2.3800000000000002E-3</c:v>
                </c:pt>
                <c:pt idx="439">
                  <c:v>2.3679999999999999E-3</c:v>
                </c:pt>
                <c:pt idx="440">
                  <c:v>2.431E-3</c:v>
                </c:pt>
                <c:pt idx="441">
                  <c:v>2.359E-3</c:v>
                </c:pt>
                <c:pt idx="442">
                  <c:v>2.3999999999999998E-3</c:v>
                </c:pt>
                <c:pt idx="443">
                  <c:v>2.5699999999999998E-3</c:v>
                </c:pt>
                <c:pt idx="444">
                  <c:v>2.3E-3</c:v>
                </c:pt>
                <c:pt idx="445">
                  <c:v>2.3089999999999999E-3</c:v>
                </c:pt>
                <c:pt idx="446">
                  <c:v>2.2390000000000001E-3</c:v>
                </c:pt>
                <c:pt idx="447">
                  <c:v>2.3530000000000001E-3</c:v>
                </c:pt>
                <c:pt idx="448">
                  <c:v>2.147E-3</c:v>
                </c:pt>
                <c:pt idx="449">
                  <c:v>2.1090000000000002E-3</c:v>
                </c:pt>
                <c:pt idx="450">
                  <c:v>2.2300000000000002E-3</c:v>
                </c:pt>
                <c:pt idx="451">
                  <c:v>2.2899999999999999E-3</c:v>
                </c:pt>
                <c:pt idx="452">
                  <c:v>2.2439999999999999E-3</c:v>
                </c:pt>
                <c:pt idx="453">
                  <c:v>2.2160000000000001E-3</c:v>
                </c:pt>
                <c:pt idx="454">
                  <c:v>2.245E-3</c:v>
                </c:pt>
                <c:pt idx="455">
                  <c:v>2.3050000000000002E-3</c:v>
                </c:pt>
                <c:pt idx="456">
                  <c:v>2.2859999999999998E-3</c:v>
                </c:pt>
                <c:pt idx="457">
                  <c:v>2.3540000000000002E-3</c:v>
                </c:pt>
                <c:pt idx="458">
                  <c:v>2.238E-3</c:v>
                </c:pt>
                <c:pt idx="459">
                  <c:v>2.3479999999999998E-3</c:v>
                </c:pt>
                <c:pt idx="460">
                  <c:v>2.4420000000000002E-3</c:v>
                </c:pt>
                <c:pt idx="461">
                  <c:v>2.7910000000000001E-3</c:v>
                </c:pt>
                <c:pt idx="462">
                  <c:v>2.2169999999999998E-3</c:v>
                </c:pt>
                <c:pt idx="463">
                  <c:v>2.4060000000000002E-3</c:v>
                </c:pt>
                <c:pt idx="464">
                  <c:v>3.0439999999999998E-3</c:v>
                </c:pt>
                <c:pt idx="465">
                  <c:v>2.5119999999999999E-3</c:v>
                </c:pt>
                <c:pt idx="466">
                  <c:v>1.7750000000000001E-3</c:v>
                </c:pt>
                <c:pt idx="467">
                  <c:v>1.792E-3</c:v>
                </c:pt>
                <c:pt idx="468">
                  <c:v>1.7650000000000001E-3</c:v>
                </c:pt>
                <c:pt idx="469">
                  <c:v>1.8E-3</c:v>
                </c:pt>
                <c:pt idx="470">
                  <c:v>1.8270000000000001E-3</c:v>
                </c:pt>
                <c:pt idx="471">
                  <c:v>1.931E-3</c:v>
                </c:pt>
                <c:pt idx="472">
                  <c:v>1.9910000000000001E-3</c:v>
                </c:pt>
                <c:pt idx="473">
                  <c:v>2.0179999999999998E-3</c:v>
                </c:pt>
                <c:pt idx="474">
                  <c:v>1.967E-3</c:v>
                </c:pt>
                <c:pt idx="475">
                  <c:v>1.9629999999999999E-3</c:v>
                </c:pt>
                <c:pt idx="476">
                  <c:v>1.797E-3</c:v>
                </c:pt>
                <c:pt idx="477">
                  <c:v>1.7260000000000001E-3</c:v>
                </c:pt>
                <c:pt idx="478">
                  <c:v>1.663E-3</c:v>
                </c:pt>
                <c:pt idx="479">
                  <c:v>1.879E-3</c:v>
                </c:pt>
                <c:pt idx="480">
                  <c:v>1.9109999999999999E-3</c:v>
                </c:pt>
                <c:pt idx="481">
                  <c:v>1.964E-3</c:v>
                </c:pt>
                <c:pt idx="482">
                  <c:v>2.0669999999999998E-3</c:v>
                </c:pt>
                <c:pt idx="483">
                  <c:v>2.2200000000000002E-3</c:v>
                </c:pt>
                <c:pt idx="484">
                  <c:v>2.4320000000000001E-3</c:v>
                </c:pt>
                <c:pt idx="485">
                  <c:v>2.4650000000000002E-3</c:v>
                </c:pt>
                <c:pt idx="486">
                  <c:v>2.3900000000000002E-3</c:v>
                </c:pt>
                <c:pt idx="487">
                  <c:v>2.3579999999999999E-3</c:v>
                </c:pt>
                <c:pt idx="488">
                  <c:v>2.4840000000000001E-3</c:v>
                </c:pt>
                <c:pt idx="489">
                  <c:v>2.4190000000000001E-3</c:v>
                </c:pt>
                <c:pt idx="490">
                  <c:v>2.48E-3</c:v>
                </c:pt>
                <c:pt idx="491">
                  <c:v>2.2659999999999998E-3</c:v>
                </c:pt>
                <c:pt idx="492">
                  <c:v>2.588E-3</c:v>
                </c:pt>
                <c:pt idx="493">
                  <c:v>2.5479999999999999E-3</c:v>
                </c:pt>
                <c:pt idx="494">
                  <c:v>2.8570000000000002E-3</c:v>
                </c:pt>
                <c:pt idx="495">
                  <c:v>2.8249999999999998E-3</c:v>
                </c:pt>
                <c:pt idx="496">
                  <c:v>2.8839999999999998E-3</c:v>
                </c:pt>
                <c:pt idx="497">
                  <c:v>3.1900000000000001E-3</c:v>
                </c:pt>
                <c:pt idx="498">
                  <c:v>2.9689999999999999E-3</c:v>
                </c:pt>
                <c:pt idx="499">
                  <c:v>3.0569999999999998E-3</c:v>
                </c:pt>
                <c:pt idx="500">
                  <c:v>3.3210000000000002E-3</c:v>
                </c:pt>
                <c:pt idx="501">
                  <c:v>2.6080000000000001E-3</c:v>
                </c:pt>
                <c:pt idx="502">
                  <c:v>2.9390000000000002E-3</c:v>
                </c:pt>
                <c:pt idx="503">
                  <c:v>3.0829999999999998E-3</c:v>
                </c:pt>
                <c:pt idx="504">
                  <c:v>2.9849999999999998E-3</c:v>
                </c:pt>
                <c:pt idx="505">
                  <c:v>3.019E-3</c:v>
                </c:pt>
                <c:pt idx="506">
                  <c:v>2.9239999999999999E-3</c:v>
                </c:pt>
                <c:pt idx="507">
                  <c:v>3.1830000000000001E-3</c:v>
                </c:pt>
                <c:pt idx="508">
                  <c:v>3.2590000000000002E-3</c:v>
                </c:pt>
                <c:pt idx="509">
                  <c:v>2.3760000000000001E-3</c:v>
                </c:pt>
                <c:pt idx="510">
                  <c:v>2.9250000000000001E-3</c:v>
                </c:pt>
                <c:pt idx="511">
                  <c:v>3.2629999999999998E-3</c:v>
                </c:pt>
                <c:pt idx="512">
                  <c:v>4.2579999999999996E-3</c:v>
                </c:pt>
                <c:pt idx="513">
                  <c:v>3.5950000000000001E-3</c:v>
                </c:pt>
                <c:pt idx="514">
                  <c:v>4.2659999999999998E-3</c:v>
                </c:pt>
                <c:pt idx="515">
                  <c:v>4.5859999999999998E-3</c:v>
                </c:pt>
                <c:pt idx="516">
                  <c:v>4.7569999999999999E-3</c:v>
                </c:pt>
                <c:pt idx="517">
                  <c:v>5.8520000000000004E-3</c:v>
                </c:pt>
                <c:pt idx="518">
                  <c:v>5.47E-3</c:v>
                </c:pt>
                <c:pt idx="519">
                  <c:v>6.3749999999999996E-3</c:v>
                </c:pt>
                <c:pt idx="520">
                  <c:v>2.82E-3</c:v>
                </c:pt>
                <c:pt idx="521">
                  <c:v>1.954E-3</c:v>
                </c:pt>
                <c:pt idx="522">
                  <c:v>1.7780000000000001E-3</c:v>
                </c:pt>
                <c:pt idx="523">
                  <c:v>1.8209999999999999E-3</c:v>
                </c:pt>
                <c:pt idx="524">
                  <c:v>1.825E-3</c:v>
                </c:pt>
                <c:pt idx="525">
                  <c:v>1.939E-3</c:v>
                </c:pt>
                <c:pt idx="526">
                  <c:v>1.823E-3</c:v>
                </c:pt>
                <c:pt idx="527">
                  <c:v>2.0460000000000001E-3</c:v>
                </c:pt>
                <c:pt idx="528">
                  <c:v>2.0690000000000001E-3</c:v>
                </c:pt>
                <c:pt idx="529">
                  <c:v>2.0230000000000001E-3</c:v>
                </c:pt>
                <c:pt idx="530">
                  <c:v>2.0960000000000002E-3</c:v>
                </c:pt>
                <c:pt idx="531">
                  <c:v>2.1719999999999999E-3</c:v>
                </c:pt>
                <c:pt idx="532">
                  <c:v>2.1489999999999999E-3</c:v>
                </c:pt>
                <c:pt idx="533">
                  <c:v>1.9819999999999998E-3</c:v>
                </c:pt>
                <c:pt idx="534">
                  <c:v>1.7910000000000001E-3</c:v>
                </c:pt>
                <c:pt idx="535">
                  <c:v>1.9959999999999999E-3</c:v>
                </c:pt>
                <c:pt idx="536">
                  <c:v>1.8550000000000001E-3</c:v>
                </c:pt>
                <c:pt idx="537">
                  <c:v>1.8489999999999999E-3</c:v>
                </c:pt>
                <c:pt idx="538">
                  <c:v>1.761E-3</c:v>
                </c:pt>
                <c:pt idx="539">
                  <c:v>1.5809999999999999E-3</c:v>
                </c:pt>
                <c:pt idx="540">
                  <c:v>1.4450000000000001E-3</c:v>
                </c:pt>
                <c:pt idx="541">
                  <c:v>1.4289999999999999E-3</c:v>
                </c:pt>
                <c:pt idx="542">
                  <c:v>1.4090000000000001E-3</c:v>
                </c:pt>
                <c:pt idx="543">
                  <c:v>1.315E-3</c:v>
                </c:pt>
                <c:pt idx="544">
                  <c:v>1.4159999999999999E-3</c:v>
                </c:pt>
                <c:pt idx="545">
                  <c:v>1.4059999999999999E-3</c:v>
                </c:pt>
                <c:pt idx="546">
                  <c:v>1.4779999999999999E-3</c:v>
                </c:pt>
                <c:pt idx="547">
                  <c:v>1.4419999999999999E-3</c:v>
                </c:pt>
                <c:pt idx="548">
                  <c:v>1.4940000000000001E-3</c:v>
                </c:pt>
                <c:pt idx="549">
                  <c:v>1.4250000000000001E-3</c:v>
                </c:pt>
                <c:pt idx="550">
                  <c:v>1.586E-3</c:v>
                </c:pt>
                <c:pt idx="551">
                  <c:v>1.634E-3</c:v>
                </c:pt>
                <c:pt idx="552">
                  <c:v>1.632E-3</c:v>
                </c:pt>
                <c:pt idx="553">
                  <c:v>1.6800000000000001E-3</c:v>
                </c:pt>
                <c:pt idx="554">
                  <c:v>1.7110000000000001E-3</c:v>
                </c:pt>
                <c:pt idx="555">
                  <c:v>1.601E-3</c:v>
                </c:pt>
                <c:pt idx="556">
                  <c:v>1.668E-3</c:v>
                </c:pt>
                <c:pt idx="557">
                  <c:v>1.779E-3</c:v>
                </c:pt>
                <c:pt idx="558">
                  <c:v>1.3309999999999999E-3</c:v>
                </c:pt>
                <c:pt idx="559">
                  <c:v>1.312E-3</c:v>
                </c:pt>
                <c:pt idx="560">
                  <c:v>1.369E-3</c:v>
                </c:pt>
                <c:pt idx="561">
                  <c:v>1.389E-3</c:v>
                </c:pt>
                <c:pt idx="562">
                  <c:v>1.1360000000000001E-3</c:v>
                </c:pt>
                <c:pt idx="563">
                  <c:v>1.127E-3</c:v>
                </c:pt>
                <c:pt idx="564">
                  <c:v>1.16E-3</c:v>
                </c:pt>
                <c:pt idx="565">
                  <c:v>1.15E-3</c:v>
                </c:pt>
                <c:pt idx="566">
                  <c:v>1.1310000000000001E-3</c:v>
                </c:pt>
                <c:pt idx="567">
                  <c:v>1.1659999999999999E-3</c:v>
                </c:pt>
                <c:pt idx="568">
                  <c:v>1.132E-3</c:v>
                </c:pt>
                <c:pt idx="569">
                  <c:v>1.091E-3</c:v>
                </c:pt>
                <c:pt idx="570">
                  <c:v>1.08E-3</c:v>
                </c:pt>
                <c:pt idx="571">
                  <c:v>1.062E-3</c:v>
                </c:pt>
                <c:pt idx="572">
                  <c:v>1.0939999999999999E-3</c:v>
                </c:pt>
                <c:pt idx="573">
                  <c:v>1.085E-3</c:v>
                </c:pt>
                <c:pt idx="574">
                  <c:v>1.0809999999999999E-3</c:v>
                </c:pt>
                <c:pt idx="575">
                  <c:v>1.1100000000000001E-3</c:v>
                </c:pt>
                <c:pt idx="576">
                  <c:v>1.1310000000000001E-3</c:v>
                </c:pt>
                <c:pt idx="577">
                  <c:v>1.191E-3</c:v>
                </c:pt>
                <c:pt idx="578">
                  <c:v>1.1280000000000001E-3</c:v>
                </c:pt>
                <c:pt idx="579">
                  <c:v>1.0950000000000001E-3</c:v>
                </c:pt>
                <c:pt idx="580">
                  <c:v>1.2390000000000001E-3</c:v>
                </c:pt>
                <c:pt idx="581">
                  <c:v>1.3799999999999999E-3</c:v>
                </c:pt>
                <c:pt idx="582">
                  <c:v>1.387E-3</c:v>
                </c:pt>
                <c:pt idx="583">
                  <c:v>1.1820000000000001E-3</c:v>
                </c:pt>
                <c:pt idx="584">
                  <c:v>1.1709999999999999E-3</c:v>
                </c:pt>
                <c:pt idx="585">
                  <c:v>1.101E-3</c:v>
                </c:pt>
                <c:pt idx="586">
                  <c:v>1.096E-3</c:v>
                </c:pt>
                <c:pt idx="587">
                  <c:v>1.1180000000000001E-3</c:v>
                </c:pt>
                <c:pt idx="588">
                  <c:v>1.0690000000000001E-3</c:v>
                </c:pt>
                <c:pt idx="589">
                  <c:v>1.049E-3</c:v>
                </c:pt>
                <c:pt idx="590">
                  <c:v>1.06E-3</c:v>
                </c:pt>
                <c:pt idx="591">
                  <c:v>1.0189999999999999E-3</c:v>
                </c:pt>
                <c:pt idx="592">
                  <c:v>1.0660000000000001E-3</c:v>
                </c:pt>
                <c:pt idx="593">
                  <c:v>1.0859999999999999E-3</c:v>
                </c:pt>
                <c:pt idx="594">
                  <c:v>1.0150000000000001E-3</c:v>
                </c:pt>
                <c:pt idx="595">
                  <c:v>1.0020000000000001E-3</c:v>
                </c:pt>
                <c:pt idx="596">
                  <c:v>1.0610000000000001E-3</c:v>
                </c:pt>
                <c:pt idx="597">
                  <c:v>1.0679999999999999E-3</c:v>
                </c:pt>
                <c:pt idx="598">
                  <c:v>1.039E-3</c:v>
                </c:pt>
                <c:pt idx="599">
                  <c:v>1.0480000000000001E-3</c:v>
                </c:pt>
                <c:pt idx="600">
                  <c:v>1.075E-3</c:v>
                </c:pt>
                <c:pt idx="601">
                  <c:v>1.0809999999999999E-3</c:v>
                </c:pt>
                <c:pt idx="602">
                  <c:v>1.1299999999999999E-3</c:v>
                </c:pt>
                <c:pt idx="603">
                  <c:v>1.0330000000000001E-3</c:v>
                </c:pt>
                <c:pt idx="604">
                  <c:v>9.8900000000000008E-4</c:v>
                </c:pt>
                <c:pt idx="605">
                  <c:v>9.990000000000001E-4</c:v>
                </c:pt>
                <c:pt idx="606">
                  <c:v>9.9299999999999996E-4</c:v>
                </c:pt>
                <c:pt idx="607">
                  <c:v>1.029E-3</c:v>
                </c:pt>
                <c:pt idx="608">
                  <c:v>1.0139999999999999E-3</c:v>
                </c:pt>
                <c:pt idx="609">
                  <c:v>1.023E-3</c:v>
                </c:pt>
                <c:pt idx="610">
                  <c:v>9.859999999999999E-4</c:v>
                </c:pt>
                <c:pt idx="611">
                  <c:v>9.7999999999999997E-4</c:v>
                </c:pt>
                <c:pt idx="612">
                  <c:v>1.011E-3</c:v>
                </c:pt>
                <c:pt idx="613">
                  <c:v>9.3499999999999996E-4</c:v>
                </c:pt>
                <c:pt idx="614">
                  <c:v>9.9400000000000009E-4</c:v>
                </c:pt>
                <c:pt idx="615">
                  <c:v>1.0070000000000001E-3</c:v>
                </c:pt>
                <c:pt idx="616">
                  <c:v>1.013E-3</c:v>
                </c:pt>
                <c:pt idx="617">
                  <c:v>9.1600000000000004E-4</c:v>
                </c:pt>
                <c:pt idx="618">
                  <c:v>8.8500000000000004E-4</c:v>
                </c:pt>
                <c:pt idx="619">
                  <c:v>8.9800000000000004E-4</c:v>
                </c:pt>
                <c:pt idx="620">
                  <c:v>9.0799999999999995E-4</c:v>
                </c:pt>
                <c:pt idx="621">
                  <c:v>9.0300000000000005E-4</c:v>
                </c:pt>
                <c:pt idx="622">
                  <c:v>8.9899999999999995E-4</c:v>
                </c:pt>
                <c:pt idx="623">
                  <c:v>9.3499999999999996E-4</c:v>
                </c:pt>
                <c:pt idx="624">
                  <c:v>9.3300000000000002E-4</c:v>
                </c:pt>
                <c:pt idx="625">
                  <c:v>9.19E-4</c:v>
                </c:pt>
                <c:pt idx="626">
                  <c:v>8.7900000000000001E-4</c:v>
                </c:pt>
                <c:pt idx="627">
                  <c:v>9.5500000000000001E-4</c:v>
                </c:pt>
                <c:pt idx="628">
                  <c:v>1.083E-3</c:v>
                </c:pt>
                <c:pt idx="629">
                  <c:v>1.1199999999999999E-3</c:v>
                </c:pt>
                <c:pt idx="630">
                  <c:v>9.6000000000000002E-4</c:v>
                </c:pt>
                <c:pt idx="631">
                  <c:v>1.0300000000000001E-3</c:v>
                </c:pt>
                <c:pt idx="632">
                  <c:v>1.044E-3</c:v>
                </c:pt>
                <c:pt idx="633">
                  <c:v>1.0790000000000001E-3</c:v>
                </c:pt>
                <c:pt idx="634">
                  <c:v>1.1100000000000001E-3</c:v>
                </c:pt>
                <c:pt idx="635">
                  <c:v>1.2340000000000001E-3</c:v>
                </c:pt>
                <c:pt idx="636">
                  <c:v>8.1400000000000005E-4</c:v>
                </c:pt>
                <c:pt idx="637">
                  <c:v>7.1500000000000003E-4</c:v>
                </c:pt>
                <c:pt idx="638">
                  <c:v>6.6200000000000005E-4</c:v>
                </c:pt>
                <c:pt idx="639">
                  <c:v>6.4099999999999997E-4</c:v>
                </c:pt>
                <c:pt idx="640">
                  <c:v>6.4999999999999997E-4</c:v>
                </c:pt>
                <c:pt idx="641">
                  <c:v>6.3400000000000001E-4</c:v>
                </c:pt>
                <c:pt idx="642">
                  <c:v>6.4099999999999997E-4</c:v>
                </c:pt>
                <c:pt idx="643">
                  <c:v>6.2E-4</c:v>
                </c:pt>
                <c:pt idx="644">
                  <c:v>6.0999999999999997E-4</c:v>
                </c:pt>
                <c:pt idx="645">
                  <c:v>6.0400000000000004E-4</c:v>
                </c:pt>
                <c:pt idx="646">
                  <c:v>5.8500000000000002E-4</c:v>
                </c:pt>
                <c:pt idx="647">
                  <c:v>5.9999999999999995E-4</c:v>
                </c:pt>
                <c:pt idx="648">
                  <c:v>6.3699999999999998E-4</c:v>
                </c:pt>
                <c:pt idx="649">
                  <c:v>6.6600000000000003E-4</c:v>
                </c:pt>
                <c:pt idx="650">
                  <c:v>6.3599999999999996E-4</c:v>
                </c:pt>
                <c:pt idx="651">
                  <c:v>5.7899999999999998E-4</c:v>
                </c:pt>
                <c:pt idx="652">
                  <c:v>5.6499999999999996E-4</c:v>
                </c:pt>
                <c:pt idx="653">
                  <c:v>6.0700000000000001E-4</c:v>
                </c:pt>
                <c:pt idx="654">
                  <c:v>6.0300000000000002E-4</c:v>
                </c:pt>
                <c:pt idx="655">
                  <c:v>6.3400000000000001E-4</c:v>
                </c:pt>
                <c:pt idx="656">
                  <c:v>6.4400000000000004E-4</c:v>
                </c:pt>
                <c:pt idx="657">
                  <c:v>6.5899999999999997E-4</c:v>
                </c:pt>
                <c:pt idx="658">
                  <c:v>7.5199999999999996E-4</c:v>
                </c:pt>
                <c:pt idx="659">
                  <c:v>7.6800000000000002E-4</c:v>
                </c:pt>
                <c:pt idx="660">
                  <c:v>7.6000000000000004E-4</c:v>
                </c:pt>
                <c:pt idx="661">
                  <c:v>7.9799999999999999E-4</c:v>
                </c:pt>
                <c:pt idx="662">
                  <c:v>7.5199999999999996E-4</c:v>
                </c:pt>
                <c:pt idx="663">
                  <c:v>8.0999999999999996E-4</c:v>
                </c:pt>
                <c:pt idx="664">
                  <c:v>8.1999999999999998E-4</c:v>
                </c:pt>
                <c:pt idx="665">
                  <c:v>8.8599999999999996E-4</c:v>
                </c:pt>
                <c:pt idx="666">
                  <c:v>9.4399999999999996E-4</c:v>
                </c:pt>
                <c:pt idx="667">
                  <c:v>9.7300000000000002E-4</c:v>
                </c:pt>
                <c:pt idx="668">
                  <c:v>9.5699999999999995E-4</c:v>
                </c:pt>
                <c:pt idx="669">
                  <c:v>8.7500000000000002E-4</c:v>
                </c:pt>
                <c:pt idx="670">
                  <c:v>9.5299999999999996E-4</c:v>
                </c:pt>
                <c:pt idx="671">
                  <c:v>9.8299999999999993E-4</c:v>
                </c:pt>
                <c:pt idx="672">
                  <c:v>9.5600000000000004E-4</c:v>
                </c:pt>
                <c:pt idx="673">
                  <c:v>9.7799999999999992E-4</c:v>
                </c:pt>
                <c:pt idx="674">
                  <c:v>9.4399999999999996E-4</c:v>
                </c:pt>
                <c:pt idx="675">
                  <c:v>9.2199999999999997E-4</c:v>
                </c:pt>
                <c:pt idx="676">
                  <c:v>8.6399999999999997E-4</c:v>
                </c:pt>
                <c:pt idx="677">
                  <c:v>9.6900000000000003E-4</c:v>
                </c:pt>
                <c:pt idx="678">
                  <c:v>1.029E-3</c:v>
                </c:pt>
                <c:pt idx="679">
                  <c:v>9.3700000000000001E-4</c:v>
                </c:pt>
                <c:pt idx="680">
                  <c:v>7.9699999999999997E-4</c:v>
                </c:pt>
                <c:pt idx="681">
                  <c:v>8.1400000000000005E-4</c:v>
                </c:pt>
                <c:pt idx="682">
                  <c:v>7.5100000000000004E-4</c:v>
                </c:pt>
                <c:pt idx="683">
                  <c:v>8.4800000000000001E-4</c:v>
                </c:pt>
                <c:pt idx="684">
                  <c:v>7.94E-4</c:v>
                </c:pt>
                <c:pt idx="685">
                  <c:v>8.9400000000000005E-4</c:v>
                </c:pt>
                <c:pt idx="686">
                  <c:v>7.2300000000000001E-4</c:v>
                </c:pt>
                <c:pt idx="687">
                  <c:v>1.392E-3</c:v>
                </c:pt>
                <c:pt idx="688">
                  <c:v>1.451E-3</c:v>
                </c:pt>
                <c:pt idx="689">
                  <c:v>1.472E-3</c:v>
                </c:pt>
                <c:pt idx="690">
                  <c:v>1.446E-3</c:v>
                </c:pt>
                <c:pt idx="691">
                  <c:v>1.7600000000000001E-3</c:v>
                </c:pt>
                <c:pt idx="692">
                  <c:v>1.8240000000000001E-3</c:v>
                </c:pt>
                <c:pt idx="693">
                  <c:v>1.8E-3</c:v>
                </c:pt>
                <c:pt idx="694">
                  <c:v>1.603E-3</c:v>
                </c:pt>
                <c:pt idx="695">
                  <c:v>1.606E-3</c:v>
                </c:pt>
                <c:pt idx="696">
                  <c:v>1.6199999999999999E-3</c:v>
                </c:pt>
                <c:pt idx="697">
                  <c:v>1.552E-3</c:v>
                </c:pt>
                <c:pt idx="698">
                  <c:v>1.5939999999999999E-3</c:v>
                </c:pt>
                <c:pt idx="699">
                  <c:v>1.635E-3</c:v>
                </c:pt>
                <c:pt idx="700">
                  <c:v>1.6069999999999999E-3</c:v>
                </c:pt>
                <c:pt idx="701">
                  <c:v>1.5690000000000001E-3</c:v>
                </c:pt>
                <c:pt idx="702">
                  <c:v>1.709E-3</c:v>
                </c:pt>
                <c:pt idx="703">
                  <c:v>1.8990000000000001E-3</c:v>
                </c:pt>
                <c:pt idx="704">
                  <c:v>2.0690000000000001E-3</c:v>
                </c:pt>
                <c:pt idx="705">
                  <c:v>1.9880000000000002E-3</c:v>
                </c:pt>
                <c:pt idx="706">
                  <c:v>2.0470000000000002E-3</c:v>
                </c:pt>
                <c:pt idx="707">
                  <c:v>1.9469999999999999E-3</c:v>
                </c:pt>
                <c:pt idx="708">
                  <c:v>2.16E-3</c:v>
                </c:pt>
                <c:pt idx="709">
                  <c:v>2.3249999999999998E-3</c:v>
                </c:pt>
                <c:pt idx="710">
                  <c:v>2.1979999999999999E-3</c:v>
                </c:pt>
                <c:pt idx="711">
                  <c:v>2.147E-3</c:v>
                </c:pt>
                <c:pt idx="712">
                  <c:v>2.1559999999999999E-3</c:v>
                </c:pt>
                <c:pt idx="713">
                  <c:v>2.294E-3</c:v>
                </c:pt>
                <c:pt idx="714">
                  <c:v>2.2039999999999998E-3</c:v>
                </c:pt>
                <c:pt idx="715">
                  <c:v>2.1700000000000001E-3</c:v>
                </c:pt>
                <c:pt idx="716">
                  <c:v>2.0179999999999998E-3</c:v>
                </c:pt>
                <c:pt idx="717">
                  <c:v>1.9889999999999999E-3</c:v>
                </c:pt>
                <c:pt idx="718">
                  <c:v>1.9610000000000001E-3</c:v>
                </c:pt>
                <c:pt idx="719">
                  <c:v>1.9469999999999999E-3</c:v>
                </c:pt>
                <c:pt idx="720">
                  <c:v>2.026E-3</c:v>
                </c:pt>
                <c:pt idx="721">
                  <c:v>2.0860000000000002E-3</c:v>
                </c:pt>
                <c:pt idx="722">
                  <c:v>1.9710000000000001E-3</c:v>
                </c:pt>
                <c:pt idx="723">
                  <c:v>2.0430000000000001E-3</c:v>
                </c:pt>
                <c:pt idx="724">
                  <c:v>1.64E-3</c:v>
                </c:pt>
                <c:pt idx="725">
                  <c:v>1.632E-3</c:v>
                </c:pt>
                <c:pt idx="726">
                  <c:v>1.622E-3</c:v>
                </c:pt>
                <c:pt idx="727">
                  <c:v>1.4989999999999999E-3</c:v>
                </c:pt>
                <c:pt idx="728">
                  <c:v>1.534E-3</c:v>
                </c:pt>
                <c:pt idx="729">
                  <c:v>1.485E-3</c:v>
                </c:pt>
                <c:pt idx="730">
                  <c:v>1.5479999999999999E-3</c:v>
                </c:pt>
                <c:pt idx="731">
                  <c:v>1.542E-3</c:v>
                </c:pt>
                <c:pt idx="732">
                  <c:v>1.513E-3</c:v>
                </c:pt>
                <c:pt idx="733">
                  <c:v>1.487E-3</c:v>
                </c:pt>
                <c:pt idx="734">
                  <c:v>1.42E-3</c:v>
                </c:pt>
                <c:pt idx="735">
                  <c:v>1.475E-3</c:v>
                </c:pt>
                <c:pt idx="736">
                  <c:v>1.526E-3</c:v>
                </c:pt>
                <c:pt idx="737">
                  <c:v>1.5020000000000001E-3</c:v>
                </c:pt>
                <c:pt idx="738">
                  <c:v>1.4859999999999999E-3</c:v>
                </c:pt>
                <c:pt idx="739">
                  <c:v>1.521E-3</c:v>
                </c:pt>
                <c:pt idx="740">
                  <c:v>1.534E-3</c:v>
                </c:pt>
                <c:pt idx="741">
                  <c:v>1.534E-3</c:v>
                </c:pt>
                <c:pt idx="742">
                  <c:v>1.526E-3</c:v>
                </c:pt>
                <c:pt idx="743">
                  <c:v>1.5809999999999999E-3</c:v>
                </c:pt>
                <c:pt idx="744">
                  <c:v>1.5579999999999999E-3</c:v>
                </c:pt>
                <c:pt idx="745">
                  <c:v>1.5449999999999999E-3</c:v>
                </c:pt>
                <c:pt idx="746">
                  <c:v>1.624E-3</c:v>
                </c:pt>
                <c:pt idx="747">
                  <c:v>1.6509999999999999E-3</c:v>
                </c:pt>
                <c:pt idx="748">
                  <c:v>1.5900000000000001E-3</c:v>
                </c:pt>
                <c:pt idx="749">
                  <c:v>1.488E-3</c:v>
                </c:pt>
                <c:pt idx="750">
                  <c:v>1.555E-3</c:v>
                </c:pt>
                <c:pt idx="751">
                  <c:v>1.637E-3</c:v>
                </c:pt>
                <c:pt idx="752">
                  <c:v>1.67E-3</c:v>
                </c:pt>
                <c:pt idx="753">
                  <c:v>1.658E-3</c:v>
                </c:pt>
                <c:pt idx="754">
                  <c:v>1.67E-3</c:v>
                </c:pt>
                <c:pt idx="755">
                  <c:v>1.6980000000000001E-3</c:v>
                </c:pt>
                <c:pt idx="756">
                  <c:v>1.658E-3</c:v>
                </c:pt>
                <c:pt idx="757">
                  <c:v>1.6590000000000001E-3</c:v>
                </c:pt>
                <c:pt idx="758">
                  <c:v>1.6900000000000001E-3</c:v>
                </c:pt>
                <c:pt idx="759">
                  <c:v>1.691E-3</c:v>
                </c:pt>
                <c:pt idx="760">
                  <c:v>1.7409999999999999E-3</c:v>
                </c:pt>
                <c:pt idx="761">
                  <c:v>1.756E-3</c:v>
                </c:pt>
                <c:pt idx="762">
                  <c:v>1.722E-3</c:v>
                </c:pt>
                <c:pt idx="763">
                  <c:v>1.691E-3</c:v>
                </c:pt>
                <c:pt idx="764">
                  <c:v>1.6969999999999999E-3</c:v>
                </c:pt>
                <c:pt idx="765">
                  <c:v>1.7669999999999999E-3</c:v>
                </c:pt>
                <c:pt idx="766">
                  <c:v>1.56E-3</c:v>
                </c:pt>
                <c:pt idx="767">
                  <c:v>1.6509999999999999E-3</c:v>
                </c:pt>
                <c:pt idx="768">
                  <c:v>1.6260000000000001E-3</c:v>
                </c:pt>
                <c:pt idx="769">
                  <c:v>1.684E-3</c:v>
                </c:pt>
                <c:pt idx="770">
                  <c:v>1.6819999999999999E-3</c:v>
                </c:pt>
                <c:pt idx="771">
                  <c:v>1.6299999999999999E-3</c:v>
                </c:pt>
                <c:pt idx="772">
                  <c:v>1.542E-3</c:v>
                </c:pt>
                <c:pt idx="773">
                  <c:v>1.6299999999999999E-3</c:v>
                </c:pt>
                <c:pt idx="774">
                  <c:v>1.805E-3</c:v>
                </c:pt>
                <c:pt idx="775">
                  <c:v>1.797E-3</c:v>
                </c:pt>
                <c:pt idx="776">
                  <c:v>1.8749999999999999E-3</c:v>
                </c:pt>
                <c:pt idx="777">
                  <c:v>1.8799999999999999E-3</c:v>
                </c:pt>
                <c:pt idx="778">
                  <c:v>1.902E-3</c:v>
                </c:pt>
                <c:pt idx="779">
                  <c:v>1.915E-3</c:v>
                </c:pt>
                <c:pt idx="780">
                  <c:v>2.1770000000000001E-3</c:v>
                </c:pt>
                <c:pt idx="781">
                  <c:v>2.14E-3</c:v>
                </c:pt>
                <c:pt idx="782">
                  <c:v>2.0010000000000002E-3</c:v>
                </c:pt>
                <c:pt idx="783">
                  <c:v>1.9650000000000002E-3</c:v>
                </c:pt>
                <c:pt idx="784">
                  <c:v>2.055E-3</c:v>
                </c:pt>
                <c:pt idx="785">
                  <c:v>1.9620000000000002E-3</c:v>
                </c:pt>
                <c:pt idx="786">
                  <c:v>2.124E-3</c:v>
                </c:pt>
                <c:pt idx="787">
                  <c:v>2.2000000000000001E-3</c:v>
                </c:pt>
                <c:pt idx="788">
                  <c:v>2.1099999999999999E-3</c:v>
                </c:pt>
                <c:pt idx="789">
                  <c:v>2.1129999999999999E-3</c:v>
                </c:pt>
                <c:pt idx="790">
                  <c:v>2.2520000000000001E-3</c:v>
                </c:pt>
                <c:pt idx="791">
                  <c:v>2.2910000000000001E-3</c:v>
                </c:pt>
                <c:pt idx="792">
                  <c:v>2.1519999999999998E-3</c:v>
                </c:pt>
                <c:pt idx="793">
                  <c:v>1.8749999999999999E-3</c:v>
                </c:pt>
                <c:pt idx="794">
                  <c:v>1.861E-3</c:v>
                </c:pt>
                <c:pt idx="795">
                  <c:v>1.946E-3</c:v>
                </c:pt>
                <c:pt idx="796">
                  <c:v>2.2539999999999999E-3</c:v>
                </c:pt>
                <c:pt idx="797">
                  <c:v>2.4729999999999999E-3</c:v>
                </c:pt>
                <c:pt idx="798">
                  <c:v>1.9810000000000001E-3</c:v>
                </c:pt>
                <c:pt idx="799">
                  <c:v>1.74E-3</c:v>
                </c:pt>
                <c:pt idx="800">
                  <c:v>1.555E-3</c:v>
                </c:pt>
                <c:pt idx="801">
                  <c:v>1.652E-3</c:v>
                </c:pt>
                <c:pt idx="802">
                  <c:v>1.6620000000000001E-3</c:v>
                </c:pt>
                <c:pt idx="803">
                  <c:v>1.701E-3</c:v>
                </c:pt>
                <c:pt idx="804">
                  <c:v>1.776E-3</c:v>
                </c:pt>
                <c:pt idx="805">
                  <c:v>1.588E-3</c:v>
                </c:pt>
                <c:pt idx="806">
                  <c:v>1.701E-3</c:v>
                </c:pt>
                <c:pt idx="807">
                  <c:v>1.6590000000000001E-3</c:v>
                </c:pt>
                <c:pt idx="808">
                  <c:v>1.6900000000000001E-3</c:v>
                </c:pt>
                <c:pt idx="809">
                  <c:v>1.6999999999999999E-3</c:v>
                </c:pt>
                <c:pt idx="810">
                  <c:v>1.702E-3</c:v>
                </c:pt>
                <c:pt idx="811">
                  <c:v>1.737E-3</c:v>
                </c:pt>
                <c:pt idx="812">
                  <c:v>1.913E-3</c:v>
                </c:pt>
                <c:pt idx="813">
                  <c:v>1.431E-3</c:v>
                </c:pt>
                <c:pt idx="814">
                  <c:v>1.439E-3</c:v>
                </c:pt>
                <c:pt idx="815">
                  <c:v>1.3699999999999999E-3</c:v>
                </c:pt>
                <c:pt idx="816">
                  <c:v>1.3879999999999999E-3</c:v>
                </c:pt>
                <c:pt idx="817">
                  <c:v>1.3910000000000001E-3</c:v>
                </c:pt>
                <c:pt idx="818">
                  <c:v>1.3680000000000001E-3</c:v>
                </c:pt>
                <c:pt idx="819">
                  <c:v>1.3940000000000001E-3</c:v>
                </c:pt>
                <c:pt idx="820">
                  <c:v>1.353E-3</c:v>
                </c:pt>
                <c:pt idx="821">
                  <c:v>1.3749999999999999E-3</c:v>
                </c:pt>
                <c:pt idx="822">
                  <c:v>1.4040000000000001E-3</c:v>
                </c:pt>
                <c:pt idx="823">
                  <c:v>1.3470000000000001E-3</c:v>
                </c:pt>
                <c:pt idx="824">
                  <c:v>1.2830000000000001E-3</c:v>
                </c:pt>
                <c:pt idx="825">
                  <c:v>1.2979999999999999E-3</c:v>
                </c:pt>
                <c:pt idx="826">
                  <c:v>1.294E-3</c:v>
                </c:pt>
                <c:pt idx="827">
                  <c:v>1.2830000000000001E-3</c:v>
                </c:pt>
                <c:pt idx="828">
                  <c:v>1.4270000000000001E-3</c:v>
                </c:pt>
                <c:pt idx="829">
                  <c:v>1.4679999999999999E-3</c:v>
                </c:pt>
                <c:pt idx="830">
                  <c:v>1.4909999999999999E-3</c:v>
                </c:pt>
                <c:pt idx="831">
                  <c:v>1.4469999999999999E-3</c:v>
                </c:pt>
                <c:pt idx="832">
                  <c:v>1.3320000000000001E-3</c:v>
                </c:pt>
                <c:pt idx="833">
                  <c:v>1.3699999999999999E-3</c:v>
                </c:pt>
                <c:pt idx="834">
                  <c:v>1.4040000000000001E-3</c:v>
                </c:pt>
                <c:pt idx="835">
                  <c:v>1.5020000000000001E-3</c:v>
                </c:pt>
                <c:pt idx="836">
                  <c:v>1.5089999999999999E-3</c:v>
                </c:pt>
                <c:pt idx="837">
                  <c:v>1.4660000000000001E-3</c:v>
                </c:pt>
                <c:pt idx="838">
                  <c:v>1.4790000000000001E-3</c:v>
                </c:pt>
                <c:pt idx="839">
                  <c:v>1.4920000000000001E-3</c:v>
                </c:pt>
                <c:pt idx="840">
                  <c:v>1.4499999999999999E-3</c:v>
                </c:pt>
                <c:pt idx="841">
                  <c:v>1.467E-3</c:v>
                </c:pt>
                <c:pt idx="842">
                  <c:v>1.5610000000000001E-3</c:v>
                </c:pt>
                <c:pt idx="843">
                  <c:v>1.335E-3</c:v>
                </c:pt>
                <c:pt idx="844">
                  <c:v>1.273E-3</c:v>
                </c:pt>
                <c:pt idx="845">
                  <c:v>1.33E-3</c:v>
                </c:pt>
                <c:pt idx="846">
                  <c:v>1.2949999999999999E-3</c:v>
                </c:pt>
                <c:pt idx="847">
                  <c:v>1.2899999999999999E-3</c:v>
                </c:pt>
                <c:pt idx="848">
                  <c:v>1.258E-3</c:v>
                </c:pt>
                <c:pt idx="849">
                  <c:v>1.2600000000000001E-3</c:v>
                </c:pt>
                <c:pt idx="850">
                  <c:v>1.2160000000000001E-3</c:v>
                </c:pt>
                <c:pt idx="851">
                  <c:v>1.1410000000000001E-3</c:v>
                </c:pt>
                <c:pt idx="852">
                  <c:v>1.2130000000000001E-3</c:v>
                </c:pt>
                <c:pt idx="853">
                  <c:v>1.204E-3</c:v>
                </c:pt>
                <c:pt idx="854">
                  <c:v>1.175E-3</c:v>
                </c:pt>
                <c:pt idx="855">
                  <c:v>1.25E-3</c:v>
                </c:pt>
                <c:pt idx="856">
                  <c:v>1.2440000000000001E-3</c:v>
                </c:pt>
                <c:pt idx="857">
                  <c:v>1.474E-3</c:v>
                </c:pt>
                <c:pt idx="858">
                  <c:v>1.5380000000000001E-3</c:v>
                </c:pt>
                <c:pt idx="859">
                  <c:v>1.565E-3</c:v>
                </c:pt>
                <c:pt idx="860">
                  <c:v>1.5330000000000001E-3</c:v>
                </c:pt>
                <c:pt idx="861">
                  <c:v>1.5510000000000001E-3</c:v>
                </c:pt>
                <c:pt idx="862">
                  <c:v>1.7420000000000001E-3</c:v>
                </c:pt>
                <c:pt idx="863">
                  <c:v>1.4920000000000001E-3</c:v>
                </c:pt>
                <c:pt idx="864">
                  <c:v>1.4419999999999999E-3</c:v>
                </c:pt>
                <c:pt idx="865">
                  <c:v>1.366E-3</c:v>
                </c:pt>
                <c:pt idx="866">
                  <c:v>1.3979999999999999E-3</c:v>
                </c:pt>
                <c:pt idx="867">
                  <c:v>1.395E-3</c:v>
                </c:pt>
                <c:pt idx="868">
                  <c:v>1.3600000000000001E-3</c:v>
                </c:pt>
                <c:pt idx="869">
                  <c:v>1.428E-3</c:v>
                </c:pt>
                <c:pt idx="870">
                  <c:v>1.5690000000000001E-3</c:v>
                </c:pt>
                <c:pt idx="871">
                  <c:v>1.547E-3</c:v>
                </c:pt>
                <c:pt idx="872">
                  <c:v>1.4319999999999999E-3</c:v>
                </c:pt>
                <c:pt idx="873">
                  <c:v>1.4499999999999999E-3</c:v>
                </c:pt>
                <c:pt idx="874">
                  <c:v>1.4059999999999999E-3</c:v>
                </c:pt>
                <c:pt idx="875">
                  <c:v>1.408E-3</c:v>
                </c:pt>
                <c:pt idx="876">
                  <c:v>1.3990000000000001E-3</c:v>
                </c:pt>
                <c:pt idx="877">
                  <c:v>1.4109999999999999E-3</c:v>
                </c:pt>
                <c:pt idx="878">
                  <c:v>1.423E-3</c:v>
                </c:pt>
                <c:pt idx="879">
                  <c:v>1.469E-3</c:v>
                </c:pt>
                <c:pt idx="880">
                  <c:v>1.4430000000000001E-3</c:v>
                </c:pt>
                <c:pt idx="881">
                  <c:v>1.4599999999999999E-3</c:v>
                </c:pt>
                <c:pt idx="882">
                  <c:v>1.4250000000000001E-3</c:v>
                </c:pt>
                <c:pt idx="883">
                  <c:v>1.49E-3</c:v>
                </c:pt>
                <c:pt idx="884">
                  <c:v>1.6379999999999999E-3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53-4869-A2C1-8CCDB7B44FE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-978.26298002996009</c:v>
                </c:pt>
                <c:pt idx="1">
                  <c:v>-978.15222407417878</c:v>
                </c:pt>
                <c:pt idx="2">
                  <c:v>-976.10345187317034</c:v>
                </c:pt>
                <c:pt idx="3">
                  <c:v>-976.27418787549027</c:v>
                </c:pt>
                <c:pt idx="4">
                  <c:v>-975.6215635348791</c:v>
                </c:pt>
                <c:pt idx="5">
                  <c:v>-974.98642695823344</c:v>
                </c:pt>
                <c:pt idx="6">
                  <c:v>-974.1396148394042</c:v>
                </c:pt>
                <c:pt idx="7">
                  <c:v>-969.15960157821439</c:v>
                </c:pt>
                <c:pt idx="8">
                  <c:v>-967.27983529137782</c:v>
                </c:pt>
                <c:pt idx="9">
                  <c:v>-966.12394269305855</c:v>
                </c:pt>
                <c:pt idx="10">
                  <c:v>-967.06826799870953</c:v>
                </c:pt>
                <c:pt idx="11">
                  <c:v>-966.45806780124678</c:v>
                </c:pt>
                <c:pt idx="12">
                  <c:v>-964.7083005356659</c:v>
                </c:pt>
                <c:pt idx="13">
                  <c:v>-963.44741209306483</c:v>
                </c:pt>
                <c:pt idx="14">
                  <c:v>-964.30945509098694</c:v>
                </c:pt>
                <c:pt idx="15">
                  <c:v>-962.18198543660208</c:v>
                </c:pt>
                <c:pt idx="16">
                  <c:v>-964.11540773361583</c:v>
                </c:pt>
                <c:pt idx="17">
                  <c:v>-965.73168193103118</c:v>
                </c:pt>
                <c:pt idx="18">
                  <c:v>-964.3950194838103</c:v>
                </c:pt>
                <c:pt idx="19">
                  <c:v>-963.86100027691589</c:v>
                </c:pt>
                <c:pt idx="20">
                  <c:v>-961.29449209201482</c:v>
                </c:pt>
                <c:pt idx="21">
                  <c:v>-959.10184742800493</c:v>
                </c:pt>
                <c:pt idx="22">
                  <c:v>-959.10518963882976</c:v>
                </c:pt>
                <c:pt idx="23">
                  <c:v>-957.36445762004371</c:v>
                </c:pt>
                <c:pt idx="24">
                  <c:v>-955.5579574871864</c:v>
                </c:pt>
                <c:pt idx="25">
                  <c:v>-954.17877016718637</c:v>
                </c:pt>
                <c:pt idx="26">
                  <c:v>-952.69335532715309</c:v>
                </c:pt>
                <c:pt idx="27">
                  <c:v>-955.06108157377105</c:v>
                </c:pt>
                <c:pt idx="28">
                  <c:v>-953.79177073786559</c:v>
                </c:pt>
                <c:pt idx="29">
                  <c:v>-947.03394557939964</c:v>
                </c:pt>
                <c:pt idx="30">
                  <c:v>-943.12072321993105</c:v>
                </c:pt>
                <c:pt idx="31">
                  <c:v>-938.23894341118967</c:v>
                </c:pt>
                <c:pt idx="32">
                  <c:v>-923.40854982333462</c:v>
                </c:pt>
                <c:pt idx="33">
                  <c:v>-925.43215161992237</c:v>
                </c:pt>
                <c:pt idx="34">
                  <c:v>-925.10497350531</c:v>
                </c:pt>
                <c:pt idx="35">
                  <c:v>-922.72484727213498</c:v>
                </c:pt>
                <c:pt idx="36">
                  <c:v>-924.48027698437943</c:v>
                </c:pt>
                <c:pt idx="37">
                  <c:v>-923.91335509067073</c:v>
                </c:pt>
                <c:pt idx="38">
                  <c:v>-924.53103021315405</c:v>
                </c:pt>
                <c:pt idx="39">
                  <c:v>-923.22660611823824</c:v>
                </c:pt>
                <c:pt idx="40">
                  <c:v>-922.84363714935637</c:v>
                </c:pt>
                <c:pt idx="41">
                  <c:v>-921.2810026946504</c:v>
                </c:pt>
                <c:pt idx="42">
                  <c:v>-919.58984877124306</c:v>
                </c:pt>
                <c:pt idx="43">
                  <c:v>-915.7392717196019</c:v>
                </c:pt>
                <c:pt idx="44">
                  <c:v>-915.76348655938182</c:v>
                </c:pt>
                <c:pt idx="45">
                  <c:v>-923.3348866733445</c:v>
                </c:pt>
                <c:pt idx="46">
                  <c:v>-919.3996050709186</c:v>
                </c:pt>
                <c:pt idx="47">
                  <c:v>-918.12213760103054</c:v>
                </c:pt>
                <c:pt idx="48">
                  <c:v>-918.19182740352278</c:v>
                </c:pt>
                <c:pt idx="49">
                  <c:v>-916.40101124186526</c:v>
                </c:pt>
                <c:pt idx="50">
                  <c:v>-911.15255136220139</c:v>
                </c:pt>
                <c:pt idx="51">
                  <c:v>-910.41433601522988</c:v>
                </c:pt>
                <c:pt idx="52">
                  <c:v>-904.32000426149705</c:v>
                </c:pt>
                <c:pt idx="53">
                  <c:v>-908.25157052526208</c:v>
                </c:pt>
                <c:pt idx="54">
                  <c:v>-900.62853373697305</c:v>
                </c:pt>
                <c:pt idx="55">
                  <c:v>-897.72528439051052</c:v>
                </c:pt>
                <c:pt idx="56">
                  <c:v>-882.2593445040917</c:v>
                </c:pt>
                <c:pt idx="57">
                  <c:v>-866.2988782916143</c:v>
                </c:pt>
                <c:pt idx="58">
                  <c:v>-865.25070440315278</c:v>
                </c:pt>
                <c:pt idx="59">
                  <c:v>-858.45860314185791</c:v>
                </c:pt>
                <c:pt idx="60">
                  <c:v>-852.43355589365729</c:v>
                </c:pt>
                <c:pt idx="61">
                  <c:v>-854.02132884536729</c:v>
                </c:pt>
                <c:pt idx="62">
                  <c:v>-849.37583367144794</c:v>
                </c:pt>
                <c:pt idx="63">
                  <c:v>-845.15779813746258</c:v>
                </c:pt>
                <c:pt idx="64">
                  <c:v>-840.33396946131177</c:v>
                </c:pt>
                <c:pt idx="65">
                  <c:v>-850.19368174571002</c:v>
                </c:pt>
                <c:pt idx="66">
                  <c:v>-834.46243254396734</c:v>
                </c:pt>
                <c:pt idx="67">
                  <c:v>-811.56810507065018</c:v>
                </c:pt>
                <c:pt idx="68">
                  <c:v>-667.6719212821713</c:v>
                </c:pt>
                <c:pt idx="69">
                  <c:v>-794.43866495746238</c:v>
                </c:pt>
                <c:pt idx="70">
                  <c:v>-794.06906761955895</c:v>
                </c:pt>
                <c:pt idx="71">
                  <c:v>-790.55594385560721</c:v>
                </c:pt>
                <c:pt idx="72">
                  <c:v>-791.30360023886988</c:v>
                </c:pt>
                <c:pt idx="73">
                  <c:v>-789.89240528935034</c:v>
                </c:pt>
                <c:pt idx="74">
                  <c:v>-784.52914599912015</c:v>
                </c:pt>
                <c:pt idx="75">
                  <c:v>-783.80227734870459</c:v>
                </c:pt>
                <c:pt idx="76">
                  <c:v>-783.17957912622774</c:v>
                </c:pt>
                <c:pt idx="77">
                  <c:v>-782.64076907081835</c:v>
                </c:pt>
                <c:pt idx="78">
                  <c:v>-782.92023662519341</c:v>
                </c:pt>
                <c:pt idx="79">
                  <c:v>-775.90501408466753</c:v>
                </c:pt>
                <c:pt idx="80">
                  <c:v>-771.21269170874905</c:v>
                </c:pt>
                <c:pt idx="81">
                  <c:v>-769.09879468738063</c:v>
                </c:pt>
                <c:pt idx="82">
                  <c:v>-767.84550051368137</c:v>
                </c:pt>
                <c:pt idx="83">
                  <c:v>-765.39792233281037</c:v>
                </c:pt>
                <c:pt idx="84">
                  <c:v>-761.73232166558057</c:v>
                </c:pt>
                <c:pt idx="85">
                  <c:v>-762.01678250420241</c:v>
                </c:pt>
                <c:pt idx="86">
                  <c:v>-760.96660326001984</c:v>
                </c:pt>
                <c:pt idx="87">
                  <c:v>-756.73451048722916</c:v>
                </c:pt>
                <c:pt idx="88">
                  <c:v>-731.25625769411499</c:v>
                </c:pt>
                <c:pt idx="89">
                  <c:v>-703.9693778371385</c:v>
                </c:pt>
                <c:pt idx="90">
                  <c:v>-703.42956563341863</c:v>
                </c:pt>
                <c:pt idx="91">
                  <c:v>-700.69578133954531</c:v>
                </c:pt>
                <c:pt idx="92">
                  <c:v>-700.17663601819368</c:v>
                </c:pt>
                <c:pt idx="93">
                  <c:v>-689.73911121168214</c:v>
                </c:pt>
                <c:pt idx="94">
                  <c:v>-684.93205205024321</c:v>
                </c:pt>
                <c:pt idx="95">
                  <c:v>-685.81516598482483</c:v>
                </c:pt>
                <c:pt idx="96">
                  <c:v>-680.33824418021118</c:v>
                </c:pt>
                <c:pt idx="97">
                  <c:v>-674.71920613098871</c:v>
                </c:pt>
                <c:pt idx="98">
                  <c:v>-667.35866200744431</c:v>
                </c:pt>
                <c:pt idx="99">
                  <c:v>-620.41294895888836</c:v>
                </c:pt>
                <c:pt idx="100">
                  <c:v>-629.59934770183929</c:v>
                </c:pt>
                <c:pt idx="101">
                  <c:v>-617.47114456506029</c:v>
                </c:pt>
                <c:pt idx="102">
                  <c:v>-609.56439708557423</c:v>
                </c:pt>
                <c:pt idx="103">
                  <c:v>-591.62969759050054</c:v>
                </c:pt>
                <c:pt idx="104">
                  <c:v>-589.07131054254671</c:v>
                </c:pt>
                <c:pt idx="105">
                  <c:v>-594.0263349199796</c:v>
                </c:pt>
                <c:pt idx="106">
                  <c:v>-592.74648400086141</c:v>
                </c:pt>
                <c:pt idx="107">
                  <c:v>-592.6996646723004</c:v>
                </c:pt>
                <c:pt idx="108">
                  <c:v>-593.1143974859267</c:v>
                </c:pt>
                <c:pt idx="109">
                  <c:v>-591.46204003952425</c:v>
                </c:pt>
                <c:pt idx="110">
                  <c:v>-587.72371433701426</c:v>
                </c:pt>
                <c:pt idx="111">
                  <c:v>-588.13765603233696</c:v>
                </c:pt>
                <c:pt idx="112">
                  <c:v>-586.0505370593545</c:v>
                </c:pt>
                <c:pt idx="113">
                  <c:v>-585.35865435671326</c:v>
                </c:pt>
                <c:pt idx="114">
                  <c:v>-588.88114474911367</c:v>
                </c:pt>
                <c:pt idx="115">
                  <c:v>-588.18720832091697</c:v>
                </c:pt>
                <c:pt idx="116">
                  <c:v>-588.55884734760787</c:v>
                </c:pt>
                <c:pt idx="117">
                  <c:v>-587.25062820106939</c:v>
                </c:pt>
                <c:pt idx="118">
                  <c:v>-588.34056036998425</c:v>
                </c:pt>
                <c:pt idx="119">
                  <c:v>-590.75077823519291</c:v>
                </c:pt>
                <c:pt idx="120">
                  <c:v>-589.87252433990579</c:v>
                </c:pt>
                <c:pt idx="121">
                  <c:v>-588.38023868087805</c:v>
                </c:pt>
                <c:pt idx="122">
                  <c:v>-585.3361695744627</c:v>
                </c:pt>
                <c:pt idx="123">
                  <c:v>-579.23526799656497</c:v>
                </c:pt>
                <c:pt idx="124">
                  <c:v>-581.78438216968664</c:v>
                </c:pt>
                <c:pt idx="125">
                  <c:v>-581.41476634241667</c:v>
                </c:pt>
                <c:pt idx="126">
                  <c:v>-579.98192868816614</c:v>
                </c:pt>
                <c:pt idx="127">
                  <c:v>-585.55070013572879</c:v>
                </c:pt>
                <c:pt idx="128">
                  <c:v>-587.60013012643992</c:v>
                </c:pt>
                <c:pt idx="129">
                  <c:v>-583.14946436027151</c:v>
                </c:pt>
                <c:pt idx="130">
                  <c:v>-568.62802084183159</c:v>
                </c:pt>
                <c:pt idx="131">
                  <c:v>-561.30301362976275</c:v>
                </c:pt>
                <c:pt idx="132">
                  <c:v>-561.09233428723428</c:v>
                </c:pt>
                <c:pt idx="133">
                  <c:v>-560.33967866379294</c:v>
                </c:pt>
                <c:pt idx="134">
                  <c:v>-559.03876958103422</c:v>
                </c:pt>
                <c:pt idx="135">
                  <c:v>-558.56406689267578</c:v>
                </c:pt>
                <c:pt idx="136">
                  <c:v>-559.79947416159473</c:v>
                </c:pt>
                <c:pt idx="137">
                  <c:v>-558.89375697144987</c:v>
                </c:pt>
                <c:pt idx="138">
                  <c:v>-558.99350215722279</c:v>
                </c:pt>
                <c:pt idx="139">
                  <c:v>-559.11676353032897</c:v>
                </c:pt>
                <c:pt idx="140">
                  <c:v>-557.62388982233233</c:v>
                </c:pt>
                <c:pt idx="141">
                  <c:v>-556.09142449290982</c:v>
                </c:pt>
                <c:pt idx="142">
                  <c:v>-558.66316475129804</c:v>
                </c:pt>
                <c:pt idx="143">
                  <c:v>-556.48033638524248</c:v>
                </c:pt>
                <c:pt idx="144">
                  <c:v>-554.61551208152287</c:v>
                </c:pt>
                <c:pt idx="145">
                  <c:v>-557.05562341757991</c:v>
                </c:pt>
                <c:pt idx="146">
                  <c:v>-557.55971025662518</c:v>
                </c:pt>
                <c:pt idx="147">
                  <c:v>-559.73873881699387</c:v>
                </c:pt>
                <c:pt idx="148">
                  <c:v>-559.14725778840091</c:v>
                </c:pt>
                <c:pt idx="149">
                  <c:v>-561.87676542472104</c:v>
                </c:pt>
                <c:pt idx="150">
                  <c:v>-559.25491480439734</c:v>
                </c:pt>
                <c:pt idx="151">
                  <c:v>-558.7850941529191</c:v>
                </c:pt>
                <c:pt idx="152">
                  <c:v>-558.83442076911683</c:v>
                </c:pt>
                <c:pt idx="153">
                  <c:v>-558.49113013622582</c:v>
                </c:pt>
                <c:pt idx="154">
                  <c:v>-560.13098623867347</c:v>
                </c:pt>
                <c:pt idx="155">
                  <c:v>-558.25949428553645</c:v>
                </c:pt>
                <c:pt idx="156">
                  <c:v>-559.13637374730592</c:v>
                </c:pt>
                <c:pt idx="157">
                  <c:v>-556.7165691373059</c:v>
                </c:pt>
                <c:pt idx="158">
                  <c:v>-554.84995413606464</c:v>
                </c:pt>
                <c:pt idx="159">
                  <c:v>-555.03141936274778</c:v>
                </c:pt>
                <c:pt idx="160">
                  <c:v>-555.53749990243944</c:v>
                </c:pt>
                <c:pt idx="161">
                  <c:v>-557.249280483456</c:v>
                </c:pt>
                <c:pt idx="162">
                  <c:v>-559.33089809321677</c:v>
                </c:pt>
                <c:pt idx="163">
                  <c:v>-560.15836320972699</c:v>
                </c:pt>
                <c:pt idx="164">
                  <c:v>-557.25800938979262</c:v>
                </c:pt>
                <c:pt idx="165">
                  <c:v>-554.64757143223551</c:v>
                </c:pt>
                <c:pt idx="166">
                  <c:v>-556.54466265550695</c:v>
                </c:pt>
                <c:pt idx="167">
                  <c:v>-555.34930439819698</c:v>
                </c:pt>
                <c:pt idx="168">
                  <c:v>-559.04770042126154</c:v>
                </c:pt>
                <c:pt idx="169">
                  <c:v>-556.46076770806144</c:v>
                </c:pt>
                <c:pt idx="170">
                  <c:v>-557.33107037624336</c:v>
                </c:pt>
                <c:pt idx="171">
                  <c:v>-559.08025110173355</c:v>
                </c:pt>
                <c:pt idx="172">
                  <c:v>-561.73994538490501</c:v>
                </c:pt>
                <c:pt idx="173">
                  <c:v>-558.46881831432245</c:v>
                </c:pt>
                <c:pt idx="174">
                  <c:v>-554.62174998465218</c:v>
                </c:pt>
                <c:pt idx="175">
                  <c:v>-556.67275093016463</c:v>
                </c:pt>
                <c:pt idx="176">
                  <c:v>-558.18206144657518</c:v>
                </c:pt>
                <c:pt idx="177">
                  <c:v>-559.32207066542765</c:v>
                </c:pt>
                <c:pt idx="178">
                  <c:v>-557.71668037476945</c:v>
                </c:pt>
                <c:pt idx="179">
                  <c:v>-557.34881683116942</c:v>
                </c:pt>
                <c:pt idx="180">
                  <c:v>-555.38716881108917</c:v>
                </c:pt>
                <c:pt idx="181">
                  <c:v>-557.02374871460518</c:v>
                </c:pt>
                <c:pt idx="182">
                  <c:v>-558.22086668540976</c:v>
                </c:pt>
                <c:pt idx="183">
                  <c:v>-558.25310103229504</c:v>
                </c:pt>
                <c:pt idx="184">
                  <c:v>-557.27170869053498</c:v>
                </c:pt>
                <c:pt idx="185">
                  <c:v>-558.44128848442676</c:v>
                </c:pt>
                <c:pt idx="186">
                  <c:v>-554.37501549189778</c:v>
                </c:pt>
                <c:pt idx="187">
                  <c:v>-553.49889876649831</c:v>
                </c:pt>
                <c:pt idx="188">
                  <c:v>-556.41647675459785</c:v>
                </c:pt>
                <c:pt idx="189">
                  <c:v>-559.0613663077894</c:v>
                </c:pt>
                <c:pt idx="190">
                  <c:v>-558.63924938458774</c:v>
                </c:pt>
                <c:pt idx="191">
                  <c:v>-559.71396258904633</c:v>
                </c:pt>
                <c:pt idx="192">
                  <c:v>-558.20556006557149</c:v>
                </c:pt>
                <c:pt idx="193">
                  <c:v>-558.67885411198563</c:v>
                </c:pt>
                <c:pt idx="194">
                  <c:v>-557.77536716651491</c:v>
                </c:pt>
                <c:pt idx="195">
                  <c:v>-557.82216005530267</c:v>
                </c:pt>
                <c:pt idx="196">
                  <c:v>-555.89649846780264</c:v>
                </c:pt>
                <c:pt idx="197">
                  <c:v>-554.38924737764205</c:v>
                </c:pt>
                <c:pt idx="198">
                  <c:v>-556.04533648123186</c:v>
                </c:pt>
                <c:pt idx="199">
                  <c:v>-553.85965870156031</c:v>
                </c:pt>
                <c:pt idx="200">
                  <c:v>-552.99494341345508</c:v>
                </c:pt>
                <c:pt idx="201">
                  <c:v>-554.47643036005968</c:v>
                </c:pt>
                <c:pt idx="202">
                  <c:v>-552.197222932165</c:v>
                </c:pt>
                <c:pt idx="203">
                  <c:v>-552.89611363267227</c:v>
                </c:pt>
                <c:pt idx="204">
                  <c:v>-551.26874668963353</c:v>
                </c:pt>
                <c:pt idx="205">
                  <c:v>-549.52961710869283</c:v>
                </c:pt>
                <c:pt idx="206">
                  <c:v>-548.95275442012792</c:v>
                </c:pt>
                <c:pt idx="207">
                  <c:v>-548.1537131502771</c:v>
                </c:pt>
                <c:pt idx="208">
                  <c:v>-547.42173041982778</c:v>
                </c:pt>
                <c:pt idx="209">
                  <c:v>-547.40916548899929</c:v>
                </c:pt>
                <c:pt idx="210">
                  <c:v>-547.71658172477396</c:v>
                </c:pt>
                <c:pt idx="211">
                  <c:v>-546.82228712151209</c:v>
                </c:pt>
                <c:pt idx="212">
                  <c:v>-547.09416293931417</c:v>
                </c:pt>
                <c:pt idx="213">
                  <c:v>-548.82198801115317</c:v>
                </c:pt>
                <c:pt idx="214">
                  <c:v>-548.37911220322212</c:v>
                </c:pt>
                <c:pt idx="215">
                  <c:v>-548.94447546322215</c:v>
                </c:pt>
                <c:pt idx="216">
                  <c:v>-550.18274820827173</c:v>
                </c:pt>
                <c:pt idx="217">
                  <c:v>-547.29458620941455</c:v>
                </c:pt>
                <c:pt idx="218">
                  <c:v>-547.73481797729198</c:v>
                </c:pt>
                <c:pt idx="219">
                  <c:v>-549.84100665140011</c:v>
                </c:pt>
                <c:pt idx="220">
                  <c:v>-552.29442415188987</c:v>
                </c:pt>
                <c:pt idx="221">
                  <c:v>-548.36311675395325</c:v>
                </c:pt>
                <c:pt idx="222">
                  <c:v>-549.32224174202042</c:v>
                </c:pt>
                <c:pt idx="223">
                  <c:v>-538.96746637129115</c:v>
                </c:pt>
                <c:pt idx="224">
                  <c:v>-537.38988065411002</c:v>
                </c:pt>
                <c:pt idx="225">
                  <c:v>-536.224176157187</c:v>
                </c:pt>
                <c:pt idx="226">
                  <c:v>-532.15558902967985</c:v>
                </c:pt>
                <c:pt idx="227">
                  <c:v>-531.85248092340112</c:v>
                </c:pt>
                <c:pt idx="228">
                  <c:v>-517.87174644298671</c:v>
                </c:pt>
                <c:pt idx="229">
                  <c:v>-523.38418045104743</c:v>
                </c:pt>
                <c:pt idx="230">
                  <c:v>-522.34372961065935</c:v>
                </c:pt>
                <c:pt idx="231">
                  <c:v>-518.13984245317113</c:v>
                </c:pt>
                <c:pt idx="232">
                  <c:v>-511.62965457025444</c:v>
                </c:pt>
                <c:pt idx="233">
                  <c:v>-492.86846470196281</c:v>
                </c:pt>
                <c:pt idx="234">
                  <c:v>-492.00342858329759</c:v>
                </c:pt>
                <c:pt idx="235">
                  <c:v>-488.16138549808841</c:v>
                </c:pt>
                <c:pt idx="236">
                  <c:v>-487.67353855221802</c:v>
                </c:pt>
                <c:pt idx="237">
                  <c:v>-482.47993900567246</c:v>
                </c:pt>
                <c:pt idx="238">
                  <c:v>-483.16022518590847</c:v>
                </c:pt>
                <c:pt idx="239">
                  <c:v>-483.27139734762727</c:v>
                </c:pt>
                <c:pt idx="240">
                  <c:v>-484.33362209271104</c:v>
                </c:pt>
                <c:pt idx="241">
                  <c:v>-479.55560126456294</c:v>
                </c:pt>
                <c:pt idx="242">
                  <c:v>-483.52562911361747</c:v>
                </c:pt>
                <c:pt idx="243">
                  <c:v>-484.24209831578816</c:v>
                </c:pt>
                <c:pt idx="244">
                  <c:v>-484.03845915347387</c:v>
                </c:pt>
                <c:pt idx="245">
                  <c:v>-481.64737733269476</c:v>
                </c:pt>
                <c:pt idx="246">
                  <c:v>-485.08001042222725</c:v>
                </c:pt>
                <c:pt idx="247">
                  <c:v>-489.05903954189904</c:v>
                </c:pt>
                <c:pt idx="248">
                  <c:v>-491.03240706625536</c:v>
                </c:pt>
                <c:pt idx="249">
                  <c:v>-493.62474863077955</c:v>
                </c:pt>
                <c:pt idx="250">
                  <c:v>-491.03211049363597</c:v>
                </c:pt>
                <c:pt idx="251">
                  <c:v>-493.66132068532698</c:v>
                </c:pt>
                <c:pt idx="252">
                  <c:v>-492.44637867602648</c:v>
                </c:pt>
                <c:pt idx="253">
                  <c:v>-494.25057171385447</c:v>
                </c:pt>
                <c:pt idx="254">
                  <c:v>-488.65131822116558</c:v>
                </c:pt>
                <c:pt idx="255">
                  <c:v>-487.7108586603614</c:v>
                </c:pt>
                <c:pt idx="256">
                  <c:v>-485.57732580186956</c:v>
                </c:pt>
                <c:pt idx="257">
                  <c:v>-484.4758266859464</c:v>
                </c:pt>
                <c:pt idx="258">
                  <c:v>-480.40779648294023</c:v>
                </c:pt>
                <c:pt idx="259">
                  <c:v>-476.65206891947486</c:v>
                </c:pt>
                <c:pt idx="260">
                  <c:v>-474.02088920433459</c:v>
                </c:pt>
                <c:pt idx="261">
                  <c:v>-469.62463517028846</c:v>
                </c:pt>
                <c:pt idx="262">
                  <c:v>-471.03688519854302</c:v>
                </c:pt>
                <c:pt idx="263">
                  <c:v>-468.25803216068908</c:v>
                </c:pt>
                <c:pt idx="264">
                  <c:v>-467.66844528593606</c:v>
                </c:pt>
                <c:pt idx="265">
                  <c:v>-467.82388517637571</c:v>
                </c:pt>
                <c:pt idx="266">
                  <c:v>-465.440995957062</c:v>
                </c:pt>
                <c:pt idx="267">
                  <c:v>-463.23469116289834</c:v>
                </c:pt>
                <c:pt idx="268">
                  <c:v>-465.39968340952612</c:v>
                </c:pt>
                <c:pt idx="269">
                  <c:v>-458.43342628576187</c:v>
                </c:pt>
                <c:pt idx="270">
                  <c:v>-452.92913859569188</c:v>
                </c:pt>
                <c:pt idx="271">
                  <c:v>-448.60357610535323</c:v>
                </c:pt>
                <c:pt idx="272">
                  <c:v>-439.36352366262554</c:v>
                </c:pt>
                <c:pt idx="273">
                  <c:v>-442.19037380600491</c:v>
                </c:pt>
                <c:pt idx="274">
                  <c:v>-439.230244216009</c:v>
                </c:pt>
                <c:pt idx="275">
                  <c:v>-442.13457331838771</c:v>
                </c:pt>
                <c:pt idx="276">
                  <c:v>-447.09090892625557</c:v>
                </c:pt>
                <c:pt idx="277">
                  <c:v>-452.1670901244654</c:v>
                </c:pt>
                <c:pt idx="278">
                  <c:v>-452.49284824039444</c:v>
                </c:pt>
                <c:pt idx="279">
                  <c:v>-445.31426876900201</c:v>
                </c:pt>
                <c:pt idx="280">
                  <c:v>-449.09800065336395</c:v>
                </c:pt>
                <c:pt idx="281">
                  <c:v>-443.2436294811364</c:v>
                </c:pt>
                <c:pt idx="282">
                  <c:v>-426.95177015601388</c:v>
                </c:pt>
                <c:pt idx="283">
                  <c:v>-430.70783184938352</c:v>
                </c:pt>
                <c:pt idx="284">
                  <c:v>-426.08190457961052</c:v>
                </c:pt>
                <c:pt idx="285">
                  <c:v>-424.82181504557042</c:v>
                </c:pt>
                <c:pt idx="286">
                  <c:v>-421.36429592022142</c:v>
                </c:pt>
                <c:pt idx="287">
                  <c:v>-418.81710498078593</c:v>
                </c:pt>
                <c:pt idx="288">
                  <c:v>-417.30603638421502</c:v>
                </c:pt>
                <c:pt idx="289">
                  <c:v>-415.24673566002673</c:v>
                </c:pt>
                <c:pt idx="290">
                  <c:v>-417.43214408257575</c:v>
                </c:pt>
                <c:pt idx="291">
                  <c:v>-413.13678527289835</c:v>
                </c:pt>
                <c:pt idx="292">
                  <c:v>-413.64696317883499</c:v>
                </c:pt>
                <c:pt idx="293">
                  <c:v>-410.69375271192837</c:v>
                </c:pt>
                <c:pt idx="294">
                  <c:v>-406.43321167097366</c:v>
                </c:pt>
                <c:pt idx="295">
                  <c:v>-411.73565447210217</c:v>
                </c:pt>
                <c:pt idx="296">
                  <c:v>-406.83933840351312</c:v>
                </c:pt>
                <c:pt idx="297">
                  <c:v>-403.71636585696149</c:v>
                </c:pt>
                <c:pt idx="298">
                  <c:v>-390.397762156662</c:v>
                </c:pt>
                <c:pt idx="299">
                  <c:v>-349.16856077480332</c:v>
                </c:pt>
                <c:pt idx="300">
                  <c:v>-342.55572353185227</c:v>
                </c:pt>
                <c:pt idx="301">
                  <c:v>-340.58013900429302</c:v>
                </c:pt>
                <c:pt idx="302">
                  <c:v>-333.69367562542726</c:v>
                </c:pt>
                <c:pt idx="303">
                  <c:v>-335.25514422537816</c:v>
                </c:pt>
                <c:pt idx="304">
                  <c:v>-323.95215743629086</c:v>
                </c:pt>
                <c:pt idx="305">
                  <c:v>-313.75944725685616</c:v>
                </c:pt>
                <c:pt idx="306">
                  <c:v>-306.83557848799654</c:v>
                </c:pt>
                <c:pt idx="307">
                  <c:v>-305.72543733697046</c:v>
                </c:pt>
                <c:pt idx="308">
                  <c:v>-309.8036618775651</c:v>
                </c:pt>
                <c:pt idx="309">
                  <c:v>-297.30993721632319</c:v>
                </c:pt>
                <c:pt idx="310">
                  <c:v>-288.10089935652809</c:v>
                </c:pt>
                <c:pt idx="311">
                  <c:v>-281.8043520011297</c:v>
                </c:pt>
                <c:pt idx="312">
                  <c:v>-269.21183490697882</c:v>
                </c:pt>
                <c:pt idx="313">
                  <c:v>-264.58589256512539</c:v>
                </c:pt>
                <c:pt idx="314">
                  <c:v>-267.06873745628724</c:v>
                </c:pt>
                <c:pt idx="315">
                  <c:v>-282.8954507703088</c:v>
                </c:pt>
                <c:pt idx="316">
                  <c:v>-276.27143836730045</c:v>
                </c:pt>
                <c:pt idx="317">
                  <c:v>-273.57742859728074</c:v>
                </c:pt>
                <c:pt idx="318">
                  <c:v>-262.9768647352534</c:v>
                </c:pt>
                <c:pt idx="319">
                  <c:v>-265.12383284440165</c:v>
                </c:pt>
                <c:pt idx="320">
                  <c:v>-266.66517529419832</c:v>
                </c:pt>
                <c:pt idx="321">
                  <c:v>-273.63043441979823</c:v>
                </c:pt>
                <c:pt idx="322">
                  <c:v>-278.64025090341454</c:v>
                </c:pt>
                <c:pt idx="323">
                  <c:v>-279.65606272436281</c:v>
                </c:pt>
                <c:pt idx="324">
                  <c:v>-282.09915071243898</c:v>
                </c:pt>
                <c:pt idx="325">
                  <c:v>-288.21640334410671</c:v>
                </c:pt>
                <c:pt idx="326">
                  <c:v>-289.37578278522557</c:v>
                </c:pt>
                <c:pt idx="327">
                  <c:v>-289.14394070924448</c:v>
                </c:pt>
                <c:pt idx="328">
                  <c:v>-288.9920604726878</c:v>
                </c:pt>
                <c:pt idx="329">
                  <c:v>-290.95417235382195</c:v>
                </c:pt>
                <c:pt idx="330">
                  <c:v>-287.2069669861616</c:v>
                </c:pt>
                <c:pt idx="331">
                  <c:v>-289.80677731770277</c:v>
                </c:pt>
                <c:pt idx="332">
                  <c:v>-288.38914625887924</c:v>
                </c:pt>
                <c:pt idx="333">
                  <c:v>-290.74813672683882</c:v>
                </c:pt>
                <c:pt idx="334">
                  <c:v>-288.79441229581511</c:v>
                </c:pt>
                <c:pt idx="335">
                  <c:v>-288.76110348712666</c:v>
                </c:pt>
                <c:pt idx="336">
                  <c:v>-287.72612827025779</c:v>
                </c:pt>
                <c:pt idx="337">
                  <c:v>-283.11613537946835</c:v>
                </c:pt>
                <c:pt idx="338">
                  <c:v>-282.37770626045238</c:v>
                </c:pt>
                <c:pt idx="339">
                  <c:v>-279.7185219796612</c:v>
                </c:pt>
                <c:pt idx="340">
                  <c:v>-287.31735737546302</c:v>
                </c:pt>
                <c:pt idx="341">
                  <c:v>-288.33297785621738</c:v>
                </c:pt>
                <c:pt idx="342">
                  <c:v>-297.88891681851169</c:v>
                </c:pt>
                <c:pt idx="343">
                  <c:v>-283.84278784236005</c:v>
                </c:pt>
                <c:pt idx="344">
                  <c:v>-297.50865290077036</c:v>
                </c:pt>
                <c:pt idx="345">
                  <c:v>-301.87101254273472</c:v>
                </c:pt>
                <c:pt idx="346">
                  <c:v>-300.40431281559495</c:v>
                </c:pt>
                <c:pt idx="347">
                  <c:v>-300.17408333344861</c:v>
                </c:pt>
                <c:pt idx="348">
                  <c:v>-294.27579647041438</c:v>
                </c:pt>
                <c:pt idx="349">
                  <c:v>-294.96730474428028</c:v>
                </c:pt>
                <c:pt idx="350">
                  <c:v>-297.64132811003714</c:v>
                </c:pt>
                <c:pt idx="351">
                  <c:v>-303.95095105131105</c:v>
                </c:pt>
                <c:pt idx="352">
                  <c:v>-306.66725304251099</c:v>
                </c:pt>
                <c:pt idx="353">
                  <c:v>-308.33244936152028</c:v>
                </c:pt>
                <c:pt idx="354">
                  <c:v>-314.6913028559365</c:v>
                </c:pt>
                <c:pt idx="355">
                  <c:v>-316.28450473422748</c:v>
                </c:pt>
                <c:pt idx="356">
                  <c:v>-312.19219083826073</c:v>
                </c:pt>
                <c:pt idx="357">
                  <c:v>-310.61357615217827</c:v>
                </c:pt>
                <c:pt idx="358">
                  <c:v>-299.29013355047789</c:v>
                </c:pt>
                <c:pt idx="359">
                  <c:v>-244.26074551968955</c:v>
                </c:pt>
                <c:pt idx="360">
                  <c:v>-246.06915374213204</c:v>
                </c:pt>
                <c:pt idx="361">
                  <c:v>-247.71199694071311</c:v>
                </c:pt>
                <c:pt idx="362">
                  <c:v>-246.03415806818563</c:v>
                </c:pt>
                <c:pt idx="363">
                  <c:v>-238.57966608093909</c:v>
                </c:pt>
                <c:pt idx="364">
                  <c:v>-229.9936348353886</c:v>
                </c:pt>
                <c:pt idx="365">
                  <c:v>-230.79024187122192</c:v>
                </c:pt>
                <c:pt idx="366">
                  <c:v>-227.21652308531677</c:v>
                </c:pt>
                <c:pt idx="367">
                  <c:v>-227.15208255249402</c:v>
                </c:pt>
                <c:pt idx="368">
                  <c:v>-226.38656702657852</c:v>
                </c:pt>
                <c:pt idx="369">
                  <c:v>-224.85882060577072</c:v>
                </c:pt>
                <c:pt idx="370">
                  <c:v>-226.21172338421383</c:v>
                </c:pt>
                <c:pt idx="371">
                  <c:v>-227.86590111359411</c:v>
                </c:pt>
                <c:pt idx="372">
                  <c:v>-226.06604586255241</c:v>
                </c:pt>
                <c:pt idx="373">
                  <c:v>-226.53042104300354</c:v>
                </c:pt>
                <c:pt idx="374">
                  <c:v>-221.0973307829633</c:v>
                </c:pt>
                <c:pt idx="375">
                  <c:v>-223.65975871178685</c:v>
                </c:pt>
                <c:pt idx="376">
                  <c:v>-223.40690294008266</c:v>
                </c:pt>
                <c:pt idx="377">
                  <c:v>-226.9374978133342</c:v>
                </c:pt>
                <c:pt idx="378">
                  <c:v>-227.31637962420376</c:v>
                </c:pt>
                <c:pt idx="379">
                  <c:v>-227.57594931901508</c:v>
                </c:pt>
                <c:pt idx="380">
                  <c:v>-229.66452123901507</c:v>
                </c:pt>
                <c:pt idx="381">
                  <c:v>-227.60722753159371</c:v>
                </c:pt>
                <c:pt idx="382">
                  <c:v>-226.78075923434099</c:v>
                </c:pt>
                <c:pt idx="383">
                  <c:v>-227.73303646064673</c:v>
                </c:pt>
                <c:pt idx="384">
                  <c:v>-220.57972229712212</c:v>
                </c:pt>
                <c:pt idx="385">
                  <c:v>-221.64868069324376</c:v>
                </c:pt>
                <c:pt idx="386">
                  <c:v>-221.4314122806374</c:v>
                </c:pt>
                <c:pt idx="387">
                  <c:v>-222.92532525875822</c:v>
                </c:pt>
                <c:pt idx="388">
                  <c:v>-223.31470765290234</c:v>
                </c:pt>
                <c:pt idx="389">
                  <c:v>-222.26846902419643</c:v>
                </c:pt>
                <c:pt idx="390">
                  <c:v>-221.63711277049643</c:v>
                </c:pt>
                <c:pt idx="391">
                  <c:v>-219.55002639507043</c:v>
                </c:pt>
                <c:pt idx="392">
                  <c:v>-215.93644255206124</c:v>
                </c:pt>
                <c:pt idx="393">
                  <c:v>-216.09901512846125</c:v>
                </c:pt>
                <c:pt idx="394">
                  <c:v>-215.43003241079887</c:v>
                </c:pt>
                <c:pt idx="395">
                  <c:v>-215.1062693571385</c:v>
                </c:pt>
                <c:pt idx="396">
                  <c:v>-215.18168303689308</c:v>
                </c:pt>
                <c:pt idx="397">
                  <c:v>-214.93347036918971</c:v>
                </c:pt>
                <c:pt idx="398">
                  <c:v>-213.87272449175069</c:v>
                </c:pt>
                <c:pt idx="399">
                  <c:v>-213.47866931015776</c:v>
                </c:pt>
                <c:pt idx="400">
                  <c:v>-214.21274385230066</c:v>
                </c:pt>
                <c:pt idx="401">
                  <c:v>-212.17056394548095</c:v>
                </c:pt>
                <c:pt idx="402">
                  <c:v>-212.40897552548097</c:v>
                </c:pt>
                <c:pt idx="403">
                  <c:v>-210.93758053679568</c:v>
                </c:pt>
                <c:pt idx="404">
                  <c:v>-208.00071098189221</c:v>
                </c:pt>
                <c:pt idx="405">
                  <c:v>-208.71071732401342</c:v>
                </c:pt>
                <c:pt idx="406">
                  <c:v>-208.74937687747496</c:v>
                </c:pt>
                <c:pt idx="407">
                  <c:v>-209.95981072136877</c:v>
                </c:pt>
                <c:pt idx="408">
                  <c:v>-210.51662050842759</c:v>
                </c:pt>
                <c:pt idx="409">
                  <c:v>-210.07526766915487</c:v>
                </c:pt>
                <c:pt idx="410">
                  <c:v>-210.25605677234816</c:v>
                </c:pt>
                <c:pt idx="411">
                  <c:v>-211.27229875563762</c:v>
                </c:pt>
                <c:pt idx="412">
                  <c:v>-211.72805925773707</c:v>
                </c:pt>
                <c:pt idx="413">
                  <c:v>-210.24285219830853</c:v>
                </c:pt>
                <c:pt idx="414">
                  <c:v>-209.87365958936812</c:v>
                </c:pt>
                <c:pt idx="415">
                  <c:v>-210.81593298343591</c:v>
                </c:pt>
                <c:pt idx="416">
                  <c:v>-209.59910944571317</c:v>
                </c:pt>
                <c:pt idx="417">
                  <c:v>-209.19194781150264</c:v>
                </c:pt>
                <c:pt idx="418">
                  <c:v>-208.89569950280699</c:v>
                </c:pt>
                <c:pt idx="419">
                  <c:v>-208.92298054510209</c:v>
                </c:pt>
                <c:pt idx="420">
                  <c:v>-207.12467774333413</c:v>
                </c:pt>
                <c:pt idx="421">
                  <c:v>-207.39929278253413</c:v>
                </c:pt>
                <c:pt idx="422">
                  <c:v>-208.89316754227664</c:v>
                </c:pt>
                <c:pt idx="423">
                  <c:v>-207.51129262912747</c:v>
                </c:pt>
                <c:pt idx="424">
                  <c:v>-207.35462256984178</c:v>
                </c:pt>
                <c:pt idx="425">
                  <c:v>-206.46167319044784</c:v>
                </c:pt>
                <c:pt idx="426">
                  <c:v>-206.07223049808073</c:v>
                </c:pt>
                <c:pt idx="427">
                  <c:v>-206.08137285753125</c:v>
                </c:pt>
                <c:pt idx="428">
                  <c:v>-204.78370101804242</c:v>
                </c:pt>
                <c:pt idx="429">
                  <c:v>-202.13856848517113</c:v>
                </c:pt>
                <c:pt idx="430">
                  <c:v>-207.14889351190584</c:v>
                </c:pt>
                <c:pt idx="431">
                  <c:v>-207.84298604948918</c:v>
                </c:pt>
                <c:pt idx="432">
                  <c:v>-204.319044874886</c:v>
                </c:pt>
                <c:pt idx="433">
                  <c:v>-202.59334183953766</c:v>
                </c:pt>
                <c:pt idx="434">
                  <c:v>-202.5316097325283</c:v>
                </c:pt>
                <c:pt idx="435">
                  <c:v>-200.51870966262538</c:v>
                </c:pt>
                <c:pt idx="436">
                  <c:v>-200.47071111262539</c:v>
                </c:pt>
                <c:pt idx="437">
                  <c:v>-199.35055698376823</c:v>
                </c:pt>
                <c:pt idx="438">
                  <c:v>-199.55206279169278</c:v>
                </c:pt>
                <c:pt idx="439">
                  <c:v>-199.21140663822339</c:v>
                </c:pt>
                <c:pt idx="440">
                  <c:v>-197.98000003721776</c:v>
                </c:pt>
                <c:pt idx="441">
                  <c:v>-198.35704201571454</c:v>
                </c:pt>
                <c:pt idx="442">
                  <c:v>-197.95511606403753</c:v>
                </c:pt>
                <c:pt idx="443">
                  <c:v>-195.00713215040116</c:v>
                </c:pt>
                <c:pt idx="444">
                  <c:v>-196.55472285497319</c:v>
                </c:pt>
                <c:pt idx="445">
                  <c:v>-195.11092260386206</c:v>
                </c:pt>
                <c:pt idx="446">
                  <c:v>-194.84734293934594</c:v>
                </c:pt>
                <c:pt idx="447">
                  <c:v>-192.67182582827996</c:v>
                </c:pt>
                <c:pt idx="448">
                  <c:v>-194.23889058126699</c:v>
                </c:pt>
                <c:pt idx="449">
                  <c:v>-194.04402008654904</c:v>
                </c:pt>
                <c:pt idx="450">
                  <c:v>-193.78283000237184</c:v>
                </c:pt>
                <c:pt idx="451">
                  <c:v>-193.36611487656535</c:v>
                </c:pt>
                <c:pt idx="452">
                  <c:v>-192.47235056046782</c:v>
                </c:pt>
                <c:pt idx="453">
                  <c:v>-192.29508594972012</c:v>
                </c:pt>
                <c:pt idx="454">
                  <c:v>-190.28855863884209</c:v>
                </c:pt>
                <c:pt idx="455">
                  <c:v>-189.99406363378185</c:v>
                </c:pt>
                <c:pt idx="456">
                  <c:v>-188.46916284483271</c:v>
                </c:pt>
                <c:pt idx="457">
                  <c:v>-187.55924569368733</c:v>
                </c:pt>
                <c:pt idx="458">
                  <c:v>-185.22196776663782</c:v>
                </c:pt>
                <c:pt idx="459">
                  <c:v>-184.0294188735989</c:v>
                </c:pt>
                <c:pt idx="460">
                  <c:v>-182.6896844734965</c:v>
                </c:pt>
                <c:pt idx="461">
                  <c:v>-177.8262639545037</c:v>
                </c:pt>
                <c:pt idx="462">
                  <c:v>-182.84934192107056</c:v>
                </c:pt>
                <c:pt idx="463">
                  <c:v>-180.52823751887877</c:v>
                </c:pt>
                <c:pt idx="464">
                  <c:v>-168.69226588571954</c:v>
                </c:pt>
                <c:pt idx="465">
                  <c:v>-168.02146084065345</c:v>
                </c:pt>
                <c:pt idx="466">
                  <c:v>-174.29483775086968</c:v>
                </c:pt>
                <c:pt idx="467">
                  <c:v>-173.78835076665916</c:v>
                </c:pt>
                <c:pt idx="468">
                  <c:v>-173.7482804611036</c:v>
                </c:pt>
                <c:pt idx="469">
                  <c:v>-173.11209148781592</c:v>
                </c:pt>
                <c:pt idx="470">
                  <c:v>-173.35006841347629</c:v>
                </c:pt>
                <c:pt idx="471">
                  <c:v>-172.51924817347629</c:v>
                </c:pt>
                <c:pt idx="472">
                  <c:v>-172.18515944680962</c:v>
                </c:pt>
                <c:pt idx="473">
                  <c:v>-171.94171281608234</c:v>
                </c:pt>
                <c:pt idx="474">
                  <c:v>-171.60778655352308</c:v>
                </c:pt>
                <c:pt idx="475">
                  <c:v>-167.33207232552309</c:v>
                </c:pt>
                <c:pt idx="476">
                  <c:v>-167.87880591434487</c:v>
                </c:pt>
                <c:pt idx="477">
                  <c:v>-169.42940318317329</c:v>
                </c:pt>
                <c:pt idx="478">
                  <c:v>-169.94807367619657</c:v>
                </c:pt>
                <c:pt idx="479">
                  <c:v>-168.74572021563895</c:v>
                </c:pt>
                <c:pt idx="480">
                  <c:v>-168.40451440552968</c:v>
                </c:pt>
                <c:pt idx="481">
                  <c:v>-168.05186342173658</c:v>
                </c:pt>
                <c:pt idx="482">
                  <c:v>-167.14809839501527</c:v>
                </c:pt>
                <c:pt idx="483">
                  <c:v>-167.02397628926454</c:v>
                </c:pt>
                <c:pt idx="484">
                  <c:v>-166.43462181098869</c:v>
                </c:pt>
                <c:pt idx="485">
                  <c:v>-166.617025391852</c:v>
                </c:pt>
                <c:pt idx="486">
                  <c:v>-167.3579759402391</c:v>
                </c:pt>
                <c:pt idx="487">
                  <c:v>-165.96305551065578</c:v>
                </c:pt>
                <c:pt idx="488">
                  <c:v>-165.76185490815578</c:v>
                </c:pt>
                <c:pt idx="489">
                  <c:v>-166.00722098089551</c:v>
                </c:pt>
                <c:pt idx="490">
                  <c:v>-166.14963623633736</c:v>
                </c:pt>
                <c:pt idx="491">
                  <c:v>-166.93505626257269</c:v>
                </c:pt>
                <c:pt idx="492">
                  <c:v>-165.51344463206419</c:v>
                </c:pt>
                <c:pt idx="493">
                  <c:v>-166.17344151206419</c:v>
                </c:pt>
                <c:pt idx="494">
                  <c:v>-165.80928643340471</c:v>
                </c:pt>
                <c:pt idx="495">
                  <c:v>-164.8731646262963</c:v>
                </c:pt>
                <c:pt idx="496">
                  <c:v>-163.26204444296295</c:v>
                </c:pt>
                <c:pt idx="497">
                  <c:v>-161.54304421746929</c:v>
                </c:pt>
                <c:pt idx="498">
                  <c:v>-160.21239875946927</c:v>
                </c:pt>
                <c:pt idx="499">
                  <c:v>-160.54342458799809</c:v>
                </c:pt>
                <c:pt idx="500">
                  <c:v>-157.96744086807922</c:v>
                </c:pt>
                <c:pt idx="501">
                  <c:v>-160.49293622103397</c:v>
                </c:pt>
                <c:pt idx="502">
                  <c:v>-158.89658196630668</c:v>
                </c:pt>
                <c:pt idx="503">
                  <c:v>-157.37234341630671</c:v>
                </c:pt>
                <c:pt idx="504">
                  <c:v>-159.94115365630671</c:v>
                </c:pt>
                <c:pt idx="505">
                  <c:v>-157.49544194306347</c:v>
                </c:pt>
                <c:pt idx="506">
                  <c:v>-158.36367709852689</c:v>
                </c:pt>
                <c:pt idx="507">
                  <c:v>-157.35141090155369</c:v>
                </c:pt>
                <c:pt idx="508">
                  <c:v>-160.65149190541788</c:v>
                </c:pt>
                <c:pt idx="509">
                  <c:v>-164.48315668354738</c:v>
                </c:pt>
                <c:pt idx="510">
                  <c:v>-160.96127527908581</c:v>
                </c:pt>
                <c:pt idx="511">
                  <c:v>-158.32724275837856</c:v>
                </c:pt>
                <c:pt idx="512">
                  <c:v>-138.93185551565023</c:v>
                </c:pt>
                <c:pt idx="513">
                  <c:v>-143.00508855776073</c:v>
                </c:pt>
                <c:pt idx="514">
                  <c:v>-135.90016633776074</c:v>
                </c:pt>
                <c:pt idx="515">
                  <c:v>-130.94894859114254</c:v>
                </c:pt>
                <c:pt idx="516">
                  <c:v>-128.57018469572435</c:v>
                </c:pt>
                <c:pt idx="517">
                  <c:v>-117.94268229572435</c:v>
                </c:pt>
                <c:pt idx="518">
                  <c:v>-121.33402443878765</c:v>
                </c:pt>
                <c:pt idx="519">
                  <c:v>-97.713275024369054</c:v>
                </c:pt>
                <c:pt idx="520">
                  <c:v>-93.034208239125121</c:v>
                </c:pt>
                <c:pt idx="521">
                  <c:v>-90.148372695782456</c:v>
                </c:pt>
                <c:pt idx="522">
                  <c:v>-90.315325411831068</c:v>
                </c:pt>
                <c:pt idx="523">
                  <c:v>-89.725377269138775</c:v>
                </c:pt>
                <c:pt idx="524">
                  <c:v>-90.320730078873297</c:v>
                </c:pt>
                <c:pt idx="525">
                  <c:v>-89.440421198873281</c:v>
                </c:pt>
                <c:pt idx="526">
                  <c:v>-90.05531953312861</c:v>
                </c:pt>
                <c:pt idx="527">
                  <c:v>-88.910464405095126</c:v>
                </c:pt>
                <c:pt idx="528">
                  <c:v>-88.390074657398159</c:v>
                </c:pt>
                <c:pt idx="529">
                  <c:v>-89.101672021683882</c:v>
                </c:pt>
                <c:pt idx="530">
                  <c:v>-89.083643599405406</c:v>
                </c:pt>
                <c:pt idx="531">
                  <c:v>-88.778941485375555</c:v>
                </c:pt>
                <c:pt idx="532">
                  <c:v>-88.351874076511919</c:v>
                </c:pt>
                <c:pt idx="533">
                  <c:v>-85.897365638379625</c:v>
                </c:pt>
                <c:pt idx="534">
                  <c:v>-87.736578844931344</c:v>
                </c:pt>
                <c:pt idx="535">
                  <c:v>-85.73351798144607</c:v>
                </c:pt>
                <c:pt idx="536">
                  <c:v>-87.102062243466804</c:v>
                </c:pt>
                <c:pt idx="537">
                  <c:v>-87.301143320133463</c:v>
                </c:pt>
                <c:pt idx="538">
                  <c:v>-89.847621091504422</c:v>
                </c:pt>
                <c:pt idx="539">
                  <c:v>-89.788483878189354</c:v>
                </c:pt>
                <c:pt idx="540">
                  <c:v>-92.1159820056439</c:v>
                </c:pt>
                <c:pt idx="541">
                  <c:v>-92.204532465266553</c:v>
                </c:pt>
                <c:pt idx="542">
                  <c:v>-91.3149311538603</c:v>
                </c:pt>
                <c:pt idx="543">
                  <c:v>-91.928848038026956</c:v>
                </c:pt>
                <c:pt idx="544">
                  <c:v>-91.383435782112983</c:v>
                </c:pt>
                <c:pt idx="545">
                  <c:v>-91.648641350112968</c:v>
                </c:pt>
                <c:pt idx="546">
                  <c:v>-91.266741580199934</c:v>
                </c:pt>
                <c:pt idx="547">
                  <c:v>-92.044440235372321</c:v>
                </c:pt>
                <c:pt idx="548">
                  <c:v>-90.53303275051519</c:v>
                </c:pt>
                <c:pt idx="549">
                  <c:v>-91.091857467125365</c:v>
                </c:pt>
                <c:pt idx="550">
                  <c:v>-89.486670547267536</c:v>
                </c:pt>
                <c:pt idx="551">
                  <c:v>-89.554208139546006</c:v>
                </c:pt>
                <c:pt idx="552">
                  <c:v>-89.221476015546017</c:v>
                </c:pt>
                <c:pt idx="553">
                  <c:v>-87.561739418273291</c:v>
                </c:pt>
                <c:pt idx="554">
                  <c:v>-87.724149917685068</c:v>
                </c:pt>
                <c:pt idx="555">
                  <c:v>-87.216693405685064</c:v>
                </c:pt>
                <c:pt idx="556">
                  <c:v>-84.125409735435852</c:v>
                </c:pt>
                <c:pt idx="557">
                  <c:v>-75.649703293356637</c:v>
                </c:pt>
                <c:pt idx="558">
                  <c:v>-77.174834289356625</c:v>
                </c:pt>
                <c:pt idx="559">
                  <c:v>-78.405946859356632</c:v>
                </c:pt>
                <c:pt idx="560">
                  <c:v>-75.528049023106618</c:v>
                </c:pt>
                <c:pt idx="561">
                  <c:v>-62.570355732259166</c:v>
                </c:pt>
                <c:pt idx="562">
                  <c:v>-69.495867815455043</c:v>
                </c:pt>
                <c:pt idx="563">
                  <c:v>-69.894286866759401</c:v>
                </c:pt>
                <c:pt idx="564">
                  <c:v>-69.255545729959394</c:v>
                </c:pt>
                <c:pt idx="565">
                  <c:v>-70.108139437737179</c:v>
                </c:pt>
                <c:pt idx="566">
                  <c:v>-69.896930576198699</c:v>
                </c:pt>
                <c:pt idx="567">
                  <c:v>-69.476972016198701</c:v>
                </c:pt>
                <c:pt idx="568">
                  <c:v>-70.463608070152191</c:v>
                </c:pt>
                <c:pt idx="569">
                  <c:v>-69.909168636353741</c:v>
                </c:pt>
                <c:pt idx="570">
                  <c:v>-70.7008330978922</c:v>
                </c:pt>
                <c:pt idx="571">
                  <c:v>-71.174841672310805</c:v>
                </c:pt>
                <c:pt idx="572">
                  <c:v>-70.678526274853184</c:v>
                </c:pt>
                <c:pt idx="573">
                  <c:v>-70.471565983690382</c:v>
                </c:pt>
                <c:pt idx="574">
                  <c:v>-71.551611431426224</c:v>
                </c:pt>
                <c:pt idx="575">
                  <c:v>-70.614319370899906</c:v>
                </c:pt>
                <c:pt idx="576">
                  <c:v>-70.101927521299899</c:v>
                </c:pt>
                <c:pt idx="577">
                  <c:v>-69.010185692878864</c:v>
                </c:pt>
                <c:pt idx="578">
                  <c:v>-69.835307833323299</c:v>
                </c:pt>
                <c:pt idx="579">
                  <c:v>-70.506200691630994</c:v>
                </c:pt>
                <c:pt idx="580">
                  <c:v>-69.160878401308409</c:v>
                </c:pt>
                <c:pt idx="581">
                  <c:v>-67.721164680293924</c:v>
                </c:pt>
                <c:pt idx="582">
                  <c:v>-65.745685500197453</c:v>
                </c:pt>
                <c:pt idx="583">
                  <c:v>-70.429241260197443</c:v>
                </c:pt>
                <c:pt idx="584">
                  <c:v>-69.588936421691699</c:v>
                </c:pt>
                <c:pt idx="585">
                  <c:v>-70.108309916882547</c:v>
                </c:pt>
                <c:pt idx="586">
                  <c:v>-69.768915359933402</c:v>
                </c:pt>
                <c:pt idx="587">
                  <c:v>-69.361227480521634</c:v>
                </c:pt>
                <c:pt idx="588">
                  <c:v>-69.753398514521649</c:v>
                </c:pt>
                <c:pt idx="589">
                  <c:v>-69.613829415211299</c:v>
                </c:pt>
                <c:pt idx="590">
                  <c:v>-69.316978495737615</c:v>
                </c:pt>
                <c:pt idx="591">
                  <c:v>-70.202869790199145</c:v>
                </c:pt>
                <c:pt idx="592">
                  <c:v>-70.067911127471859</c:v>
                </c:pt>
                <c:pt idx="593">
                  <c:v>-69.9984701882411</c:v>
                </c:pt>
                <c:pt idx="594">
                  <c:v>-71.382500139330205</c:v>
                </c:pt>
                <c:pt idx="595">
                  <c:v>-71.844106529955198</c:v>
                </c:pt>
                <c:pt idx="596">
                  <c:v>-70.751926750283076</c:v>
                </c:pt>
                <c:pt idx="597">
                  <c:v>-70.426802050283086</c:v>
                </c:pt>
                <c:pt idx="598">
                  <c:v>-70.961071783497374</c:v>
                </c:pt>
                <c:pt idx="599">
                  <c:v>-70.308453753985177</c:v>
                </c:pt>
                <c:pt idx="600">
                  <c:v>-70.13737243045577</c:v>
                </c:pt>
                <c:pt idx="601">
                  <c:v>-69.496754554455762</c:v>
                </c:pt>
                <c:pt idx="602">
                  <c:v>-68.161971031436906</c:v>
                </c:pt>
                <c:pt idx="603">
                  <c:v>-69.341876234943399</c:v>
                </c:pt>
                <c:pt idx="604">
                  <c:v>-69.184581628803031</c:v>
                </c:pt>
                <c:pt idx="605">
                  <c:v>-68.866583922933472</c:v>
                </c:pt>
                <c:pt idx="606">
                  <c:v>-69.183196715733487</c:v>
                </c:pt>
                <c:pt idx="607">
                  <c:v>-68.169610164224039</c:v>
                </c:pt>
                <c:pt idx="608">
                  <c:v>-67.742156458960878</c:v>
                </c:pt>
                <c:pt idx="609">
                  <c:v>-67.170091635960887</c:v>
                </c:pt>
                <c:pt idx="610">
                  <c:v>-68.365796497185372</c:v>
                </c:pt>
                <c:pt idx="611">
                  <c:v>-67.817287623852025</c:v>
                </c:pt>
                <c:pt idx="612">
                  <c:v>-65.761667618320104</c:v>
                </c:pt>
                <c:pt idx="613">
                  <c:v>-66.699251140367352</c:v>
                </c:pt>
                <c:pt idx="614">
                  <c:v>-62.781699170367354</c:v>
                </c:pt>
                <c:pt idx="615">
                  <c:v>-62.546927156730995</c:v>
                </c:pt>
                <c:pt idx="616">
                  <c:v>-61.631349666408425</c:v>
                </c:pt>
                <c:pt idx="617">
                  <c:v>-58.572103399993338</c:v>
                </c:pt>
                <c:pt idx="618">
                  <c:v>-56.984505637729185</c:v>
                </c:pt>
                <c:pt idx="619">
                  <c:v>-56.466969882323781</c:v>
                </c:pt>
                <c:pt idx="620">
                  <c:v>-56.266473369942823</c:v>
                </c:pt>
                <c:pt idx="621">
                  <c:v>-56.587843973657108</c:v>
                </c:pt>
                <c:pt idx="622">
                  <c:v>-56.474525427657106</c:v>
                </c:pt>
                <c:pt idx="623">
                  <c:v>-56.232607458804644</c:v>
                </c:pt>
                <c:pt idx="624">
                  <c:v>-56.389924168560739</c:v>
                </c:pt>
                <c:pt idx="625">
                  <c:v>-56.547397918560748</c:v>
                </c:pt>
                <c:pt idx="626">
                  <c:v>-56.118559119687511</c:v>
                </c:pt>
                <c:pt idx="627">
                  <c:v>-54.807745345937512</c:v>
                </c:pt>
                <c:pt idx="628">
                  <c:v>-53.195107132357265</c:v>
                </c:pt>
                <c:pt idx="629">
                  <c:v>-50.773890829420203</c:v>
                </c:pt>
                <c:pt idx="630">
                  <c:v>-49.110693873199722</c:v>
                </c:pt>
                <c:pt idx="631">
                  <c:v>-48.193397776056862</c:v>
                </c:pt>
                <c:pt idx="632">
                  <c:v>-45.668006186056857</c:v>
                </c:pt>
                <c:pt idx="633">
                  <c:v>-43.780040758241739</c:v>
                </c:pt>
                <c:pt idx="634">
                  <c:v>-41.960365389994323</c:v>
                </c:pt>
                <c:pt idx="635">
                  <c:v>-26.977382022603042</c:v>
                </c:pt>
                <c:pt idx="636">
                  <c:v>-30.509639999731515</c:v>
                </c:pt>
                <c:pt idx="637">
                  <c:v>-33.086378257278696</c:v>
                </c:pt>
                <c:pt idx="638">
                  <c:v>-33.213064879117773</c:v>
                </c:pt>
                <c:pt idx="639">
                  <c:v>-34.32943159536778</c:v>
                </c:pt>
                <c:pt idx="640">
                  <c:v>-34.301809515894092</c:v>
                </c:pt>
                <c:pt idx="641">
                  <c:v>-34.82310509816682</c:v>
                </c:pt>
                <c:pt idx="642">
                  <c:v>-33.841307680166821</c:v>
                </c:pt>
                <c:pt idx="643">
                  <c:v>-34.173561926901513</c:v>
                </c:pt>
                <c:pt idx="644">
                  <c:v>-34.173561926901513</c:v>
                </c:pt>
                <c:pt idx="645">
                  <c:v>-33.727825545550161</c:v>
                </c:pt>
                <c:pt idx="646">
                  <c:v>-33.807789870201333</c:v>
                </c:pt>
                <c:pt idx="647">
                  <c:v>-33.526543456975524</c:v>
                </c:pt>
                <c:pt idx="648">
                  <c:v>-32.852747472238676</c:v>
                </c:pt>
                <c:pt idx="649">
                  <c:v>-32.363123159738677</c:v>
                </c:pt>
                <c:pt idx="650">
                  <c:v>-32.692855439897421</c:v>
                </c:pt>
                <c:pt idx="651">
                  <c:v>-33.789613130084327</c:v>
                </c:pt>
                <c:pt idx="652">
                  <c:v>-35.206973419558011</c:v>
                </c:pt>
                <c:pt idx="653">
                  <c:v>-34.637370709558013</c:v>
                </c:pt>
                <c:pt idx="654">
                  <c:v>-35.015542373308008</c:v>
                </c:pt>
                <c:pt idx="655">
                  <c:v>-34.644458728044853</c:v>
                </c:pt>
                <c:pt idx="656">
                  <c:v>-33.849020035103678</c:v>
                </c:pt>
                <c:pt idx="657">
                  <c:v>-33.849020035103678</c:v>
                </c:pt>
                <c:pt idx="658">
                  <c:v>-32.153798273565208</c:v>
                </c:pt>
                <c:pt idx="659">
                  <c:v>-31.70955122636521</c:v>
                </c:pt>
                <c:pt idx="660">
                  <c:v>-31.632203485650926</c:v>
                </c:pt>
                <c:pt idx="661">
                  <c:v>-30.316896820748966</c:v>
                </c:pt>
                <c:pt idx="662">
                  <c:v>-33.408172208453891</c:v>
                </c:pt>
                <c:pt idx="663">
                  <c:v>-32.044446791787223</c:v>
                </c:pt>
                <c:pt idx="664">
                  <c:v>-31.075612966787219</c:v>
                </c:pt>
                <c:pt idx="665">
                  <c:v>-28.125062066017989</c:v>
                </c:pt>
                <c:pt idx="666">
                  <c:v>-25.193776877821264</c:v>
                </c:pt>
                <c:pt idx="667">
                  <c:v>-25.251879886154597</c:v>
                </c:pt>
                <c:pt idx="668">
                  <c:v>-25.114140083829017</c:v>
                </c:pt>
                <c:pt idx="669">
                  <c:v>-25.377362745971872</c:v>
                </c:pt>
                <c:pt idx="670">
                  <c:v>-25.149787940165425</c:v>
                </c:pt>
                <c:pt idx="671">
                  <c:v>-25.198588615943205</c:v>
                </c:pt>
                <c:pt idx="672">
                  <c:v>-24.96890081830275</c:v>
                </c:pt>
                <c:pt idx="673">
                  <c:v>-24.943442525929871</c:v>
                </c:pt>
                <c:pt idx="674">
                  <c:v>-25.154163340215582</c:v>
                </c:pt>
                <c:pt idx="675">
                  <c:v>-25.409135318807131</c:v>
                </c:pt>
                <c:pt idx="676">
                  <c:v>-25.68795896971622</c:v>
                </c:pt>
                <c:pt idx="677">
                  <c:v>-25.480039060256765</c:v>
                </c:pt>
                <c:pt idx="678">
                  <c:v>-25.434820458364872</c:v>
                </c:pt>
                <c:pt idx="679">
                  <c:v>-25.743196874226943</c:v>
                </c:pt>
                <c:pt idx="680">
                  <c:v>-26.016563770313898</c:v>
                </c:pt>
                <c:pt idx="681">
                  <c:v>-26.112419386980562</c:v>
                </c:pt>
                <c:pt idx="682">
                  <c:v>-26.016335246706593</c:v>
                </c:pt>
                <c:pt idx="683">
                  <c:v>-25.842645693639923</c:v>
                </c:pt>
                <c:pt idx="684">
                  <c:v>-25.772281151081781</c:v>
                </c:pt>
                <c:pt idx="685">
                  <c:v>-25.613625058386745</c:v>
                </c:pt>
                <c:pt idx="686">
                  <c:v>-26.077225036606642</c:v>
                </c:pt>
                <c:pt idx="687">
                  <c:v>-25.390467539804899</c:v>
                </c:pt>
                <c:pt idx="688">
                  <c:v>-25.370117201343366</c:v>
                </c:pt>
                <c:pt idx="689">
                  <c:v>-25.326016229343367</c:v>
                </c:pt>
                <c:pt idx="690">
                  <c:v>-25.425015678613441</c:v>
                </c:pt>
                <c:pt idx="691">
                  <c:v>-25.049444488613435</c:v>
                </c:pt>
                <c:pt idx="692">
                  <c:v>-24.772427164434333</c:v>
                </c:pt>
                <c:pt idx="693">
                  <c:v>-24.881615761906861</c:v>
                </c:pt>
                <c:pt idx="694">
                  <c:v>-25.185922809435379</c:v>
                </c:pt>
                <c:pt idx="695">
                  <c:v>-25.100531794698533</c:v>
                </c:pt>
                <c:pt idx="696">
                  <c:v>-25.114224258031872</c:v>
                </c:pt>
                <c:pt idx="697">
                  <c:v>-25.23023497629633</c:v>
                </c:pt>
                <c:pt idx="698">
                  <c:v>-25.222679051387239</c:v>
                </c:pt>
                <c:pt idx="699">
                  <c:v>-25.222679051387239</c:v>
                </c:pt>
                <c:pt idx="700">
                  <c:v>-25.300043408460407</c:v>
                </c:pt>
                <c:pt idx="701">
                  <c:v>-25.271898138623008</c:v>
                </c:pt>
                <c:pt idx="702">
                  <c:v>-25.133603820296013</c:v>
                </c:pt>
                <c:pt idx="703">
                  <c:v>-24.803174463296013</c:v>
                </c:pt>
                <c:pt idx="704">
                  <c:v>-24.540779593962679</c:v>
                </c:pt>
                <c:pt idx="705">
                  <c:v>-24.746700055931594</c:v>
                </c:pt>
                <c:pt idx="706">
                  <c:v>-24.771612808153815</c:v>
                </c:pt>
                <c:pt idx="707">
                  <c:v>-24.823125052182593</c:v>
                </c:pt>
                <c:pt idx="708">
                  <c:v>-24.495353712543601</c:v>
                </c:pt>
                <c:pt idx="709">
                  <c:v>-23.836176256991603</c:v>
                </c:pt>
                <c:pt idx="710">
                  <c:v>-24.29309492712812</c:v>
                </c:pt>
                <c:pt idx="711">
                  <c:v>-24.916471739074062</c:v>
                </c:pt>
                <c:pt idx="712">
                  <c:v>-25.2131430955078</c:v>
                </c:pt>
                <c:pt idx="713">
                  <c:v>-24.665027001927552</c:v>
                </c:pt>
                <c:pt idx="714">
                  <c:v>-24.646637250749102</c:v>
                </c:pt>
                <c:pt idx="715">
                  <c:v>-24.558451021019373</c:v>
                </c:pt>
                <c:pt idx="716">
                  <c:v>-24.470565601196888</c:v>
                </c:pt>
                <c:pt idx="717">
                  <c:v>-24.516875604705664</c:v>
                </c:pt>
                <c:pt idx="718">
                  <c:v>-24.64961329832375</c:v>
                </c:pt>
                <c:pt idx="719">
                  <c:v>-24.787614158828802</c:v>
                </c:pt>
                <c:pt idx="720">
                  <c:v>-24.53706562398505</c:v>
                </c:pt>
                <c:pt idx="721">
                  <c:v>-24.278284059306156</c:v>
                </c:pt>
                <c:pt idx="722">
                  <c:v>-24.844678722232985</c:v>
                </c:pt>
                <c:pt idx="723">
                  <c:v>-24.409637293752986</c:v>
                </c:pt>
                <c:pt idx="724">
                  <c:v>-24.798833018500464</c:v>
                </c:pt>
                <c:pt idx="725">
                  <c:v>-24.649092369484066</c:v>
                </c:pt>
                <c:pt idx="726">
                  <c:v>-24.570564179814642</c:v>
                </c:pt>
                <c:pt idx="727">
                  <c:v>-24.886081549814644</c:v>
                </c:pt>
                <c:pt idx="728">
                  <c:v>-24.830685750964069</c:v>
                </c:pt>
                <c:pt idx="729">
                  <c:v>-25.119530133771086</c:v>
                </c:pt>
                <c:pt idx="730">
                  <c:v>-25.003237681379783</c:v>
                </c:pt>
                <c:pt idx="731">
                  <c:v>-25.006684893246444</c:v>
                </c:pt>
                <c:pt idx="732">
                  <c:v>-24.969799362990038</c:v>
                </c:pt>
                <c:pt idx="733">
                  <c:v>-24.992783666323373</c:v>
                </c:pt>
                <c:pt idx="734">
                  <c:v>-25.077035502990036</c:v>
                </c:pt>
                <c:pt idx="735">
                  <c:v>-25.035299311878923</c:v>
                </c:pt>
                <c:pt idx="736">
                  <c:v>-25.009214579571232</c:v>
                </c:pt>
                <c:pt idx="737">
                  <c:v>-25.153313850795723</c:v>
                </c:pt>
                <c:pt idx="738">
                  <c:v>-25.413495098795725</c:v>
                </c:pt>
                <c:pt idx="739">
                  <c:v>-25.317512948795724</c:v>
                </c:pt>
                <c:pt idx="740">
                  <c:v>-25.485907289972193</c:v>
                </c:pt>
                <c:pt idx="741">
                  <c:v>-25.706412216442786</c:v>
                </c:pt>
                <c:pt idx="742">
                  <c:v>-25.670019496442787</c:v>
                </c:pt>
                <c:pt idx="743">
                  <c:v>-25.462098495047435</c:v>
                </c:pt>
                <c:pt idx="744">
                  <c:v>-25.462098495047435</c:v>
                </c:pt>
                <c:pt idx="745">
                  <c:v>-25.524095332344732</c:v>
                </c:pt>
                <c:pt idx="746">
                  <c:v>-25.277992413236451</c:v>
                </c:pt>
                <c:pt idx="747">
                  <c:v>-25.207697693236451</c:v>
                </c:pt>
                <c:pt idx="748">
                  <c:v>-25.012160745141209</c:v>
                </c:pt>
                <c:pt idx="749">
                  <c:v>-25.346029749258857</c:v>
                </c:pt>
                <c:pt idx="750">
                  <c:v>-24.846304003824077</c:v>
                </c:pt>
                <c:pt idx="751">
                  <c:v>-24.461550388233526</c:v>
                </c:pt>
                <c:pt idx="752">
                  <c:v>-24.337990289510124</c:v>
                </c:pt>
                <c:pt idx="753">
                  <c:v>-24.358279290143035</c:v>
                </c:pt>
                <c:pt idx="754">
                  <c:v>-24.22706828708181</c:v>
                </c:pt>
                <c:pt idx="755">
                  <c:v>-24.138138910637366</c:v>
                </c:pt>
                <c:pt idx="756">
                  <c:v>-24.194198595440518</c:v>
                </c:pt>
                <c:pt idx="757">
                  <c:v>-24.139238827632301</c:v>
                </c:pt>
                <c:pt idx="758">
                  <c:v>-24.072069127184538</c:v>
                </c:pt>
                <c:pt idx="759">
                  <c:v>-24.045070701302187</c:v>
                </c:pt>
                <c:pt idx="760">
                  <c:v>-23.850793389238689</c:v>
                </c:pt>
                <c:pt idx="761">
                  <c:v>-23.687414131056869</c:v>
                </c:pt>
                <c:pt idx="762">
                  <c:v>-23.333309205174519</c:v>
                </c:pt>
                <c:pt idx="763">
                  <c:v>-23.522738148417762</c:v>
                </c:pt>
                <c:pt idx="764">
                  <c:v>-23.130342632121462</c:v>
                </c:pt>
                <c:pt idx="765">
                  <c:v>-22.464038382561991</c:v>
                </c:pt>
                <c:pt idx="766">
                  <c:v>-22.597328592783118</c:v>
                </c:pt>
                <c:pt idx="767">
                  <c:v>-22.37838281956164</c:v>
                </c:pt>
                <c:pt idx="768">
                  <c:v>-22.384014825311638</c:v>
                </c:pt>
                <c:pt idx="769">
                  <c:v>-22.234340766422751</c:v>
                </c:pt>
                <c:pt idx="770">
                  <c:v>-22.238019325152909</c:v>
                </c:pt>
                <c:pt idx="771">
                  <c:v>-22.404167659606685</c:v>
                </c:pt>
                <c:pt idx="772">
                  <c:v>-22.506193669606684</c:v>
                </c:pt>
                <c:pt idx="773">
                  <c:v>-22.221735643267703</c:v>
                </c:pt>
                <c:pt idx="774">
                  <c:v>-21.906396385405106</c:v>
                </c:pt>
                <c:pt idx="775">
                  <c:v>-22.004736863889956</c:v>
                </c:pt>
                <c:pt idx="776">
                  <c:v>-21.788577072529009</c:v>
                </c:pt>
                <c:pt idx="777">
                  <c:v>-21.343539882529015</c:v>
                </c:pt>
                <c:pt idx="778">
                  <c:v>-20.54721715579549</c:v>
                </c:pt>
                <c:pt idx="779">
                  <c:v>-20.469787853137262</c:v>
                </c:pt>
                <c:pt idx="780">
                  <c:v>-19.793284124405275</c:v>
                </c:pt>
                <c:pt idx="781">
                  <c:v>-18.774292298200152</c:v>
                </c:pt>
                <c:pt idx="782">
                  <c:v>-19.288506491010068</c:v>
                </c:pt>
                <c:pt idx="783">
                  <c:v>-19.295485518899977</c:v>
                </c:pt>
                <c:pt idx="784">
                  <c:v>-18.831956886172705</c:v>
                </c:pt>
                <c:pt idx="785">
                  <c:v>-19.037729669721095</c:v>
                </c:pt>
                <c:pt idx="786">
                  <c:v>-18.257036106084733</c:v>
                </c:pt>
                <c:pt idx="787">
                  <c:v>-17.931072506802437</c:v>
                </c:pt>
                <c:pt idx="788">
                  <c:v>-17.975476020445047</c:v>
                </c:pt>
                <c:pt idx="789">
                  <c:v>-18.102988080074677</c:v>
                </c:pt>
                <c:pt idx="790">
                  <c:v>-17.596388677408008</c:v>
                </c:pt>
                <c:pt idx="791">
                  <c:v>-16.51943725518958</c:v>
                </c:pt>
                <c:pt idx="792">
                  <c:v>-15.727269310876324</c:v>
                </c:pt>
                <c:pt idx="793">
                  <c:v>-16.129766570038335</c:v>
                </c:pt>
                <c:pt idx="794">
                  <c:v>-16.314649545974586</c:v>
                </c:pt>
                <c:pt idx="795">
                  <c:v>-17.010826835855184</c:v>
                </c:pt>
                <c:pt idx="796">
                  <c:v>-15.403254528292161</c:v>
                </c:pt>
                <c:pt idx="797">
                  <c:v>-11.273304646890539</c:v>
                </c:pt>
                <c:pt idx="798">
                  <c:v>-4.517081502379944</c:v>
                </c:pt>
                <c:pt idx="799">
                  <c:v>-4.9628020987654864</c:v>
                </c:pt>
                <c:pt idx="800">
                  <c:v>-5.3606287278316342</c:v>
                </c:pt>
                <c:pt idx="801">
                  <c:v>-5.2174657898617092</c:v>
                </c:pt>
                <c:pt idx="802">
                  <c:v>-5.1845359680356227</c:v>
                </c:pt>
                <c:pt idx="803">
                  <c:v>-5.0667897104598651</c:v>
                </c:pt>
                <c:pt idx="804">
                  <c:v>-4.9518540994253835</c:v>
                </c:pt>
                <c:pt idx="805">
                  <c:v>-5.2755436573492585</c:v>
                </c:pt>
                <c:pt idx="806">
                  <c:v>-4.977227701466906</c:v>
                </c:pt>
                <c:pt idx="807">
                  <c:v>-4.9941322814669054</c:v>
                </c:pt>
                <c:pt idx="808">
                  <c:v>-4.7744662175134174</c:v>
                </c:pt>
                <c:pt idx="809">
                  <c:v>-4.7036796747700542</c:v>
                </c:pt>
                <c:pt idx="810">
                  <c:v>-4.4144201105961409</c:v>
                </c:pt>
                <c:pt idx="811">
                  <c:v>-4.0734745375526629</c:v>
                </c:pt>
                <c:pt idx="812">
                  <c:v>-3.0214740885452196</c:v>
                </c:pt>
                <c:pt idx="813">
                  <c:v>0.18349784599465743</c:v>
                </c:pt>
                <c:pt idx="814">
                  <c:v>0.13273057399465737</c:v>
                </c:pt>
                <c:pt idx="815">
                  <c:v>-1.7287815245848791E-2</c:v>
                </c:pt>
                <c:pt idx="816">
                  <c:v>6.0232197531930091E-2</c:v>
                </c:pt>
                <c:pt idx="817">
                  <c:v>9.5205021341454421E-2</c:v>
                </c:pt>
                <c:pt idx="818">
                  <c:v>0.10891543326453119</c:v>
                </c:pt>
                <c:pt idx="819">
                  <c:v>0.20910366624698745</c:v>
                </c:pt>
                <c:pt idx="820">
                  <c:v>0.15400500385760685</c:v>
                </c:pt>
                <c:pt idx="821">
                  <c:v>0.16081203749397038</c:v>
                </c:pt>
                <c:pt idx="822">
                  <c:v>0.91862409731822359</c:v>
                </c:pt>
                <c:pt idx="823">
                  <c:v>0.84401393697339577</c:v>
                </c:pt>
                <c:pt idx="824">
                  <c:v>0.77627697504236104</c:v>
                </c:pt>
                <c:pt idx="825">
                  <c:v>0.99917496975135534</c:v>
                </c:pt>
                <c:pt idx="826">
                  <c:v>0.88724803538454344</c:v>
                </c:pt>
                <c:pt idx="827">
                  <c:v>0.85636963950219069</c:v>
                </c:pt>
                <c:pt idx="828">
                  <c:v>0.89916284510757183</c:v>
                </c:pt>
                <c:pt idx="829">
                  <c:v>0.9350567351075717</c:v>
                </c:pt>
                <c:pt idx="830">
                  <c:v>0.88871371268332977</c:v>
                </c:pt>
                <c:pt idx="831">
                  <c:v>0.7965354920291241</c:v>
                </c:pt>
                <c:pt idx="832">
                  <c:v>0.65285070792507793</c:v>
                </c:pt>
                <c:pt idx="833">
                  <c:v>0.67059770992507806</c:v>
                </c:pt>
                <c:pt idx="834">
                  <c:v>0.61017518097771006</c:v>
                </c:pt>
                <c:pt idx="835">
                  <c:v>0.64745541321455224</c:v>
                </c:pt>
                <c:pt idx="836">
                  <c:v>0.74905201261753729</c:v>
                </c:pt>
                <c:pt idx="837">
                  <c:v>0.70249397602413099</c:v>
                </c:pt>
                <c:pt idx="838">
                  <c:v>0.73861428833992049</c:v>
                </c:pt>
                <c:pt idx="839">
                  <c:v>0.80316307518202534</c:v>
                </c:pt>
                <c:pt idx="840">
                  <c:v>0.74434201654566157</c:v>
                </c:pt>
                <c:pt idx="841">
                  <c:v>0.75585794730037881</c:v>
                </c:pt>
                <c:pt idx="842">
                  <c:v>0.82979775809174605</c:v>
                </c:pt>
                <c:pt idx="843">
                  <c:v>0.44720200660737036</c:v>
                </c:pt>
                <c:pt idx="844">
                  <c:v>0.40099128245771054</c:v>
                </c:pt>
                <c:pt idx="845">
                  <c:v>0.43516374731485336</c:v>
                </c:pt>
                <c:pt idx="846">
                  <c:v>0.45520589869416356</c:v>
                </c:pt>
                <c:pt idx="847">
                  <c:v>0.42819226318395942</c:v>
                </c:pt>
                <c:pt idx="848">
                  <c:v>0.37998816248628514</c:v>
                </c:pt>
                <c:pt idx="849">
                  <c:v>0.13204172581961879</c:v>
                </c:pt>
                <c:pt idx="850">
                  <c:v>0.18449602658884931</c:v>
                </c:pt>
                <c:pt idx="851">
                  <c:v>0.15694417260447424</c:v>
                </c:pt>
                <c:pt idx="852">
                  <c:v>0.24212048507870096</c:v>
                </c:pt>
                <c:pt idx="853">
                  <c:v>0.20129902680283882</c:v>
                </c:pt>
                <c:pt idx="854">
                  <c:v>0.12602119680283883</c:v>
                </c:pt>
                <c:pt idx="855">
                  <c:v>0.14704872216869244</c:v>
                </c:pt>
                <c:pt idx="856">
                  <c:v>0.14233556937366137</c:v>
                </c:pt>
                <c:pt idx="857">
                  <c:v>0.16421697760621948</c:v>
                </c:pt>
                <c:pt idx="858">
                  <c:v>0.20795028308567151</c:v>
                </c:pt>
                <c:pt idx="859">
                  <c:v>0.18308586555989828</c:v>
                </c:pt>
                <c:pt idx="860">
                  <c:v>0.11146194030216626</c:v>
                </c:pt>
                <c:pt idx="861">
                  <c:v>9.8636668723218718E-2</c:v>
                </c:pt>
                <c:pt idx="862">
                  <c:v>0.18086408166439516</c:v>
                </c:pt>
                <c:pt idx="863">
                  <c:v>4.0709392968743076E-2</c:v>
                </c:pt>
                <c:pt idx="864">
                  <c:v>2.3121638718742989E-2</c:v>
                </c:pt>
                <c:pt idx="865">
                  <c:v>4.4285626076319114E-3</c:v>
                </c:pt>
                <c:pt idx="866">
                  <c:v>5.4370983652076406E-3</c:v>
                </c:pt>
                <c:pt idx="867">
                  <c:v>-6.1426090823981296E-2</c:v>
                </c:pt>
                <c:pt idx="868">
                  <c:v>-9.1664010823981304E-2</c:v>
                </c:pt>
                <c:pt idx="869">
                  <c:v>-7.9948480469999098E-2</c:v>
                </c:pt>
                <c:pt idx="870">
                  <c:v>-2.8386656713092959E-2</c:v>
                </c:pt>
                <c:pt idx="871">
                  <c:v>-5.0783883967994915E-2</c:v>
                </c:pt>
                <c:pt idx="872">
                  <c:v>-8.7189590563739539E-2</c:v>
                </c:pt>
                <c:pt idx="873">
                  <c:v>-9.9377109633506891E-2</c:v>
                </c:pt>
                <c:pt idx="874">
                  <c:v>-0.10418447950105654</c:v>
                </c:pt>
                <c:pt idx="875">
                  <c:v>-0.12272628603648958</c:v>
                </c:pt>
                <c:pt idx="876">
                  <c:v>-0.1190147800364896</c:v>
                </c:pt>
                <c:pt idx="877">
                  <c:v>-9.8473169601707086E-2</c:v>
                </c:pt>
                <c:pt idx="878">
                  <c:v>-7.4630822662931487E-2</c:v>
                </c:pt>
                <c:pt idx="879">
                  <c:v>-6.0293341811867622E-2</c:v>
                </c:pt>
                <c:pt idx="880">
                  <c:v>-9.0193961811867618E-2</c:v>
                </c:pt>
                <c:pt idx="881">
                  <c:v>-8.0749998231620712E-2</c:v>
                </c:pt>
                <c:pt idx="882">
                  <c:v>-8.274356618342793E-2</c:v>
                </c:pt>
                <c:pt idx="883">
                  <c:v>-6.172360499171814E-2</c:v>
                </c:pt>
                <c:pt idx="884">
                  <c:v>-2.5207388965517292E-2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53-4869-A2C1-8CCDB7B44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499040"/>
        <c:axId val="308499456"/>
      </c:lineChart>
      <c:dateAx>
        <c:axId val="308499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9456"/>
        <c:crosses val="autoZero"/>
        <c:auto val="1"/>
        <c:lblOffset val="100"/>
        <c:baseTimeUnit val="days"/>
      </c:dateAx>
      <c:valAx>
        <c:axId val="3084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6A5BF2B-3E12-47D9-BC99-B589366E019B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38836F-B0F1-40F9-B44E-F5070C8E2F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3.4750000000000003E-2</v>
      </c>
      <c r="D2" s="4">
        <f>MIN(D3:D1912)</f>
        <v>5.2700000000000002E-4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6.2310000000000004E-3</v>
      </c>
      <c r="C5">
        <v>6.3099999999999996E-3</v>
      </c>
      <c r="D5">
        <v>6.0540000000000004E-3</v>
      </c>
      <c r="E5">
        <v>6.0600000000000003E-3</v>
      </c>
      <c r="F5">
        <v>11620297</v>
      </c>
      <c r="G5">
        <v>6.0600000000000003E-3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-0.95312500000000044</v>
      </c>
      <c r="Q5">
        <f t="shared" ref="Q5" si="1">F5*P5</f>
        <v>-11075595.578125006</v>
      </c>
      <c r="R5">
        <f t="shared" ref="R5" si="2">R6+Q5</f>
        <v>-97826298002.996002</v>
      </c>
      <c r="S5">
        <f t="shared" ref="S5" si="3">R5/100000</f>
        <v>-978262.98002996005</v>
      </c>
      <c r="T5">
        <f t="shared" ref="T5" si="4">S5/1000</f>
        <v>-978.26298002996009</v>
      </c>
    </row>
    <row r="6" spans="1:20" x14ac:dyDescent="0.25">
      <c r="A6" s="5">
        <v>44587</v>
      </c>
      <c r="B6">
        <v>6.3330000000000001E-3</v>
      </c>
      <c r="C6">
        <v>6.8979999999999996E-3</v>
      </c>
      <c r="D6">
        <v>6.0749999999999997E-3</v>
      </c>
      <c r="E6">
        <v>6.2069999999999998E-3</v>
      </c>
      <c r="F6">
        <v>301634977</v>
      </c>
      <c r="G6">
        <v>6.2069999999999998E-3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-0.67922235722964719</v>
      </c>
      <c r="Q6">
        <f t="shared" ref="Q6" si="6">F6*P6</f>
        <v>-204877220.1008504</v>
      </c>
      <c r="R6">
        <f t="shared" ref="R6" si="7">R7+Q6</f>
        <v>-97815222407.417877</v>
      </c>
      <c r="S6">
        <f t="shared" ref="S6" si="8">R6/100000</f>
        <v>-978152.22407417872</v>
      </c>
      <c r="T6">
        <f t="shared" ref="T6" si="9">S6/1000</f>
        <v>-978.15222407417878</v>
      </c>
    </row>
    <row r="7" spans="1:20" x14ac:dyDescent="0.25">
      <c r="A7" s="5">
        <v>44586</v>
      </c>
      <c r="B7">
        <v>6.3220000000000004E-3</v>
      </c>
      <c r="C7">
        <v>6.4790000000000004E-3</v>
      </c>
      <c r="D7">
        <v>6.1040000000000001E-3</v>
      </c>
      <c r="E7">
        <v>6.3109999999999998E-3</v>
      </c>
      <c r="F7">
        <v>164169233</v>
      </c>
      <c r="G7">
        <v>6.3109999999999998E-3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0.10399999999999752</v>
      </c>
      <c r="Q7">
        <f t="shared" ref="Q7" si="11">F7*P7</f>
        <v>17073600.231999595</v>
      </c>
      <c r="R7">
        <f t="shared" ref="R7" si="12">R8+Q7</f>
        <v>-97610345187.317032</v>
      </c>
      <c r="S7">
        <f t="shared" ref="S7" si="13">R7/100000</f>
        <v>-976103.45187317033</v>
      </c>
      <c r="T7">
        <f t="shared" ref="T7" si="14">S7/1000</f>
        <v>-976.10345187317034</v>
      </c>
    </row>
    <row r="8" spans="1:20" x14ac:dyDescent="0.25">
      <c r="A8" s="5">
        <v>44585</v>
      </c>
      <c r="B8">
        <v>6.9610000000000002E-3</v>
      </c>
      <c r="C8">
        <v>6.9610000000000002E-3</v>
      </c>
      <c r="D8">
        <v>5.7499999999999999E-3</v>
      </c>
      <c r="E8">
        <v>6.3090000000000004E-3</v>
      </c>
      <c r="F8">
        <v>849815136</v>
      </c>
      <c r="G8">
        <v>6.3090000000000004E-3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-7.6796036333608014E-2</v>
      </c>
      <c r="Q8">
        <f t="shared" ref="Q8" si="16">F8*P8</f>
        <v>-65262434.061106034</v>
      </c>
      <c r="R8">
        <f t="shared" ref="R8" si="17">R9+Q8</f>
        <v>-97627418787.549026</v>
      </c>
      <c r="S8">
        <f t="shared" ref="S8" si="18">R8/100000</f>
        <v>-976274.18787549029</v>
      </c>
      <c r="T8">
        <f t="shared" ref="T8" si="19">S8/1000</f>
        <v>-976.27418787549027</v>
      </c>
    </row>
    <row r="9" spans="1:20" x14ac:dyDescent="0.25">
      <c r="A9" s="5">
        <v>44584</v>
      </c>
      <c r="B9">
        <v>6.4780000000000003E-3</v>
      </c>
      <c r="C9">
        <v>7.6410000000000002E-3</v>
      </c>
      <c r="D9">
        <v>6.3709999999999999E-3</v>
      </c>
      <c r="E9">
        <v>6.9649999999999998E-3</v>
      </c>
      <c r="F9">
        <v>983687137</v>
      </c>
      <c r="G9">
        <v>6.9649999999999998E-3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-6.4566929133858628E-2</v>
      </c>
      <c r="Q9">
        <f t="shared" ref="Q9" si="21">F9*P9</f>
        <v>-63513657.664567284</v>
      </c>
      <c r="R9">
        <f t="shared" ref="R9" si="22">R10+Q9</f>
        <v>-97562156353.487915</v>
      </c>
      <c r="S9">
        <f t="shared" ref="S9" si="23">R9/100000</f>
        <v>-975621.56353487913</v>
      </c>
      <c r="T9">
        <f t="shared" ref="T9" si="24">S9/1000</f>
        <v>-975.6215635348791</v>
      </c>
    </row>
    <row r="10" spans="1:20" x14ac:dyDescent="0.25">
      <c r="A10" s="5">
        <v>44583</v>
      </c>
      <c r="B10">
        <v>7.5069999999999998E-3</v>
      </c>
      <c r="C10">
        <v>7.6499999999999997E-3</v>
      </c>
      <c r="D10">
        <v>5.5830000000000003E-3</v>
      </c>
      <c r="E10">
        <v>6.4900000000000001E-3</v>
      </c>
      <c r="F10">
        <v>691842154</v>
      </c>
      <c r="G10">
        <v>6.4900000000000001E-3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-0.12239961296565062</v>
      </c>
      <c r="Q10">
        <f t="shared" ref="Q10" si="26">F10*P10</f>
        <v>-84681211.882922053</v>
      </c>
      <c r="R10">
        <f t="shared" ref="R10" si="27">R11+Q10</f>
        <v>-97498642695.823349</v>
      </c>
      <c r="S10">
        <f t="shared" ref="S10" si="28">R10/100000</f>
        <v>-974986.42695823347</v>
      </c>
      <c r="T10">
        <f t="shared" ref="T10" si="29">S10/1000</f>
        <v>-974.98642695823344</v>
      </c>
    </row>
    <row r="11" spans="1:20" x14ac:dyDescent="0.25">
      <c r="A11" s="5">
        <v>44582</v>
      </c>
      <c r="B11">
        <v>9.3279999999999995E-3</v>
      </c>
      <c r="C11">
        <v>9.443E-3</v>
      </c>
      <c r="D11">
        <v>7.3000000000000001E-3</v>
      </c>
      <c r="E11">
        <v>7.5069999999999998E-3</v>
      </c>
      <c r="F11">
        <v>617245137</v>
      </c>
      <c r="G11">
        <v>7.5069999999999998E-3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-0.80681287914139088</v>
      </c>
      <c r="Q11">
        <f t="shared" ref="Q11" si="31">F11*P11</f>
        <v>-498001326.11899227</v>
      </c>
      <c r="R11">
        <f t="shared" ref="R11" si="32">R12+Q11</f>
        <v>-97413961483.94043</v>
      </c>
      <c r="S11">
        <f t="shared" ref="S11" si="33">R11/100000</f>
        <v>-974139.61483940424</v>
      </c>
      <c r="T11">
        <f t="shared" ref="T11" si="34">S11/1000</f>
        <v>-974.1396148394042</v>
      </c>
    </row>
    <row r="12" spans="1:20" x14ac:dyDescent="0.25">
      <c r="A12" s="5">
        <v>44581</v>
      </c>
      <c r="B12">
        <v>9.861E-3</v>
      </c>
      <c r="C12">
        <v>1.0244E-2</v>
      </c>
      <c r="D12">
        <v>9.3019999999999995E-3</v>
      </c>
      <c r="E12">
        <v>9.3299999999999998E-3</v>
      </c>
      <c r="F12">
        <v>199857770</v>
      </c>
      <c r="G12">
        <v>9.3299999999999998E-3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-0.94055201698513746</v>
      </c>
      <c r="Q12">
        <f t="shared" ref="Q12" si="36">F12*P12</f>
        <v>-187976628.68365169</v>
      </c>
      <c r="R12">
        <f t="shared" ref="R12" si="37">R13+Q12</f>
        <v>-96915960157.821442</v>
      </c>
      <c r="S12">
        <f t="shared" ref="S12" si="38">R12/100000</f>
        <v>-969159.60157821444</v>
      </c>
      <c r="T12">
        <f t="shared" ref="T12" si="39">S12/1000</f>
        <v>-969.15960157821439</v>
      </c>
    </row>
    <row r="13" spans="1:20" x14ac:dyDescent="0.25">
      <c r="A13" s="5">
        <v>44580</v>
      </c>
      <c r="B13">
        <v>1.0196E-2</v>
      </c>
      <c r="C13">
        <v>1.0456E-2</v>
      </c>
      <c r="D13">
        <v>9.7420000000000007E-3</v>
      </c>
      <c r="E13">
        <v>9.8589999999999997E-3</v>
      </c>
      <c r="F13">
        <v>171939024</v>
      </c>
      <c r="G13">
        <v>9.8589999999999997E-3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-0.6722689075630276</v>
      </c>
      <c r="Q13">
        <f t="shared" ref="Q13" si="41">F13*P13</f>
        <v>-115589259.83193319</v>
      </c>
      <c r="R13">
        <f t="shared" ref="R13" si="42">R14+Q13</f>
        <v>-96727983529.137787</v>
      </c>
      <c r="S13">
        <f t="shared" ref="S13" si="43">R13/100000</f>
        <v>-967279.83529137785</v>
      </c>
      <c r="T13">
        <f t="shared" ref="T13" si="44">S13/1000</f>
        <v>-967.27983529137782</v>
      </c>
    </row>
    <row r="14" spans="1:20" x14ac:dyDescent="0.25">
      <c r="A14" s="5">
        <v>44579</v>
      </c>
      <c r="B14">
        <v>1.0134000000000001E-2</v>
      </c>
      <c r="C14">
        <v>1.0415000000000001E-2</v>
      </c>
      <c r="D14">
        <v>9.6010000000000002E-3</v>
      </c>
      <c r="E14">
        <v>1.0199E-2</v>
      </c>
      <c r="F14">
        <v>201225340</v>
      </c>
      <c r="G14">
        <v>1.0199E-2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0.46928746928746734</v>
      </c>
      <c r="Q14">
        <f t="shared" ref="Q14" si="46">F14*P14</f>
        <v>94432530.565110177</v>
      </c>
      <c r="R14">
        <f t="shared" ref="R14" si="47">R15+Q14</f>
        <v>-96612394269.305847</v>
      </c>
      <c r="S14">
        <f t="shared" ref="S14" si="48">R14/100000</f>
        <v>-966123.94269305852</v>
      </c>
      <c r="T14">
        <f t="shared" ref="T14" si="49">S14/1000</f>
        <v>-966.12394269305855</v>
      </c>
    </row>
    <row r="15" spans="1:20" x14ac:dyDescent="0.25">
      <c r="A15" s="5">
        <v>44578</v>
      </c>
      <c r="B15">
        <v>1.0482E-2</v>
      </c>
      <c r="C15">
        <v>1.0630000000000001E-2</v>
      </c>
      <c r="D15">
        <v>9.8930000000000008E-3</v>
      </c>
      <c r="E15">
        <v>1.0130999999999999E-2</v>
      </c>
      <c r="F15">
        <v>172305573</v>
      </c>
      <c r="G15">
        <v>1.0130999999999999E-2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-0.35413839891452187</v>
      </c>
      <c r="Q15">
        <f t="shared" ref="Q15" si="51">F15*P15</f>
        <v>-61020019.746269271</v>
      </c>
      <c r="R15">
        <f t="shared" ref="R15" si="52">R16+Q15</f>
        <v>-96706826799.870956</v>
      </c>
      <c r="S15">
        <f t="shared" ref="S15" si="53">R15/100000</f>
        <v>-967068.26799870958</v>
      </c>
      <c r="T15">
        <f t="shared" ref="T15" si="54">S15/1000</f>
        <v>-967.06826799870953</v>
      </c>
    </row>
    <row r="16" spans="1:20" x14ac:dyDescent="0.25">
      <c r="A16" s="5">
        <v>44577</v>
      </c>
      <c r="B16">
        <v>1.0633E-2</v>
      </c>
      <c r="C16">
        <v>1.09E-2</v>
      </c>
      <c r="D16">
        <v>1.0461E-2</v>
      </c>
      <c r="E16">
        <v>1.0484E-2</v>
      </c>
      <c r="F16">
        <v>195457463</v>
      </c>
      <c r="G16">
        <v>1.0484E-2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-0.89521640091115973</v>
      </c>
      <c r="Q16">
        <f t="shared" ref="Q16" si="56">F16*P16</f>
        <v>-174976726.55808616</v>
      </c>
      <c r="R16">
        <f t="shared" ref="R16" si="57">R17+Q16</f>
        <v>-96645806780.12468</v>
      </c>
      <c r="S16">
        <f t="shared" ref="S16" si="58">R16/100000</f>
        <v>-966458.06780124677</v>
      </c>
      <c r="T16">
        <f t="shared" ref="T16" si="59">S16/1000</f>
        <v>-966.45806780124678</v>
      </c>
    </row>
    <row r="17" spans="1:20" x14ac:dyDescent="0.25">
      <c r="A17" s="5">
        <v>44576</v>
      </c>
      <c r="B17">
        <v>1.038E-2</v>
      </c>
      <c r="C17">
        <v>1.154E-2</v>
      </c>
      <c r="D17">
        <v>1.0229E-2</v>
      </c>
      <c r="E17">
        <v>1.0642E-2</v>
      </c>
      <c r="F17">
        <v>340829845</v>
      </c>
      <c r="G17">
        <v>1.0642E-2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-0.36994660564454573</v>
      </c>
      <c r="Q17">
        <f t="shared" ref="Q17" si="61">F17*P17</f>
        <v>-126088844.26010665</v>
      </c>
      <c r="R17">
        <f t="shared" ref="R17" si="62">R18+Q17</f>
        <v>-96470830053.566589</v>
      </c>
      <c r="S17">
        <f t="shared" ref="S17" si="63">R17/100000</f>
        <v>-964708.30053566594</v>
      </c>
      <c r="T17">
        <f t="shared" ref="T17" si="64">S17/1000</f>
        <v>-964.7083005356659</v>
      </c>
    </row>
    <row r="18" spans="1:20" x14ac:dyDescent="0.25">
      <c r="A18" s="5">
        <v>44575</v>
      </c>
      <c r="B18">
        <v>1.0322E-2</v>
      </c>
      <c r="C18">
        <v>1.0544E-2</v>
      </c>
      <c r="D18">
        <v>9.9279999999999993E-3</v>
      </c>
      <c r="E18">
        <v>1.038E-2</v>
      </c>
      <c r="F18">
        <v>184381419</v>
      </c>
      <c r="G18">
        <v>1.038E-2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0.4675324675324703</v>
      </c>
      <c r="Q18">
        <f t="shared" ref="Q18" si="66">F18*P18</f>
        <v>86204299.792208299</v>
      </c>
      <c r="R18">
        <f t="shared" ref="R18" si="67">R19+Q18</f>
        <v>-96344741209.306488</v>
      </c>
      <c r="S18">
        <f t="shared" ref="S18" si="68">R18/100000</f>
        <v>-963447.41209306486</v>
      </c>
      <c r="T18">
        <f t="shared" ref="T18" si="69">S18/1000</f>
        <v>-963.44741209306483</v>
      </c>
    </row>
    <row r="19" spans="1:20" x14ac:dyDescent="0.25">
      <c r="A19" s="5">
        <v>44574</v>
      </c>
      <c r="B19">
        <v>1.0899000000000001E-2</v>
      </c>
      <c r="C19">
        <v>1.1086E-2</v>
      </c>
      <c r="D19">
        <v>1.0265E-2</v>
      </c>
      <c r="E19">
        <v>1.0318000000000001E-2</v>
      </c>
      <c r="F19">
        <v>244287075</v>
      </c>
      <c r="G19">
        <v>1.0318000000000001E-2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-0.87088915956150814</v>
      </c>
      <c r="Q19">
        <f t="shared" ref="Q19" si="71">F19*P19</f>
        <v>-212746965.43848911</v>
      </c>
      <c r="R19">
        <f t="shared" ref="R19" si="72">R20+Q19</f>
        <v>-96430945509.098694</v>
      </c>
      <c r="S19">
        <f t="shared" ref="S19" si="73">R19/100000</f>
        <v>-964309.45509098691</v>
      </c>
      <c r="T19">
        <f t="shared" ref="T19" si="74">S19/1000</f>
        <v>-964.30945509098694</v>
      </c>
    </row>
    <row r="20" spans="1:20" x14ac:dyDescent="0.25">
      <c r="A20" s="5">
        <v>44573</v>
      </c>
      <c r="B20">
        <v>1.0434000000000001E-2</v>
      </c>
      <c r="C20">
        <v>1.0984000000000001E-2</v>
      </c>
      <c r="D20">
        <v>1.0331E-2</v>
      </c>
      <c r="E20">
        <v>1.0904E-2</v>
      </c>
      <c r="F20">
        <v>256090215</v>
      </c>
      <c r="G20">
        <v>1.0904E-2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0.75497702909647746</v>
      </c>
      <c r="Q20">
        <f t="shared" ref="Q20" si="76">F20*P20</f>
        <v>193342229.70137817</v>
      </c>
      <c r="R20">
        <f t="shared" ref="R20" si="77">R21+Q20</f>
        <v>-96218198543.660202</v>
      </c>
      <c r="S20">
        <f t="shared" ref="S20" si="78">R20/100000</f>
        <v>-962181.98543660203</v>
      </c>
      <c r="T20">
        <f t="shared" ref="T20" si="79">S20/1000</f>
        <v>-962.18198543660208</v>
      </c>
    </row>
    <row r="21" spans="1:20" x14ac:dyDescent="0.25">
      <c r="A21" s="5">
        <v>44572</v>
      </c>
      <c r="B21">
        <v>1.0075000000000001E-2</v>
      </c>
      <c r="C21">
        <v>1.0541E-2</v>
      </c>
      <c r="D21">
        <v>9.9799999999999993E-3</v>
      </c>
      <c r="E21">
        <v>1.0434000000000001E-2</v>
      </c>
      <c r="F21">
        <v>261305425</v>
      </c>
      <c r="G21">
        <v>1.0434000000000001E-2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0.6185383244206798</v>
      </c>
      <c r="Q21">
        <f t="shared" ref="Q21" si="81">F21*P21</f>
        <v>161627419.74153361</v>
      </c>
      <c r="R21">
        <f t="shared" ref="R21" si="82">R22+Q21</f>
        <v>-96411540773.361588</v>
      </c>
      <c r="S21">
        <f t="shared" ref="S21" si="83">R21/100000</f>
        <v>-964115.40773361584</v>
      </c>
      <c r="T21">
        <f t="shared" ref="T21" si="84">S21/1000</f>
        <v>-964.11540773361583</v>
      </c>
    </row>
    <row r="22" spans="1:20" x14ac:dyDescent="0.25">
      <c r="A22" s="5">
        <v>44571</v>
      </c>
      <c r="B22">
        <v>1.0603E-2</v>
      </c>
      <c r="C22">
        <v>1.094E-2</v>
      </c>
      <c r="D22">
        <v>9.7129999999999994E-3</v>
      </c>
      <c r="E22">
        <v>1.0071E-2</v>
      </c>
      <c r="F22">
        <v>320955934</v>
      </c>
      <c r="G22">
        <v>1.0071E-2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-0.41646291768541077</v>
      </c>
      <c r="Q22">
        <f t="shared" ref="Q22" si="86">F22*P22</f>
        <v>-133666244.72208613</v>
      </c>
      <c r="R22">
        <f t="shared" ref="R22" si="87">R23+Q22</f>
        <v>-96573168193.103119</v>
      </c>
      <c r="S22">
        <f t="shared" ref="S22" si="88">R22/100000</f>
        <v>-965731.68193103117</v>
      </c>
      <c r="T22">
        <f t="shared" ref="T22" si="89">S22/1000</f>
        <v>-965.73168193103118</v>
      </c>
    </row>
    <row r="23" spans="1:20" x14ac:dyDescent="0.25">
      <c r="A23" s="5">
        <v>44570</v>
      </c>
      <c r="B23">
        <v>1.0416E-2</v>
      </c>
      <c r="C23">
        <v>1.1112E-2</v>
      </c>
      <c r="D23">
        <v>1.0307E-2</v>
      </c>
      <c r="E23">
        <v>1.061E-2</v>
      </c>
      <c r="F23">
        <v>216022845</v>
      </c>
      <c r="G23">
        <v>1.061E-2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-0.24720496894410091</v>
      </c>
      <c r="Q23">
        <f t="shared" ref="Q23" si="91">F23*P23</f>
        <v>-53401920.689441323</v>
      </c>
      <c r="R23">
        <f t="shared" ref="R23" si="92">R24+Q23</f>
        <v>-96439501948.381027</v>
      </c>
      <c r="S23">
        <f t="shared" ref="S23" si="93">R23/100000</f>
        <v>-964395.01948381029</v>
      </c>
      <c r="T23">
        <f t="shared" ref="T23" si="94">S23/1000</f>
        <v>-964.3950194838103</v>
      </c>
    </row>
    <row r="24" spans="1:20" x14ac:dyDescent="0.25">
      <c r="A24" s="5">
        <v>44569</v>
      </c>
      <c r="B24">
        <v>1.0699E-2</v>
      </c>
      <c r="C24">
        <v>1.1871E-2</v>
      </c>
      <c r="D24">
        <v>1.0104E-2</v>
      </c>
      <c r="E24">
        <v>1.0409E-2</v>
      </c>
      <c r="F24">
        <v>391963696</v>
      </c>
      <c r="G24">
        <v>1.0409E-2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-0.65478211658177721</v>
      </c>
      <c r="Q24">
        <f t="shared" ref="Q24" si="96">F24*P24</f>
        <v>-256650818.49009627</v>
      </c>
      <c r="R24">
        <f t="shared" ref="R24" si="97">R25+Q24</f>
        <v>-96386100027.691589</v>
      </c>
      <c r="S24">
        <f t="shared" ref="S24" si="98">R24/100000</f>
        <v>-963861.00027691585</v>
      </c>
      <c r="T24">
        <f t="shared" ref="T24" si="99">S24/1000</f>
        <v>-963.86100027691589</v>
      </c>
    </row>
    <row r="25" spans="1:20" x14ac:dyDescent="0.25">
      <c r="A25" s="5">
        <v>44568</v>
      </c>
      <c r="B25">
        <v>1.1599999999999999E-2</v>
      </c>
      <c r="C25">
        <v>1.1637E-2</v>
      </c>
      <c r="D25">
        <v>1.043E-2</v>
      </c>
      <c r="E25">
        <v>1.0682000000000001E-2</v>
      </c>
      <c r="F25">
        <v>376461182</v>
      </c>
      <c r="G25">
        <v>1.0682000000000001E-2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-0.58243579121789468</v>
      </c>
      <c r="Q25">
        <f t="shared" ref="Q25" si="101">F25*P25</f>
        <v>-219264466.40099385</v>
      </c>
      <c r="R25">
        <f t="shared" ref="R25" si="102">R26+Q25</f>
        <v>-96129449209.201492</v>
      </c>
      <c r="S25">
        <f t="shared" ref="S25" si="103">R25/100000</f>
        <v>-961294.49209201487</v>
      </c>
      <c r="T25">
        <f t="shared" ref="T25" si="104">S25/1000</f>
        <v>-961.29449209201482</v>
      </c>
    </row>
    <row r="26" spans="1:20" x14ac:dyDescent="0.25">
      <c r="A26" s="5">
        <v>44567</v>
      </c>
      <c r="B26">
        <v>1.1812E-2</v>
      </c>
      <c r="C26">
        <v>1.2049000000000001E-2</v>
      </c>
      <c r="D26">
        <v>1.1164E-2</v>
      </c>
      <c r="E26">
        <v>1.1606999999999999E-2</v>
      </c>
      <c r="F26">
        <v>295785658</v>
      </c>
      <c r="G26">
        <v>1.1606999999999999E-2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1.1299435028220681E-3</v>
      </c>
      <c r="Q26">
        <f t="shared" ref="Q26" si="106">F26*P26</f>
        <v>334221.08248505025</v>
      </c>
      <c r="R26">
        <f t="shared" ref="R26" si="107">R27+Q26</f>
        <v>-95910184742.800491</v>
      </c>
      <c r="S26">
        <f t="shared" ref="S26" si="108">R26/100000</f>
        <v>-959101.84742800496</v>
      </c>
      <c r="T26">
        <f t="shared" ref="T26" si="109">S26/1000</f>
        <v>-959.10184742800493</v>
      </c>
    </row>
    <row r="27" spans="1:20" x14ac:dyDescent="0.25">
      <c r="A27" s="5">
        <v>44566</v>
      </c>
      <c r="B27">
        <v>1.2312E-2</v>
      </c>
      <c r="C27">
        <v>1.303E-2</v>
      </c>
      <c r="D27">
        <v>1.1299999999999999E-2</v>
      </c>
      <c r="E27">
        <v>1.1818E-2</v>
      </c>
      <c r="F27">
        <v>433928875</v>
      </c>
      <c r="G27">
        <v>1.1818E-2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-0.40115606936416082</v>
      </c>
      <c r="Q27">
        <f t="shared" ref="Q27" si="111">F27*P27</f>
        <v>-174073201.87861228</v>
      </c>
      <c r="R27">
        <f t="shared" ref="R27" si="112">R28+Q27</f>
        <v>-95910518963.88298</v>
      </c>
      <c r="S27">
        <f t="shared" ref="S27" si="113">R27/100000</f>
        <v>-959105.18963882979</v>
      </c>
      <c r="T27">
        <f t="shared" ref="T27" si="114">S27/1000</f>
        <v>-959.10518963882976</v>
      </c>
    </row>
    <row r="28" spans="1:20" x14ac:dyDescent="0.25">
      <c r="A28" s="5">
        <v>44565</v>
      </c>
      <c r="B28">
        <v>1.2442999999999999E-2</v>
      </c>
      <c r="C28">
        <v>1.2836E-2</v>
      </c>
      <c r="D28">
        <v>1.2248E-2</v>
      </c>
      <c r="E28">
        <v>1.2324E-2</v>
      </c>
      <c r="F28">
        <v>243628917</v>
      </c>
      <c r="G28">
        <v>1.2324E-2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-0.74149659863945683</v>
      </c>
      <c r="Q28">
        <f t="shared" ref="Q28" si="116">F28*P28</f>
        <v>-180650013.28571454</v>
      </c>
      <c r="R28">
        <f t="shared" ref="R28" si="117">R29+Q28</f>
        <v>-95736445762.004364</v>
      </c>
      <c r="S28">
        <f t="shared" ref="S28" si="118">R28/100000</f>
        <v>-957364.45762004366</v>
      </c>
      <c r="T28">
        <f t="shared" ref="T28" si="119">S28/1000</f>
        <v>-957.36445762004371</v>
      </c>
    </row>
    <row r="29" spans="1:20" x14ac:dyDescent="0.25">
      <c r="A29" s="5">
        <v>44564</v>
      </c>
      <c r="B29">
        <v>1.2787E-2</v>
      </c>
      <c r="C29">
        <v>1.2999E-2</v>
      </c>
      <c r="D29">
        <v>1.2317E-2</v>
      </c>
      <c r="E29">
        <v>1.2441000000000001E-2</v>
      </c>
      <c r="F29">
        <v>216729436</v>
      </c>
      <c r="G29">
        <v>1.2441000000000001E-2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-0.63636363636363402</v>
      </c>
      <c r="Q29">
        <f t="shared" ref="Q29" si="121">F29*P29</f>
        <v>-137918731.99999949</v>
      </c>
      <c r="R29">
        <f t="shared" ref="R29" si="122">R30+Q29</f>
        <v>-95555795748.718643</v>
      </c>
      <c r="S29">
        <f t="shared" ref="S29" si="123">R29/100000</f>
        <v>-955557.95748718642</v>
      </c>
      <c r="T29">
        <f t="shared" ref="T29" si="124">S29/1000</f>
        <v>-955.5579574871864</v>
      </c>
    </row>
    <row r="30" spans="1:20" x14ac:dyDescent="0.25">
      <c r="A30" s="5">
        <v>44563</v>
      </c>
      <c r="B30">
        <v>1.3236E-2</v>
      </c>
      <c r="C30">
        <v>1.3251000000000001E-2</v>
      </c>
      <c r="D30">
        <v>1.265E-2</v>
      </c>
      <c r="E30">
        <v>1.2777E-2</v>
      </c>
      <c r="F30">
        <v>257272138</v>
      </c>
      <c r="G30">
        <v>1.2777E-2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-0.57737104825291119</v>
      </c>
      <c r="Q30">
        <f t="shared" ref="Q30" si="126">F30*P30</f>
        <v>-148541484.00332764</v>
      </c>
      <c r="R30">
        <f t="shared" ref="R30" si="127">R31+Q30</f>
        <v>-95417877016.718643</v>
      </c>
      <c r="S30">
        <f t="shared" ref="S30" si="128">R30/100000</f>
        <v>-954178.77016718639</v>
      </c>
      <c r="T30">
        <f t="shared" ref="T30" si="129">S30/1000</f>
        <v>-954.17877016718637</v>
      </c>
    </row>
    <row r="31" spans="1:20" x14ac:dyDescent="0.25">
      <c r="A31" s="5">
        <v>44562</v>
      </c>
      <c r="B31">
        <v>1.2926999999999999E-2</v>
      </c>
      <c r="C31">
        <v>1.3374E-2</v>
      </c>
      <c r="D31">
        <v>1.2690999999999999E-2</v>
      </c>
      <c r="E31">
        <v>1.3237000000000001E-2</v>
      </c>
      <c r="F31">
        <v>395392916</v>
      </c>
      <c r="G31">
        <v>1.3237000000000001E-2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0.59882869692533025</v>
      </c>
      <c r="Q31">
        <f t="shared" ref="Q31" si="131">F31*P31</f>
        <v>236772624.66178656</v>
      </c>
      <c r="R31">
        <f t="shared" ref="R31" si="132">R32+Q31</f>
        <v>-95269335532.715317</v>
      </c>
      <c r="S31">
        <f t="shared" ref="S31" si="133">R31/100000</f>
        <v>-952693.35532715311</v>
      </c>
      <c r="T31">
        <f t="shared" ref="T31" si="134">S31/1000</f>
        <v>-952.69335532715309</v>
      </c>
    </row>
    <row r="32" spans="1:20" x14ac:dyDescent="0.25">
      <c r="A32" s="5">
        <v>44561</v>
      </c>
      <c r="B32">
        <v>1.2432E-2</v>
      </c>
      <c r="C32">
        <v>1.367E-2</v>
      </c>
      <c r="D32">
        <v>1.24E-2</v>
      </c>
      <c r="E32">
        <v>1.2926999999999999E-2</v>
      </c>
      <c r="F32">
        <v>746307760</v>
      </c>
      <c r="G32">
        <v>1.2926999999999999E-2</v>
      </c>
      <c r="L32" t="s">
        <v>7</v>
      </c>
      <c r="M32" t="s">
        <v>8</v>
      </c>
      <c r="N32" t="s">
        <v>8</v>
      </c>
      <c r="P32">
        <f t="shared" ref="P32" si="135">IF(C32=D32,0,((E32-D32)-(C32-E32))/(C32-D32))</f>
        <v>-0.17007874015748101</v>
      </c>
      <c r="Q32">
        <f t="shared" ref="Q32" si="136">F32*P32</f>
        <v>-126931083.5905517</v>
      </c>
      <c r="R32">
        <f t="shared" ref="R32" si="137">R33+Q32</f>
        <v>-95506108157.377106</v>
      </c>
      <c r="S32">
        <f t="shared" ref="S32" si="138">R32/100000</f>
        <v>-955061.08157377108</v>
      </c>
      <c r="T32">
        <f t="shared" ref="T32" si="139">S32/1000</f>
        <v>-955.06108157377105</v>
      </c>
    </row>
    <row r="33" spans="1:20" x14ac:dyDescent="0.25">
      <c r="A33" s="5">
        <v>44560</v>
      </c>
      <c r="B33">
        <v>1.2066E-2</v>
      </c>
      <c r="C33">
        <v>1.4328E-2</v>
      </c>
      <c r="D33">
        <v>1.1779E-2</v>
      </c>
      <c r="E33">
        <v>1.2428E-2</v>
      </c>
      <c r="F33">
        <v>1376954143</v>
      </c>
      <c r="G33">
        <v>1.2428E-2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-0.49078069831306392</v>
      </c>
      <c r="Q33">
        <f t="shared" ref="Q33" si="141">F33*P33</f>
        <v>-675782515.84660649</v>
      </c>
      <c r="R33">
        <f t="shared" ref="R33" si="142">R34+Q33</f>
        <v>-95379177073.78656</v>
      </c>
      <c r="S33">
        <f t="shared" ref="S33" si="143">R33/100000</f>
        <v>-953791.77073786559</v>
      </c>
      <c r="T33">
        <f t="shared" ref="T33" si="144">S33/1000</f>
        <v>-953.79177073786559</v>
      </c>
    </row>
    <row r="34" spans="1:20" x14ac:dyDescent="0.25">
      <c r="A34" s="5">
        <v>44559</v>
      </c>
      <c r="B34">
        <v>1.1965999999999999E-2</v>
      </c>
      <c r="C34">
        <v>1.3309E-2</v>
      </c>
      <c r="D34">
        <v>1.1578E-2</v>
      </c>
      <c r="E34">
        <v>1.2003E-2</v>
      </c>
      <c r="F34">
        <v>768874904</v>
      </c>
      <c r="G34">
        <v>1.2003E-2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-0.50895436164067009</v>
      </c>
      <c r="Q34">
        <f t="shared" ref="Q34" si="146">F34*P34</f>
        <v>-391322235.94685149</v>
      </c>
      <c r="R34">
        <f t="shared" ref="R34" si="147">R35+Q34</f>
        <v>-94703394557.939957</v>
      </c>
      <c r="S34">
        <f t="shared" ref="S34" si="148">R34/100000</f>
        <v>-947033.94557939959</v>
      </c>
      <c r="T34">
        <f t="shared" ref="T34" si="149">S34/1000</f>
        <v>-947.03394557939964</v>
      </c>
    </row>
    <row r="35" spans="1:20" x14ac:dyDescent="0.25">
      <c r="A35" s="5">
        <v>44558</v>
      </c>
      <c r="B35">
        <v>1.3117999999999999E-2</v>
      </c>
      <c r="C35">
        <v>1.3129999999999999E-2</v>
      </c>
      <c r="D35">
        <v>1.1835E-2</v>
      </c>
      <c r="E35">
        <v>1.1974E-2</v>
      </c>
      <c r="F35">
        <v>621622896</v>
      </c>
      <c r="G35">
        <v>1.1974E-2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-0.78532818532818482</v>
      </c>
      <c r="Q35">
        <f t="shared" ref="Q35" si="151">F35*P35</f>
        <v>-488177980.87413096</v>
      </c>
      <c r="R35">
        <f t="shared" ref="R35" si="152">R36+Q35</f>
        <v>-94312072321.993103</v>
      </c>
      <c r="S35">
        <f t="shared" ref="S35" si="153">R35/100000</f>
        <v>-943120.72321993101</v>
      </c>
      <c r="T35">
        <f t="shared" ref="T35" si="154">S35/1000</f>
        <v>-943.12072321993105</v>
      </c>
    </row>
    <row r="36" spans="1:20" x14ac:dyDescent="0.25">
      <c r="A36" s="5">
        <v>44557</v>
      </c>
      <c r="B36">
        <v>1.2439E-2</v>
      </c>
      <c r="C36">
        <v>1.6168999999999999E-2</v>
      </c>
      <c r="D36">
        <v>1.2304000000000001E-2</v>
      </c>
      <c r="E36">
        <v>1.3112E-2</v>
      </c>
      <c r="F36">
        <v>2548664794</v>
      </c>
      <c r="G36">
        <v>1.3112E-2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-0.58188874514877098</v>
      </c>
      <c r="Q36">
        <f t="shared" ref="Q36" si="156">F36*P36</f>
        <v>-1483039358.7855108</v>
      </c>
      <c r="R36">
        <f t="shared" ref="R36" si="157">R37+Q36</f>
        <v>-93823894341.118973</v>
      </c>
      <c r="S36">
        <f t="shared" ref="S36" si="158">R36/100000</f>
        <v>-938238.94341118971</v>
      </c>
      <c r="T36">
        <f t="shared" ref="T36" si="159">S36/1000</f>
        <v>-938.23894341118967</v>
      </c>
    </row>
    <row r="37" spans="1:20" x14ac:dyDescent="0.25">
      <c r="A37" s="5">
        <v>44556</v>
      </c>
      <c r="B37">
        <v>1.2418999999999999E-2</v>
      </c>
      <c r="C37">
        <v>1.257E-2</v>
      </c>
      <c r="D37">
        <v>1.1811E-2</v>
      </c>
      <c r="E37">
        <v>1.2434000000000001E-2</v>
      </c>
      <c r="F37">
        <v>315382703</v>
      </c>
      <c r="G37">
        <v>1.2434000000000001E-2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0.64163372859025269</v>
      </c>
      <c r="Q37">
        <f t="shared" ref="Q37" si="161">F37*P37</f>
        <v>202360179.65876228</v>
      </c>
      <c r="R37">
        <f t="shared" ref="R37" si="162">R38+Q37</f>
        <v>-92340854982.333466</v>
      </c>
      <c r="S37">
        <f t="shared" ref="S37" si="163">R37/100000</f>
        <v>-923408.54982333467</v>
      </c>
      <c r="T37">
        <f t="shared" ref="T37" si="164">S37/1000</f>
        <v>-923.40854982333462</v>
      </c>
    </row>
    <row r="38" spans="1:20" x14ac:dyDescent="0.25">
      <c r="A38" s="5">
        <v>44555</v>
      </c>
      <c r="B38">
        <v>1.2359E-2</v>
      </c>
      <c r="C38">
        <v>1.2699999999999999E-2</v>
      </c>
      <c r="D38">
        <v>1.221E-2</v>
      </c>
      <c r="E38">
        <v>1.2423E-2</v>
      </c>
      <c r="F38">
        <v>250495744</v>
      </c>
      <c r="G38">
        <v>1.2423E-2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-0.13061224489795906</v>
      </c>
      <c r="Q38">
        <f t="shared" ref="Q38" si="166">F38*P38</f>
        <v>-32717811.461224459</v>
      </c>
      <c r="R38">
        <f t="shared" ref="R38" si="167">R39+Q38</f>
        <v>-92543215161.992233</v>
      </c>
      <c r="S38">
        <f t="shared" ref="S38" si="168">R38/100000</f>
        <v>-925432.15161992237</v>
      </c>
      <c r="T38">
        <f t="shared" ref="T38" si="169">S38/1000</f>
        <v>-925.43215161992237</v>
      </c>
    </row>
    <row r="39" spans="1:20" x14ac:dyDescent="0.25">
      <c r="A39" s="5">
        <v>44554</v>
      </c>
      <c r="B39">
        <v>1.2460000000000001E-2</v>
      </c>
      <c r="C39">
        <v>1.2937000000000001E-2</v>
      </c>
      <c r="D39">
        <v>1.2200000000000001E-2</v>
      </c>
      <c r="E39">
        <v>1.2351000000000001E-2</v>
      </c>
      <c r="F39">
        <v>403253571</v>
      </c>
      <c r="G39">
        <v>1.2351000000000001E-2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-0.59023066485753017</v>
      </c>
      <c r="Q39">
        <f t="shared" ref="Q39" si="171">F39*P39</f>
        <v>-238012623.31750324</v>
      </c>
      <c r="R39">
        <f t="shared" ref="R39" si="172">R40+Q39</f>
        <v>-92510497350.531006</v>
      </c>
      <c r="S39">
        <f t="shared" ref="S39" si="173">R39/100000</f>
        <v>-925104.97350531002</v>
      </c>
      <c r="T39">
        <f t="shared" ref="T39" si="174">S39/1000</f>
        <v>-925.10497350531</v>
      </c>
    </row>
    <row r="40" spans="1:20" x14ac:dyDescent="0.25">
      <c r="A40" s="5">
        <v>44553</v>
      </c>
      <c r="B40">
        <v>1.2092E-2</v>
      </c>
      <c r="C40">
        <v>1.2699E-2</v>
      </c>
      <c r="D40">
        <v>1.1847999999999999E-2</v>
      </c>
      <c r="E40">
        <v>1.2455000000000001E-2</v>
      </c>
      <c r="F40">
        <v>411534624</v>
      </c>
      <c r="G40">
        <v>1.2455000000000001E-2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0.42655699177438516</v>
      </c>
      <c r="Q40">
        <f t="shared" ref="Q40" si="176">F40*P40</f>
        <v>175542971.22444269</v>
      </c>
      <c r="R40">
        <f t="shared" ref="R40" si="177">R41+Q40</f>
        <v>-92272484727.213501</v>
      </c>
      <c r="S40">
        <f t="shared" ref="S40" si="178">R40/100000</f>
        <v>-922724.84727213497</v>
      </c>
      <c r="T40">
        <f t="shared" ref="T40" si="179">S40/1000</f>
        <v>-922.72484727213498</v>
      </c>
    </row>
    <row r="41" spans="1:20" x14ac:dyDescent="0.25">
      <c r="A41" s="5">
        <v>44552</v>
      </c>
      <c r="B41">
        <v>1.2068000000000001E-2</v>
      </c>
      <c r="C41">
        <v>1.2354E-2</v>
      </c>
      <c r="D41">
        <v>1.1901E-2</v>
      </c>
      <c r="E41">
        <v>1.2085E-2</v>
      </c>
      <c r="F41">
        <v>302136021</v>
      </c>
      <c r="G41">
        <v>1.2085E-2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-0.18763796909492264</v>
      </c>
      <c r="Q41">
        <f t="shared" ref="Q41" si="181">F41*P41</f>
        <v>-56692189.370860897</v>
      </c>
      <c r="R41">
        <f t="shared" ref="R41" si="182">R42+Q41</f>
        <v>-92448027698.437943</v>
      </c>
      <c r="S41">
        <f t="shared" ref="S41" si="183">R41/100000</f>
        <v>-924480.27698437939</v>
      </c>
      <c r="T41">
        <f t="shared" ref="T41" si="184">S41/1000</f>
        <v>-924.48027698437943</v>
      </c>
    </row>
    <row r="42" spans="1:20" x14ac:dyDescent="0.25">
      <c r="A42" s="5">
        <v>44551</v>
      </c>
      <c r="B42">
        <v>1.1704000000000001E-2</v>
      </c>
      <c r="C42">
        <v>1.2378999999999999E-2</v>
      </c>
      <c r="D42">
        <v>1.1634E-2</v>
      </c>
      <c r="E42">
        <v>1.2069E-2</v>
      </c>
      <c r="F42">
        <v>368134373</v>
      </c>
      <c r="G42">
        <v>1.2069E-2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0.1677852348993292</v>
      </c>
      <c r="Q42">
        <f t="shared" ref="Q42" si="186">F42*P42</f>
        <v>61767512.248322271</v>
      </c>
      <c r="R42">
        <f t="shared" ref="R42" si="187">R43+Q42</f>
        <v>-92391335509.067078</v>
      </c>
      <c r="S42">
        <f t="shared" ref="S42" si="188">R42/100000</f>
        <v>-923913.35509067075</v>
      </c>
      <c r="T42">
        <f t="shared" ref="T42" si="189">S42/1000</f>
        <v>-923.91335509067073</v>
      </c>
    </row>
    <row r="43" spans="1:20" x14ac:dyDescent="0.25">
      <c r="A43" s="5">
        <v>44550</v>
      </c>
      <c r="B43">
        <v>1.2257000000000001E-2</v>
      </c>
      <c r="C43">
        <v>1.2463999999999999E-2</v>
      </c>
      <c r="D43">
        <v>1.1276E-2</v>
      </c>
      <c r="E43">
        <v>1.1697000000000001E-2</v>
      </c>
      <c r="F43">
        <v>447877406</v>
      </c>
      <c r="G43">
        <v>1.1697000000000001E-2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-0.29124579124578909</v>
      </c>
      <c r="Q43">
        <f t="shared" ref="Q43" si="191">F43*P43</f>
        <v>-130442409.49158153</v>
      </c>
      <c r="R43">
        <f t="shared" ref="R43" si="192">R44+Q43</f>
        <v>-92453103021.315399</v>
      </c>
      <c r="S43">
        <f t="shared" ref="S43" si="193">R43/100000</f>
        <v>-924531.03021315404</v>
      </c>
      <c r="T43">
        <f t="shared" ref="T43" si="194">S43/1000</f>
        <v>-924.53103021315405</v>
      </c>
    </row>
    <row r="44" spans="1:20" x14ac:dyDescent="0.25">
      <c r="A44" s="5">
        <v>44549</v>
      </c>
      <c r="B44">
        <v>1.2011000000000001E-2</v>
      </c>
      <c r="C44">
        <v>1.2840000000000001E-2</v>
      </c>
      <c r="D44">
        <v>1.1749000000000001E-2</v>
      </c>
      <c r="E44">
        <v>1.2253999999999999E-2</v>
      </c>
      <c r="F44">
        <v>515826105</v>
      </c>
      <c r="G44">
        <v>1.2253999999999999E-2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-7.4243813015584734E-2</v>
      </c>
      <c r="Q44">
        <f t="shared" ref="Q44" si="196">F44*P44</f>
        <v>-38296896.88817738</v>
      </c>
      <c r="R44">
        <f t="shared" ref="R44" si="197">R45+Q44</f>
        <v>-92322660611.823822</v>
      </c>
      <c r="S44">
        <f t="shared" ref="S44" si="198">R44/100000</f>
        <v>-923226.60611823818</v>
      </c>
      <c r="T44">
        <f t="shared" ref="T44" si="199">S44/1000</f>
        <v>-923.22660611823824</v>
      </c>
    </row>
    <row r="45" spans="1:20" x14ac:dyDescent="0.25">
      <c r="A45" s="5">
        <v>44548</v>
      </c>
      <c r="B45">
        <v>1.1957000000000001E-2</v>
      </c>
      <c r="C45">
        <v>1.2666E-2</v>
      </c>
      <c r="D45">
        <v>1.1748E-2</v>
      </c>
      <c r="E45">
        <v>1.2017999999999999E-2</v>
      </c>
      <c r="F45">
        <v>379496939</v>
      </c>
      <c r="G45">
        <v>1.2017999999999999E-2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-0.41176470588235448</v>
      </c>
      <c r="Q45">
        <f t="shared" ref="Q45" si="201">F45*P45</f>
        <v>-156263445.4705888</v>
      </c>
      <c r="R45">
        <f t="shared" ref="R45" si="202">R46+Q45</f>
        <v>-92284363714.935638</v>
      </c>
      <c r="S45">
        <f t="shared" ref="S45" si="203">R45/100000</f>
        <v>-922843.63714935642</v>
      </c>
      <c r="T45">
        <f t="shared" ref="T45" si="204">S45/1000</f>
        <v>-922.84363714935637</v>
      </c>
    </row>
    <row r="46" spans="1:20" x14ac:dyDescent="0.25">
      <c r="A46" s="5">
        <v>44547</v>
      </c>
      <c r="B46">
        <v>1.2215E-2</v>
      </c>
      <c r="C46">
        <v>1.2427000000000001E-2</v>
      </c>
      <c r="D46">
        <v>1.1752E-2</v>
      </c>
      <c r="E46">
        <v>1.1957000000000001E-2</v>
      </c>
      <c r="F46">
        <v>430765622</v>
      </c>
      <c r="G46">
        <v>1.1957000000000001E-2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-0.39259259259259188</v>
      </c>
      <c r="Q46">
        <f t="shared" ref="Q46" si="206">F46*P46</f>
        <v>-169115392.34074044</v>
      </c>
      <c r="R46">
        <f t="shared" ref="R46" si="207">R47+Q46</f>
        <v>-92128100269.465042</v>
      </c>
      <c r="S46">
        <f t="shared" ref="S46" si="208">R46/100000</f>
        <v>-921281.00269465044</v>
      </c>
      <c r="T46">
        <f t="shared" ref="T46" si="209">S46/1000</f>
        <v>-921.2810026946504</v>
      </c>
    </row>
    <row r="47" spans="1:20" x14ac:dyDescent="0.25">
      <c r="A47" s="5">
        <v>44546</v>
      </c>
      <c r="B47">
        <v>1.2919999999999999E-2</v>
      </c>
      <c r="C47">
        <v>1.3310000000000001E-2</v>
      </c>
      <c r="D47">
        <v>1.2073E-2</v>
      </c>
      <c r="E47">
        <v>1.2222E-2</v>
      </c>
      <c r="F47">
        <v>507259192</v>
      </c>
      <c r="G47">
        <v>1.2222E-2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-0.75909458367017013</v>
      </c>
      <c r="Q47">
        <f t="shared" ref="Q47" si="211">F47*P47</f>
        <v>-385057705.16410691</v>
      </c>
      <c r="R47">
        <f t="shared" ref="R47" si="212">R48+Q47</f>
        <v>-91958984877.124298</v>
      </c>
      <c r="S47">
        <f t="shared" ref="S47" si="213">R47/100000</f>
        <v>-919589.84877124301</v>
      </c>
      <c r="T47">
        <f t="shared" ref="T47" si="214">S47/1000</f>
        <v>-919.58984877124306</v>
      </c>
    </row>
    <row r="48" spans="1:20" x14ac:dyDescent="0.25">
      <c r="A48" s="5">
        <v>44545</v>
      </c>
      <c r="B48">
        <v>1.311E-2</v>
      </c>
      <c r="C48">
        <v>1.4189999999999999E-2</v>
      </c>
      <c r="D48">
        <v>1.1644E-2</v>
      </c>
      <c r="E48">
        <v>1.2919999999999999E-2</v>
      </c>
      <c r="F48">
        <v>1027516368</v>
      </c>
      <c r="G48">
        <v>1.2919999999999999E-2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2.3566378633146359E-3</v>
      </c>
      <c r="Q48">
        <f t="shared" ref="Q48" si="216">F48*P48</f>
        <v>2421483.978004335</v>
      </c>
      <c r="R48">
        <f t="shared" ref="R48" si="217">R49+Q48</f>
        <v>-91573927171.96019</v>
      </c>
      <c r="S48">
        <f t="shared" ref="S48" si="218">R48/100000</f>
        <v>-915739.27171960194</v>
      </c>
      <c r="T48">
        <f t="shared" ref="T48" si="219">S48/1000</f>
        <v>-915.7392717196019</v>
      </c>
    </row>
    <row r="49" spans="1:20" x14ac:dyDescent="0.25">
      <c r="A49" s="5">
        <v>44544</v>
      </c>
      <c r="B49">
        <v>1.1147000000000001E-2</v>
      </c>
      <c r="C49">
        <v>1.3795E-2</v>
      </c>
      <c r="D49">
        <v>1.0898E-2</v>
      </c>
      <c r="E49">
        <v>1.3117E-2</v>
      </c>
      <c r="F49">
        <v>1423383915</v>
      </c>
      <c r="G49">
        <v>1.3117E-2</v>
      </c>
      <c r="L49" t="s">
        <v>7</v>
      </c>
      <c r="M49" t="s">
        <v>8</v>
      </c>
      <c r="N49" t="s">
        <v>7</v>
      </c>
      <c r="P49">
        <f t="shared" ref="P49" si="220">IF(C49=D49,0,((E49-D49)-(C49-E49))/(C49-D49))</f>
        <v>0.53192958232654486</v>
      </c>
      <c r="Q49">
        <f t="shared" ref="Q49" si="221">F49*P49</f>
        <v>757140011.39627218</v>
      </c>
      <c r="R49">
        <f t="shared" ref="R49" si="222">R50+Q49</f>
        <v>-91576348655.938187</v>
      </c>
      <c r="S49">
        <f t="shared" ref="S49" si="223">R49/100000</f>
        <v>-915763.48655938182</v>
      </c>
      <c r="T49">
        <f t="shared" ref="T49" si="224">S49/1000</f>
        <v>-915.76348655938182</v>
      </c>
    </row>
    <row r="50" spans="1:20" x14ac:dyDescent="0.25">
      <c r="A50" s="5">
        <v>44543</v>
      </c>
      <c r="B50">
        <v>1.2903E-2</v>
      </c>
      <c r="C50">
        <v>1.2959E-2</v>
      </c>
      <c r="D50">
        <v>1.11E-2</v>
      </c>
      <c r="E50">
        <v>1.1155E-2</v>
      </c>
      <c r="F50">
        <v>418278359</v>
      </c>
      <c r="G50">
        <v>1.1155E-2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-0.94082840236686438</v>
      </c>
      <c r="Q50">
        <f t="shared" ref="Q50" si="226">F50*P50</f>
        <v>-393528160.24260372</v>
      </c>
      <c r="R50">
        <f t="shared" ref="R50" si="227">R51+Q50</f>
        <v>-92333488667.334457</v>
      </c>
      <c r="S50">
        <f t="shared" ref="S50" si="228">R50/100000</f>
        <v>-923334.88667334453</v>
      </c>
      <c r="T50">
        <f t="shared" ref="T50" si="229">S50/1000</f>
        <v>-923.3348866733445</v>
      </c>
    </row>
    <row r="51" spans="1:20" x14ac:dyDescent="0.25">
      <c r="A51" s="5">
        <v>44542</v>
      </c>
      <c r="B51">
        <v>1.2609E-2</v>
      </c>
      <c r="C51">
        <v>1.3695000000000001E-2</v>
      </c>
      <c r="D51">
        <v>1.2444999999999999E-2</v>
      </c>
      <c r="E51">
        <v>1.2906000000000001E-2</v>
      </c>
      <c r="F51">
        <v>486839737</v>
      </c>
      <c r="G51">
        <v>1.2906000000000001E-2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-0.26239999999999852</v>
      </c>
      <c r="Q51">
        <f t="shared" ref="Q51" si="231">F51*P51</f>
        <v>-127746746.98879927</v>
      </c>
      <c r="R51">
        <f t="shared" ref="R51" si="232">R52+Q51</f>
        <v>-91939960507.091858</v>
      </c>
      <c r="S51">
        <f t="shared" ref="S51" si="233">R51/100000</f>
        <v>-919399.60507091857</v>
      </c>
      <c r="T51">
        <f t="shared" ref="T51" si="234">S51/1000</f>
        <v>-919.3996050709186</v>
      </c>
    </row>
    <row r="52" spans="1:20" x14ac:dyDescent="0.25">
      <c r="A52" s="5">
        <v>44541</v>
      </c>
      <c r="B52">
        <v>1.2709E-2</v>
      </c>
      <c r="C52">
        <v>1.2886999999999999E-2</v>
      </c>
      <c r="D52">
        <v>1.2245000000000001E-2</v>
      </c>
      <c r="E52">
        <v>1.2638999999999999E-2</v>
      </c>
      <c r="F52">
        <v>30644420</v>
      </c>
      <c r="G52">
        <v>1.2638999999999999E-2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0.22741433021806684</v>
      </c>
      <c r="Q52">
        <f t="shared" ref="Q52" si="236">F52*P52</f>
        <v>6968980.2492211321</v>
      </c>
      <c r="R52">
        <f t="shared" ref="R52" si="237">R53+Q52</f>
        <v>-91812213760.103058</v>
      </c>
      <c r="S52">
        <f t="shared" ref="S52" si="238">R52/100000</f>
        <v>-918122.13760103052</v>
      </c>
      <c r="T52">
        <f t="shared" ref="T52" si="239">S52/1000</f>
        <v>-918.12213760103054</v>
      </c>
    </row>
    <row r="53" spans="1:20" x14ac:dyDescent="0.25">
      <c r="A53" s="5">
        <v>44540</v>
      </c>
      <c r="B53">
        <v>1.2885000000000001E-2</v>
      </c>
      <c r="C53">
        <v>1.3363E-2</v>
      </c>
      <c r="D53">
        <v>1.244E-2</v>
      </c>
      <c r="E53">
        <v>1.2711E-2</v>
      </c>
      <c r="F53">
        <v>433838141</v>
      </c>
      <c r="G53">
        <v>1.2711E-2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-0.41278439869989092</v>
      </c>
      <c r="Q53">
        <f t="shared" ref="Q53" si="241">F53*P53</f>
        <v>-179081616.1657635</v>
      </c>
      <c r="R53">
        <f t="shared" ref="R53" si="242">R54+Q53</f>
        <v>-91819182740.35228</v>
      </c>
      <c r="S53">
        <f t="shared" ref="S53" si="243">R53/100000</f>
        <v>-918191.8274035228</v>
      </c>
      <c r="T53">
        <f t="shared" ref="T53" si="244">S53/1000</f>
        <v>-918.19182740352278</v>
      </c>
    </row>
    <row r="54" spans="1:20" x14ac:dyDescent="0.25">
      <c r="A54" s="5">
        <v>44539</v>
      </c>
      <c r="B54">
        <v>1.3709000000000001E-2</v>
      </c>
      <c r="C54">
        <v>1.4232E-2</v>
      </c>
      <c r="D54">
        <v>1.2803999999999999E-2</v>
      </c>
      <c r="E54">
        <v>1.2886E-2</v>
      </c>
      <c r="F54">
        <v>592943094</v>
      </c>
      <c r="G54">
        <v>1.2886E-2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-0.88515406162464927</v>
      </c>
      <c r="Q54">
        <f t="shared" ref="Q54" si="246">F54*P54</f>
        <v>-524845987.9663862</v>
      </c>
      <c r="R54">
        <f t="shared" ref="R54" si="247">R55+Q54</f>
        <v>-91640101124.186523</v>
      </c>
      <c r="S54">
        <f t="shared" ref="S54" si="248">R54/100000</f>
        <v>-916401.01124186523</v>
      </c>
      <c r="T54">
        <f t="shared" ref="T54" si="249">S54/1000</f>
        <v>-916.40101124186526</v>
      </c>
    </row>
    <row r="55" spans="1:20" x14ac:dyDescent="0.25">
      <c r="A55" s="5">
        <v>44538</v>
      </c>
      <c r="B55">
        <v>1.3421000000000001E-2</v>
      </c>
      <c r="C55">
        <v>1.4777E-2</v>
      </c>
      <c r="D55">
        <v>1.2852000000000001E-2</v>
      </c>
      <c r="E55">
        <v>1.371E-2</v>
      </c>
      <c r="F55">
        <v>679935188</v>
      </c>
      <c r="G55">
        <v>1.371E-2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-0.10857142857142904</v>
      </c>
      <c r="Q55">
        <f t="shared" ref="Q55" si="251">F55*P55</f>
        <v>-73821534.697143182</v>
      </c>
      <c r="R55">
        <f t="shared" ref="R55" si="252">R56+Q55</f>
        <v>-91115255136.220139</v>
      </c>
      <c r="S55">
        <f t="shared" ref="S55" si="253">R55/100000</f>
        <v>-911152.55136220134</v>
      </c>
      <c r="T55">
        <f t="shared" ref="T55" si="254">S55/1000</f>
        <v>-911.15255136220139</v>
      </c>
    </row>
    <row r="56" spans="1:20" x14ac:dyDescent="0.25">
      <c r="A56" s="5">
        <v>44537</v>
      </c>
      <c r="B56">
        <v>1.3821E-2</v>
      </c>
      <c r="C56">
        <v>1.4683E-2</v>
      </c>
      <c r="D56">
        <v>1.329E-2</v>
      </c>
      <c r="E56">
        <v>1.3421000000000001E-2</v>
      </c>
      <c r="F56">
        <v>750610445</v>
      </c>
      <c r="G56">
        <v>1.3421000000000001E-2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-0.81191672648958957</v>
      </c>
      <c r="Q56">
        <f t="shared" ref="Q56" si="256">F56*P56</f>
        <v>-609433175.37329412</v>
      </c>
      <c r="R56">
        <f t="shared" ref="R56" si="257">R57+Q56</f>
        <v>-91041433601.522995</v>
      </c>
      <c r="S56">
        <f t="shared" ref="S56" si="258">R56/100000</f>
        <v>-910414.33601522993</v>
      </c>
      <c r="T56">
        <f t="shared" ref="T56" si="259">S56/1000</f>
        <v>-910.41433601522988</v>
      </c>
    </row>
    <row r="57" spans="1:20" x14ac:dyDescent="0.25">
      <c r="A57" s="5">
        <v>44536</v>
      </c>
      <c r="B57">
        <v>1.4156E-2</v>
      </c>
      <c r="C57">
        <v>1.44E-2</v>
      </c>
      <c r="D57">
        <v>1.2562E-2</v>
      </c>
      <c r="E57">
        <v>1.3840999999999999E-2</v>
      </c>
      <c r="F57">
        <v>1003641499</v>
      </c>
      <c r="G57">
        <v>1.3840999999999999E-2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0.39173014145810592</v>
      </c>
      <c r="Q57">
        <f t="shared" ref="Q57" si="261">F57*P57</f>
        <v>393156626.37649548</v>
      </c>
      <c r="R57">
        <f t="shared" ref="R57" si="262">R58+Q57</f>
        <v>-90432000426.149704</v>
      </c>
      <c r="S57">
        <f t="shared" ref="S57" si="263">R57/100000</f>
        <v>-904320.00426149706</v>
      </c>
      <c r="T57">
        <f t="shared" ref="T57" si="264">S57/1000</f>
        <v>-904.32000426149705</v>
      </c>
    </row>
    <row r="58" spans="1:20" x14ac:dyDescent="0.25">
      <c r="A58" s="5">
        <v>44535</v>
      </c>
      <c r="B58">
        <v>1.4787E-2</v>
      </c>
      <c r="C58">
        <v>1.6351999999999998E-2</v>
      </c>
      <c r="D58">
        <v>1.35E-2</v>
      </c>
      <c r="E58">
        <v>1.4156E-2</v>
      </c>
      <c r="F58">
        <v>1411746813</v>
      </c>
      <c r="G58">
        <v>1.4156E-2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-0.53997194950911598</v>
      </c>
      <c r="Q58">
        <f t="shared" ref="Q58" si="266">F58*P58</f>
        <v>-762303678.8288914</v>
      </c>
      <c r="R58">
        <f t="shared" ref="R58" si="267">R59+Q58</f>
        <v>-90825157052.526199</v>
      </c>
      <c r="S58">
        <f t="shared" ref="S58" si="268">R58/100000</f>
        <v>-908251.57052526204</v>
      </c>
      <c r="T58">
        <f t="shared" ref="T58" si="269">S58/1000</f>
        <v>-908.25157052526208</v>
      </c>
    </row>
    <row r="59" spans="1:20" x14ac:dyDescent="0.25">
      <c r="A59" s="5">
        <v>44534</v>
      </c>
      <c r="B59">
        <v>1.541E-2</v>
      </c>
      <c r="C59">
        <v>1.7350000000000001E-2</v>
      </c>
      <c r="D59">
        <v>1.268E-2</v>
      </c>
      <c r="E59">
        <v>1.4788000000000001E-2</v>
      </c>
      <c r="F59">
        <v>2986382037</v>
      </c>
      <c r="G59">
        <v>1.4788000000000001E-2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-9.7216274089935648E-2</v>
      </c>
      <c r="Q59">
        <f t="shared" ref="Q59" si="271">F59*P59</f>
        <v>-290324934.64625233</v>
      </c>
      <c r="R59">
        <f t="shared" ref="R59" si="272">R60+Q59</f>
        <v>-90062853373.697311</v>
      </c>
      <c r="S59">
        <f t="shared" ref="S59" si="273">R59/100000</f>
        <v>-900628.53373697307</v>
      </c>
      <c r="T59">
        <f t="shared" ref="T59" si="274">S59/1000</f>
        <v>-900.62853373697305</v>
      </c>
    </row>
    <row r="60" spans="1:20" x14ac:dyDescent="0.25">
      <c r="A60" s="5">
        <v>44533</v>
      </c>
      <c r="B60">
        <v>1.7349E-2</v>
      </c>
      <c r="C60">
        <v>1.8180999999999999E-2</v>
      </c>
      <c r="D60">
        <v>1.4696000000000001E-2</v>
      </c>
      <c r="E60">
        <v>1.5409000000000001E-2</v>
      </c>
      <c r="F60">
        <v>2617717363</v>
      </c>
      <c r="G60">
        <v>1.5409000000000001E-2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-0.59081779053084627</v>
      </c>
      <c r="Q60">
        <f t="shared" ref="Q60" si="276">F60*P60</f>
        <v>-1546593988.6418931</v>
      </c>
      <c r="R60">
        <f t="shared" ref="R60" si="277">R61+Q60</f>
        <v>-89772528439.051056</v>
      </c>
      <c r="S60">
        <f t="shared" ref="S60" si="278">R60/100000</f>
        <v>-897725.28439051053</v>
      </c>
      <c r="T60">
        <f t="shared" ref="T60" si="279">S60/1000</f>
        <v>-897.72528439051052</v>
      </c>
    </row>
    <row r="61" spans="1:20" x14ac:dyDescent="0.25">
      <c r="A61" s="5">
        <v>44532</v>
      </c>
      <c r="B61">
        <v>1.4702E-2</v>
      </c>
      <c r="C61">
        <v>2.2887999999999999E-2</v>
      </c>
      <c r="D61">
        <v>1.3861999999999999E-2</v>
      </c>
      <c r="E61">
        <v>1.7347999999999999E-2</v>
      </c>
      <c r="F61">
        <v>7013591433</v>
      </c>
      <c r="G61">
        <v>1.7347999999999999E-2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-0.22756481276312879</v>
      </c>
      <c r="Q61">
        <f t="shared" ref="Q61" si="281">F61*P61</f>
        <v>-1596046621.2477291</v>
      </c>
      <c r="R61">
        <f t="shared" ref="R61" si="282">R62+Q61</f>
        <v>-88225934450.409164</v>
      </c>
      <c r="S61">
        <f t="shared" ref="S61" si="283">R61/100000</f>
        <v>-882259.34450409166</v>
      </c>
      <c r="T61">
        <f t="shared" ref="T61" si="284">S61/1000</f>
        <v>-882.2593445040917</v>
      </c>
    </row>
    <row r="62" spans="1:20" x14ac:dyDescent="0.25">
      <c r="A62" s="5">
        <v>44531</v>
      </c>
      <c r="B62">
        <v>1.4352E-2</v>
      </c>
      <c r="C62">
        <v>1.5354E-2</v>
      </c>
      <c r="D62">
        <v>1.4223E-2</v>
      </c>
      <c r="E62">
        <v>1.4721E-2</v>
      </c>
      <c r="F62">
        <v>878136791</v>
      </c>
      <c r="G62">
        <v>1.4721E-2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-0.11936339522546392</v>
      </c>
      <c r="Q62">
        <f t="shared" ref="Q62" si="286">F62*P62</f>
        <v>-104817388.84615362</v>
      </c>
      <c r="R62">
        <f t="shared" ref="R62" si="287">R63+Q62</f>
        <v>-86629887829.161438</v>
      </c>
      <c r="S62">
        <f t="shared" ref="S62" si="288">R62/100000</f>
        <v>-866298.87829161435</v>
      </c>
      <c r="T62">
        <f t="shared" ref="T62" si="289">S62/1000</f>
        <v>-866.2988782916143</v>
      </c>
    </row>
    <row r="63" spans="1:20" x14ac:dyDescent="0.25">
      <c r="A63" s="5">
        <v>44530</v>
      </c>
      <c r="B63">
        <v>1.5266999999999999E-2</v>
      </c>
      <c r="C63">
        <v>1.55E-2</v>
      </c>
      <c r="D63">
        <v>1.4303E-2</v>
      </c>
      <c r="E63">
        <v>1.4326E-2</v>
      </c>
      <c r="F63">
        <v>706354927</v>
      </c>
      <c r="G63">
        <v>1.4326E-2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-0.96157059314953974</v>
      </c>
      <c r="Q63">
        <f t="shared" ref="Q63" si="291">F63*P63</f>
        <v>-679210126.1294899</v>
      </c>
      <c r="R63">
        <f t="shared" ref="R63" si="292">R64+Q63</f>
        <v>-86525070440.315277</v>
      </c>
      <c r="S63">
        <f t="shared" ref="S63" si="293">R63/100000</f>
        <v>-865250.70440315281</v>
      </c>
      <c r="T63">
        <f t="shared" ref="T63" si="294">S63/1000</f>
        <v>-865.25070440315278</v>
      </c>
    </row>
    <row r="64" spans="1:20" x14ac:dyDescent="0.25">
      <c r="A64" s="5">
        <v>44529</v>
      </c>
      <c r="B64">
        <v>1.5620999999999999E-2</v>
      </c>
      <c r="C64">
        <v>1.6400000000000001E-2</v>
      </c>
      <c r="D64">
        <v>1.5055000000000001E-2</v>
      </c>
      <c r="E64">
        <v>1.5269E-2</v>
      </c>
      <c r="F64">
        <v>883717399</v>
      </c>
      <c r="G64">
        <v>1.5269E-2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-0.68178438661710217</v>
      </c>
      <c r="Q64">
        <f t="shared" ref="Q64" si="296">F64*P64</f>
        <v>-602504724.82007599</v>
      </c>
      <c r="R64">
        <f t="shared" ref="R64" si="297">R65+Q64</f>
        <v>-85845860314.185791</v>
      </c>
      <c r="S64">
        <f t="shared" ref="S64" si="298">R64/100000</f>
        <v>-858458.60314185789</v>
      </c>
      <c r="T64">
        <f t="shared" ref="T64" si="299">S64/1000</f>
        <v>-858.45860314185791</v>
      </c>
    </row>
    <row r="65" spans="1:20" x14ac:dyDescent="0.25">
      <c r="A65" s="5">
        <v>44528</v>
      </c>
      <c r="B65">
        <v>1.5688000000000001E-2</v>
      </c>
      <c r="C65">
        <v>1.6500000000000001E-2</v>
      </c>
      <c r="D65">
        <v>1.4500000000000001E-2</v>
      </c>
      <c r="E65">
        <v>1.5620999999999999E-2</v>
      </c>
      <c r="F65">
        <v>1312209051</v>
      </c>
      <c r="G65">
        <v>1.5620999999999999E-2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0.12099999999999871</v>
      </c>
      <c r="Q65">
        <f t="shared" ref="Q65" si="301">F65*P65</f>
        <v>158777295.17099831</v>
      </c>
      <c r="R65">
        <f t="shared" ref="R65" si="302">R66+Q65</f>
        <v>-85243355589.365723</v>
      </c>
      <c r="S65">
        <f t="shared" ref="S65" si="303">R65/100000</f>
        <v>-852433.55589365726</v>
      </c>
      <c r="T65">
        <f t="shared" ref="T65" si="304">S65/1000</f>
        <v>-852.43355589365729</v>
      </c>
    </row>
    <row r="66" spans="1:20" x14ac:dyDescent="0.25">
      <c r="A66" s="5">
        <v>44527</v>
      </c>
      <c r="B66">
        <v>1.4907999999999999E-2</v>
      </c>
      <c r="C66">
        <v>1.7860000000000001E-2</v>
      </c>
      <c r="D66">
        <v>1.4338999999999999E-2</v>
      </c>
      <c r="E66">
        <v>1.5678000000000001E-2</v>
      </c>
      <c r="F66">
        <v>1940307059</v>
      </c>
      <c r="G66">
        <v>1.5678000000000001E-2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-0.23942061914228852</v>
      </c>
      <c r="Q66">
        <f t="shared" ref="Q66" si="306">F66*P66</f>
        <v>-464549517.3919329</v>
      </c>
      <c r="R66">
        <f t="shared" ref="R66" si="307">R67+Q66</f>
        <v>-85402132884.536728</v>
      </c>
      <c r="S66">
        <f t="shared" ref="S66" si="308">R66/100000</f>
        <v>-854021.3288453673</v>
      </c>
      <c r="T66">
        <f t="shared" ref="T66" si="309">S66/1000</f>
        <v>-854.02132884536729</v>
      </c>
    </row>
    <row r="67" spans="1:20" x14ac:dyDescent="0.25">
      <c r="A67" s="5">
        <v>44526</v>
      </c>
      <c r="B67">
        <v>1.6414999999999999E-2</v>
      </c>
      <c r="C67">
        <v>1.6799999999999999E-2</v>
      </c>
      <c r="D67">
        <v>1.3799000000000001E-2</v>
      </c>
      <c r="E67">
        <v>1.4906000000000001E-2</v>
      </c>
      <c r="F67">
        <v>1608427527</v>
      </c>
      <c r="G67">
        <v>1.4906000000000001E-2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-0.26224591802732361</v>
      </c>
      <c r="Q67">
        <f t="shared" ref="Q67" si="311">F67*P67</f>
        <v>-421803553.39853281</v>
      </c>
      <c r="R67">
        <f t="shared" ref="R67" si="312">R68+Q67</f>
        <v>-84937583367.144791</v>
      </c>
      <c r="S67">
        <f t="shared" ref="S67" si="313">R67/100000</f>
        <v>-849375.83367144794</v>
      </c>
      <c r="T67">
        <f t="shared" ref="T67" si="314">S67/1000</f>
        <v>-849.37583367144794</v>
      </c>
    </row>
    <row r="68" spans="1:20" x14ac:dyDescent="0.25">
      <c r="A68" s="5">
        <v>44525</v>
      </c>
      <c r="B68">
        <v>1.6194E-2</v>
      </c>
      <c r="C68">
        <v>1.7985000000000001E-2</v>
      </c>
      <c r="D68">
        <v>1.54E-2</v>
      </c>
      <c r="E68">
        <v>1.6420000000000001E-2</v>
      </c>
      <c r="F68">
        <v>2287999473</v>
      </c>
      <c r="G68">
        <v>1.6420000000000001E-2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-0.21083172147001944</v>
      </c>
      <c r="Q68">
        <f t="shared" ref="Q68" si="316">F68*P68</f>
        <v>-482382867.61508727</v>
      </c>
      <c r="R68">
        <f t="shared" ref="R68" si="317">R69+Q68</f>
        <v>-84515779813.746262</v>
      </c>
      <c r="S68">
        <f t="shared" ref="S68" si="318">R68/100000</f>
        <v>-845157.79813746258</v>
      </c>
      <c r="T68">
        <f t="shared" ref="T68" si="319">S68/1000</f>
        <v>-845.15779813746258</v>
      </c>
    </row>
    <row r="69" spans="1:20" x14ac:dyDescent="0.25">
      <c r="A69" s="5">
        <v>44524</v>
      </c>
      <c r="B69">
        <v>1.5904000000000001E-2</v>
      </c>
      <c r="C69">
        <v>1.8765E-2</v>
      </c>
      <c r="D69">
        <v>1.5665999999999999E-2</v>
      </c>
      <c r="E69">
        <v>1.8148000000000001E-2</v>
      </c>
      <c r="F69">
        <v>1638351119</v>
      </c>
      <c r="G69">
        <v>1.8148000000000001E-2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0.60180703452726736</v>
      </c>
      <c r="Q69">
        <f t="shared" ref="Q69" si="321">F69*P69</f>
        <v>985971228.43982017</v>
      </c>
      <c r="R69">
        <f t="shared" ref="R69" si="322">R70+Q69</f>
        <v>-84033396946.13118</v>
      </c>
      <c r="S69">
        <f t="shared" ref="S69" si="323">R69/100000</f>
        <v>-840333.96946131182</v>
      </c>
      <c r="T69">
        <f t="shared" ref="T69" si="324">S69/1000</f>
        <v>-840.33396946131177</v>
      </c>
    </row>
    <row r="70" spans="1:20" x14ac:dyDescent="0.25">
      <c r="A70" s="5">
        <v>44523</v>
      </c>
      <c r="B70">
        <v>1.4309000000000001E-2</v>
      </c>
      <c r="C70">
        <v>2.0187E-2</v>
      </c>
      <c r="D70">
        <v>1.3754000000000001E-2</v>
      </c>
      <c r="E70">
        <v>1.5904000000000001E-2</v>
      </c>
      <c r="F70">
        <v>4744450357</v>
      </c>
      <c r="G70">
        <v>1.5904000000000001E-2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-0.33157158401989706</v>
      </c>
      <c r="Q70">
        <f t="shared" ref="Q70" si="326">F70*P70</f>
        <v>-1573124920.1742561</v>
      </c>
      <c r="R70">
        <f t="shared" ref="R70" si="327">R71+Q70</f>
        <v>-85019368174.570999</v>
      </c>
      <c r="S70">
        <f t="shared" ref="S70" si="328">R70/100000</f>
        <v>-850193.68174570997</v>
      </c>
      <c r="T70">
        <f t="shared" ref="T70" si="329">S70/1000</f>
        <v>-850.19368174571002</v>
      </c>
    </row>
    <row r="71" spans="1:20" x14ac:dyDescent="0.25">
      <c r="A71" s="5">
        <v>44522</v>
      </c>
      <c r="B71">
        <v>1.5871E-2</v>
      </c>
      <c r="C71">
        <v>1.7041000000000001E-2</v>
      </c>
      <c r="D71">
        <v>1.4123E-2</v>
      </c>
      <c r="E71">
        <v>1.4309000000000001E-2</v>
      </c>
      <c r="F71">
        <v>2623945309</v>
      </c>
      <c r="G71">
        <v>1.4309000000000001E-2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-0.8725154215215899</v>
      </c>
      <c r="Q71">
        <f t="shared" ref="Q71" si="331">F71*P71</f>
        <v>-2289432747.3317332</v>
      </c>
      <c r="R71">
        <f t="shared" ref="R71" si="332">R72+Q71</f>
        <v>-83446243254.396744</v>
      </c>
      <c r="S71">
        <f t="shared" ref="S71" si="333">R71/100000</f>
        <v>-834462.43254396738</v>
      </c>
      <c r="T71">
        <f t="shared" ref="T71" si="334">S71/1000</f>
        <v>-834.46243254396734</v>
      </c>
    </row>
    <row r="72" spans="1:20" x14ac:dyDescent="0.25">
      <c r="A72" s="5">
        <v>44521</v>
      </c>
      <c r="B72">
        <v>2.2499000000000002E-2</v>
      </c>
      <c r="C72">
        <v>2.6412000000000001E-2</v>
      </c>
      <c r="D72">
        <v>1.5077999999999999E-2</v>
      </c>
      <c r="E72">
        <v>1.5886000000000001E-2</v>
      </c>
      <c r="F72">
        <v>16782458809</v>
      </c>
      <c r="G72">
        <v>1.5886000000000001E-2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-0.85742015175577879</v>
      </c>
      <c r="Q72">
        <f t="shared" ref="Q72" si="336">F72*P72</f>
        <v>-14389618378.847887</v>
      </c>
      <c r="R72">
        <f t="shared" ref="R72" si="337">R73+Q72</f>
        <v>-81156810507.065018</v>
      </c>
      <c r="S72">
        <f t="shared" ref="S72" si="338">R72/100000</f>
        <v>-811568.10507065023</v>
      </c>
      <c r="T72">
        <f t="shared" ref="T72" si="339">S72/1000</f>
        <v>-811.56810507065018</v>
      </c>
    </row>
    <row r="73" spans="1:20" x14ac:dyDescent="0.25">
      <c r="A73" s="5">
        <v>44520</v>
      </c>
      <c r="B73">
        <v>1.1004999999999999E-2</v>
      </c>
      <c r="C73">
        <v>2.3900000000000001E-2</v>
      </c>
      <c r="D73">
        <v>1.0928999999999999E-2</v>
      </c>
      <c r="E73">
        <v>2.2536E-2</v>
      </c>
      <c r="F73">
        <v>16052830540</v>
      </c>
      <c r="G73">
        <v>2.2536E-2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0.78968468121193425</v>
      </c>
      <c r="Q73">
        <f t="shared" ref="Q73" si="341">F73*P73</f>
        <v>12676674367.529102</v>
      </c>
      <c r="R73">
        <f t="shared" ref="R73" si="342">R74+Q73</f>
        <v>-66767192128.217133</v>
      </c>
      <c r="S73">
        <f t="shared" ref="S73" si="343">R73/100000</f>
        <v>-667671.92128217127</v>
      </c>
      <c r="T73">
        <f t="shared" ref="T73" si="344">S73/1000</f>
        <v>-667.6719212821713</v>
      </c>
    </row>
    <row r="74" spans="1:20" x14ac:dyDescent="0.25">
      <c r="A74" s="5">
        <v>44519</v>
      </c>
      <c r="B74">
        <v>1.0166E-2</v>
      </c>
      <c r="C74">
        <v>1.2E-2</v>
      </c>
      <c r="D74">
        <v>1.0159E-2</v>
      </c>
      <c r="E74">
        <v>1.1011E-2</v>
      </c>
      <c r="F74">
        <v>496663284</v>
      </c>
      <c r="G74">
        <v>1.1011E-2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-7.4416078218359549E-2</v>
      </c>
      <c r="Q74">
        <f t="shared" ref="Q74" si="346">F74*P74</f>
        <v>-36959733.790331326</v>
      </c>
      <c r="R74">
        <f t="shared" ref="R74" si="347">R75+Q74</f>
        <v>-79443866495.746231</v>
      </c>
      <c r="S74">
        <f t="shared" ref="S74" si="348">R74/100000</f>
        <v>-794438.66495746234</v>
      </c>
      <c r="T74">
        <f t="shared" ref="T74" si="349">S74/1000</f>
        <v>-794.43866495746238</v>
      </c>
    </row>
    <row r="75" spans="1:20" x14ac:dyDescent="0.25">
      <c r="A75" s="5">
        <v>44518</v>
      </c>
      <c r="B75">
        <v>1.1275E-2</v>
      </c>
      <c r="C75">
        <v>1.1344999999999999E-2</v>
      </c>
      <c r="D75">
        <v>1.01E-2</v>
      </c>
      <c r="E75">
        <v>1.0168E-2</v>
      </c>
      <c r="F75">
        <v>394394868</v>
      </c>
      <c r="G75">
        <v>1.0168E-2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-0.89076305220883478</v>
      </c>
      <c r="Q75">
        <f t="shared" ref="Q75" si="351">F75*P75</f>
        <v>-351312376.39518052</v>
      </c>
      <c r="R75">
        <f t="shared" ref="R75" si="352">R76+Q75</f>
        <v>-79406906761.955902</v>
      </c>
      <c r="S75">
        <f t="shared" ref="S75" si="353">R75/100000</f>
        <v>-794069.06761955901</v>
      </c>
      <c r="T75">
        <f t="shared" ref="T75" si="354">S75/1000</f>
        <v>-794.06906761955895</v>
      </c>
    </row>
    <row r="76" spans="1:20" x14ac:dyDescent="0.25">
      <c r="A76" s="5">
        <v>44517</v>
      </c>
      <c r="B76">
        <v>1.093E-2</v>
      </c>
      <c r="C76">
        <v>1.1799E-2</v>
      </c>
      <c r="D76">
        <v>1.0524E-2</v>
      </c>
      <c r="E76">
        <v>1.1275E-2</v>
      </c>
      <c r="F76">
        <v>419939158</v>
      </c>
      <c r="G76">
        <v>1.1275E-2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0.17803921568627432</v>
      </c>
      <c r="Q76">
        <f t="shared" ref="Q76" si="356">F76*P76</f>
        <v>74765638.326274425</v>
      </c>
      <c r="R76">
        <f t="shared" ref="R76" si="357">R77+Q76</f>
        <v>-79055594385.560715</v>
      </c>
      <c r="S76">
        <f t="shared" ref="S76" si="358">R76/100000</f>
        <v>-790555.94385560718</v>
      </c>
      <c r="T76">
        <f t="shared" ref="T76" si="359">S76/1000</f>
        <v>-790.55594385560721</v>
      </c>
    </row>
    <row r="77" spans="1:20" x14ac:dyDescent="0.25">
      <c r="A77" s="5">
        <v>44516</v>
      </c>
      <c r="B77">
        <v>1.1762999999999999E-2</v>
      </c>
      <c r="C77">
        <v>1.1762999999999999E-2</v>
      </c>
      <c r="D77">
        <v>1.0514000000000001E-2</v>
      </c>
      <c r="E77">
        <v>1.0925000000000001E-2</v>
      </c>
      <c r="F77">
        <v>412782785</v>
      </c>
      <c r="G77">
        <v>1.0925000000000001E-2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-0.3418734987990385</v>
      </c>
      <c r="Q77">
        <f t="shared" ref="Q77" si="361">F77*P77</f>
        <v>-141119494.95196128</v>
      </c>
      <c r="R77">
        <f t="shared" ref="R77" si="362">R78+Q77</f>
        <v>-79130360023.886993</v>
      </c>
      <c r="S77">
        <f t="shared" ref="S77" si="363">R77/100000</f>
        <v>-791303.6002388699</v>
      </c>
      <c r="T77">
        <f t="shared" ref="T77" si="364">S77/1000</f>
        <v>-791.30360023886988</v>
      </c>
    </row>
    <row r="78" spans="1:20" x14ac:dyDescent="0.25">
      <c r="A78" s="5">
        <v>44515</v>
      </c>
      <c r="B78">
        <v>1.1815000000000001E-2</v>
      </c>
      <c r="C78">
        <v>1.3014E-2</v>
      </c>
      <c r="D78">
        <v>1.171E-2</v>
      </c>
      <c r="E78">
        <v>1.1762999999999999E-2</v>
      </c>
      <c r="F78">
        <v>583780477</v>
      </c>
      <c r="G78">
        <v>1.1762999999999999E-2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-0.91871165644171893</v>
      </c>
      <c r="Q78">
        <f t="shared" ref="Q78" si="366">F78*P78</f>
        <v>-536325929.0230068</v>
      </c>
      <c r="R78">
        <f t="shared" ref="R78" si="367">R79+Q78</f>
        <v>-78989240528.935028</v>
      </c>
      <c r="S78">
        <f t="shared" ref="S78" si="368">R78/100000</f>
        <v>-789892.40528935031</v>
      </c>
      <c r="T78">
        <f t="shared" ref="T78" si="369">S78/1000</f>
        <v>-789.89240528935034</v>
      </c>
    </row>
    <row r="79" spans="1:20" x14ac:dyDescent="0.25">
      <c r="A79" s="5">
        <v>44514</v>
      </c>
      <c r="B79">
        <v>1.1901999999999999E-2</v>
      </c>
      <c r="C79">
        <v>1.2266000000000001E-2</v>
      </c>
      <c r="D79">
        <v>1.1544E-2</v>
      </c>
      <c r="E79">
        <v>1.1815000000000001E-2</v>
      </c>
      <c r="F79">
        <v>291555092</v>
      </c>
      <c r="G79">
        <v>1.1815000000000001E-2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-0.24930747922437604</v>
      </c>
      <c r="Q79">
        <f t="shared" ref="Q79" si="371">F79*P79</f>
        <v>-72686865.041551054</v>
      </c>
      <c r="R79">
        <f t="shared" ref="R79" si="372">R80+Q79</f>
        <v>-78452914599.912018</v>
      </c>
      <c r="S79">
        <f t="shared" ref="S79" si="373">R79/100000</f>
        <v>-784529.1459991202</v>
      </c>
      <c r="T79">
        <f t="shared" ref="T79" si="374">S79/1000</f>
        <v>-784.52914599912015</v>
      </c>
    </row>
    <row r="80" spans="1:20" x14ac:dyDescent="0.25">
      <c r="A80" s="5">
        <v>44513</v>
      </c>
      <c r="B80">
        <v>1.1705999999999999E-2</v>
      </c>
      <c r="C80">
        <v>1.2241E-2</v>
      </c>
      <c r="D80">
        <v>1.17E-2</v>
      </c>
      <c r="E80">
        <v>1.1906E-2</v>
      </c>
      <c r="F80">
        <v>261147084</v>
      </c>
      <c r="G80">
        <v>1.1906E-2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-0.23844731977818981</v>
      </c>
      <c r="Q80">
        <f t="shared" ref="Q80" si="376">F80*P80</f>
        <v>-62269822.247689798</v>
      </c>
      <c r="R80">
        <f t="shared" ref="R80" si="377">R81+Q80</f>
        <v>-78380227734.870468</v>
      </c>
      <c r="S80">
        <f t="shared" ref="S80" si="378">R80/100000</f>
        <v>-783802.27734870464</v>
      </c>
      <c r="T80">
        <f t="shared" ref="T80" si="379">S80/1000</f>
        <v>-783.80227734870459</v>
      </c>
    </row>
    <row r="81" spans="1:20" x14ac:dyDescent="0.25">
      <c r="A81" s="5">
        <v>44512</v>
      </c>
      <c r="B81">
        <v>1.205E-2</v>
      </c>
      <c r="C81">
        <v>1.2142E-2</v>
      </c>
      <c r="D81">
        <v>1.1457999999999999E-2</v>
      </c>
      <c r="E81">
        <v>1.1735000000000001E-2</v>
      </c>
      <c r="F81">
        <v>283496983</v>
      </c>
      <c r="G81">
        <v>1.1735000000000001E-2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-0.1900584795321609</v>
      </c>
      <c r="Q81">
        <f t="shared" ref="Q81" si="381">F81*P81</f>
        <v>-53881005.540934868</v>
      </c>
      <c r="R81">
        <f t="shared" ref="R81" si="382">R82+Q81</f>
        <v>-78317957912.622772</v>
      </c>
      <c r="S81">
        <f t="shared" ref="S81" si="383">R81/100000</f>
        <v>-783179.57912622776</v>
      </c>
      <c r="T81">
        <f t="shared" ref="T81" si="384">S81/1000</f>
        <v>-783.17957912622774</v>
      </c>
    </row>
    <row r="82" spans="1:20" x14ac:dyDescent="0.25">
      <c r="A82" s="5">
        <v>44511</v>
      </c>
      <c r="B82">
        <v>1.1753E-2</v>
      </c>
      <c r="C82">
        <v>1.2664999999999999E-2</v>
      </c>
      <c r="D82">
        <v>1.1384999999999999E-2</v>
      </c>
      <c r="E82">
        <v>1.2064999999999999E-2</v>
      </c>
      <c r="F82">
        <v>447148087</v>
      </c>
      <c r="G82">
        <v>1.2064999999999999E-2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6.2500000000000167E-2</v>
      </c>
      <c r="Q82">
        <f t="shared" ref="Q82" si="386">F82*P82</f>
        <v>27946755.437500075</v>
      </c>
      <c r="R82">
        <f t="shared" ref="R82" si="387">R83+Q82</f>
        <v>-78264076907.081833</v>
      </c>
      <c r="S82">
        <f t="shared" ref="S82" si="388">R82/100000</f>
        <v>-782640.76907081832</v>
      </c>
      <c r="T82">
        <f t="shared" ref="T82" si="389">S82/1000</f>
        <v>-782.64076907081835</v>
      </c>
    </row>
    <row r="83" spans="1:20" x14ac:dyDescent="0.25">
      <c r="A83" s="5">
        <v>44510</v>
      </c>
      <c r="B83">
        <v>1.2765E-2</v>
      </c>
      <c r="C83">
        <v>1.3514999999999999E-2</v>
      </c>
      <c r="D83">
        <v>1.1594E-2</v>
      </c>
      <c r="E83">
        <v>1.176E-2</v>
      </c>
      <c r="F83">
        <v>848095815</v>
      </c>
      <c r="G83">
        <v>1.176E-2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-0.82717334721499269</v>
      </c>
      <c r="Q83">
        <f t="shared" ref="Q83" si="391">F83*P83</f>
        <v>-701522254.05257726</v>
      </c>
      <c r="R83">
        <f t="shared" ref="R83" si="392">R84+Q83</f>
        <v>-78292023662.519333</v>
      </c>
      <c r="S83">
        <f t="shared" ref="S83" si="393">R83/100000</f>
        <v>-782920.23662519339</v>
      </c>
      <c r="T83">
        <f t="shared" ref="T83" si="394">S83/1000</f>
        <v>-782.92023662519341</v>
      </c>
    </row>
    <row r="84" spans="1:20" x14ac:dyDescent="0.25">
      <c r="A84" s="5">
        <v>44509</v>
      </c>
      <c r="B84">
        <v>1.2607999999999999E-2</v>
      </c>
      <c r="C84">
        <v>1.3861999999999999E-2</v>
      </c>
      <c r="D84">
        <v>1.2392E-2</v>
      </c>
      <c r="E84">
        <v>1.2756999999999999E-2</v>
      </c>
      <c r="F84">
        <v>932123499</v>
      </c>
      <c r="G84">
        <v>1.2756999999999999E-2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-0.50340136054421869</v>
      </c>
      <c r="Q84">
        <f t="shared" ref="Q84" si="396">F84*P84</f>
        <v>-469232237.59183764</v>
      </c>
      <c r="R84">
        <f t="shared" ref="R84" si="397">R85+Q84</f>
        <v>-77590501408.466751</v>
      </c>
      <c r="S84">
        <f t="shared" ref="S84" si="398">R84/100000</f>
        <v>-775905.01408466755</v>
      </c>
      <c r="T84">
        <f t="shared" ref="T84" si="399">S84/1000</f>
        <v>-775.90501408466753</v>
      </c>
    </row>
    <row r="85" spans="1:20" x14ac:dyDescent="0.25">
      <c r="A85" s="5">
        <v>44508</v>
      </c>
      <c r="B85">
        <v>1.2290000000000001E-2</v>
      </c>
      <c r="C85">
        <v>1.3599999999999999E-2</v>
      </c>
      <c r="D85">
        <v>1.208E-2</v>
      </c>
      <c r="E85">
        <v>1.2607999999999999E-2</v>
      </c>
      <c r="F85">
        <v>692483507</v>
      </c>
      <c r="G85">
        <v>1.2607999999999999E-2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-0.30526315789473768</v>
      </c>
      <c r="Q85">
        <f t="shared" ref="Q85" si="401">F85*P85</f>
        <v>-211389702.1368427</v>
      </c>
      <c r="R85">
        <f t="shared" ref="R85" si="402">R86+Q85</f>
        <v>-77121269170.874908</v>
      </c>
      <c r="S85">
        <f t="shared" ref="S85" si="403">R85/100000</f>
        <v>-771212.69170874904</v>
      </c>
      <c r="T85">
        <f t="shared" ref="T85" si="404">S85/1000</f>
        <v>-771.21269170874905</v>
      </c>
    </row>
    <row r="86" spans="1:20" x14ac:dyDescent="0.25">
      <c r="A86" s="5">
        <v>44507</v>
      </c>
      <c r="B86">
        <v>1.2225E-2</v>
      </c>
      <c r="C86">
        <v>1.2759E-2</v>
      </c>
      <c r="D86">
        <v>1.2067E-2</v>
      </c>
      <c r="E86">
        <v>1.2290000000000001E-2</v>
      </c>
      <c r="F86">
        <v>352552670</v>
      </c>
      <c r="G86">
        <v>1.2290000000000001E-2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-0.35549132947976586</v>
      </c>
      <c r="Q86">
        <f t="shared" ref="Q86" si="406">F86*P86</f>
        <v>-125329417.36994116</v>
      </c>
      <c r="R86">
        <f t="shared" ref="R86" si="407">R87+Q86</f>
        <v>-76909879468.738068</v>
      </c>
      <c r="S86">
        <f t="shared" ref="S86" si="408">R86/100000</f>
        <v>-769098.79468738066</v>
      </c>
      <c r="T86">
        <f t="shared" ref="T86" si="409">S86/1000</f>
        <v>-769.09879468738063</v>
      </c>
    </row>
    <row r="87" spans="1:20" x14ac:dyDescent="0.25">
      <c r="A87" s="5">
        <v>44506</v>
      </c>
      <c r="B87">
        <v>1.2409999999999999E-2</v>
      </c>
      <c r="C87">
        <v>1.2999E-2</v>
      </c>
      <c r="D87">
        <v>1.1828E-2</v>
      </c>
      <c r="E87">
        <v>1.2224E-2</v>
      </c>
      <c r="F87">
        <v>756230620</v>
      </c>
      <c r="G87">
        <v>1.2224E-2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-0.32365499573014439</v>
      </c>
      <c r="Q87">
        <f t="shared" ref="Q87" si="411">F87*P87</f>
        <v>-244757818.08710444</v>
      </c>
      <c r="R87">
        <f t="shared" ref="R87" si="412">R88+Q87</f>
        <v>-76784550051.368134</v>
      </c>
      <c r="S87">
        <f t="shared" ref="S87" si="413">R87/100000</f>
        <v>-767845.50051368133</v>
      </c>
      <c r="T87">
        <f t="shared" ref="T87" si="414">S87/1000</f>
        <v>-767.84550051368137</v>
      </c>
    </row>
    <row r="88" spans="1:20" x14ac:dyDescent="0.25">
      <c r="A88" s="5">
        <v>44505</v>
      </c>
      <c r="B88">
        <v>1.1698E-2</v>
      </c>
      <c r="C88">
        <v>1.3875E-2</v>
      </c>
      <c r="D88">
        <v>1.1507E-2</v>
      </c>
      <c r="E88">
        <v>1.2411E-2</v>
      </c>
      <c r="F88">
        <v>1550025425</v>
      </c>
      <c r="G88">
        <v>1.2411E-2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-0.23648648648648635</v>
      </c>
      <c r="Q88">
        <f t="shared" ref="Q88" si="416">F88*P88</f>
        <v>-366560066.72297275</v>
      </c>
      <c r="R88">
        <f t="shared" ref="R88" si="417">R89+Q88</f>
        <v>-76539792233.281036</v>
      </c>
      <c r="S88">
        <f t="shared" ref="S88" si="418">R88/100000</f>
        <v>-765397.92233281035</v>
      </c>
      <c r="T88">
        <f t="shared" ref="T88" si="419">S88/1000</f>
        <v>-765.39792233281037</v>
      </c>
    </row>
    <row r="89" spans="1:20" x14ac:dyDescent="0.25">
      <c r="A89" s="5">
        <v>44504</v>
      </c>
      <c r="B89">
        <v>1.1811E-2</v>
      </c>
      <c r="C89">
        <v>1.1983000000000001E-2</v>
      </c>
      <c r="D89">
        <v>1.133E-2</v>
      </c>
      <c r="E89">
        <v>1.1676000000000001E-2</v>
      </c>
      <c r="F89">
        <v>476289558</v>
      </c>
      <c r="G89">
        <v>1.1676000000000001E-2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5.9724349157734752E-2</v>
      </c>
      <c r="Q89">
        <f t="shared" ref="Q89" si="421">F89*P89</f>
        <v>28446083.862175155</v>
      </c>
      <c r="R89">
        <f t="shared" ref="R89" si="422">R90+Q89</f>
        <v>-76173232166.55806</v>
      </c>
      <c r="S89">
        <f t="shared" ref="S89" si="423">R89/100000</f>
        <v>-761732.32166558062</v>
      </c>
      <c r="T89">
        <f t="shared" ref="T89" si="424">S89/1000</f>
        <v>-761.73232166558057</v>
      </c>
    </row>
    <row r="90" spans="1:20" x14ac:dyDescent="0.25">
      <c r="A90" s="5">
        <v>44503</v>
      </c>
      <c r="B90">
        <v>1.2191E-2</v>
      </c>
      <c r="C90">
        <v>1.2281E-2</v>
      </c>
      <c r="D90">
        <v>1.1492E-2</v>
      </c>
      <c r="E90">
        <v>1.1809999999999999E-2</v>
      </c>
      <c r="F90">
        <v>541563022</v>
      </c>
      <c r="G90">
        <v>1.1809999999999999E-2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-0.19391634980988864</v>
      </c>
      <c r="Q90">
        <f t="shared" ref="Q90" si="426">F90*P90</f>
        <v>-105017924.41825242</v>
      </c>
      <c r="R90">
        <f t="shared" ref="R90" si="427">R91+Q90</f>
        <v>-76201678250.420242</v>
      </c>
      <c r="S90">
        <f t="shared" ref="S90" si="428">R90/100000</f>
        <v>-762016.78250420245</v>
      </c>
      <c r="T90">
        <f t="shared" ref="T90" si="429">S90/1000</f>
        <v>-762.01678250420241</v>
      </c>
    </row>
    <row r="91" spans="1:20" x14ac:dyDescent="0.25">
      <c r="A91" s="5">
        <v>44502</v>
      </c>
      <c r="B91">
        <v>1.2161999999999999E-2</v>
      </c>
      <c r="C91">
        <v>1.2964E-2</v>
      </c>
      <c r="D91">
        <v>1.1932E-2</v>
      </c>
      <c r="E91">
        <v>1.2201E-2</v>
      </c>
      <c r="F91">
        <v>884113308</v>
      </c>
      <c r="G91">
        <v>1.2201E-2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-0.47868217054263534</v>
      </c>
      <c r="Q91">
        <f t="shared" ref="Q91" si="431">F91*P91</f>
        <v>-423209277.27906948</v>
      </c>
      <c r="R91">
        <f t="shared" ref="R91" si="432">R92+Q91</f>
        <v>-76096660326.001984</v>
      </c>
      <c r="S91">
        <f t="shared" ref="S91" si="433">R91/100000</f>
        <v>-760966.60326001979</v>
      </c>
      <c r="T91">
        <f t="shared" ref="T91" si="434">S91/1000</f>
        <v>-760.96660326001984</v>
      </c>
    </row>
    <row r="92" spans="1:20" x14ac:dyDescent="0.25">
      <c r="A92" s="5">
        <v>44501</v>
      </c>
      <c r="B92">
        <v>1.2227E-2</v>
      </c>
      <c r="C92">
        <v>1.469E-2</v>
      </c>
      <c r="D92">
        <v>1.18E-2</v>
      </c>
      <c r="E92">
        <v>1.2161999999999999E-2</v>
      </c>
      <c r="F92">
        <v>3399452935</v>
      </c>
      <c r="G92">
        <v>1.2161999999999999E-2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-0.74948096885813187</v>
      </c>
      <c r="Q92">
        <f t="shared" ref="Q92" si="436">F92*P92</f>
        <v>-2547825279.31142</v>
      </c>
      <c r="R92">
        <f t="shared" ref="R92" si="437">R93+Q92</f>
        <v>-75673451048.722916</v>
      </c>
      <c r="S92">
        <f t="shared" ref="S92" si="438">R92/100000</f>
        <v>-756734.51048722921</v>
      </c>
      <c r="T92">
        <f t="shared" ref="T92" si="439">S92/1000</f>
        <v>-756.73451048722916</v>
      </c>
    </row>
    <row r="93" spans="1:20" x14ac:dyDescent="0.25">
      <c r="A93" s="5">
        <v>44500</v>
      </c>
      <c r="B93">
        <v>1.0843E-2</v>
      </c>
      <c r="C93">
        <v>1.6826000000000001E-2</v>
      </c>
      <c r="D93">
        <v>1.035E-2</v>
      </c>
      <c r="E93">
        <v>1.2231000000000001E-2</v>
      </c>
      <c r="F93">
        <v>6511047677</v>
      </c>
      <c r="G93">
        <v>1.2231000000000001E-2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-0.41908585546633709</v>
      </c>
      <c r="Q93">
        <f t="shared" ref="Q93" si="441">F93*P93</f>
        <v>-2728687985.6976519</v>
      </c>
      <c r="R93">
        <f t="shared" ref="R93" si="442">R94+Q93</f>
        <v>-73125625769.411499</v>
      </c>
      <c r="S93">
        <f t="shared" ref="S93" si="443">R93/100000</f>
        <v>-731256.25769411505</v>
      </c>
      <c r="T93">
        <f t="shared" ref="T93" si="444">S93/1000</f>
        <v>-731.25625769411499</v>
      </c>
    </row>
    <row r="94" spans="1:20" x14ac:dyDescent="0.25">
      <c r="A94" s="5">
        <v>44499</v>
      </c>
      <c r="B94">
        <v>1.1143E-2</v>
      </c>
      <c r="C94">
        <v>1.1344999999999999E-2</v>
      </c>
      <c r="D94">
        <v>1.0430999999999999E-2</v>
      </c>
      <c r="E94">
        <v>1.0853E-2</v>
      </c>
      <c r="F94">
        <v>704840506</v>
      </c>
      <c r="G94">
        <v>1.0853E-2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-7.6586433260392661E-2</v>
      </c>
      <c r="Q94">
        <f t="shared" ref="Q94" si="446">F94*P94</f>
        <v>-53981220.37199039</v>
      </c>
      <c r="R94">
        <f t="shared" ref="R94" si="447">R95+Q94</f>
        <v>-70396937783.713852</v>
      </c>
      <c r="S94">
        <f t="shared" ref="S94" si="448">R94/100000</f>
        <v>-703969.37783713848</v>
      </c>
      <c r="T94">
        <f t="shared" ref="T94" si="449">S94/1000</f>
        <v>-703.9693778371385</v>
      </c>
    </row>
    <row r="95" spans="1:20" x14ac:dyDescent="0.25">
      <c r="A95" s="5">
        <v>44498</v>
      </c>
      <c r="B95">
        <v>1.0479E-2</v>
      </c>
      <c r="C95">
        <v>1.242E-2</v>
      </c>
      <c r="D95">
        <v>1.0432E-2</v>
      </c>
      <c r="E95">
        <v>1.1139E-2</v>
      </c>
      <c r="F95">
        <v>946822853</v>
      </c>
      <c r="G95">
        <v>1.1139E-2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-0.28873239436619796</v>
      </c>
      <c r="Q95">
        <f t="shared" ref="Q95" si="451">F95*P95</f>
        <v>-273378429.38732469</v>
      </c>
      <c r="R95">
        <f t="shared" ref="R95" si="452">R96+Q95</f>
        <v>-70342956563.341858</v>
      </c>
      <c r="S95">
        <f t="shared" ref="S95" si="453">R95/100000</f>
        <v>-703429.56563341862</v>
      </c>
      <c r="T95">
        <f t="shared" ref="T95" si="454">S95/1000</f>
        <v>-703.42956563341863</v>
      </c>
    </row>
    <row r="96" spans="1:20" x14ac:dyDescent="0.25">
      <c r="A96" s="5">
        <v>44497</v>
      </c>
      <c r="B96">
        <v>1.0292000000000001E-2</v>
      </c>
      <c r="C96">
        <v>1.0977000000000001E-2</v>
      </c>
      <c r="D96">
        <v>1.0030000000000001E-2</v>
      </c>
      <c r="E96">
        <v>1.0468E-2</v>
      </c>
      <c r="F96">
        <v>692437492</v>
      </c>
      <c r="G96">
        <v>1.0468E-2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-7.4973600844774682E-2</v>
      </c>
      <c r="Q96">
        <f t="shared" ref="Q96" si="456">F96*P96</f>
        <v>-51914532.135164864</v>
      </c>
      <c r="R96">
        <f t="shared" ref="R96" si="457">R97+Q96</f>
        <v>-70069578133.954529</v>
      </c>
      <c r="S96">
        <f t="shared" ref="S96" si="458">R96/100000</f>
        <v>-700695.78133954527</v>
      </c>
      <c r="T96">
        <f t="shared" ref="T96" si="459">S96/1000</f>
        <v>-700.69578133954531</v>
      </c>
    </row>
    <row r="97" spans="1:20" x14ac:dyDescent="0.25">
      <c r="A97" s="5">
        <v>44496</v>
      </c>
      <c r="B97">
        <v>1.1793E-2</v>
      </c>
      <c r="C97">
        <v>1.2062E-2</v>
      </c>
      <c r="D97">
        <v>1.0255999999999999E-2</v>
      </c>
      <c r="E97">
        <v>1.0292000000000001E-2</v>
      </c>
      <c r="F97">
        <v>1087091684</v>
      </c>
      <c r="G97">
        <v>1.0292000000000001E-2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-0.96013289036544702</v>
      </c>
      <c r="Q97">
        <f t="shared" ref="Q97" si="461">F97*P97</f>
        <v>-1043752480.6511612</v>
      </c>
      <c r="R97">
        <f t="shared" ref="R97" si="462">R98+Q97</f>
        <v>-70017663601.819366</v>
      </c>
      <c r="S97">
        <f t="shared" ref="S97" si="463">R97/100000</f>
        <v>-700176.63601819368</v>
      </c>
      <c r="T97">
        <f t="shared" ref="T97" si="464">S97/1000</f>
        <v>-700.17663601819368</v>
      </c>
    </row>
    <row r="98" spans="1:20" x14ac:dyDescent="0.25">
      <c r="A98" s="5">
        <v>44495</v>
      </c>
      <c r="B98">
        <v>1.2519000000000001E-2</v>
      </c>
      <c r="C98">
        <v>1.2784E-2</v>
      </c>
      <c r="D98">
        <v>1.1672E-2</v>
      </c>
      <c r="E98">
        <v>1.1795999999999999E-2</v>
      </c>
      <c r="F98">
        <v>618686318</v>
      </c>
      <c r="G98">
        <v>1.1795999999999999E-2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-0.77697841726618866</v>
      </c>
      <c r="Q98">
        <f t="shared" ref="Q98" si="466">F98*P98</f>
        <v>-480705916.14388591</v>
      </c>
      <c r="R98">
        <f t="shared" ref="R98" si="467">R99+Q98</f>
        <v>-68973911121.168213</v>
      </c>
      <c r="S98">
        <f t="shared" ref="S98" si="468">R98/100000</f>
        <v>-689739.11121168209</v>
      </c>
      <c r="T98">
        <f t="shared" ref="T98" si="469">S98/1000</f>
        <v>-689.73911121168214</v>
      </c>
    </row>
    <row r="99" spans="1:20" x14ac:dyDescent="0.25">
      <c r="A99" s="5">
        <v>44494</v>
      </c>
      <c r="B99">
        <v>1.1762999999999999E-2</v>
      </c>
      <c r="C99">
        <v>1.3178E-2</v>
      </c>
      <c r="D99">
        <v>1.172E-2</v>
      </c>
      <c r="E99">
        <v>1.252E-2</v>
      </c>
      <c r="F99">
        <v>906746561</v>
      </c>
      <c r="G99">
        <v>1.252E-2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9.7393689986282353E-2</v>
      </c>
      <c r="Q99">
        <f t="shared" ref="Q99" si="471">F99*P99</f>
        <v>88311393.458161667</v>
      </c>
      <c r="R99">
        <f t="shared" ref="R99" si="472">R100+Q99</f>
        <v>-68493205205.024323</v>
      </c>
      <c r="S99">
        <f t="shared" ref="S99" si="473">R99/100000</f>
        <v>-684932.05205024325</v>
      </c>
      <c r="T99">
        <f t="shared" ref="T99" si="474">S99/1000</f>
        <v>-684.93205205024321</v>
      </c>
    </row>
    <row r="100" spans="1:20" x14ac:dyDescent="0.25">
      <c r="A100" s="5">
        <v>44493</v>
      </c>
      <c r="B100">
        <v>1.2511E-2</v>
      </c>
      <c r="C100">
        <v>1.2815E-2</v>
      </c>
      <c r="D100">
        <v>1.1560000000000001E-2</v>
      </c>
      <c r="E100">
        <v>1.1762999999999999E-2</v>
      </c>
      <c r="F100">
        <v>809603871</v>
      </c>
      <c r="G100">
        <v>1.1762999999999999E-2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-0.67649402390438496</v>
      </c>
      <c r="Q100">
        <f t="shared" ref="Q100" si="476">F100*P100</f>
        <v>-547692180.46135664</v>
      </c>
      <c r="R100">
        <f t="shared" ref="R100" si="477">R101+Q100</f>
        <v>-68581516598.482483</v>
      </c>
      <c r="S100">
        <f t="shared" ref="S100" si="478">R100/100000</f>
        <v>-685815.16598482488</v>
      </c>
      <c r="T100">
        <f t="shared" ref="T100" si="479">S100/1000</f>
        <v>-685.81516598482483</v>
      </c>
    </row>
    <row r="101" spans="1:20" x14ac:dyDescent="0.25">
      <c r="A101" s="5">
        <v>44492</v>
      </c>
      <c r="B101">
        <v>1.2564000000000001E-2</v>
      </c>
      <c r="C101">
        <v>1.3651999999999999E-2</v>
      </c>
      <c r="D101">
        <v>1.2134000000000001E-2</v>
      </c>
      <c r="E101">
        <v>1.2511E-2</v>
      </c>
      <c r="F101">
        <v>1116452848</v>
      </c>
      <c r="G101">
        <v>1.2511E-2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-0.50329380764163478</v>
      </c>
      <c r="Q101">
        <f t="shared" ref="Q101" si="481">F101*P101</f>
        <v>-561903804.92226732</v>
      </c>
      <c r="R101">
        <f t="shared" ref="R101" si="482">R102+Q101</f>
        <v>-68033824418.021126</v>
      </c>
      <c r="S101">
        <f t="shared" ref="S101" si="483">R101/100000</f>
        <v>-680338.24418021122</v>
      </c>
      <c r="T101">
        <f t="shared" ref="T101" si="484">S101/1000</f>
        <v>-680.33824418021118</v>
      </c>
    </row>
    <row r="102" spans="1:20" x14ac:dyDescent="0.25">
      <c r="A102" s="5">
        <v>44491</v>
      </c>
      <c r="B102">
        <v>1.3195E-2</v>
      </c>
      <c r="C102">
        <v>1.3899999999999999E-2</v>
      </c>
      <c r="D102">
        <v>1.2319999999999999E-2</v>
      </c>
      <c r="E102">
        <v>1.257E-2</v>
      </c>
      <c r="F102">
        <v>1076820344</v>
      </c>
      <c r="G102">
        <v>1.257E-2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-0.683544303797468</v>
      </c>
      <c r="Q102">
        <f t="shared" ref="Q102" si="486">F102*P102</f>
        <v>-736054412.35442996</v>
      </c>
      <c r="R102">
        <f t="shared" ref="R102" si="487">R103+Q102</f>
        <v>-67471920613.098862</v>
      </c>
      <c r="S102">
        <f t="shared" ref="S102" si="488">R102/100000</f>
        <v>-674719.20613098866</v>
      </c>
      <c r="T102">
        <f t="shared" ref="T102" si="489">S102/1000</f>
        <v>-674.71920613098871</v>
      </c>
    </row>
    <row r="103" spans="1:20" x14ac:dyDescent="0.25">
      <c r="A103" s="5">
        <v>44490</v>
      </c>
      <c r="B103">
        <v>1.4141000000000001E-2</v>
      </c>
      <c r="C103">
        <v>1.6240999999999998E-2</v>
      </c>
      <c r="D103">
        <v>1.3014E-2</v>
      </c>
      <c r="E103">
        <v>1.3204E-2</v>
      </c>
      <c r="F103">
        <v>5321173727</v>
      </c>
      <c r="G103">
        <v>1.3204E-2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-0.8822435698791441</v>
      </c>
      <c r="Q103">
        <f t="shared" ref="Q103" si="491">F103*P103</f>
        <v>-4694571304.8555899</v>
      </c>
      <c r="R103">
        <f t="shared" ref="R103" si="492">R104+Q103</f>
        <v>-66735866200.744431</v>
      </c>
      <c r="S103">
        <f t="shared" ref="S103" si="493">R103/100000</f>
        <v>-667358.66200744431</v>
      </c>
      <c r="T103">
        <f t="shared" ref="T103" si="494">S103/1000</f>
        <v>-667.35866200744431</v>
      </c>
    </row>
    <row r="104" spans="1:20" x14ac:dyDescent="0.25">
      <c r="A104" s="5">
        <v>44489</v>
      </c>
      <c r="B104">
        <v>1.1325E-2</v>
      </c>
      <c r="C104">
        <v>1.6771000000000001E-2</v>
      </c>
      <c r="D104">
        <v>1.06E-2</v>
      </c>
      <c r="E104">
        <v>1.414E-2</v>
      </c>
      <c r="F104">
        <v>6236442975</v>
      </c>
      <c r="G104">
        <v>1.414E-2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0.14730189596499726</v>
      </c>
      <c r="Q104">
        <f t="shared" ref="Q104" si="496">F104*P104</f>
        <v>918639874.29508805</v>
      </c>
      <c r="R104">
        <f t="shared" ref="R104" si="497">R105+Q104</f>
        <v>-62041294895.88884</v>
      </c>
      <c r="S104">
        <f t="shared" ref="S104" si="498">R104/100000</f>
        <v>-620412.94895888842</v>
      </c>
      <c r="T104">
        <f t="shared" ref="T104" si="499">S104/1000</f>
        <v>-620.41294895888836</v>
      </c>
    </row>
    <row r="105" spans="1:20" x14ac:dyDescent="0.25">
      <c r="A105" s="5">
        <v>44488</v>
      </c>
      <c r="B105">
        <v>1.1089E-2</v>
      </c>
      <c r="C105">
        <v>1.3148999999999999E-2</v>
      </c>
      <c r="D105">
        <v>1.042E-2</v>
      </c>
      <c r="E105">
        <v>1.1324000000000001E-2</v>
      </c>
      <c r="F105">
        <v>3593687987</v>
      </c>
      <c r="G105">
        <v>1.1324000000000001E-2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-0.33748625870282106</v>
      </c>
      <c r="Q105">
        <f t="shared" ref="Q105" si="501">F105*P105</f>
        <v>-1212820313.6779022</v>
      </c>
      <c r="R105">
        <f t="shared" ref="R105" si="502">R106+Q105</f>
        <v>-62959934770.183929</v>
      </c>
      <c r="S105">
        <f t="shared" ref="S105" si="503">R105/100000</f>
        <v>-629599.34770183929</v>
      </c>
      <c r="T105">
        <f t="shared" ref="T105" si="504">S105/1000</f>
        <v>-629.59934770183929</v>
      </c>
    </row>
    <row r="106" spans="1:20" x14ac:dyDescent="0.25">
      <c r="A106" s="5">
        <v>44487</v>
      </c>
      <c r="B106">
        <v>1.0385E-2</v>
      </c>
      <c r="C106">
        <v>1.3275E-2</v>
      </c>
      <c r="D106">
        <v>9.6950000000000005E-3</v>
      </c>
      <c r="E106">
        <v>1.1089E-2</v>
      </c>
      <c r="F106">
        <v>3574009593</v>
      </c>
      <c r="G106">
        <v>1.1089E-2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-0.2212290502793299</v>
      </c>
      <c r="Q106">
        <f t="shared" ref="Q106" si="506">F106*P106</f>
        <v>-790674747.94860435</v>
      </c>
      <c r="R106">
        <f t="shared" ref="R106" si="507">R107+Q106</f>
        <v>-61747114456.506027</v>
      </c>
      <c r="S106">
        <f t="shared" ref="S106" si="508">R106/100000</f>
        <v>-617471.14456506027</v>
      </c>
      <c r="T106">
        <f t="shared" ref="T106" si="509">S106/1000</f>
        <v>-617.47114456506029</v>
      </c>
    </row>
    <row r="107" spans="1:20" x14ac:dyDescent="0.25">
      <c r="A107" s="5">
        <v>44486</v>
      </c>
      <c r="B107">
        <v>9.3139999999999994E-3</v>
      </c>
      <c r="C107">
        <v>1.4E-2</v>
      </c>
      <c r="D107">
        <v>9.2499999999999995E-3</v>
      </c>
      <c r="E107">
        <v>1.0385E-2</v>
      </c>
      <c r="F107">
        <v>3435073492</v>
      </c>
      <c r="G107">
        <v>1.0385E-2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-0.52210526315789452</v>
      </c>
      <c r="Q107">
        <f t="shared" ref="Q107" si="511">F107*P107</f>
        <v>-1793469949.5073676</v>
      </c>
      <c r="R107">
        <f t="shared" ref="R107" si="512">R108+Q107</f>
        <v>-60956439708.557426</v>
      </c>
      <c r="S107">
        <f t="shared" ref="S107" si="513">R107/100000</f>
        <v>-609564.39708557422</v>
      </c>
      <c r="T107">
        <f t="shared" ref="T107" si="514">S107/1000</f>
        <v>-609.56439708557423</v>
      </c>
    </row>
    <row r="108" spans="1:20" x14ac:dyDescent="0.25">
      <c r="A108" s="5">
        <v>44485</v>
      </c>
      <c r="B108">
        <v>9.8289999999999992E-3</v>
      </c>
      <c r="C108">
        <v>9.9089999999999994E-3</v>
      </c>
      <c r="D108">
        <v>9.2149999999999992E-3</v>
      </c>
      <c r="E108">
        <v>9.3279999999999995E-3</v>
      </c>
      <c r="F108">
        <v>379384746</v>
      </c>
      <c r="G108">
        <v>9.3279999999999995E-3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-0.67435158501440862</v>
      </c>
      <c r="Q108">
        <f t="shared" ref="Q108" si="516">F108*P108</f>
        <v>-255838704.79538882</v>
      </c>
      <c r="R108">
        <f t="shared" ref="R108" si="517">R109+Q108</f>
        <v>-59162969759.050056</v>
      </c>
      <c r="S108">
        <f t="shared" ref="S108" si="518">R108/100000</f>
        <v>-591629.69759050058</v>
      </c>
      <c r="T108">
        <f t="shared" ref="T108" si="519">S108/1000</f>
        <v>-591.62969759050054</v>
      </c>
    </row>
    <row r="109" spans="1:20" x14ac:dyDescent="0.25">
      <c r="A109" s="5">
        <v>44484</v>
      </c>
      <c r="B109">
        <v>9.0790000000000003E-3</v>
      </c>
      <c r="C109">
        <v>0.01</v>
      </c>
      <c r="D109">
        <v>8.9949999999999995E-3</v>
      </c>
      <c r="E109">
        <v>9.8469999999999999E-3</v>
      </c>
      <c r="F109">
        <v>712417668</v>
      </c>
      <c r="G109">
        <v>9.8469999999999999E-3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0.69552238805970101</v>
      </c>
      <c r="Q109">
        <f t="shared" ref="Q109" si="521">F109*P109</f>
        <v>495502437.74328321</v>
      </c>
      <c r="R109">
        <f t="shared" ref="R109" si="522">R110+Q109</f>
        <v>-58907131054.254669</v>
      </c>
      <c r="S109">
        <f t="shared" ref="S109" si="523">R109/100000</f>
        <v>-589071.31054254668</v>
      </c>
      <c r="T109">
        <f t="shared" ref="T109" si="524">S109/1000</f>
        <v>-589.07131054254671</v>
      </c>
    </row>
    <row r="110" spans="1:20" x14ac:dyDescent="0.25">
      <c r="A110" s="5">
        <v>44483</v>
      </c>
      <c r="B110">
        <v>9.025E-3</v>
      </c>
      <c r="C110">
        <v>9.4669999999999997E-3</v>
      </c>
      <c r="D110">
        <v>8.8999999999999999E-3</v>
      </c>
      <c r="E110">
        <v>9.0629999999999999E-3</v>
      </c>
      <c r="F110">
        <v>301110154</v>
      </c>
      <c r="G110">
        <v>9.0629999999999999E-3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-0.42504409171075835</v>
      </c>
      <c r="Q110">
        <f t="shared" ref="Q110" si="526">F110*P110</f>
        <v>-127985091.91181657</v>
      </c>
      <c r="R110">
        <f t="shared" ref="R110" si="527">R111+Q110</f>
        <v>-59402633491.997955</v>
      </c>
      <c r="S110">
        <f t="shared" ref="S110" si="528">R110/100000</f>
        <v>-594026.33491997956</v>
      </c>
      <c r="T110">
        <f t="shared" ref="T110" si="529">S110/1000</f>
        <v>-594.0263349199796</v>
      </c>
    </row>
    <row r="111" spans="1:20" x14ac:dyDescent="0.25">
      <c r="A111" s="5">
        <v>44482</v>
      </c>
      <c r="B111">
        <v>9.0229999999999998E-3</v>
      </c>
      <c r="C111">
        <v>9.2999999999999992E-3</v>
      </c>
      <c r="D111">
        <v>8.7580000000000002E-3</v>
      </c>
      <c r="E111">
        <v>9.025E-3</v>
      </c>
      <c r="F111">
        <v>317200951</v>
      </c>
      <c r="G111">
        <v>9.025E-3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-1.4760147601474798E-2</v>
      </c>
      <c r="Q111">
        <f t="shared" ref="Q111" si="531">F111*P111</f>
        <v>-4681932.8560881754</v>
      </c>
      <c r="R111">
        <f t="shared" ref="R111" si="532">R112+Q111</f>
        <v>-59274648400.086136</v>
      </c>
      <c r="S111">
        <f t="shared" ref="S111" si="533">R111/100000</f>
        <v>-592746.48400086141</v>
      </c>
      <c r="T111">
        <f t="shared" ref="T111" si="534">S111/1000</f>
        <v>-592.74648400086141</v>
      </c>
    </row>
    <row r="112" spans="1:20" x14ac:dyDescent="0.25">
      <c r="A112" s="5">
        <v>44481</v>
      </c>
      <c r="B112">
        <v>9.0559999999999998E-3</v>
      </c>
      <c r="C112">
        <v>9.3480000000000004E-3</v>
      </c>
      <c r="D112">
        <v>8.6309999999999998E-3</v>
      </c>
      <c r="E112">
        <v>9.0229999999999998E-3</v>
      </c>
      <c r="F112">
        <v>443826011</v>
      </c>
      <c r="G112">
        <v>9.0229999999999998E-3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9.3444909344489943E-2</v>
      </c>
      <c r="Q112">
        <f t="shared" ref="Q112" si="536">F112*P112</f>
        <v>41473281.362621598</v>
      </c>
      <c r="R112">
        <f t="shared" ref="R112" si="537">R113+Q112</f>
        <v>-59269966467.230049</v>
      </c>
      <c r="S112">
        <f t="shared" ref="S112" si="538">R112/100000</f>
        <v>-592699.66467230045</v>
      </c>
      <c r="T112">
        <f t="shared" ref="T112" si="539">S112/1000</f>
        <v>-592.6996646723004</v>
      </c>
    </row>
    <row r="113" spans="1:20" x14ac:dyDescent="0.25">
      <c r="A113" s="5">
        <v>44480</v>
      </c>
      <c r="B113">
        <v>8.7419999999999998E-3</v>
      </c>
      <c r="C113">
        <v>9.7630000000000008E-3</v>
      </c>
      <c r="D113">
        <v>8.6400000000000001E-3</v>
      </c>
      <c r="E113">
        <v>9.0559999999999998E-3</v>
      </c>
      <c r="F113">
        <v>637662341</v>
      </c>
      <c r="G113">
        <v>9.0559999999999998E-3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-0.25912733748887012</v>
      </c>
      <c r="Q113">
        <f t="shared" ref="Q113" si="541">F113*P113</f>
        <v>-165235744.64025</v>
      </c>
      <c r="R113">
        <f t="shared" ref="R113" si="542">R114+Q113</f>
        <v>-59311439748.592674</v>
      </c>
      <c r="S113">
        <f t="shared" ref="S113" si="543">R113/100000</f>
        <v>-593114.39748592675</v>
      </c>
      <c r="T113">
        <f t="shared" ref="T113" si="544">S113/1000</f>
        <v>-593.1143974859267</v>
      </c>
    </row>
    <row r="114" spans="1:20" x14ac:dyDescent="0.25">
      <c r="A114" s="5">
        <v>44479</v>
      </c>
      <c r="B114">
        <v>9.4490000000000008E-3</v>
      </c>
      <c r="C114">
        <v>9.4490000000000008E-3</v>
      </c>
      <c r="D114">
        <v>8.6960000000000006E-3</v>
      </c>
      <c r="E114">
        <v>8.7410000000000005E-3</v>
      </c>
      <c r="F114">
        <v>424579073</v>
      </c>
      <c r="G114">
        <v>8.7410000000000005E-3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-0.88047808764940272</v>
      </c>
      <c r="Q114">
        <f t="shared" ref="Q114" si="546">F114*P114</f>
        <v>-373832570.25099617</v>
      </c>
      <c r="R114">
        <f t="shared" ref="R114" si="547">R115+Q114</f>
        <v>-59146204003.952423</v>
      </c>
      <c r="S114">
        <f t="shared" ref="S114" si="548">R114/100000</f>
        <v>-591462.0400395242</v>
      </c>
      <c r="T114">
        <f t="shared" ref="T114" si="549">S114/1000</f>
        <v>-591.46204003952425</v>
      </c>
    </row>
    <row r="115" spans="1:20" x14ac:dyDescent="0.25">
      <c r="A115" s="5">
        <v>44478</v>
      </c>
      <c r="B115">
        <v>8.4469999999999996E-3</v>
      </c>
      <c r="C115">
        <v>1.0493000000000001E-2</v>
      </c>
      <c r="D115">
        <v>8.3549999999999996E-3</v>
      </c>
      <c r="E115">
        <v>9.4509999999999993E-3</v>
      </c>
      <c r="F115">
        <v>1638902490</v>
      </c>
      <c r="G115">
        <v>9.4509999999999993E-3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2.5257249766135859E-2</v>
      </c>
      <c r="Q115">
        <f t="shared" ref="Q115" si="551">F115*P115</f>
        <v>41394169.532271974</v>
      </c>
      <c r="R115">
        <f t="shared" ref="R115" si="552">R116+Q115</f>
        <v>-58772371433.701424</v>
      </c>
      <c r="S115">
        <f t="shared" ref="S115" si="553">R115/100000</f>
        <v>-587723.71433701424</v>
      </c>
      <c r="T115">
        <f t="shared" ref="T115" si="554">S115/1000</f>
        <v>-587.72371433701426</v>
      </c>
    </row>
    <row r="116" spans="1:20" x14ac:dyDescent="0.25">
      <c r="A116" s="5">
        <v>44477</v>
      </c>
      <c r="B116">
        <v>8.2970000000000006E-3</v>
      </c>
      <c r="C116">
        <v>8.9549999999999994E-3</v>
      </c>
      <c r="D116">
        <v>8.2710000000000006E-3</v>
      </c>
      <c r="E116">
        <v>8.4499999999999992E-3</v>
      </c>
      <c r="F116">
        <v>437910852</v>
      </c>
      <c r="G116">
        <v>8.4499999999999992E-3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-0.47660818713450614</v>
      </c>
      <c r="Q116">
        <f t="shared" ref="Q116" si="556">F116*P116</f>
        <v>-208711897.29824704</v>
      </c>
      <c r="R116">
        <f t="shared" ref="R116" si="557">R117+Q116</f>
        <v>-58813765603.233696</v>
      </c>
      <c r="S116">
        <f t="shared" ref="S116" si="558">R116/100000</f>
        <v>-588137.65603233699</v>
      </c>
      <c r="T116">
        <f t="shared" ref="T116" si="559">S116/1000</f>
        <v>-588.13765603233696</v>
      </c>
    </row>
    <row r="117" spans="1:20" x14ac:dyDescent="0.25">
      <c r="A117" s="5">
        <v>44476</v>
      </c>
      <c r="B117">
        <v>8.3560000000000006E-3</v>
      </c>
      <c r="C117">
        <v>8.6490000000000004E-3</v>
      </c>
      <c r="D117">
        <v>8.0999999999999996E-3</v>
      </c>
      <c r="E117">
        <v>8.3119999999999999E-3</v>
      </c>
      <c r="F117">
        <v>303874883</v>
      </c>
      <c r="G117">
        <v>8.3119999999999999E-3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-0.22768670309653899</v>
      </c>
      <c r="Q117">
        <f t="shared" ref="Q117" si="561">F117*P117</f>
        <v>-69188270.264116526</v>
      </c>
      <c r="R117">
        <f t="shared" ref="R117" si="562">R118+Q117</f>
        <v>-58605053705.935448</v>
      </c>
      <c r="S117">
        <f t="shared" ref="S117" si="563">R117/100000</f>
        <v>-586050.53705935448</v>
      </c>
      <c r="T117">
        <f t="shared" ref="T117" si="564">S117/1000</f>
        <v>-586.0505370593545</v>
      </c>
    </row>
    <row r="118" spans="1:20" x14ac:dyDescent="0.25">
      <c r="A118" s="5">
        <v>44475</v>
      </c>
      <c r="B118">
        <v>8.4679999999999998E-3</v>
      </c>
      <c r="C118">
        <v>8.6E-3</v>
      </c>
      <c r="D118">
        <v>7.5209999999999999E-3</v>
      </c>
      <c r="E118">
        <v>8.3680000000000004E-3</v>
      </c>
      <c r="F118">
        <v>618010916</v>
      </c>
      <c r="G118">
        <v>8.3680000000000004E-3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0.56997219647822139</v>
      </c>
      <c r="Q118">
        <f t="shared" ref="Q118" si="566">F118*P118</f>
        <v>352249039.24003756</v>
      </c>
      <c r="R118">
        <f t="shared" ref="R118" si="567">R119+Q118</f>
        <v>-58535865435.671333</v>
      </c>
      <c r="S118">
        <f t="shared" ref="S118" si="568">R118/100000</f>
        <v>-585358.65435671329</v>
      </c>
      <c r="T118">
        <f t="shared" ref="T118" si="569">S118/1000</f>
        <v>-585.35865435671326</v>
      </c>
    </row>
    <row r="119" spans="1:20" x14ac:dyDescent="0.25">
      <c r="A119" s="5">
        <v>44474</v>
      </c>
      <c r="B119">
        <v>8.0689999999999998E-3</v>
      </c>
      <c r="C119">
        <v>8.9949999999999995E-3</v>
      </c>
      <c r="D119">
        <v>8.0190000000000001E-3</v>
      </c>
      <c r="E119">
        <v>8.4550000000000007E-3</v>
      </c>
      <c r="F119">
        <v>651232648</v>
      </c>
      <c r="G119">
        <v>8.4550000000000007E-3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-0.10655737704917853</v>
      </c>
      <c r="Q119">
        <f t="shared" ref="Q119" si="571">F119*P119</f>
        <v>-69393642.81967096</v>
      </c>
      <c r="R119">
        <f t="shared" ref="R119" si="572">R120+Q119</f>
        <v>-58888114474.911369</v>
      </c>
      <c r="S119">
        <f t="shared" ref="S119" si="573">R119/100000</f>
        <v>-588881.14474911371</v>
      </c>
      <c r="T119">
        <f t="shared" ref="T119" si="574">S119/1000</f>
        <v>-588.88114474911367</v>
      </c>
    </row>
    <row r="120" spans="1:20" x14ac:dyDescent="0.25">
      <c r="A120" s="5">
        <v>44473</v>
      </c>
      <c r="B120">
        <v>8.1550000000000008E-3</v>
      </c>
      <c r="C120">
        <v>8.2500000000000004E-3</v>
      </c>
      <c r="D120">
        <v>7.7000000000000002E-3</v>
      </c>
      <c r="E120">
        <v>8.0169999999999998E-3</v>
      </c>
      <c r="F120">
        <v>243335077</v>
      </c>
      <c r="G120">
        <v>8.0169999999999998E-3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0.15272727272727088</v>
      </c>
      <c r="Q120">
        <f t="shared" ref="Q120" si="576">F120*P120</f>
        <v>37163902.669090457</v>
      </c>
      <c r="R120">
        <f t="shared" ref="R120" si="577">R121+Q120</f>
        <v>-58818720832.091698</v>
      </c>
      <c r="S120">
        <f t="shared" ref="S120" si="578">R120/100000</f>
        <v>-588187.20832091698</v>
      </c>
      <c r="T120">
        <f t="shared" ref="T120" si="579">S120/1000</f>
        <v>-588.18720832091697</v>
      </c>
    </row>
    <row r="121" spans="1:20" x14ac:dyDescent="0.25">
      <c r="A121" s="5">
        <v>44472</v>
      </c>
      <c r="B121">
        <v>8.1030000000000008E-3</v>
      </c>
      <c r="C121">
        <v>8.482E-3</v>
      </c>
      <c r="D121">
        <v>7.9620000000000003E-3</v>
      </c>
      <c r="E121">
        <v>8.1110000000000002E-3</v>
      </c>
      <c r="F121">
        <v>306429710</v>
      </c>
      <c r="G121">
        <v>8.1110000000000002E-3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-0.42692307692307718</v>
      </c>
      <c r="Q121">
        <f t="shared" ref="Q121" si="581">F121*P121</f>
        <v>-130821914.65384623</v>
      </c>
      <c r="R121">
        <f t="shared" ref="R121" si="582">R122+Q121</f>
        <v>-58855884734.760788</v>
      </c>
      <c r="S121">
        <f t="shared" ref="S121" si="583">R121/100000</f>
        <v>-588558.84734760784</v>
      </c>
      <c r="T121">
        <f t="shared" ref="T121" si="584">S121/1000</f>
        <v>-588.55884734760787</v>
      </c>
    </row>
    <row r="122" spans="1:20" x14ac:dyDescent="0.25">
      <c r="A122" s="5">
        <v>44471</v>
      </c>
      <c r="B122">
        <v>7.9170000000000004E-3</v>
      </c>
      <c r="C122">
        <v>8.3140000000000002E-3</v>
      </c>
      <c r="D122">
        <v>7.7149999999999996E-3</v>
      </c>
      <c r="E122">
        <v>8.0909999999999992E-3</v>
      </c>
      <c r="F122">
        <v>426712006</v>
      </c>
      <c r="G122">
        <v>8.0909999999999992E-3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0.25542570951585725</v>
      </c>
      <c r="Q122">
        <f t="shared" ref="Q122" si="586">F122*P122</f>
        <v>108993216.89148474</v>
      </c>
      <c r="R122">
        <f t="shared" ref="R122" si="587">R123+Q122</f>
        <v>-58725062820.106941</v>
      </c>
      <c r="S122">
        <f t="shared" ref="S122" si="588">R122/100000</f>
        <v>-587250.62820106943</v>
      </c>
      <c r="T122">
        <f t="shared" ref="T122" si="589">S122/1000</f>
        <v>-587.25062820106939</v>
      </c>
    </row>
    <row r="123" spans="1:20" x14ac:dyDescent="0.25">
      <c r="A123" s="5">
        <v>44470</v>
      </c>
      <c r="B123">
        <v>7.3860000000000002E-3</v>
      </c>
      <c r="C123">
        <v>8.1189999999999995E-3</v>
      </c>
      <c r="D123">
        <v>7.28E-3</v>
      </c>
      <c r="E123">
        <v>7.9000000000000008E-3</v>
      </c>
      <c r="F123">
        <v>504282491</v>
      </c>
      <c r="G123">
        <v>7.9000000000000008E-3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0.47794994040524708</v>
      </c>
      <c r="Q123">
        <f t="shared" ref="Q123" si="591">F123*P123</f>
        <v>241021786.52085954</v>
      </c>
      <c r="R123">
        <f t="shared" ref="R123" si="592">R124+Q123</f>
        <v>-58834056036.998428</v>
      </c>
      <c r="S123">
        <f t="shared" ref="S123" si="593">R123/100000</f>
        <v>-588340.56036998425</v>
      </c>
      <c r="T123">
        <f t="shared" ref="T123" si="594">S123/1000</f>
        <v>-588.34056036998425</v>
      </c>
    </row>
    <row r="124" spans="1:20" x14ac:dyDescent="0.25">
      <c r="A124" s="5">
        <v>44469</v>
      </c>
      <c r="B124">
        <v>7.1479999999999998E-3</v>
      </c>
      <c r="C124">
        <v>7.7479999999999997E-3</v>
      </c>
      <c r="D124">
        <v>7.0860000000000003E-3</v>
      </c>
      <c r="E124">
        <v>7.3860000000000002E-3</v>
      </c>
      <c r="F124">
        <v>937748514</v>
      </c>
      <c r="G124">
        <v>7.3860000000000002E-3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-9.3655589123866484E-2</v>
      </c>
      <c r="Q124">
        <f t="shared" ref="Q124" si="596">F124*P124</f>
        <v>-87825389.528700352</v>
      </c>
      <c r="R124">
        <f t="shared" ref="R124" si="597">R125+Q124</f>
        <v>-59075077823.519287</v>
      </c>
      <c r="S124">
        <f t="shared" ref="S124" si="598">R124/100000</f>
        <v>-590750.77823519288</v>
      </c>
      <c r="T124">
        <f t="shared" ref="T124" si="599">S124/1000</f>
        <v>-590.75077823519291</v>
      </c>
    </row>
    <row r="125" spans="1:20" x14ac:dyDescent="0.25">
      <c r="A125" s="5">
        <v>44468</v>
      </c>
      <c r="B125">
        <v>7.0720000000000002E-3</v>
      </c>
      <c r="C125">
        <v>7.5449999999999996E-3</v>
      </c>
      <c r="D125">
        <v>6.9690000000000004E-3</v>
      </c>
      <c r="E125">
        <v>7.1469999999999997E-3</v>
      </c>
      <c r="F125">
        <v>390707518</v>
      </c>
      <c r="G125">
        <v>7.1469999999999997E-3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-0.38194444444444592</v>
      </c>
      <c r="Q125">
        <f t="shared" ref="Q125" si="601">F125*P125</f>
        <v>-149228565.90277836</v>
      </c>
      <c r="R125">
        <f t="shared" ref="R125" si="602">R126+Q125</f>
        <v>-58987252433.990585</v>
      </c>
      <c r="S125">
        <f t="shared" ref="S125" si="603">R125/100000</f>
        <v>-589872.52433990582</v>
      </c>
      <c r="T125">
        <f t="shared" ref="T125" si="604">S125/1000</f>
        <v>-589.87252433990579</v>
      </c>
    </row>
    <row r="126" spans="1:20" x14ac:dyDescent="0.25">
      <c r="A126" s="5">
        <v>44467</v>
      </c>
      <c r="B126">
        <v>7.6889999999999997E-3</v>
      </c>
      <c r="C126">
        <v>8.2660000000000008E-3</v>
      </c>
      <c r="D126">
        <v>6.966E-3</v>
      </c>
      <c r="E126">
        <v>7.0590000000000002E-3</v>
      </c>
      <c r="F126">
        <v>355232481</v>
      </c>
      <c r="G126">
        <v>7.0590000000000002E-3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-0.85692307692307668</v>
      </c>
      <c r="Q126">
        <f t="shared" ref="Q126" si="606">F126*P126</f>
        <v>-304406910.64153838</v>
      </c>
      <c r="R126">
        <f t="shared" ref="R126" si="607">R127+Q126</f>
        <v>-58838023868.087807</v>
      </c>
      <c r="S126">
        <f t="shared" ref="S126" si="608">R126/100000</f>
        <v>-588380.23868087807</v>
      </c>
      <c r="T126">
        <f t="shared" ref="T126" si="609">S126/1000</f>
        <v>-588.38023868087805</v>
      </c>
    </row>
    <row r="127" spans="1:20" x14ac:dyDescent="0.25">
      <c r="A127" s="5">
        <v>44466</v>
      </c>
      <c r="B127">
        <v>8.1759999999999992E-3</v>
      </c>
      <c r="C127">
        <v>8.9999999999999993E-3</v>
      </c>
      <c r="D127">
        <v>7.5729999999999999E-3</v>
      </c>
      <c r="E127">
        <v>7.7000000000000002E-3</v>
      </c>
      <c r="F127">
        <v>742198342</v>
      </c>
      <c r="G127">
        <v>7.7000000000000002E-3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-0.82200420462508705</v>
      </c>
      <c r="Q127">
        <f t="shared" ref="Q127" si="611">F127*P127</f>
        <v>-610090157.78976834</v>
      </c>
      <c r="R127">
        <f t="shared" ref="R127" si="612">R128+Q127</f>
        <v>-58533616957.446266</v>
      </c>
      <c r="S127">
        <f t="shared" ref="S127" si="613">R127/100000</f>
        <v>-585336.16957446269</v>
      </c>
      <c r="T127">
        <f t="shared" ref="T127" si="614">S127/1000</f>
        <v>-585.3361695744627</v>
      </c>
    </row>
    <row r="128" spans="1:20" x14ac:dyDescent="0.25">
      <c r="A128" s="5">
        <v>44465</v>
      </c>
      <c r="B128">
        <v>7.5380000000000004E-3</v>
      </c>
      <c r="C128">
        <v>8.7899999999999992E-3</v>
      </c>
      <c r="D128">
        <v>6.8999999999999999E-3</v>
      </c>
      <c r="E128">
        <v>8.2129999999999998E-3</v>
      </c>
      <c r="F128">
        <v>654595895</v>
      </c>
      <c r="G128">
        <v>8.2129999999999998E-3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0.38941798941798983</v>
      </c>
      <c r="Q128">
        <f t="shared" ref="Q128" si="616">F128*P128</f>
        <v>254911417.31216958</v>
      </c>
      <c r="R128">
        <f t="shared" ref="R128" si="617">R129+Q128</f>
        <v>-57923526799.656494</v>
      </c>
      <c r="S128">
        <f t="shared" ref="S128" si="618">R128/100000</f>
        <v>-579235.26799656497</v>
      </c>
      <c r="T128">
        <f t="shared" ref="T128" si="619">S128/1000</f>
        <v>-579.23526799656497</v>
      </c>
    </row>
    <row r="129" spans="1:20" x14ac:dyDescent="0.25">
      <c r="A129" s="5">
        <v>44464</v>
      </c>
      <c r="B129">
        <v>7.8009999999999998E-3</v>
      </c>
      <c r="C129">
        <v>7.9240000000000005E-3</v>
      </c>
      <c r="D129">
        <v>7.2500000000000004E-3</v>
      </c>
      <c r="E129">
        <v>7.5380000000000004E-3</v>
      </c>
      <c r="F129">
        <v>254205171</v>
      </c>
      <c r="G129">
        <v>7.5380000000000004E-3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-0.14540059347181006</v>
      </c>
      <c r="Q129">
        <f t="shared" ref="Q129" si="621">F129*P129</f>
        <v>-36961582.727002956</v>
      </c>
      <c r="R129">
        <f t="shared" ref="R129" si="622">R130+Q129</f>
        <v>-58178438216.968666</v>
      </c>
      <c r="S129">
        <f t="shared" ref="S129" si="623">R129/100000</f>
        <v>-581784.38216968661</v>
      </c>
      <c r="T129">
        <f t="shared" ref="T129" si="624">S129/1000</f>
        <v>-581.78438216968664</v>
      </c>
    </row>
    <row r="130" spans="1:20" x14ac:dyDescent="0.25">
      <c r="A130" s="5">
        <v>44463</v>
      </c>
      <c r="B130">
        <v>8.7819999999999999E-3</v>
      </c>
      <c r="C130">
        <v>8.822E-3</v>
      </c>
      <c r="D130">
        <v>7.2009999999999999E-3</v>
      </c>
      <c r="E130">
        <v>7.7929999999999996E-3</v>
      </c>
      <c r="F130">
        <v>531494242</v>
      </c>
      <c r="G130">
        <v>7.7929999999999996E-3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-0.26958667489204241</v>
      </c>
      <c r="Q130">
        <f t="shared" ref="Q130" si="626">F130*P130</f>
        <v>-143283765.4250465</v>
      </c>
      <c r="R130">
        <f t="shared" ref="R130" si="627">R131+Q130</f>
        <v>-58141476634.241661</v>
      </c>
      <c r="S130">
        <f t="shared" ref="S130" si="628">R130/100000</f>
        <v>-581414.76634241664</v>
      </c>
      <c r="T130">
        <f t="shared" ref="T130" si="629">S130/1000</f>
        <v>-581.41476634241667</v>
      </c>
    </row>
    <row r="131" spans="1:20" x14ac:dyDescent="0.25">
      <c r="A131" s="5">
        <v>44462</v>
      </c>
      <c r="B131">
        <v>8.3809999999999996E-3</v>
      </c>
      <c r="C131">
        <v>8.9899999999999997E-3</v>
      </c>
      <c r="D131">
        <v>8.1530000000000005E-3</v>
      </c>
      <c r="E131">
        <v>8.7869999999999997E-3</v>
      </c>
      <c r="F131">
        <v>1081452831</v>
      </c>
      <c r="G131">
        <v>8.7869999999999997E-3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0.5149342891278369</v>
      </c>
      <c r="Q131">
        <f t="shared" ref="Q131" si="631">F131*P131</f>
        <v>556877144.75627172</v>
      </c>
      <c r="R131">
        <f t="shared" ref="R131" si="632">R132+Q131</f>
        <v>-57998192868.816612</v>
      </c>
      <c r="S131">
        <f t="shared" ref="S131" si="633">R131/100000</f>
        <v>-579981.92868816608</v>
      </c>
      <c r="T131">
        <f t="shared" ref="T131" si="634">S131/1000</f>
        <v>-579.98192868816614</v>
      </c>
    </row>
    <row r="132" spans="1:20" x14ac:dyDescent="0.25">
      <c r="A132" s="5">
        <v>44461</v>
      </c>
      <c r="B132">
        <v>7.7140000000000004E-3</v>
      </c>
      <c r="C132">
        <v>8.541E-3</v>
      </c>
      <c r="D132">
        <v>7.6410000000000002E-3</v>
      </c>
      <c r="E132">
        <v>8.3929999999999994E-3</v>
      </c>
      <c r="F132">
        <v>305378641</v>
      </c>
      <c r="G132">
        <v>8.3929999999999994E-3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0.67111111111110977</v>
      </c>
      <c r="Q132">
        <f t="shared" ref="Q132" si="636">F132*P132</f>
        <v>204942999.0711107</v>
      </c>
      <c r="R132">
        <f t="shared" ref="R132" si="637">R133+Q132</f>
        <v>-58555070013.572884</v>
      </c>
      <c r="S132">
        <f t="shared" ref="S132" si="638">R132/100000</f>
        <v>-585550.70013572881</v>
      </c>
      <c r="T132">
        <f t="shared" ref="T132" si="639">S132/1000</f>
        <v>-585.55070013572879</v>
      </c>
    </row>
    <row r="133" spans="1:20" x14ac:dyDescent="0.25">
      <c r="A133" s="5">
        <v>44460</v>
      </c>
      <c r="B133">
        <v>8.5229999999999993E-3</v>
      </c>
      <c r="C133">
        <v>8.9899999999999997E-3</v>
      </c>
      <c r="D133">
        <v>7.2100000000000003E-3</v>
      </c>
      <c r="E133">
        <v>7.6629999999999997E-3</v>
      </c>
      <c r="F133">
        <v>906428497</v>
      </c>
      <c r="G133">
        <v>7.6629999999999997E-3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-0.49101123595505669</v>
      </c>
      <c r="Q133">
        <f t="shared" ref="Q133" si="641">F133*P133</f>
        <v>-445066576.61685437</v>
      </c>
      <c r="R133">
        <f t="shared" ref="R133" si="642">R134+Q133</f>
        <v>-58760013012.643997</v>
      </c>
      <c r="S133">
        <f t="shared" ref="S133" si="643">R133/100000</f>
        <v>-587600.13012643997</v>
      </c>
      <c r="T133">
        <f t="shared" ref="T133" si="644">S133/1000</f>
        <v>-587.60013012643992</v>
      </c>
    </row>
    <row r="134" spans="1:20" x14ac:dyDescent="0.25">
      <c r="A134" s="5">
        <v>44459</v>
      </c>
      <c r="B134">
        <v>1.0284E-2</v>
      </c>
      <c r="C134">
        <v>1.2865E-2</v>
      </c>
      <c r="D134">
        <v>8.9999999999999993E-3</v>
      </c>
      <c r="E134">
        <v>9.2460000000000007E-3</v>
      </c>
      <c r="F134">
        <v>1663960249</v>
      </c>
      <c r="G134">
        <v>9.2460000000000007E-3</v>
      </c>
      <c r="L134" t="s">
        <v>8</v>
      </c>
      <c r="M134" t="s">
        <v>7</v>
      </c>
      <c r="N134" t="s">
        <v>7</v>
      </c>
      <c r="P134">
        <f t="shared" ref="P134" si="645">IF(C134=D134,0,((E134-D134)-(C134-E134))/(C134-D134))</f>
        <v>-0.87270375161707558</v>
      </c>
      <c r="Q134">
        <f t="shared" ref="Q134" si="646">F134*P134</f>
        <v>-1452144351.8439832</v>
      </c>
      <c r="R134">
        <f t="shared" ref="R134" si="647">R135+Q134</f>
        <v>-58314946436.027145</v>
      </c>
      <c r="S134">
        <f t="shared" ref="S134" si="648">R134/100000</f>
        <v>-583149.46436027146</v>
      </c>
      <c r="T134">
        <f t="shared" ref="T134" si="649">S134/1000</f>
        <v>-583.14946436027151</v>
      </c>
    </row>
    <row r="135" spans="1:20" x14ac:dyDescent="0.25">
      <c r="A135" s="5">
        <v>44458</v>
      </c>
      <c r="B135">
        <v>8.7480000000000006E-3</v>
      </c>
      <c r="C135">
        <v>1.2500000000000001E-2</v>
      </c>
      <c r="D135">
        <v>8.6719999999999992E-3</v>
      </c>
      <c r="E135">
        <v>1.0271000000000001E-2</v>
      </c>
      <c r="F135">
        <v>4450813906</v>
      </c>
      <c r="G135">
        <v>1.0271000000000001E-2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-0.16457680250783657</v>
      </c>
      <c r="Q135">
        <f t="shared" ref="Q135" si="651">F135*P135</f>
        <v>-732500721.20689464</v>
      </c>
      <c r="R135">
        <f t="shared" ref="R135" si="652">R136+Q135</f>
        <v>-56862802084.183159</v>
      </c>
      <c r="S135">
        <f t="shared" ref="S135" si="653">R135/100000</f>
        <v>-568628.02084183157</v>
      </c>
      <c r="T135">
        <f t="shared" ref="T135" si="654">S135/1000</f>
        <v>-568.62802084183159</v>
      </c>
    </row>
    <row r="136" spans="1:20" x14ac:dyDescent="0.25">
      <c r="A136" s="5">
        <v>44457</v>
      </c>
      <c r="B136">
        <v>8.4659999999999996E-3</v>
      </c>
      <c r="C136">
        <v>9.2499999999999995E-3</v>
      </c>
      <c r="D136">
        <v>8.3719999999999992E-3</v>
      </c>
      <c r="E136">
        <v>8.7639999999999992E-3</v>
      </c>
      <c r="F136">
        <v>196783471</v>
      </c>
      <c r="G136">
        <v>8.7639999999999992E-3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-0.10706150341685683</v>
      </c>
      <c r="Q136">
        <f t="shared" ref="Q136" si="656">F136*P136</f>
        <v>-21067934.252847448</v>
      </c>
      <c r="R136">
        <f t="shared" ref="R136" si="657">R137+Q136</f>
        <v>-56130301362.976265</v>
      </c>
      <c r="S136">
        <f t="shared" ref="S136" si="658">R136/100000</f>
        <v>-561303.01362976269</v>
      </c>
      <c r="T136">
        <f t="shared" ref="T136" si="659">S136/1000</f>
        <v>-561.30301362976275</v>
      </c>
    </row>
    <row r="137" spans="1:20" x14ac:dyDescent="0.25">
      <c r="A137" s="5">
        <v>44456</v>
      </c>
      <c r="B137">
        <v>8.7679999999999998E-3</v>
      </c>
      <c r="C137">
        <v>8.9910000000000007E-3</v>
      </c>
      <c r="D137">
        <v>8.2500000000000004E-3</v>
      </c>
      <c r="E137">
        <v>8.4270000000000005E-3</v>
      </c>
      <c r="F137">
        <v>144113131</v>
      </c>
      <c r="G137">
        <v>8.4270000000000005E-3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-0.52226720647773284</v>
      </c>
      <c r="Q137">
        <f t="shared" ref="Q137" si="661">F137*P137</f>
        <v>-75265562.344129562</v>
      </c>
      <c r="R137">
        <f t="shared" ref="R137" si="662">R138+Q137</f>
        <v>-56109233428.723419</v>
      </c>
      <c r="S137">
        <f t="shared" ref="S137" si="663">R137/100000</f>
        <v>-561092.33428723423</v>
      </c>
      <c r="T137">
        <f t="shared" ref="T137" si="664">S137/1000</f>
        <v>-561.09233428723428</v>
      </c>
    </row>
    <row r="138" spans="1:20" x14ac:dyDescent="0.25">
      <c r="A138" s="5">
        <v>44455</v>
      </c>
      <c r="B138">
        <v>9.0869999999999996E-3</v>
      </c>
      <c r="C138">
        <v>9.1599999999999997E-3</v>
      </c>
      <c r="D138">
        <v>8.6960000000000006E-3</v>
      </c>
      <c r="E138">
        <v>8.7679999999999998E-3</v>
      </c>
      <c r="F138">
        <v>188631817</v>
      </c>
      <c r="G138">
        <v>8.7679999999999998E-3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-0.68965517241379615</v>
      </c>
      <c r="Q138">
        <f t="shared" ref="Q138" si="666">F138*P138</f>
        <v>-130090908.27586265</v>
      </c>
      <c r="R138">
        <f t="shared" ref="R138" si="667">R139+Q138</f>
        <v>-56033967866.379288</v>
      </c>
      <c r="S138">
        <f t="shared" ref="S138" si="668">R138/100000</f>
        <v>-560339.6786637929</v>
      </c>
      <c r="T138">
        <f t="shared" ref="T138" si="669">S138/1000</f>
        <v>-560.33967866379294</v>
      </c>
    </row>
    <row r="139" spans="1:20" x14ac:dyDescent="0.25">
      <c r="A139" s="5">
        <v>44454</v>
      </c>
      <c r="B139">
        <v>8.881E-3</v>
      </c>
      <c r="C139">
        <v>9.5139999999999999E-3</v>
      </c>
      <c r="D139">
        <v>8.7829999999999991E-3</v>
      </c>
      <c r="E139">
        <v>9.0869999999999996E-3</v>
      </c>
      <c r="F139">
        <v>282120053</v>
      </c>
      <c r="G139">
        <v>9.0869999999999996E-3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-0.16826265389876843</v>
      </c>
      <c r="Q139">
        <f t="shared" ref="Q139" si="671">F139*P139</f>
        <v>-47470268.835841209</v>
      </c>
      <c r="R139">
        <f t="shared" ref="R139" si="672">R140+Q139</f>
        <v>-55903876958.103424</v>
      </c>
      <c r="S139">
        <f t="shared" ref="S139" si="673">R139/100000</f>
        <v>-559038.7695810342</v>
      </c>
      <c r="T139">
        <f t="shared" ref="T139" si="674">S139/1000</f>
        <v>-559.03876958103422</v>
      </c>
    </row>
    <row r="140" spans="1:20" x14ac:dyDescent="0.25">
      <c r="A140" s="5">
        <v>44453</v>
      </c>
      <c r="B140">
        <v>8.1080000000000006E-3</v>
      </c>
      <c r="C140">
        <v>9.41E-3</v>
      </c>
      <c r="D140">
        <v>8.0409999999999995E-3</v>
      </c>
      <c r="E140">
        <v>8.855E-3</v>
      </c>
      <c r="F140">
        <v>653000985</v>
      </c>
      <c r="G140">
        <v>8.855E-3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0.18918918918918953</v>
      </c>
      <c r="Q140">
        <f t="shared" ref="Q140" si="676">F140*P140</f>
        <v>123540726.89189212</v>
      </c>
      <c r="R140">
        <f t="shared" ref="R140" si="677">R141+Q140</f>
        <v>-55856406689.267586</v>
      </c>
      <c r="S140">
        <f t="shared" ref="S140" si="678">R140/100000</f>
        <v>-558564.06689267582</v>
      </c>
      <c r="T140">
        <f t="shared" ref="T140" si="679">S140/1000</f>
        <v>-558.56406689267578</v>
      </c>
    </row>
    <row r="141" spans="1:20" x14ac:dyDescent="0.25">
      <c r="A141" s="5">
        <v>44452</v>
      </c>
      <c r="B141">
        <v>8.6730000000000002E-3</v>
      </c>
      <c r="C141">
        <v>8.7240000000000009E-3</v>
      </c>
      <c r="D141">
        <v>7.8960000000000002E-3</v>
      </c>
      <c r="E141">
        <v>8.1010000000000006E-3</v>
      </c>
      <c r="F141">
        <v>179410008</v>
      </c>
      <c r="G141">
        <v>8.1010000000000006E-3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-0.50483091787439571</v>
      </c>
      <c r="Q141">
        <f t="shared" ref="Q141" si="681">F141*P141</f>
        <v>-90571719.014492676</v>
      </c>
      <c r="R141">
        <f t="shared" ref="R141" si="682">R142+Q141</f>
        <v>-55979947416.159477</v>
      </c>
      <c r="S141">
        <f t="shared" ref="S141" si="683">R141/100000</f>
        <v>-559799.47416159476</v>
      </c>
      <c r="T141">
        <f t="shared" ref="T141" si="684">S141/1000</f>
        <v>-559.79947416159473</v>
      </c>
    </row>
    <row r="142" spans="1:20" x14ac:dyDescent="0.25">
      <c r="A142" s="5">
        <v>44451</v>
      </c>
      <c r="B142">
        <v>8.3580000000000008E-3</v>
      </c>
      <c r="C142">
        <v>9.1199999999999996E-3</v>
      </c>
      <c r="D142">
        <v>8.1949999999999992E-3</v>
      </c>
      <c r="E142">
        <v>8.6730000000000002E-3</v>
      </c>
      <c r="F142">
        <v>297626764</v>
      </c>
      <c r="G142">
        <v>8.6730000000000002E-3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3.3513513513515128E-2</v>
      </c>
      <c r="Q142">
        <f t="shared" ref="Q142" si="686">F142*P142</f>
        <v>9974518.5772977769</v>
      </c>
      <c r="R142">
        <f t="shared" ref="R142" si="687">R143+Q142</f>
        <v>-55889375697.144981</v>
      </c>
      <c r="S142">
        <f t="shared" ref="S142" si="688">R142/100000</f>
        <v>-558893.75697144982</v>
      </c>
      <c r="T142">
        <f t="shared" ref="T142" si="689">S142/1000</f>
        <v>-558.89375697144987</v>
      </c>
    </row>
    <row r="143" spans="1:20" x14ac:dyDescent="0.25">
      <c r="A143" s="5">
        <v>44450</v>
      </c>
      <c r="B143">
        <v>8.123E-3</v>
      </c>
      <c r="C143">
        <v>8.7399999999999995E-3</v>
      </c>
      <c r="D143">
        <v>7.8449999999999995E-3</v>
      </c>
      <c r="E143">
        <v>8.3239999999999998E-3</v>
      </c>
      <c r="F143">
        <v>175109411</v>
      </c>
      <c r="G143">
        <v>8.3239999999999998E-3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7.0391061452514586E-2</v>
      </c>
      <c r="Q143">
        <f t="shared" ref="Q143" si="691">F143*P143</f>
        <v>12326137.310614634</v>
      </c>
      <c r="R143">
        <f t="shared" ref="R143" si="692">R144+Q143</f>
        <v>-55899350215.722282</v>
      </c>
      <c r="S143">
        <f t="shared" ref="S143" si="693">R143/100000</f>
        <v>-558993.50215722283</v>
      </c>
      <c r="T143">
        <f t="shared" ref="T143" si="694">S143/1000</f>
        <v>-558.99350215722279</v>
      </c>
    </row>
    <row r="144" spans="1:20" x14ac:dyDescent="0.25">
      <c r="A144" s="5">
        <v>44449</v>
      </c>
      <c r="B144">
        <v>8.4849999999999995E-3</v>
      </c>
      <c r="C144">
        <v>9.0080000000000004E-3</v>
      </c>
      <c r="D144">
        <v>7.8100000000000001E-3</v>
      </c>
      <c r="E144">
        <v>8.1119999999999994E-3</v>
      </c>
      <c r="F144">
        <v>301087997</v>
      </c>
      <c r="G144">
        <v>8.1119999999999994E-3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-0.49582637729549373</v>
      </c>
      <c r="Q144">
        <f t="shared" ref="Q144" si="696">F144*P144</f>
        <v>-149287370.79966649</v>
      </c>
      <c r="R144">
        <f t="shared" ref="R144" si="697">R145+Q144</f>
        <v>-55911676353.032898</v>
      </c>
      <c r="S144">
        <f t="shared" ref="S144" si="698">R144/100000</f>
        <v>-559116.76353032899</v>
      </c>
      <c r="T144">
        <f t="shared" ref="T144" si="699">S144/1000</f>
        <v>-559.11676353032897</v>
      </c>
    </row>
    <row r="145" spans="1:20" x14ac:dyDescent="0.25">
      <c r="A145" s="5">
        <v>44448</v>
      </c>
      <c r="B145">
        <v>8.7790000000000003E-3</v>
      </c>
      <c r="C145">
        <v>8.9449999999999998E-3</v>
      </c>
      <c r="D145">
        <v>8.2869999999999992E-3</v>
      </c>
      <c r="E145">
        <v>8.5019999999999991E-3</v>
      </c>
      <c r="F145">
        <v>442264117</v>
      </c>
      <c r="G145">
        <v>8.5019999999999991E-3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-0.3465045592705176</v>
      </c>
      <c r="Q145">
        <f t="shared" ref="Q145" si="701">F145*P145</f>
        <v>-153246532.94224963</v>
      </c>
      <c r="R145">
        <f t="shared" ref="R145" si="702">R146+Q145</f>
        <v>-55762388982.233231</v>
      </c>
      <c r="S145">
        <f t="shared" ref="S145" si="703">R145/100000</f>
        <v>-557623.8898223323</v>
      </c>
      <c r="T145">
        <f t="shared" ref="T145" si="704">S145/1000</f>
        <v>-557.62388982233233</v>
      </c>
    </row>
    <row r="146" spans="1:20" x14ac:dyDescent="0.25">
      <c r="A146" s="5">
        <v>44447</v>
      </c>
      <c r="B146">
        <v>8.4709999999999994E-3</v>
      </c>
      <c r="C146">
        <v>9.1599999999999997E-3</v>
      </c>
      <c r="D146">
        <v>7.522E-3</v>
      </c>
      <c r="E146">
        <v>8.7790000000000003E-3</v>
      </c>
      <c r="F146">
        <v>480880199</v>
      </c>
      <c r="G146">
        <v>8.7790000000000003E-3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0.53479853479853545</v>
      </c>
      <c r="Q146">
        <f t="shared" ref="Q146" si="706">F146*P146</f>
        <v>257174025.83882815</v>
      </c>
      <c r="R146">
        <f t="shared" ref="R146" si="707">R147+Q146</f>
        <v>-55609142449.290977</v>
      </c>
      <c r="S146">
        <f t="shared" ref="S146" si="708">R146/100000</f>
        <v>-556091.42449290981</v>
      </c>
      <c r="T146">
        <f t="shared" ref="T146" si="709">S146/1000</f>
        <v>-556.09142449290982</v>
      </c>
    </row>
    <row r="147" spans="1:20" x14ac:dyDescent="0.25">
      <c r="A147" s="5">
        <v>44446</v>
      </c>
      <c r="B147">
        <v>1.0501999999999999E-2</v>
      </c>
      <c r="C147">
        <v>1.0515999999999999E-2</v>
      </c>
      <c r="D147">
        <v>7.6360000000000004E-3</v>
      </c>
      <c r="E147">
        <v>8.4480000000000006E-3</v>
      </c>
      <c r="F147">
        <v>500521154</v>
      </c>
      <c r="G147">
        <v>8.4480000000000006E-3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-0.43611111111111073</v>
      </c>
      <c r="Q147">
        <f t="shared" ref="Q147" si="711">F147*P147</f>
        <v>-218282836.60555536</v>
      </c>
      <c r="R147">
        <f t="shared" ref="R147" si="712">R148+Q147</f>
        <v>-55866316475.129807</v>
      </c>
      <c r="S147">
        <f t="shared" ref="S147" si="713">R147/100000</f>
        <v>-558663.16475129803</v>
      </c>
      <c r="T147">
        <f t="shared" ref="T147" si="714">S147/1000</f>
        <v>-558.66316475129804</v>
      </c>
    </row>
    <row r="148" spans="1:20" x14ac:dyDescent="0.25">
      <c r="A148" s="5">
        <v>44445</v>
      </c>
      <c r="B148">
        <v>1.1136E-2</v>
      </c>
      <c r="C148">
        <v>1.124E-2</v>
      </c>
      <c r="D148">
        <v>1.0127000000000001E-2</v>
      </c>
      <c r="E148">
        <v>1.0501999999999999E-2</v>
      </c>
      <c r="F148">
        <v>571776708</v>
      </c>
      <c r="G148">
        <v>1.0501999999999999E-2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-0.32614555256064903</v>
      </c>
      <c r="Q148">
        <f t="shared" ref="Q148" si="716">F148*P148</f>
        <v>-186482430.37196887</v>
      </c>
      <c r="R148">
        <f t="shared" ref="R148" si="717">R149+Q148</f>
        <v>-55648033638.524254</v>
      </c>
      <c r="S148">
        <f t="shared" ref="S148" si="718">R148/100000</f>
        <v>-556480.33638524252</v>
      </c>
      <c r="T148">
        <f t="shared" ref="T148" si="719">S148/1000</f>
        <v>-556.48033638524248</v>
      </c>
    </row>
    <row r="149" spans="1:20" x14ac:dyDescent="0.25">
      <c r="A149" s="5">
        <v>44444</v>
      </c>
      <c r="B149">
        <v>1.0453E-2</v>
      </c>
      <c r="C149">
        <v>1.145E-2</v>
      </c>
      <c r="D149">
        <v>1.04E-2</v>
      </c>
      <c r="E149">
        <v>1.1143999999999999E-2</v>
      </c>
      <c r="F149">
        <v>584958197</v>
      </c>
      <c r="G149">
        <v>1.1143999999999999E-2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0.41714285714285609</v>
      </c>
      <c r="Q149">
        <f t="shared" ref="Q149" si="721">F149*P149</f>
        <v>244011133.60571367</v>
      </c>
      <c r="R149">
        <f t="shared" ref="R149" si="722">R150+Q149</f>
        <v>-55461551208.152283</v>
      </c>
      <c r="S149">
        <f t="shared" ref="S149" si="723">R149/100000</f>
        <v>-554615.51208152284</v>
      </c>
      <c r="T149">
        <f t="shared" ref="T149" si="724">S149/1000</f>
        <v>-554.61551208152287</v>
      </c>
    </row>
    <row r="150" spans="1:20" x14ac:dyDescent="0.25">
      <c r="A150" s="5">
        <v>44443</v>
      </c>
      <c r="B150">
        <v>1.0697E-2</v>
      </c>
      <c r="C150">
        <v>1.0697E-2</v>
      </c>
      <c r="D150">
        <v>1.01E-2</v>
      </c>
      <c r="E150">
        <v>1.0453E-2</v>
      </c>
      <c r="F150">
        <v>276091599</v>
      </c>
      <c r="G150">
        <v>1.0453E-2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0.18257956448911458</v>
      </c>
      <c r="Q150">
        <f t="shared" ref="Q150" si="726">F150*P150</f>
        <v>50408683.904523261</v>
      </c>
      <c r="R150">
        <f t="shared" ref="R150" si="727">R151+Q150</f>
        <v>-55705562341.757996</v>
      </c>
      <c r="S150">
        <f t="shared" ref="S150" si="728">R150/100000</f>
        <v>-557055.62341757992</v>
      </c>
      <c r="T150">
        <f t="shared" ref="T150" si="729">S150/1000</f>
        <v>-557.05562341757991</v>
      </c>
    </row>
    <row r="151" spans="1:20" x14ac:dyDescent="0.25">
      <c r="A151" s="5">
        <v>44442</v>
      </c>
      <c r="B151">
        <v>1.0070000000000001E-2</v>
      </c>
      <c r="C151">
        <v>1.0817999999999999E-2</v>
      </c>
      <c r="D151">
        <v>9.9500000000000005E-3</v>
      </c>
      <c r="E151">
        <v>1.0696000000000001E-2</v>
      </c>
      <c r="F151">
        <v>303108460</v>
      </c>
      <c r="G151">
        <v>1.0696000000000001E-2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0.71889400921659219</v>
      </c>
      <c r="Q151">
        <f t="shared" ref="Q151" si="731">F151*P151</f>
        <v>217902856.03686705</v>
      </c>
      <c r="R151">
        <f t="shared" ref="R151" si="732">R152+Q151</f>
        <v>-55755971025.662521</v>
      </c>
      <c r="S151">
        <f t="shared" ref="S151" si="733">R151/100000</f>
        <v>-557559.7102566252</v>
      </c>
      <c r="T151">
        <f t="shared" ref="T151" si="734">S151/1000</f>
        <v>-557.55971025662518</v>
      </c>
    </row>
    <row r="152" spans="1:20" x14ac:dyDescent="0.25">
      <c r="A152" s="5">
        <v>44441</v>
      </c>
      <c r="B152">
        <v>1.0085E-2</v>
      </c>
      <c r="C152">
        <v>1.0326E-2</v>
      </c>
      <c r="D152">
        <v>9.9279999999999993E-3</v>
      </c>
      <c r="E152">
        <v>1.0070000000000001E-2</v>
      </c>
      <c r="F152">
        <v>206499517</v>
      </c>
      <c r="G152">
        <v>1.0070000000000001E-2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-0.28643216080401396</v>
      </c>
      <c r="Q152">
        <f t="shared" ref="Q152" si="736">F152*P152</f>
        <v>-59148102.859295212</v>
      </c>
      <c r="R152">
        <f t="shared" ref="R152" si="737">R153+Q152</f>
        <v>-55973873881.699387</v>
      </c>
      <c r="S152">
        <f t="shared" ref="S152" si="738">R152/100000</f>
        <v>-559738.73881699389</v>
      </c>
      <c r="T152">
        <f t="shared" ref="T152" si="739">S152/1000</f>
        <v>-559.73873881699387</v>
      </c>
    </row>
    <row r="153" spans="1:20" x14ac:dyDescent="0.25">
      <c r="A153" s="5">
        <v>44440</v>
      </c>
      <c r="B153">
        <v>9.7870000000000006E-3</v>
      </c>
      <c r="C153">
        <v>1.0200000000000001E-2</v>
      </c>
      <c r="D153">
        <v>9.4879999999999999E-3</v>
      </c>
      <c r="E153">
        <v>1.0102999999999999E-2</v>
      </c>
      <c r="F153">
        <v>375175567</v>
      </c>
      <c r="G153">
        <v>1.0102999999999999E-2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0.72752808988763629</v>
      </c>
      <c r="Q153">
        <f t="shared" ref="Q153" si="741">F153*P153</f>
        <v>272950763.63202089</v>
      </c>
      <c r="R153">
        <f t="shared" ref="R153" si="742">R154+Q153</f>
        <v>-55914725778.840088</v>
      </c>
      <c r="S153">
        <f t="shared" ref="S153" si="743">R153/100000</f>
        <v>-559147.25778840086</v>
      </c>
      <c r="T153">
        <f t="shared" ref="T153" si="744">S153/1000</f>
        <v>-559.14725778840091</v>
      </c>
    </row>
    <row r="154" spans="1:20" x14ac:dyDescent="0.25">
      <c r="A154" s="5">
        <v>44439</v>
      </c>
      <c r="B154">
        <v>1.03E-2</v>
      </c>
      <c r="C154">
        <v>1.0746E-2</v>
      </c>
      <c r="D154">
        <v>9.6340000000000002E-3</v>
      </c>
      <c r="E154">
        <v>9.7929999999999996E-3</v>
      </c>
      <c r="F154">
        <v>367191170</v>
      </c>
      <c r="G154">
        <v>9.7929999999999996E-3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-0.71402877697841838</v>
      </c>
      <c r="Q154">
        <f t="shared" ref="Q154" si="746">F154*P154</f>
        <v>-262185062.0323745</v>
      </c>
      <c r="R154">
        <f t="shared" ref="R154" si="747">R155+Q154</f>
        <v>-56187676542.472107</v>
      </c>
      <c r="S154">
        <f t="shared" ref="S154" si="748">R154/100000</f>
        <v>-561876.76542472106</v>
      </c>
      <c r="T154">
        <f t="shared" ref="T154" si="749">S154/1000</f>
        <v>-561.87676542472104</v>
      </c>
    </row>
    <row r="155" spans="1:20" x14ac:dyDescent="0.25">
      <c r="A155" s="5">
        <v>44438</v>
      </c>
      <c r="B155">
        <v>9.5180000000000004E-3</v>
      </c>
      <c r="C155">
        <v>1.15E-2</v>
      </c>
      <c r="D155">
        <v>9.1999999999999998E-3</v>
      </c>
      <c r="E155">
        <v>1.0278000000000001E-2</v>
      </c>
      <c r="F155">
        <v>750407985</v>
      </c>
      <c r="G155">
        <v>1.0278000000000001E-2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-6.2608695652173169E-2</v>
      </c>
      <c r="Q155">
        <f t="shared" ref="Q155" si="751">F155*P155</f>
        <v>-46982065.147825532</v>
      </c>
      <c r="R155">
        <f t="shared" ref="R155" si="752">R156+Q155</f>
        <v>-55925491480.439735</v>
      </c>
      <c r="S155">
        <f t="shared" ref="S155" si="753">R155/100000</f>
        <v>-559254.91480439738</v>
      </c>
      <c r="T155">
        <f t="shared" ref="T155" si="754">S155/1000</f>
        <v>-559.25491480439734</v>
      </c>
    </row>
    <row r="156" spans="1:20" x14ac:dyDescent="0.25">
      <c r="A156" s="5">
        <v>44437</v>
      </c>
      <c r="B156">
        <v>9.5460000000000007E-3</v>
      </c>
      <c r="C156">
        <v>9.8469999999999999E-3</v>
      </c>
      <c r="D156">
        <v>9.1999999999999998E-3</v>
      </c>
      <c r="E156">
        <v>9.5350000000000001E-3</v>
      </c>
      <c r="F156">
        <v>138757916</v>
      </c>
      <c r="G156">
        <v>9.5350000000000001E-3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3.5548686244204715E-2</v>
      </c>
      <c r="Q156">
        <f t="shared" ref="Q156" si="756">F156*P156</f>
        <v>4932661.6197837135</v>
      </c>
      <c r="R156">
        <f t="shared" ref="R156" si="757">R157+Q156</f>
        <v>-55878509415.291908</v>
      </c>
      <c r="S156">
        <f t="shared" ref="S156" si="758">R156/100000</f>
        <v>-558785.09415291913</v>
      </c>
      <c r="T156">
        <f t="shared" ref="T156" si="759">S156/1000</f>
        <v>-558.7850941529191</v>
      </c>
    </row>
    <row r="157" spans="1:20" x14ac:dyDescent="0.25">
      <c r="A157" s="5">
        <v>44436</v>
      </c>
      <c r="B157">
        <v>9.9109999999999997E-3</v>
      </c>
      <c r="C157">
        <v>9.92E-3</v>
      </c>
      <c r="D157">
        <v>9.2870000000000001E-3</v>
      </c>
      <c r="E157">
        <v>9.5479999999999992E-3</v>
      </c>
      <c r="F157">
        <v>195768442</v>
      </c>
      <c r="G157">
        <v>9.5479999999999992E-3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-0.17535545023696958</v>
      </c>
      <c r="Q157">
        <f t="shared" ref="Q157" si="761">F157*P157</f>
        <v>-34329063.289100066</v>
      </c>
      <c r="R157">
        <f t="shared" ref="R157" si="762">R158+Q157</f>
        <v>-55883442076.91169</v>
      </c>
      <c r="S157">
        <f t="shared" ref="S157" si="763">R157/100000</f>
        <v>-558834.42076911684</v>
      </c>
      <c r="T157">
        <f t="shared" ref="T157" si="764">S157/1000</f>
        <v>-558.83442076911683</v>
      </c>
    </row>
    <row r="158" spans="1:20" x14ac:dyDescent="0.25">
      <c r="A158" s="5">
        <v>44435</v>
      </c>
      <c r="B158">
        <v>9.2010000000000008E-3</v>
      </c>
      <c r="C158">
        <v>1.0000999999999999E-2</v>
      </c>
      <c r="D158">
        <v>8.8570000000000003E-3</v>
      </c>
      <c r="E158">
        <v>9.9109999999999997E-3</v>
      </c>
      <c r="F158">
        <v>194605330</v>
      </c>
      <c r="G158">
        <v>9.9109999999999997E-3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0.84265734265734293</v>
      </c>
      <c r="Q158">
        <f t="shared" ref="Q158" si="766">F158*P158</f>
        <v>163985610.2447553</v>
      </c>
      <c r="R158">
        <f t="shared" ref="R158" si="767">R159+Q158</f>
        <v>-55849113013.622589</v>
      </c>
      <c r="S158">
        <f t="shared" ref="S158" si="768">R158/100000</f>
        <v>-558491.13013622584</v>
      </c>
      <c r="T158">
        <f t="shared" ref="T158" si="769">S158/1000</f>
        <v>-558.49113013622582</v>
      </c>
    </row>
    <row r="159" spans="1:20" x14ac:dyDescent="0.25">
      <c r="A159" s="5">
        <v>44434</v>
      </c>
      <c r="B159">
        <v>1.0054E-2</v>
      </c>
      <c r="C159">
        <v>1.0185E-2</v>
      </c>
      <c r="D159">
        <v>9.0980000000000002E-3</v>
      </c>
      <c r="E159">
        <v>9.1999999999999998E-3</v>
      </c>
      <c r="F159">
        <v>230386382</v>
      </c>
      <c r="G159">
        <v>9.1999999999999998E-3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-0.81232750689972455</v>
      </c>
      <c r="Q159">
        <f t="shared" ref="Q159" si="771">F159*P159</f>
        <v>-187149195.31370759</v>
      </c>
      <c r="R159">
        <f t="shared" ref="R159" si="772">R160+Q159</f>
        <v>-56013098623.867348</v>
      </c>
      <c r="S159">
        <f t="shared" ref="S159" si="773">R159/100000</f>
        <v>-560130.98623867345</v>
      </c>
      <c r="T159">
        <f t="shared" ref="T159" si="774">S159/1000</f>
        <v>-560.13098623867347</v>
      </c>
    </row>
    <row r="160" spans="1:20" x14ac:dyDescent="0.25">
      <c r="A160" s="5">
        <v>44433</v>
      </c>
      <c r="B160">
        <v>9.7459999999999995E-3</v>
      </c>
      <c r="C160">
        <v>1.03E-2</v>
      </c>
      <c r="D160">
        <v>9.4409999999999997E-3</v>
      </c>
      <c r="E160">
        <v>1.0034E-2</v>
      </c>
      <c r="F160">
        <v>230348458</v>
      </c>
      <c r="G160">
        <v>1.0034E-2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0.38067520372526081</v>
      </c>
      <c r="Q160">
        <f t="shared" ref="Q160" si="776">F160*P160</f>
        <v>87687946.17694968</v>
      </c>
      <c r="R160">
        <f t="shared" ref="R160" si="777">R161+Q160</f>
        <v>-55825949428.553642</v>
      </c>
      <c r="S160">
        <f t="shared" ref="S160" si="778">R160/100000</f>
        <v>-558259.49428553646</v>
      </c>
      <c r="T160">
        <f t="shared" ref="T160" si="779">S160/1000</f>
        <v>-558.25949428553645</v>
      </c>
    </row>
    <row r="161" spans="1:20" x14ac:dyDescent="0.25">
      <c r="A161" s="5">
        <v>44432</v>
      </c>
      <c r="B161">
        <v>1.0671E-2</v>
      </c>
      <c r="C161">
        <v>1.0710000000000001E-2</v>
      </c>
      <c r="D161">
        <v>9.7280000000000005E-3</v>
      </c>
      <c r="E161">
        <v>9.7280000000000005E-3</v>
      </c>
      <c r="F161">
        <v>241980461</v>
      </c>
      <c r="G161">
        <v>9.7280000000000005E-3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-1</v>
      </c>
      <c r="Q161">
        <f t="shared" ref="Q161" si="781">F161*P161</f>
        <v>-241980461</v>
      </c>
      <c r="R161">
        <f t="shared" ref="R161" si="782">R162+Q161</f>
        <v>-55913637374.730591</v>
      </c>
      <c r="S161">
        <f t="shared" ref="S161" si="783">R161/100000</f>
        <v>-559136.37374730594</v>
      </c>
      <c r="T161">
        <f t="shared" ref="T161" si="784">S161/1000</f>
        <v>-559.13637374730592</v>
      </c>
    </row>
    <row r="162" spans="1:20" x14ac:dyDescent="0.25">
      <c r="A162" s="5">
        <v>44431</v>
      </c>
      <c r="B162">
        <v>1.1174E-2</v>
      </c>
      <c r="C162">
        <v>1.1476999999999999E-2</v>
      </c>
      <c r="D162">
        <v>1.047E-2</v>
      </c>
      <c r="E162">
        <v>1.0671E-2</v>
      </c>
      <c r="F162">
        <v>310691125</v>
      </c>
      <c r="G162">
        <v>1.0671E-2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-0.6007944389275075</v>
      </c>
      <c r="Q162">
        <f t="shared" ref="Q162" si="786">F162*P162</f>
        <v>-186661500.12413111</v>
      </c>
      <c r="R162">
        <f t="shared" ref="R162" si="787">R163+Q162</f>
        <v>-55671656913.730591</v>
      </c>
      <c r="S162">
        <f t="shared" ref="S162" si="788">R162/100000</f>
        <v>-556716.56913730595</v>
      </c>
      <c r="T162">
        <f t="shared" ref="T162" si="789">S162/1000</f>
        <v>-556.7165691373059</v>
      </c>
    </row>
    <row r="163" spans="1:20" x14ac:dyDescent="0.25">
      <c r="A163" s="5">
        <v>44430</v>
      </c>
      <c r="B163">
        <v>9.9080000000000001E-3</v>
      </c>
      <c r="C163">
        <v>1.0645E-2</v>
      </c>
      <c r="D163">
        <v>9.8370000000000003E-3</v>
      </c>
      <c r="E163">
        <v>1.0359999999999999E-2</v>
      </c>
      <c r="F163">
        <v>61606682</v>
      </c>
      <c r="G163">
        <v>1.0359999999999999E-2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0.29455445544554298</v>
      </c>
      <c r="Q163">
        <f t="shared" ref="Q163" si="791">F163*P163</f>
        <v>18146522.668316733</v>
      </c>
      <c r="R163">
        <f t="shared" ref="R163" si="792">R164+Q163</f>
        <v>-55484995413.606461</v>
      </c>
      <c r="S163">
        <f t="shared" ref="S163" si="793">R163/100000</f>
        <v>-554849.95413606463</v>
      </c>
      <c r="T163">
        <f t="shared" ref="T163" si="794">S163/1000</f>
        <v>-554.84995413606464</v>
      </c>
    </row>
    <row r="164" spans="1:20" x14ac:dyDescent="0.25">
      <c r="A164" s="5">
        <v>44429</v>
      </c>
      <c r="B164">
        <v>1.0128E-2</v>
      </c>
      <c r="C164">
        <v>1.0189999999999999E-2</v>
      </c>
      <c r="D164">
        <v>9.5090000000000001E-3</v>
      </c>
      <c r="E164">
        <v>9.9109999999999997E-3</v>
      </c>
      <c r="F164">
        <v>280195811</v>
      </c>
      <c r="G164">
        <v>9.9109999999999997E-3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0.18061674008810569</v>
      </c>
      <c r="Q164">
        <f t="shared" ref="Q164" si="796">F164*P164</f>
        <v>50608053.969162986</v>
      </c>
      <c r="R164">
        <f t="shared" ref="R164" si="797">R165+Q164</f>
        <v>-55503141936.27478</v>
      </c>
      <c r="S164">
        <f t="shared" ref="S164" si="798">R164/100000</f>
        <v>-555031.41936274781</v>
      </c>
      <c r="T164">
        <f t="shared" ref="T164" si="799">S164/1000</f>
        <v>-555.03141936274778</v>
      </c>
    </row>
    <row r="165" spans="1:20" x14ac:dyDescent="0.25">
      <c r="A165" s="5">
        <v>44428</v>
      </c>
      <c r="B165">
        <v>9.9310000000000006E-3</v>
      </c>
      <c r="C165">
        <v>1.0319E-2</v>
      </c>
      <c r="D165">
        <v>9.5320000000000005E-3</v>
      </c>
      <c r="E165">
        <v>1.0120000000000001E-2</v>
      </c>
      <c r="F165">
        <v>346316534</v>
      </c>
      <c r="G165">
        <v>1.0120000000000001E-2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0.49428208386277089</v>
      </c>
      <c r="Q165">
        <f t="shared" ref="Q165" si="801">F165*P165</f>
        <v>171178058.10165215</v>
      </c>
      <c r="R165">
        <f t="shared" ref="R165" si="802">R166+Q165</f>
        <v>-55553749990.243942</v>
      </c>
      <c r="S165">
        <f t="shared" ref="S165" si="803">R165/100000</f>
        <v>-555537.49990243942</v>
      </c>
      <c r="T165">
        <f t="shared" ref="T165" si="804">S165/1000</f>
        <v>-555.53749990243944</v>
      </c>
    </row>
    <row r="166" spans="1:20" x14ac:dyDescent="0.25">
      <c r="A166" s="5">
        <v>44427</v>
      </c>
      <c r="B166">
        <v>9.1900000000000003E-3</v>
      </c>
      <c r="C166">
        <v>1.0200000000000001E-2</v>
      </c>
      <c r="D166">
        <v>8.7779999999999993E-3</v>
      </c>
      <c r="E166">
        <v>9.9319999999999999E-3</v>
      </c>
      <c r="F166">
        <v>334092578</v>
      </c>
      <c r="G166">
        <v>9.9319999999999999E-3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0.6230661040787614</v>
      </c>
      <c r="Q166">
        <f t="shared" ref="Q166" si="806">F166*P166</f>
        <v>208161760.97608972</v>
      </c>
      <c r="R166">
        <f t="shared" ref="R166" si="807">R167+Q166</f>
        <v>-55724928048.345596</v>
      </c>
      <c r="S166">
        <f t="shared" ref="S166" si="808">R166/100000</f>
        <v>-557249.28048345598</v>
      </c>
      <c r="T166">
        <f t="shared" ref="T166" si="809">S166/1000</f>
        <v>-557.249280483456</v>
      </c>
    </row>
    <row r="167" spans="1:20" x14ac:dyDescent="0.25">
      <c r="A167" s="5">
        <v>44426</v>
      </c>
      <c r="B167">
        <v>9.1079999999999998E-3</v>
      </c>
      <c r="C167">
        <v>9.3509999999999999E-3</v>
      </c>
      <c r="D167">
        <v>8.7550000000000006E-3</v>
      </c>
      <c r="E167">
        <v>9.162E-3</v>
      </c>
      <c r="F167">
        <v>226224408</v>
      </c>
      <c r="G167">
        <v>9.162E-3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0.36577181208053638</v>
      </c>
      <c r="Q167">
        <f t="shared" ref="Q167" si="811">F167*P167</f>
        <v>82746511.651006594</v>
      </c>
      <c r="R167">
        <f t="shared" ref="R167" si="812">R168+Q167</f>
        <v>-55933089809.321686</v>
      </c>
      <c r="S167">
        <f t="shared" ref="S167" si="813">R167/100000</f>
        <v>-559330.89809321682</v>
      </c>
      <c r="T167">
        <f t="shared" ref="T167" si="814">S167/1000</f>
        <v>-559.33089809321677</v>
      </c>
    </row>
    <row r="168" spans="1:20" x14ac:dyDescent="0.25">
      <c r="A168" s="5">
        <v>44425</v>
      </c>
      <c r="B168">
        <v>9.9509999999999998E-3</v>
      </c>
      <c r="C168">
        <v>1.0274999999999999E-2</v>
      </c>
      <c r="D168">
        <v>9.0550000000000005E-3</v>
      </c>
      <c r="E168">
        <v>9.1090000000000008E-3</v>
      </c>
      <c r="F168">
        <v>318204286</v>
      </c>
      <c r="G168">
        <v>9.1090000000000008E-3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-0.91147540983606512</v>
      </c>
      <c r="Q168">
        <f t="shared" ref="Q168" si="816">F168*P168</f>
        <v>-290035381.99344248</v>
      </c>
      <c r="R168">
        <f t="shared" ref="R168" si="817">R169+Q168</f>
        <v>-56015836320.972694</v>
      </c>
      <c r="S168">
        <f t="shared" ref="S168" si="818">R168/100000</f>
        <v>-560158.36320972699</v>
      </c>
      <c r="T168">
        <f t="shared" ref="T168" si="819">S168/1000</f>
        <v>-560.15836320972699</v>
      </c>
    </row>
    <row r="169" spans="1:20" x14ac:dyDescent="0.25">
      <c r="A169" s="5">
        <v>44424</v>
      </c>
      <c r="B169">
        <v>1.0152E-2</v>
      </c>
      <c r="C169">
        <v>1.0466E-2</v>
      </c>
      <c r="D169">
        <v>9.8519999999999996E-3</v>
      </c>
      <c r="E169">
        <v>9.9260000000000008E-3</v>
      </c>
      <c r="F169">
        <v>343950409</v>
      </c>
      <c r="G169">
        <v>9.9260000000000008E-3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-0.75895765472312327</v>
      </c>
      <c r="Q169">
        <f t="shared" ref="Q169" si="821">F169*P169</f>
        <v>-261043795.75569904</v>
      </c>
      <c r="R169">
        <f t="shared" ref="R169" si="822">R170+Q169</f>
        <v>-55725800938.979256</v>
      </c>
      <c r="S169">
        <f t="shared" ref="S169" si="823">R169/100000</f>
        <v>-557258.00938979257</v>
      </c>
      <c r="T169">
        <f t="shared" ref="T169" si="824">S169/1000</f>
        <v>-557.25800938979262</v>
      </c>
    </row>
    <row r="170" spans="1:20" x14ac:dyDescent="0.25">
      <c r="A170" s="5">
        <v>44423</v>
      </c>
      <c r="B170">
        <v>1.0045999999999999E-2</v>
      </c>
      <c r="C170">
        <v>1.03E-2</v>
      </c>
      <c r="D170">
        <v>9.4929999999999997E-3</v>
      </c>
      <c r="E170">
        <v>1.0152E-2</v>
      </c>
      <c r="F170">
        <v>299599338</v>
      </c>
      <c r="G170">
        <v>1.0152E-2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0.63320941759603355</v>
      </c>
      <c r="Q170">
        <f t="shared" ref="Q170" si="826">F170*P170</f>
        <v>189709122.3271372</v>
      </c>
      <c r="R170">
        <f t="shared" ref="R170" si="827">R171+Q170</f>
        <v>-55464757143.223557</v>
      </c>
      <c r="S170">
        <f t="shared" ref="S170" si="828">R170/100000</f>
        <v>-554647.57143223553</v>
      </c>
      <c r="T170">
        <f t="shared" ref="T170" si="829">S170/1000</f>
        <v>-554.64757143223551</v>
      </c>
    </row>
    <row r="171" spans="1:20" x14ac:dyDescent="0.25">
      <c r="A171" s="5">
        <v>44422</v>
      </c>
      <c r="B171">
        <v>1.0500000000000001E-2</v>
      </c>
      <c r="C171">
        <v>1.0688E-2</v>
      </c>
      <c r="D171">
        <v>9.6620000000000004E-3</v>
      </c>
      <c r="E171">
        <v>1.0045999999999999E-2</v>
      </c>
      <c r="F171">
        <v>475363400</v>
      </c>
      <c r="G171">
        <v>1.0045999999999999E-2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-0.25146198830409505</v>
      </c>
      <c r="Q171">
        <f t="shared" ref="Q171" si="831">F171*P171</f>
        <v>-119535825.73099487</v>
      </c>
      <c r="R171">
        <f t="shared" ref="R171" si="832">R172+Q171</f>
        <v>-55654466265.550697</v>
      </c>
      <c r="S171">
        <f t="shared" ref="S171" si="833">R171/100000</f>
        <v>-556544.66265550698</v>
      </c>
      <c r="T171">
        <f t="shared" ref="T171" si="834">S171/1000</f>
        <v>-556.54466265550695</v>
      </c>
    </row>
    <row r="172" spans="1:20" x14ac:dyDescent="0.25">
      <c r="A172" s="5">
        <v>44421</v>
      </c>
      <c r="B172">
        <v>9.2370000000000004E-3</v>
      </c>
      <c r="C172">
        <v>1.0766E-2</v>
      </c>
      <c r="D172">
        <v>9.0299999999999998E-3</v>
      </c>
      <c r="E172">
        <v>1.0500000000000001E-2</v>
      </c>
      <c r="F172">
        <v>533257101</v>
      </c>
      <c r="G172">
        <v>1.0500000000000001E-2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0.69354838709677546</v>
      </c>
      <c r="Q172">
        <f t="shared" ref="Q172" si="836">F172*P172</f>
        <v>369839602.30645227</v>
      </c>
      <c r="R172">
        <f t="shared" ref="R172" si="837">R173+Q172</f>
        <v>-55534930439.819702</v>
      </c>
      <c r="S172">
        <f t="shared" ref="S172" si="838">R172/100000</f>
        <v>-555349.30439819698</v>
      </c>
      <c r="T172">
        <f t="shared" ref="T172" si="839">S172/1000</f>
        <v>-555.34930439819698</v>
      </c>
    </row>
    <row r="173" spans="1:20" x14ac:dyDescent="0.25">
      <c r="A173" s="5">
        <v>44420</v>
      </c>
      <c r="B173">
        <v>9.8189999999999996E-3</v>
      </c>
      <c r="C173">
        <v>1.04E-2</v>
      </c>
      <c r="D173">
        <v>8.8000000000000005E-3</v>
      </c>
      <c r="E173">
        <v>9.2370000000000004E-3</v>
      </c>
      <c r="F173">
        <v>570122912</v>
      </c>
      <c r="G173">
        <v>9.2370000000000004E-3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-0.45374999999999982</v>
      </c>
      <c r="Q173">
        <f t="shared" ref="Q173" si="841">F173*P173</f>
        <v>-258693271.3199999</v>
      </c>
      <c r="R173">
        <f t="shared" ref="R173" si="842">R174+Q173</f>
        <v>-55904770042.126152</v>
      </c>
      <c r="S173">
        <f t="shared" ref="S173" si="843">R173/100000</f>
        <v>-559047.70042126148</v>
      </c>
      <c r="T173">
        <f t="shared" ref="T173" si="844">S173/1000</f>
        <v>-559.04770042126154</v>
      </c>
    </row>
    <row r="174" spans="1:20" x14ac:dyDescent="0.25">
      <c r="A174" s="5">
        <v>44419</v>
      </c>
      <c r="B174">
        <v>8.8369999999999994E-3</v>
      </c>
      <c r="C174">
        <v>1.0800000000000001E-2</v>
      </c>
      <c r="D174">
        <v>8.6440000000000006E-3</v>
      </c>
      <c r="E174">
        <v>9.8200000000000006E-3</v>
      </c>
      <c r="F174">
        <v>957332935</v>
      </c>
      <c r="G174">
        <v>9.8200000000000006E-3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9.0909090909090912E-2</v>
      </c>
      <c r="Q174">
        <f t="shared" ref="Q174" si="846">F174*P174</f>
        <v>87030266.818181828</v>
      </c>
      <c r="R174">
        <f t="shared" ref="R174" si="847">R175+Q174</f>
        <v>-55646076770.806152</v>
      </c>
      <c r="S174">
        <f t="shared" ref="S174" si="848">R174/100000</f>
        <v>-556460.7677080615</v>
      </c>
      <c r="T174">
        <f t="shared" ref="T174" si="849">S174/1000</f>
        <v>-556.46076770806144</v>
      </c>
    </row>
    <row r="175" spans="1:20" x14ac:dyDescent="0.25">
      <c r="A175" s="5">
        <v>44418</v>
      </c>
      <c r="B175">
        <v>8.855E-3</v>
      </c>
      <c r="C175">
        <v>9.1190000000000004E-3</v>
      </c>
      <c r="D175">
        <v>8.201E-3</v>
      </c>
      <c r="E175">
        <v>8.8350000000000008E-3</v>
      </c>
      <c r="F175">
        <v>458785116</v>
      </c>
      <c r="G175">
        <v>8.8350000000000008E-3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0.3812636165577355</v>
      </c>
      <c r="Q175">
        <f t="shared" ref="Q175" si="851">F175*P175</f>
        <v>174918072.5490202</v>
      </c>
      <c r="R175">
        <f t="shared" ref="R175" si="852">R176+Q175</f>
        <v>-55733107037.624336</v>
      </c>
      <c r="S175">
        <f t="shared" ref="S175" si="853">R175/100000</f>
        <v>-557331.07037624333</v>
      </c>
      <c r="T175">
        <f t="shared" ref="T175" si="854">S175/1000</f>
        <v>-557.33107037624336</v>
      </c>
    </row>
    <row r="176" spans="1:20" x14ac:dyDescent="0.25">
      <c r="A176" s="5">
        <v>44417</v>
      </c>
      <c r="B176">
        <v>7.6860000000000001E-3</v>
      </c>
      <c r="C176">
        <v>9.4210000000000006E-3</v>
      </c>
      <c r="D176">
        <v>7.4440000000000001E-3</v>
      </c>
      <c r="E176">
        <v>8.848E-3</v>
      </c>
      <c r="F176">
        <v>632757593</v>
      </c>
      <c r="G176">
        <v>8.848E-3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0.42033383915022715</v>
      </c>
      <c r="Q176">
        <f t="shared" ref="Q176" si="856">F176*P176</f>
        <v>265969428.3171469</v>
      </c>
      <c r="R176">
        <f t="shared" ref="R176" si="857">R177+Q176</f>
        <v>-55908025110.173355</v>
      </c>
      <c r="S176">
        <f t="shared" ref="S176" si="858">R176/100000</f>
        <v>-559080.25110173353</v>
      </c>
      <c r="T176">
        <f t="shared" ref="T176" si="859">S176/1000</f>
        <v>-559.08025110173355</v>
      </c>
    </row>
    <row r="177" spans="1:20" x14ac:dyDescent="0.25">
      <c r="A177" s="5">
        <v>44416</v>
      </c>
      <c r="B177">
        <v>8.3309999999999999E-3</v>
      </c>
      <c r="C177">
        <v>8.7329999999999994E-3</v>
      </c>
      <c r="D177">
        <v>7.6E-3</v>
      </c>
      <c r="E177">
        <v>7.6759999999999997E-3</v>
      </c>
      <c r="F177">
        <v>377796837</v>
      </c>
      <c r="G177">
        <v>7.6759999999999997E-3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-0.86584289496910904</v>
      </c>
      <c r="Q177">
        <f t="shared" ref="Q177" si="861">F177*P177</f>
        <v>-327112707.05825263</v>
      </c>
      <c r="R177">
        <f t="shared" ref="R177" si="862">R178+Q177</f>
        <v>-56173994538.490501</v>
      </c>
      <c r="S177">
        <f t="shared" ref="S177" si="863">R177/100000</f>
        <v>-561739.94538490498</v>
      </c>
      <c r="T177">
        <f t="shared" ref="T177" si="864">S177/1000</f>
        <v>-561.73994538490501</v>
      </c>
    </row>
    <row r="178" spans="1:20" x14ac:dyDescent="0.25">
      <c r="A178" s="5">
        <v>44415</v>
      </c>
      <c r="B178">
        <v>8.1729999999999997E-3</v>
      </c>
      <c r="C178">
        <v>9.3019999999999995E-3</v>
      </c>
      <c r="D178">
        <v>8.0280000000000004E-3</v>
      </c>
      <c r="E178">
        <v>8.3149999999999995E-3</v>
      </c>
      <c r="F178">
        <v>700166436</v>
      </c>
      <c r="G178">
        <v>8.3149999999999995E-3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-0.54945054945055061</v>
      </c>
      <c r="Q178">
        <f t="shared" ref="Q178" si="866">F178*P178</f>
        <v>-384706832.9670338</v>
      </c>
      <c r="R178">
        <f t="shared" ref="R178" si="867">R179+Q178</f>
        <v>-55846881831.432251</v>
      </c>
      <c r="S178">
        <f t="shared" ref="S178" si="868">R178/100000</f>
        <v>-558468.8183143225</v>
      </c>
      <c r="T178">
        <f t="shared" ref="T178" si="869">S178/1000</f>
        <v>-558.46881831432245</v>
      </c>
    </row>
    <row r="179" spans="1:20" x14ac:dyDescent="0.25">
      <c r="A179" s="5">
        <v>44414</v>
      </c>
      <c r="B179">
        <v>7.3680000000000004E-3</v>
      </c>
      <c r="C179">
        <v>8.6999999999999994E-3</v>
      </c>
      <c r="D179">
        <v>7.2069999999999999E-3</v>
      </c>
      <c r="E179">
        <v>8.1720000000000004E-3</v>
      </c>
      <c r="F179">
        <v>700719545</v>
      </c>
      <c r="G179">
        <v>8.1720000000000004E-3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0.2926992632284004</v>
      </c>
      <c r="Q179">
        <f t="shared" ref="Q179" si="871">F179*P179</f>
        <v>205100094.55123997</v>
      </c>
      <c r="R179">
        <f t="shared" ref="R179" si="872">R180+Q179</f>
        <v>-55462174998.465218</v>
      </c>
      <c r="S179">
        <f t="shared" ref="S179" si="873">R179/100000</f>
        <v>-554621.74998465215</v>
      </c>
      <c r="T179">
        <f t="shared" ref="T179" si="874">S179/1000</f>
        <v>-554.62174998465218</v>
      </c>
    </row>
    <row r="180" spans="1:20" x14ac:dyDescent="0.25">
      <c r="A180" s="5">
        <v>44413</v>
      </c>
      <c r="B180">
        <v>7.0419999999999996E-3</v>
      </c>
      <c r="C180">
        <v>7.6E-3</v>
      </c>
      <c r="D180">
        <v>6.8450000000000004E-3</v>
      </c>
      <c r="E180">
        <v>7.3619999999999996E-3</v>
      </c>
      <c r="F180">
        <v>408433491</v>
      </c>
      <c r="G180">
        <v>7.3619999999999996E-3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0.36953642384105828</v>
      </c>
      <c r="Q180">
        <f t="shared" ref="Q180" si="876">F180*P180</f>
        <v>150931051.64105907</v>
      </c>
      <c r="R180">
        <f t="shared" ref="R180" si="877">R181+Q180</f>
        <v>-55667275093.016457</v>
      </c>
      <c r="S180">
        <f t="shared" ref="S180" si="878">R180/100000</f>
        <v>-556672.75093016459</v>
      </c>
      <c r="T180">
        <f t="shared" ref="T180" si="879">S180/1000</f>
        <v>-556.67275093016463</v>
      </c>
    </row>
    <row r="181" spans="1:20" x14ac:dyDescent="0.25">
      <c r="A181" s="5">
        <v>44412</v>
      </c>
      <c r="B181">
        <v>6.8199999999999997E-3</v>
      </c>
      <c r="C181">
        <v>7.1329999999999996E-3</v>
      </c>
      <c r="D181">
        <v>6.7060000000000002E-3</v>
      </c>
      <c r="E181">
        <v>7.0419999999999996E-3</v>
      </c>
      <c r="F181">
        <v>198687321</v>
      </c>
      <c r="G181">
        <v>7.0419999999999996E-3</v>
      </c>
      <c r="L181" t="s">
        <v>7</v>
      </c>
      <c r="M181" t="s">
        <v>8</v>
      </c>
      <c r="N181" t="s">
        <v>7</v>
      </c>
      <c r="P181">
        <f t="shared" ref="P181" si="880">IF(C181=D181,0,((E181-D181)-(C181-E181))/(C181-D181))</f>
        <v>0.57377049180327844</v>
      </c>
      <c r="Q181">
        <f t="shared" ref="Q181" si="881">F181*P181</f>
        <v>114000921.88524584</v>
      </c>
      <c r="R181">
        <f t="shared" ref="R181" si="882">R182+Q181</f>
        <v>-55818206144.657516</v>
      </c>
      <c r="S181">
        <f t="shared" ref="S181" si="883">R181/100000</f>
        <v>-558182.06144657522</v>
      </c>
      <c r="T181">
        <f t="shared" ref="T181" si="884">S181/1000</f>
        <v>-558.18206144657518</v>
      </c>
    </row>
    <row r="182" spans="1:20" x14ac:dyDescent="0.25">
      <c r="A182" s="5">
        <v>44411</v>
      </c>
      <c r="B182">
        <v>6.9899999999999997E-3</v>
      </c>
      <c r="C182">
        <v>7.169E-3</v>
      </c>
      <c r="D182">
        <v>6.7739999999999996E-3</v>
      </c>
      <c r="E182">
        <v>6.8370000000000002E-3</v>
      </c>
      <c r="F182">
        <v>235735749</v>
      </c>
      <c r="G182">
        <v>6.8370000000000002E-3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-0.68101265822784562</v>
      </c>
      <c r="Q182">
        <f t="shared" ref="Q182" si="886">F182*P182</f>
        <v>-160539029.06582221</v>
      </c>
      <c r="R182">
        <f t="shared" ref="R182" si="887">R183+Q182</f>
        <v>-55932207066.542763</v>
      </c>
      <c r="S182">
        <f t="shared" ref="S182" si="888">R182/100000</f>
        <v>-559322.0706654276</v>
      </c>
      <c r="T182">
        <f t="shared" ref="T182" si="889">S182/1000</f>
        <v>-559.32207066542765</v>
      </c>
    </row>
    <row r="183" spans="1:20" x14ac:dyDescent="0.25">
      <c r="A183" s="5">
        <v>44410</v>
      </c>
      <c r="B183">
        <v>6.901E-3</v>
      </c>
      <c r="C183">
        <v>7.3499999999999998E-3</v>
      </c>
      <c r="D183">
        <v>6.7999999999999996E-3</v>
      </c>
      <c r="E183">
        <v>6.9979999999999999E-3</v>
      </c>
      <c r="F183">
        <v>131379837</v>
      </c>
      <c r="G183">
        <v>6.9979999999999999E-3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-0.27999999999999925</v>
      </c>
      <c r="Q183">
        <f t="shared" ref="Q183" si="891">F183*P183</f>
        <v>-36786354.359999903</v>
      </c>
      <c r="R183">
        <f t="shared" ref="R183" si="892">R184+Q183</f>
        <v>-55771668037.476944</v>
      </c>
      <c r="S183">
        <f t="shared" ref="S183" si="893">R183/100000</f>
        <v>-557716.68037476949</v>
      </c>
      <c r="T183">
        <f t="shared" ref="T183" si="894">S183/1000</f>
        <v>-557.71668037476945</v>
      </c>
    </row>
    <row r="184" spans="1:20" x14ac:dyDescent="0.25">
      <c r="A184" s="5">
        <v>44409</v>
      </c>
      <c r="B184">
        <v>7.306E-3</v>
      </c>
      <c r="C184">
        <v>7.5640000000000004E-3</v>
      </c>
      <c r="D184">
        <v>6.8170000000000001E-3</v>
      </c>
      <c r="E184">
        <v>6.8910000000000004E-3</v>
      </c>
      <c r="F184">
        <v>244632900</v>
      </c>
      <c r="G184">
        <v>6.8910000000000004E-3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-0.80187416331994577</v>
      </c>
      <c r="Q184">
        <f t="shared" ref="Q184" si="896">F184*P184</f>
        <v>-196164802.00803196</v>
      </c>
      <c r="R184">
        <f t="shared" ref="R184" si="897">R185+Q184</f>
        <v>-55734881683.116943</v>
      </c>
      <c r="S184">
        <f t="shared" ref="S184" si="898">R184/100000</f>
        <v>-557348.81683116942</v>
      </c>
      <c r="T184">
        <f t="shared" ref="T184" si="899">S184/1000</f>
        <v>-557.34881683116942</v>
      </c>
    </row>
    <row r="185" spans="1:20" x14ac:dyDescent="0.25">
      <c r="A185" s="5">
        <v>44408</v>
      </c>
      <c r="B185">
        <v>6.986E-3</v>
      </c>
      <c r="C185">
        <v>7.3940000000000004E-3</v>
      </c>
      <c r="D185">
        <v>6.8649999999999996E-3</v>
      </c>
      <c r="E185">
        <v>7.3000000000000001E-3</v>
      </c>
      <c r="F185">
        <v>253885856</v>
      </c>
      <c r="G185">
        <v>7.3000000000000001E-3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0.64461247637050967</v>
      </c>
      <c r="Q185">
        <f t="shared" ref="Q185" si="901">F185*P185</f>
        <v>163657990.35160661</v>
      </c>
      <c r="R185">
        <f t="shared" ref="R185" si="902">R186+Q185</f>
        <v>-55538716881.10891</v>
      </c>
      <c r="S185">
        <f t="shared" ref="S185" si="903">R185/100000</f>
        <v>-555387.16881108913</v>
      </c>
      <c r="T185">
        <f t="shared" ref="T185" si="904">S185/1000</f>
        <v>-555.38716881108917</v>
      </c>
    </row>
    <row r="186" spans="1:20" x14ac:dyDescent="0.25">
      <c r="A186" s="5">
        <v>44407</v>
      </c>
      <c r="B186">
        <v>6.8250000000000003E-3</v>
      </c>
      <c r="C186">
        <v>7.0590000000000002E-3</v>
      </c>
      <c r="D186">
        <v>6.5370000000000003E-3</v>
      </c>
      <c r="E186">
        <v>6.9839999999999998E-3</v>
      </c>
      <c r="F186">
        <v>167982683</v>
      </c>
      <c r="G186">
        <v>6.9839999999999998E-3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0.71264367816091789</v>
      </c>
      <c r="Q186">
        <f t="shared" ref="Q186" si="906">F186*P186</f>
        <v>119711797.08045949</v>
      </c>
      <c r="R186">
        <f t="shared" ref="R186" si="907">R187+Q186</f>
        <v>-55702374871.460518</v>
      </c>
      <c r="S186">
        <f t="shared" ref="S186" si="908">R186/100000</f>
        <v>-557023.74871460523</v>
      </c>
      <c r="T186">
        <f t="shared" ref="T186" si="909">S186/1000</f>
        <v>-557.02374871460518</v>
      </c>
    </row>
    <row r="187" spans="1:20" x14ac:dyDescent="0.25">
      <c r="A187" s="5">
        <v>44406</v>
      </c>
      <c r="B187">
        <v>6.62E-3</v>
      </c>
      <c r="C187">
        <v>7.1529999999999996E-3</v>
      </c>
      <c r="D187">
        <v>6.4819999999999999E-3</v>
      </c>
      <c r="E187">
        <v>6.8230000000000001E-3</v>
      </c>
      <c r="F187">
        <v>196629516</v>
      </c>
      <c r="G187">
        <v>6.8230000000000001E-3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1.6393442622951709E-2</v>
      </c>
      <c r="Q187">
        <f t="shared" ref="Q187" si="911">F187*P187</f>
        <v>3223434.688524765</v>
      </c>
      <c r="R187">
        <f t="shared" ref="R187" si="912">R188+Q187</f>
        <v>-55822086668.540977</v>
      </c>
      <c r="S187">
        <f t="shared" ref="S187" si="913">R187/100000</f>
        <v>-558220.8666854098</v>
      </c>
      <c r="T187">
        <f t="shared" ref="T187" si="914">S187/1000</f>
        <v>-558.22086668540976</v>
      </c>
    </row>
    <row r="188" spans="1:20" x14ac:dyDescent="0.25">
      <c r="A188" s="5">
        <v>44405</v>
      </c>
      <c r="B188">
        <v>6.8770000000000003E-3</v>
      </c>
      <c r="C188">
        <v>7.0000000000000001E-3</v>
      </c>
      <c r="D188">
        <v>6.4999999999999997E-3</v>
      </c>
      <c r="E188">
        <v>6.6140000000000001E-3</v>
      </c>
      <c r="F188">
        <v>180403004</v>
      </c>
      <c r="G188">
        <v>6.6140000000000001E-3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-0.54399999999999882</v>
      </c>
      <c r="Q188">
        <f t="shared" ref="Q188" si="916">F188*P188</f>
        <v>-98139234.17599979</v>
      </c>
      <c r="R188">
        <f t="shared" ref="R188" si="917">R189+Q188</f>
        <v>-55825310103.2295</v>
      </c>
      <c r="S188">
        <f t="shared" ref="S188" si="918">R188/100000</f>
        <v>-558253.10103229503</v>
      </c>
      <c r="T188">
        <f t="shared" ref="T188" si="919">S188/1000</f>
        <v>-558.25310103229504</v>
      </c>
    </row>
    <row r="189" spans="1:20" x14ac:dyDescent="0.25">
      <c r="A189" s="5">
        <v>44404</v>
      </c>
      <c r="B189">
        <v>6.6990000000000001E-3</v>
      </c>
      <c r="C189">
        <v>6.9959999999999996E-3</v>
      </c>
      <c r="D189">
        <v>6.4229999999999999E-3</v>
      </c>
      <c r="E189">
        <v>6.8770000000000003E-3</v>
      </c>
      <c r="F189">
        <v>200050514</v>
      </c>
      <c r="G189">
        <v>6.8770000000000003E-3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0.58464223385689573</v>
      </c>
      <c r="Q189">
        <f t="shared" ref="Q189" si="921">F189*P189</f>
        <v>116957979.3891802</v>
      </c>
      <c r="R189">
        <f t="shared" ref="R189" si="922">R190+Q189</f>
        <v>-55727170869.053497</v>
      </c>
      <c r="S189">
        <f t="shared" ref="S189" si="923">R189/100000</f>
        <v>-557271.70869053493</v>
      </c>
      <c r="T189">
        <f t="shared" ref="T189" si="924">S189/1000</f>
        <v>-557.27170869053498</v>
      </c>
    </row>
    <row r="190" spans="1:20" x14ac:dyDescent="0.25">
      <c r="A190" s="5">
        <v>44403</v>
      </c>
      <c r="B190">
        <v>6.842E-3</v>
      </c>
      <c r="C190">
        <v>7.4920000000000004E-3</v>
      </c>
      <c r="D190">
        <v>6.6299999999999996E-3</v>
      </c>
      <c r="E190">
        <v>6.7000000000000002E-3</v>
      </c>
      <c r="F190">
        <v>485474698</v>
      </c>
      <c r="G190">
        <v>6.7000000000000002E-3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-0.83758700696055555</v>
      </c>
      <c r="Q190">
        <f t="shared" ref="Q190" si="926">F190*P190</f>
        <v>-406627299.25289959</v>
      </c>
      <c r="R190">
        <f t="shared" ref="R190" si="927">R191+Q190</f>
        <v>-55844128848.44268</v>
      </c>
      <c r="S190">
        <f t="shared" ref="S190" si="928">R190/100000</f>
        <v>-558441.2884844268</v>
      </c>
      <c r="T190">
        <f t="shared" ref="T190" si="929">S190/1000</f>
        <v>-558.44128848442676</v>
      </c>
    </row>
    <row r="191" spans="1:20" x14ac:dyDescent="0.25">
      <c r="A191" s="5">
        <v>44402</v>
      </c>
      <c r="B191">
        <v>7.3150000000000003E-3</v>
      </c>
      <c r="C191">
        <v>7.4029999999999999E-3</v>
      </c>
      <c r="D191">
        <v>6.4770000000000001E-3</v>
      </c>
      <c r="E191">
        <v>6.8389999999999996E-3</v>
      </c>
      <c r="F191">
        <v>401625786</v>
      </c>
      <c r="G191">
        <v>6.8389999999999996E-3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-0.21814254859611323</v>
      </c>
      <c r="Q191">
        <f t="shared" ref="Q191" si="931">F191*P191</f>
        <v>-87611672.539957181</v>
      </c>
      <c r="R191">
        <f t="shared" ref="R191" si="932">R192+Q191</f>
        <v>-55437501549.189781</v>
      </c>
      <c r="S191">
        <f t="shared" ref="S191" si="933">R191/100000</f>
        <v>-554375.01549189782</v>
      </c>
      <c r="T191">
        <f t="shared" ref="T191:T197" si="934">S191/1000</f>
        <v>-554.37501549189778</v>
      </c>
    </row>
    <row r="192" spans="1:20" x14ac:dyDescent="0.25">
      <c r="A192" s="5">
        <v>44401</v>
      </c>
      <c r="B192">
        <v>6.3200000000000001E-3</v>
      </c>
      <c r="C192">
        <v>7.4929999999999997E-3</v>
      </c>
      <c r="D192">
        <v>6.1879999999999999E-3</v>
      </c>
      <c r="E192">
        <v>7.3150000000000003E-3</v>
      </c>
      <c r="F192">
        <v>401205403</v>
      </c>
      <c r="G192">
        <v>7.3150000000000003E-3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0.7272030651341006</v>
      </c>
      <c r="Q192">
        <f t="shared" ref="Q192" si="936">F192*P192</f>
        <v>291757798.80996209</v>
      </c>
      <c r="R192">
        <f t="shared" ref="R192" si="937">R193+Q192</f>
        <v>-55349889876.649826</v>
      </c>
      <c r="S192">
        <f t="shared" ref="S192" si="938">R192/100000</f>
        <v>-553498.89876649831</v>
      </c>
      <c r="T192">
        <f t="shared" si="934"/>
        <v>-553.49889876649831</v>
      </c>
    </row>
    <row r="193" spans="1:20" x14ac:dyDescent="0.25">
      <c r="A193" s="5">
        <v>44400</v>
      </c>
      <c r="B193">
        <v>6.0759999999999998E-3</v>
      </c>
      <c r="C193">
        <v>6.3569999999999998E-3</v>
      </c>
      <c r="D193">
        <v>5.934E-3</v>
      </c>
      <c r="E193">
        <v>6.3080000000000002E-3</v>
      </c>
      <c r="F193">
        <v>344242548</v>
      </c>
      <c r="G193">
        <v>6.3080000000000002E-3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0.76832151300236595</v>
      </c>
      <c r="Q193">
        <f t="shared" ref="Q193" si="940">F193*P193</f>
        <v>264488955.31914958</v>
      </c>
      <c r="R193">
        <f t="shared" ref="R193" si="941">R194+Q193</f>
        <v>-55641647675.459785</v>
      </c>
      <c r="S193">
        <f t="shared" ref="S193" si="942">R193/100000</f>
        <v>-556416.47675459785</v>
      </c>
      <c r="T193">
        <f t="shared" si="934"/>
        <v>-556.41647675459785</v>
      </c>
    </row>
    <row r="194" spans="1:20" x14ac:dyDescent="0.25">
      <c r="A194" s="5">
        <v>44399</v>
      </c>
      <c r="B194">
        <v>6.0369999999999998E-3</v>
      </c>
      <c r="C194">
        <v>6.3829999999999998E-3</v>
      </c>
      <c r="D194">
        <v>5.9020000000000001E-3</v>
      </c>
      <c r="E194">
        <v>6.0980000000000001E-3</v>
      </c>
      <c r="F194">
        <v>228132854</v>
      </c>
      <c r="G194">
        <v>6.0980000000000001E-3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-0.18503118503118449</v>
      </c>
      <c r="Q194">
        <f t="shared" ref="Q194" si="944">F194*P194</f>
        <v>-42211692.320166193</v>
      </c>
      <c r="R194">
        <f t="shared" ref="R194" si="945">R195+Q194</f>
        <v>-55906136630.778938</v>
      </c>
      <c r="S194">
        <f t="shared" ref="S194" si="946">R194/100000</f>
        <v>-559061.36630778934</v>
      </c>
      <c r="T194">
        <f t="shared" si="934"/>
        <v>-559.0613663077894</v>
      </c>
    </row>
    <row r="195" spans="1:20" x14ac:dyDescent="0.25">
      <c r="A195" s="5">
        <v>44398</v>
      </c>
      <c r="B195">
        <v>5.5129999999999997E-3</v>
      </c>
      <c r="C195">
        <v>6.1999999999999998E-3</v>
      </c>
      <c r="D195">
        <v>5.4149999999999997E-3</v>
      </c>
      <c r="E195">
        <v>6.045E-3</v>
      </c>
      <c r="F195">
        <v>177610498</v>
      </c>
      <c r="G195">
        <v>6.045E-3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0.60509554140127453</v>
      </c>
      <c r="Q195">
        <f t="shared" ref="Q195" si="948">F195*P195</f>
        <v>107471320.44585998</v>
      </c>
      <c r="R195">
        <f t="shared" ref="R195" si="949">R196+Q195</f>
        <v>-55863924938.458771</v>
      </c>
      <c r="S195">
        <f t="shared" ref="S195" si="950">R195/100000</f>
        <v>-558639.24938458775</v>
      </c>
      <c r="T195">
        <f t="shared" si="934"/>
        <v>-558.63924938458774</v>
      </c>
    </row>
    <row r="196" spans="1:20" x14ac:dyDescent="0.25">
      <c r="A196" s="5">
        <v>44397</v>
      </c>
      <c r="B196">
        <v>6.3330000000000001E-3</v>
      </c>
      <c r="C196">
        <v>6.4429999999999999E-3</v>
      </c>
      <c r="D196">
        <v>5.4070000000000003E-3</v>
      </c>
      <c r="E196">
        <v>5.4970000000000001E-3</v>
      </c>
      <c r="F196">
        <v>182558997</v>
      </c>
      <c r="G196">
        <v>5.4970000000000001E-3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-0.8262548262548266</v>
      </c>
      <c r="Q196">
        <f t="shared" ref="Q196" si="952">F196*P196</f>
        <v>-150840252.3474904</v>
      </c>
      <c r="R196">
        <f t="shared" ref="R196" si="953">R197+Q196</f>
        <v>-55971396258.904633</v>
      </c>
      <c r="S196">
        <f t="shared" ref="S196" si="954">R196/100000</f>
        <v>-559713.96258904634</v>
      </c>
      <c r="T196">
        <f t="shared" si="934"/>
        <v>-559.71396258904633</v>
      </c>
    </row>
    <row r="197" spans="1:20" x14ac:dyDescent="0.25">
      <c r="A197" s="5">
        <v>44396</v>
      </c>
      <c r="B197">
        <v>6.3480000000000003E-3</v>
      </c>
      <c r="C197">
        <v>6.4640000000000001E-3</v>
      </c>
      <c r="D197">
        <v>6.0150000000000004E-3</v>
      </c>
      <c r="E197">
        <v>6.3400000000000001E-3</v>
      </c>
      <c r="F197">
        <v>105725884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0.44766146993318462</v>
      </c>
      <c r="Q197">
        <f t="shared" ref="Q197" si="956">F197*P197</f>
        <v>47329404.641425364</v>
      </c>
      <c r="R197">
        <f t="shared" ref="R197" si="957">R198+Q197</f>
        <v>-55820556006.557144</v>
      </c>
      <c r="S197">
        <f t="shared" ref="S197" si="958">R197/100000</f>
        <v>-558205.56006557145</v>
      </c>
      <c r="T197">
        <f t="shared" si="934"/>
        <v>-558.20556006557149</v>
      </c>
    </row>
    <row r="198" spans="1:20" x14ac:dyDescent="0.25">
      <c r="A198" s="5">
        <v>44395</v>
      </c>
      <c r="B198">
        <v>6.522E-3</v>
      </c>
      <c r="C198">
        <v>6.7200000000000003E-3</v>
      </c>
      <c r="D198">
        <v>6.2740000000000001E-3</v>
      </c>
      <c r="E198">
        <v>6.3350000000000004E-3</v>
      </c>
      <c r="F198">
        <v>124368882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-0.72645739910313789</v>
      </c>
      <c r="Q198">
        <f t="shared" ref="Q198:Q261" si="960">F198*P198</f>
        <v>-90348694.547085062</v>
      </c>
      <c r="R198">
        <f t="shared" ref="R198:R261" si="961">R199+Q198</f>
        <v>-55867885411.19857</v>
      </c>
      <c r="S198">
        <f t="shared" ref="S198:S261" si="962">R198/100000</f>
        <v>-558678.85411198565</v>
      </c>
      <c r="T198">
        <f t="shared" ref="T198:T261" si="963">S198/1000</f>
        <v>-558.67885411198563</v>
      </c>
    </row>
    <row r="199" spans="1:20" x14ac:dyDescent="0.25">
      <c r="A199" s="5">
        <v>44394</v>
      </c>
      <c r="B199">
        <v>6.5389999999999997E-3</v>
      </c>
      <c r="C199">
        <v>6.7460000000000003E-3</v>
      </c>
      <c r="D199">
        <v>6.2839999999999997E-3</v>
      </c>
      <c r="E199">
        <v>6.522E-3</v>
      </c>
      <c r="F199">
        <v>154416533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3.0303030303030529E-2</v>
      </c>
      <c r="Q199">
        <f t="shared" si="960"/>
        <v>4679288.8787879134</v>
      </c>
      <c r="R199">
        <f t="shared" si="961"/>
        <v>-55777536716.651482</v>
      </c>
      <c r="S199">
        <f t="shared" si="962"/>
        <v>-557775.36716651486</v>
      </c>
      <c r="T199">
        <f t="shared" si="963"/>
        <v>-557.77536716651491</v>
      </c>
    </row>
    <row r="200" spans="1:20" x14ac:dyDescent="0.25">
      <c r="A200" s="5">
        <v>44393</v>
      </c>
      <c r="B200">
        <v>6.8690000000000001E-3</v>
      </c>
      <c r="C200">
        <v>7.012E-3</v>
      </c>
      <c r="D200">
        <v>6.4999999999999997E-3</v>
      </c>
      <c r="E200">
        <v>6.5440000000000003E-3</v>
      </c>
      <c r="F200">
        <v>232532720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-0.82812499999999767</v>
      </c>
      <c r="Q200">
        <f t="shared" si="960"/>
        <v>-192566158.74999946</v>
      </c>
      <c r="R200">
        <f t="shared" si="961"/>
        <v>-55782216005.530266</v>
      </c>
      <c r="S200">
        <f t="shared" si="962"/>
        <v>-557822.16005530267</v>
      </c>
      <c r="T200">
        <f t="shared" si="963"/>
        <v>-557.82216005530267</v>
      </c>
    </row>
    <row r="201" spans="1:20" x14ac:dyDescent="0.25">
      <c r="A201" s="5">
        <v>44392</v>
      </c>
      <c r="B201">
        <v>7.2500000000000004E-3</v>
      </c>
      <c r="C201">
        <v>7.3850000000000001E-3</v>
      </c>
      <c r="D201">
        <v>6.7000000000000002E-3</v>
      </c>
      <c r="E201">
        <v>6.8890000000000002E-3</v>
      </c>
      <c r="F201">
        <v>336308468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-0.44817518248175192</v>
      </c>
      <c r="Q201">
        <f t="shared" si="960"/>
        <v>-150725109.01605842</v>
      </c>
      <c r="R201">
        <f t="shared" si="961"/>
        <v>-55589649846.780266</v>
      </c>
      <c r="S201">
        <f t="shared" si="962"/>
        <v>-555896.49846780265</v>
      </c>
      <c r="T201">
        <f t="shared" si="963"/>
        <v>-555.89649846780264</v>
      </c>
    </row>
    <row r="202" spans="1:20" x14ac:dyDescent="0.25">
      <c r="A202" s="5">
        <v>44391</v>
      </c>
      <c r="B202">
        <v>7.1250000000000003E-3</v>
      </c>
      <c r="C202">
        <v>7.6E-3</v>
      </c>
      <c r="D202">
        <v>6.6249999999999998E-3</v>
      </c>
      <c r="E202">
        <v>7.2500000000000004E-3</v>
      </c>
      <c r="F202">
        <v>587158864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0.28205128205128294</v>
      </c>
      <c r="Q202">
        <f t="shared" si="960"/>
        <v>165608910.35897487</v>
      </c>
      <c r="R202">
        <f t="shared" si="961"/>
        <v>-55438924737.764206</v>
      </c>
      <c r="S202">
        <f t="shared" si="962"/>
        <v>-554389.24737764208</v>
      </c>
      <c r="T202">
        <f t="shared" si="963"/>
        <v>-554.38924737764205</v>
      </c>
    </row>
    <row r="203" spans="1:20" x14ac:dyDescent="0.25">
      <c r="A203" s="5">
        <v>44390</v>
      </c>
      <c r="B203">
        <v>7.3379999999999999E-3</v>
      </c>
      <c r="C203">
        <v>7.6E-3</v>
      </c>
      <c r="D203">
        <v>7.0520000000000001E-3</v>
      </c>
      <c r="E203">
        <v>7.1349999999999998E-3</v>
      </c>
      <c r="F203">
        <v>313547493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-0.69708029197080379</v>
      </c>
      <c r="Q203">
        <f t="shared" si="960"/>
        <v>-218567777.96715355</v>
      </c>
      <c r="R203">
        <f t="shared" si="961"/>
        <v>-55604533648.123184</v>
      </c>
      <c r="S203">
        <f t="shared" si="962"/>
        <v>-556045.33648123185</v>
      </c>
      <c r="T203">
        <f t="shared" si="963"/>
        <v>-556.04533648123186</v>
      </c>
    </row>
    <row r="204" spans="1:20" x14ac:dyDescent="0.25">
      <c r="A204" s="5">
        <v>44389</v>
      </c>
      <c r="B204">
        <v>7.6E-3</v>
      </c>
      <c r="C204">
        <v>7.7200000000000003E-3</v>
      </c>
      <c r="D204">
        <v>7.1500000000000001E-3</v>
      </c>
      <c r="E204">
        <v>7.3359999999999996E-3</v>
      </c>
      <c r="F204">
        <v>248933189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-0.34736842105263344</v>
      </c>
      <c r="Q204">
        <f t="shared" si="960"/>
        <v>-86471528.810526773</v>
      </c>
      <c r="R204">
        <f t="shared" si="961"/>
        <v>-55385965870.156029</v>
      </c>
      <c r="S204">
        <f t="shared" si="962"/>
        <v>-553859.65870156034</v>
      </c>
      <c r="T204">
        <f t="shared" si="963"/>
        <v>-553.85965870156031</v>
      </c>
    </row>
    <row r="205" spans="1:20" x14ac:dyDescent="0.25">
      <c r="A205" s="5">
        <v>44388</v>
      </c>
      <c r="B205">
        <v>7.2069999999999999E-3</v>
      </c>
      <c r="C205">
        <v>7.7889999999999999E-3</v>
      </c>
      <c r="D205">
        <v>7.1440000000000002E-3</v>
      </c>
      <c r="E205">
        <v>7.6010000000000001E-3</v>
      </c>
      <c r="F205">
        <v>355226424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0.41705426356589187</v>
      </c>
      <c r="Q205">
        <f t="shared" si="960"/>
        <v>148148694.66046527</v>
      </c>
      <c r="R205">
        <f t="shared" si="961"/>
        <v>-55299494341.345505</v>
      </c>
      <c r="S205">
        <f t="shared" si="962"/>
        <v>-552994.94341345504</v>
      </c>
      <c r="T205">
        <f t="shared" si="963"/>
        <v>-552.99494341345508</v>
      </c>
    </row>
    <row r="206" spans="1:20" x14ac:dyDescent="0.25">
      <c r="A206" s="5">
        <v>44387</v>
      </c>
      <c r="B206">
        <v>7.3730000000000002E-3</v>
      </c>
      <c r="C206">
        <v>7.5950000000000002E-3</v>
      </c>
      <c r="D206">
        <v>7.1009999999999997E-3</v>
      </c>
      <c r="E206">
        <v>7.2049999999999996E-3</v>
      </c>
      <c r="F206">
        <v>393681283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-0.57894736842105332</v>
      </c>
      <c r="Q206">
        <f t="shared" si="960"/>
        <v>-227920742.78947395</v>
      </c>
      <c r="R206">
        <f t="shared" si="961"/>
        <v>-55447643036.005974</v>
      </c>
      <c r="S206">
        <f t="shared" si="962"/>
        <v>-554476.43036005972</v>
      </c>
      <c r="T206">
        <f t="shared" si="963"/>
        <v>-554.47643036005968</v>
      </c>
    </row>
    <row r="207" spans="1:20" x14ac:dyDescent="0.25">
      <c r="A207" s="5">
        <v>44386</v>
      </c>
      <c r="B207">
        <v>7.2420000000000002E-3</v>
      </c>
      <c r="C207">
        <v>7.6920000000000001E-3</v>
      </c>
      <c r="D207">
        <v>6.8640000000000003E-3</v>
      </c>
      <c r="E207">
        <v>7.3749999999999996E-3</v>
      </c>
      <c r="F207">
        <v>298289433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0.23429951690821127</v>
      </c>
      <c r="Q207">
        <f t="shared" si="960"/>
        <v>69889070.050724253</v>
      </c>
      <c r="R207">
        <f t="shared" si="961"/>
        <v>-55219722293.216499</v>
      </c>
      <c r="S207">
        <f t="shared" si="962"/>
        <v>-552197.22293216502</v>
      </c>
      <c r="T207">
        <f t="shared" si="963"/>
        <v>-552.197222932165</v>
      </c>
    </row>
    <row r="208" spans="1:20" x14ac:dyDescent="0.25">
      <c r="A208" s="5">
        <v>44385</v>
      </c>
      <c r="B208">
        <v>7.7629999999999999E-3</v>
      </c>
      <c r="C208">
        <v>7.8250000000000004E-3</v>
      </c>
      <c r="D208">
        <v>7.1009999999999997E-3</v>
      </c>
      <c r="E208">
        <v>7.2420000000000002E-3</v>
      </c>
      <c r="F208">
        <v>266564178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-0.61049723756905971</v>
      </c>
      <c r="Q208">
        <f t="shared" si="960"/>
        <v>-162736694.30386713</v>
      </c>
      <c r="R208">
        <f t="shared" si="961"/>
        <v>-55289611363.267227</v>
      </c>
      <c r="S208">
        <f t="shared" si="962"/>
        <v>-552896.11363267223</v>
      </c>
      <c r="T208">
        <f t="shared" si="963"/>
        <v>-552.89611363267227</v>
      </c>
    </row>
    <row r="209" spans="1:20" x14ac:dyDescent="0.25">
      <c r="A209" s="5">
        <v>44384</v>
      </c>
      <c r="B209">
        <v>7.6420000000000004E-3</v>
      </c>
      <c r="C209">
        <v>8.2150000000000001E-3</v>
      </c>
      <c r="D209">
        <v>7.5560000000000002E-3</v>
      </c>
      <c r="E209">
        <v>7.7660000000000003E-3</v>
      </c>
      <c r="F209">
        <v>479534056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-0.36267071320182043</v>
      </c>
      <c r="Q209">
        <f t="shared" si="960"/>
        <v>-173912958.0940817</v>
      </c>
      <c r="R209">
        <f t="shared" si="961"/>
        <v>-55126874668.963364</v>
      </c>
      <c r="S209">
        <f t="shared" si="962"/>
        <v>-551268.74668963358</v>
      </c>
      <c r="T209">
        <f t="shared" si="963"/>
        <v>-551.26874668963353</v>
      </c>
    </row>
    <row r="210" spans="1:20" x14ac:dyDescent="0.25">
      <c r="A210" s="5">
        <v>44383</v>
      </c>
      <c r="B210">
        <v>7.5259999999999997E-3</v>
      </c>
      <c r="C210">
        <v>7.9000000000000008E-3</v>
      </c>
      <c r="D210">
        <v>7.4609999999999998E-3</v>
      </c>
      <c r="E210">
        <v>7.6439999999999998E-3</v>
      </c>
      <c r="F210">
        <v>346907836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-0.16628701594533221</v>
      </c>
      <c r="Q210">
        <f t="shared" si="960"/>
        <v>-57686268.856492691</v>
      </c>
      <c r="R210">
        <f t="shared" si="961"/>
        <v>-54952961710.869286</v>
      </c>
      <c r="S210">
        <f t="shared" si="962"/>
        <v>-549529.61710869288</v>
      </c>
      <c r="T210">
        <f t="shared" si="963"/>
        <v>-549.52961710869283</v>
      </c>
    </row>
    <row r="211" spans="1:20" x14ac:dyDescent="0.25">
      <c r="A211" s="5">
        <v>44382</v>
      </c>
      <c r="B211">
        <v>7.672E-3</v>
      </c>
      <c r="C211">
        <v>7.9030000000000003E-3</v>
      </c>
      <c r="D211">
        <v>7.3000000000000001E-3</v>
      </c>
      <c r="E211">
        <v>7.5209999999999999E-3</v>
      </c>
      <c r="F211">
        <v>299268252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-0.26699834162520814</v>
      </c>
      <c r="Q211">
        <f t="shared" si="960"/>
        <v>-79904126.985074878</v>
      </c>
      <c r="R211">
        <f t="shared" si="961"/>
        <v>-54895275442.012794</v>
      </c>
      <c r="S211">
        <f t="shared" si="962"/>
        <v>-548952.75442012795</v>
      </c>
      <c r="T211">
        <f t="shared" si="963"/>
        <v>-548.95275442012792</v>
      </c>
    </row>
    <row r="212" spans="1:20" x14ac:dyDescent="0.25">
      <c r="A212" s="5">
        <v>44381</v>
      </c>
      <c r="B212">
        <v>7.6839999999999999E-3</v>
      </c>
      <c r="C212">
        <v>8.0610000000000005E-3</v>
      </c>
      <c r="D212">
        <v>7.4380000000000002E-3</v>
      </c>
      <c r="E212">
        <v>7.6800000000000002E-3</v>
      </c>
      <c r="F212">
        <v>328075713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-0.22311396468699868</v>
      </c>
      <c r="Q212">
        <f t="shared" si="960"/>
        <v>-73198273.044943914</v>
      </c>
      <c r="R212">
        <f t="shared" si="961"/>
        <v>-54815371315.027718</v>
      </c>
      <c r="S212">
        <f t="shared" si="962"/>
        <v>-548153.71315027715</v>
      </c>
      <c r="T212">
        <f t="shared" si="963"/>
        <v>-548.1537131502771</v>
      </c>
    </row>
    <row r="213" spans="1:20" x14ac:dyDescent="0.25">
      <c r="A213" s="5">
        <v>44380</v>
      </c>
      <c r="B213">
        <v>7.7099999999999998E-3</v>
      </c>
      <c r="C213">
        <v>7.8709999999999995E-3</v>
      </c>
      <c r="D213">
        <v>7.5329999999999998E-3</v>
      </c>
      <c r="E213">
        <v>7.7010000000000004E-3</v>
      </c>
      <c r="F213">
        <v>212347331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-5.9171597633092664E-3</v>
      </c>
      <c r="Q213">
        <f t="shared" si="960"/>
        <v>-1256493.0828393144</v>
      </c>
      <c r="R213">
        <f t="shared" si="961"/>
        <v>-54742173041.982773</v>
      </c>
      <c r="S213">
        <f t="shared" si="962"/>
        <v>-547421.73041982774</v>
      </c>
      <c r="T213">
        <f t="shared" si="963"/>
        <v>-547.42173041982778</v>
      </c>
    </row>
    <row r="214" spans="1:20" x14ac:dyDescent="0.25">
      <c r="A214" s="5">
        <v>44379</v>
      </c>
      <c r="B214">
        <v>7.3179999999999999E-3</v>
      </c>
      <c r="C214">
        <v>8.293E-3</v>
      </c>
      <c r="D214">
        <v>7.0860000000000003E-3</v>
      </c>
      <c r="E214">
        <v>7.7149999999999996E-3</v>
      </c>
      <c r="F214">
        <v>727551758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4.2253521126759716E-2</v>
      </c>
      <c r="Q214">
        <f t="shared" si="960"/>
        <v>30741623.577464171</v>
      </c>
      <c r="R214">
        <f t="shared" si="961"/>
        <v>-54740916548.899933</v>
      </c>
      <c r="S214">
        <f t="shared" si="962"/>
        <v>-547409.16548899934</v>
      </c>
      <c r="T214">
        <f t="shared" si="963"/>
        <v>-547.40916548899929</v>
      </c>
    </row>
    <row r="215" spans="1:20" x14ac:dyDescent="0.25">
      <c r="A215" s="5">
        <v>44378</v>
      </c>
      <c r="B215">
        <v>7.6800000000000002E-3</v>
      </c>
      <c r="C215">
        <v>7.7889999999999999E-3</v>
      </c>
      <c r="D215">
        <v>7.0899999999999999E-3</v>
      </c>
      <c r="E215">
        <v>7.3039999999999997E-3</v>
      </c>
      <c r="F215">
        <v>230668608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-0.3876967095851222</v>
      </c>
      <c r="Q215">
        <f t="shared" si="960"/>
        <v>-89429460.326180398</v>
      </c>
      <c r="R215">
        <f t="shared" si="961"/>
        <v>-54771658172.477394</v>
      </c>
      <c r="S215">
        <f t="shared" si="962"/>
        <v>-547716.58172477398</v>
      </c>
      <c r="T215">
        <f t="shared" si="963"/>
        <v>-547.71658172477396</v>
      </c>
    </row>
    <row r="216" spans="1:20" x14ac:dyDescent="0.25">
      <c r="A216" s="5">
        <v>44377</v>
      </c>
      <c r="B216">
        <v>8.0610000000000005E-3</v>
      </c>
      <c r="C216">
        <v>8.0850000000000002E-3</v>
      </c>
      <c r="D216">
        <v>7.1659999999999996E-3</v>
      </c>
      <c r="E216">
        <v>7.6660000000000001E-3</v>
      </c>
      <c r="F216">
        <v>308461576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8.8139281828074317E-2</v>
      </c>
      <c r="Q216">
        <f t="shared" si="960"/>
        <v>27187581.780195966</v>
      </c>
      <c r="R216">
        <f t="shared" si="961"/>
        <v>-54682228712.151215</v>
      </c>
      <c r="S216">
        <f t="shared" si="962"/>
        <v>-546822.28712151211</v>
      </c>
      <c r="T216">
        <f t="shared" si="963"/>
        <v>-546.82228712151209</v>
      </c>
    </row>
    <row r="217" spans="1:20" x14ac:dyDescent="0.25">
      <c r="A217" s="5">
        <v>44376</v>
      </c>
      <c r="B217">
        <v>7.5440000000000004E-3</v>
      </c>
      <c r="C217">
        <v>8.3199999999999993E-3</v>
      </c>
      <c r="D217">
        <v>7.45E-3</v>
      </c>
      <c r="E217">
        <v>8.0579999999999992E-3</v>
      </c>
      <c r="F217">
        <v>434453125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0.39770114942528667</v>
      </c>
      <c r="Q217">
        <f t="shared" si="960"/>
        <v>172782507.18390775</v>
      </c>
      <c r="R217">
        <f t="shared" si="961"/>
        <v>-54709416293.931412</v>
      </c>
      <c r="S217">
        <f t="shared" si="962"/>
        <v>-547094.16293931415</v>
      </c>
      <c r="T217">
        <f t="shared" si="963"/>
        <v>-547.09416293931417</v>
      </c>
    </row>
    <row r="218" spans="1:20" x14ac:dyDescent="0.25">
      <c r="A218" s="5">
        <v>44375</v>
      </c>
      <c r="B218">
        <v>7.548E-3</v>
      </c>
      <c r="C218">
        <v>7.9439999999999997E-3</v>
      </c>
      <c r="D218">
        <v>7.1900000000000002E-3</v>
      </c>
      <c r="E218">
        <v>7.528E-3</v>
      </c>
      <c r="F218">
        <v>428113281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-0.10344827586206896</v>
      </c>
      <c r="Q218">
        <f t="shared" si="960"/>
        <v>-44287580.793103449</v>
      </c>
      <c r="R218">
        <f t="shared" si="961"/>
        <v>-54882198801.115318</v>
      </c>
      <c r="S218">
        <f t="shared" si="962"/>
        <v>-548821.98801115318</v>
      </c>
      <c r="T218">
        <f t="shared" si="963"/>
        <v>-548.82198801115317</v>
      </c>
    </row>
    <row r="219" spans="1:20" x14ac:dyDescent="0.25">
      <c r="A219" s="5">
        <v>44374</v>
      </c>
      <c r="B219">
        <v>7.404E-3</v>
      </c>
      <c r="C219">
        <v>7.8619999999999992E-3</v>
      </c>
      <c r="D219">
        <v>7.0660000000000002E-3</v>
      </c>
      <c r="E219">
        <v>7.541E-3</v>
      </c>
      <c r="F219">
        <v>292226724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0.19346733668341795</v>
      </c>
      <c r="Q219">
        <f t="shared" si="960"/>
        <v>56536326.000000253</v>
      </c>
      <c r="R219">
        <f t="shared" si="961"/>
        <v>-54837911220.322212</v>
      </c>
      <c r="S219">
        <f t="shared" si="962"/>
        <v>-548379.11220322212</v>
      </c>
      <c r="T219">
        <f t="shared" si="963"/>
        <v>-548.37911220322212</v>
      </c>
    </row>
    <row r="220" spans="1:20" x14ac:dyDescent="0.25">
      <c r="A220" s="5">
        <v>44373</v>
      </c>
      <c r="B220">
        <v>7.1320000000000003E-3</v>
      </c>
      <c r="C220">
        <v>7.5979999999999997E-3</v>
      </c>
      <c r="D220">
        <v>6.79E-3</v>
      </c>
      <c r="E220">
        <v>7.404E-3</v>
      </c>
      <c r="F220">
        <v>238220090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0.51980198019802026</v>
      </c>
      <c r="Q220">
        <f t="shared" si="960"/>
        <v>123827274.5049506</v>
      </c>
      <c r="R220">
        <f t="shared" si="961"/>
        <v>-54894447546.322212</v>
      </c>
      <c r="S220">
        <f t="shared" si="962"/>
        <v>-548944.47546322213</v>
      </c>
      <c r="T220">
        <f t="shared" si="963"/>
        <v>-548.94447546322215</v>
      </c>
    </row>
    <row r="221" spans="1:20" x14ac:dyDescent="0.25">
      <c r="A221" s="5">
        <v>44372</v>
      </c>
      <c r="B221">
        <v>8.0660000000000003E-3</v>
      </c>
      <c r="C221">
        <v>8.3320000000000009E-3</v>
      </c>
      <c r="D221">
        <v>7.0720000000000002E-3</v>
      </c>
      <c r="E221">
        <v>7.1409999999999998E-3</v>
      </c>
      <c r="F221">
        <v>324339048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-0.8904761904761912</v>
      </c>
      <c r="Q221">
        <f t="shared" si="960"/>
        <v>-288816199.88571453</v>
      </c>
      <c r="R221">
        <f t="shared" si="961"/>
        <v>-55018274820.827164</v>
      </c>
      <c r="S221">
        <f t="shared" si="962"/>
        <v>-550182.74820827169</v>
      </c>
      <c r="T221">
        <f t="shared" si="963"/>
        <v>-550.18274820827173</v>
      </c>
    </row>
    <row r="222" spans="1:20" x14ac:dyDescent="0.25">
      <c r="A222" s="5">
        <v>44371</v>
      </c>
      <c r="B222">
        <v>8.2690000000000003E-3</v>
      </c>
      <c r="C222">
        <v>8.4799999999999997E-3</v>
      </c>
      <c r="D222">
        <v>7.5659999999999998E-3</v>
      </c>
      <c r="E222">
        <v>8.0850000000000002E-3</v>
      </c>
      <c r="F222">
        <v>324493416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0.1356673960612701</v>
      </c>
      <c r="Q222">
        <f t="shared" si="960"/>
        <v>44023176.787746482</v>
      </c>
      <c r="R222">
        <f t="shared" si="961"/>
        <v>-54729458620.941452</v>
      </c>
      <c r="S222">
        <f t="shared" si="962"/>
        <v>-547294.58620941453</v>
      </c>
      <c r="T222">
        <f t="shared" si="963"/>
        <v>-547.29458620941455</v>
      </c>
    </row>
    <row r="223" spans="1:20" x14ac:dyDescent="0.25">
      <c r="A223" s="5">
        <v>44370</v>
      </c>
      <c r="B223">
        <v>7.4079999999999997E-3</v>
      </c>
      <c r="C223">
        <v>9.1000000000000004E-3</v>
      </c>
      <c r="D223">
        <v>6.7510000000000001E-3</v>
      </c>
      <c r="E223">
        <v>8.2710000000000006E-3</v>
      </c>
      <c r="F223">
        <v>715982228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0.29416773094934034</v>
      </c>
      <c r="Q223">
        <f t="shared" si="960"/>
        <v>210618867.41081324</v>
      </c>
      <c r="R223">
        <f t="shared" si="961"/>
        <v>-54773481797.729202</v>
      </c>
      <c r="S223">
        <f t="shared" si="962"/>
        <v>-547734.817977292</v>
      </c>
      <c r="T223">
        <f t="shared" si="963"/>
        <v>-547.73481797729198</v>
      </c>
    </row>
    <row r="224" spans="1:20" x14ac:dyDescent="0.25">
      <c r="A224" s="5">
        <v>44369</v>
      </c>
      <c r="B224">
        <v>7.5880000000000001E-3</v>
      </c>
      <c r="C224">
        <v>7.9900000000000006E-3</v>
      </c>
      <c r="D224">
        <v>5.9480000000000002E-3</v>
      </c>
      <c r="E224">
        <v>7.4079999999999997E-3</v>
      </c>
      <c r="F224">
        <v>570601200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0.42997061704211481</v>
      </c>
      <c r="Q224">
        <f t="shared" si="960"/>
        <v>245341750.04897118</v>
      </c>
      <c r="R224">
        <f t="shared" si="961"/>
        <v>-54984100665.140015</v>
      </c>
      <c r="S224">
        <f t="shared" si="962"/>
        <v>-549841.00665140012</v>
      </c>
      <c r="T224">
        <f t="shared" si="963"/>
        <v>-549.84100665140011</v>
      </c>
    </row>
    <row r="225" spans="1:20" x14ac:dyDescent="0.25">
      <c r="A225" s="5">
        <v>44368</v>
      </c>
      <c r="B225">
        <v>9.6589999999999992E-3</v>
      </c>
      <c r="C225">
        <v>9.8099999999999993E-3</v>
      </c>
      <c r="D225">
        <v>7.4739999999999997E-3</v>
      </c>
      <c r="E225">
        <v>7.5789999999999998E-3</v>
      </c>
      <c r="F225">
        <v>431963033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-0.91010273972602729</v>
      </c>
      <c r="Q225">
        <f t="shared" si="960"/>
        <v>-393130739.79366434</v>
      </c>
      <c r="R225">
        <f t="shared" si="961"/>
        <v>-55229442415.188988</v>
      </c>
      <c r="S225">
        <f t="shared" si="962"/>
        <v>-552294.42415188986</v>
      </c>
      <c r="T225">
        <f t="shared" si="963"/>
        <v>-552.29442415188987</v>
      </c>
    </row>
    <row r="226" spans="1:20" x14ac:dyDescent="0.25">
      <c r="A226" s="5">
        <v>44367</v>
      </c>
      <c r="B226">
        <v>9.9179999999999997E-3</v>
      </c>
      <c r="C226">
        <v>1.0229E-2</v>
      </c>
      <c r="D226">
        <v>8.8009999999999998E-3</v>
      </c>
      <c r="E226">
        <v>9.6629999999999997E-3</v>
      </c>
      <c r="F226">
        <v>462713001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0.20728291316526562</v>
      </c>
      <c r="Q226">
        <f t="shared" si="960"/>
        <v>95912498.806722462</v>
      </c>
      <c r="R226">
        <f t="shared" si="961"/>
        <v>-54836311675.395325</v>
      </c>
      <c r="S226">
        <f t="shared" si="962"/>
        <v>-548363.11675395328</v>
      </c>
      <c r="T226">
        <f t="shared" si="963"/>
        <v>-548.36311675395325</v>
      </c>
    </row>
    <row r="227" spans="1:20" x14ac:dyDescent="0.25">
      <c r="A227" s="5">
        <v>44366</v>
      </c>
      <c r="B227">
        <v>1.0519000000000001E-2</v>
      </c>
      <c r="C227">
        <v>1.189E-2</v>
      </c>
      <c r="D227">
        <v>9.8879999999999992E-3</v>
      </c>
      <c r="E227">
        <v>9.8910000000000005E-3</v>
      </c>
      <c r="F227">
        <v>1038590195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-0.99700299700299577</v>
      </c>
      <c r="Q227">
        <f t="shared" si="960"/>
        <v>-1035477537.0729258</v>
      </c>
      <c r="R227">
        <f t="shared" si="961"/>
        <v>-54932224174.202049</v>
      </c>
      <c r="S227">
        <f t="shared" si="962"/>
        <v>-549322.24174202047</v>
      </c>
      <c r="T227">
        <f t="shared" si="963"/>
        <v>-549.32224174202042</v>
      </c>
    </row>
    <row r="228" spans="1:20" x14ac:dyDescent="0.25">
      <c r="A228" s="5">
        <v>44365</v>
      </c>
      <c r="B228">
        <v>1.0052999999999999E-2</v>
      </c>
      <c r="C228">
        <v>1.1899E-2</v>
      </c>
      <c r="D228">
        <v>9.5149999999999992E-3</v>
      </c>
      <c r="E228">
        <v>1.0519000000000001E-2</v>
      </c>
      <c r="F228">
        <v>1000256476</v>
      </c>
      <c r="G228">
        <v>0</v>
      </c>
      <c r="L228" t="s">
        <v>8</v>
      </c>
      <c r="M228" t="s">
        <v>7</v>
      </c>
      <c r="N228" t="s">
        <v>8</v>
      </c>
      <c r="P228">
        <f t="shared" si="959"/>
        <v>-0.15771812080536818</v>
      </c>
      <c r="Q228">
        <f t="shared" si="960"/>
        <v>-157758571.71811986</v>
      </c>
      <c r="R228">
        <f t="shared" si="961"/>
        <v>-53896746637.12912</v>
      </c>
      <c r="S228">
        <f t="shared" si="962"/>
        <v>-538967.4663712912</v>
      </c>
      <c r="T228">
        <f t="shared" si="963"/>
        <v>-538.96746637129115</v>
      </c>
    </row>
    <row r="229" spans="1:20" x14ac:dyDescent="0.25">
      <c r="A229" s="5">
        <v>44364</v>
      </c>
      <c r="B229">
        <v>1.0026999999999999E-2</v>
      </c>
      <c r="C229">
        <v>1.0710000000000001E-2</v>
      </c>
      <c r="D229">
        <v>9.7610000000000006E-3</v>
      </c>
      <c r="E229">
        <v>1.0064E-2</v>
      </c>
      <c r="F229">
        <v>322522906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-0.36143308746048602</v>
      </c>
      <c r="Q229">
        <f t="shared" si="960"/>
        <v>-116570449.69230811</v>
      </c>
      <c r="R229">
        <f t="shared" si="961"/>
        <v>-53738988065.411003</v>
      </c>
      <c r="S229">
        <f t="shared" si="962"/>
        <v>-537389.88065410999</v>
      </c>
      <c r="T229">
        <f t="shared" si="963"/>
        <v>-537.38988065411002</v>
      </c>
    </row>
    <row r="230" spans="1:20" x14ac:dyDescent="0.25">
      <c r="A230" s="5">
        <v>44363</v>
      </c>
      <c r="B230">
        <v>1.12E-2</v>
      </c>
      <c r="C230">
        <v>1.1695000000000001E-2</v>
      </c>
      <c r="D230">
        <v>9.9100000000000004E-3</v>
      </c>
      <c r="E230">
        <v>1.0037000000000001E-2</v>
      </c>
      <c r="F230">
        <v>474358460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-0.85770308123249261</v>
      </c>
      <c r="Q230">
        <f t="shared" si="960"/>
        <v>-406858712.75070012</v>
      </c>
      <c r="R230">
        <f t="shared" si="961"/>
        <v>-53622417615.718697</v>
      </c>
      <c r="S230">
        <f t="shared" si="962"/>
        <v>-536224.17615718697</v>
      </c>
      <c r="T230">
        <f t="shared" si="963"/>
        <v>-536.224176157187</v>
      </c>
    </row>
    <row r="231" spans="1:20" x14ac:dyDescent="0.25">
      <c r="A231" s="5">
        <v>44362</v>
      </c>
      <c r="B231">
        <v>1.11E-2</v>
      </c>
      <c r="C231">
        <v>1.1991999999999999E-2</v>
      </c>
      <c r="D231">
        <v>1.0479E-2</v>
      </c>
      <c r="E231">
        <v>1.1202E-2</v>
      </c>
      <c r="F231">
        <v>684481440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-4.428288169200225E-2</v>
      </c>
      <c r="Q231">
        <f t="shared" si="960"/>
        <v>-30310810.627891336</v>
      </c>
      <c r="R231">
        <f t="shared" si="961"/>
        <v>-53215558902.967995</v>
      </c>
      <c r="S231">
        <f t="shared" si="962"/>
        <v>-532155.58902967989</v>
      </c>
      <c r="T231">
        <f t="shared" si="963"/>
        <v>-532.15558902967985</v>
      </c>
    </row>
    <row r="232" spans="1:20" x14ac:dyDescent="0.25">
      <c r="A232" s="5">
        <v>44361</v>
      </c>
      <c r="B232">
        <v>1.1223E-2</v>
      </c>
      <c r="C232">
        <v>1.29E-2</v>
      </c>
      <c r="D232">
        <v>1.0776000000000001E-2</v>
      </c>
      <c r="E232">
        <v>1.1098999999999999E-2</v>
      </c>
      <c r="F232">
        <v>2009139380</v>
      </c>
      <c r="G232">
        <v>0</v>
      </c>
      <c r="L232" t="s">
        <v>7</v>
      </c>
      <c r="M232" t="s">
        <v>7</v>
      </c>
      <c r="N232" t="s">
        <v>8</v>
      </c>
      <c r="P232">
        <f t="shared" si="959"/>
        <v>-0.69585687382297667</v>
      </c>
      <c r="Q232">
        <f t="shared" si="960"/>
        <v>-1398073448.0414336</v>
      </c>
      <c r="R232">
        <f t="shared" si="961"/>
        <v>-53185248092.340103</v>
      </c>
      <c r="S232">
        <f t="shared" si="962"/>
        <v>-531852.48092340108</v>
      </c>
      <c r="T232">
        <f t="shared" si="963"/>
        <v>-531.85248092340112</v>
      </c>
    </row>
    <row r="233" spans="1:20" x14ac:dyDescent="0.25">
      <c r="A233" s="5">
        <v>44360</v>
      </c>
      <c r="B233">
        <v>8.5430000000000002E-3</v>
      </c>
      <c r="C233">
        <v>1.3155E-2</v>
      </c>
      <c r="D233">
        <v>8.4110000000000001E-3</v>
      </c>
      <c r="E233">
        <v>1.1209999999999999E-2</v>
      </c>
      <c r="F233">
        <v>3062176456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0.18001686340640785</v>
      </c>
      <c r="Q233">
        <f t="shared" si="960"/>
        <v>551243400.80607009</v>
      </c>
      <c r="R233">
        <f t="shared" si="961"/>
        <v>-51787174644.298668</v>
      </c>
      <c r="S233">
        <f t="shared" si="962"/>
        <v>-517871.74644298665</v>
      </c>
      <c r="T233">
        <f t="shared" si="963"/>
        <v>-517.87174644298671</v>
      </c>
    </row>
    <row r="234" spans="1:20" x14ac:dyDescent="0.25">
      <c r="A234" s="5">
        <v>44359</v>
      </c>
      <c r="B234">
        <v>8.8070000000000006E-3</v>
      </c>
      <c r="C234">
        <v>9.1629999999999993E-3</v>
      </c>
      <c r="D234">
        <v>8.1580000000000003E-3</v>
      </c>
      <c r="E234">
        <v>8.5489999999999993E-3</v>
      </c>
      <c r="F234">
        <v>468902733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-0.22189054726368279</v>
      </c>
      <c r="Q234">
        <f t="shared" si="960"/>
        <v>-104045084.03880653</v>
      </c>
      <c r="R234">
        <f t="shared" si="961"/>
        <v>-52338418045.104736</v>
      </c>
      <c r="S234">
        <f t="shared" si="962"/>
        <v>-523384.18045104737</v>
      </c>
      <c r="T234">
        <f t="shared" si="963"/>
        <v>-523.38418045104743</v>
      </c>
    </row>
    <row r="235" spans="1:20" x14ac:dyDescent="0.25">
      <c r="A235" s="5">
        <v>44358</v>
      </c>
      <c r="B235">
        <v>1.0031E-2</v>
      </c>
      <c r="C235">
        <v>1.0411E-2</v>
      </c>
      <c r="D235">
        <v>8.7069999999999995E-3</v>
      </c>
      <c r="E235">
        <v>8.8129999999999997E-3</v>
      </c>
      <c r="F235">
        <v>480122233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-0.87558685446009377</v>
      </c>
      <c r="Q235">
        <f t="shared" si="960"/>
        <v>-420388715.74882621</v>
      </c>
      <c r="R235">
        <f t="shared" si="961"/>
        <v>-52234372961.065933</v>
      </c>
      <c r="S235">
        <f t="shared" si="962"/>
        <v>-522343.72961065936</v>
      </c>
      <c r="T235">
        <f t="shared" si="963"/>
        <v>-522.34372961065935</v>
      </c>
    </row>
    <row r="236" spans="1:20" x14ac:dyDescent="0.25">
      <c r="A236" s="5">
        <v>44357</v>
      </c>
      <c r="B236">
        <v>1.2397E-2</v>
      </c>
      <c r="C236">
        <v>1.2423E-2</v>
      </c>
      <c r="D236">
        <v>8.9669999999999993E-3</v>
      </c>
      <c r="E236">
        <v>1.0056000000000001E-2</v>
      </c>
      <c r="F236">
        <v>1760501512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-0.36979166666666596</v>
      </c>
      <c r="Q236">
        <f t="shared" si="960"/>
        <v>-651018788.29166543</v>
      </c>
      <c r="R236">
        <f t="shared" si="961"/>
        <v>-51813984245.317108</v>
      </c>
      <c r="S236">
        <f t="shared" si="962"/>
        <v>-518139.84245317109</v>
      </c>
      <c r="T236">
        <f t="shared" si="963"/>
        <v>-518.13984245317113</v>
      </c>
    </row>
    <row r="237" spans="1:20" x14ac:dyDescent="0.25">
      <c r="A237" s="5">
        <v>44356</v>
      </c>
      <c r="B237">
        <v>1.2096000000000001E-2</v>
      </c>
      <c r="C237">
        <v>1.6712000000000001E-2</v>
      </c>
      <c r="D237">
        <v>1.1034E-2</v>
      </c>
      <c r="E237">
        <v>1.2397E-2</v>
      </c>
      <c r="F237">
        <v>3608605558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-0.51990137372314216</v>
      </c>
      <c r="Q237">
        <f t="shared" si="960"/>
        <v>-1876118986.8291659</v>
      </c>
      <c r="R237">
        <f t="shared" si="961"/>
        <v>-51162965457.025444</v>
      </c>
      <c r="S237">
        <f t="shared" si="962"/>
        <v>-511629.65457025444</v>
      </c>
      <c r="T237">
        <f t="shared" si="963"/>
        <v>-511.62965457025444</v>
      </c>
    </row>
    <row r="238" spans="1:20" x14ac:dyDescent="0.25">
      <c r="A238" s="5">
        <v>44355</v>
      </c>
      <c r="B238">
        <v>8.4539999999999997E-3</v>
      </c>
      <c r="C238">
        <v>1.7337000000000002E-2</v>
      </c>
      <c r="D238">
        <v>7.2830000000000004E-3</v>
      </c>
      <c r="E238">
        <v>1.2127000000000001E-2</v>
      </c>
      <c r="F238">
        <v>2376249491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-3.6403421523771719E-2</v>
      </c>
      <c r="Q238">
        <f t="shared" si="960"/>
        <v>-86503611.866520986</v>
      </c>
      <c r="R238">
        <f t="shared" si="961"/>
        <v>-49286846470.196281</v>
      </c>
      <c r="S238">
        <f t="shared" si="962"/>
        <v>-492868.46470196283</v>
      </c>
      <c r="T238">
        <f t="shared" si="963"/>
        <v>-492.86846470196281</v>
      </c>
    </row>
    <row r="239" spans="1:20" x14ac:dyDescent="0.25">
      <c r="A239" s="5">
        <v>44354</v>
      </c>
      <c r="B239">
        <v>9.4439999999999993E-3</v>
      </c>
      <c r="C239">
        <v>9.9439999999999997E-3</v>
      </c>
      <c r="D239">
        <v>8.3660000000000002E-3</v>
      </c>
      <c r="E239">
        <v>8.4320000000000003E-3</v>
      </c>
      <c r="F239">
        <v>419276901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-0.9163498098859314</v>
      </c>
      <c r="Q239">
        <f t="shared" si="960"/>
        <v>-384204308.52091247</v>
      </c>
      <c r="R239">
        <f t="shared" si="961"/>
        <v>-49200342858.329758</v>
      </c>
      <c r="S239">
        <f t="shared" si="962"/>
        <v>-492003.42858329759</v>
      </c>
      <c r="T239">
        <f t="shared" si="963"/>
        <v>-492.00342858329759</v>
      </c>
    </row>
    <row r="240" spans="1:20" x14ac:dyDescent="0.25">
      <c r="A240" s="5">
        <v>44353</v>
      </c>
      <c r="B240">
        <v>8.2039999999999995E-3</v>
      </c>
      <c r="C240">
        <v>1.0855999999999999E-2</v>
      </c>
      <c r="D240">
        <v>8.1390000000000004E-3</v>
      </c>
      <c r="E240">
        <v>9.4339999999999997E-3</v>
      </c>
      <c r="F240">
        <v>1043685159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-4.6742730953257428E-2</v>
      </c>
      <c r="Q240">
        <f t="shared" si="960"/>
        <v>-48784694.587044701</v>
      </c>
      <c r="R240">
        <f t="shared" si="961"/>
        <v>-48816138549.808846</v>
      </c>
      <c r="S240">
        <f t="shared" si="962"/>
        <v>-488161.38549808844</v>
      </c>
      <c r="T240">
        <f t="shared" si="963"/>
        <v>-488.16138549808841</v>
      </c>
    </row>
    <row r="241" spans="1:20" x14ac:dyDescent="0.25">
      <c r="A241" s="5">
        <v>44352</v>
      </c>
      <c r="B241">
        <v>8.1040000000000001E-3</v>
      </c>
      <c r="C241">
        <v>9.5999999999999992E-3</v>
      </c>
      <c r="D241">
        <v>7.9209999999999992E-3</v>
      </c>
      <c r="E241">
        <v>8.1880000000000008E-3</v>
      </c>
      <c r="F241">
        <v>761576737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-0.68195354377605522</v>
      </c>
      <c r="Q241">
        <f t="shared" si="960"/>
        <v>-519359954.65455478</v>
      </c>
      <c r="R241">
        <f t="shared" si="961"/>
        <v>-48767353855.221802</v>
      </c>
      <c r="S241">
        <f t="shared" si="962"/>
        <v>-487673.538552218</v>
      </c>
      <c r="T241">
        <f t="shared" si="963"/>
        <v>-487.67353855221802</v>
      </c>
    </row>
    <row r="242" spans="1:20" x14ac:dyDescent="0.25">
      <c r="A242" s="5">
        <v>44351</v>
      </c>
      <c r="B242">
        <v>8.4989999999999996E-3</v>
      </c>
      <c r="C242">
        <v>8.5859999999999999E-3</v>
      </c>
      <c r="D242">
        <v>7.4000000000000003E-3</v>
      </c>
      <c r="E242">
        <v>8.0909999999999992E-3</v>
      </c>
      <c r="F242">
        <v>411642556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0.16526138279932406</v>
      </c>
      <c r="Q242">
        <f t="shared" si="960"/>
        <v>68028618.023608193</v>
      </c>
      <c r="R242">
        <f t="shared" si="961"/>
        <v>-48247993900.567245</v>
      </c>
      <c r="S242">
        <f t="shared" si="962"/>
        <v>-482479.93900567247</v>
      </c>
      <c r="T242">
        <f t="shared" si="963"/>
        <v>-482.47993900567246</v>
      </c>
    </row>
    <row r="243" spans="1:20" x14ac:dyDescent="0.25">
      <c r="A243" s="5">
        <v>44350</v>
      </c>
      <c r="B243">
        <v>8.3280000000000003E-3</v>
      </c>
      <c r="C243">
        <v>8.8000000000000005E-3</v>
      </c>
      <c r="D243">
        <v>8.1600000000000006E-3</v>
      </c>
      <c r="E243">
        <v>8.4989999999999996E-3</v>
      </c>
      <c r="F243">
        <v>187237325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5.9374999999997041E-2</v>
      </c>
      <c r="Q243">
        <f t="shared" si="960"/>
        <v>11117216.171874447</v>
      </c>
      <c r="R243">
        <f t="shared" si="961"/>
        <v>-48316022518.590851</v>
      </c>
      <c r="S243">
        <f t="shared" si="962"/>
        <v>-483160.22518590849</v>
      </c>
      <c r="T243">
        <f t="shared" si="963"/>
        <v>-483.16022518590847</v>
      </c>
    </row>
    <row r="244" spans="1:20" x14ac:dyDescent="0.25">
      <c r="A244" s="5">
        <v>44349</v>
      </c>
      <c r="B244">
        <v>8.0440000000000008E-3</v>
      </c>
      <c r="C244">
        <v>8.5000000000000006E-3</v>
      </c>
      <c r="D244">
        <v>7.7840000000000001E-3</v>
      </c>
      <c r="E244">
        <v>8.3280000000000003E-3</v>
      </c>
      <c r="F244">
        <v>204449709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0.51955307262569783</v>
      </c>
      <c r="Q244">
        <f t="shared" si="960"/>
        <v>106222474.50837979</v>
      </c>
      <c r="R244">
        <f t="shared" si="961"/>
        <v>-48327139734.762726</v>
      </c>
      <c r="S244">
        <f t="shared" si="962"/>
        <v>-483271.39734762727</v>
      </c>
      <c r="T244">
        <f t="shared" si="963"/>
        <v>-483.27139734762727</v>
      </c>
    </row>
    <row r="245" spans="1:20" x14ac:dyDescent="0.25">
      <c r="A245" s="5">
        <v>44348</v>
      </c>
      <c r="B245">
        <v>8.6149999999999994E-3</v>
      </c>
      <c r="C245">
        <v>9.0699999999999999E-3</v>
      </c>
      <c r="D245">
        <v>7.8009999999999998E-3</v>
      </c>
      <c r="E245">
        <v>8.0000000000000002E-3</v>
      </c>
      <c r="F245">
        <v>696131852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-0.68636721828211134</v>
      </c>
      <c r="Q245">
        <f t="shared" si="960"/>
        <v>-477802082.81481445</v>
      </c>
      <c r="R245">
        <f t="shared" si="961"/>
        <v>-48433362209.271103</v>
      </c>
      <c r="S245">
        <f t="shared" si="962"/>
        <v>-484333.62209271104</v>
      </c>
      <c r="T245">
        <f t="shared" si="963"/>
        <v>-484.33362209271104</v>
      </c>
    </row>
    <row r="246" spans="1:20" x14ac:dyDescent="0.25">
      <c r="A246" s="5">
        <v>44347</v>
      </c>
      <c r="B246">
        <v>7.7450000000000001E-3</v>
      </c>
      <c r="C246">
        <v>8.8929999999999999E-3</v>
      </c>
      <c r="D246">
        <v>7.391E-3</v>
      </c>
      <c r="E246">
        <v>8.6300000000000005E-3</v>
      </c>
      <c r="F246">
        <v>610961253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0.64980026631158538</v>
      </c>
      <c r="Q246">
        <f t="shared" si="960"/>
        <v>397002784.90545988</v>
      </c>
      <c r="R246">
        <f t="shared" si="961"/>
        <v>-47955560126.456291</v>
      </c>
      <c r="S246">
        <f t="shared" si="962"/>
        <v>-479555.60126456292</v>
      </c>
      <c r="T246">
        <f t="shared" si="963"/>
        <v>-479.55560126456294</v>
      </c>
    </row>
    <row r="247" spans="1:20" x14ac:dyDescent="0.25">
      <c r="A247" s="5">
        <v>44346</v>
      </c>
      <c r="B247">
        <v>7.3740000000000003E-3</v>
      </c>
      <c r="C247">
        <v>8.0890000000000007E-3</v>
      </c>
      <c r="D247">
        <v>6.8820000000000001E-3</v>
      </c>
      <c r="E247">
        <v>7.7510000000000001E-3</v>
      </c>
      <c r="F247">
        <v>162858442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0.4399337199668592</v>
      </c>
      <c r="Q247">
        <f t="shared" si="960"/>
        <v>71646920.217066988</v>
      </c>
      <c r="R247">
        <f t="shared" si="961"/>
        <v>-48352562911.361748</v>
      </c>
      <c r="S247">
        <f t="shared" si="962"/>
        <v>-483525.62911361747</v>
      </c>
      <c r="T247">
        <f t="shared" si="963"/>
        <v>-483.52562911361747</v>
      </c>
    </row>
    <row r="248" spans="1:20" x14ac:dyDescent="0.25">
      <c r="A248" s="5">
        <v>44345</v>
      </c>
      <c r="B248">
        <v>7.8499999999999993E-3</v>
      </c>
      <c r="C248">
        <v>8.0890000000000007E-3</v>
      </c>
      <c r="D248">
        <v>6.8100000000000001E-3</v>
      </c>
      <c r="E248">
        <v>7.3920000000000001E-3</v>
      </c>
      <c r="F248">
        <v>226482164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-8.9913995308835384E-2</v>
      </c>
      <c r="Q248">
        <f t="shared" si="960"/>
        <v>-20363916.231430884</v>
      </c>
      <c r="R248">
        <f t="shared" si="961"/>
        <v>-48424209831.578812</v>
      </c>
      <c r="S248">
        <f t="shared" si="962"/>
        <v>-484242.09831578814</v>
      </c>
      <c r="T248">
        <f t="shared" si="963"/>
        <v>-484.24209831578816</v>
      </c>
    </row>
    <row r="249" spans="1:20" x14ac:dyDescent="0.25">
      <c r="A249" s="5">
        <v>44344</v>
      </c>
      <c r="B249">
        <v>9.9979999999999999E-3</v>
      </c>
      <c r="C249">
        <v>9.9989999999999992E-3</v>
      </c>
      <c r="D249">
        <v>7.3289999999999996E-3</v>
      </c>
      <c r="E249">
        <v>7.8619999999999992E-3</v>
      </c>
      <c r="F249">
        <v>398016737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-0.60074906367041225</v>
      </c>
      <c r="Q249">
        <f t="shared" si="960"/>
        <v>-239108182.07790273</v>
      </c>
      <c r="R249">
        <f t="shared" si="961"/>
        <v>-48403845915.347382</v>
      </c>
      <c r="S249">
        <f t="shared" si="962"/>
        <v>-484038.45915347384</v>
      </c>
      <c r="T249">
        <f t="shared" si="963"/>
        <v>-484.03845915347387</v>
      </c>
    </row>
    <row r="250" spans="1:20" x14ac:dyDescent="0.25">
      <c r="A250" s="5">
        <v>44343</v>
      </c>
      <c r="B250">
        <v>9.4260000000000004E-3</v>
      </c>
      <c r="C250">
        <v>0.01</v>
      </c>
      <c r="D250">
        <v>8.4600000000000005E-3</v>
      </c>
      <c r="E250">
        <v>9.9839999999999998E-3</v>
      </c>
      <c r="F250">
        <v>350547411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0.97922077922077866</v>
      </c>
      <c r="Q250">
        <f t="shared" si="960"/>
        <v>343263308.95324653</v>
      </c>
      <c r="R250">
        <f t="shared" si="961"/>
        <v>-48164737733.269478</v>
      </c>
      <c r="S250">
        <f t="shared" si="962"/>
        <v>-481647.37733269477</v>
      </c>
      <c r="T250">
        <f t="shared" si="963"/>
        <v>-481.64737733269476</v>
      </c>
    </row>
    <row r="251" spans="1:20" x14ac:dyDescent="0.25">
      <c r="A251" s="5">
        <v>44342</v>
      </c>
      <c r="B251">
        <v>8.574E-3</v>
      </c>
      <c r="C251">
        <v>9.4850000000000004E-3</v>
      </c>
      <c r="D251">
        <v>8.5710000000000005E-3</v>
      </c>
      <c r="E251">
        <v>9.4450000000000003E-3</v>
      </c>
      <c r="F251">
        <v>436071057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0.91247264770240677</v>
      </c>
      <c r="Q251">
        <f t="shared" si="960"/>
        <v>397902911.96717715</v>
      </c>
      <c r="R251">
        <f t="shared" si="961"/>
        <v>-48508001042.222725</v>
      </c>
      <c r="S251">
        <f t="shared" si="962"/>
        <v>-485080.01042222726</v>
      </c>
      <c r="T251">
        <f t="shared" si="963"/>
        <v>-485.08001042222725</v>
      </c>
    </row>
    <row r="252" spans="1:20" x14ac:dyDescent="0.25">
      <c r="A252" s="5">
        <v>44341</v>
      </c>
      <c r="B252">
        <v>8.0169999999999998E-3</v>
      </c>
      <c r="C252">
        <v>8.9999999999999993E-3</v>
      </c>
      <c r="D252">
        <v>7.3610000000000004E-3</v>
      </c>
      <c r="E252">
        <v>8.574E-3</v>
      </c>
      <c r="F252">
        <v>410971966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0.48017083587553439</v>
      </c>
      <c r="Q252">
        <f t="shared" si="960"/>
        <v>197336752.43563169</v>
      </c>
      <c r="R252">
        <f t="shared" si="961"/>
        <v>-48905903954.189903</v>
      </c>
      <c r="S252">
        <f t="shared" si="962"/>
        <v>-489059.03954189905</v>
      </c>
      <c r="T252">
        <f t="shared" si="963"/>
        <v>-489.05903954189904</v>
      </c>
    </row>
    <row r="253" spans="1:20" x14ac:dyDescent="0.25">
      <c r="A253" s="5">
        <v>44340</v>
      </c>
      <c r="B253">
        <v>6.6839999999999998E-3</v>
      </c>
      <c r="C253">
        <v>8.3560000000000006E-3</v>
      </c>
      <c r="D253">
        <v>6.5170000000000002E-3</v>
      </c>
      <c r="E253">
        <v>8.0160000000000006E-3</v>
      </c>
      <c r="F253">
        <v>411330124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0.63023382272974449</v>
      </c>
      <c r="Q253">
        <f t="shared" si="960"/>
        <v>259234156.45241982</v>
      </c>
      <c r="R253">
        <f t="shared" si="961"/>
        <v>-49103240706.625534</v>
      </c>
      <c r="S253">
        <f t="shared" si="962"/>
        <v>-491032.40706625534</v>
      </c>
      <c r="T253">
        <f t="shared" si="963"/>
        <v>-491.03240706625536</v>
      </c>
    </row>
    <row r="254" spans="1:20" x14ac:dyDescent="0.25">
      <c r="A254" s="5">
        <v>44339</v>
      </c>
      <c r="B254">
        <v>8.8660000000000006E-3</v>
      </c>
      <c r="C254">
        <v>9.6050000000000007E-3</v>
      </c>
      <c r="D254">
        <v>5.3969999999999999E-3</v>
      </c>
      <c r="E254">
        <v>6.6959999999999997E-3</v>
      </c>
      <c r="F254">
        <v>677628651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-0.38260456273764282</v>
      </c>
      <c r="Q254">
        <f t="shared" si="960"/>
        <v>-259263813.71435377</v>
      </c>
      <c r="R254">
        <f t="shared" si="961"/>
        <v>-49362474863.077957</v>
      </c>
      <c r="S254">
        <f t="shared" si="962"/>
        <v>-493624.74863077956</v>
      </c>
      <c r="T254">
        <f t="shared" si="963"/>
        <v>-493.62474863077955</v>
      </c>
    </row>
    <row r="255" spans="1:20" x14ac:dyDescent="0.25">
      <c r="A255" s="5">
        <v>44338</v>
      </c>
      <c r="B255">
        <v>7.9950000000000004E-3</v>
      </c>
      <c r="C255">
        <v>9.6299999999999997E-3</v>
      </c>
      <c r="D255">
        <v>6.8859999999999998E-3</v>
      </c>
      <c r="E255">
        <v>8.855E-3</v>
      </c>
      <c r="F255">
        <v>604233900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0.43513119533527722</v>
      </c>
      <c r="Q255">
        <f t="shared" si="960"/>
        <v>262921019.16909635</v>
      </c>
      <c r="R255">
        <f t="shared" si="961"/>
        <v>-49103211049.363602</v>
      </c>
      <c r="S255">
        <f t="shared" si="962"/>
        <v>-491032.11049363599</v>
      </c>
      <c r="T255">
        <f t="shared" si="963"/>
        <v>-491.03211049363597</v>
      </c>
    </row>
    <row r="256" spans="1:20" x14ac:dyDescent="0.25">
      <c r="A256" s="5">
        <v>44337</v>
      </c>
      <c r="B256">
        <v>9.0650000000000001E-3</v>
      </c>
      <c r="C256">
        <v>9.6489999999999996E-3</v>
      </c>
      <c r="D256">
        <v>7.0039999999999998E-3</v>
      </c>
      <c r="E256">
        <v>8.0090000000000005E-3</v>
      </c>
      <c r="F256">
        <v>506066396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-0.24007561436672911</v>
      </c>
      <c r="Q256">
        <f t="shared" si="960"/>
        <v>-121494200.93005642</v>
      </c>
      <c r="R256">
        <f t="shared" si="961"/>
        <v>-49366132068.5327</v>
      </c>
      <c r="S256">
        <f t="shared" si="962"/>
        <v>-493661.32068532699</v>
      </c>
      <c r="T256">
        <f t="shared" si="963"/>
        <v>-493.66132068532698</v>
      </c>
    </row>
    <row r="257" spans="1:20" x14ac:dyDescent="0.25">
      <c r="A257" s="5">
        <v>44336</v>
      </c>
      <c r="B257">
        <v>7.574E-3</v>
      </c>
      <c r="C257">
        <v>1.0073E-2</v>
      </c>
      <c r="D257">
        <v>6.9100000000000003E-3</v>
      </c>
      <c r="E257">
        <v>9.0360000000000006E-3</v>
      </c>
      <c r="F257">
        <v>524027785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0.34429339234903589</v>
      </c>
      <c r="Q257">
        <f t="shared" si="960"/>
        <v>180419303.78280121</v>
      </c>
      <c r="R257">
        <f t="shared" si="961"/>
        <v>-49244637867.602646</v>
      </c>
      <c r="S257">
        <f t="shared" si="962"/>
        <v>-492446.37867602648</v>
      </c>
      <c r="T257">
        <f t="shared" si="963"/>
        <v>-492.44637867602648</v>
      </c>
    </row>
    <row r="258" spans="1:20" x14ac:dyDescent="0.25">
      <c r="A258" s="5">
        <v>44335</v>
      </c>
      <c r="B258">
        <v>1.2152E-2</v>
      </c>
      <c r="C258">
        <v>1.238E-2</v>
      </c>
      <c r="D258">
        <v>6.1209999999999997E-3</v>
      </c>
      <c r="E258">
        <v>7.5950000000000002E-3</v>
      </c>
      <c r="F258">
        <v>1058463534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-0.52899824253075556</v>
      </c>
      <c r="Q258">
        <f t="shared" si="960"/>
        <v>-559925349.26889265</v>
      </c>
      <c r="R258">
        <f t="shared" si="961"/>
        <v>-49425057171.385445</v>
      </c>
      <c r="S258">
        <f t="shared" si="962"/>
        <v>-494250.57171385444</v>
      </c>
      <c r="T258">
        <f t="shared" si="963"/>
        <v>-494.25057171385447</v>
      </c>
    </row>
    <row r="259" spans="1:20" x14ac:dyDescent="0.25">
      <c r="A259" s="5">
        <v>44334</v>
      </c>
      <c r="B259">
        <v>1.1958999999999999E-2</v>
      </c>
      <c r="C259">
        <v>1.2831E-2</v>
      </c>
      <c r="D259">
        <v>1.1774E-2</v>
      </c>
      <c r="E259">
        <v>1.2156E-2</v>
      </c>
      <c r="F259">
        <v>339271589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-0.27719962157048217</v>
      </c>
      <c r="Q259">
        <f t="shared" si="960"/>
        <v>-94045956.080416158</v>
      </c>
      <c r="R259">
        <f t="shared" si="961"/>
        <v>-48865131822.116554</v>
      </c>
      <c r="S259">
        <f t="shared" si="962"/>
        <v>-488651.31822116557</v>
      </c>
      <c r="T259">
        <f t="shared" si="963"/>
        <v>-488.65131822116558</v>
      </c>
    </row>
    <row r="260" spans="1:20" x14ac:dyDescent="0.25">
      <c r="A260" s="5">
        <v>44333</v>
      </c>
      <c r="B260">
        <v>1.29E-2</v>
      </c>
      <c r="C260">
        <v>1.3058999999999999E-2</v>
      </c>
      <c r="D260">
        <v>1.1587E-2</v>
      </c>
      <c r="E260">
        <v>1.1958E-2</v>
      </c>
      <c r="F260">
        <v>430213749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-0.49592391304347833</v>
      </c>
      <c r="Q260">
        <f t="shared" si="960"/>
        <v>-213353285.84918481</v>
      </c>
      <c r="R260">
        <f t="shared" si="961"/>
        <v>-48771085866.03614</v>
      </c>
      <c r="S260">
        <f t="shared" si="962"/>
        <v>-487710.85866036138</v>
      </c>
      <c r="T260">
        <f t="shared" si="963"/>
        <v>-487.7108586603614</v>
      </c>
    </row>
    <row r="261" spans="1:20" x14ac:dyDescent="0.25">
      <c r="A261" s="5">
        <v>44332</v>
      </c>
      <c r="B261">
        <v>1.3063999999999999E-2</v>
      </c>
      <c r="C261">
        <v>1.4231000000000001E-2</v>
      </c>
      <c r="D261">
        <v>1.2146000000000001E-2</v>
      </c>
      <c r="E261">
        <v>1.29E-2</v>
      </c>
      <c r="F261">
        <v>398028710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-0.27673860911271037</v>
      </c>
      <c r="Q261">
        <f t="shared" si="960"/>
        <v>-110149911.59232636</v>
      </c>
      <c r="R261">
        <f t="shared" si="961"/>
        <v>-48557732580.186958</v>
      </c>
      <c r="S261">
        <f t="shared" si="962"/>
        <v>-485577.32580186956</v>
      </c>
      <c r="T261">
        <f t="shared" si="963"/>
        <v>-485.57732580186956</v>
      </c>
    </row>
    <row r="262" spans="1:20" x14ac:dyDescent="0.25">
      <c r="A262" s="5">
        <v>44331</v>
      </c>
      <c r="B262">
        <v>1.4404E-2</v>
      </c>
      <c r="C262">
        <v>1.4559000000000001E-2</v>
      </c>
      <c r="D262">
        <v>1.2929E-2</v>
      </c>
      <c r="E262">
        <v>1.3013E-2</v>
      </c>
      <c r="F262">
        <v>453549195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-0.89693251533742246</v>
      </c>
      <c r="Q262">
        <f t="shared" ref="Q262:Q325" si="965">F262*P262</f>
        <v>-406803020.30061311</v>
      </c>
      <c r="R262">
        <f t="shared" ref="R262:R325" si="966">R263+Q262</f>
        <v>-48447582668.594635</v>
      </c>
      <c r="S262">
        <f t="shared" ref="S262:S325" si="967">R262/100000</f>
        <v>-484475.82668594638</v>
      </c>
      <c r="T262">
        <f t="shared" ref="T262:T325" si="968">S262/1000</f>
        <v>-484.4758266859464</v>
      </c>
    </row>
    <row r="263" spans="1:20" x14ac:dyDescent="0.25">
      <c r="A263" s="5">
        <v>44330</v>
      </c>
      <c r="B263">
        <v>1.4657999999999999E-2</v>
      </c>
      <c r="C263">
        <v>1.6E-2</v>
      </c>
      <c r="D263">
        <v>1.3879000000000001E-2</v>
      </c>
      <c r="E263">
        <v>1.4404E-2</v>
      </c>
      <c r="F263">
        <v>743781341</v>
      </c>
      <c r="G263">
        <v>0</v>
      </c>
      <c r="L263" t="s">
        <v>7</v>
      </c>
      <c r="M263" t="s">
        <v>8</v>
      </c>
      <c r="N263" t="s">
        <v>8</v>
      </c>
      <c r="P263">
        <f t="shared" si="964"/>
        <v>-0.5049504950495054</v>
      </c>
      <c r="Q263">
        <f t="shared" si="965"/>
        <v>-375572756.34653497</v>
      </c>
      <c r="R263">
        <f t="shared" si="966"/>
        <v>-48040779648.294022</v>
      </c>
      <c r="S263">
        <f t="shared" si="967"/>
        <v>-480407.7964829402</v>
      </c>
      <c r="T263">
        <f t="shared" si="968"/>
        <v>-480.40779648294023</v>
      </c>
    </row>
    <row r="264" spans="1:20" x14ac:dyDescent="0.25">
      <c r="A264" s="5">
        <v>44329</v>
      </c>
      <c r="B264">
        <v>1.2586999999999999E-2</v>
      </c>
      <c r="C264">
        <v>1.8200999999999998E-2</v>
      </c>
      <c r="D264">
        <v>1.2108000000000001E-2</v>
      </c>
      <c r="E264">
        <v>1.4664E-2</v>
      </c>
      <c r="F264">
        <v>1634228135</v>
      </c>
      <c r="G264">
        <v>0</v>
      </c>
      <c r="L264" t="s">
        <v>8</v>
      </c>
      <c r="M264" t="s">
        <v>7</v>
      </c>
      <c r="N264" t="s">
        <v>8</v>
      </c>
      <c r="P264">
        <f t="shared" si="964"/>
        <v>-0.16100443131462328</v>
      </c>
      <c r="Q264">
        <f t="shared" si="965"/>
        <v>-263117971.51403239</v>
      </c>
      <c r="R264">
        <f t="shared" si="966"/>
        <v>-47665206891.947487</v>
      </c>
      <c r="S264">
        <f t="shared" si="967"/>
        <v>-476652.06891947484</v>
      </c>
      <c r="T264">
        <f t="shared" si="968"/>
        <v>-476.65206891947486</v>
      </c>
    </row>
    <row r="265" spans="1:20" x14ac:dyDescent="0.25">
      <c r="A265" s="5">
        <v>44328</v>
      </c>
      <c r="B265">
        <v>1.5504E-2</v>
      </c>
      <c r="C265">
        <v>1.6500000000000001E-2</v>
      </c>
      <c r="D265">
        <v>1.2422000000000001E-2</v>
      </c>
      <c r="E265">
        <v>1.2586999999999999E-2</v>
      </c>
      <c r="F265">
        <v>478333083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-0.91907797940166824</v>
      </c>
      <c r="Q265">
        <f t="shared" si="965"/>
        <v>-439625403.40461046</v>
      </c>
      <c r="R265">
        <f t="shared" si="966"/>
        <v>-47402088920.433456</v>
      </c>
      <c r="S265">
        <f t="shared" si="967"/>
        <v>-474020.88920433458</v>
      </c>
      <c r="T265">
        <f t="shared" si="968"/>
        <v>-474.02088920433459</v>
      </c>
    </row>
    <row r="266" spans="1:20" x14ac:dyDescent="0.25">
      <c r="A266" s="5">
        <v>44327</v>
      </c>
      <c r="B266">
        <v>1.4352E-2</v>
      </c>
      <c r="C266">
        <v>1.6199999999999999E-2</v>
      </c>
      <c r="D266">
        <v>1.4E-2</v>
      </c>
      <c r="E266">
        <v>1.5506000000000001E-2</v>
      </c>
      <c r="F266">
        <v>382629318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0.36909090909091019</v>
      </c>
      <c r="Q266">
        <f t="shared" si="965"/>
        <v>141225002.82545498</v>
      </c>
      <c r="R266">
        <f t="shared" si="966"/>
        <v>-46962463517.028847</v>
      </c>
      <c r="S266">
        <f t="shared" si="967"/>
        <v>-469624.63517028844</v>
      </c>
      <c r="T266">
        <f t="shared" si="968"/>
        <v>-469.62463517028846</v>
      </c>
    </row>
    <row r="267" spans="1:20" x14ac:dyDescent="0.25">
      <c r="A267" s="5">
        <v>44326</v>
      </c>
      <c r="B267">
        <v>1.6299999999999999E-2</v>
      </c>
      <c r="C267">
        <v>1.7054E-2</v>
      </c>
      <c r="D267">
        <v>1.3521999999999999E-2</v>
      </c>
      <c r="E267">
        <v>1.4355E-2</v>
      </c>
      <c r="F267">
        <v>525986545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-0.52831257078142679</v>
      </c>
      <c r="Q267">
        <f t="shared" si="965"/>
        <v>-277885303.78539062</v>
      </c>
      <c r="R267">
        <f t="shared" si="966"/>
        <v>-47103688519.854301</v>
      </c>
      <c r="S267">
        <f t="shared" si="967"/>
        <v>-471036.88519854302</v>
      </c>
      <c r="T267">
        <f t="shared" si="968"/>
        <v>-471.03688519854302</v>
      </c>
    </row>
    <row r="268" spans="1:20" x14ac:dyDescent="0.25">
      <c r="A268" s="5">
        <v>44325</v>
      </c>
      <c r="B268">
        <v>1.7148E-2</v>
      </c>
      <c r="C268">
        <v>1.7148E-2</v>
      </c>
      <c r="D268">
        <v>1.5650000000000001E-2</v>
      </c>
      <c r="E268">
        <v>1.6299999999999999E-2</v>
      </c>
      <c r="F268">
        <v>446061181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-0.13217623497997585</v>
      </c>
      <c r="Q268">
        <f t="shared" si="965"/>
        <v>-58958687.475301541</v>
      </c>
      <c r="R268">
        <f t="shared" si="966"/>
        <v>-46825803216.068909</v>
      </c>
      <c r="S268">
        <f t="shared" si="967"/>
        <v>-468258.03216068906</v>
      </c>
      <c r="T268">
        <f t="shared" si="968"/>
        <v>-468.25803216068908</v>
      </c>
    </row>
    <row r="269" spans="1:20" x14ac:dyDescent="0.25">
      <c r="A269" s="5">
        <v>44324</v>
      </c>
      <c r="B269">
        <v>1.7101000000000002E-2</v>
      </c>
      <c r="C269">
        <v>1.7579999999999998E-2</v>
      </c>
      <c r="D269">
        <v>1.6670000000000001E-2</v>
      </c>
      <c r="E269">
        <v>1.7142000000000001E-2</v>
      </c>
      <c r="F269">
        <v>416030295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3.7362637362640512E-2</v>
      </c>
      <c r="Q269">
        <f t="shared" si="965"/>
        <v>15543989.043957355</v>
      </c>
      <c r="R269">
        <f t="shared" si="966"/>
        <v>-46766844528.593605</v>
      </c>
      <c r="S269">
        <f t="shared" si="967"/>
        <v>-467668.44528593606</v>
      </c>
      <c r="T269">
        <f t="shared" si="968"/>
        <v>-467.66844528593606</v>
      </c>
    </row>
    <row r="270" spans="1:20" x14ac:dyDescent="0.25">
      <c r="A270" s="5">
        <v>44323</v>
      </c>
      <c r="B270">
        <v>1.6837000000000001E-2</v>
      </c>
      <c r="C270">
        <v>1.8658999999999999E-2</v>
      </c>
      <c r="D270">
        <v>1.6386000000000001E-2</v>
      </c>
      <c r="E270">
        <v>1.7114999999999998E-2</v>
      </c>
      <c r="F270">
        <v>664577570</v>
      </c>
      <c r="G270">
        <v>0</v>
      </c>
      <c r="L270" t="s">
        <v>8</v>
      </c>
      <c r="M270" t="s">
        <v>7</v>
      </c>
      <c r="N270" t="s">
        <v>7</v>
      </c>
      <c r="P270">
        <f t="shared" si="964"/>
        <v>-0.35855697316322227</v>
      </c>
      <c r="Q270">
        <f t="shared" si="965"/>
        <v>-238288921.93136948</v>
      </c>
      <c r="R270">
        <f t="shared" si="966"/>
        <v>-46782388517.637566</v>
      </c>
      <c r="S270">
        <f t="shared" si="967"/>
        <v>-467823.88517637568</v>
      </c>
      <c r="T270">
        <f t="shared" si="968"/>
        <v>-467.82388517637571</v>
      </c>
    </row>
    <row r="271" spans="1:20" x14ac:dyDescent="0.25">
      <c r="A271" s="5">
        <v>44322</v>
      </c>
      <c r="B271">
        <v>1.8107000000000002E-2</v>
      </c>
      <c r="C271">
        <v>1.8287999999999999E-2</v>
      </c>
      <c r="D271">
        <v>1.6357E-2</v>
      </c>
      <c r="E271">
        <v>1.6837999999999999E-2</v>
      </c>
      <c r="F271">
        <v>439667137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-0.50181253236665035</v>
      </c>
      <c r="Q271">
        <f t="shared" si="965"/>
        <v>-220630479.416365</v>
      </c>
      <c r="R271">
        <f t="shared" si="966"/>
        <v>-46544099595.7062</v>
      </c>
      <c r="S271">
        <f t="shared" si="967"/>
        <v>-465440.995957062</v>
      </c>
      <c r="T271">
        <f t="shared" si="968"/>
        <v>-465.440995957062</v>
      </c>
    </row>
    <row r="272" spans="1:20" x14ac:dyDescent="0.25">
      <c r="A272" s="5">
        <v>44321</v>
      </c>
      <c r="B272">
        <v>1.6514999999999998E-2</v>
      </c>
      <c r="C272">
        <v>1.8984000000000001E-2</v>
      </c>
      <c r="D272">
        <v>1.6237999999999999E-2</v>
      </c>
      <c r="E272">
        <v>1.8131999999999999E-2</v>
      </c>
      <c r="F272">
        <v>570544022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0.37946103423160854</v>
      </c>
      <c r="Q272">
        <f t="shared" si="965"/>
        <v>216499224.66278163</v>
      </c>
      <c r="R272">
        <f t="shared" si="966"/>
        <v>-46323469116.289833</v>
      </c>
      <c r="S272">
        <f t="shared" si="967"/>
        <v>-463234.69116289832</v>
      </c>
      <c r="T272">
        <f t="shared" si="968"/>
        <v>-463.23469116289834</v>
      </c>
    </row>
    <row r="273" spans="1:20" x14ac:dyDescent="0.25">
      <c r="A273" s="5">
        <v>44320</v>
      </c>
      <c r="B273">
        <v>1.9134000000000002E-2</v>
      </c>
      <c r="C273">
        <v>1.9300000000000001E-2</v>
      </c>
      <c r="D273">
        <v>1.6500000000000001E-2</v>
      </c>
      <c r="E273">
        <v>1.6573000000000001E-2</v>
      </c>
      <c r="F273">
        <v>734948001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-0.94785714285714273</v>
      </c>
      <c r="Q273">
        <f t="shared" si="965"/>
        <v>-696625712.37642848</v>
      </c>
      <c r="R273">
        <f t="shared" si="966"/>
        <v>-46539968340.952614</v>
      </c>
      <c r="S273">
        <f t="shared" si="967"/>
        <v>-465399.68340952613</v>
      </c>
      <c r="T273">
        <f t="shared" si="968"/>
        <v>-465.39968340952612</v>
      </c>
    </row>
    <row r="274" spans="1:20" x14ac:dyDescent="0.25">
      <c r="A274" s="5">
        <v>44319</v>
      </c>
      <c r="B274">
        <v>1.9588999999999999E-2</v>
      </c>
      <c r="C274">
        <v>2.0899999999999998E-2</v>
      </c>
      <c r="D274">
        <v>1.8898000000000002E-2</v>
      </c>
      <c r="E274">
        <v>1.9115E-2</v>
      </c>
      <c r="F274">
        <v>702779589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-0.78321678321678445</v>
      </c>
      <c r="Q274">
        <f t="shared" si="965"/>
        <v>-550428769.00699389</v>
      </c>
      <c r="R274">
        <f t="shared" si="966"/>
        <v>-45843342628.576187</v>
      </c>
      <c r="S274">
        <f t="shared" si="967"/>
        <v>-458433.42628576187</v>
      </c>
      <c r="T274">
        <f t="shared" si="968"/>
        <v>-458.43342628576187</v>
      </c>
    </row>
    <row r="275" spans="1:20" x14ac:dyDescent="0.25">
      <c r="A275" s="5">
        <v>44318</v>
      </c>
      <c r="B275">
        <v>2.0493999999999998E-2</v>
      </c>
      <c r="C275">
        <v>2.1224E-2</v>
      </c>
      <c r="D275">
        <v>1.8862E-2</v>
      </c>
      <c r="E275">
        <v>1.9612000000000001E-2</v>
      </c>
      <c r="F275">
        <v>1185264339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-0.36494496189669701</v>
      </c>
      <c r="Q275">
        <f t="shared" si="965"/>
        <v>-432556249.03386879</v>
      </c>
      <c r="R275">
        <f t="shared" si="966"/>
        <v>-45292913859.569191</v>
      </c>
      <c r="S275">
        <f t="shared" si="967"/>
        <v>-452929.13859569188</v>
      </c>
      <c r="T275">
        <f t="shared" si="968"/>
        <v>-452.92913859569188</v>
      </c>
    </row>
    <row r="276" spans="1:20" x14ac:dyDescent="0.25">
      <c r="A276" s="5">
        <v>44317</v>
      </c>
      <c r="B276">
        <v>1.8096999999999999E-2</v>
      </c>
      <c r="C276">
        <v>2.5399999999999999E-2</v>
      </c>
      <c r="D276">
        <v>1.7881000000000001E-2</v>
      </c>
      <c r="E276">
        <v>2.0514999999999999E-2</v>
      </c>
      <c r="F276">
        <v>3086448437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-0.29937491687724482</v>
      </c>
      <c r="Q276">
        <f t="shared" si="965"/>
        <v>-924005244.2727772</v>
      </c>
      <c r="R276">
        <f t="shared" si="966"/>
        <v>-44860357610.535324</v>
      </c>
      <c r="S276">
        <f t="shared" si="967"/>
        <v>-448603.57610535325</v>
      </c>
      <c r="T276">
        <f t="shared" si="968"/>
        <v>-448.60357610535323</v>
      </c>
    </row>
    <row r="277" spans="1:20" x14ac:dyDescent="0.25">
      <c r="A277" s="5">
        <v>44316</v>
      </c>
      <c r="B277">
        <v>1.7083000000000001E-2</v>
      </c>
      <c r="C277">
        <v>1.8454999999999999E-2</v>
      </c>
      <c r="D277">
        <v>1.6721E-2</v>
      </c>
      <c r="E277">
        <v>1.8096999999999999E-2</v>
      </c>
      <c r="F277">
        <v>481508659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0.58708189158016055</v>
      </c>
      <c r="Q277">
        <f t="shared" si="965"/>
        <v>282685014.33794647</v>
      </c>
      <c r="R277">
        <f t="shared" si="966"/>
        <v>-43936352366.26255</v>
      </c>
      <c r="S277">
        <f t="shared" si="967"/>
        <v>-439363.52366262552</v>
      </c>
      <c r="T277">
        <f t="shared" si="968"/>
        <v>-439.36352366262554</v>
      </c>
    </row>
    <row r="278" spans="1:20" x14ac:dyDescent="0.25">
      <c r="A278" s="5">
        <v>44315</v>
      </c>
      <c r="B278">
        <v>1.7481E-2</v>
      </c>
      <c r="C278">
        <v>1.8863999999999999E-2</v>
      </c>
      <c r="D278">
        <v>1.6362999999999999E-2</v>
      </c>
      <c r="E278">
        <v>1.7100000000000001E-2</v>
      </c>
      <c r="F278">
        <v>720865054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-0.41063574570171801</v>
      </c>
      <c r="Q278">
        <f t="shared" si="965"/>
        <v>-296012958.99959922</v>
      </c>
      <c r="R278">
        <f t="shared" si="966"/>
        <v>-44219037380.600494</v>
      </c>
      <c r="S278">
        <f t="shared" si="967"/>
        <v>-442190.37380600494</v>
      </c>
      <c r="T278">
        <f t="shared" si="968"/>
        <v>-442.19037380600491</v>
      </c>
    </row>
    <row r="279" spans="1:20" x14ac:dyDescent="0.25">
      <c r="A279" s="5">
        <v>44314</v>
      </c>
      <c r="B279">
        <v>1.7083000000000001E-2</v>
      </c>
      <c r="C279">
        <v>1.84E-2</v>
      </c>
      <c r="D279">
        <v>1.5079E-2</v>
      </c>
      <c r="E279">
        <v>1.7441999999999999E-2</v>
      </c>
      <c r="F279">
        <v>686496580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0.42306534176452831</v>
      </c>
      <c r="Q279">
        <f t="shared" si="965"/>
        <v>290432910.23787987</v>
      </c>
      <c r="R279">
        <f t="shared" si="966"/>
        <v>-43923024421.600899</v>
      </c>
      <c r="S279">
        <f t="shared" si="967"/>
        <v>-439230.24421600898</v>
      </c>
      <c r="T279">
        <f t="shared" si="968"/>
        <v>-439.230244216009</v>
      </c>
    </row>
    <row r="280" spans="1:20" x14ac:dyDescent="0.25">
      <c r="A280" s="5">
        <v>44313</v>
      </c>
      <c r="B280">
        <v>1.4848999999999999E-2</v>
      </c>
      <c r="C280">
        <v>1.7580999999999999E-2</v>
      </c>
      <c r="D280">
        <v>1.4373E-2</v>
      </c>
      <c r="E280">
        <v>1.7099E-2</v>
      </c>
      <c r="F280">
        <v>708552791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0.69950124688279303</v>
      </c>
      <c r="Q280">
        <f t="shared" si="965"/>
        <v>495633560.78678304</v>
      </c>
      <c r="R280">
        <f t="shared" si="966"/>
        <v>-44213457331.838776</v>
      </c>
      <c r="S280">
        <f t="shared" si="967"/>
        <v>-442134.57331838773</v>
      </c>
      <c r="T280">
        <f t="shared" si="968"/>
        <v>-442.13457331838771</v>
      </c>
    </row>
    <row r="281" spans="1:20" x14ac:dyDescent="0.25">
      <c r="A281" s="5">
        <v>44312</v>
      </c>
      <c r="B281">
        <v>1.2593E-2</v>
      </c>
      <c r="C281">
        <v>1.5465E-2</v>
      </c>
      <c r="D281">
        <v>1.2281E-2</v>
      </c>
      <c r="E281">
        <v>1.489E-2</v>
      </c>
      <c r="F281">
        <v>794619515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0.63881909547738736</v>
      </c>
      <c r="Q281">
        <f t="shared" si="965"/>
        <v>507618119.82098025</v>
      </c>
      <c r="R281">
        <f t="shared" si="966"/>
        <v>-44709090892.625557</v>
      </c>
      <c r="S281">
        <f t="shared" si="967"/>
        <v>-447090.90892625559</v>
      </c>
      <c r="T281">
        <f t="shared" si="968"/>
        <v>-447.09090892625557</v>
      </c>
    </row>
    <row r="282" spans="1:20" x14ac:dyDescent="0.25">
      <c r="A282" s="5">
        <v>44311</v>
      </c>
      <c r="B282">
        <v>1.1997000000000001E-2</v>
      </c>
      <c r="C282">
        <v>1.38E-2</v>
      </c>
      <c r="D282">
        <v>1.1206000000000001E-2</v>
      </c>
      <c r="E282">
        <v>1.2584E-2</v>
      </c>
      <c r="F282">
        <v>521615156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6.2451811873553975E-2</v>
      </c>
      <c r="Q282">
        <f t="shared" si="965"/>
        <v>32575811.592906509</v>
      </c>
      <c r="R282">
        <f t="shared" si="966"/>
        <v>-45216709012.446541</v>
      </c>
      <c r="S282">
        <f t="shared" si="967"/>
        <v>-452167.09012446541</v>
      </c>
      <c r="T282">
        <f t="shared" si="968"/>
        <v>-452.1670901244654</v>
      </c>
    </row>
    <row r="283" spans="1:20" x14ac:dyDescent="0.25">
      <c r="A283" s="5">
        <v>44310</v>
      </c>
      <c r="B283">
        <v>1.3306E-2</v>
      </c>
      <c r="C283">
        <v>1.4393E-2</v>
      </c>
      <c r="D283">
        <v>1.1865000000000001E-2</v>
      </c>
      <c r="E283">
        <v>1.1977E-2</v>
      </c>
      <c r="F283">
        <v>787649692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-0.91139240506329167</v>
      </c>
      <c r="Q283">
        <f t="shared" si="965"/>
        <v>-717857947.13924098</v>
      </c>
      <c r="R283">
        <f t="shared" si="966"/>
        <v>-45249284824.039444</v>
      </c>
      <c r="S283">
        <f t="shared" si="967"/>
        <v>-452492.84824039444</v>
      </c>
      <c r="T283">
        <f t="shared" si="968"/>
        <v>-452.49284824039444</v>
      </c>
    </row>
    <row r="284" spans="1:20" x14ac:dyDescent="0.25">
      <c r="A284" s="5">
        <v>44309</v>
      </c>
      <c r="B284">
        <v>1.3949E-2</v>
      </c>
      <c r="C284">
        <v>1.4369E-2</v>
      </c>
      <c r="D284">
        <v>1.0921E-2</v>
      </c>
      <c r="E284">
        <v>1.3252999999999999E-2</v>
      </c>
      <c r="F284">
        <v>1072887133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0.35266821345707611</v>
      </c>
      <c r="Q284">
        <f t="shared" si="965"/>
        <v>378373188.43619442</v>
      </c>
      <c r="R284">
        <f t="shared" si="966"/>
        <v>-44531426876.9002</v>
      </c>
      <c r="S284">
        <f t="shared" si="967"/>
        <v>-445314.268769002</v>
      </c>
      <c r="T284">
        <f t="shared" si="968"/>
        <v>-445.31426876900201</v>
      </c>
    </row>
    <row r="285" spans="1:20" x14ac:dyDescent="0.25">
      <c r="A285" s="5">
        <v>44308</v>
      </c>
      <c r="B285">
        <v>1.5889E-2</v>
      </c>
      <c r="C285">
        <v>1.66E-2</v>
      </c>
      <c r="D285">
        <v>1.37E-2</v>
      </c>
      <c r="E285">
        <v>1.3998999999999999E-2</v>
      </c>
      <c r="F285">
        <v>737518523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-0.79379310344827658</v>
      </c>
      <c r="Q285">
        <f t="shared" si="965"/>
        <v>-585437117.22275913</v>
      </c>
      <c r="R285">
        <f t="shared" si="966"/>
        <v>-44909800065.336395</v>
      </c>
      <c r="S285">
        <f t="shared" si="967"/>
        <v>-449098.00065336394</v>
      </c>
      <c r="T285">
        <f t="shared" si="968"/>
        <v>-449.09800065336395</v>
      </c>
    </row>
    <row r="286" spans="1:20" x14ac:dyDescent="0.25">
      <c r="A286" s="5">
        <v>44307</v>
      </c>
      <c r="B286">
        <v>1.678E-2</v>
      </c>
      <c r="C286">
        <v>2.0915E-2</v>
      </c>
      <c r="D286">
        <v>1.5772999999999999E-2</v>
      </c>
      <c r="E286">
        <v>1.5886999999999998E-2</v>
      </c>
      <c r="F286">
        <v>1704776977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-0.95565927654609117</v>
      </c>
      <c r="Q286">
        <f t="shared" si="965"/>
        <v>-1629185932.5122523</v>
      </c>
      <c r="R286">
        <f t="shared" si="966"/>
        <v>-44324362948.11364</v>
      </c>
      <c r="S286">
        <f t="shared" si="967"/>
        <v>-443243.62948113639</v>
      </c>
      <c r="T286">
        <f t="shared" si="968"/>
        <v>-443.2436294811364</v>
      </c>
    </row>
    <row r="287" spans="1:20" x14ac:dyDescent="0.25">
      <c r="A287" s="5">
        <v>44306</v>
      </c>
      <c r="B287">
        <v>1.5585999999999999E-2</v>
      </c>
      <c r="C287">
        <v>1.7899999999999999E-2</v>
      </c>
      <c r="D287">
        <v>1.3502E-2</v>
      </c>
      <c r="E287">
        <v>1.6778999999999999E-2</v>
      </c>
      <c r="F287">
        <v>766194774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0.49022282855843535</v>
      </c>
      <c r="Q287">
        <f t="shared" si="965"/>
        <v>375606169.3369711</v>
      </c>
      <c r="R287">
        <f t="shared" si="966"/>
        <v>-42695177015.601387</v>
      </c>
      <c r="S287">
        <f t="shared" si="967"/>
        <v>-426951.7701560139</v>
      </c>
      <c r="T287">
        <f t="shared" si="968"/>
        <v>-426.95177015601388</v>
      </c>
    </row>
    <row r="288" spans="1:20" x14ac:dyDescent="0.25">
      <c r="A288" s="5">
        <v>44305</v>
      </c>
      <c r="B288">
        <v>1.8159999999999999E-2</v>
      </c>
      <c r="C288">
        <v>1.8599999999999998E-2</v>
      </c>
      <c r="D288">
        <v>1.5252E-2</v>
      </c>
      <c r="E288">
        <v>1.5540999999999999E-2</v>
      </c>
      <c r="F288">
        <v>559119296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-0.82735961768219868</v>
      </c>
      <c r="Q288">
        <f t="shared" si="965"/>
        <v>-462592726.97730005</v>
      </c>
      <c r="R288">
        <f t="shared" si="966"/>
        <v>-43070783184.938354</v>
      </c>
      <c r="S288">
        <f t="shared" si="967"/>
        <v>-430707.83184938354</v>
      </c>
      <c r="T288">
        <f t="shared" si="968"/>
        <v>-430.70783184938352</v>
      </c>
    </row>
    <row r="289" spans="1:20" x14ac:dyDescent="0.25">
      <c r="A289" s="5">
        <v>44304</v>
      </c>
      <c r="B289">
        <v>2.0671999999999999E-2</v>
      </c>
      <c r="C289">
        <v>2.1000000000000001E-2</v>
      </c>
      <c r="D289">
        <v>1.6208E-2</v>
      </c>
      <c r="E289">
        <v>1.8168E-2</v>
      </c>
      <c r="F289">
        <v>692471221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-0.18196994991652776</v>
      </c>
      <c r="Q289">
        <f t="shared" si="965"/>
        <v>-126008953.40400682</v>
      </c>
      <c r="R289">
        <f t="shared" si="966"/>
        <v>-42608190457.961052</v>
      </c>
      <c r="S289">
        <f t="shared" si="967"/>
        <v>-426081.90457961051</v>
      </c>
      <c r="T289">
        <f t="shared" si="968"/>
        <v>-426.08190457961052</v>
      </c>
    </row>
    <row r="290" spans="1:20" x14ac:dyDescent="0.25">
      <c r="A290" s="5">
        <v>44303</v>
      </c>
      <c r="B290">
        <v>2.0154999999999999E-2</v>
      </c>
      <c r="C290">
        <v>2.2499999999999999E-2</v>
      </c>
      <c r="D290">
        <v>1.9993E-2</v>
      </c>
      <c r="E290">
        <v>2.0709000000000002E-2</v>
      </c>
      <c r="F290">
        <v>806325623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-0.42879936178699507</v>
      </c>
      <c r="Q290">
        <f t="shared" si="965"/>
        <v>-345751912.5349012</v>
      </c>
      <c r="R290">
        <f t="shared" si="966"/>
        <v>-42482181504.557045</v>
      </c>
      <c r="S290">
        <f t="shared" si="967"/>
        <v>-424821.81504557043</v>
      </c>
      <c r="T290">
        <f t="shared" si="968"/>
        <v>-424.82181504557042</v>
      </c>
    </row>
    <row r="291" spans="1:20" x14ac:dyDescent="0.25">
      <c r="A291" s="5">
        <v>44302</v>
      </c>
      <c r="B291">
        <v>2.1776E-2</v>
      </c>
      <c r="C291">
        <v>2.1956E-2</v>
      </c>
      <c r="D291">
        <v>1.9334E-2</v>
      </c>
      <c r="E291">
        <v>2.0133000000000002E-2</v>
      </c>
      <c r="F291">
        <v>652220180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-0.39054157131960238</v>
      </c>
      <c r="Q291">
        <f t="shared" si="965"/>
        <v>-254719093.94355389</v>
      </c>
      <c r="R291">
        <f t="shared" si="966"/>
        <v>-42136429592.022141</v>
      </c>
      <c r="S291">
        <f t="shared" si="967"/>
        <v>-421364.29592022143</v>
      </c>
      <c r="T291">
        <f t="shared" si="968"/>
        <v>-421.36429592022142</v>
      </c>
    </row>
    <row r="292" spans="1:20" x14ac:dyDescent="0.25">
      <c r="A292" s="5">
        <v>44301</v>
      </c>
      <c r="B292">
        <v>2.1291000000000001E-2</v>
      </c>
      <c r="C292">
        <v>2.2800000000000001E-2</v>
      </c>
      <c r="D292">
        <v>2.1198999999999999E-2</v>
      </c>
      <c r="E292">
        <v>2.1767999999999999E-2</v>
      </c>
      <c r="F292">
        <v>522509897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-0.28919425359150602</v>
      </c>
      <c r="Q292">
        <f t="shared" si="965"/>
        <v>-151106859.65708968</v>
      </c>
      <c r="R292">
        <f t="shared" si="966"/>
        <v>-41881710498.07859</v>
      </c>
      <c r="S292">
        <f t="shared" si="967"/>
        <v>-418817.10498078592</v>
      </c>
      <c r="T292">
        <f t="shared" si="968"/>
        <v>-418.81710498078593</v>
      </c>
    </row>
    <row r="293" spans="1:20" x14ac:dyDescent="0.25">
      <c r="A293" s="5">
        <v>44300</v>
      </c>
      <c r="B293">
        <v>2.2133E-2</v>
      </c>
      <c r="C293">
        <v>2.29E-2</v>
      </c>
      <c r="D293">
        <v>2.0552999999999998E-2</v>
      </c>
      <c r="E293">
        <v>2.1291000000000001E-2</v>
      </c>
      <c r="F293">
        <v>554899977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-0.3711120579463128</v>
      </c>
      <c r="Q293">
        <f t="shared" si="965"/>
        <v>-205930072.41883165</v>
      </c>
      <c r="R293">
        <f t="shared" si="966"/>
        <v>-41730603638.421501</v>
      </c>
      <c r="S293">
        <f t="shared" si="967"/>
        <v>-417306.036384215</v>
      </c>
      <c r="T293">
        <f t="shared" si="968"/>
        <v>-417.30603638421502</v>
      </c>
    </row>
    <row r="294" spans="1:20" x14ac:dyDescent="0.25">
      <c r="A294" s="5">
        <v>44299</v>
      </c>
      <c r="B294">
        <v>2.1779E-2</v>
      </c>
      <c r="C294">
        <v>2.2481999999999999E-2</v>
      </c>
      <c r="D294">
        <v>2.1054E-2</v>
      </c>
      <c r="E294">
        <v>2.2106000000000001E-2</v>
      </c>
      <c r="F294">
        <v>461651365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0.47338935574229946</v>
      </c>
      <c r="Q294">
        <f t="shared" si="965"/>
        <v>218540842.25490314</v>
      </c>
      <c r="R294">
        <f t="shared" si="966"/>
        <v>-41524673566.00267</v>
      </c>
      <c r="S294">
        <f t="shared" si="967"/>
        <v>-415246.73566002672</v>
      </c>
      <c r="T294">
        <f t="shared" si="968"/>
        <v>-415.24673566002673</v>
      </c>
    </row>
    <row r="295" spans="1:20" x14ac:dyDescent="0.25">
      <c r="A295" s="5">
        <v>44298</v>
      </c>
      <c r="B295">
        <v>2.3761000000000001E-2</v>
      </c>
      <c r="C295">
        <v>2.393E-2</v>
      </c>
      <c r="D295">
        <v>2.145E-2</v>
      </c>
      <c r="E295">
        <v>2.1780000000000001E-2</v>
      </c>
      <c r="F295">
        <v>585301640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-0.73387096774193505</v>
      </c>
      <c r="Q295">
        <f t="shared" si="965"/>
        <v>-429535880.96774167</v>
      </c>
      <c r="R295">
        <f t="shared" si="966"/>
        <v>-41743214408.257576</v>
      </c>
      <c r="S295">
        <f t="shared" si="967"/>
        <v>-417432.14408257575</v>
      </c>
      <c r="T295">
        <f t="shared" si="968"/>
        <v>-417.43214408257575</v>
      </c>
    </row>
    <row r="296" spans="1:20" x14ac:dyDescent="0.25">
      <c r="A296" s="5">
        <v>44297</v>
      </c>
      <c r="B296">
        <v>2.3123000000000001E-2</v>
      </c>
      <c r="C296">
        <v>2.5697000000000001E-2</v>
      </c>
      <c r="D296">
        <v>2.1527999999999999E-2</v>
      </c>
      <c r="E296">
        <v>2.3754999999999998E-2</v>
      </c>
      <c r="F296">
        <v>746291821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6.8361717438233841E-2</v>
      </c>
      <c r="Q296">
        <f t="shared" si="965"/>
        <v>51017790.593666986</v>
      </c>
      <c r="R296">
        <f t="shared" si="966"/>
        <v>-41313678527.289833</v>
      </c>
      <c r="S296">
        <f t="shared" si="967"/>
        <v>-413136.78527289833</v>
      </c>
      <c r="T296">
        <f t="shared" si="968"/>
        <v>-413.13678527289835</v>
      </c>
    </row>
    <row r="297" spans="1:20" x14ac:dyDescent="0.25">
      <c r="A297" s="5">
        <v>44296</v>
      </c>
      <c r="B297">
        <v>2.3573E-2</v>
      </c>
      <c r="C297">
        <v>2.5899999999999999E-2</v>
      </c>
      <c r="D297">
        <v>2.2120999999999998E-2</v>
      </c>
      <c r="E297">
        <v>2.3104E-2</v>
      </c>
      <c r="F297">
        <v>615564388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-0.47975654935167983</v>
      </c>
      <c r="Q297">
        <f t="shared" si="965"/>
        <v>-295321046.69065857</v>
      </c>
      <c r="R297">
        <f t="shared" si="966"/>
        <v>-41364696317.883499</v>
      </c>
      <c r="S297">
        <f t="shared" si="967"/>
        <v>-413646.96317883499</v>
      </c>
      <c r="T297">
        <f t="shared" si="968"/>
        <v>-413.64696317883499</v>
      </c>
    </row>
    <row r="298" spans="1:20" x14ac:dyDescent="0.25">
      <c r="A298" s="5">
        <v>44295</v>
      </c>
      <c r="B298">
        <v>2.4867E-2</v>
      </c>
      <c r="C298">
        <v>2.5603999999999998E-2</v>
      </c>
      <c r="D298">
        <v>2.3216000000000001E-2</v>
      </c>
      <c r="E298">
        <v>2.3599999999999999E-2</v>
      </c>
      <c r="F298">
        <v>628035309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-0.67839195979899558</v>
      </c>
      <c r="Q298">
        <f t="shared" si="965"/>
        <v>-426054104.09547776</v>
      </c>
      <c r="R298">
        <f t="shared" si="966"/>
        <v>-41069375271.192841</v>
      </c>
      <c r="S298">
        <f t="shared" si="967"/>
        <v>-410693.75271192839</v>
      </c>
      <c r="T298">
        <f t="shared" si="968"/>
        <v>-410.69375271192837</v>
      </c>
    </row>
    <row r="299" spans="1:20" x14ac:dyDescent="0.25">
      <c r="A299" s="5">
        <v>44294</v>
      </c>
      <c r="B299">
        <v>2.1398E-2</v>
      </c>
      <c r="C299">
        <v>2.5999999999999999E-2</v>
      </c>
      <c r="D299">
        <v>2.102E-2</v>
      </c>
      <c r="E299">
        <v>2.4867E-2</v>
      </c>
      <c r="F299">
        <v>972961133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0.54497991967871529</v>
      </c>
      <c r="Q299">
        <f t="shared" si="965"/>
        <v>530244280.1128518</v>
      </c>
      <c r="R299">
        <f t="shared" si="966"/>
        <v>-40643321167.097366</v>
      </c>
      <c r="S299">
        <f t="shared" si="967"/>
        <v>-406433.21167097369</v>
      </c>
      <c r="T299">
        <f t="shared" si="968"/>
        <v>-406.43321167097366</v>
      </c>
    </row>
    <row r="300" spans="1:20" x14ac:dyDescent="0.25">
      <c r="A300" s="5">
        <v>44293</v>
      </c>
      <c r="B300">
        <v>2.4324999999999999E-2</v>
      </c>
      <c r="C300">
        <v>2.4726000000000001E-2</v>
      </c>
      <c r="D300">
        <v>2.053E-2</v>
      </c>
      <c r="E300">
        <v>2.1398E-2</v>
      </c>
      <c r="F300">
        <v>835160253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-0.58627264061010465</v>
      </c>
      <c r="Q300">
        <f t="shared" si="965"/>
        <v>-489631606.85891306</v>
      </c>
      <c r="R300">
        <f t="shared" si="966"/>
        <v>-41173565447.21022</v>
      </c>
      <c r="S300">
        <f t="shared" si="967"/>
        <v>-411735.65447210218</v>
      </c>
      <c r="T300">
        <f t="shared" si="968"/>
        <v>-411.73565447210217</v>
      </c>
    </row>
    <row r="301" spans="1:20" x14ac:dyDescent="0.25">
      <c r="A301" s="5">
        <v>44292</v>
      </c>
      <c r="B301">
        <v>2.6439000000000001E-2</v>
      </c>
      <c r="C301">
        <v>2.6741000000000001E-2</v>
      </c>
      <c r="D301">
        <v>2.2800000000000001E-2</v>
      </c>
      <c r="E301">
        <v>2.4334999999999999E-2</v>
      </c>
      <c r="F301">
        <v>1413046476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-0.22100989596549192</v>
      </c>
      <c r="Q301">
        <f t="shared" si="965"/>
        <v>-312297254.65516496</v>
      </c>
      <c r="R301">
        <f t="shared" si="966"/>
        <v>-40683933840.351311</v>
      </c>
      <c r="S301">
        <f t="shared" si="967"/>
        <v>-406839.33840351313</v>
      </c>
      <c r="T301">
        <f t="shared" si="968"/>
        <v>-406.83933840351312</v>
      </c>
    </row>
    <row r="302" spans="1:20" x14ac:dyDescent="0.25">
      <c r="A302" s="5">
        <v>44291</v>
      </c>
      <c r="B302">
        <v>2.7009999999999999E-2</v>
      </c>
      <c r="C302">
        <v>2.9499999999999998E-2</v>
      </c>
      <c r="D302">
        <v>2.5693000000000001E-2</v>
      </c>
      <c r="E302">
        <v>2.6436999999999999E-2</v>
      </c>
      <c r="F302">
        <v>2186456416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-0.60914105594956736</v>
      </c>
      <c r="Q302">
        <f t="shared" si="965"/>
        <v>-1331860370.0299466</v>
      </c>
      <c r="R302">
        <f t="shared" si="966"/>
        <v>-40371636585.696144</v>
      </c>
      <c r="S302">
        <f t="shared" si="967"/>
        <v>-403716.36585696146</v>
      </c>
      <c r="T302">
        <f t="shared" si="968"/>
        <v>-403.71636585696149</v>
      </c>
    </row>
    <row r="303" spans="1:20" x14ac:dyDescent="0.25">
      <c r="A303" s="5">
        <v>44290</v>
      </c>
      <c r="B303">
        <v>2.6360000000000001E-2</v>
      </c>
      <c r="C303">
        <v>3.4750000000000003E-2</v>
      </c>
      <c r="D303">
        <v>2.5323999999999999E-2</v>
      </c>
      <c r="E303">
        <v>2.7002000000000002E-2</v>
      </c>
      <c r="F303">
        <v>6402412722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-0.64396350519838708</v>
      </c>
      <c r="Q303">
        <f t="shared" si="965"/>
        <v>-4122920138.1858664</v>
      </c>
      <c r="R303">
        <f t="shared" si="966"/>
        <v>-39039776215.666199</v>
      </c>
      <c r="S303">
        <f t="shared" si="967"/>
        <v>-390397.76215666201</v>
      </c>
      <c r="T303">
        <f t="shared" si="968"/>
        <v>-390.397762156662</v>
      </c>
    </row>
    <row r="304" spans="1:20" x14ac:dyDescent="0.25">
      <c r="A304" s="5">
        <v>44289</v>
      </c>
      <c r="B304">
        <v>2.1947999999999999E-2</v>
      </c>
      <c r="C304">
        <v>3.2730000000000002E-2</v>
      </c>
      <c r="D304">
        <v>2.1263000000000001E-2</v>
      </c>
      <c r="E304">
        <v>2.6381000000000002E-2</v>
      </c>
      <c r="F304">
        <v>6159984132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-0.1073515304787651</v>
      </c>
      <c r="Q304">
        <f t="shared" si="965"/>
        <v>-661283724.29510736</v>
      </c>
      <c r="R304">
        <f t="shared" si="966"/>
        <v>-34916856077.480331</v>
      </c>
      <c r="S304">
        <f t="shared" si="967"/>
        <v>-349168.56077480334</v>
      </c>
      <c r="T304">
        <f t="shared" si="968"/>
        <v>-349.16856077480332</v>
      </c>
    </row>
    <row r="305" spans="1:20" x14ac:dyDescent="0.25">
      <c r="A305" s="5">
        <v>44288</v>
      </c>
      <c r="B305">
        <v>2.1180000000000001E-2</v>
      </c>
      <c r="C305">
        <v>2.3400000000000001E-2</v>
      </c>
      <c r="D305">
        <v>2.0909000000000001E-2</v>
      </c>
      <c r="E305">
        <v>2.1947000000000001E-2</v>
      </c>
      <c r="F305">
        <v>1185826761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-0.16659975913287783</v>
      </c>
      <c r="Q305">
        <f t="shared" si="965"/>
        <v>-197558452.75592068</v>
      </c>
      <c r="R305">
        <f t="shared" si="966"/>
        <v>-34255572353.185223</v>
      </c>
      <c r="S305">
        <f t="shared" si="967"/>
        <v>-342555.72353185224</v>
      </c>
      <c r="T305">
        <f t="shared" si="968"/>
        <v>-342.55572353185227</v>
      </c>
    </row>
    <row r="306" spans="1:20" x14ac:dyDescent="0.25">
      <c r="A306" s="5">
        <v>44287</v>
      </c>
      <c r="B306">
        <v>2.1600000000000001E-2</v>
      </c>
      <c r="C306">
        <v>2.2599000000000001E-2</v>
      </c>
      <c r="D306">
        <v>2.0968000000000001E-2</v>
      </c>
      <c r="E306">
        <v>2.1180000000000001E-2</v>
      </c>
      <c r="F306">
        <v>930556899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-0.74003678724708732</v>
      </c>
      <c r="Q306">
        <f t="shared" si="965"/>
        <v>-688646337.88657236</v>
      </c>
      <c r="R306">
        <f t="shared" si="966"/>
        <v>-34058013900.429302</v>
      </c>
      <c r="S306">
        <f t="shared" si="967"/>
        <v>-340580.13900429301</v>
      </c>
      <c r="T306">
        <f t="shared" si="968"/>
        <v>-340.58013900429302</v>
      </c>
    </row>
    <row r="307" spans="1:20" x14ac:dyDescent="0.25">
      <c r="A307" s="5">
        <v>44286</v>
      </c>
      <c r="B307">
        <v>2.2336000000000002E-2</v>
      </c>
      <c r="C307">
        <v>2.2651999999999999E-2</v>
      </c>
      <c r="D307">
        <v>2.0209999999999999E-2</v>
      </c>
      <c r="E307">
        <v>2.162E-2</v>
      </c>
      <c r="F307">
        <v>1008758286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0.15479115479115618</v>
      </c>
      <c r="Q307">
        <f t="shared" si="965"/>
        <v>156146859.99508739</v>
      </c>
      <c r="R307">
        <f t="shared" si="966"/>
        <v>-33369367562.542728</v>
      </c>
      <c r="S307">
        <f t="shared" si="967"/>
        <v>-333693.67562542728</v>
      </c>
      <c r="T307">
        <f t="shared" si="968"/>
        <v>-333.69367562542726</v>
      </c>
    </row>
    <row r="308" spans="1:20" x14ac:dyDescent="0.25">
      <c r="A308" s="5">
        <v>44285</v>
      </c>
      <c r="B308">
        <v>2.2563E-2</v>
      </c>
      <c r="C308">
        <v>2.5000000000000001E-2</v>
      </c>
      <c r="D308">
        <v>2.1975999999999999E-2</v>
      </c>
      <c r="E308">
        <v>2.2287000000000001E-2</v>
      </c>
      <c r="F308">
        <v>1422990510</v>
      </c>
      <c r="G308">
        <v>0</v>
      </c>
      <c r="L308" t="s">
        <v>7</v>
      </c>
      <c r="M308" t="s">
        <v>7</v>
      </c>
      <c r="N308" t="s">
        <v>7</v>
      </c>
      <c r="P308">
        <f t="shared" si="964"/>
        <v>-0.79431216931216797</v>
      </c>
      <c r="Q308">
        <f t="shared" si="965"/>
        <v>-1130298678.9087284</v>
      </c>
      <c r="R308">
        <f t="shared" si="966"/>
        <v>-33525514422.537815</v>
      </c>
      <c r="S308">
        <f t="shared" si="967"/>
        <v>-335255.14422537817</v>
      </c>
      <c r="T308">
        <f t="shared" si="968"/>
        <v>-335.25514422537816</v>
      </c>
    </row>
    <row r="309" spans="1:20" x14ac:dyDescent="0.25">
      <c r="A309" s="5">
        <v>44284</v>
      </c>
      <c r="B309">
        <v>2.1493000000000002E-2</v>
      </c>
      <c r="C309">
        <v>2.6157E-2</v>
      </c>
      <c r="D309">
        <v>2.1222000000000001E-2</v>
      </c>
      <c r="E309">
        <v>2.2563E-2</v>
      </c>
      <c r="F309">
        <v>2232624267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-0.4565349544072953</v>
      </c>
      <c r="Q309">
        <f t="shared" si="965"/>
        <v>-1019271017.9434661</v>
      </c>
      <c r="R309">
        <f t="shared" si="966"/>
        <v>-32395215743.629086</v>
      </c>
      <c r="S309">
        <f t="shared" si="967"/>
        <v>-323952.15743629087</v>
      </c>
      <c r="T309">
        <f t="shared" si="968"/>
        <v>-323.95215743629086</v>
      </c>
    </row>
    <row r="310" spans="1:20" x14ac:dyDescent="0.25">
      <c r="A310" s="5">
        <v>44283</v>
      </c>
      <c r="B310">
        <v>2.2391000000000001E-2</v>
      </c>
      <c r="C310">
        <v>2.4E-2</v>
      </c>
      <c r="D310">
        <v>2.0808E-2</v>
      </c>
      <c r="E310">
        <v>2.1493999999999999E-2</v>
      </c>
      <c r="F310">
        <v>1214340061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-0.57017543859649189</v>
      </c>
      <c r="Q310">
        <f t="shared" si="965"/>
        <v>-692386876.8859657</v>
      </c>
      <c r="R310">
        <f t="shared" si="966"/>
        <v>-31375944725.685619</v>
      </c>
      <c r="S310">
        <f t="shared" si="967"/>
        <v>-313759.44725685619</v>
      </c>
      <c r="T310">
        <f t="shared" si="968"/>
        <v>-313.75944725685616</v>
      </c>
    </row>
    <row r="311" spans="1:20" x14ac:dyDescent="0.25">
      <c r="A311" s="5">
        <v>44282</v>
      </c>
      <c r="B311">
        <v>2.1877000000000001E-2</v>
      </c>
      <c r="C311">
        <v>2.4952999999999999E-2</v>
      </c>
      <c r="D311">
        <v>2.0197E-2</v>
      </c>
      <c r="E311">
        <v>2.2429000000000001E-2</v>
      </c>
      <c r="F311">
        <v>1808161409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-6.1396131202690732E-2</v>
      </c>
      <c r="Q311">
        <f t="shared" si="965"/>
        <v>-111014115.10260613</v>
      </c>
      <c r="R311">
        <f t="shared" si="966"/>
        <v>-30683557848.799652</v>
      </c>
      <c r="S311">
        <f t="shared" si="967"/>
        <v>-306835.57848799654</v>
      </c>
      <c r="T311">
        <f t="shared" si="968"/>
        <v>-306.83557848799654</v>
      </c>
    </row>
    <row r="312" spans="1:20" x14ac:dyDescent="0.25">
      <c r="A312" s="5">
        <v>44281</v>
      </c>
      <c r="B312">
        <v>1.9462E-2</v>
      </c>
      <c r="C312">
        <v>2.3404999999999999E-2</v>
      </c>
      <c r="D312">
        <v>1.9352000000000001E-2</v>
      </c>
      <c r="E312">
        <v>2.1849E-2</v>
      </c>
      <c r="F312">
        <v>1756540283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0.23217369849494238</v>
      </c>
      <c r="Q312">
        <f t="shared" si="965"/>
        <v>407822454.05946279</v>
      </c>
      <c r="R312">
        <f t="shared" si="966"/>
        <v>-30572543733.697044</v>
      </c>
      <c r="S312">
        <f t="shared" si="967"/>
        <v>-305725.43733697047</v>
      </c>
      <c r="T312">
        <f t="shared" si="968"/>
        <v>-305.72543733697046</v>
      </c>
    </row>
    <row r="313" spans="1:20" x14ac:dyDescent="0.25">
      <c r="A313" s="5">
        <v>44280</v>
      </c>
      <c r="B313">
        <v>2.0978E-2</v>
      </c>
      <c r="C313">
        <v>2.3193999999999999E-2</v>
      </c>
      <c r="D313">
        <v>1.9199999999999998E-2</v>
      </c>
      <c r="E313">
        <v>1.9462E-2</v>
      </c>
      <c r="F313">
        <v>1438038510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-0.86880320480720996</v>
      </c>
      <c r="Q313">
        <f t="shared" si="965"/>
        <v>-1249372466.1241851</v>
      </c>
      <c r="R313">
        <f t="shared" si="966"/>
        <v>-30980366187.756508</v>
      </c>
      <c r="S313">
        <f t="shared" si="967"/>
        <v>-309803.66187756509</v>
      </c>
      <c r="T313">
        <f t="shared" si="968"/>
        <v>-309.8036618775651</v>
      </c>
    </row>
    <row r="314" spans="1:20" x14ac:dyDescent="0.25">
      <c r="A314" s="5">
        <v>44279</v>
      </c>
      <c r="B314">
        <v>2.3105000000000001E-2</v>
      </c>
      <c r="C314">
        <v>2.6542E-2</v>
      </c>
      <c r="D314">
        <v>1.9609999999999999E-2</v>
      </c>
      <c r="E314">
        <v>2.0910999999999999E-2</v>
      </c>
      <c r="F314">
        <v>1474296777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-0.62463935372186963</v>
      </c>
      <c r="Q314">
        <f t="shared" si="965"/>
        <v>-920903785.97951531</v>
      </c>
      <c r="R314">
        <f t="shared" si="966"/>
        <v>-29730993721.632324</v>
      </c>
      <c r="S314">
        <f t="shared" si="967"/>
        <v>-297309.93721632322</v>
      </c>
      <c r="T314">
        <f t="shared" si="968"/>
        <v>-297.30993721632319</v>
      </c>
    </row>
    <row r="315" spans="1:20" x14ac:dyDescent="0.25">
      <c r="A315" s="5">
        <v>44278</v>
      </c>
      <c r="B315">
        <v>2.4747000000000002E-2</v>
      </c>
      <c r="C315">
        <v>2.5977E-2</v>
      </c>
      <c r="D315">
        <v>2.1672E-2</v>
      </c>
      <c r="E315">
        <v>2.3050999999999999E-2</v>
      </c>
      <c r="F315">
        <v>1752206617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-0.3593495934959357</v>
      </c>
      <c r="Q315">
        <f t="shared" si="965"/>
        <v>-629654735.53983867</v>
      </c>
      <c r="R315">
        <f t="shared" si="966"/>
        <v>-28810089935.652809</v>
      </c>
      <c r="S315">
        <f t="shared" si="967"/>
        <v>-288100.89935652807</v>
      </c>
      <c r="T315">
        <f t="shared" si="968"/>
        <v>-288.10089935652809</v>
      </c>
    </row>
    <row r="316" spans="1:20" x14ac:dyDescent="0.25">
      <c r="A316" s="5">
        <v>44277</v>
      </c>
      <c r="B316">
        <v>2.4006E-2</v>
      </c>
      <c r="C316">
        <v>2.9859E-2</v>
      </c>
      <c r="D316">
        <v>2.3074999999999998E-2</v>
      </c>
      <c r="E316">
        <v>2.4740999999999999E-2</v>
      </c>
      <c r="F316">
        <v>2474728736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-0.50884433962264142</v>
      </c>
      <c r="Q316">
        <f t="shared" si="965"/>
        <v>-1259251709.4150941</v>
      </c>
      <c r="R316">
        <f t="shared" si="966"/>
        <v>-28180435200.112972</v>
      </c>
      <c r="S316">
        <f t="shared" si="967"/>
        <v>-281804.35200112971</v>
      </c>
      <c r="T316">
        <f t="shared" si="968"/>
        <v>-281.8043520011297</v>
      </c>
    </row>
    <row r="317" spans="1:20" x14ac:dyDescent="0.25">
      <c r="A317" s="5">
        <v>44276</v>
      </c>
      <c r="B317">
        <v>2.3347E-2</v>
      </c>
      <c r="C317">
        <v>2.7E-2</v>
      </c>
      <c r="D317">
        <v>2.1869E-2</v>
      </c>
      <c r="E317">
        <v>2.4007000000000001E-2</v>
      </c>
      <c r="F317">
        <v>2776106451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-0.16663418436951824</v>
      </c>
      <c r="Q317">
        <f t="shared" si="965"/>
        <v>-462594234.18534297</v>
      </c>
      <c r="R317">
        <f t="shared" si="966"/>
        <v>-26921183490.69788</v>
      </c>
      <c r="S317">
        <f t="shared" si="967"/>
        <v>-269211.83490697882</v>
      </c>
      <c r="T317">
        <f t="shared" si="968"/>
        <v>-269.21183490697882</v>
      </c>
    </row>
    <row r="318" spans="1:20" x14ac:dyDescent="0.25">
      <c r="A318" s="5">
        <v>44275</v>
      </c>
      <c r="B318">
        <v>1.9220000000000001E-2</v>
      </c>
      <c r="C318">
        <v>2.8299999999999999E-2</v>
      </c>
      <c r="D318">
        <v>1.78E-2</v>
      </c>
      <c r="E318">
        <v>2.3269999999999999E-2</v>
      </c>
      <c r="F318">
        <v>5924970763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4.1904761904761854E-2</v>
      </c>
      <c r="Q318">
        <f t="shared" si="965"/>
        <v>248284489.11619017</v>
      </c>
      <c r="R318">
        <f t="shared" si="966"/>
        <v>-26458589256.512535</v>
      </c>
      <c r="S318">
        <f t="shared" si="967"/>
        <v>-264585.89256512537</v>
      </c>
      <c r="T318">
        <f t="shared" si="968"/>
        <v>-264.58589256512539</v>
      </c>
    </row>
    <row r="319" spans="1:20" x14ac:dyDescent="0.25">
      <c r="A319" s="5">
        <v>44274</v>
      </c>
      <c r="B319">
        <v>1.4928E-2</v>
      </c>
      <c r="C319">
        <v>1.9599999999999999E-2</v>
      </c>
      <c r="D319">
        <v>1.4397999999999999E-2</v>
      </c>
      <c r="E319">
        <v>1.9202E-2</v>
      </c>
      <c r="F319">
        <v>1868601059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0.84698193002691313</v>
      </c>
      <c r="Q319">
        <f t="shared" si="965"/>
        <v>1582671331.4021537</v>
      </c>
      <c r="R319">
        <f t="shared" si="966"/>
        <v>-26706873745.628727</v>
      </c>
      <c r="S319">
        <f t="shared" si="967"/>
        <v>-267068.73745628726</v>
      </c>
      <c r="T319">
        <f t="shared" si="968"/>
        <v>-267.06873745628724</v>
      </c>
    </row>
    <row r="320" spans="1:20" x14ac:dyDescent="0.25">
      <c r="A320" s="5">
        <v>44273</v>
      </c>
      <c r="B320">
        <v>1.5897999999999999E-2</v>
      </c>
      <c r="C320">
        <v>1.6265999999999999E-2</v>
      </c>
      <c r="D320">
        <v>1.4829999999999999E-2</v>
      </c>
      <c r="E320">
        <v>1.4962E-2</v>
      </c>
      <c r="F320">
        <v>811611076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-0.8161559888579385</v>
      </c>
      <c r="Q320">
        <f t="shared" si="965"/>
        <v>-662401240.30083549</v>
      </c>
      <c r="R320">
        <f t="shared" si="966"/>
        <v>-28289545077.03088</v>
      </c>
      <c r="S320">
        <f t="shared" si="967"/>
        <v>-282895.45077030879</v>
      </c>
      <c r="T320">
        <f t="shared" si="968"/>
        <v>-282.8954507703088</v>
      </c>
    </row>
    <row r="321" spans="1:20" x14ac:dyDescent="0.25">
      <c r="A321" s="5">
        <v>44272</v>
      </c>
      <c r="B321">
        <v>1.6101000000000001E-2</v>
      </c>
      <c r="C321">
        <v>1.7642000000000001E-2</v>
      </c>
      <c r="D321">
        <v>1.46E-2</v>
      </c>
      <c r="E321">
        <v>1.5845000000000001E-2</v>
      </c>
      <c r="F321">
        <v>1484633645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-0.18145956607495017</v>
      </c>
      <c r="Q321">
        <f t="shared" si="965"/>
        <v>-269400977.0019716</v>
      </c>
      <c r="R321">
        <f t="shared" si="966"/>
        <v>-27627143836.730045</v>
      </c>
      <c r="S321">
        <f t="shared" si="967"/>
        <v>-276271.43836730043</v>
      </c>
      <c r="T321">
        <f t="shared" si="968"/>
        <v>-276.27143836730045</v>
      </c>
    </row>
    <row r="322" spans="1:20" x14ac:dyDescent="0.25">
      <c r="A322" s="5">
        <v>44271</v>
      </c>
      <c r="B322">
        <v>1.7339E-2</v>
      </c>
      <c r="C322">
        <v>1.8692E-2</v>
      </c>
      <c r="D322">
        <v>1.5328E-2</v>
      </c>
      <c r="E322">
        <v>1.6101000000000001E-2</v>
      </c>
      <c r="F322">
        <v>1961512477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-0.54042806183115277</v>
      </c>
      <c r="Q322">
        <f t="shared" si="965"/>
        <v>-1060056386.2027336</v>
      </c>
      <c r="R322">
        <f t="shared" si="966"/>
        <v>-27357742859.728073</v>
      </c>
      <c r="S322">
        <f t="shared" si="967"/>
        <v>-273577.42859728076</v>
      </c>
      <c r="T322">
        <f t="shared" si="968"/>
        <v>-273.57742859728074</v>
      </c>
    </row>
    <row r="323" spans="1:20" x14ac:dyDescent="0.25">
      <c r="A323" s="5">
        <v>44270</v>
      </c>
      <c r="B323">
        <v>1.6268999999999999E-2</v>
      </c>
      <c r="C323">
        <v>1.9945000000000001E-2</v>
      </c>
      <c r="D323">
        <v>1.438E-2</v>
      </c>
      <c r="E323">
        <v>1.7333000000000001E-2</v>
      </c>
      <c r="F323">
        <v>3503776401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6.1275831087152018E-2</v>
      </c>
      <c r="Q323">
        <f t="shared" si="965"/>
        <v>214696810.91482541</v>
      </c>
      <c r="R323">
        <f t="shared" si="966"/>
        <v>-26297686473.525341</v>
      </c>
      <c r="S323">
        <f t="shared" si="967"/>
        <v>-262976.86473525339</v>
      </c>
      <c r="T323">
        <f t="shared" si="968"/>
        <v>-262.9768647352534</v>
      </c>
    </row>
    <row r="324" spans="1:20" x14ac:dyDescent="0.25">
      <c r="A324" s="5">
        <v>44269</v>
      </c>
      <c r="B324">
        <v>1.4956000000000001E-2</v>
      </c>
      <c r="C324">
        <v>1.8634000000000001E-2</v>
      </c>
      <c r="D324">
        <v>1.3715E-2</v>
      </c>
      <c r="E324">
        <v>1.6268999999999999E-2</v>
      </c>
      <c r="F324">
        <v>4011567995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3.8422443586094007E-2</v>
      </c>
      <c r="Q324">
        <f t="shared" si="965"/>
        <v>154134244.97966775</v>
      </c>
      <c r="R324">
        <f t="shared" si="966"/>
        <v>-26512383284.440166</v>
      </c>
      <c r="S324">
        <f t="shared" si="967"/>
        <v>-265123.83284440165</v>
      </c>
      <c r="T324">
        <f t="shared" si="968"/>
        <v>-265.12383284440165</v>
      </c>
    </row>
    <row r="325" spans="1:20" x14ac:dyDescent="0.25">
      <c r="A325" s="5">
        <v>44268</v>
      </c>
      <c r="B325">
        <v>1.0942E-2</v>
      </c>
      <c r="C325">
        <v>1.8412999999999999E-2</v>
      </c>
      <c r="D325">
        <v>1.0345E-2</v>
      </c>
      <c r="E325">
        <v>1.4916E-2</v>
      </c>
      <c r="F325">
        <v>5232375291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0.13311849281110588</v>
      </c>
      <c r="Q325">
        <f t="shared" si="965"/>
        <v>696525912.5599916</v>
      </c>
      <c r="R325">
        <f t="shared" si="966"/>
        <v>-26666517529.419834</v>
      </c>
      <c r="S325">
        <f t="shared" si="967"/>
        <v>-266665.17529419833</v>
      </c>
      <c r="T325">
        <f t="shared" si="968"/>
        <v>-266.66517529419832</v>
      </c>
    </row>
    <row r="326" spans="1:20" x14ac:dyDescent="0.25">
      <c r="A326" s="5">
        <v>44267</v>
      </c>
      <c r="B326">
        <v>9.0819999999999998E-3</v>
      </c>
      <c r="C326">
        <v>1.2629E-2</v>
      </c>
      <c r="D326">
        <v>8.6E-3</v>
      </c>
      <c r="E326">
        <v>1.0944000000000001E-2</v>
      </c>
      <c r="F326">
        <v>3062906011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0.16356415984115205</v>
      </c>
      <c r="Q326">
        <f t="shared" ref="Q326:Q389" si="970">F326*P326</f>
        <v>500981648.36162943</v>
      </c>
      <c r="R326">
        <f t="shared" ref="R326:R389" si="971">R327+Q326</f>
        <v>-27363043441.979824</v>
      </c>
      <c r="S326">
        <f t="shared" ref="S326:S389" si="972">R326/100000</f>
        <v>-273630.43441979826</v>
      </c>
      <c r="T326">
        <f t="shared" ref="T326:T389" si="973">S326/1000</f>
        <v>-273.63043441979823</v>
      </c>
    </row>
    <row r="327" spans="1:20" x14ac:dyDescent="0.25">
      <c r="A327" s="5">
        <v>44266</v>
      </c>
      <c r="B327">
        <v>9.1739999999999999E-3</v>
      </c>
      <c r="C327">
        <v>9.58E-3</v>
      </c>
      <c r="D327">
        <v>8.4200000000000004E-3</v>
      </c>
      <c r="E327">
        <v>9.0830000000000008E-3</v>
      </c>
      <c r="F327">
        <v>709844405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0.14310344827586316</v>
      </c>
      <c r="Q327">
        <f t="shared" si="970"/>
        <v>101581182.09482837</v>
      </c>
      <c r="R327">
        <f t="shared" si="971"/>
        <v>-27864025090.341454</v>
      </c>
      <c r="S327">
        <f t="shared" si="972"/>
        <v>-278640.25090341456</v>
      </c>
      <c r="T327">
        <f t="shared" si="973"/>
        <v>-278.64025090341454</v>
      </c>
    </row>
    <row r="328" spans="1:20" x14ac:dyDescent="0.25">
      <c r="A328" s="5">
        <v>44265</v>
      </c>
      <c r="B328">
        <v>8.6499999999999997E-3</v>
      </c>
      <c r="C328">
        <v>0.01</v>
      </c>
      <c r="D328">
        <v>7.9000000000000008E-3</v>
      </c>
      <c r="E328">
        <v>9.1520000000000004E-3</v>
      </c>
      <c r="F328">
        <v>1269921974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0.19238095238095235</v>
      </c>
      <c r="Q328">
        <f t="shared" si="970"/>
        <v>244308798.80761901</v>
      </c>
      <c r="R328">
        <f t="shared" si="971"/>
        <v>-27965606272.436283</v>
      </c>
      <c r="S328">
        <f t="shared" si="972"/>
        <v>-279656.06272436283</v>
      </c>
      <c r="T328">
        <f t="shared" si="973"/>
        <v>-279.65606272436281</v>
      </c>
    </row>
    <row r="329" spans="1:20" x14ac:dyDescent="0.25">
      <c r="A329" s="5">
        <v>44264</v>
      </c>
      <c r="B329">
        <v>7.5259999999999997E-3</v>
      </c>
      <c r="C329">
        <v>8.9800000000000001E-3</v>
      </c>
      <c r="D329">
        <v>7.3309999999999998E-3</v>
      </c>
      <c r="E329">
        <v>8.6499999999999997E-3</v>
      </c>
      <c r="F329">
        <v>1019954458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0.59975742874469329</v>
      </c>
      <c r="Q329">
        <f t="shared" si="970"/>
        <v>611725263.16676724</v>
      </c>
      <c r="R329">
        <f t="shared" si="971"/>
        <v>-28209915071.2439</v>
      </c>
      <c r="S329">
        <f t="shared" si="972"/>
        <v>-282099.15071243898</v>
      </c>
      <c r="T329">
        <f t="shared" si="973"/>
        <v>-282.09915071243898</v>
      </c>
    </row>
    <row r="330" spans="1:20" x14ac:dyDescent="0.25">
      <c r="A330" s="5">
        <v>44263</v>
      </c>
      <c r="B330">
        <v>7.7060000000000002E-3</v>
      </c>
      <c r="C330">
        <v>7.7650000000000002E-3</v>
      </c>
      <c r="D330">
        <v>7.1929999999999997E-3</v>
      </c>
      <c r="E330">
        <v>7.5510000000000004E-3</v>
      </c>
      <c r="F330">
        <v>460531278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0.2517482517482531</v>
      </c>
      <c r="Q330">
        <f t="shared" si="970"/>
        <v>115937944.11188874</v>
      </c>
      <c r="R330">
        <f t="shared" si="971"/>
        <v>-28821640334.410667</v>
      </c>
      <c r="S330">
        <f t="shared" si="972"/>
        <v>-288216.40334410669</v>
      </c>
      <c r="T330">
        <f t="shared" si="973"/>
        <v>-288.21640334410671</v>
      </c>
    </row>
    <row r="331" spans="1:20" x14ac:dyDescent="0.25">
      <c r="A331" s="5">
        <v>44262</v>
      </c>
      <c r="B331">
        <v>7.4359999999999999E-3</v>
      </c>
      <c r="C331">
        <v>8.1890000000000001E-3</v>
      </c>
      <c r="D331">
        <v>7.2360000000000002E-3</v>
      </c>
      <c r="E331">
        <v>7.6930000000000002E-3</v>
      </c>
      <c r="F331">
        <v>566526919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-4.0923399790136386E-2</v>
      </c>
      <c r="Q331">
        <f t="shared" si="970"/>
        <v>-23184207.598111212</v>
      </c>
      <c r="R331">
        <f t="shared" si="971"/>
        <v>-28937578278.522556</v>
      </c>
      <c r="S331">
        <f t="shared" si="972"/>
        <v>-289375.78278522554</v>
      </c>
      <c r="T331">
        <f t="shared" si="973"/>
        <v>-289.37578278522557</v>
      </c>
    </row>
    <row r="332" spans="1:20" x14ac:dyDescent="0.25">
      <c r="A332" s="5">
        <v>44261</v>
      </c>
      <c r="B332">
        <v>7.7929999999999996E-3</v>
      </c>
      <c r="C332">
        <v>7.8480000000000008E-3</v>
      </c>
      <c r="D332">
        <v>7.0000000000000001E-3</v>
      </c>
      <c r="E332">
        <v>7.4139999999999996E-3</v>
      </c>
      <c r="F332">
        <v>643972203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-2.3584905660379449E-2</v>
      </c>
      <c r="Q332">
        <f t="shared" si="970"/>
        <v>-15188023.655661723</v>
      </c>
      <c r="R332">
        <f t="shared" si="971"/>
        <v>-28914394070.924446</v>
      </c>
      <c r="S332">
        <f t="shared" si="972"/>
        <v>-289143.94070924446</v>
      </c>
      <c r="T332">
        <f t="shared" si="973"/>
        <v>-289.14394070924448</v>
      </c>
    </row>
    <row r="333" spans="1:20" x14ac:dyDescent="0.25">
      <c r="A333" s="5">
        <v>44260</v>
      </c>
      <c r="B333">
        <v>7.0629999999999998E-3</v>
      </c>
      <c r="C333">
        <v>8.4100000000000008E-3</v>
      </c>
      <c r="D333">
        <v>6.5760000000000002E-3</v>
      </c>
      <c r="E333">
        <v>7.7429999999999999E-3</v>
      </c>
      <c r="F333">
        <v>719702638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0.27262813522355428</v>
      </c>
      <c r="Q333">
        <f t="shared" si="970"/>
        <v>196211188.11341274</v>
      </c>
      <c r="R333">
        <f t="shared" si="971"/>
        <v>-28899206047.268784</v>
      </c>
      <c r="S333">
        <f t="shared" si="972"/>
        <v>-288992.06047268782</v>
      </c>
      <c r="T333">
        <f t="shared" si="973"/>
        <v>-288.9920604726878</v>
      </c>
    </row>
    <row r="334" spans="1:20" x14ac:dyDescent="0.25">
      <c r="A334" s="5">
        <v>44259</v>
      </c>
      <c r="B334">
        <v>7.9819999999999995E-3</v>
      </c>
      <c r="C334">
        <v>8.3490000000000005E-3</v>
      </c>
      <c r="D334">
        <v>6.7120000000000001E-3</v>
      </c>
      <c r="E334">
        <v>7.0439999999999999E-3</v>
      </c>
      <c r="F334">
        <v>630439382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-0.59437996334758736</v>
      </c>
      <c r="Q334">
        <f t="shared" si="970"/>
        <v>-374720536.76603562</v>
      </c>
      <c r="R334">
        <f t="shared" si="971"/>
        <v>-29095417235.382195</v>
      </c>
      <c r="S334">
        <f t="shared" si="972"/>
        <v>-290954.17235382192</v>
      </c>
      <c r="T334">
        <f t="shared" si="973"/>
        <v>-290.95417235382195</v>
      </c>
    </row>
    <row r="335" spans="1:20" x14ac:dyDescent="0.25">
      <c r="A335" s="5">
        <v>44258</v>
      </c>
      <c r="B335">
        <v>7.3330000000000001E-3</v>
      </c>
      <c r="C335">
        <v>8.3000000000000001E-3</v>
      </c>
      <c r="D335">
        <v>7.1840000000000003E-3</v>
      </c>
      <c r="E335">
        <v>7.9920000000000008E-3</v>
      </c>
      <c r="F335">
        <v>580277666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0.44802867383512668</v>
      </c>
      <c r="Q335">
        <f t="shared" si="970"/>
        <v>259981033.15412259</v>
      </c>
      <c r="R335">
        <f t="shared" si="971"/>
        <v>-28720696698.616158</v>
      </c>
      <c r="S335">
        <f t="shared" si="972"/>
        <v>-287206.9669861616</v>
      </c>
      <c r="T335">
        <f t="shared" si="973"/>
        <v>-287.2069669861616</v>
      </c>
    </row>
    <row r="336" spans="1:20" x14ac:dyDescent="0.25">
      <c r="A336" s="5">
        <v>44257</v>
      </c>
      <c r="B336">
        <v>7.9609999999999993E-3</v>
      </c>
      <c r="C336">
        <v>8.0490000000000006E-3</v>
      </c>
      <c r="D336">
        <v>6.9950000000000003E-3</v>
      </c>
      <c r="E336">
        <v>7.3369999999999998E-3</v>
      </c>
      <c r="F336">
        <v>403833280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-0.35104364326375836</v>
      </c>
      <c r="Q336">
        <f t="shared" si="970"/>
        <v>-141763105.88235345</v>
      </c>
      <c r="R336">
        <f t="shared" si="971"/>
        <v>-28980677731.770279</v>
      </c>
      <c r="S336">
        <f t="shared" si="972"/>
        <v>-289806.77731770277</v>
      </c>
      <c r="T336">
        <f t="shared" si="973"/>
        <v>-289.80677731770277</v>
      </c>
    </row>
    <row r="337" spans="1:20" x14ac:dyDescent="0.25">
      <c r="A337" s="5">
        <v>44256</v>
      </c>
      <c r="B337">
        <v>7.182E-3</v>
      </c>
      <c r="C337">
        <v>8.1720000000000004E-3</v>
      </c>
      <c r="D337">
        <v>7.182E-3</v>
      </c>
      <c r="E337">
        <v>7.9609999999999993E-3</v>
      </c>
      <c r="F337">
        <v>411162071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0.57373737373737166</v>
      </c>
      <c r="Q337">
        <f t="shared" si="970"/>
        <v>235899046.79595873</v>
      </c>
      <c r="R337">
        <f t="shared" si="971"/>
        <v>-28838914625.887924</v>
      </c>
      <c r="S337">
        <f t="shared" si="972"/>
        <v>-288389.14625887922</v>
      </c>
      <c r="T337">
        <f t="shared" si="973"/>
        <v>-288.38914625887924</v>
      </c>
    </row>
    <row r="338" spans="1:20" x14ac:dyDescent="0.25">
      <c r="A338" s="5">
        <v>44255</v>
      </c>
      <c r="B338">
        <v>8.4840000000000002E-3</v>
      </c>
      <c r="C338">
        <v>8.4840000000000002E-3</v>
      </c>
      <c r="D338">
        <v>6.5009999999999998E-3</v>
      </c>
      <c r="E338">
        <v>7.1809999999999999E-3</v>
      </c>
      <c r="F338">
        <v>621867664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-0.31417044881492695</v>
      </c>
      <c r="Q338">
        <f t="shared" si="970"/>
        <v>-195372443.1023702</v>
      </c>
      <c r="R338">
        <f t="shared" si="971"/>
        <v>-29074813672.683884</v>
      </c>
      <c r="S338">
        <f t="shared" si="972"/>
        <v>-290748.13672683883</v>
      </c>
      <c r="T338">
        <f t="shared" si="973"/>
        <v>-290.74813672683882</v>
      </c>
    </row>
    <row r="339" spans="1:20" x14ac:dyDescent="0.25">
      <c r="A339" s="5">
        <v>44254</v>
      </c>
      <c r="B339">
        <v>8.2249999999999997E-3</v>
      </c>
      <c r="C339">
        <v>8.9759999999999996E-3</v>
      </c>
      <c r="D339">
        <v>8.0000000000000002E-3</v>
      </c>
      <c r="E339">
        <v>8.4840000000000002E-3</v>
      </c>
      <c r="F339">
        <v>406367466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-8.196721311474725E-3</v>
      </c>
      <c r="Q339">
        <f t="shared" si="970"/>
        <v>-3330880.8688521809</v>
      </c>
      <c r="R339">
        <f t="shared" si="971"/>
        <v>-28879441229.581512</v>
      </c>
      <c r="S339">
        <f t="shared" si="972"/>
        <v>-288794.41229581513</v>
      </c>
      <c r="T339">
        <f t="shared" si="973"/>
        <v>-288.79441229581511</v>
      </c>
    </row>
    <row r="340" spans="1:20" x14ac:dyDescent="0.25">
      <c r="A340" s="5">
        <v>44253</v>
      </c>
      <c r="B340">
        <v>8.8599999999999998E-3</v>
      </c>
      <c r="C340">
        <v>9.0229999999999998E-3</v>
      </c>
      <c r="D340">
        <v>7.6049999999999998E-3</v>
      </c>
      <c r="E340">
        <v>8.1930000000000006E-3</v>
      </c>
      <c r="F340">
        <v>606444156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-0.17066290550070401</v>
      </c>
      <c r="Q340">
        <f t="shared" si="970"/>
        <v>-103497521.6868822</v>
      </c>
      <c r="R340">
        <f t="shared" si="971"/>
        <v>-28876110348.712662</v>
      </c>
      <c r="S340">
        <f t="shared" si="972"/>
        <v>-288761.10348712665</v>
      </c>
      <c r="T340">
        <f t="shared" si="973"/>
        <v>-288.76110348712666</v>
      </c>
    </row>
    <row r="341" spans="1:20" x14ac:dyDescent="0.25">
      <c r="A341" s="5">
        <v>44252</v>
      </c>
      <c r="B341">
        <v>9.7809999999999998E-3</v>
      </c>
      <c r="C341">
        <v>1.0189999999999999E-2</v>
      </c>
      <c r="D341">
        <v>8.6700000000000006E-3</v>
      </c>
      <c r="E341">
        <v>8.8199999999999997E-3</v>
      </c>
      <c r="F341">
        <v>574359770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-0.80263157894736947</v>
      </c>
      <c r="Q341">
        <f t="shared" si="970"/>
        <v>-460999289.07894796</v>
      </c>
      <c r="R341">
        <f t="shared" si="971"/>
        <v>-28772612827.02578</v>
      </c>
      <c r="S341">
        <f t="shared" si="972"/>
        <v>-287726.12827025779</v>
      </c>
      <c r="T341">
        <f t="shared" si="973"/>
        <v>-287.72612827025779</v>
      </c>
    </row>
    <row r="342" spans="1:20" x14ac:dyDescent="0.25">
      <c r="A342" s="5">
        <v>44251</v>
      </c>
      <c r="B342">
        <v>9.6799999999999994E-3</v>
      </c>
      <c r="C342">
        <v>1.0789999999999999E-2</v>
      </c>
      <c r="D342">
        <v>8.9709999999999998E-3</v>
      </c>
      <c r="E342">
        <v>9.7999999999999997E-3</v>
      </c>
      <c r="F342">
        <v>834287309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-8.8510170423309359E-2</v>
      </c>
      <c r="Q342">
        <f t="shared" si="970"/>
        <v>-73842911.901594162</v>
      </c>
      <c r="R342">
        <f t="shared" si="971"/>
        <v>-28311613537.946831</v>
      </c>
      <c r="S342">
        <f t="shared" si="972"/>
        <v>-283116.13537946832</v>
      </c>
      <c r="T342">
        <f t="shared" si="973"/>
        <v>-283.11613537946835</v>
      </c>
    </row>
    <row r="343" spans="1:20" x14ac:dyDescent="0.25">
      <c r="A343" s="5">
        <v>44250</v>
      </c>
      <c r="B343">
        <v>1.2656000000000001E-2</v>
      </c>
      <c r="C343">
        <v>1.2709E-2</v>
      </c>
      <c r="D343">
        <v>7.6030000000000004E-3</v>
      </c>
      <c r="E343">
        <v>9.6780000000000008E-3</v>
      </c>
      <c r="F343">
        <v>1420271437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-0.18723070896983915</v>
      </c>
      <c r="Q343">
        <f t="shared" si="970"/>
        <v>-265918428.07912225</v>
      </c>
      <c r="R343">
        <f t="shared" si="971"/>
        <v>-28237770626.045238</v>
      </c>
      <c r="S343">
        <f t="shared" si="972"/>
        <v>-282377.7062604524</v>
      </c>
      <c r="T343">
        <f t="shared" si="973"/>
        <v>-282.37770626045238</v>
      </c>
    </row>
    <row r="344" spans="1:20" x14ac:dyDescent="0.25">
      <c r="A344" s="5">
        <v>44249</v>
      </c>
      <c r="B344">
        <v>1.2163999999999999E-2</v>
      </c>
      <c r="C344">
        <v>1.3578E-2</v>
      </c>
      <c r="D344">
        <v>9.8239999999999994E-3</v>
      </c>
      <c r="E344">
        <v>1.2609E-2</v>
      </c>
      <c r="F344">
        <v>1570816524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0.48375066595631366</v>
      </c>
      <c r="Q344">
        <f t="shared" si="970"/>
        <v>759883539.58018172</v>
      </c>
      <c r="R344">
        <f t="shared" si="971"/>
        <v>-27971852197.966118</v>
      </c>
      <c r="S344">
        <f t="shared" si="972"/>
        <v>-279718.52197966119</v>
      </c>
      <c r="T344">
        <f t="shared" si="973"/>
        <v>-279.7185219796612</v>
      </c>
    </row>
    <row r="345" spans="1:20" x14ac:dyDescent="0.25">
      <c r="A345" s="5">
        <v>44248</v>
      </c>
      <c r="B345">
        <v>9.7999999999999997E-3</v>
      </c>
      <c r="C345">
        <v>1.4999999999999999E-2</v>
      </c>
      <c r="D345">
        <v>9.3130000000000001E-3</v>
      </c>
      <c r="E345">
        <v>1.2218E-2</v>
      </c>
      <c r="F345">
        <v>4695799735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2.162827501318795E-2</v>
      </c>
      <c r="Q345">
        <f t="shared" si="970"/>
        <v>101562048.0754351</v>
      </c>
      <c r="R345">
        <f t="shared" si="971"/>
        <v>-28731735737.546299</v>
      </c>
      <c r="S345">
        <f t="shared" si="972"/>
        <v>-287317.35737546301</v>
      </c>
      <c r="T345">
        <f t="shared" si="973"/>
        <v>-287.31735737546302</v>
      </c>
    </row>
    <row r="346" spans="1:20" x14ac:dyDescent="0.25">
      <c r="A346" s="5">
        <v>44247</v>
      </c>
      <c r="B346">
        <v>8.1119999999999994E-3</v>
      </c>
      <c r="C346">
        <v>1.0988E-2</v>
      </c>
      <c r="D346">
        <v>7.5360000000000002E-3</v>
      </c>
      <c r="E346">
        <v>9.7999999999999997E-3</v>
      </c>
      <c r="F346">
        <v>3065715734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0.31170336037079949</v>
      </c>
      <c r="Q346">
        <f t="shared" si="970"/>
        <v>955593896.22943211</v>
      </c>
      <c r="R346">
        <f t="shared" si="971"/>
        <v>-28833297785.621735</v>
      </c>
      <c r="S346">
        <f t="shared" si="972"/>
        <v>-288332.97785621736</v>
      </c>
      <c r="T346">
        <f t="shared" si="973"/>
        <v>-288.33297785621738</v>
      </c>
    </row>
    <row r="347" spans="1:20" x14ac:dyDescent="0.25">
      <c r="A347" s="5">
        <v>44246</v>
      </c>
      <c r="B347">
        <v>8.6020000000000003E-3</v>
      </c>
      <c r="C347">
        <v>1.0442E-2</v>
      </c>
      <c r="D347">
        <v>7.685E-3</v>
      </c>
      <c r="E347">
        <v>8.1010000000000006E-3</v>
      </c>
      <c r="F347">
        <v>2011697537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-0.69822270583968038</v>
      </c>
      <c r="Q347">
        <f t="shared" si="970"/>
        <v>-1404612897.6151605</v>
      </c>
      <c r="R347">
        <f t="shared" si="971"/>
        <v>-29788891681.851166</v>
      </c>
      <c r="S347">
        <f t="shared" si="972"/>
        <v>-297888.91681851167</v>
      </c>
      <c r="T347">
        <f t="shared" si="973"/>
        <v>-297.88891681851169</v>
      </c>
    </row>
    <row r="348" spans="1:20" x14ac:dyDescent="0.25">
      <c r="A348" s="5">
        <v>44245</v>
      </c>
      <c r="B348">
        <v>6.3610000000000003E-3</v>
      </c>
      <c r="C348">
        <v>9.9000000000000008E-3</v>
      </c>
      <c r="D348">
        <v>6.1570000000000001E-3</v>
      </c>
      <c r="E348">
        <v>8.6189999999999999E-3</v>
      </c>
      <c r="F348">
        <v>4331188223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0.31552230830884281</v>
      </c>
      <c r="Q348">
        <f t="shared" si="970"/>
        <v>1366586505.8410351</v>
      </c>
      <c r="R348">
        <f t="shared" si="971"/>
        <v>-28384278784.236004</v>
      </c>
      <c r="S348">
        <f t="shared" si="972"/>
        <v>-283842.78784236003</v>
      </c>
      <c r="T348">
        <f t="shared" si="973"/>
        <v>-283.84278784236005</v>
      </c>
    </row>
    <row r="349" spans="1:20" x14ac:dyDescent="0.25">
      <c r="A349" s="5">
        <v>44244</v>
      </c>
      <c r="B349">
        <v>5.4710000000000002E-3</v>
      </c>
      <c r="C349">
        <v>6.7669999999999996E-3</v>
      </c>
      <c r="D349">
        <v>5.0260000000000001E-3</v>
      </c>
      <c r="E349">
        <v>6.3610000000000003E-3</v>
      </c>
      <c r="F349">
        <v>817531554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0.53360137851809375</v>
      </c>
      <c r="Q349">
        <f t="shared" si="970"/>
        <v>436235964.19643939</v>
      </c>
      <c r="R349">
        <f t="shared" si="971"/>
        <v>-29750865290.077038</v>
      </c>
      <c r="S349">
        <f t="shared" si="972"/>
        <v>-297508.65290077036</v>
      </c>
      <c r="T349">
        <f t="shared" si="973"/>
        <v>-297.50865290077036</v>
      </c>
    </row>
    <row r="350" spans="1:20" x14ac:dyDescent="0.25">
      <c r="A350" s="5">
        <v>44243</v>
      </c>
      <c r="B350">
        <v>5.5510000000000004E-3</v>
      </c>
      <c r="C350">
        <v>6.1000000000000004E-3</v>
      </c>
      <c r="D350">
        <v>5.1770000000000002E-3</v>
      </c>
      <c r="E350">
        <v>5.4809999999999998E-3</v>
      </c>
      <c r="F350">
        <v>429766301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-0.34127843986999024</v>
      </c>
      <c r="Q350">
        <f t="shared" si="970"/>
        <v>-146669972.71397662</v>
      </c>
      <c r="R350">
        <f t="shared" si="971"/>
        <v>-30187101254.273476</v>
      </c>
      <c r="S350">
        <f t="shared" si="972"/>
        <v>-301871.01254273474</v>
      </c>
      <c r="T350">
        <f t="shared" si="973"/>
        <v>-301.87101254273472</v>
      </c>
    </row>
    <row r="351" spans="1:20" x14ac:dyDescent="0.25">
      <c r="A351" s="5">
        <v>44242</v>
      </c>
      <c r="B351">
        <v>5.96E-3</v>
      </c>
      <c r="C351">
        <v>6.1900000000000002E-3</v>
      </c>
      <c r="D351">
        <v>4.96E-3</v>
      </c>
      <c r="E351">
        <v>5.5510000000000004E-3</v>
      </c>
      <c r="F351">
        <v>589963048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-3.9024390243901974E-2</v>
      </c>
      <c r="Q351">
        <f t="shared" si="970"/>
        <v>-23022948.214633871</v>
      </c>
      <c r="R351">
        <f t="shared" si="971"/>
        <v>-30040431281.559498</v>
      </c>
      <c r="S351">
        <f t="shared" si="972"/>
        <v>-300404.31281559495</v>
      </c>
      <c r="T351">
        <f t="shared" si="973"/>
        <v>-300.40431281559495</v>
      </c>
    </row>
    <row r="352" spans="1:20" x14ac:dyDescent="0.25">
      <c r="A352" s="5">
        <v>44241</v>
      </c>
      <c r="B352">
        <v>6.489E-3</v>
      </c>
      <c r="C352">
        <v>7.1000000000000004E-3</v>
      </c>
      <c r="D352">
        <v>5.8739999999999999E-3</v>
      </c>
      <c r="E352">
        <v>5.9589999999999999E-3</v>
      </c>
      <c r="F352">
        <v>684782168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-0.86133768352365425</v>
      </c>
      <c r="Q352">
        <f t="shared" si="970"/>
        <v>-589828686.30342579</v>
      </c>
      <c r="R352">
        <f t="shared" si="971"/>
        <v>-30017408333.344864</v>
      </c>
      <c r="S352">
        <f t="shared" si="972"/>
        <v>-300174.08333344862</v>
      </c>
      <c r="T352">
        <f t="shared" si="973"/>
        <v>-300.17408333344861</v>
      </c>
    </row>
    <row r="353" spans="1:20" x14ac:dyDescent="0.25">
      <c r="A353" s="5">
        <v>44240</v>
      </c>
      <c r="B353">
        <v>6.0289999999999996E-3</v>
      </c>
      <c r="C353">
        <v>7.0000000000000001E-3</v>
      </c>
      <c r="D353">
        <v>5.9109999999999996E-3</v>
      </c>
      <c r="E353">
        <v>6.4999999999999997E-3</v>
      </c>
      <c r="F353">
        <v>846126416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8.1726354453626832E-2</v>
      </c>
      <c r="Q353">
        <f t="shared" si="970"/>
        <v>69150827.38659291</v>
      </c>
      <c r="R353">
        <f t="shared" si="971"/>
        <v>-29427579647.041439</v>
      </c>
      <c r="S353">
        <f t="shared" si="972"/>
        <v>-294275.79647041438</v>
      </c>
      <c r="T353">
        <f t="shared" si="973"/>
        <v>-294.27579647041438</v>
      </c>
    </row>
    <row r="354" spans="1:20" x14ac:dyDescent="0.25">
      <c r="A354" s="5">
        <v>44239</v>
      </c>
      <c r="B354">
        <v>6.3E-3</v>
      </c>
      <c r="C354">
        <v>6.4689999999999999E-3</v>
      </c>
      <c r="D354">
        <v>5.2599999999999999E-3</v>
      </c>
      <c r="E354">
        <v>6.0569999999999999E-3</v>
      </c>
      <c r="F354">
        <v>839712792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0.31844499586435066</v>
      </c>
      <c r="Q354">
        <f t="shared" si="970"/>
        <v>267402336.57568234</v>
      </c>
      <c r="R354">
        <f t="shared" si="971"/>
        <v>-29496730474.428032</v>
      </c>
      <c r="S354">
        <f t="shared" si="972"/>
        <v>-294967.30474428029</v>
      </c>
      <c r="T354">
        <f t="shared" si="973"/>
        <v>-294.96730474428028</v>
      </c>
    </row>
    <row r="355" spans="1:20" x14ac:dyDescent="0.25">
      <c r="A355" s="5">
        <v>44238</v>
      </c>
      <c r="B355">
        <v>5.0429999999999997E-3</v>
      </c>
      <c r="C355">
        <v>6.7949999999999998E-3</v>
      </c>
      <c r="D355">
        <v>4.9109999999999996E-3</v>
      </c>
      <c r="E355">
        <v>6.2899999999999996E-3</v>
      </c>
      <c r="F355">
        <v>1360106364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0.46390658174097649</v>
      </c>
      <c r="Q355">
        <f t="shared" si="970"/>
        <v>630962294.12738836</v>
      </c>
      <c r="R355">
        <f t="shared" si="971"/>
        <v>-29764132811.003716</v>
      </c>
      <c r="S355">
        <f t="shared" si="972"/>
        <v>-297641.32811003714</v>
      </c>
      <c r="T355">
        <f t="shared" si="973"/>
        <v>-297.64132811003714</v>
      </c>
    </row>
    <row r="356" spans="1:20" x14ac:dyDescent="0.25">
      <c r="A356" s="5">
        <v>44237</v>
      </c>
      <c r="B356">
        <v>5.2729999999999999E-3</v>
      </c>
      <c r="C356">
        <v>5.3E-3</v>
      </c>
      <c r="D356">
        <v>4.5999999999999999E-3</v>
      </c>
      <c r="E356">
        <v>5.0679999999999996E-3</v>
      </c>
      <c r="F356">
        <v>805682794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0.33714285714285602</v>
      </c>
      <c r="Q356">
        <f t="shared" si="970"/>
        <v>271630199.11999911</v>
      </c>
      <c r="R356">
        <f t="shared" si="971"/>
        <v>-30395095105.131104</v>
      </c>
      <c r="S356">
        <f t="shared" si="972"/>
        <v>-303950.95105131104</v>
      </c>
      <c r="T356">
        <f t="shared" si="973"/>
        <v>-303.95095105131105</v>
      </c>
    </row>
    <row r="357" spans="1:20" x14ac:dyDescent="0.25">
      <c r="A357" s="5">
        <v>44236</v>
      </c>
      <c r="B357">
        <v>4.6909999999999999E-3</v>
      </c>
      <c r="C357">
        <v>5.9490000000000003E-3</v>
      </c>
      <c r="D357">
        <v>4.4349999999999997E-3</v>
      </c>
      <c r="E357">
        <v>5.2729999999999999E-3</v>
      </c>
      <c r="F357">
        <v>1556239029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0.10700132100396285</v>
      </c>
      <c r="Q357">
        <f t="shared" si="970"/>
        <v>166519631.90092444</v>
      </c>
      <c r="R357">
        <f t="shared" si="971"/>
        <v>-30666725304.251102</v>
      </c>
      <c r="S357">
        <f t="shared" si="972"/>
        <v>-306667.253042511</v>
      </c>
      <c r="T357">
        <f t="shared" si="973"/>
        <v>-306.66725304251099</v>
      </c>
    </row>
    <row r="358" spans="1:20" x14ac:dyDescent="0.25">
      <c r="A358" s="5">
        <v>44235</v>
      </c>
      <c r="B358">
        <v>4.163E-3</v>
      </c>
      <c r="C358">
        <v>4.7999999999999996E-3</v>
      </c>
      <c r="D358">
        <v>4.0119999999999999E-3</v>
      </c>
      <c r="E358">
        <v>4.6959999999999997E-3</v>
      </c>
      <c r="F358">
        <v>863926992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0.73604060913705593</v>
      </c>
      <c r="Q358">
        <f t="shared" si="970"/>
        <v>635885349.4416244</v>
      </c>
      <c r="R358">
        <f t="shared" si="971"/>
        <v>-30833244936.152027</v>
      </c>
      <c r="S358">
        <f t="shared" si="972"/>
        <v>-308332.4493615203</v>
      </c>
      <c r="T358">
        <f t="shared" si="973"/>
        <v>-308.33244936152028</v>
      </c>
    </row>
    <row r="359" spans="1:20" x14ac:dyDescent="0.25">
      <c r="A359" s="5">
        <v>44234</v>
      </c>
      <c r="B359">
        <v>4.2640000000000004E-3</v>
      </c>
      <c r="C359">
        <v>4.3220000000000003E-3</v>
      </c>
      <c r="D359">
        <v>3.8890000000000001E-3</v>
      </c>
      <c r="E359">
        <v>4.163E-3</v>
      </c>
      <c r="F359">
        <v>599875142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0.26558891454965261</v>
      </c>
      <c r="Q359">
        <f t="shared" si="970"/>
        <v>159320187.82909873</v>
      </c>
      <c r="R359">
        <f t="shared" si="971"/>
        <v>-31469130285.593651</v>
      </c>
      <c r="S359">
        <f t="shared" si="972"/>
        <v>-314691.30285593652</v>
      </c>
      <c r="T359">
        <f t="shared" si="973"/>
        <v>-314.6913028559365</v>
      </c>
    </row>
    <row r="360" spans="1:20" x14ac:dyDescent="0.25">
      <c r="A360" s="5">
        <v>44233</v>
      </c>
      <c r="B360">
        <v>4.6750000000000003E-3</v>
      </c>
      <c r="C360">
        <v>4.6969999999999998E-3</v>
      </c>
      <c r="D360">
        <v>4.2160000000000001E-3</v>
      </c>
      <c r="E360">
        <v>4.2500000000000003E-3</v>
      </c>
      <c r="F360">
        <v>476610892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-0.85862785862785784</v>
      </c>
      <c r="Q360">
        <f t="shared" si="970"/>
        <v>-409231389.59667325</v>
      </c>
      <c r="R360">
        <f t="shared" si="971"/>
        <v>-31628450473.422749</v>
      </c>
      <c r="S360">
        <f t="shared" si="972"/>
        <v>-316284.50473422749</v>
      </c>
      <c r="T360">
        <f t="shared" si="973"/>
        <v>-316.28450473422748</v>
      </c>
    </row>
    <row r="361" spans="1:20" x14ac:dyDescent="0.25">
      <c r="A361" s="5">
        <v>44232</v>
      </c>
      <c r="B361">
        <v>4.4730000000000004E-3</v>
      </c>
      <c r="C361">
        <v>5.0429999999999997E-3</v>
      </c>
      <c r="D361">
        <v>4.3639999999999998E-3</v>
      </c>
      <c r="E361">
        <v>4.6600000000000001E-3</v>
      </c>
      <c r="F361">
        <v>1232045255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-0.12812960235640561</v>
      </c>
      <c r="Q361">
        <f t="shared" si="970"/>
        <v>-157861468.60824636</v>
      </c>
      <c r="R361">
        <f t="shared" si="971"/>
        <v>-31219219083.826077</v>
      </c>
      <c r="S361">
        <f t="shared" si="972"/>
        <v>-312192.19083826075</v>
      </c>
      <c r="T361">
        <f t="shared" si="973"/>
        <v>-312.19219083826073</v>
      </c>
    </row>
    <row r="362" spans="1:20" x14ac:dyDescent="0.25">
      <c r="A362" s="5">
        <v>44231</v>
      </c>
      <c r="B362">
        <v>4.901E-3</v>
      </c>
      <c r="C362">
        <v>5.4599999999999996E-3</v>
      </c>
      <c r="D362">
        <v>4.1250000000000002E-3</v>
      </c>
      <c r="E362">
        <v>4.4739999999999997E-3</v>
      </c>
      <c r="F362">
        <v>2373123371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-0.47715355805243498</v>
      </c>
      <c r="Q362">
        <f t="shared" si="970"/>
        <v>-1132344260.1700387</v>
      </c>
      <c r="R362">
        <f t="shared" si="971"/>
        <v>-31061357615.217831</v>
      </c>
      <c r="S362">
        <f t="shared" si="972"/>
        <v>-310613.57615217828</v>
      </c>
      <c r="T362">
        <f t="shared" si="973"/>
        <v>-310.61357615217827</v>
      </c>
    </row>
    <row r="363" spans="1:20" x14ac:dyDescent="0.25">
      <c r="A363" s="5">
        <v>44230</v>
      </c>
      <c r="B363">
        <v>3.967E-3</v>
      </c>
      <c r="C363">
        <v>8.8999999999999999E-3</v>
      </c>
      <c r="D363">
        <v>3.7499999999999999E-3</v>
      </c>
      <c r="E363">
        <v>4.9020000000000001E-3</v>
      </c>
      <c r="F363">
        <v>9957882936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-0.55262135922330091</v>
      </c>
      <c r="Q363">
        <f t="shared" si="970"/>
        <v>-5502938803.0788345</v>
      </c>
      <c r="R363">
        <f t="shared" si="971"/>
        <v>-29929013355.047791</v>
      </c>
      <c r="S363">
        <f t="shared" si="972"/>
        <v>-299290.13355047791</v>
      </c>
      <c r="T363">
        <f t="shared" si="973"/>
        <v>-299.29013355047789</v>
      </c>
    </row>
    <row r="364" spans="1:20" x14ac:dyDescent="0.25">
      <c r="A364" s="5">
        <v>44229</v>
      </c>
      <c r="B364">
        <v>3.1570000000000001E-3</v>
      </c>
      <c r="C364">
        <v>4.7450000000000001E-3</v>
      </c>
      <c r="D364">
        <v>3.0500000000000002E-3</v>
      </c>
      <c r="E364">
        <v>3.9680000000000002E-3</v>
      </c>
      <c r="F364">
        <v>2173937544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8.3185840707964642E-2</v>
      </c>
      <c r="Q364">
        <f t="shared" si="970"/>
        <v>180840822.24424788</v>
      </c>
      <c r="R364">
        <f t="shared" si="971"/>
        <v>-24426074551.968956</v>
      </c>
      <c r="S364">
        <f t="shared" si="972"/>
        <v>-244260.74551968955</v>
      </c>
      <c r="T364">
        <f t="shared" si="973"/>
        <v>-244.26074551968955</v>
      </c>
    </row>
    <row r="365" spans="1:20" x14ac:dyDescent="0.25">
      <c r="A365" s="5">
        <v>44228</v>
      </c>
      <c r="B365">
        <v>2.862E-3</v>
      </c>
      <c r="C365">
        <v>3.3630000000000001E-3</v>
      </c>
      <c r="D365">
        <v>2.771E-3</v>
      </c>
      <c r="E365">
        <v>3.166E-3</v>
      </c>
      <c r="F365">
        <v>491193522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0.3344594594594591</v>
      </c>
      <c r="Q365">
        <f t="shared" si="970"/>
        <v>164284319.85810792</v>
      </c>
      <c r="R365">
        <f t="shared" si="971"/>
        <v>-24606915374.213203</v>
      </c>
      <c r="S365">
        <f t="shared" si="972"/>
        <v>-246069.15374213204</v>
      </c>
      <c r="T365">
        <f t="shared" si="973"/>
        <v>-246.06915374213204</v>
      </c>
    </row>
    <row r="366" spans="1:20" x14ac:dyDescent="0.25">
      <c r="A366" s="5">
        <v>44227</v>
      </c>
      <c r="B366">
        <v>3.0209999999999998E-3</v>
      </c>
      <c r="C366">
        <v>3.199E-3</v>
      </c>
      <c r="D366">
        <v>2.7439999999999999E-3</v>
      </c>
      <c r="E366">
        <v>2.8890000000000001E-3</v>
      </c>
      <c r="F366">
        <v>462676780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-0.36263736263736207</v>
      </c>
      <c r="Q366">
        <f t="shared" si="970"/>
        <v>-167783887.252747</v>
      </c>
      <c r="R366">
        <f t="shared" si="971"/>
        <v>-24771199694.071312</v>
      </c>
      <c r="S366">
        <f t="shared" si="972"/>
        <v>-247711.99694071311</v>
      </c>
      <c r="T366">
        <f t="shared" si="973"/>
        <v>-247.71199694071311</v>
      </c>
    </row>
    <row r="367" spans="1:20" x14ac:dyDescent="0.25">
      <c r="A367" s="5">
        <v>44226</v>
      </c>
      <c r="B367">
        <v>3.0839999999999999E-3</v>
      </c>
      <c r="C367">
        <v>3.7989999999999999E-3</v>
      </c>
      <c r="D367">
        <v>3.0000000000000001E-3</v>
      </c>
      <c r="E367">
        <v>3.0200000000000001E-3</v>
      </c>
      <c r="F367">
        <v>784735059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-0.9499374217772214</v>
      </c>
      <c r="Q367">
        <f t="shared" si="970"/>
        <v>-745449198.72465575</v>
      </c>
      <c r="R367">
        <f t="shared" si="971"/>
        <v>-24603415806.818565</v>
      </c>
      <c r="S367">
        <f t="shared" si="972"/>
        <v>-246034.15806818564</v>
      </c>
      <c r="T367">
        <f t="shared" si="973"/>
        <v>-246.03415806818563</v>
      </c>
    </row>
    <row r="368" spans="1:20" x14ac:dyDescent="0.25">
      <c r="A368" s="5">
        <v>44225</v>
      </c>
      <c r="B368">
        <v>2.8570000000000002E-3</v>
      </c>
      <c r="C368">
        <v>3.8990000000000001E-3</v>
      </c>
      <c r="D368">
        <v>2.8E-3</v>
      </c>
      <c r="E368">
        <v>3.0829999999999998E-3</v>
      </c>
      <c r="F368">
        <v>1770365542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-0.48498635122838984</v>
      </c>
      <c r="Q368">
        <f t="shared" si="970"/>
        <v>-858603124.55505073</v>
      </c>
      <c r="R368">
        <f t="shared" si="971"/>
        <v>-23857966608.09391</v>
      </c>
      <c r="S368">
        <f t="shared" si="972"/>
        <v>-238579.66608093909</v>
      </c>
      <c r="T368">
        <f t="shared" si="973"/>
        <v>-238.57966608093909</v>
      </c>
    </row>
    <row r="369" spans="1:20" x14ac:dyDescent="0.25">
      <c r="A369" s="5">
        <v>44224</v>
      </c>
      <c r="B369">
        <v>2.4220000000000001E-3</v>
      </c>
      <c r="C369">
        <v>3.2299999999999998E-3</v>
      </c>
      <c r="D369">
        <v>2.3900000000000002E-3</v>
      </c>
      <c r="E369">
        <v>2.8449999999999999E-3</v>
      </c>
      <c r="F369">
        <v>955928443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8.3333333333333079E-2</v>
      </c>
      <c r="Q369">
        <f t="shared" si="970"/>
        <v>79660703.58333309</v>
      </c>
      <c r="R369">
        <f t="shared" si="971"/>
        <v>-22999363483.53886</v>
      </c>
      <c r="S369">
        <f t="shared" si="972"/>
        <v>-229993.6348353886</v>
      </c>
      <c r="T369">
        <f t="shared" si="973"/>
        <v>-229.9936348353886</v>
      </c>
    </row>
    <row r="370" spans="1:20" x14ac:dyDescent="0.25">
      <c r="A370" s="5">
        <v>44223</v>
      </c>
      <c r="B370">
        <v>2.7130000000000001E-3</v>
      </c>
      <c r="C370">
        <v>2.8509999999999998E-3</v>
      </c>
      <c r="D370">
        <v>2.3869999999999998E-3</v>
      </c>
      <c r="E370">
        <v>2.4320000000000001E-3</v>
      </c>
      <c r="F370">
        <v>443370459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-0.80603448275861922</v>
      </c>
      <c r="Q370">
        <f t="shared" si="970"/>
        <v>-357371878.59051657</v>
      </c>
      <c r="R370">
        <f t="shared" si="971"/>
        <v>-23079024187.122192</v>
      </c>
      <c r="S370">
        <f t="shared" si="972"/>
        <v>-230790.24187122192</v>
      </c>
      <c r="T370">
        <f t="shared" si="973"/>
        <v>-230.79024187122192</v>
      </c>
    </row>
    <row r="371" spans="1:20" x14ac:dyDescent="0.25">
      <c r="A371" s="5">
        <v>44222</v>
      </c>
      <c r="B371">
        <v>2.568E-3</v>
      </c>
      <c r="C371">
        <v>2.947E-3</v>
      </c>
      <c r="D371">
        <v>2.49E-3</v>
      </c>
      <c r="E371">
        <v>2.7160000000000001E-3</v>
      </c>
      <c r="F371">
        <v>588986470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-1.094091903719868E-2</v>
      </c>
      <c r="Q371">
        <f t="shared" si="970"/>
        <v>-6444053.2822754495</v>
      </c>
      <c r="R371">
        <f t="shared" si="971"/>
        <v>-22721652308.531677</v>
      </c>
      <c r="S371">
        <f t="shared" si="972"/>
        <v>-227216.52308531676</v>
      </c>
      <c r="T371">
        <f t="shared" si="973"/>
        <v>-227.21652308531677</v>
      </c>
    </row>
    <row r="372" spans="1:20" x14ac:dyDescent="0.25">
      <c r="A372" s="5">
        <v>44221</v>
      </c>
      <c r="B372">
        <v>2.539E-3</v>
      </c>
      <c r="C372">
        <v>2.7030000000000001E-3</v>
      </c>
      <c r="D372">
        <v>2.49E-3</v>
      </c>
      <c r="E372">
        <v>2.565E-3</v>
      </c>
      <c r="F372">
        <v>258817154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-0.29577464788732438</v>
      </c>
      <c r="Q372">
        <f t="shared" si="970"/>
        <v>-76551552.591549411</v>
      </c>
      <c r="R372">
        <f t="shared" si="971"/>
        <v>-22715208255.249401</v>
      </c>
      <c r="S372">
        <f t="shared" si="972"/>
        <v>-227152.08255249402</v>
      </c>
      <c r="T372">
        <f t="shared" si="973"/>
        <v>-227.15208255249402</v>
      </c>
    </row>
    <row r="373" spans="1:20" x14ac:dyDescent="0.25">
      <c r="A373" s="5">
        <v>44220</v>
      </c>
      <c r="B373">
        <v>2.4789999999999999E-3</v>
      </c>
      <c r="C373">
        <v>2.7950000000000002E-3</v>
      </c>
      <c r="D373">
        <v>2.4359999999999998E-3</v>
      </c>
      <c r="E373">
        <v>2.539E-3</v>
      </c>
      <c r="F373">
        <v>358471219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-0.4261838440111414</v>
      </c>
      <c r="Q373">
        <f t="shared" si="970"/>
        <v>-152774642.0807797</v>
      </c>
      <c r="R373">
        <f t="shared" si="971"/>
        <v>-22638656702.657852</v>
      </c>
      <c r="S373">
        <f t="shared" si="972"/>
        <v>-226386.56702657853</v>
      </c>
      <c r="T373">
        <f t="shared" si="973"/>
        <v>-226.38656702657852</v>
      </c>
    </row>
    <row r="374" spans="1:20" x14ac:dyDescent="0.25">
      <c r="A374" s="5">
        <v>44219</v>
      </c>
      <c r="B374">
        <v>2.405E-3</v>
      </c>
      <c r="C374">
        <v>2.49E-3</v>
      </c>
      <c r="D374">
        <v>2.323E-3</v>
      </c>
      <c r="E374">
        <v>2.4610000000000001E-3</v>
      </c>
      <c r="F374">
        <v>207279600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0.65269461077844382</v>
      </c>
      <c r="Q374">
        <f t="shared" si="970"/>
        <v>135290277.84431154</v>
      </c>
      <c r="R374">
        <f t="shared" si="971"/>
        <v>-22485882060.577072</v>
      </c>
      <c r="S374">
        <f t="shared" si="972"/>
        <v>-224858.82060577071</v>
      </c>
      <c r="T374">
        <f t="shared" si="973"/>
        <v>-224.85882060577072</v>
      </c>
    </row>
    <row r="375" spans="1:20" x14ac:dyDescent="0.25">
      <c r="A375" s="5">
        <v>44218</v>
      </c>
      <c r="B375">
        <v>2.349E-3</v>
      </c>
      <c r="C375">
        <v>2.483E-3</v>
      </c>
      <c r="D375">
        <v>2.1280000000000001E-3</v>
      </c>
      <c r="E375">
        <v>2.405E-3</v>
      </c>
      <c r="F375">
        <v>295092007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0.56056338028169028</v>
      </c>
      <c r="Q375">
        <f t="shared" si="970"/>
        <v>165417772.93802822</v>
      </c>
      <c r="R375">
        <f t="shared" si="971"/>
        <v>-22621172338.421383</v>
      </c>
      <c r="S375">
        <f t="shared" si="972"/>
        <v>-226211.72338421384</v>
      </c>
      <c r="T375">
        <f t="shared" si="973"/>
        <v>-226.21172338421383</v>
      </c>
    </row>
    <row r="376" spans="1:20" x14ac:dyDescent="0.25">
      <c r="A376" s="5">
        <v>44217</v>
      </c>
      <c r="B376">
        <v>2.6580000000000002E-3</v>
      </c>
      <c r="C376">
        <v>2.6940000000000002E-3</v>
      </c>
      <c r="D376">
        <v>2.31E-3</v>
      </c>
      <c r="E376">
        <v>2.3600000000000001E-3</v>
      </c>
      <c r="F376">
        <v>243360710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-0.73958333333333282</v>
      </c>
      <c r="Q376">
        <f t="shared" si="970"/>
        <v>-179985525.10416654</v>
      </c>
      <c r="R376">
        <f t="shared" si="971"/>
        <v>-22786590111.359409</v>
      </c>
      <c r="S376">
        <f t="shared" si="972"/>
        <v>-227865.9011135941</v>
      </c>
      <c r="T376">
        <f t="shared" si="973"/>
        <v>-227.86590111359411</v>
      </c>
    </row>
    <row r="377" spans="1:20" x14ac:dyDescent="0.25">
      <c r="A377" s="5">
        <v>44216</v>
      </c>
      <c r="B377">
        <v>2.6549999999999998E-3</v>
      </c>
      <c r="C377">
        <v>2.8E-3</v>
      </c>
      <c r="D377">
        <v>2.4009999999999999E-3</v>
      </c>
      <c r="E377">
        <v>2.6380000000000002E-3</v>
      </c>
      <c r="F377">
        <v>247047596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0.18796992481203109</v>
      </c>
      <c r="Q377">
        <f t="shared" si="970"/>
        <v>46437518.045113035</v>
      </c>
      <c r="R377">
        <f t="shared" si="971"/>
        <v>-22606604586.255241</v>
      </c>
      <c r="S377">
        <f t="shared" si="972"/>
        <v>-226066.04586255242</v>
      </c>
      <c r="T377">
        <f t="shared" si="973"/>
        <v>-226.06604586255241</v>
      </c>
    </row>
    <row r="378" spans="1:20" x14ac:dyDescent="0.25">
      <c r="A378" s="5">
        <v>44215</v>
      </c>
      <c r="B378">
        <v>2.673E-3</v>
      </c>
      <c r="C378">
        <v>3.0999999999999999E-3</v>
      </c>
      <c r="D378">
        <v>2.6029999999999998E-3</v>
      </c>
      <c r="E378">
        <v>2.6559999999999999E-3</v>
      </c>
      <c r="F378">
        <v>690599964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-0.78672032193158914</v>
      </c>
      <c r="Q378">
        <f t="shared" si="970"/>
        <v>-543309026.00402391</v>
      </c>
      <c r="R378">
        <f t="shared" si="971"/>
        <v>-22653042104.300354</v>
      </c>
      <c r="S378">
        <f t="shared" si="972"/>
        <v>-226530.42104300353</v>
      </c>
      <c r="T378">
        <f t="shared" si="973"/>
        <v>-226.53042104300354</v>
      </c>
    </row>
    <row r="379" spans="1:20" x14ac:dyDescent="0.25">
      <c r="A379" s="5">
        <v>44214</v>
      </c>
      <c r="B379">
        <v>2.434E-3</v>
      </c>
      <c r="C379">
        <v>2.7109999999999999E-3</v>
      </c>
      <c r="D379">
        <v>2.3540000000000002E-3</v>
      </c>
      <c r="E379">
        <v>2.6480000000000002E-3</v>
      </c>
      <c r="F379">
        <v>396011589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0.64705882352941324</v>
      </c>
      <c r="Q379">
        <f t="shared" si="970"/>
        <v>256242792.88235351</v>
      </c>
      <c r="R379">
        <f t="shared" si="971"/>
        <v>-22109733078.296329</v>
      </c>
      <c r="S379">
        <f t="shared" si="972"/>
        <v>-221097.33078296328</v>
      </c>
      <c r="T379">
        <f t="shared" si="973"/>
        <v>-221.0973307829633</v>
      </c>
    </row>
    <row r="380" spans="1:20" x14ac:dyDescent="0.25">
      <c r="A380" s="5">
        <v>44213</v>
      </c>
      <c r="B380">
        <v>2.5370000000000002E-3</v>
      </c>
      <c r="C380">
        <v>2.6099999999999999E-3</v>
      </c>
      <c r="D380">
        <v>2.2989999999999998E-3</v>
      </c>
      <c r="E380">
        <v>2.4420000000000002E-3</v>
      </c>
      <c r="F380">
        <v>314552580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-8.0385852090030255E-2</v>
      </c>
      <c r="Q380">
        <f t="shared" si="970"/>
        <v>-25285577.170417409</v>
      </c>
      <c r="R380">
        <f t="shared" si="971"/>
        <v>-22365975871.178684</v>
      </c>
      <c r="S380">
        <f t="shared" si="972"/>
        <v>-223659.75871178685</v>
      </c>
      <c r="T380">
        <f t="shared" si="973"/>
        <v>-223.65975871178685</v>
      </c>
    </row>
    <row r="381" spans="1:20" x14ac:dyDescent="0.25">
      <c r="A381" s="5">
        <v>44212</v>
      </c>
      <c r="B381">
        <v>2.2980000000000001E-3</v>
      </c>
      <c r="C381">
        <v>2.5850000000000001E-3</v>
      </c>
      <c r="D381">
        <v>2.2590000000000002E-3</v>
      </c>
      <c r="E381">
        <v>2.5490000000000001E-3</v>
      </c>
      <c r="F381">
        <v>453139342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0.77914110429447836</v>
      </c>
      <c r="Q381">
        <f t="shared" si="970"/>
        <v>353059487.32515329</v>
      </c>
      <c r="R381">
        <f t="shared" si="971"/>
        <v>-22340690294.008266</v>
      </c>
      <c r="S381">
        <f t="shared" si="972"/>
        <v>-223406.90294008265</v>
      </c>
      <c r="T381">
        <f t="shared" si="973"/>
        <v>-223.40690294008266</v>
      </c>
    </row>
    <row r="382" spans="1:20" x14ac:dyDescent="0.25">
      <c r="A382" s="5">
        <v>44211</v>
      </c>
      <c r="B382">
        <v>2.2989999999999998E-3</v>
      </c>
      <c r="C382">
        <v>2.398E-3</v>
      </c>
      <c r="D382">
        <v>2.1220000000000002E-3</v>
      </c>
      <c r="E382">
        <v>2.2780000000000001E-3</v>
      </c>
      <c r="F382">
        <v>290476055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0.13043478260869579</v>
      </c>
      <c r="Q382">
        <f t="shared" si="970"/>
        <v>37888181.086956561</v>
      </c>
      <c r="R382">
        <f t="shared" si="971"/>
        <v>-22693749781.33342</v>
      </c>
      <c r="S382">
        <f t="shared" si="972"/>
        <v>-226937.49781333419</v>
      </c>
      <c r="T382">
        <f t="shared" si="973"/>
        <v>-226.9374978133342</v>
      </c>
    </row>
    <row r="383" spans="1:20" x14ac:dyDescent="0.25">
      <c r="A383" s="5">
        <v>44210</v>
      </c>
      <c r="B383">
        <v>2.31E-3</v>
      </c>
      <c r="C383">
        <v>2.385E-3</v>
      </c>
      <c r="D383">
        <v>2.173E-3</v>
      </c>
      <c r="E383">
        <v>2.294E-3</v>
      </c>
      <c r="F383">
        <v>183429251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0.14150943396226456</v>
      </c>
      <c r="Q383">
        <f t="shared" si="970"/>
        <v>25956969.48113215</v>
      </c>
      <c r="R383">
        <f t="shared" si="971"/>
        <v>-22731637962.420376</v>
      </c>
      <c r="S383">
        <f t="shared" si="972"/>
        <v>-227316.37962420375</v>
      </c>
      <c r="T383">
        <f t="shared" si="973"/>
        <v>-227.31637962420376</v>
      </c>
    </row>
    <row r="384" spans="1:20" x14ac:dyDescent="0.25">
      <c r="A384" s="5">
        <v>44209</v>
      </c>
      <c r="B384">
        <v>2.1120000000000002E-3</v>
      </c>
      <c r="C384">
        <v>2.31E-3</v>
      </c>
      <c r="D384">
        <v>2.055E-3</v>
      </c>
      <c r="E384">
        <v>2.31E-3</v>
      </c>
      <c r="F384">
        <v>208857192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1</v>
      </c>
      <c r="Q384">
        <f t="shared" si="970"/>
        <v>208857192</v>
      </c>
      <c r="R384">
        <f t="shared" si="971"/>
        <v>-22757594931.901508</v>
      </c>
      <c r="S384">
        <f t="shared" si="972"/>
        <v>-227575.94931901508</v>
      </c>
      <c r="T384">
        <f t="shared" si="973"/>
        <v>-227.57594931901508</v>
      </c>
    </row>
    <row r="385" spans="1:20" x14ac:dyDescent="0.25">
      <c r="A385" s="5">
        <v>44208</v>
      </c>
      <c r="B385">
        <v>2.2000000000000001E-3</v>
      </c>
      <c r="C385">
        <v>2.398E-3</v>
      </c>
      <c r="D385">
        <v>2.0799999999999998E-3</v>
      </c>
      <c r="E385">
        <v>2.1020000000000001E-3</v>
      </c>
      <c r="F385">
        <v>238766204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-0.8616352201257842</v>
      </c>
      <c r="Q385">
        <f t="shared" si="970"/>
        <v>-205729370.74213791</v>
      </c>
      <c r="R385">
        <f t="shared" si="971"/>
        <v>-22966452123.901508</v>
      </c>
      <c r="S385">
        <f t="shared" si="972"/>
        <v>-229664.52123901507</v>
      </c>
      <c r="T385">
        <f t="shared" si="973"/>
        <v>-229.66452123901507</v>
      </c>
    </row>
    <row r="386" spans="1:20" x14ac:dyDescent="0.25">
      <c r="A386" s="5">
        <v>44207</v>
      </c>
      <c r="B386">
        <v>2.5690000000000001E-3</v>
      </c>
      <c r="C386">
        <v>2.5899999999999999E-3</v>
      </c>
      <c r="D386">
        <v>1.9530000000000001E-3</v>
      </c>
      <c r="E386">
        <v>2.2190000000000001E-3</v>
      </c>
      <c r="F386">
        <v>501390767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-0.16483516483516464</v>
      </c>
      <c r="Q386">
        <f t="shared" si="970"/>
        <v>-82646829.725274622</v>
      </c>
      <c r="R386">
        <f t="shared" si="971"/>
        <v>-22760722753.15937</v>
      </c>
      <c r="S386">
        <f t="shared" si="972"/>
        <v>-227607.2275315937</v>
      </c>
      <c r="T386">
        <f t="shared" si="973"/>
        <v>-227.60722753159371</v>
      </c>
    </row>
    <row r="387" spans="1:20" x14ac:dyDescent="0.25">
      <c r="A387" s="5">
        <v>44206</v>
      </c>
      <c r="B387">
        <v>2.6210000000000001E-3</v>
      </c>
      <c r="C387">
        <v>2.771E-3</v>
      </c>
      <c r="D387">
        <v>2.3E-3</v>
      </c>
      <c r="E387">
        <v>2.5690000000000001E-3</v>
      </c>
      <c r="F387">
        <v>669436677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0.14225053078556307</v>
      </c>
      <c r="Q387">
        <f t="shared" si="970"/>
        <v>95227722.630573541</v>
      </c>
      <c r="R387">
        <f t="shared" si="971"/>
        <v>-22678075923.434097</v>
      </c>
      <c r="S387">
        <f t="shared" si="972"/>
        <v>-226780.75923434098</v>
      </c>
      <c r="T387">
        <f t="shared" si="973"/>
        <v>-226.78075923434099</v>
      </c>
    </row>
    <row r="388" spans="1:20" x14ac:dyDescent="0.25">
      <c r="A388" s="5">
        <v>44205</v>
      </c>
      <c r="B388">
        <v>2.3059999999999999E-3</v>
      </c>
      <c r="C388">
        <v>3.2810000000000001E-3</v>
      </c>
      <c r="D388">
        <v>2.3050000000000002E-3</v>
      </c>
      <c r="E388">
        <v>2.611E-3</v>
      </c>
      <c r="F388">
        <v>1918031490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-0.3729508196721314</v>
      </c>
      <c r="Q388">
        <f t="shared" si="970"/>
        <v>-715331416.35245955</v>
      </c>
      <c r="R388">
        <f t="shared" si="971"/>
        <v>-22773303646.064671</v>
      </c>
      <c r="S388">
        <f t="shared" si="972"/>
        <v>-227733.03646064672</v>
      </c>
      <c r="T388">
        <f t="shared" si="973"/>
        <v>-227.73303646064673</v>
      </c>
    </row>
    <row r="389" spans="1:20" x14ac:dyDescent="0.25">
      <c r="A389" s="5">
        <v>44204</v>
      </c>
      <c r="B389">
        <v>2.2989999999999998E-3</v>
      </c>
      <c r="C389">
        <v>2.3909999999999999E-3</v>
      </c>
      <c r="D389">
        <v>2.1280000000000001E-3</v>
      </c>
      <c r="E389">
        <v>2.3249999999999998E-3</v>
      </c>
      <c r="F389">
        <v>214607678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0.49809885931558828</v>
      </c>
      <c r="Q389">
        <f t="shared" si="970"/>
        <v>106895839.61216708</v>
      </c>
      <c r="R389">
        <f t="shared" si="971"/>
        <v>-22057972229.712212</v>
      </c>
      <c r="S389">
        <f t="shared" si="972"/>
        <v>-220579.72229712212</v>
      </c>
      <c r="T389">
        <f t="shared" si="973"/>
        <v>-220.57972229712212</v>
      </c>
    </row>
    <row r="390" spans="1:20" x14ac:dyDescent="0.25">
      <c r="A390" s="5">
        <v>44203</v>
      </c>
      <c r="B390">
        <v>2.147E-3</v>
      </c>
      <c r="C390">
        <v>2.496E-3</v>
      </c>
      <c r="D390">
        <v>2.1199999999999999E-3</v>
      </c>
      <c r="E390">
        <v>2.2989999999999998E-3</v>
      </c>
      <c r="F390">
        <v>453849573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-4.7872340425532497E-2</v>
      </c>
      <c r="Q390">
        <f t="shared" ref="Q390:Q453" si="975">F390*P390</f>
        <v>-21726841.260638561</v>
      </c>
      <c r="R390">
        <f t="shared" ref="R390:R453" si="976">R391+Q390</f>
        <v>-22164868069.324379</v>
      </c>
      <c r="S390">
        <f t="shared" ref="S390:S453" si="977">R390/100000</f>
        <v>-221648.68069324378</v>
      </c>
      <c r="T390">
        <f t="shared" ref="T390:T453" si="978">S390/1000</f>
        <v>-221.64868069324376</v>
      </c>
    </row>
    <row r="391" spans="1:20" x14ac:dyDescent="0.25">
      <c r="A391" s="5">
        <v>44202</v>
      </c>
      <c r="B391">
        <v>2.0890000000000001E-3</v>
      </c>
      <c r="C391">
        <v>2.1700000000000001E-3</v>
      </c>
      <c r="D391">
        <v>2.0209999999999998E-3</v>
      </c>
      <c r="E391">
        <v>2.137E-3</v>
      </c>
      <c r="F391">
        <v>268184378</v>
      </c>
      <c r="G391">
        <v>0</v>
      </c>
      <c r="L391" t="s">
        <v>8</v>
      </c>
      <c r="M391" t="s">
        <v>7</v>
      </c>
      <c r="N391" t="s">
        <v>8</v>
      </c>
      <c r="P391">
        <f t="shared" si="974"/>
        <v>0.55704697986577201</v>
      </c>
      <c r="Q391">
        <f t="shared" si="975"/>
        <v>149391297.81208059</v>
      </c>
      <c r="R391">
        <f t="shared" si="976"/>
        <v>-22143141228.06374</v>
      </c>
      <c r="S391">
        <f t="shared" si="977"/>
        <v>-221431.41228063739</v>
      </c>
      <c r="T391">
        <f t="shared" si="978"/>
        <v>-221.4314122806374</v>
      </c>
    </row>
    <row r="392" spans="1:20" x14ac:dyDescent="0.25">
      <c r="A392" s="5">
        <v>44201</v>
      </c>
      <c r="B392">
        <v>2.0270000000000002E-3</v>
      </c>
      <c r="C392">
        <v>2.1749999999999999E-3</v>
      </c>
      <c r="D392">
        <v>1.9530000000000001E-3</v>
      </c>
      <c r="E392">
        <v>2.0890000000000001E-3</v>
      </c>
      <c r="F392">
        <v>172885783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0.22522522522522703</v>
      </c>
      <c r="Q392">
        <f t="shared" si="975"/>
        <v>38938239.414414726</v>
      </c>
      <c r="R392">
        <f t="shared" si="976"/>
        <v>-22292532525.87582</v>
      </c>
      <c r="S392">
        <f t="shared" si="977"/>
        <v>-222925.32525875821</v>
      </c>
      <c r="T392">
        <f t="shared" si="978"/>
        <v>-222.92532525875822</v>
      </c>
    </row>
    <row r="393" spans="1:20" x14ac:dyDescent="0.25">
      <c r="A393" s="5">
        <v>44200</v>
      </c>
      <c r="B393">
        <v>2.0760000000000002E-3</v>
      </c>
      <c r="C393">
        <v>2.2030000000000001E-3</v>
      </c>
      <c r="D393">
        <v>1.9480000000000001E-3</v>
      </c>
      <c r="E393">
        <v>2.0209999999999998E-3</v>
      </c>
      <c r="F393">
        <v>244762248</v>
      </c>
      <c r="G393">
        <v>0</v>
      </c>
      <c r="L393" t="s">
        <v>8</v>
      </c>
      <c r="M393" t="s">
        <v>7</v>
      </c>
      <c r="N393" t="s">
        <v>8</v>
      </c>
      <c r="P393">
        <f t="shared" si="974"/>
        <v>-0.42745098039215912</v>
      </c>
      <c r="Q393">
        <f t="shared" si="975"/>
        <v>-104623862.87058879</v>
      </c>
      <c r="R393">
        <f t="shared" si="976"/>
        <v>-22331470765.290234</v>
      </c>
      <c r="S393">
        <f t="shared" si="977"/>
        <v>-223314.70765290235</v>
      </c>
      <c r="T393">
        <f t="shared" si="978"/>
        <v>-223.31470765290234</v>
      </c>
    </row>
    <row r="394" spans="1:20" x14ac:dyDescent="0.25">
      <c r="A394" s="5">
        <v>44199</v>
      </c>
      <c r="B394">
        <v>2.0240000000000002E-3</v>
      </c>
      <c r="C394">
        <v>2.2000000000000001E-3</v>
      </c>
      <c r="D394">
        <v>2E-3</v>
      </c>
      <c r="E394">
        <v>2.0769999999999999E-3</v>
      </c>
      <c r="F394">
        <v>274502719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-0.23000000000000223</v>
      </c>
      <c r="Q394">
        <f t="shared" si="975"/>
        <v>-63135625.370000616</v>
      </c>
      <c r="R394">
        <f t="shared" si="976"/>
        <v>-22226846902.419643</v>
      </c>
      <c r="S394">
        <f t="shared" si="977"/>
        <v>-222268.46902419644</v>
      </c>
      <c r="T394">
        <f t="shared" si="978"/>
        <v>-222.26846902419643</v>
      </c>
    </row>
    <row r="395" spans="1:20" x14ac:dyDescent="0.25">
      <c r="A395" s="5">
        <v>44198</v>
      </c>
      <c r="B395">
        <v>2.0990000000000002E-3</v>
      </c>
      <c r="C395">
        <v>2.1879999999999998E-3</v>
      </c>
      <c r="D395">
        <v>1.9650000000000002E-3</v>
      </c>
      <c r="E395">
        <v>2.006E-3</v>
      </c>
      <c r="F395">
        <v>330085292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-0.63228699551569634</v>
      </c>
      <c r="Q395">
        <f t="shared" si="975"/>
        <v>-208708637.54260132</v>
      </c>
      <c r="R395">
        <f t="shared" si="976"/>
        <v>-22163711277.049644</v>
      </c>
      <c r="S395">
        <f t="shared" si="977"/>
        <v>-221637.11277049643</v>
      </c>
      <c r="T395">
        <f t="shared" si="978"/>
        <v>-221.63711277049643</v>
      </c>
    </row>
    <row r="396" spans="1:20" x14ac:dyDescent="0.25">
      <c r="A396" s="5">
        <v>44197</v>
      </c>
      <c r="B396">
        <v>1.9449999999999999E-3</v>
      </c>
      <c r="C396">
        <v>2.49E-3</v>
      </c>
      <c r="D396">
        <v>1.9449999999999999E-3</v>
      </c>
      <c r="E396">
        <v>2.0990000000000002E-3</v>
      </c>
      <c r="F396">
        <v>830971812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-0.43486238532110005</v>
      </c>
      <c r="Q396">
        <f t="shared" si="975"/>
        <v>-361358384.30091673</v>
      </c>
      <c r="R396">
        <f t="shared" si="976"/>
        <v>-21955002639.507042</v>
      </c>
      <c r="S396">
        <f t="shared" si="977"/>
        <v>-219550.02639507042</v>
      </c>
      <c r="T396">
        <f t="shared" si="978"/>
        <v>-219.55002639507043</v>
      </c>
    </row>
    <row r="397" spans="1:20" x14ac:dyDescent="0.25">
      <c r="A397" s="5">
        <v>44196</v>
      </c>
      <c r="B397">
        <v>1.931E-3</v>
      </c>
      <c r="C397">
        <v>1.97E-3</v>
      </c>
      <c r="D397">
        <v>1.895E-3</v>
      </c>
      <c r="E397">
        <v>1.946E-3</v>
      </c>
      <c r="F397">
        <v>45159049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0.3600000000000016</v>
      </c>
      <c r="Q397">
        <f t="shared" si="975"/>
        <v>16257257.640000071</v>
      </c>
      <c r="R397">
        <f t="shared" si="976"/>
        <v>-21593644255.206123</v>
      </c>
      <c r="S397">
        <f t="shared" si="977"/>
        <v>-215936.44255206123</v>
      </c>
      <c r="T397">
        <f t="shared" si="978"/>
        <v>-215.93644255206124</v>
      </c>
    </row>
    <row r="398" spans="1:20" x14ac:dyDescent="0.25">
      <c r="A398" s="5">
        <v>44195</v>
      </c>
      <c r="B398">
        <v>2E-3</v>
      </c>
      <c r="C398">
        <v>2.075E-3</v>
      </c>
      <c r="D398">
        <v>1.921E-3</v>
      </c>
      <c r="E398">
        <v>1.939E-3</v>
      </c>
      <c r="F398">
        <v>87307914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-0.76623376623376627</v>
      </c>
      <c r="Q398">
        <f t="shared" si="975"/>
        <v>-66898271.766233772</v>
      </c>
      <c r="R398">
        <f t="shared" si="976"/>
        <v>-21609901512.846123</v>
      </c>
      <c r="S398">
        <f t="shared" si="977"/>
        <v>-216099.01512846124</v>
      </c>
      <c r="T398">
        <f t="shared" si="978"/>
        <v>-216.09901512846125</v>
      </c>
    </row>
    <row r="399" spans="1:20" x14ac:dyDescent="0.25">
      <c r="A399" s="5">
        <v>44194</v>
      </c>
      <c r="B399">
        <v>2.1310000000000001E-3</v>
      </c>
      <c r="C399">
        <v>2.1559999999999999E-3</v>
      </c>
      <c r="D399">
        <v>1.8910000000000001E-3</v>
      </c>
      <c r="E399">
        <v>1.9980000000000002E-3</v>
      </c>
      <c r="F399">
        <v>168229822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-0.1924528301886779</v>
      </c>
      <c r="Q399">
        <f t="shared" si="975"/>
        <v>-32376305.36603751</v>
      </c>
      <c r="R399">
        <f t="shared" si="976"/>
        <v>-21543003241.079887</v>
      </c>
      <c r="S399">
        <f t="shared" si="977"/>
        <v>-215430.03241079889</v>
      </c>
      <c r="T399">
        <f t="shared" si="978"/>
        <v>-215.43003241079887</v>
      </c>
    </row>
    <row r="400" spans="1:20" x14ac:dyDescent="0.25">
      <c r="A400" s="5">
        <v>44193</v>
      </c>
      <c r="B400">
        <v>1.99E-3</v>
      </c>
      <c r="C400">
        <v>2.2880000000000001E-3</v>
      </c>
      <c r="D400">
        <v>1.9620000000000002E-3</v>
      </c>
      <c r="E400">
        <v>2.1310000000000001E-3</v>
      </c>
      <c r="F400">
        <v>204873830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3.6809815950919818E-2</v>
      </c>
      <c r="Q400">
        <f t="shared" si="975"/>
        <v>7541367.9754600348</v>
      </c>
      <c r="R400">
        <f t="shared" si="976"/>
        <v>-21510626935.713848</v>
      </c>
      <c r="S400">
        <f t="shared" si="977"/>
        <v>-215106.26935713849</v>
      </c>
      <c r="T400">
        <f t="shared" si="978"/>
        <v>-215.1062693571385</v>
      </c>
    </row>
    <row r="401" spans="1:20" x14ac:dyDescent="0.25">
      <c r="A401" s="5">
        <v>44192</v>
      </c>
      <c r="B401">
        <v>1.903E-3</v>
      </c>
      <c r="C401">
        <v>2.0990000000000002E-3</v>
      </c>
      <c r="D401">
        <v>1.89E-3</v>
      </c>
      <c r="E401">
        <v>1.9759999999999999E-3</v>
      </c>
      <c r="F401">
        <v>140206615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-0.17703349282296804</v>
      </c>
      <c r="Q401">
        <f t="shared" si="975"/>
        <v>-24821266.770335142</v>
      </c>
      <c r="R401">
        <f t="shared" si="976"/>
        <v>-21518168303.689308</v>
      </c>
      <c r="S401">
        <f t="shared" si="977"/>
        <v>-215181.68303689308</v>
      </c>
      <c r="T401">
        <f t="shared" si="978"/>
        <v>-215.18168303689308</v>
      </c>
    </row>
    <row r="402" spans="1:20" x14ac:dyDescent="0.25">
      <c r="A402" s="5">
        <v>44191</v>
      </c>
      <c r="B402">
        <v>2.0019999999999999E-3</v>
      </c>
      <c r="C402">
        <v>2.0430000000000001E-3</v>
      </c>
      <c r="D402">
        <v>1.879E-3</v>
      </c>
      <c r="E402">
        <v>1.892E-3</v>
      </c>
      <c r="F402">
        <v>126059655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-0.84146341463414653</v>
      </c>
      <c r="Q402">
        <f t="shared" si="975"/>
        <v>-106074587.74390246</v>
      </c>
      <c r="R402">
        <f t="shared" si="976"/>
        <v>-21493347036.918972</v>
      </c>
      <c r="S402">
        <f t="shared" si="977"/>
        <v>-214933.47036918972</v>
      </c>
      <c r="T402">
        <f t="shared" si="978"/>
        <v>-214.93347036918971</v>
      </c>
    </row>
    <row r="403" spans="1:20" x14ac:dyDescent="0.25">
      <c r="A403" s="5">
        <v>44190</v>
      </c>
      <c r="B403">
        <v>2.0040000000000001E-3</v>
      </c>
      <c r="C403">
        <v>2.1459999999999999E-3</v>
      </c>
      <c r="D403">
        <v>1.92E-3</v>
      </c>
      <c r="E403">
        <v>1.9870000000000001E-3</v>
      </c>
      <c r="F403">
        <v>96800512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-0.40707964601769869</v>
      </c>
      <c r="Q403">
        <f t="shared" si="975"/>
        <v>-39405518.159291998</v>
      </c>
      <c r="R403">
        <f t="shared" si="976"/>
        <v>-21387272449.175068</v>
      </c>
      <c r="S403">
        <f t="shared" si="977"/>
        <v>-213872.72449175068</v>
      </c>
      <c r="T403">
        <f t="shared" si="978"/>
        <v>-213.87272449175069</v>
      </c>
    </row>
    <row r="404" spans="1:20" x14ac:dyDescent="0.25">
      <c r="A404" s="5">
        <v>44189</v>
      </c>
      <c r="B404">
        <v>1.784E-3</v>
      </c>
      <c r="C404">
        <v>2.0100000000000001E-3</v>
      </c>
      <c r="D404">
        <v>1.73E-3</v>
      </c>
      <c r="E404">
        <v>1.98E-3</v>
      </c>
      <c r="F404">
        <v>93427669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0.78571428571428525</v>
      </c>
      <c r="Q404">
        <f t="shared" si="975"/>
        <v>73407454.214285672</v>
      </c>
      <c r="R404">
        <f t="shared" si="976"/>
        <v>-21347866931.015778</v>
      </c>
      <c r="S404">
        <f t="shared" si="977"/>
        <v>-213478.66931015777</v>
      </c>
      <c r="T404">
        <f t="shared" si="978"/>
        <v>-213.47866931015776</v>
      </c>
    </row>
    <row r="405" spans="1:20" x14ac:dyDescent="0.25">
      <c r="A405" s="5">
        <v>44188</v>
      </c>
      <c r="B405">
        <v>2.2290000000000001E-3</v>
      </c>
      <c r="C405">
        <v>2.31E-3</v>
      </c>
      <c r="D405">
        <v>1.6999999999999999E-3</v>
      </c>
      <c r="E405">
        <v>1.787E-3</v>
      </c>
      <c r="F405">
        <v>285717831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-0.71475409836065562</v>
      </c>
      <c r="Q405">
        <f t="shared" si="975"/>
        <v>-204217990.68196717</v>
      </c>
      <c r="R405">
        <f t="shared" si="976"/>
        <v>-21421274385.230064</v>
      </c>
      <c r="S405">
        <f t="shared" si="977"/>
        <v>-214212.74385230066</v>
      </c>
      <c r="T405">
        <f t="shared" si="978"/>
        <v>-214.21274385230066</v>
      </c>
    </row>
    <row r="406" spans="1:20" x14ac:dyDescent="0.25">
      <c r="A406" s="5">
        <v>44187</v>
      </c>
      <c r="B406">
        <v>2.2300000000000002E-3</v>
      </c>
      <c r="C406">
        <v>2.2750000000000001E-3</v>
      </c>
      <c r="D406">
        <v>2.1849999999999999E-3</v>
      </c>
      <c r="E406">
        <v>2.2409999999999999E-3</v>
      </c>
      <c r="F406">
        <v>97532010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0.24444444444444252</v>
      </c>
      <c r="Q406">
        <f t="shared" si="975"/>
        <v>23841157.999999814</v>
      </c>
      <c r="R406">
        <f t="shared" si="976"/>
        <v>-21217056394.548096</v>
      </c>
      <c r="S406">
        <f t="shared" si="977"/>
        <v>-212170.56394548094</v>
      </c>
      <c r="T406">
        <f t="shared" si="978"/>
        <v>-212.17056394548095</v>
      </c>
    </row>
    <row r="407" spans="1:20" x14ac:dyDescent="0.25">
      <c r="A407" s="5">
        <v>44186</v>
      </c>
      <c r="B407">
        <v>2.4359999999999998E-3</v>
      </c>
      <c r="C407">
        <v>2.4359999999999998E-3</v>
      </c>
      <c r="D407">
        <v>2.1849999999999999E-3</v>
      </c>
      <c r="E407">
        <v>2.2409999999999999E-3</v>
      </c>
      <c r="F407">
        <v>265697944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-0.55378486055776832</v>
      </c>
      <c r="Q407">
        <f t="shared" si="975"/>
        <v>-147139498.86852574</v>
      </c>
      <c r="R407">
        <f t="shared" si="976"/>
        <v>-21240897552.548096</v>
      </c>
      <c r="S407">
        <f t="shared" si="977"/>
        <v>-212408.97552548096</v>
      </c>
      <c r="T407">
        <f t="shared" si="978"/>
        <v>-212.40897552548097</v>
      </c>
    </row>
    <row r="408" spans="1:20" x14ac:dyDescent="0.25">
      <c r="A408" s="5">
        <v>44185</v>
      </c>
      <c r="B408">
        <v>2.3110000000000001E-3</v>
      </c>
      <c r="C408">
        <v>2.7759999999999998E-3</v>
      </c>
      <c r="D408">
        <v>2.258E-3</v>
      </c>
      <c r="E408">
        <v>2.421E-3</v>
      </c>
      <c r="F408">
        <v>792342932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-0.37065637065637058</v>
      </c>
      <c r="Q408">
        <f t="shared" si="975"/>
        <v>-293686955.49034745</v>
      </c>
      <c r="R408">
        <f t="shared" si="976"/>
        <v>-21093758053.679569</v>
      </c>
      <c r="S408">
        <f t="shared" si="977"/>
        <v>-210937.58053679569</v>
      </c>
      <c r="T408">
        <f t="shared" si="978"/>
        <v>-210.93758053679568</v>
      </c>
    </row>
    <row r="409" spans="1:20" x14ac:dyDescent="0.25">
      <c r="A409" s="5">
        <v>44184</v>
      </c>
      <c r="B409">
        <v>2.3149999999999998E-3</v>
      </c>
      <c r="C409">
        <v>2.3500000000000001E-3</v>
      </c>
      <c r="D409">
        <v>2.251E-3</v>
      </c>
      <c r="E409">
        <v>2.3289999999999999E-3</v>
      </c>
      <c r="F409">
        <v>123316891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0.57575757575757258</v>
      </c>
      <c r="Q409">
        <f t="shared" si="975"/>
        <v>71000634.212120816</v>
      </c>
      <c r="R409">
        <f t="shared" si="976"/>
        <v>-20800071098.18922</v>
      </c>
      <c r="S409">
        <f t="shared" si="977"/>
        <v>-208000.71098189222</v>
      </c>
      <c r="T409">
        <f t="shared" si="978"/>
        <v>-208.00071098189221</v>
      </c>
    </row>
    <row r="410" spans="1:20" x14ac:dyDescent="0.25">
      <c r="A410" s="5">
        <v>44183</v>
      </c>
      <c r="B410">
        <v>2.3219999999999998E-3</v>
      </c>
      <c r="C410">
        <v>2.3860000000000001E-3</v>
      </c>
      <c r="D410">
        <v>2.2300000000000002E-3</v>
      </c>
      <c r="E410">
        <v>2.3110000000000001E-3</v>
      </c>
      <c r="F410">
        <v>100514839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3.8461538461538033E-2</v>
      </c>
      <c r="Q410">
        <f t="shared" si="975"/>
        <v>3865955.3461538032</v>
      </c>
      <c r="R410">
        <f t="shared" si="976"/>
        <v>-20871071732.40134</v>
      </c>
      <c r="S410">
        <f t="shared" si="977"/>
        <v>-208710.71732401341</v>
      </c>
      <c r="T410">
        <f t="shared" si="978"/>
        <v>-208.71071732401342</v>
      </c>
    </row>
    <row r="411" spans="1:20" x14ac:dyDescent="0.25">
      <c r="A411" s="5">
        <v>44182</v>
      </c>
      <c r="B411">
        <v>2.3319999999999999E-3</v>
      </c>
      <c r="C411">
        <v>2.4420000000000002E-3</v>
      </c>
      <c r="D411">
        <v>2.1029999999999998E-3</v>
      </c>
      <c r="E411">
        <v>2.3219999999999998E-3</v>
      </c>
      <c r="F411">
        <v>414481892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0.29203539823008734</v>
      </c>
      <c r="Q411">
        <f t="shared" si="975"/>
        <v>121043384.38938005</v>
      </c>
      <c r="R411">
        <f t="shared" si="976"/>
        <v>-20874937687.747494</v>
      </c>
      <c r="S411">
        <f t="shared" si="977"/>
        <v>-208749.37687747495</v>
      </c>
      <c r="T411">
        <f t="shared" si="978"/>
        <v>-208.74937687747496</v>
      </c>
    </row>
    <row r="412" spans="1:20" x14ac:dyDescent="0.25">
      <c r="A412" s="5">
        <v>44181</v>
      </c>
      <c r="B412">
        <v>2.3089999999999999E-3</v>
      </c>
      <c r="C412">
        <v>2.3869999999999998E-3</v>
      </c>
      <c r="D412">
        <v>2.2169999999999998E-3</v>
      </c>
      <c r="E412">
        <v>2.3319999999999999E-3</v>
      </c>
      <c r="F412">
        <v>157762773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0.35294117647058915</v>
      </c>
      <c r="Q412">
        <f t="shared" si="975"/>
        <v>55680978.705882497</v>
      </c>
      <c r="R412">
        <f t="shared" si="976"/>
        <v>-20995981072.136875</v>
      </c>
      <c r="S412">
        <f t="shared" si="977"/>
        <v>-209959.81072136876</v>
      </c>
      <c r="T412">
        <f t="shared" si="978"/>
        <v>-209.95981072136877</v>
      </c>
    </row>
    <row r="413" spans="1:20" x14ac:dyDescent="0.25">
      <c r="A413" s="5">
        <v>44180</v>
      </c>
      <c r="B413">
        <v>2.3189999999999999E-3</v>
      </c>
      <c r="C413">
        <v>2.3909999999999999E-3</v>
      </c>
      <c r="D413">
        <v>2.281E-3</v>
      </c>
      <c r="E413">
        <v>2.3089999999999999E-3</v>
      </c>
      <c r="F413">
        <v>89905208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-0.49090909090909363</v>
      </c>
      <c r="Q413">
        <f t="shared" si="975"/>
        <v>-44135283.927272968</v>
      </c>
      <c r="R413">
        <f t="shared" si="976"/>
        <v>-21051662050.842758</v>
      </c>
      <c r="S413">
        <f t="shared" si="977"/>
        <v>-210516.62050842759</v>
      </c>
      <c r="T413">
        <f t="shared" si="978"/>
        <v>-210.51662050842759</v>
      </c>
    </row>
    <row r="414" spans="1:20" x14ac:dyDescent="0.25">
      <c r="A414" s="5">
        <v>44179</v>
      </c>
      <c r="B414">
        <v>2.3770000000000002E-3</v>
      </c>
      <c r="C414">
        <v>2.379E-3</v>
      </c>
      <c r="D414">
        <v>2.2599999999999999E-3</v>
      </c>
      <c r="E414">
        <v>2.3349999999999998E-3</v>
      </c>
      <c r="F414">
        <v>69399688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0.26050420168067001</v>
      </c>
      <c r="Q414">
        <f t="shared" si="975"/>
        <v>18078910.319327574</v>
      </c>
      <c r="R414">
        <f t="shared" si="976"/>
        <v>-21007526766.915485</v>
      </c>
      <c r="S414">
        <f t="shared" si="977"/>
        <v>-210075.26766915485</v>
      </c>
      <c r="T414">
        <f t="shared" si="978"/>
        <v>-210.07526766915487</v>
      </c>
    </row>
    <row r="415" spans="1:20" x14ac:dyDescent="0.25">
      <c r="A415" s="5">
        <v>44178</v>
      </c>
      <c r="B415">
        <v>2.2659999999999998E-3</v>
      </c>
      <c r="C415">
        <v>2.392E-3</v>
      </c>
      <c r="D415">
        <v>2.2399999999999998E-3</v>
      </c>
      <c r="E415">
        <v>2.379E-3</v>
      </c>
      <c r="F415">
        <v>122594271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0.82894736842105299</v>
      </c>
      <c r="Q415">
        <f t="shared" si="975"/>
        <v>101624198.32894741</v>
      </c>
      <c r="R415">
        <f t="shared" si="976"/>
        <v>-21025605677.234814</v>
      </c>
      <c r="S415">
        <f t="shared" si="977"/>
        <v>-210256.05677234815</v>
      </c>
      <c r="T415">
        <f t="shared" si="978"/>
        <v>-210.25605677234816</v>
      </c>
    </row>
    <row r="416" spans="1:20" x14ac:dyDescent="0.25">
      <c r="A416" s="5">
        <v>44177</v>
      </c>
      <c r="B416">
        <v>2.14E-3</v>
      </c>
      <c r="C416">
        <v>2.3140000000000001E-3</v>
      </c>
      <c r="D416">
        <v>2.1329999999999999E-3</v>
      </c>
      <c r="E416">
        <v>2.2650000000000001E-3</v>
      </c>
      <c r="F416">
        <v>99388736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0.45856353591160276</v>
      </c>
      <c r="Q416">
        <f t="shared" si="975"/>
        <v>45576050.209944807</v>
      </c>
      <c r="R416">
        <f t="shared" si="976"/>
        <v>-21127229875.563763</v>
      </c>
      <c r="S416">
        <f t="shared" si="977"/>
        <v>-211272.29875563763</v>
      </c>
      <c r="T416">
        <f t="shared" si="978"/>
        <v>-211.27229875563762</v>
      </c>
    </row>
    <row r="417" spans="1:20" x14ac:dyDescent="0.25">
      <c r="A417" s="5">
        <v>44176</v>
      </c>
      <c r="B417">
        <v>2.31E-3</v>
      </c>
      <c r="C417">
        <v>2.3240000000000001E-3</v>
      </c>
      <c r="D417">
        <v>2.114E-3</v>
      </c>
      <c r="E417">
        <v>2.1510000000000001E-3</v>
      </c>
      <c r="F417">
        <v>229333443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-0.64761904761904643</v>
      </c>
      <c r="Q417">
        <f t="shared" si="975"/>
        <v>-148520705.94285688</v>
      </c>
      <c r="R417">
        <f t="shared" si="976"/>
        <v>-21172805925.773708</v>
      </c>
      <c r="S417">
        <f t="shared" si="977"/>
        <v>-211728.05925773707</v>
      </c>
      <c r="T417">
        <f t="shared" si="978"/>
        <v>-211.72805925773707</v>
      </c>
    </row>
    <row r="418" spans="1:20" x14ac:dyDescent="0.25">
      <c r="A418" s="5">
        <v>44175</v>
      </c>
      <c r="B418">
        <v>2.4160000000000002E-3</v>
      </c>
      <c r="C418">
        <v>2.4229999999999998E-3</v>
      </c>
      <c r="D418">
        <v>2.2720000000000001E-3</v>
      </c>
      <c r="E418">
        <v>2.307E-3</v>
      </c>
      <c r="F418">
        <v>68824795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-0.53642384105960328</v>
      </c>
      <c r="Q418">
        <f t="shared" si="975"/>
        <v>-36919260.89403978</v>
      </c>
      <c r="R418">
        <f t="shared" si="976"/>
        <v>-21024285219.830853</v>
      </c>
      <c r="S418">
        <f t="shared" si="977"/>
        <v>-210242.85219830854</v>
      </c>
      <c r="T418">
        <f t="shared" si="978"/>
        <v>-210.24285219830853</v>
      </c>
    </row>
    <row r="419" spans="1:20" x14ac:dyDescent="0.25">
      <c r="A419" s="5">
        <v>44174</v>
      </c>
      <c r="B419">
        <v>2.3999999999999998E-3</v>
      </c>
      <c r="C419">
        <v>2.5049999999999998E-3</v>
      </c>
      <c r="D419">
        <v>2.2100000000000002E-3</v>
      </c>
      <c r="E419">
        <v>2.4199999999999998E-3</v>
      </c>
      <c r="F419">
        <v>222376521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0.4237288135593214</v>
      </c>
      <c r="Q419">
        <f t="shared" si="975"/>
        <v>94227339.406779528</v>
      </c>
      <c r="R419">
        <f t="shared" si="976"/>
        <v>-20987365958.936813</v>
      </c>
      <c r="S419">
        <f t="shared" si="977"/>
        <v>-209873.65958936812</v>
      </c>
      <c r="T419">
        <f t="shared" si="978"/>
        <v>-209.87365958936812</v>
      </c>
    </row>
    <row r="420" spans="1:20" x14ac:dyDescent="0.25">
      <c r="A420" s="5">
        <v>44173</v>
      </c>
      <c r="B420">
        <v>2.542E-3</v>
      </c>
      <c r="C420">
        <v>2.5920000000000001E-3</v>
      </c>
      <c r="D420">
        <v>2.3900000000000002E-3</v>
      </c>
      <c r="E420">
        <v>2.3999999999999998E-3</v>
      </c>
      <c r="F420">
        <v>135054041</v>
      </c>
      <c r="G420">
        <v>0</v>
      </c>
      <c r="L420" t="s">
        <v>7</v>
      </c>
      <c r="M420" t="s">
        <v>8</v>
      </c>
      <c r="N420" t="s">
        <v>7</v>
      </c>
      <c r="P420">
        <f t="shared" si="974"/>
        <v>-0.90099009900990501</v>
      </c>
      <c r="Q420">
        <f t="shared" si="975"/>
        <v>-121682353.77227777</v>
      </c>
      <c r="R420">
        <f t="shared" si="976"/>
        <v>-21081593298.343594</v>
      </c>
      <c r="S420">
        <f t="shared" si="977"/>
        <v>-210815.93298343592</v>
      </c>
      <c r="T420">
        <f t="shared" si="978"/>
        <v>-210.81593298343591</v>
      </c>
    </row>
    <row r="421" spans="1:20" x14ac:dyDescent="0.25">
      <c r="A421" s="5">
        <v>44172</v>
      </c>
      <c r="B421">
        <v>2.555E-3</v>
      </c>
      <c r="C421">
        <v>2.6549999999999998E-3</v>
      </c>
      <c r="D421">
        <v>2.503E-3</v>
      </c>
      <c r="E421">
        <v>2.552E-3</v>
      </c>
      <c r="F421">
        <v>114608460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-0.355263157894736</v>
      </c>
      <c r="Q421">
        <f t="shared" si="975"/>
        <v>-40716163.421052538</v>
      </c>
      <c r="R421">
        <f t="shared" si="976"/>
        <v>-20959910944.571316</v>
      </c>
      <c r="S421">
        <f t="shared" si="977"/>
        <v>-209599.10944571317</v>
      </c>
      <c r="T421">
        <f t="shared" si="978"/>
        <v>-209.59910944571317</v>
      </c>
    </row>
    <row r="422" spans="1:20" x14ac:dyDescent="0.25">
      <c r="A422" s="5">
        <v>44171</v>
      </c>
      <c r="B422">
        <v>2.65E-3</v>
      </c>
      <c r="C422">
        <v>2.6670000000000001E-3</v>
      </c>
      <c r="D422">
        <v>2.506E-3</v>
      </c>
      <c r="E422">
        <v>2.562E-3</v>
      </c>
      <c r="F422">
        <v>97338730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-0.30434782608695626</v>
      </c>
      <c r="Q422">
        <f t="shared" si="975"/>
        <v>-29624830.869565193</v>
      </c>
      <c r="R422">
        <f t="shared" si="976"/>
        <v>-20919194781.150265</v>
      </c>
      <c r="S422">
        <f t="shared" si="977"/>
        <v>-209191.94781150264</v>
      </c>
      <c r="T422">
        <f t="shared" si="978"/>
        <v>-209.19194781150264</v>
      </c>
    </row>
    <row r="423" spans="1:20" x14ac:dyDescent="0.25">
      <c r="A423" s="5">
        <v>44170</v>
      </c>
      <c r="B423">
        <v>2.542E-3</v>
      </c>
      <c r="C423">
        <v>2.8E-3</v>
      </c>
      <c r="D423">
        <v>2.4949999999999998E-3</v>
      </c>
      <c r="E423">
        <v>2.65E-3</v>
      </c>
      <c r="F423">
        <v>166414358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1.6393442622951566E-2</v>
      </c>
      <c r="Q423">
        <f t="shared" si="975"/>
        <v>2728104.2295083208</v>
      </c>
      <c r="R423">
        <f t="shared" si="976"/>
        <v>-20889569950.280701</v>
      </c>
      <c r="S423">
        <f t="shared" si="977"/>
        <v>-208895.69950280699</v>
      </c>
      <c r="T423">
        <f t="shared" si="978"/>
        <v>-208.89569950280699</v>
      </c>
    </row>
    <row r="424" spans="1:20" x14ac:dyDescent="0.25">
      <c r="A424" s="5">
        <v>44169</v>
      </c>
      <c r="B424">
        <v>2.5769999999999999E-3</v>
      </c>
      <c r="C424">
        <v>2.8419999999999999E-3</v>
      </c>
      <c r="D424">
        <v>2.48E-3</v>
      </c>
      <c r="E424">
        <v>2.5569999999999998E-3</v>
      </c>
      <c r="F424">
        <v>312973853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-0.574585635359117</v>
      </c>
      <c r="Q424">
        <f t="shared" si="975"/>
        <v>-179830280.1767959</v>
      </c>
      <c r="R424">
        <f t="shared" si="976"/>
        <v>-20892298054.510208</v>
      </c>
      <c r="S424">
        <f t="shared" si="977"/>
        <v>-208922.98054510209</v>
      </c>
      <c r="T424">
        <f t="shared" si="978"/>
        <v>-208.92298054510209</v>
      </c>
    </row>
    <row r="425" spans="1:20" x14ac:dyDescent="0.25">
      <c r="A425" s="5">
        <v>44168</v>
      </c>
      <c r="B425">
        <v>2.5660000000000001E-3</v>
      </c>
      <c r="C425">
        <v>2.6289999999999998E-3</v>
      </c>
      <c r="D425">
        <v>2.4789999999999999E-3</v>
      </c>
      <c r="E425">
        <v>2.5720000000000001E-3</v>
      </c>
      <c r="F425">
        <v>114422933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0.24000000000000302</v>
      </c>
      <c r="Q425">
        <f t="shared" si="975"/>
        <v>27461503.920000345</v>
      </c>
      <c r="R425">
        <f t="shared" si="976"/>
        <v>-20712467774.333412</v>
      </c>
      <c r="S425">
        <f t="shared" si="977"/>
        <v>-207124.67774333412</v>
      </c>
      <c r="T425">
        <f t="shared" si="978"/>
        <v>-207.12467774333413</v>
      </c>
    </row>
    <row r="426" spans="1:20" x14ac:dyDescent="0.25">
      <c r="A426" s="5">
        <v>44167</v>
      </c>
      <c r="B426">
        <v>2.4510000000000001E-3</v>
      </c>
      <c r="C426">
        <v>2.5999999999999999E-3</v>
      </c>
      <c r="D426">
        <v>2.3670000000000002E-3</v>
      </c>
      <c r="E426">
        <v>2.5490000000000001E-3</v>
      </c>
      <c r="F426">
        <v>265704442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0.56223175965665328</v>
      </c>
      <c r="Q426">
        <f t="shared" si="975"/>
        <v>149387475.97424918</v>
      </c>
      <c r="R426">
        <f t="shared" si="976"/>
        <v>-20739929278.253414</v>
      </c>
      <c r="S426">
        <f t="shared" si="977"/>
        <v>-207399.29278253415</v>
      </c>
      <c r="T426">
        <f t="shared" si="978"/>
        <v>-207.39929278253413</v>
      </c>
    </row>
    <row r="427" spans="1:20" x14ac:dyDescent="0.25">
      <c r="A427" s="5">
        <v>44166</v>
      </c>
      <c r="B427">
        <v>2.6059999999999998E-3</v>
      </c>
      <c r="C427">
        <v>2.7160000000000001E-3</v>
      </c>
      <c r="D427">
        <v>2.3540000000000002E-3</v>
      </c>
      <c r="E427">
        <v>2.4510000000000001E-3</v>
      </c>
      <c r="F427">
        <v>297761142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-0.46408839779005584</v>
      </c>
      <c r="Q427">
        <f t="shared" si="975"/>
        <v>-138187491.3149173</v>
      </c>
      <c r="R427">
        <f t="shared" si="976"/>
        <v>-20889316754.227665</v>
      </c>
      <c r="S427">
        <f t="shared" si="977"/>
        <v>-208893.16754227664</v>
      </c>
      <c r="T427">
        <f t="shared" si="978"/>
        <v>-208.89316754227664</v>
      </c>
    </row>
    <row r="428" spans="1:20" x14ac:dyDescent="0.25">
      <c r="A428" s="5">
        <v>44165</v>
      </c>
      <c r="B428">
        <v>2.5119999999999999E-3</v>
      </c>
      <c r="C428">
        <v>2.7499999999999998E-3</v>
      </c>
      <c r="D428">
        <v>2.47E-3</v>
      </c>
      <c r="E428">
        <v>2.5999999999999999E-3</v>
      </c>
      <c r="F428">
        <v>219338083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-7.1428571428571647E-2</v>
      </c>
      <c r="Q428">
        <f t="shared" si="975"/>
        <v>-15667005.928571476</v>
      </c>
      <c r="R428">
        <f t="shared" si="976"/>
        <v>-20751129262.912746</v>
      </c>
      <c r="S428">
        <f t="shared" si="977"/>
        <v>-207511.29262912748</v>
      </c>
      <c r="T428">
        <f t="shared" si="978"/>
        <v>-207.51129262912747</v>
      </c>
    </row>
    <row r="429" spans="1:20" x14ac:dyDescent="0.25">
      <c r="A429" s="5">
        <v>44164</v>
      </c>
      <c r="B429">
        <v>2.5339999999999998E-3</v>
      </c>
      <c r="C429">
        <v>2.6129999999999999E-3</v>
      </c>
      <c r="D429">
        <v>2.4810000000000001E-3</v>
      </c>
      <c r="E429">
        <v>2.5010000000000002E-3</v>
      </c>
      <c r="F429">
        <v>128118824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-0.69696969696969557</v>
      </c>
      <c r="Q429">
        <f t="shared" si="975"/>
        <v>-89294937.939393759</v>
      </c>
      <c r="R429">
        <f t="shared" si="976"/>
        <v>-20735462256.984177</v>
      </c>
      <c r="S429">
        <f t="shared" si="977"/>
        <v>-207354.62256984177</v>
      </c>
      <c r="T429">
        <f t="shared" si="978"/>
        <v>-207.35462256984178</v>
      </c>
    </row>
    <row r="430" spans="1:20" x14ac:dyDescent="0.25">
      <c r="A430" s="5">
        <v>44163</v>
      </c>
      <c r="B430">
        <v>2.5490000000000001E-3</v>
      </c>
      <c r="C430">
        <v>2.6679999999999998E-3</v>
      </c>
      <c r="D430">
        <v>2.4610000000000001E-3</v>
      </c>
      <c r="E430">
        <v>2.5400000000000002E-3</v>
      </c>
      <c r="F430">
        <v>164519668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-0.23671497584540885</v>
      </c>
      <c r="Q430">
        <f t="shared" si="975"/>
        <v>-38944269.236714683</v>
      </c>
      <c r="R430">
        <f t="shared" si="976"/>
        <v>-20646167319.044785</v>
      </c>
      <c r="S430">
        <f t="shared" si="977"/>
        <v>-206461.67319044785</v>
      </c>
      <c r="T430">
        <f t="shared" si="978"/>
        <v>-206.46167319044784</v>
      </c>
    </row>
    <row r="431" spans="1:20" x14ac:dyDescent="0.25">
      <c r="A431" s="5">
        <v>44162</v>
      </c>
      <c r="B431">
        <v>2.5100000000000001E-3</v>
      </c>
      <c r="C431">
        <v>2.7330000000000002E-3</v>
      </c>
      <c r="D431">
        <v>2.369E-3</v>
      </c>
      <c r="E431">
        <v>2.552E-3</v>
      </c>
      <c r="F431">
        <v>166390942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5.49450549450503E-3</v>
      </c>
      <c r="Q431">
        <f t="shared" si="975"/>
        <v>914235.94505486777</v>
      </c>
      <c r="R431">
        <f t="shared" si="976"/>
        <v>-20607223049.808071</v>
      </c>
      <c r="S431">
        <f t="shared" si="977"/>
        <v>-206072.23049808072</v>
      </c>
      <c r="T431">
        <f t="shared" si="978"/>
        <v>-206.07223049808073</v>
      </c>
    </row>
    <row r="432" spans="1:20" x14ac:dyDescent="0.25">
      <c r="A432" s="5">
        <v>44161</v>
      </c>
      <c r="B432">
        <v>2.882E-3</v>
      </c>
      <c r="C432">
        <v>2.9559999999999999E-3</v>
      </c>
      <c r="D432">
        <v>2.33E-3</v>
      </c>
      <c r="E432">
        <v>2.5149999999999999E-3</v>
      </c>
      <c r="F432">
        <v>317321317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-0.40894568690095884</v>
      </c>
      <c r="Q432">
        <f t="shared" si="975"/>
        <v>-129767183.94888191</v>
      </c>
      <c r="R432">
        <f t="shared" si="976"/>
        <v>-20608137285.753124</v>
      </c>
      <c r="S432">
        <f t="shared" si="977"/>
        <v>-206081.37285753124</v>
      </c>
      <c r="T432">
        <f t="shared" si="978"/>
        <v>-206.08137285753125</v>
      </c>
    </row>
    <row r="433" spans="1:20" x14ac:dyDescent="0.25">
      <c r="A433" s="5">
        <v>44160</v>
      </c>
      <c r="B433">
        <v>3.1059999999999998E-3</v>
      </c>
      <c r="C433">
        <v>3.2550000000000001E-3</v>
      </c>
      <c r="D433">
        <v>2.7499999999999998E-3</v>
      </c>
      <c r="E433">
        <v>2.882E-3</v>
      </c>
      <c r="F433">
        <v>554270510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-0.47722772277227682</v>
      </c>
      <c r="Q433">
        <f t="shared" si="975"/>
        <v>-264513253.28712848</v>
      </c>
      <c r="R433">
        <f t="shared" si="976"/>
        <v>-20478370101.804241</v>
      </c>
      <c r="S433">
        <f t="shared" si="977"/>
        <v>-204783.70101804243</v>
      </c>
      <c r="T433">
        <f t="shared" si="978"/>
        <v>-204.78370101804242</v>
      </c>
    </row>
    <row r="434" spans="1:20" x14ac:dyDescent="0.25">
      <c r="A434" s="5">
        <v>44159</v>
      </c>
      <c r="B434">
        <v>2.6919999999999999E-3</v>
      </c>
      <c r="C434">
        <v>3.2000000000000002E-3</v>
      </c>
      <c r="D434">
        <v>2.6610000000000002E-3</v>
      </c>
      <c r="E434">
        <v>3.101E-3</v>
      </c>
      <c r="F434">
        <v>791954601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0.63265306122448928</v>
      </c>
      <c r="Q434">
        <f t="shared" si="975"/>
        <v>501032502.67346895</v>
      </c>
      <c r="R434">
        <f t="shared" si="976"/>
        <v>-20213856848.517113</v>
      </c>
      <c r="S434">
        <f t="shared" si="977"/>
        <v>-202138.56848517113</v>
      </c>
      <c r="T434">
        <f t="shared" si="978"/>
        <v>-202.13856848517113</v>
      </c>
    </row>
    <row r="435" spans="1:20" x14ac:dyDescent="0.25">
      <c r="A435" s="5">
        <v>44158</v>
      </c>
      <c r="B435">
        <v>2.5699999999999998E-3</v>
      </c>
      <c r="C435">
        <v>2.8E-3</v>
      </c>
      <c r="D435">
        <v>2.5600000000000002E-3</v>
      </c>
      <c r="E435">
        <v>2.7030000000000001E-3</v>
      </c>
      <c r="F435">
        <v>362135237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0.19166666666666698</v>
      </c>
      <c r="Q435">
        <f t="shared" si="975"/>
        <v>69409253.758333445</v>
      </c>
      <c r="R435">
        <f t="shared" si="976"/>
        <v>-20714889351.190582</v>
      </c>
      <c r="S435">
        <f t="shared" si="977"/>
        <v>-207148.89351190583</v>
      </c>
      <c r="T435">
        <f t="shared" si="978"/>
        <v>-207.14889351190584</v>
      </c>
    </row>
    <row r="436" spans="1:20" x14ac:dyDescent="0.25">
      <c r="A436" s="5">
        <v>44157</v>
      </c>
      <c r="B436">
        <v>2.813E-3</v>
      </c>
      <c r="C436">
        <v>2.859E-3</v>
      </c>
      <c r="D436">
        <v>2.4810000000000001E-3</v>
      </c>
      <c r="E436">
        <v>2.5699999999999998E-3</v>
      </c>
      <c r="F436">
        <v>666024882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-0.52910052910053063</v>
      </c>
      <c r="Q436">
        <f t="shared" si="975"/>
        <v>-352394117.46031845</v>
      </c>
      <c r="R436">
        <f t="shared" si="976"/>
        <v>-20784298604.948917</v>
      </c>
      <c r="S436">
        <f t="shared" si="977"/>
        <v>-207842.98604948918</v>
      </c>
      <c r="T436">
        <f t="shared" si="978"/>
        <v>-207.84298604948918</v>
      </c>
    </row>
    <row r="437" spans="1:20" x14ac:dyDescent="0.25">
      <c r="A437" s="5">
        <v>44156</v>
      </c>
      <c r="B437">
        <v>2.4380000000000001E-3</v>
      </c>
      <c r="C437">
        <v>3.3089999999999999E-3</v>
      </c>
      <c r="D437">
        <v>2.4190000000000001E-3</v>
      </c>
      <c r="E437">
        <v>2.8110000000000001E-3</v>
      </c>
      <c r="F437">
        <v>1448939341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-0.11910112359550538</v>
      </c>
      <c r="Q437">
        <f t="shared" si="975"/>
        <v>-172570303.53483114</v>
      </c>
      <c r="R437">
        <f t="shared" si="976"/>
        <v>-20431904487.488598</v>
      </c>
      <c r="S437">
        <f t="shared" si="977"/>
        <v>-204319.04487488599</v>
      </c>
      <c r="T437">
        <f t="shared" si="978"/>
        <v>-204.319044874886</v>
      </c>
    </row>
    <row r="438" spans="1:20" x14ac:dyDescent="0.25">
      <c r="A438" s="5">
        <v>44155</v>
      </c>
      <c r="B438">
        <v>2.382E-3</v>
      </c>
      <c r="C438">
        <v>2.4880000000000002E-3</v>
      </c>
      <c r="D438">
        <v>2.3809999999999999E-3</v>
      </c>
      <c r="E438">
        <v>2.4320000000000001E-3</v>
      </c>
      <c r="F438">
        <v>132106709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-4.6728971962614774E-2</v>
      </c>
      <c r="Q438">
        <f t="shared" si="975"/>
        <v>-6173210.7009343086</v>
      </c>
      <c r="R438">
        <f t="shared" si="976"/>
        <v>-20259334183.953766</v>
      </c>
      <c r="S438">
        <f t="shared" si="977"/>
        <v>-202593.34183953766</v>
      </c>
      <c r="T438">
        <f t="shared" si="978"/>
        <v>-202.59334183953766</v>
      </c>
    </row>
    <row r="439" spans="1:20" x14ac:dyDescent="0.25">
      <c r="A439" s="5">
        <v>44154</v>
      </c>
      <c r="B439">
        <v>2.4940000000000001E-3</v>
      </c>
      <c r="C439">
        <v>2.5760000000000002E-3</v>
      </c>
      <c r="D439">
        <v>2.3700000000000001E-3</v>
      </c>
      <c r="E439">
        <v>2.3930000000000002E-3</v>
      </c>
      <c r="F439">
        <v>259160884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-0.77669902912621347</v>
      </c>
      <c r="Q439">
        <f t="shared" si="975"/>
        <v>-201290006.99029124</v>
      </c>
      <c r="R439">
        <f t="shared" si="976"/>
        <v>-20253160973.252831</v>
      </c>
      <c r="S439">
        <f t="shared" si="977"/>
        <v>-202531.6097325283</v>
      </c>
      <c r="T439">
        <f t="shared" si="978"/>
        <v>-202.5316097325283</v>
      </c>
    </row>
    <row r="440" spans="1:20" x14ac:dyDescent="0.25">
      <c r="A440" s="5">
        <v>44153</v>
      </c>
      <c r="B440">
        <v>2.3760000000000001E-3</v>
      </c>
      <c r="C440">
        <v>2.7439999999999999E-3</v>
      </c>
      <c r="D440">
        <v>2.225E-3</v>
      </c>
      <c r="E440">
        <v>2.4819999999999998E-3</v>
      </c>
      <c r="F440">
        <v>498224949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-9.6339113680158593E-3</v>
      </c>
      <c r="Q440">
        <f t="shared" si="975"/>
        <v>-4799855.0000002217</v>
      </c>
      <c r="R440">
        <f t="shared" si="976"/>
        <v>-20051870966.262539</v>
      </c>
      <c r="S440">
        <f t="shared" si="977"/>
        <v>-200518.70966262539</v>
      </c>
      <c r="T440">
        <f t="shared" si="978"/>
        <v>-200.51870966262538</v>
      </c>
    </row>
    <row r="441" spans="1:20" x14ac:dyDescent="0.25">
      <c r="A441" s="5">
        <v>44152</v>
      </c>
      <c r="B441">
        <v>2.3649999999999999E-3</v>
      </c>
      <c r="C441">
        <v>2.5209999999999998E-3</v>
      </c>
      <c r="D441">
        <v>2.346E-3</v>
      </c>
      <c r="E441">
        <v>2.3760000000000001E-3</v>
      </c>
      <c r="F441">
        <v>170458237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-0.65714285714285592</v>
      </c>
      <c r="Q441">
        <f t="shared" si="975"/>
        <v>-112015412.88571408</v>
      </c>
      <c r="R441">
        <f t="shared" si="976"/>
        <v>-20047071111.262539</v>
      </c>
      <c r="S441">
        <f t="shared" si="977"/>
        <v>-200470.7111126254</v>
      </c>
      <c r="T441">
        <f t="shared" si="978"/>
        <v>-200.47071111262539</v>
      </c>
    </row>
    <row r="442" spans="1:20" x14ac:dyDescent="0.25">
      <c r="A442" s="5">
        <v>44151</v>
      </c>
      <c r="B442">
        <v>2.3830000000000001E-3</v>
      </c>
      <c r="C442">
        <v>2.3900000000000002E-3</v>
      </c>
      <c r="D442">
        <v>2.3370000000000001E-3</v>
      </c>
      <c r="E442">
        <v>2.369E-3</v>
      </c>
      <c r="F442">
        <v>97089162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0.20754716981131519</v>
      </c>
      <c r="Q442">
        <f t="shared" si="975"/>
        <v>20150580.792452291</v>
      </c>
      <c r="R442">
        <f t="shared" si="976"/>
        <v>-19935055698.376823</v>
      </c>
      <c r="S442">
        <f t="shared" si="977"/>
        <v>-199350.55698376824</v>
      </c>
      <c r="T442">
        <f t="shared" si="978"/>
        <v>-199.35055698376823</v>
      </c>
    </row>
    <row r="443" spans="1:20" x14ac:dyDescent="0.25">
      <c r="A443" s="5">
        <v>44150</v>
      </c>
      <c r="B443">
        <v>2.3760000000000001E-3</v>
      </c>
      <c r="C443">
        <v>2.47E-3</v>
      </c>
      <c r="D443">
        <v>2.323E-3</v>
      </c>
      <c r="E443">
        <v>2.3800000000000002E-3</v>
      </c>
      <c r="F443">
        <v>151746832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-0.22448979591836471</v>
      </c>
      <c r="Q443">
        <f t="shared" si="975"/>
        <v>-34065615.346938372</v>
      </c>
      <c r="R443">
        <f t="shared" si="976"/>
        <v>-19955206279.169277</v>
      </c>
      <c r="S443">
        <f t="shared" si="977"/>
        <v>-199552.06279169276</v>
      </c>
      <c r="T443">
        <f t="shared" si="978"/>
        <v>-199.55206279169278</v>
      </c>
    </row>
    <row r="444" spans="1:20" x14ac:dyDescent="0.25">
      <c r="A444" s="5">
        <v>44149</v>
      </c>
      <c r="B444">
        <v>2.4399999999999999E-3</v>
      </c>
      <c r="C444">
        <v>2.529E-3</v>
      </c>
      <c r="D444">
        <v>2.3500000000000001E-3</v>
      </c>
      <c r="E444">
        <v>2.3679999999999999E-3</v>
      </c>
      <c r="F444">
        <v>154141106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-0.79888268156424813</v>
      </c>
      <c r="Q444">
        <f t="shared" si="975"/>
        <v>-123140660.10055901</v>
      </c>
      <c r="R444">
        <f t="shared" si="976"/>
        <v>-19921140663.822338</v>
      </c>
      <c r="S444">
        <f t="shared" si="977"/>
        <v>-199211.40663822339</v>
      </c>
      <c r="T444">
        <f t="shared" si="978"/>
        <v>-199.21140663822339</v>
      </c>
    </row>
    <row r="445" spans="1:20" x14ac:dyDescent="0.25">
      <c r="A445" s="5">
        <v>44148</v>
      </c>
      <c r="B445">
        <v>2.3739999999999998E-3</v>
      </c>
      <c r="C445">
        <v>2.4859999999999999E-3</v>
      </c>
      <c r="D445">
        <v>2.333E-3</v>
      </c>
      <c r="E445">
        <v>2.431E-3</v>
      </c>
      <c r="F445">
        <v>134156797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0.28104575163398754</v>
      </c>
      <c r="Q445">
        <f t="shared" si="975"/>
        <v>37704197.849673286</v>
      </c>
      <c r="R445">
        <f t="shared" si="976"/>
        <v>-19798000003.721779</v>
      </c>
      <c r="S445">
        <f t="shared" si="977"/>
        <v>-197980.00003721777</v>
      </c>
      <c r="T445">
        <f t="shared" si="978"/>
        <v>-197.98000003721776</v>
      </c>
    </row>
    <row r="446" spans="1:20" x14ac:dyDescent="0.25">
      <c r="A446" s="5">
        <v>44147</v>
      </c>
      <c r="B446">
        <v>2.3999999999999998E-3</v>
      </c>
      <c r="C446">
        <v>2.4610000000000001E-3</v>
      </c>
      <c r="D446">
        <v>2.3E-3</v>
      </c>
      <c r="E446">
        <v>2.359E-3</v>
      </c>
      <c r="F446">
        <v>150488554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-0.26708074534161513</v>
      </c>
      <c r="Q446">
        <f t="shared" si="975"/>
        <v>-40192595.1677019</v>
      </c>
      <c r="R446">
        <f t="shared" si="976"/>
        <v>-19835704201.571453</v>
      </c>
      <c r="S446">
        <f t="shared" si="977"/>
        <v>-198357.04201571454</v>
      </c>
      <c r="T446">
        <f t="shared" si="978"/>
        <v>-198.35704201571454</v>
      </c>
    </row>
    <row r="447" spans="1:20" x14ac:dyDescent="0.25">
      <c r="A447" s="5">
        <v>44146</v>
      </c>
      <c r="B447">
        <v>2.5839999999999999E-3</v>
      </c>
      <c r="C447">
        <v>2.66E-3</v>
      </c>
      <c r="D447">
        <v>2.3739999999999998E-3</v>
      </c>
      <c r="E447">
        <v>2.3999999999999998E-3</v>
      </c>
      <c r="F447">
        <v>360309145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-0.81818181818181845</v>
      </c>
      <c r="Q447">
        <f t="shared" si="975"/>
        <v>-294798391.36363643</v>
      </c>
      <c r="R447">
        <f t="shared" si="976"/>
        <v>-19795511606.403751</v>
      </c>
      <c r="S447">
        <f t="shared" si="977"/>
        <v>-197955.11606403752</v>
      </c>
      <c r="T447">
        <f t="shared" si="978"/>
        <v>-197.95511606403753</v>
      </c>
    </row>
    <row r="448" spans="1:20" x14ac:dyDescent="0.25">
      <c r="A448" s="5">
        <v>44145</v>
      </c>
      <c r="B448">
        <v>2.2859999999999998E-3</v>
      </c>
      <c r="C448">
        <v>2.7499999999999998E-3</v>
      </c>
      <c r="D448">
        <v>2.271E-3</v>
      </c>
      <c r="E448">
        <v>2.5699999999999998E-3</v>
      </c>
      <c r="F448">
        <v>622937771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0.2484342379958242</v>
      </c>
      <c r="Q448">
        <f t="shared" si="975"/>
        <v>154759070.45720223</v>
      </c>
      <c r="R448">
        <f t="shared" si="976"/>
        <v>-19500713215.040115</v>
      </c>
      <c r="S448">
        <f t="shared" si="977"/>
        <v>-195007.13215040116</v>
      </c>
      <c r="T448">
        <f t="shared" si="978"/>
        <v>-195.00713215040116</v>
      </c>
    </row>
    <row r="449" spans="1:20" x14ac:dyDescent="0.25">
      <c r="A449" s="5">
        <v>44144</v>
      </c>
      <c r="B449">
        <v>2.3219999999999998E-3</v>
      </c>
      <c r="C449">
        <v>2.5000000000000001E-3</v>
      </c>
      <c r="D449">
        <v>2.2300000000000002E-3</v>
      </c>
      <c r="E449">
        <v>2.3E-3</v>
      </c>
      <c r="F449">
        <v>299866206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-0.48148148148148301</v>
      </c>
      <c r="Q449">
        <f t="shared" si="975"/>
        <v>-144380025.11111158</v>
      </c>
      <c r="R449">
        <f t="shared" si="976"/>
        <v>-19655472285.497318</v>
      </c>
      <c r="S449">
        <f t="shared" si="977"/>
        <v>-196554.7228549732</v>
      </c>
      <c r="T449">
        <f t="shared" si="978"/>
        <v>-196.55472285497319</v>
      </c>
    </row>
    <row r="450" spans="1:20" x14ac:dyDescent="0.25">
      <c r="A450" s="5">
        <v>44143</v>
      </c>
      <c r="B450">
        <v>2.2260000000000001E-3</v>
      </c>
      <c r="C450">
        <v>2.4350000000000001E-3</v>
      </c>
      <c r="D450">
        <v>2.2179999999999999E-3</v>
      </c>
      <c r="E450">
        <v>2.3089999999999999E-3</v>
      </c>
      <c r="F450">
        <v>163419392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-0.16129032258064646</v>
      </c>
      <c r="Q450">
        <f t="shared" si="975"/>
        <v>-26357966.451613117</v>
      </c>
      <c r="R450">
        <f t="shared" si="976"/>
        <v>-19511092260.386208</v>
      </c>
      <c r="S450">
        <f t="shared" si="977"/>
        <v>-195110.92260386207</v>
      </c>
      <c r="T450">
        <f t="shared" si="978"/>
        <v>-195.11092260386206</v>
      </c>
    </row>
    <row r="451" spans="1:20" x14ac:dyDescent="0.25">
      <c r="A451" s="5">
        <v>44142</v>
      </c>
      <c r="B451">
        <v>2.366E-3</v>
      </c>
      <c r="C451">
        <v>2.5439999999999998E-3</v>
      </c>
      <c r="D451">
        <v>2.15E-3</v>
      </c>
      <c r="E451">
        <v>2.2390000000000001E-3</v>
      </c>
      <c r="F451">
        <v>396830436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-0.54822335025380642</v>
      </c>
      <c r="Q451">
        <f t="shared" si="975"/>
        <v>-217551711.10659871</v>
      </c>
      <c r="R451">
        <f t="shared" si="976"/>
        <v>-19484734293.934593</v>
      </c>
      <c r="S451">
        <f t="shared" si="977"/>
        <v>-194847.34293934592</v>
      </c>
      <c r="T451">
        <f t="shared" si="978"/>
        <v>-194.84734293934594</v>
      </c>
    </row>
    <row r="452" spans="1:20" x14ac:dyDescent="0.25">
      <c r="A452" s="5">
        <v>44141</v>
      </c>
      <c r="B452">
        <v>2.14E-3</v>
      </c>
      <c r="C452">
        <v>2.4380000000000001E-3</v>
      </c>
      <c r="D452">
        <v>2.1299999999999999E-3</v>
      </c>
      <c r="E452">
        <v>2.3530000000000001E-3</v>
      </c>
      <c r="F452">
        <v>349750684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0.4480519480519482</v>
      </c>
      <c r="Q452">
        <f t="shared" si="975"/>
        <v>156706475.29870135</v>
      </c>
      <c r="R452">
        <f t="shared" si="976"/>
        <v>-19267182582.827995</v>
      </c>
      <c r="S452">
        <f t="shared" si="977"/>
        <v>-192671.82582827995</v>
      </c>
      <c r="T452">
        <f t="shared" si="978"/>
        <v>-192.67182582827996</v>
      </c>
    </row>
    <row r="453" spans="1:20" x14ac:dyDescent="0.25">
      <c r="A453" s="5">
        <v>44140</v>
      </c>
      <c r="B453">
        <v>2.1059999999999998E-3</v>
      </c>
      <c r="C453">
        <v>2.2560000000000002E-3</v>
      </c>
      <c r="D453">
        <v>2.0609999999999999E-3</v>
      </c>
      <c r="E453">
        <v>2.147E-3</v>
      </c>
      <c r="F453">
        <v>165216289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-0.11794871794871786</v>
      </c>
      <c r="Q453">
        <f t="shared" si="975"/>
        <v>-19487049.471794859</v>
      </c>
      <c r="R453">
        <f t="shared" si="976"/>
        <v>-19423889058.126698</v>
      </c>
      <c r="S453">
        <f t="shared" si="977"/>
        <v>-194238.89058126698</v>
      </c>
      <c r="T453">
        <f t="shared" si="978"/>
        <v>-194.23889058126699</v>
      </c>
    </row>
    <row r="454" spans="1:20" x14ac:dyDescent="0.25">
      <c r="A454" s="5">
        <v>44139</v>
      </c>
      <c r="B454">
        <v>2.2309999999999999E-3</v>
      </c>
      <c r="C454">
        <v>2.2469999999999999E-3</v>
      </c>
      <c r="D454">
        <v>2.0100000000000001E-3</v>
      </c>
      <c r="E454">
        <v>2.1090000000000002E-3</v>
      </c>
      <c r="F454">
        <v>158723205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-0.16455696202531464</v>
      </c>
      <c r="Q454">
        <f t="shared" ref="Q454:Q517" si="980">F454*P454</f>
        <v>-26119008.417721231</v>
      </c>
      <c r="R454">
        <f t="shared" ref="R454:R517" si="981">R455+Q454</f>
        <v>-19404402008.654903</v>
      </c>
      <c r="S454">
        <f t="shared" ref="S454:S517" si="982">R454/100000</f>
        <v>-194044.02008654905</v>
      </c>
      <c r="T454">
        <f t="shared" ref="T454:T517" si="983">S454/1000</f>
        <v>-194.04402008654904</v>
      </c>
    </row>
    <row r="455" spans="1:20" x14ac:dyDescent="0.25">
      <c r="A455" s="5">
        <v>44138</v>
      </c>
      <c r="B455">
        <v>2.3110000000000001E-3</v>
      </c>
      <c r="C455">
        <v>2.3800000000000002E-3</v>
      </c>
      <c r="D455">
        <v>2.1320000000000002E-3</v>
      </c>
      <c r="E455">
        <v>2.2300000000000002E-3</v>
      </c>
      <c r="F455">
        <v>198741060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-0.20967741935483861</v>
      </c>
      <c r="Q455">
        <f t="shared" si="980"/>
        <v>-41671512.580645144</v>
      </c>
      <c r="R455">
        <f t="shared" si="981"/>
        <v>-19378283000.237183</v>
      </c>
      <c r="S455">
        <f t="shared" si="982"/>
        <v>-193782.83000237183</v>
      </c>
      <c r="T455">
        <f t="shared" si="983"/>
        <v>-193.78283000237184</v>
      </c>
    </row>
    <row r="456" spans="1:20" x14ac:dyDescent="0.25">
      <c r="A456" s="5">
        <v>44137</v>
      </c>
      <c r="B456">
        <v>2.2439999999999999E-3</v>
      </c>
      <c r="C456">
        <v>2.431E-3</v>
      </c>
      <c r="D456">
        <v>2.2260000000000001E-3</v>
      </c>
      <c r="E456">
        <v>2.2899999999999999E-3</v>
      </c>
      <c r="F456">
        <v>237950240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-0.37560975609756236</v>
      </c>
      <c r="Q456">
        <f t="shared" si="980"/>
        <v>-89376431.609756425</v>
      </c>
      <c r="R456">
        <f t="shared" si="981"/>
        <v>-19336611487.656536</v>
      </c>
      <c r="S456">
        <f t="shared" si="982"/>
        <v>-193366.11487656535</v>
      </c>
      <c r="T456">
        <f t="shared" si="983"/>
        <v>-193.36611487656535</v>
      </c>
    </row>
    <row r="457" spans="1:20" x14ac:dyDescent="0.25">
      <c r="A457" s="5">
        <v>44136</v>
      </c>
      <c r="B457">
        <v>2.2169999999999998E-3</v>
      </c>
      <c r="C457">
        <v>2.307E-3</v>
      </c>
      <c r="D457">
        <v>2.2000000000000001E-3</v>
      </c>
      <c r="E457">
        <v>2.2439999999999999E-3</v>
      </c>
      <c r="F457">
        <v>99827965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-0.17757009345794741</v>
      </c>
      <c r="Q457">
        <f t="shared" si="980"/>
        <v>-17726461.074766703</v>
      </c>
      <c r="R457">
        <f t="shared" si="981"/>
        <v>-19247235056.04678</v>
      </c>
      <c r="S457">
        <f t="shared" si="982"/>
        <v>-192472.35056046781</v>
      </c>
      <c r="T457">
        <f t="shared" si="983"/>
        <v>-192.47235056046782</v>
      </c>
    </row>
    <row r="458" spans="1:20" x14ac:dyDescent="0.25">
      <c r="A458" s="5">
        <v>44135</v>
      </c>
      <c r="B458">
        <v>2.2460000000000002E-3</v>
      </c>
      <c r="C458">
        <v>2.3969999999999998E-3</v>
      </c>
      <c r="D458">
        <v>2.1919999999999999E-3</v>
      </c>
      <c r="E458">
        <v>2.2160000000000001E-3</v>
      </c>
      <c r="F458">
        <v>261998789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-0.76585365853658383</v>
      </c>
      <c r="Q458">
        <f t="shared" si="980"/>
        <v>-200652731.08780447</v>
      </c>
      <c r="R458">
        <f t="shared" si="981"/>
        <v>-19229508594.972012</v>
      </c>
      <c r="S458">
        <f t="shared" si="982"/>
        <v>-192295.08594972012</v>
      </c>
      <c r="T458">
        <f t="shared" si="983"/>
        <v>-192.29508594972012</v>
      </c>
    </row>
    <row r="459" spans="1:20" x14ac:dyDescent="0.25">
      <c r="A459" s="5">
        <v>44134</v>
      </c>
      <c r="B459">
        <v>2.32E-3</v>
      </c>
      <c r="C459">
        <v>2.3410000000000002E-3</v>
      </c>
      <c r="D459">
        <v>2.1749999999999999E-3</v>
      </c>
      <c r="E459">
        <v>2.245E-3</v>
      </c>
      <c r="F459">
        <v>188023734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-0.15662650602409595</v>
      </c>
      <c r="Q459">
        <f t="shared" si="980"/>
        <v>-29449500.506024014</v>
      </c>
      <c r="R459">
        <f t="shared" si="981"/>
        <v>-19028855863.884209</v>
      </c>
      <c r="S459">
        <f t="shared" si="982"/>
        <v>-190288.55863884208</v>
      </c>
      <c r="T459">
        <f t="shared" si="983"/>
        <v>-190.28855863884209</v>
      </c>
    </row>
    <row r="460" spans="1:20" x14ac:dyDescent="0.25">
      <c r="A460" s="5">
        <v>44133</v>
      </c>
      <c r="B460">
        <v>2.2889999999999998E-3</v>
      </c>
      <c r="C460">
        <v>2.5140000000000002E-3</v>
      </c>
      <c r="D460">
        <v>2.2190000000000001E-3</v>
      </c>
      <c r="E460">
        <v>2.3050000000000002E-3</v>
      </c>
      <c r="F460">
        <v>365728238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-0.41694915254237219</v>
      </c>
      <c r="Q460">
        <f t="shared" si="980"/>
        <v>-152490078.89491501</v>
      </c>
      <c r="R460">
        <f t="shared" si="981"/>
        <v>-18999406363.378185</v>
      </c>
      <c r="S460">
        <f t="shared" si="982"/>
        <v>-189994.06363378186</v>
      </c>
      <c r="T460">
        <f t="shared" si="983"/>
        <v>-189.99406363378185</v>
      </c>
    </row>
    <row r="461" spans="1:20" x14ac:dyDescent="0.25">
      <c r="A461" s="5">
        <v>44132</v>
      </c>
      <c r="B461">
        <v>2.3509999999999998E-3</v>
      </c>
      <c r="C461">
        <v>2.4489999999999998E-3</v>
      </c>
      <c r="D461">
        <v>2.222E-3</v>
      </c>
      <c r="E461">
        <v>2.2859999999999998E-3</v>
      </c>
      <c r="F461">
        <v>208637569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-0.43612334801762215</v>
      </c>
      <c r="Q461">
        <f t="shared" si="980"/>
        <v>-90991715.114537656</v>
      </c>
      <c r="R461">
        <f t="shared" si="981"/>
        <v>-18846916284.483269</v>
      </c>
      <c r="S461">
        <f t="shared" si="982"/>
        <v>-188469.1628448327</v>
      </c>
      <c r="T461">
        <f t="shared" si="983"/>
        <v>-188.46916284483271</v>
      </c>
    </row>
    <row r="462" spans="1:20" x14ac:dyDescent="0.25">
      <c r="A462" s="5">
        <v>44131</v>
      </c>
      <c r="B462">
        <v>2.2339999999999999E-3</v>
      </c>
      <c r="C462">
        <v>2.6849999999999999E-3</v>
      </c>
      <c r="D462">
        <v>2.1800000000000001E-3</v>
      </c>
      <c r="E462">
        <v>2.3540000000000002E-3</v>
      </c>
      <c r="F462">
        <v>751799588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-0.31089108910891017</v>
      </c>
      <c r="Q462">
        <f t="shared" si="980"/>
        <v>-233727792.70494995</v>
      </c>
      <c r="R462">
        <f t="shared" si="981"/>
        <v>-18755924569.368732</v>
      </c>
      <c r="S462">
        <f t="shared" si="982"/>
        <v>-187559.24569368732</v>
      </c>
      <c r="T462">
        <f t="shared" si="983"/>
        <v>-187.55924569368733</v>
      </c>
    </row>
    <row r="463" spans="1:20" x14ac:dyDescent="0.25">
      <c r="A463" s="5">
        <v>44130</v>
      </c>
      <c r="B463">
        <v>2.362E-3</v>
      </c>
      <c r="C463">
        <v>2.4849999999999998E-3</v>
      </c>
      <c r="D463">
        <v>2.0999999999999999E-3</v>
      </c>
      <c r="E463">
        <v>2.238E-3</v>
      </c>
      <c r="F463">
        <v>421221398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-0.28311688311688243</v>
      </c>
      <c r="Q463">
        <f t="shared" si="980"/>
        <v>-119254889.30389582</v>
      </c>
      <c r="R463">
        <f t="shared" si="981"/>
        <v>-18522196776.663784</v>
      </c>
      <c r="S463">
        <f t="shared" si="982"/>
        <v>-185221.96776663783</v>
      </c>
      <c r="T463">
        <f t="shared" si="983"/>
        <v>-185.22196776663782</v>
      </c>
    </row>
    <row r="464" spans="1:20" x14ac:dyDescent="0.25">
      <c r="A464" s="5">
        <v>44129</v>
      </c>
      <c r="B464">
        <v>2.4550000000000002E-3</v>
      </c>
      <c r="C464">
        <v>2.545E-3</v>
      </c>
      <c r="D464">
        <v>2.2520000000000001E-3</v>
      </c>
      <c r="E464">
        <v>2.3479999999999998E-3</v>
      </c>
      <c r="F464">
        <v>388655623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-0.34470989761092302</v>
      </c>
      <c r="Q464">
        <f t="shared" si="980"/>
        <v>-133973440.0102395</v>
      </c>
      <c r="R464">
        <f t="shared" si="981"/>
        <v>-18402941887.35989</v>
      </c>
      <c r="S464">
        <f t="shared" si="982"/>
        <v>-184029.41887359889</v>
      </c>
      <c r="T464">
        <f t="shared" si="983"/>
        <v>-184.0294188735989</v>
      </c>
    </row>
    <row r="465" spans="1:20" x14ac:dyDescent="0.25">
      <c r="A465" s="5">
        <v>44128</v>
      </c>
      <c r="B465">
        <v>2.7910000000000001E-3</v>
      </c>
      <c r="C465">
        <v>2.7910000000000001E-3</v>
      </c>
      <c r="D465">
        <v>2.3739999999999998E-3</v>
      </c>
      <c r="E465">
        <v>2.4420000000000002E-3</v>
      </c>
      <c r="F465">
        <v>721724682</v>
      </c>
      <c r="G465">
        <v>0</v>
      </c>
      <c r="L465" t="s">
        <v>7</v>
      </c>
      <c r="M465" t="s">
        <v>7</v>
      </c>
      <c r="N465" t="s">
        <v>8</v>
      </c>
      <c r="P465">
        <f t="shared" si="979"/>
        <v>-0.67386091127098169</v>
      </c>
      <c r="Q465">
        <f t="shared" si="980"/>
        <v>-486342051.89927948</v>
      </c>
      <c r="R465">
        <f t="shared" si="981"/>
        <v>-18268968447.349651</v>
      </c>
      <c r="S465">
        <f t="shared" si="982"/>
        <v>-182689.68447349651</v>
      </c>
      <c r="T465">
        <f t="shared" si="983"/>
        <v>-182.6896844734965</v>
      </c>
    </row>
    <row r="466" spans="1:20" x14ac:dyDescent="0.25">
      <c r="A466" s="5">
        <v>44127</v>
      </c>
      <c r="B466">
        <v>2.2169999999999998E-3</v>
      </c>
      <c r="C466">
        <v>3.1350000000000002E-3</v>
      </c>
      <c r="D466">
        <v>2.2000000000000001E-3</v>
      </c>
      <c r="E466">
        <v>2.7910000000000001E-3</v>
      </c>
      <c r="F466">
        <v>1901448542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0.26417112299465217</v>
      </c>
      <c r="Q466">
        <f t="shared" si="980"/>
        <v>502307796.65668404</v>
      </c>
      <c r="R466">
        <f t="shared" si="981"/>
        <v>-17782626395.450371</v>
      </c>
      <c r="S466">
        <f t="shared" si="982"/>
        <v>-177826.26395450369</v>
      </c>
      <c r="T466">
        <f t="shared" si="983"/>
        <v>-177.8262639545037</v>
      </c>
    </row>
    <row r="467" spans="1:20" x14ac:dyDescent="0.25">
      <c r="A467" s="5">
        <v>44126</v>
      </c>
      <c r="B467">
        <v>2.4190000000000001E-3</v>
      </c>
      <c r="C467">
        <v>2.4199999999999998E-3</v>
      </c>
      <c r="D467">
        <v>2.1280000000000001E-3</v>
      </c>
      <c r="E467">
        <v>2.2169999999999998E-3</v>
      </c>
      <c r="F467">
        <v>594528496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-0.39041095890411126</v>
      </c>
      <c r="Q467">
        <f t="shared" si="980"/>
        <v>-232110440.21917906</v>
      </c>
      <c r="R467">
        <f t="shared" si="981"/>
        <v>-18284934192.107056</v>
      </c>
      <c r="S467">
        <f t="shared" si="982"/>
        <v>-182849.34192107056</v>
      </c>
      <c r="T467">
        <f t="shared" si="983"/>
        <v>-182.84934192107056</v>
      </c>
    </row>
    <row r="468" spans="1:20" x14ac:dyDescent="0.25">
      <c r="A468" s="5">
        <v>44125</v>
      </c>
      <c r="B468">
        <v>3.0530000000000002E-3</v>
      </c>
      <c r="C468">
        <v>3.0990000000000002E-3</v>
      </c>
      <c r="D468">
        <v>2.333E-3</v>
      </c>
      <c r="E468">
        <v>2.4060000000000002E-3</v>
      </c>
      <c r="F468">
        <v>1462315205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-0.80939947780678823</v>
      </c>
      <c r="Q468">
        <f t="shared" si="980"/>
        <v>-1183597163.3159266</v>
      </c>
      <c r="R468">
        <f t="shared" si="981"/>
        <v>-18052823751.887878</v>
      </c>
      <c r="S468">
        <f t="shared" si="982"/>
        <v>-180528.23751887877</v>
      </c>
      <c r="T468">
        <f t="shared" si="983"/>
        <v>-180.52823751887877</v>
      </c>
    </row>
    <row r="469" spans="1:20" x14ac:dyDescent="0.25">
      <c r="A469" s="5">
        <v>44124</v>
      </c>
      <c r="B469">
        <v>2.5019999999999999E-3</v>
      </c>
      <c r="C469">
        <v>3.7000000000000002E-3</v>
      </c>
      <c r="D469">
        <v>2.4130000000000002E-3</v>
      </c>
      <c r="E469">
        <v>3.0439999999999998E-3</v>
      </c>
      <c r="F469">
        <v>3453304372</v>
      </c>
      <c r="G469">
        <v>0</v>
      </c>
      <c r="L469" t="s">
        <v>8</v>
      </c>
      <c r="M469" t="s">
        <v>8</v>
      </c>
      <c r="N469" t="s">
        <v>8</v>
      </c>
      <c r="P469">
        <f t="shared" si="979"/>
        <v>-1.9425019425019983E-2</v>
      </c>
      <c r="Q469">
        <f t="shared" si="980"/>
        <v>-67080504.50660643</v>
      </c>
      <c r="R469">
        <f t="shared" si="981"/>
        <v>-16869226588.571953</v>
      </c>
      <c r="S469">
        <f t="shared" si="982"/>
        <v>-168692.26588571953</v>
      </c>
      <c r="T469">
        <f t="shared" si="983"/>
        <v>-168.69226588571954</v>
      </c>
    </row>
    <row r="470" spans="1:20" x14ac:dyDescent="0.25">
      <c r="A470" s="5">
        <v>44123</v>
      </c>
      <c r="B470">
        <v>1.7849999999999999E-3</v>
      </c>
      <c r="C470">
        <v>2.8800000000000002E-3</v>
      </c>
      <c r="D470">
        <v>1.7700000000000001E-3</v>
      </c>
      <c r="E470">
        <v>2.5119999999999999E-3</v>
      </c>
      <c r="F470">
        <v>1861884591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0.33693693693693649</v>
      </c>
      <c r="Q470">
        <f t="shared" si="980"/>
        <v>627337691.02162075</v>
      </c>
      <c r="R470">
        <f t="shared" si="981"/>
        <v>-16802146084.065346</v>
      </c>
      <c r="S470">
        <f t="shared" si="982"/>
        <v>-168021.46084065345</v>
      </c>
      <c r="T470">
        <f t="shared" si="983"/>
        <v>-168.02146084065345</v>
      </c>
    </row>
    <row r="471" spans="1:20" x14ac:dyDescent="0.25">
      <c r="A471" s="5">
        <v>44122</v>
      </c>
      <c r="B471">
        <v>1.8029999999999999E-3</v>
      </c>
      <c r="C471">
        <v>1.8940000000000001E-3</v>
      </c>
      <c r="D471">
        <v>1.761E-3</v>
      </c>
      <c r="E471">
        <v>1.7750000000000001E-3</v>
      </c>
      <c r="F471">
        <v>64155018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-0.78947368421052455</v>
      </c>
      <c r="Q471">
        <f t="shared" si="980"/>
        <v>-50648698.421052516</v>
      </c>
      <c r="R471">
        <f t="shared" si="981"/>
        <v>-17429483775.086967</v>
      </c>
      <c r="S471">
        <f t="shared" si="982"/>
        <v>-174294.83775086969</v>
      </c>
      <c r="T471">
        <f t="shared" si="983"/>
        <v>-174.29483775086968</v>
      </c>
    </row>
    <row r="472" spans="1:20" x14ac:dyDescent="0.25">
      <c r="A472" s="5">
        <v>44121</v>
      </c>
      <c r="B472">
        <v>1.7730000000000001E-3</v>
      </c>
      <c r="C472">
        <v>1.8320000000000001E-3</v>
      </c>
      <c r="D472">
        <v>1.7600000000000001E-3</v>
      </c>
      <c r="E472">
        <v>1.792E-3</v>
      </c>
      <c r="F472">
        <v>36063275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-0.11111111111111378</v>
      </c>
      <c r="Q472">
        <f t="shared" si="980"/>
        <v>-4007030.5555556519</v>
      </c>
      <c r="R472">
        <f t="shared" si="981"/>
        <v>-17378835076.665916</v>
      </c>
      <c r="S472">
        <f t="shared" si="982"/>
        <v>-173788.35076665916</v>
      </c>
      <c r="T472">
        <f t="shared" si="983"/>
        <v>-173.78835076665916</v>
      </c>
    </row>
    <row r="473" spans="1:20" x14ac:dyDescent="0.25">
      <c r="A473" s="5">
        <v>44120</v>
      </c>
      <c r="B473">
        <v>1.8E-3</v>
      </c>
      <c r="C473">
        <v>1.9300000000000001E-3</v>
      </c>
      <c r="D473">
        <v>1.7110000000000001E-3</v>
      </c>
      <c r="E473">
        <v>1.7650000000000001E-3</v>
      </c>
      <c r="F473">
        <v>125518365</v>
      </c>
      <c r="G473">
        <v>0</v>
      </c>
      <c r="L473" t="s">
        <v>8</v>
      </c>
      <c r="M473" t="s">
        <v>7</v>
      </c>
      <c r="N473" t="s">
        <v>8</v>
      </c>
      <c r="P473">
        <f t="shared" si="979"/>
        <v>-0.50684931506849307</v>
      </c>
      <c r="Q473">
        <f t="shared" si="980"/>
        <v>-63618897.328767113</v>
      </c>
      <c r="R473">
        <f t="shared" si="981"/>
        <v>-17374828046.110359</v>
      </c>
      <c r="S473">
        <f t="shared" si="982"/>
        <v>-173748.2804611036</v>
      </c>
      <c r="T473">
        <f t="shared" si="983"/>
        <v>-173.7482804611036</v>
      </c>
    </row>
    <row r="474" spans="1:20" x14ac:dyDescent="0.25">
      <c r="A474" s="5">
        <v>44119</v>
      </c>
      <c r="B474">
        <v>1.8209999999999999E-3</v>
      </c>
      <c r="C474">
        <v>1.8600000000000001E-3</v>
      </c>
      <c r="D474">
        <v>1.701E-3</v>
      </c>
      <c r="E474">
        <v>1.8E-3</v>
      </c>
      <c r="F474">
        <v>97021362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0.24528301886792289</v>
      </c>
      <c r="Q474">
        <f t="shared" si="980"/>
        <v>23797692.566037577</v>
      </c>
      <c r="R474">
        <f t="shared" si="981"/>
        <v>-17311209148.781593</v>
      </c>
      <c r="S474">
        <f t="shared" si="982"/>
        <v>-173112.09148781592</v>
      </c>
      <c r="T474">
        <f t="shared" si="983"/>
        <v>-173.11209148781592</v>
      </c>
    </row>
    <row r="475" spans="1:20" x14ac:dyDescent="0.25">
      <c r="A475" s="5">
        <v>44118</v>
      </c>
      <c r="B475">
        <v>1.9380000000000001E-3</v>
      </c>
      <c r="C475">
        <v>1.957E-3</v>
      </c>
      <c r="D475">
        <v>1.7930000000000001E-3</v>
      </c>
      <c r="E475">
        <v>1.8270000000000001E-3</v>
      </c>
      <c r="F475">
        <v>141931791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-0.58536585365853677</v>
      </c>
      <c r="Q475">
        <f t="shared" si="980"/>
        <v>-83082024.00000003</v>
      </c>
      <c r="R475">
        <f t="shared" si="981"/>
        <v>-17335006841.34763</v>
      </c>
      <c r="S475">
        <f t="shared" si="982"/>
        <v>-173350.06841347629</v>
      </c>
      <c r="T475">
        <f t="shared" si="983"/>
        <v>-173.35006841347629</v>
      </c>
    </row>
    <row r="476" spans="1:20" x14ac:dyDescent="0.25">
      <c r="A476" s="5">
        <v>44117</v>
      </c>
      <c r="B476">
        <v>1.99E-3</v>
      </c>
      <c r="C476">
        <v>2.0509999999999999E-3</v>
      </c>
      <c r="D476">
        <v>1.8710000000000001E-3</v>
      </c>
      <c r="E476">
        <v>1.931E-3</v>
      </c>
      <c r="F476">
        <v>100226618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-0.33333333333333331</v>
      </c>
      <c r="Q476">
        <f t="shared" si="980"/>
        <v>-33408872.666666664</v>
      </c>
      <c r="R476">
        <f t="shared" si="981"/>
        <v>-17251924817.34763</v>
      </c>
      <c r="S476">
        <f t="shared" si="982"/>
        <v>-172519.24817347628</v>
      </c>
      <c r="T476">
        <f t="shared" si="983"/>
        <v>-172.51924817347629</v>
      </c>
    </row>
    <row r="477" spans="1:20" x14ac:dyDescent="0.25">
      <c r="A477" s="5">
        <v>44116</v>
      </c>
      <c r="B477">
        <v>2.0249999999999999E-3</v>
      </c>
      <c r="C477">
        <v>2.0869999999999999E-3</v>
      </c>
      <c r="D477">
        <v>1.9220000000000001E-3</v>
      </c>
      <c r="E477">
        <v>1.9910000000000001E-3</v>
      </c>
      <c r="F477">
        <v>148772941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-0.16363636363636191</v>
      </c>
      <c r="Q477">
        <f t="shared" si="980"/>
        <v>-24344663.072727017</v>
      </c>
      <c r="R477">
        <f t="shared" si="981"/>
        <v>-17218515944.680962</v>
      </c>
      <c r="S477">
        <f t="shared" si="982"/>
        <v>-172185.15944680962</v>
      </c>
      <c r="T477">
        <f t="shared" si="983"/>
        <v>-172.18515944680962</v>
      </c>
    </row>
    <row r="478" spans="1:20" x14ac:dyDescent="0.25">
      <c r="A478" s="5">
        <v>44115</v>
      </c>
      <c r="B478">
        <v>1.97E-3</v>
      </c>
      <c r="C478">
        <v>2.1419999999999998E-3</v>
      </c>
      <c r="D478">
        <v>1.931E-3</v>
      </c>
      <c r="E478">
        <v>2.0179999999999998E-3</v>
      </c>
      <c r="F478">
        <v>190428220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-0.17535545023696764</v>
      </c>
      <c r="Q478">
        <f t="shared" si="980"/>
        <v>-33392626.255924325</v>
      </c>
      <c r="R478">
        <f t="shared" si="981"/>
        <v>-17194171281.608234</v>
      </c>
      <c r="S478">
        <f t="shared" si="982"/>
        <v>-171941.71281608235</v>
      </c>
      <c r="T478">
        <f t="shared" si="983"/>
        <v>-171.94171281608234</v>
      </c>
    </row>
    <row r="479" spans="1:20" x14ac:dyDescent="0.25">
      <c r="A479" s="5">
        <v>44114</v>
      </c>
      <c r="B479">
        <v>1.9629999999999999E-3</v>
      </c>
      <c r="C479">
        <v>2.4239999999999999E-3</v>
      </c>
      <c r="D479">
        <v>1.954E-3</v>
      </c>
      <c r="E479">
        <v>1.967E-3</v>
      </c>
      <c r="F479">
        <v>452609389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-0.94468085106382982</v>
      </c>
      <c r="Q479">
        <f t="shared" si="980"/>
        <v>-427571422.80000001</v>
      </c>
      <c r="R479">
        <f t="shared" si="981"/>
        <v>-17160778655.35231</v>
      </c>
      <c r="S479">
        <f t="shared" si="982"/>
        <v>-171607.7865535231</v>
      </c>
      <c r="T479">
        <f t="shared" si="983"/>
        <v>-171.60778655352308</v>
      </c>
    </row>
    <row r="480" spans="1:20" x14ac:dyDescent="0.25">
      <c r="A480" s="5">
        <v>44113</v>
      </c>
      <c r="B480">
        <v>1.797E-3</v>
      </c>
      <c r="C480">
        <v>2.0960000000000002E-3</v>
      </c>
      <c r="D480">
        <v>1.7650000000000001E-3</v>
      </c>
      <c r="E480">
        <v>1.9629999999999999E-3</v>
      </c>
      <c r="F480">
        <v>278413566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0.19637462235649394</v>
      </c>
      <c r="Q480">
        <f t="shared" si="980"/>
        <v>54673358.882174805</v>
      </c>
      <c r="R480">
        <f t="shared" si="981"/>
        <v>-16733207232.552311</v>
      </c>
      <c r="S480">
        <f t="shared" si="982"/>
        <v>-167332.0723255231</v>
      </c>
      <c r="T480">
        <f t="shared" si="983"/>
        <v>-167.33207232552309</v>
      </c>
    </row>
    <row r="481" spans="1:20" x14ac:dyDescent="0.25">
      <c r="A481" s="5">
        <v>44112</v>
      </c>
      <c r="B481">
        <v>1.7279999999999999E-3</v>
      </c>
      <c r="C481">
        <v>1.8389999999999999E-3</v>
      </c>
      <c r="D481">
        <v>1.6000000000000001E-3</v>
      </c>
      <c r="E481">
        <v>1.797E-3</v>
      </c>
      <c r="F481">
        <v>239092095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0.64853556485355679</v>
      </c>
      <c r="Q481">
        <f t="shared" si="980"/>
        <v>155059726.88284525</v>
      </c>
      <c r="R481">
        <f t="shared" si="981"/>
        <v>-16787880591.434486</v>
      </c>
      <c r="S481">
        <f t="shared" si="982"/>
        <v>-167878.80591434488</v>
      </c>
      <c r="T481">
        <f t="shared" si="983"/>
        <v>-167.87880591434487</v>
      </c>
    </row>
    <row r="482" spans="1:20" x14ac:dyDescent="0.25">
      <c r="A482" s="5">
        <v>44111</v>
      </c>
      <c r="B482">
        <v>1.665E-3</v>
      </c>
      <c r="C482">
        <v>1.7719999999999999E-3</v>
      </c>
      <c r="D482">
        <v>1.6000000000000001E-3</v>
      </c>
      <c r="E482">
        <v>1.7260000000000001E-3</v>
      </c>
      <c r="F482">
        <v>111514156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0.4651162790697691</v>
      </c>
      <c r="Q482">
        <f t="shared" si="980"/>
        <v>51867049.302325763</v>
      </c>
      <c r="R482">
        <f t="shared" si="981"/>
        <v>-16942940318.317331</v>
      </c>
      <c r="S482">
        <f t="shared" si="982"/>
        <v>-169429.4031831733</v>
      </c>
      <c r="T482">
        <f t="shared" si="983"/>
        <v>-169.42940318317329</v>
      </c>
    </row>
    <row r="483" spans="1:20" x14ac:dyDescent="0.25">
      <c r="A483" s="5">
        <v>44110</v>
      </c>
      <c r="B483">
        <v>1.872E-3</v>
      </c>
      <c r="C483">
        <v>1.879E-3</v>
      </c>
      <c r="D483">
        <v>1.6100000000000001E-3</v>
      </c>
      <c r="E483">
        <v>1.663E-3</v>
      </c>
      <c r="F483">
        <v>198425203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-0.60594795539033541</v>
      </c>
      <c r="Q483">
        <f t="shared" si="980"/>
        <v>-120235346.05576225</v>
      </c>
      <c r="R483">
        <f t="shared" si="981"/>
        <v>-16994807367.619658</v>
      </c>
      <c r="S483">
        <f t="shared" si="982"/>
        <v>-169948.07367619657</v>
      </c>
      <c r="T483">
        <f t="shared" si="983"/>
        <v>-169.94807367619657</v>
      </c>
    </row>
    <row r="484" spans="1:20" x14ac:dyDescent="0.25">
      <c r="A484" s="5">
        <v>44109</v>
      </c>
      <c r="B484">
        <v>1.9109999999999999E-3</v>
      </c>
      <c r="C484">
        <v>1.9940000000000001E-3</v>
      </c>
      <c r="D484">
        <v>1.8109999999999999E-3</v>
      </c>
      <c r="E484">
        <v>1.879E-3</v>
      </c>
      <c r="F484">
        <v>132852475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-0.25683060109289557</v>
      </c>
      <c r="Q484">
        <f t="shared" si="980"/>
        <v>-34120581.010928884</v>
      </c>
      <c r="R484">
        <f t="shared" si="981"/>
        <v>-16874572021.563896</v>
      </c>
      <c r="S484">
        <f t="shared" si="982"/>
        <v>-168745.72021563895</v>
      </c>
      <c r="T484">
        <f t="shared" si="983"/>
        <v>-168.74572021563895</v>
      </c>
    </row>
    <row r="485" spans="1:20" x14ac:dyDescent="0.25">
      <c r="A485" s="5">
        <v>44108</v>
      </c>
      <c r="B485">
        <v>1.949E-3</v>
      </c>
      <c r="C485">
        <v>1.9710000000000001E-3</v>
      </c>
      <c r="D485">
        <v>1.884E-3</v>
      </c>
      <c r="E485">
        <v>1.9109999999999999E-3</v>
      </c>
      <c r="F485">
        <v>92971623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-0.37931034482758896</v>
      </c>
      <c r="Q485">
        <f t="shared" si="980"/>
        <v>-35265098.3793106</v>
      </c>
      <c r="R485">
        <f t="shared" si="981"/>
        <v>-16840451440.552967</v>
      </c>
      <c r="S485">
        <f t="shared" si="982"/>
        <v>-168404.51440552968</v>
      </c>
      <c r="T485">
        <f t="shared" si="983"/>
        <v>-168.40451440552968</v>
      </c>
    </row>
    <row r="486" spans="1:20" x14ac:dyDescent="0.25">
      <c r="A486" s="5">
        <v>44107</v>
      </c>
      <c r="B486">
        <v>2.0669999999999998E-3</v>
      </c>
      <c r="C486">
        <v>2.1310000000000001E-3</v>
      </c>
      <c r="D486">
        <v>1.9480000000000001E-3</v>
      </c>
      <c r="E486">
        <v>1.964E-3</v>
      </c>
      <c r="F486">
        <v>109529139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-0.8251366120218584</v>
      </c>
      <c r="Q486">
        <f t="shared" si="980"/>
        <v>-90376502.672131196</v>
      </c>
      <c r="R486">
        <f t="shared" si="981"/>
        <v>-16805186342.173656</v>
      </c>
      <c r="S486">
        <f t="shared" si="982"/>
        <v>-168051.86342173658</v>
      </c>
      <c r="T486">
        <f t="shared" si="983"/>
        <v>-168.05186342173658</v>
      </c>
    </row>
    <row r="487" spans="1:20" x14ac:dyDescent="0.25">
      <c r="A487" s="5">
        <v>44106</v>
      </c>
      <c r="B487">
        <v>2.2330000000000002E-3</v>
      </c>
      <c r="C487">
        <v>2.2529999999999998E-3</v>
      </c>
      <c r="D487">
        <v>1.9E-3</v>
      </c>
      <c r="E487">
        <v>2.0669999999999998E-3</v>
      </c>
      <c r="F487">
        <v>230605807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-5.382436260623271E-2</v>
      </c>
      <c r="Q487">
        <f t="shared" si="980"/>
        <v>-12412210.575070918</v>
      </c>
      <c r="R487">
        <f t="shared" si="981"/>
        <v>-16714809839.501526</v>
      </c>
      <c r="S487">
        <f t="shared" si="982"/>
        <v>-167148.09839501526</v>
      </c>
      <c r="T487">
        <f t="shared" si="983"/>
        <v>-167.14809839501527</v>
      </c>
    </row>
    <row r="488" spans="1:20" x14ac:dyDescent="0.25">
      <c r="A488" s="5">
        <v>44105</v>
      </c>
      <c r="B488">
        <v>2.4320000000000001E-3</v>
      </c>
      <c r="C488">
        <v>2.4819999999999998E-3</v>
      </c>
      <c r="D488">
        <v>2.1050000000000001E-3</v>
      </c>
      <c r="E488">
        <v>2.2200000000000002E-3</v>
      </c>
      <c r="F488">
        <v>151147373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-0.38992042440318214</v>
      </c>
      <c r="Q488">
        <f t="shared" si="980"/>
        <v>-58935447.827586077</v>
      </c>
      <c r="R488">
        <f t="shared" si="981"/>
        <v>-16702397628.926455</v>
      </c>
      <c r="S488">
        <f t="shared" si="982"/>
        <v>-167023.97628926454</v>
      </c>
      <c r="T488">
        <f t="shared" si="983"/>
        <v>-167.02397628926454</v>
      </c>
    </row>
    <row r="489" spans="1:20" x14ac:dyDescent="0.25">
      <c r="A489" s="5">
        <v>44104</v>
      </c>
      <c r="B489">
        <v>2.4620000000000002E-3</v>
      </c>
      <c r="C489">
        <v>2.48E-3</v>
      </c>
      <c r="D489">
        <v>2.3410000000000002E-3</v>
      </c>
      <c r="E489">
        <v>2.4320000000000001E-3</v>
      </c>
      <c r="F489">
        <v>58963018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0.30935251798561247</v>
      </c>
      <c r="Q489">
        <f t="shared" si="980"/>
        <v>18240358.086330991</v>
      </c>
      <c r="R489">
        <f t="shared" si="981"/>
        <v>-16643462181.098869</v>
      </c>
      <c r="S489">
        <f t="shared" si="982"/>
        <v>-166434.6218109887</v>
      </c>
      <c r="T489">
        <f t="shared" si="983"/>
        <v>-166.43462181098869</v>
      </c>
    </row>
    <row r="490" spans="1:20" x14ac:dyDescent="0.25">
      <c r="A490" s="5">
        <v>44103</v>
      </c>
      <c r="B490">
        <v>2.3909999999999999E-3</v>
      </c>
      <c r="C490">
        <v>2.506E-3</v>
      </c>
      <c r="D490">
        <v>2.2889999999999998E-3</v>
      </c>
      <c r="E490">
        <v>2.4650000000000002E-3</v>
      </c>
      <c r="F490">
        <v>119100940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0.62211981566820485</v>
      </c>
      <c r="Q490">
        <f t="shared" si="980"/>
        <v>74095054.838709921</v>
      </c>
      <c r="R490">
        <f t="shared" si="981"/>
        <v>-16661702539.1852</v>
      </c>
      <c r="S490">
        <f t="shared" si="982"/>
        <v>-166617.02539185199</v>
      </c>
      <c r="T490">
        <f t="shared" si="983"/>
        <v>-166.617025391852</v>
      </c>
    </row>
    <row r="491" spans="1:20" x14ac:dyDescent="0.25">
      <c r="A491" s="5">
        <v>44102</v>
      </c>
      <c r="B491">
        <v>2.3679999999999999E-3</v>
      </c>
      <c r="C491">
        <v>2.5950000000000001E-3</v>
      </c>
      <c r="D491">
        <v>2.3549999999999999E-3</v>
      </c>
      <c r="E491">
        <v>2.3900000000000002E-3</v>
      </c>
      <c r="F491">
        <v>196929943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-0.70833333333333104</v>
      </c>
      <c r="Q491">
        <f t="shared" si="980"/>
        <v>-139492042.9583329</v>
      </c>
      <c r="R491">
        <f t="shared" si="981"/>
        <v>-16735797594.023911</v>
      </c>
      <c r="S491">
        <f t="shared" si="982"/>
        <v>-167357.97594023909</v>
      </c>
      <c r="T491">
        <f t="shared" si="983"/>
        <v>-167.3579759402391</v>
      </c>
    </row>
    <row r="492" spans="1:20" x14ac:dyDescent="0.25">
      <c r="A492" s="5">
        <v>44101</v>
      </c>
      <c r="B492">
        <v>2.4680000000000001E-3</v>
      </c>
      <c r="C492">
        <v>2.4910000000000002E-3</v>
      </c>
      <c r="D492">
        <v>2.2669999999999999E-3</v>
      </c>
      <c r="E492">
        <v>2.3579999999999999E-3</v>
      </c>
      <c r="F492">
        <v>107306988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-0.18750000000000144</v>
      </c>
      <c r="Q492">
        <f t="shared" si="980"/>
        <v>-20120060.250000156</v>
      </c>
      <c r="R492">
        <f t="shared" si="981"/>
        <v>-16596305551.065578</v>
      </c>
      <c r="S492">
        <f t="shared" si="982"/>
        <v>-165963.05551065577</v>
      </c>
      <c r="T492">
        <f t="shared" si="983"/>
        <v>-165.96305551065578</v>
      </c>
    </row>
    <row r="493" spans="1:20" x14ac:dyDescent="0.25">
      <c r="A493" s="5">
        <v>44100</v>
      </c>
      <c r="B493">
        <v>2.4169999999999999E-3</v>
      </c>
      <c r="C493">
        <v>2.5739999999999999E-3</v>
      </c>
      <c r="D493">
        <v>2.3549999999999999E-3</v>
      </c>
      <c r="E493">
        <v>2.4840000000000001E-3</v>
      </c>
      <c r="F493">
        <v>137782487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0.17808219178082377</v>
      </c>
      <c r="Q493">
        <f t="shared" si="980"/>
        <v>24536607.273972858</v>
      </c>
      <c r="R493">
        <f t="shared" si="981"/>
        <v>-16576185490.815578</v>
      </c>
      <c r="S493">
        <f t="shared" si="982"/>
        <v>-165761.85490815577</v>
      </c>
      <c r="T493">
        <f t="shared" si="983"/>
        <v>-165.76185490815578</v>
      </c>
    </row>
    <row r="494" spans="1:20" x14ac:dyDescent="0.25">
      <c r="A494" s="5">
        <v>44099</v>
      </c>
      <c r="B494">
        <v>2.4949999999999998E-3</v>
      </c>
      <c r="C494">
        <v>2.5149999999999999E-3</v>
      </c>
      <c r="D494">
        <v>2.3E-3</v>
      </c>
      <c r="E494">
        <v>2.4190000000000001E-3</v>
      </c>
      <c r="F494">
        <v>133127304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0.10697674418604865</v>
      </c>
      <c r="Q494">
        <f t="shared" si="980"/>
        <v>14241525.544186331</v>
      </c>
      <c r="R494">
        <f t="shared" si="981"/>
        <v>-16600722098.089552</v>
      </c>
      <c r="S494">
        <f t="shared" si="982"/>
        <v>-166007.22098089551</v>
      </c>
      <c r="T494">
        <f t="shared" si="983"/>
        <v>-166.00722098089551</v>
      </c>
    </row>
    <row r="495" spans="1:20" x14ac:dyDescent="0.25">
      <c r="A495" s="5">
        <v>44098</v>
      </c>
      <c r="B495">
        <v>2.2720000000000001E-3</v>
      </c>
      <c r="C495">
        <v>2.5669999999999998E-3</v>
      </c>
      <c r="D495">
        <v>2.2269999999999998E-3</v>
      </c>
      <c r="E495">
        <v>2.48E-3</v>
      </c>
      <c r="F495">
        <v>160869162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0.48823529411764804</v>
      </c>
      <c r="Q495">
        <f t="shared" si="980"/>
        <v>78542002.623529568</v>
      </c>
      <c r="R495">
        <f t="shared" si="981"/>
        <v>-16614963623.633738</v>
      </c>
      <c r="S495">
        <f t="shared" si="982"/>
        <v>-166149.63623633736</v>
      </c>
      <c r="T495">
        <f t="shared" si="983"/>
        <v>-166.14963623633736</v>
      </c>
    </row>
    <row r="496" spans="1:20" x14ac:dyDescent="0.25">
      <c r="A496" s="5">
        <v>44097</v>
      </c>
      <c r="B496">
        <v>2.6029999999999998E-3</v>
      </c>
      <c r="C496">
        <v>2.6150000000000001E-3</v>
      </c>
      <c r="D496">
        <v>2.261E-3</v>
      </c>
      <c r="E496">
        <v>2.2659999999999998E-3</v>
      </c>
      <c r="F496">
        <v>146293755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-0.97175141242937968</v>
      </c>
      <c r="Q496">
        <f t="shared" si="980"/>
        <v>-142161163.05084762</v>
      </c>
      <c r="R496">
        <f t="shared" si="981"/>
        <v>-16693505626.257267</v>
      </c>
      <c r="S496">
        <f t="shared" si="982"/>
        <v>-166935.05626257267</v>
      </c>
      <c r="T496">
        <f t="shared" si="983"/>
        <v>-166.93505626257269</v>
      </c>
    </row>
    <row r="497" spans="1:20" x14ac:dyDescent="0.25">
      <c r="A497" s="5">
        <v>44096</v>
      </c>
      <c r="B497">
        <v>2.5479999999999999E-3</v>
      </c>
      <c r="C497">
        <v>2.6280000000000001E-3</v>
      </c>
      <c r="D497">
        <v>2.428E-3</v>
      </c>
      <c r="E497">
        <v>2.588E-3</v>
      </c>
      <c r="F497">
        <v>109999480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0.59999999999999909</v>
      </c>
      <c r="Q497">
        <f t="shared" si="980"/>
        <v>65999687.999999903</v>
      </c>
      <c r="R497">
        <f t="shared" si="981"/>
        <v>-16551344463.206419</v>
      </c>
      <c r="S497">
        <f t="shared" si="982"/>
        <v>-165513.4446320642</v>
      </c>
      <c r="T497">
        <f t="shared" si="983"/>
        <v>-165.51344463206419</v>
      </c>
    </row>
    <row r="498" spans="1:20" x14ac:dyDescent="0.25">
      <c r="A498" s="5">
        <v>44095</v>
      </c>
      <c r="B498">
        <v>2.8609999999999998E-3</v>
      </c>
      <c r="C498">
        <v>2.9150000000000001E-3</v>
      </c>
      <c r="D498">
        <v>2.2659999999999998E-3</v>
      </c>
      <c r="E498">
        <v>2.5479999999999999E-3</v>
      </c>
      <c r="F498">
        <v>278043113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-0.13097072419106312</v>
      </c>
      <c r="Q498">
        <f t="shared" si="980"/>
        <v>-36415507.865947597</v>
      </c>
      <c r="R498">
        <f t="shared" si="981"/>
        <v>-16617344151.206419</v>
      </c>
      <c r="S498">
        <f t="shared" si="982"/>
        <v>-166173.44151206419</v>
      </c>
      <c r="T498">
        <f t="shared" si="983"/>
        <v>-166.17344151206419</v>
      </c>
    </row>
    <row r="499" spans="1:20" x14ac:dyDescent="0.25">
      <c r="A499" s="5">
        <v>44094</v>
      </c>
      <c r="B499">
        <v>2.8279999999999998E-3</v>
      </c>
      <c r="C499">
        <v>3.0609999999999999E-3</v>
      </c>
      <c r="D499">
        <v>2.7290000000000001E-3</v>
      </c>
      <c r="E499">
        <v>2.8570000000000002E-3</v>
      </c>
      <c r="F499">
        <v>408937421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-0.22891566265060156</v>
      </c>
      <c r="Q499">
        <f t="shared" si="980"/>
        <v>-93612180.710843027</v>
      </c>
      <c r="R499">
        <f t="shared" si="981"/>
        <v>-16580928643.340471</v>
      </c>
      <c r="S499">
        <f t="shared" si="982"/>
        <v>-165809.28643340472</v>
      </c>
      <c r="T499">
        <f t="shared" si="983"/>
        <v>-165.80928643340471</v>
      </c>
    </row>
    <row r="500" spans="1:20" x14ac:dyDescent="0.25">
      <c r="A500" s="5">
        <v>44093</v>
      </c>
      <c r="B500">
        <v>2.8779999999999999E-3</v>
      </c>
      <c r="C500">
        <v>3.0769999999999999E-3</v>
      </c>
      <c r="D500">
        <v>2.7529999999999998E-3</v>
      </c>
      <c r="E500">
        <v>2.8249999999999998E-3</v>
      </c>
      <c r="F500">
        <v>290001633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-0.55555555555555558</v>
      </c>
      <c r="Q500">
        <f t="shared" si="980"/>
        <v>-161112018.33333334</v>
      </c>
      <c r="R500">
        <f t="shared" si="981"/>
        <v>-16487316462.629629</v>
      </c>
      <c r="S500">
        <f t="shared" si="982"/>
        <v>-164873.16462629629</v>
      </c>
      <c r="T500">
        <f t="shared" si="983"/>
        <v>-164.8731646262963</v>
      </c>
    </row>
    <row r="501" spans="1:20" x14ac:dyDescent="0.25">
      <c r="A501" s="5">
        <v>44092</v>
      </c>
      <c r="B501">
        <v>3.1900000000000001E-3</v>
      </c>
      <c r="C501">
        <v>3.1900000000000001E-3</v>
      </c>
      <c r="D501">
        <v>2.7950000000000002E-3</v>
      </c>
      <c r="E501">
        <v>2.8839999999999998E-3</v>
      </c>
      <c r="F501">
        <v>312905571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-0.54936708860759653</v>
      </c>
      <c r="Q501">
        <f t="shared" si="980"/>
        <v>-171900022.54936758</v>
      </c>
      <c r="R501">
        <f t="shared" si="981"/>
        <v>-16326204444.296295</v>
      </c>
      <c r="S501">
        <f t="shared" si="982"/>
        <v>-163262.04444296294</v>
      </c>
      <c r="T501">
        <f t="shared" si="983"/>
        <v>-163.26204444296295</v>
      </c>
    </row>
    <row r="502" spans="1:20" x14ac:dyDescent="0.25">
      <c r="A502" s="5">
        <v>44091</v>
      </c>
      <c r="B502">
        <v>2.9759999999999999E-3</v>
      </c>
      <c r="C502">
        <v>3.5500000000000002E-3</v>
      </c>
      <c r="D502">
        <v>2.9499999999999999E-3</v>
      </c>
      <c r="E502">
        <v>3.1900000000000001E-3</v>
      </c>
      <c r="F502">
        <v>665322729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-0.19999999999999971</v>
      </c>
      <c r="Q502">
        <f t="shared" si="980"/>
        <v>-133064545.7999998</v>
      </c>
      <c r="R502">
        <f t="shared" si="981"/>
        <v>-16154304421.746927</v>
      </c>
      <c r="S502">
        <f t="shared" si="982"/>
        <v>-161543.04421746929</v>
      </c>
      <c r="T502">
        <f t="shared" si="983"/>
        <v>-161.54304421746929</v>
      </c>
    </row>
    <row r="503" spans="1:20" x14ac:dyDescent="0.25">
      <c r="A503" s="5">
        <v>44090</v>
      </c>
      <c r="B503">
        <v>3.0530000000000002E-3</v>
      </c>
      <c r="C503">
        <v>3.2030000000000001E-3</v>
      </c>
      <c r="D503">
        <v>2.7000000000000001E-3</v>
      </c>
      <c r="E503">
        <v>2.9689999999999999E-3</v>
      </c>
      <c r="F503">
        <v>475731405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6.9582504970177816E-2</v>
      </c>
      <c r="Q503">
        <f t="shared" si="980"/>
        <v>33102582.852882177</v>
      </c>
      <c r="R503">
        <f t="shared" si="981"/>
        <v>-16021239875.946928</v>
      </c>
      <c r="S503">
        <f t="shared" si="982"/>
        <v>-160212.39875946927</v>
      </c>
      <c r="T503">
        <f t="shared" si="983"/>
        <v>-160.21239875946927</v>
      </c>
    </row>
    <row r="504" spans="1:20" x14ac:dyDescent="0.25">
      <c r="A504" s="5">
        <v>44089</v>
      </c>
      <c r="B504">
        <v>3.3170000000000001E-3</v>
      </c>
      <c r="C504">
        <v>3.3600000000000001E-3</v>
      </c>
      <c r="D504">
        <v>2.8670000000000002E-3</v>
      </c>
      <c r="E504">
        <v>3.0569999999999998E-3</v>
      </c>
      <c r="F504">
        <v>1123858384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-0.22920892494929149</v>
      </c>
      <c r="Q504">
        <f t="shared" si="980"/>
        <v>-257598371.99188802</v>
      </c>
      <c r="R504">
        <f t="shared" si="981"/>
        <v>-16054342458.79981</v>
      </c>
      <c r="S504">
        <f t="shared" si="982"/>
        <v>-160543.4245879981</v>
      </c>
      <c r="T504">
        <f t="shared" si="983"/>
        <v>-160.54342458799809</v>
      </c>
    </row>
    <row r="505" spans="1:20" x14ac:dyDescent="0.25">
      <c r="A505" s="5">
        <v>44088</v>
      </c>
      <c r="B505">
        <v>2.6129999999999999E-3</v>
      </c>
      <c r="C505">
        <v>3.6900000000000001E-3</v>
      </c>
      <c r="D505">
        <v>2.5630000000000002E-3</v>
      </c>
      <c r="E505">
        <v>3.3210000000000002E-3</v>
      </c>
      <c r="F505">
        <v>731679502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0.34516415261756878</v>
      </c>
      <c r="Q505">
        <f t="shared" si="980"/>
        <v>252549535.29547471</v>
      </c>
      <c r="R505">
        <f t="shared" si="981"/>
        <v>-15796744086.807922</v>
      </c>
      <c r="S505">
        <f t="shared" si="982"/>
        <v>-157967.44086807923</v>
      </c>
      <c r="T505">
        <f t="shared" si="983"/>
        <v>-157.96744086807922</v>
      </c>
    </row>
    <row r="506" spans="1:20" x14ac:dyDescent="0.25">
      <c r="A506" s="5">
        <v>44087</v>
      </c>
      <c r="B506">
        <v>2.9380000000000001E-3</v>
      </c>
      <c r="C506">
        <v>2.947E-3</v>
      </c>
      <c r="D506">
        <v>2.5070000000000001E-3</v>
      </c>
      <c r="E506">
        <v>2.6080000000000001E-3</v>
      </c>
      <c r="F506">
        <v>295124316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-0.54090909090909089</v>
      </c>
      <c r="Q506">
        <f t="shared" si="980"/>
        <v>-159635425.47272727</v>
      </c>
      <c r="R506">
        <f t="shared" si="981"/>
        <v>-16049293622.103397</v>
      </c>
      <c r="S506">
        <f t="shared" si="982"/>
        <v>-160492.93622103398</v>
      </c>
      <c r="T506">
        <f t="shared" si="983"/>
        <v>-160.49293622103397</v>
      </c>
    </row>
    <row r="507" spans="1:20" x14ac:dyDescent="0.25">
      <c r="A507" s="5">
        <v>44086</v>
      </c>
      <c r="B507">
        <v>3.0839999999999999E-3</v>
      </c>
      <c r="C507">
        <v>3.14E-3</v>
      </c>
      <c r="D507">
        <v>2.872E-3</v>
      </c>
      <c r="E507">
        <v>2.9390000000000002E-3</v>
      </c>
      <c r="F507">
        <v>304847710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-0.49999999999999839</v>
      </c>
      <c r="Q507">
        <f t="shared" si="980"/>
        <v>-152423854.99999952</v>
      </c>
      <c r="R507">
        <f t="shared" si="981"/>
        <v>-15889658196.630671</v>
      </c>
      <c r="S507">
        <f t="shared" si="982"/>
        <v>-158896.58196630669</v>
      </c>
      <c r="T507">
        <f t="shared" si="983"/>
        <v>-158.89658196630668</v>
      </c>
    </row>
    <row r="508" spans="1:20" x14ac:dyDescent="0.25">
      <c r="A508" s="5">
        <v>44085</v>
      </c>
      <c r="B508">
        <v>2.9780000000000002E-3</v>
      </c>
      <c r="C508">
        <v>3.0999999999999999E-3</v>
      </c>
      <c r="D508">
        <v>2.8270000000000001E-3</v>
      </c>
      <c r="E508">
        <v>3.0829999999999998E-3</v>
      </c>
      <c r="F508">
        <v>293424768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0.87545787545787468</v>
      </c>
      <c r="Q508">
        <f t="shared" si="980"/>
        <v>256881023.99999976</v>
      </c>
      <c r="R508">
        <f t="shared" si="981"/>
        <v>-15737234341.630671</v>
      </c>
      <c r="S508">
        <f t="shared" si="982"/>
        <v>-157372.34341630671</v>
      </c>
      <c r="T508">
        <f t="shared" si="983"/>
        <v>-157.37234341630671</v>
      </c>
    </row>
    <row r="509" spans="1:20" x14ac:dyDescent="0.25">
      <c r="A509" s="5">
        <v>44084</v>
      </c>
      <c r="B509">
        <v>3.016E-3</v>
      </c>
      <c r="C509">
        <v>3.2499999999999999E-3</v>
      </c>
      <c r="D509">
        <v>2.9169999999999999E-3</v>
      </c>
      <c r="E509">
        <v>2.9849999999999998E-3</v>
      </c>
      <c r="F509">
        <v>413412183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-0.59159159159159203</v>
      </c>
      <c r="Q509">
        <f t="shared" si="980"/>
        <v>-244571171.32432452</v>
      </c>
      <c r="R509">
        <f t="shared" si="981"/>
        <v>-15994115365.630671</v>
      </c>
      <c r="S509">
        <f t="shared" si="982"/>
        <v>-159941.15365630671</v>
      </c>
      <c r="T509">
        <f t="shared" si="983"/>
        <v>-159.94115365630671</v>
      </c>
    </row>
    <row r="510" spans="1:20" x14ac:dyDescent="0.25">
      <c r="A510" s="5">
        <v>44083</v>
      </c>
      <c r="B510">
        <v>2.9099999999999998E-3</v>
      </c>
      <c r="C510">
        <v>3.2859999999999999E-3</v>
      </c>
      <c r="D510">
        <v>2.6710000000000002E-3</v>
      </c>
      <c r="E510">
        <v>3.019E-3</v>
      </c>
      <c r="F510">
        <v>659215581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0.13170731707317065</v>
      </c>
      <c r="Q510">
        <f t="shared" si="980"/>
        <v>86823515.546341419</v>
      </c>
      <c r="R510">
        <f t="shared" si="981"/>
        <v>-15749544194.306347</v>
      </c>
      <c r="S510">
        <f t="shared" si="982"/>
        <v>-157495.44194306346</v>
      </c>
      <c r="T510">
        <f t="shared" si="983"/>
        <v>-157.49544194306347</v>
      </c>
    </row>
    <row r="511" spans="1:20" x14ac:dyDescent="0.25">
      <c r="A511" s="5">
        <v>44082</v>
      </c>
      <c r="B511">
        <v>3.1840000000000002E-3</v>
      </c>
      <c r="C511">
        <v>3.2320000000000001E-3</v>
      </c>
      <c r="D511">
        <v>2.7100000000000002E-3</v>
      </c>
      <c r="E511">
        <v>2.9239999999999999E-3</v>
      </c>
      <c r="F511">
        <v>562130803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-0.18007662835249111</v>
      </c>
      <c r="Q511">
        <f t="shared" si="980"/>
        <v>-101226619.69731839</v>
      </c>
      <c r="R511">
        <f t="shared" si="981"/>
        <v>-15836367709.852688</v>
      </c>
      <c r="S511">
        <f t="shared" si="982"/>
        <v>-158363.67709852688</v>
      </c>
      <c r="T511">
        <f t="shared" si="983"/>
        <v>-158.36367709852689</v>
      </c>
    </row>
    <row r="512" spans="1:20" x14ac:dyDescent="0.25">
      <c r="A512" s="5">
        <v>44081</v>
      </c>
      <c r="B512">
        <v>3.2590000000000002E-3</v>
      </c>
      <c r="C512">
        <v>3.4749999999999998E-3</v>
      </c>
      <c r="D512">
        <v>2.6210000000000001E-3</v>
      </c>
      <c r="E512">
        <v>3.1830000000000001E-3</v>
      </c>
      <c r="F512">
        <v>1043803399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0.3161592505854805</v>
      </c>
      <c r="Q512">
        <f t="shared" si="980"/>
        <v>330008100.38641727</v>
      </c>
      <c r="R512">
        <f t="shared" si="981"/>
        <v>-15735141090.155369</v>
      </c>
      <c r="S512">
        <f t="shared" si="982"/>
        <v>-157351.4109015537</v>
      </c>
      <c r="T512">
        <f t="shared" si="983"/>
        <v>-157.35141090155369</v>
      </c>
    </row>
    <row r="513" spans="1:20" x14ac:dyDescent="0.25">
      <c r="A513" s="5">
        <v>44080</v>
      </c>
      <c r="B513">
        <v>2.3760000000000001E-3</v>
      </c>
      <c r="C513">
        <v>3.9150000000000001E-3</v>
      </c>
      <c r="D513">
        <v>2.2469999999999999E-3</v>
      </c>
      <c r="E513">
        <v>3.2590000000000002E-3</v>
      </c>
      <c r="F513">
        <v>1795285632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0.21342925659472445</v>
      </c>
      <c r="Q513">
        <f t="shared" si="980"/>
        <v>383166477.81295007</v>
      </c>
      <c r="R513">
        <f t="shared" si="981"/>
        <v>-16065149190.541786</v>
      </c>
      <c r="S513">
        <f t="shared" si="982"/>
        <v>-160651.49190541788</v>
      </c>
      <c r="T513">
        <f t="shared" si="983"/>
        <v>-160.65149190541788</v>
      </c>
    </row>
    <row r="514" spans="1:20" x14ac:dyDescent="0.25">
      <c r="A514" s="5">
        <v>44079</v>
      </c>
      <c r="B514">
        <v>2.9250000000000001E-3</v>
      </c>
      <c r="C514">
        <v>2.9970000000000001E-3</v>
      </c>
      <c r="D514">
        <v>2.2169999999999998E-3</v>
      </c>
      <c r="E514">
        <v>2.3760000000000001E-3</v>
      </c>
      <c r="F514">
        <v>594603354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-0.59230769230769176</v>
      </c>
      <c r="Q514">
        <f t="shared" si="980"/>
        <v>-352188140.44615352</v>
      </c>
      <c r="R514">
        <f t="shared" si="981"/>
        <v>-16448315668.354736</v>
      </c>
      <c r="S514">
        <f t="shared" si="982"/>
        <v>-164483.15668354736</v>
      </c>
      <c r="T514">
        <f t="shared" si="983"/>
        <v>-164.48315668354738</v>
      </c>
    </row>
    <row r="515" spans="1:20" x14ac:dyDescent="0.25">
      <c r="A515" s="5">
        <v>44078</v>
      </c>
      <c r="B515">
        <v>3.2529999999999998E-3</v>
      </c>
      <c r="C515">
        <v>3.5899999999999999E-3</v>
      </c>
      <c r="D515">
        <v>2.5720000000000001E-3</v>
      </c>
      <c r="E515">
        <v>2.9250000000000001E-3</v>
      </c>
      <c r="F515">
        <v>859437534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-0.30648330058939083</v>
      </c>
      <c r="Q515">
        <f t="shared" si="980"/>
        <v>-263403252.07072681</v>
      </c>
      <c r="R515">
        <f t="shared" si="981"/>
        <v>-16096127527.908583</v>
      </c>
      <c r="S515">
        <f t="shared" si="982"/>
        <v>-160961.27527908582</v>
      </c>
      <c r="T515">
        <f t="shared" si="983"/>
        <v>-160.96127527908581</v>
      </c>
    </row>
    <row r="516" spans="1:20" x14ac:dyDescent="0.25">
      <c r="A516" s="5">
        <v>44077</v>
      </c>
      <c r="B516">
        <v>4.2579999999999996E-3</v>
      </c>
      <c r="C516">
        <v>4.8599999999999997E-3</v>
      </c>
      <c r="D516">
        <v>3.0860000000000002E-3</v>
      </c>
      <c r="E516">
        <v>3.2629999999999998E-3</v>
      </c>
      <c r="F516">
        <v>2423057533</v>
      </c>
      <c r="G516">
        <v>0</v>
      </c>
      <c r="L516" t="s">
        <v>7</v>
      </c>
      <c r="M516" t="s">
        <v>7</v>
      </c>
      <c r="N516" t="s">
        <v>8</v>
      </c>
      <c r="P516">
        <f t="shared" si="979"/>
        <v>-0.80045095828635882</v>
      </c>
      <c r="Q516">
        <f t="shared" si="980"/>
        <v>-1939538724.2728305</v>
      </c>
      <c r="R516">
        <f t="shared" si="981"/>
        <v>-15832724275.837856</v>
      </c>
      <c r="S516">
        <f t="shared" si="982"/>
        <v>-158327.24275837856</v>
      </c>
      <c r="T516">
        <f t="shared" si="983"/>
        <v>-158.32724275837856</v>
      </c>
    </row>
    <row r="517" spans="1:20" x14ac:dyDescent="0.25">
      <c r="A517" s="5">
        <v>44076</v>
      </c>
      <c r="B517">
        <v>3.5950000000000001E-3</v>
      </c>
      <c r="C517">
        <v>4.9800000000000001E-3</v>
      </c>
      <c r="D517">
        <v>3.1700000000000001E-3</v>
      </c>
      <c r="E517">
        <v>4.2579999999999996E-3</v>
      </c>
      <c r="F517">
        <v>2014358417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0.20220994475138074</v>
      </c>
      <c r="Q517">
        <f t="shared" si="980"/>
        <v>407323304.21104878</v>
      </c>
      <c r="R517">
        <f t="shared" si="981"/>
        <v>-13893185551.565025</v>
      </c>
      <c r="S517">
        <f t="shared" si="982"/>
        <v>-138931.85551565024</v>
      </c>
      <c r="T517">
        <f t="shared" si="983"/>
        <v>-138.93185551565023</v>
      </c>
    </row>
    <row r="518" spans="1:20" x14ac:dyDescent="0.25">
      <c r="A518" s="5">
        <v>44075</v>
      </c>
      <c r="B518">
        <v>4.2649999999999997E-3</v>
      </c>
      <c r="C518">
        <v>4.3290000000000004E-3</v>
      </c>
      <c r="D518">
        <v>3.5950000000000001E-3</v>
      </c>
      <c r="E518">
        <v>3.5950000000000001E-3</v>
      </c>
      <c r="F518">
        <v>710492222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-1</v>
      </c>
      <c r="Q518">
        <f t="shared" ref="Q518:Q581" si="985">F518*P518</f>
        <v>-710492222</v>
      </c>
      <c r="R518">
        <f t="shared" ref="R518:R581" si="986">R519+Q518</f>
        <v>-14300508855.776073</v>
      </c>
      <c r="S518">
        <f t="shared" ref="S518:S581" si="987">R518/100000</f>
        <v>-143005.08855776073</v>
      </c>
      <c r="T518">
        <f t="shared" ref="T518:T581" si="988">S518/1000</f>
        <v>-143.00508855776073</v>
      </c>
    </row>
    <row r="519" spans="1:20" x14ac:dyDescent="0.25">
      <c r="A519" s="5">
        <v>44074</v>
      </c>
      <c r="B519">
        <v>4.5669999999999999E-3</v>
      </c>
      <c r="C519">
        <v>4.7999999999999996E-3</v>
      </c>
      <c r="D519">
        <v>4.2500000000000003E-3</v>
      </c>
      <c r="E519">
        <v>4.2659999999999998E-3</v>
      </c>
      <c r="F519">
        <v>525708448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-0.94181818181818344</v>
      </c>
      <c r="Q519">
        <f t="shared" si="985"/>
        <v>-495121774.66181904</v>
      </c>
      <c r="R519">
        <f t="shared" si="986"/>
        <v>-13590016633.776073</v>
      </c>
      <c r="S519">
        <f t="shared" si="987"/>
        <v>-135900.16633776075</v>
      </c>
      <c r="T519">
        <f t="shared" si="988"/>
        <v>-135.90016633776074</v>
      </c>
    </row>
    <row r="520" spans="1:20" x14ac:dyDescent="0.25">
      <c r="A520" s="5">
        <v>44073</v>
      </c>
      <c r="B520">
        <v>4.7619999999999997E-3</v>
      </c>
      <c r="C520">
        <v>4.9500000000000004E-3</v>
      </c>
      <c r="D520">
        <v>4.4000000000000003E-3</v>
      </c>
      <c r="E520">
        <v>4.5859999999999998E-3</v>
      </c>
      <c r="F520">
        <v>735011316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-0.3236363636363655</v>
      </c>
      <c r="Q520">
        <f t="shared" si="985"/>
        <v>-237876389.54181954</v>
      </c>
      <c r="R520">
        <f t="shared" si="986"/>
        <v>-13094894859.114254</v>
      </c>
      <c r="S520">
        <f t="shared" si="987"/>
        <v>-130948.94859114254</v>
      </c>
      <c r="T520">
        <f t="shared" si="988"/>
        <v>-130.94894859114254</v>
      </c>
    </row>
    <row r="521" spans="1:20" x14ac:dyDescent="0.25">
      <c r="A521" s="5">
        <v>44072</v>
      </c>
      <c r="B521">
        <v>5.849E-3</v>
      </c>
      <c r="C521">
        <v>6.1089999999999998E-3</v>
      </c>
      <c r="D521">
        <v>4.7099999999999998E-3</v>
      </c>
      <c r="E521">
        <v>4.7569999999999999E-3</v>
      </c>
      <c r="F521">
        <v>1139300832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-0.93280914939242288</v>
      </c>
      <c r="Q521">
        <f t="shared" si="985"/>
        <v>-1062750239.9999996</v>
      </c>
      <c r="R521">
        <f t="shared" si="986"/>
        <v>-12857018469.572435</v>
      </c>
      <c r="S521">
        <f t="shared" si="987"/>
        <v>-128570.18469572435</v>
      </c>
      <c r="T521">
        <f t="shared" si="988"/>
        <v>-128.57018469572435</v>
      </c>
    </row>
    <row r="522" spans="1:20" x14ac:dyDescent="0.25">
      <c r="A522" s="5">
        <v>44071</v>
      </c>
      <c r="B522">
        <v>5.47E-3</v>
      </c>
      <c r="C522">
        <v>7.0000000000000001E-3</v>
      </c>
      <c r="D522">
        <v>4.235E-3</v>
      </c>
      <c r="E522">
        <v>5.8520000000000004E-3</v>
      </c>
      <c r="F522">
        <v>1999373353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0.1696202531645572</v>
      </c>
      <c r="Q522">
        <f t="shared" si="985"/>
        <v>339134214.30632961</v>
      </c>
      <c r="R522">
        <f t="shared" si="986"/>
        <v>-11794268229.572435</v>
      </c>
      <c r="S522">
        <f t="shared" si="987"/>
        <v>-117942.68229572436</v>
      </c>
      <c r="T522">
        <f t="shared" si="988"/>
        <v>-117.94268229572435</v>
      </c>
    </row>
    <row r="523" spans="1:20" x14ac:dyDescent="0.25">
      <c r="A523" s="5">
        <v>44070</v>
      </c>
      <c r="B523">
        <v>6.3740000000000003E-3</v>
      </c>
      <c r="C523">
        <v>7.8949999999999992E-3</v>
      </c>
      <c r="D523">
        <v>5.1000000000000004E-3</v>
      </c>
      <c r="E523">
        <v>5.47E-3</v>
      </c>
      <c r="F523">
        <v>3212651806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-0.7352415026833633</v>
      </c>
      <c r="Q523">
        <f t="shared" si="985"/>
        <v>-2362074941.4418612</v>
      </c>
      <c r="R523">
        <f t="shared" si="986"/>
        <v>-12133402443.878765</v>
      </c>
      <c r="S523">
        <f t="shared" si="987"/>
        <v>-121334.02443878764</v>
      </c>
      <c r="T523">
        <f t="shared" si="988"/>
        <v>-121.33402443878765</v>
      </c>
    </row>
    <row r="524" spans="1:20" x14ac:dyDescent="0.25">
      <c r="A524" s="5">
        <v>44069</v>
      </c>
      <c r="B524">
        <v>2.82E-3</v>
      </c>
      <c r="C524">
        <v>1.0200000000000001E-2</v>
      </c>
      <c r="D524">
        <v>2.82E-3</v>
      </c>
      <c r="E524">
        <v>6.3749999999999996E-3</v>
      </c>
      <c r="F524">
        <v>12789449213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-3.6585365853658743E-2</v>
      </c>
      <c r="Q524">
        <f t="shared" si="985"/>
        <v>-467906678.5243929</v>
      </c>
      <c r="R524">
        <f t="shared" si="986"/>
        <v>-9771327502.4369049</v>
      </c>
      <c r="S524">
        <f t="shared" si="987"/>
        <v>-97713.275024369053</v>
      </c>
      <c r="T524">
        <f t="shared" si="988"/>
        <v>-97.713275024369054</v>
      </c>
    </row>
    <row r="525" spans="1:20" x14ac:dyDescent="0.25">
      <c r="A525" s="5">
        <v>44068</v>
      </c>
      <c r="B525">
        <v>1.9589999999999998E-3</v>
      </c>
      <c r="C525">
        <v>4.0000000000000001E-3</v>
      </c>
      <c r="D525">
        <v>1.8580000000000001E-3</v>
      </c>
      <c r="E525">
        <v>2.82E-3</v>
      </c>
      <c r="F525">
        <v>2835531988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-0.10177404295051359</v>
      </c>
      <c r="Q525">
        <f t="shared" si="985"/>
        <v>-288583554.3342672</v>
      </c>
      <c r="R525">
        <f t="shared" si="986"/>
        <v>-9303420823.9125118</v>
      </c>
      <c r="S525">
        <f t="shared" si="987"/>
        <v>-93034.208239125117</v>
      </c>
      <c r="T525">
        <f t="shared" si="988"/>
        <v>-93.034208239125121</v>
      </c>
    </row>
    <row r="526" spans="1:20" x14ac:dyDescent="0.25">
      <c r="A526" s="5">
        <v>44067</v>
      </c>
      <c r="B526">
        <v>1.7769999999999999E-3</v>
      </c>
      <c r="C526">
        <v>2.0890000000000001E-3</v>
      </c>
      <c r="D526">
        <v>1.7600000000000001E-3</v>
      </c>
      <c r="E526">
        <v>1.954E-3</v>
      </c>
      <c r="F526">
        <v>93097362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0.17933130699088082</v>
      </c>
      <c r="Q526">
        <f t="shared" si="985"/>
        <v>16695271.604863163</v>
      </c>
      <c r="R526">
        <f t="shared" si="986"/>
        <v>-9014837269.5782452</v>
      </c>
      <c r="S526">
        <f t="shared" si="987"/>
        <v>-90148.372695782455</v>
      </c>
      <c r="T526">
        <f t="shared" si="988"/>
        <v>-90.148372695782456</v>
      </c>
    </row>
    <row r="527" spans="1:20" x14ac:dyDescent="0.25">
      <c r="A527" s="5">
        <v>44066</v>
      </c>
      <c r="B527">
        <v>1.8309999999999999E-3</v>
      </c>
      <c r="C527">
        <v>1.864E-3</v>
      </c>
      <c r="D527">
        <v>1.7600000000000001E-3</v>
      </c>
      <c r="E527">
        <v>1.7780000000000001E-3</v>
      </c>
      <c r="F527">
        <v>90227363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-0.65384615384615352</v>
      </c>
      <c r="Q527">
        <f t="shared" si="985"/>
        <v>-58994814.269230738</v>
      </c>
      <c r="R527">
        <f t="shared" si="986"/>
        <v>-9031532541.1831074</v>
      </c>
      <c r="S527">
        <f t="shared" si="987"/>
        <v>-90315.325411831072</v>
      </c>
      <c r="T527">
        <f t="shared" si="988"/>
        <v>-90.315325411831068</v>
      </c>
    </row>
    <row r="528" spans="1:20" x14ac:dyDescent="0.25">
      <c r="A528" s="5">
        <v>44065</v>
      </c>
      <c r="B528">
        <v>1.825E-3</v>
      </c>
      <c r="C528">
        <v>1.8439999999999999E-3</v>
      </c>
      <c r="D528">
        <v>1.7309999999999999E-3</v>
      </c>
      <c r="E528">
        <v>1.8209999999999999E-3</v>
      </c>
      <c r="F528">
        <v>100410250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0.5929203539823007</v>
      </c>
      <c r="Q528">
        <f t="shared" si="985"/>
        <v>59535280.973451309</v>
      </c>
      <c r="R528">
        <f t="shared" si="986"/>
        <v>-8972537726.9138775</v>
      </c>
      <c r="S528">
        <f t="shared" si="987"/>
        <v>-89725.377269138771</v>
      </c>
      <c r="T528">
        <f t="shared" si="988"/>
        <v>-89.725377269138775</v>
      </c>
    </row>
    <row r="529" spans="1:20" x14ac:dyDescent="0.25">
      <c r="A529" s="5">
        <v>44064</v>
      </c>
      <c r="B529">
        <v>1.939E-3</v>
      </c>
      <c r="C529">
        <v>1.9959999999999999E-3</v>
      </c>
      <c r="D529">
        <v>1.825E-3</v>
      </c>
      <c r="E529">
        <v>1.825E-3</v>
      </c>
      <c r="F529">
        <v>88030888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-1</v>
      </c>
      <c r="Q529">
        <f t="shared" si="985"/>
        <v>-88030888</v>
      </c>
      <c r="R529">
        <f t="shared" si="986"/>
        <v>-9032073007.8873291</v>
      </c>
      <c r="S529">
        <f t="shared" si="987"/>
        <v>-90320.730078873297</v>
      </c>
      <c r="T529">
        <f t="shared" si="988"/>
        <v>-90.320730078873297</v>
      </c>
    </row>
    <row r="530" spans="1:20" x14ac:dyDescent="0.25">
      <c r="A530" s="5">
        <v>44063</v>
      </c>
      <c r="B530">
        <v>1.823E-3</v>
      </c>
      <c r="C530">
        <v>1.9559999999999998E-3</v>
      </c>
      <c r="D530">
        <v>1.815E-3</v>
      </c>
      <c r="E530">
        <v>1.939E-3</v>
      </c>
      <c r="F530">
        <v>81028659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0.75886524822695189</v>
      </c>
      <c r="Q530">
        <f t="shared" si="985"/>
        <v>61489833.425532043</v>
      </c>
      <c r="R530">
        <f t="shared" si="986"/>
        <v>-8944042119.8873291</v>
      </c>
      <c r="S530">
        <f t="shared" si="987"/>
        <v>-89440.421198873286</v>
      </c>
      <c r="T530">
        <f t="shared" si="988"/>
        <v>-89.440421198873281</v>
      </c>
    </row>
    <row r="531" spans="1:20" x14ac:dyDescent="0.25">
      <c r="A531" s="5">
        <v>44062</v>
      </c>
      <c r="B531">
        <v>2.0460000000000001E-3</v>
      </c>
      <c r="C531">
        <v>2.0539999999999998E-3</v>
      </c>
      <c r="D531">
        <v>1.815E-3</v>
      </c>
      <c r="E531">
        <v>1.823E-3</v>
      </c>
      <c r="F531">
        <v>122699720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-0.93305439330543949</v>
      </c>
      <c r="Q531">
        <f t="shared" si="985"/>
        <v>-114485512.8033473</v>
      </c>
      <c r="R531">
        <f t="shared" si="986"/>
        <v>-9005531953.3128605</v>
      </c>
      <c r="S531">
        <f t="shared" si="987"/>
        <v>-90055.319533128612</v>
      </c>
      <c r="T531">
        <f t="shared" si="988"/>
        <v>-90.05531953312861</v>
      </c>
    </row>
    <row r="532" spans="1:20" x14ac:dyDescent="0.25">
      <c r="A532" s="5">
        <v>44061</v>
      </c>
      <c r="B532">
        <v>2.0690000000000001E-3</v>
      </c>
      <c r="C532">
        <v>2.1549999999999998E-3</v>
      </c>
      <c r="D532">
        <v>1.99E-3</v>
      </c>
      <c r="E532">
        <v>2.0460000000000001E-3</v>
      </c>
      <c r="F532">
        <v>162008129</v>
      </c>
      <c r="G532">
        <v>0</v>
      </c>
      <c r="L532" t="s">
        <v>8</v>
      </c>
      <c r="M532" t="s">
        <v>7</v>
      </c>
      <c r="N532" t="s">
        <v>8</v>
      </c>
      <c r="P532">
        <f t="shared" si="984"/>
        <v>-0.32121212121211956</v>
      </c>
      <c r="Q532">
        <f t="shared" si="985"/>
        <v>-52038974.769696705</v>
      </c>
      <c r="R532">
        <f t="shared" si="986"/>
        <v>-8891046440.5095139</v>
      </c>
      <c r="S532">
        <f t="shared" si="987"/>
        <v>-88910.464405095132</v>
      </c>
      <c r="T532">
        <f t="shared" si="988"/>
        <v>-88.910464405095126</v>
      </c>
    </row>
    <row r="533" spans="1:20" x14ac:dyDescent="0.25">
      <c r="A533" s="5">
        <v>44060</v>
      </c>
      <c r="B533">
        <v>2.0230000000000001E-3</v>
      </c>
      <c r="C533">
        <v>2.1050000000000001E-3</v>
      </c>
      <c r="D533">
        <v>1.9789999999999999E-3</v>
      </c>
      <c r="E533">
        <v>2.0690000000000001E-3</v>
      </c>
      <c r="F533">
        <v>166039385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0.42857142857142955</v>
      </c>
      <c r="Q533">
        <f t="shared" si="985"/>
        <v>71159736.428571597</v>
      </c>
      <c r="R533">
        <f t="shared" si="986"/>
        <v>-8839007465.7398167</v>
      </c>
      <c r="S533">
        <f t="shared" si="987"/>
        <v>-88390.07465739816</v>
      </c>
      <c r="T533">
        <f t="shared" si="988"/>
        <v>-88.390074657398159</v>
      </c>
    </row>
    <row r="534" spans="1:20" x14ac:dyDescent="0.25">
      <c r="A534" s="5">
        <v>44059</v>
      </c>
      <c r="B534">
        <v>2.0960000000000002E-3</v>
      </c>
      <c r="C534">
        <v>2.1029999999999998E-3</v>
      </c>
      <c r="D534">
        <v>1.9449999999999999E-3</v>
      </c>
      <c r="E534">
        <v>2.0230000000000001E-3</v>
      </c>
      <c r="F534">
        <v>142424536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-1.2658227848098834E-2</v>
      </c>
      <c r="Q534">
        <f t="shared" si="985"/>
        <v>-1802842.227847755</v>
      </c>
      <c r="R534">
        <f t="shared" si="986"/>
        <v>-8910167202.1683884</v>
      </c>
      <c r="S534">
        <f t="shared" si="987"/>
        <v>-89101.672021683888</v>
      </c>
      <c r="T534">
        <f t="shared" si="988"/>
        <v>-89.101672021683882</v>
      </c>
    </row>
    <row r="535" spans="1:20" x14ac:dyDescent="0.25">
      <c r="A535" s="5">
        <v>44058</v>
      </c>
      <c r="B535">
        <v>2.1710000000000002E-3</v>
      </c>
      <c r="C535">
        <v>2.1810000000000002E-3</v>
      </c>
      <c r="D535">
        <v>2.0470000000000002E-3</v>
      </c>
      <c r="E535">
        <v>2.0960000000000002E-3</v>
      </c>
      <c r="F535">
        <v>113416898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-0.2686567164179105</v>
      </c>
      <c r="Q535">
        <f t="shared" si="985"/>
        <v>-30470211.402985081</v>
      </c>
      <c r="R535">
        <f t="shared" si="986"/>
        <v>-8908364359.9405403</v>
      </c>
      <c r="S535">
        <f t="shared" si="987"/>
        <v>-89083.643599405405</v>
      </c>
      <c r="T535">
        <f t="shared" si="988"/>
        <v>-89.083643599405406</v>
      </c>
    </row>
    <row r="536" spans="1:20" x14ac:dyDescent="0.25">
      <c r="A536" s="5">
        <v>44057</v>
      </c>
      <c r="B536">
        <v>2.15E-3</v>
      </c>
      <c r="C536">
        <v>2.2790000000000002E-3</v>
      </c>
      <c r="D536">
        <v>2.1029999999999998E-3</v>
      </c>
      <c r="E536">
        <v>2.1719999999999999E-3</v>
      </c>
      <c r="F536">
        <v>197799642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-0.21590909090909199</v>
      </c>
      <c r="Q536">
        <f t="shared" si="985"/>
        <v>-42706740.886363849</v>
      </c>
      <c r="R536">
        <f t="shared" si="986"/>
        <v>-8877894148.5375557</v>
      </c>
      <c r="S536">
        <f t="shared" si="987"/>
        <v>-88778.941485375559</v>
      </c>
      <c r="T536">
        <f t="shared" si="988"/>
        <v>-88.778941485375555</v>
      </c>
    </row>
    <row r="537" spans="1:20" x14ac:dyDescent="0.25">
      <c r="A537" s="5">
        <v>44056</v>
      </c>
      <c r="B537">
        <v>1.9819999999999998E-3</v>
      </c>
      <c r="C537">
        <v>2.4719999999999998E-3</v>
      </c>
      <c r="D537">
        <v>1.9580000000000001E-3</v>
      </c>
      <c r="E537">
        <v>2.1489999999999999E-3</v>
      </c>
      <c r="F537">
        <v>955770710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-0.25680933852140125</v>
      </c>
      <c r="Q537">
        <f t="shared" si="985"/>
        <v>-245450843.81323004</v>
      </c>
      <c r="R537">
        <f t="shared" si="986"/>
        <v>-8835187407.6511917</v>
      </c>
      <c r="S537">
        <f t="shared" si="987"/>
        <v>-88351.874076511915</v>
      </c>
      <c r="T537">
        <f t="shared" si="988"/>
        <v>-88.351874076511919</v>
      </c>
    </row>
    <row r="538" spans="1:20" x14ac:dyDescent="0.25">
      <c r="A538" s="5">
        <v>44055</v>
      </c>
      <c r="B538">
        <v>1.7830000000000001E-3</v>
      </c>
      <c r="C538">
        <v>2.0630000000000002E-3</v>
      </c>
      <c r="D538">
        <v>1.7149999999999999E-3</v>
      </c>
      <c r="E538">
        <v>1.9819999999999998E-3</v>
      </c>
      <c r="F538">
        <v>344110858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0.53448275862068795</v>
      </c>
      <c r="Q538">
        <f t="shared" si="985"/>
        <v>183921320.65517181</v>
      </c>
      <c r="R538">
        <f t="shared" si="986"/>
        <v>-8589736563.8379622</v>
      </c>
      <c r="S538">
        <f t="shared" si="987"/>
        <v>-85897.365638379619</v>
      </c>
      <c r="T538">
        <f t="shared" si="988"/>
        <v>-85.897365638379625</v>
      </c>
    </row>
    <row r="539" spans="1:20" x14ac:dyDescent="0.25">
      <c r="A539" s="5">
        <v>44054</v>
      </c>
      <c r="B539">
        <v>1.9959999999999999E-3</v>
      </c>
      <c r="C539">
        <v>2.0920000000000001E-3</v>
      </c>
      <c r="D539">
        <v>1.719E-3</v>
      </c>
      <c r="E539">
        <v>1.7910000000000001E-3</v>
      </c>
      <c r="F539">
        <v>326262752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-0.613941018766756</v>
      </c>
      <c r="Q539">
        <f t="shared" si="985"/>
        <v>-200306086.34852546</v>
      </c>
      <c r="R539">
        <f t="shared" si="986"/>
        <v>-8773657884.4931335</v>
      </c>
      <c r="S539">
        <f t="shared" si="987"/>
        <v>-87736.57884493134</v>
      </c>
      <c r="T539">
        <f t="shared" si="988"/>
        <v>-87.736578844931344</v>
      </c>
    </row>
    <row r="540" spans="1:20" x14ac:dyDescent="0.25">
      <c r="A540" s="5">
        <v>44053</v>
      </c>
      <c r="B540">
        <v>1.851E-3</v>
      </c>
      <c r="C540">
        <v>2.1480000000000002E-3</v>
      </c>
      <c r="D540">
        <v>1.7619999999999999E-3</v>
      </c>
      <c r="E540">
        <v>1.9959999999999999E-3</v>
      </c>
      <c r="F540">
        <v>644217177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0.21243523316062116</v>
      </c>
      <c r="Q540">
        <f t="shared" si="985"/>
        <v>136854426.20207214</v>
      </c>
      <c r="R540">
        <f t="shared" si="986"/>
        <v>-8573351798.1446075</v>
      </c>
      <c r="S540">
        <f t="shared" si="987"/>
        <v>-85733.517981446072</v>
      </c>
      <c r="T540">
        <f t="shared" si="988"/>
        <v>-85.73351798144607</v>
      </c>
    </row>
    <row r="541" spans="1:20" x14ac:dyDescent="0.25">
      <c r="A541" s="5">
        <v>44052</v>
      </c>
      <c r="B541">
        <v>1.8519999999999999E-3</v>
      </c>
      <c r="C541">
        <v>1.9400000000000001E-3</v>
      </c>
      <c r="D541">
        <v>1.7600000000000001E-3</v>
      </c>
      <c r="E541">
        <v>1.8550000000000001E-3</v>
      </c>
      <c r="F541">
        <v>358345938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5.5555555555555691E-2</v>
      </c>
      <c r="Q541">
        <f t="shared" si="985"/>
        <v>19908107.666666716</v>
      </c>
      <c r="R541">
        <f t="shared" si="986"/>
        <v>-8710206224.3466797</v>
      </c>
      <c r="S541">
        <f t="shared" si="987"/>
        <v>-87102.062243466804</v>
      </c>
      <c r="T541">
        <f t="shared" si="988"/>
        <v>-87.102062243466804</v>
      </c>
    </row>
    <row r="542" spans="1:20" x14ac:dyDescent="0.25">
      <c r="A542" s="5">
        <v>44051</v>
      </c>
      <c r="B542">
        <v>1.7600000000000001E-3</v>
      </c>
      <c r="C542">
        <v>1.8879999999999999E-3</v>
      </c>
      <c r="D542">
        <v>1.64E-3</v>
      </c>
      <c r="E542">
        <v>1.8489999999999999E-3</v>
      </c>
      <c r="F542">
        <v>371486169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0.6854838709677421</v>
      </c>
      <c r="Q542">
        <f t="shared" si="985"/>
        <v>254647777.13709682</v>
      </c>
      <c r="R542">
        <f t="shared" si="986"/>
        <v>-8730114332.0133457</v>
      </c>
      <c r="S542">
        <f t="shared" si="987"/>
        <v>-87301.143320133458</v>
      </c>
      <c r="T542">
        <f t="shared" si="988"/>
        <v>-87.301143320133463</v>
      </c>
    </row>
    <row r="543" spans="1:20" x14ac:dyDescent="0.25">
      <c r="A543" s="5">
        <v>44050</v>
      </c>
      <c r="B543">
        <v>1.5870000000000001E-3</v>
      </c>
      <c r="C543">
        <v>1.9449999999999999E-3</v>
      </c>
      <c r="D543">
        <v>1.58E-3</v>
      </c>
      <c r="E543">
        <v>1.761E-3</v>
      </c>
      <c r="F543">
        <v>719502762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-8.2191780821916863E-3</v>
      </c>
      <c r="Q543">
        <f t="shared" si="985"/>
        <v>-5913721.3315067813</v>
      </c>
      <c r="R543">
        <f t="shared" si="986"/>
        <v>-8984762109.1504421</v>
      </c>
      <c r="S543">
        <f t="shared" si="987"/>
        <v>-89847.621091504421</v>
      </c>
      <c r="T543">
        <f t="shared" si="988"/>
        <v>-89.847621091504422</v>
      </c>
    </row>
    <row r="544" spans="1:20" x14ac:dyDescent="0.25">
      <c r="A544" s="5">
        <v>44049</v>
      </c>
      <c r="B544">
        <v>1.4499999999999999E-3</v>
      </c>
      <c r="C544">
        <v>1.6000000000000001E-3</v>
      </c>
      <c r="D544">
        <v>1.4350000000000001E-3</v>
      </c>
      <c r="E544">
        <v>1.5809999999999999E-3</v>
      </c>
      <c r="F544">
        <v>302391489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0.76969696969696799</v>
      </c>
      <c r="Q544">
        <f t="shared" si="985"/>
        <v>232749812.74545404</v>
      </c>
      <c r="R544">
        <f t="shared" si="986"/>
        <v>-8978848387.8189354</v>
      </c>
      <c r="S544">
        <f t="shared" si="987"/>
        <v>-89788.483878189349</v>
      </c>
      <c r="T544">
        <f t="shared" si="988"/>
        <v>-89.788483878189354</v>
      </c>
    </row>
    <row r="545" spans="1:20" x14ac:dyDescent="0.25">
      <c r="A545" s="5">
        <v>44048</v>
      </c>
      <c r="B545">
        <v>1.439E-3</v>
      </c>
      <c r="C545">
        <v>1.4679999999999999E-3</v>
      </c>
      <c r="D545">
        <v>1.415E-3</v>
      </c>
      <c r="E545">
        <v>1.4450000000000001E-3</v>
      </c>
      <c r="F545">
        <v>67045348</v>
      </c>
      <c r="G545">
        <v>0</v>
      </c>
      <c r="L545" t="s">
        <v>7</v>
      </c>
      <c r="M545" t="s">
        <v>8</v>
      </c>
      <c r="N545" t="s">
        <v>7</v>
      </c>
      <c r="P545">
        <f t="shared" si="984"/>
        <v>0.13207547169811876</v>
      </c>
      <c r="Q545">
        <f t="shared" si="985"/>
        <v>8855045.9622645229</v>
      </c>
      <c r="R545">
        <f t="shared" si="986"/>
        <v>-9211598200.5643902</v>
      </c>
      <c r="S545">
        <f t="shared" si="987"/>
        <v>-92115.982005643906</v>
      </c>
      <c r="T545">
        <f t="shared" si="988"/>
        <v>-92.1159820056439</v>
      </c>
    </row>
    <row r="546" spans="1:20" x14ac:dyDescent="0.25">
      <c r="A546" s="5">
        <v>44047</v>
      </c>
      <c r="B546">
        <v>1.41E-3</v>
      </c>
      <c r="C546">
        <v>1.5200000000000001E-3</v>
      </c>
      <c r="D546">
        <v>1.392E-3</v>
      </c>
      <c r="E546">
        <v>1.4289999999999999E-3</v>
      </c>
      <c r="F546">
        <v>210868459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-0.42187500000000155</v>
      </c>
      <c r="Q546">
        <f t="shared" si="985"/>
        <v>-88960131.140625328</v>
      </c>
      <c r="R546">
        <f t="shared" si="986"/>
        <v>-9220453246.5266552</v>
      </c>
      <c r="S546">
        <f t="shared" si="987"/>
        <v>-92204.532465266559</v>
      </c>
      <c r="T546">
        <f t="shared" si="988"/>
        <v>-92.204532465266553</v>
      </c>
    </row>
    <row r="547" spans="1:20" x14ac:dyDescent="0.25">
      <c r="A547" s="5">
        <v>44046</v>
      </c>
      <c r="B547">
        <v>1.3129999999999999E-3</v>
      </c>
      <c r="C547">
        <v>1.4480000000000001E-3</v>
      </c>
      <c r="D547">
        <v>1.304E-3</v>
      </c>
      <c r="E547">
        <v>1.4090000000000001E-3</v>
      </c>
      <c r="F547">
        <v>133945502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0.45833333333333381</v>
      </c>
      <c r="Q547">
        <f t="shared" si="985"/>
        <v>61391688.416666731</v>
      </c>
      <c r="R547">
        <f t="shared" si="986"/>
        <v>-9131493115.3860302</v>
      </c>
      <c r="S547">
        <f t="shared" si="987"/>
        <v>-91314.931153860307</v>
      </c>
      <c r="T547">
        <f t="shared" si="988"/>
        <v>-91.3149311538603</v>
      </c>
    </row>
    <row r="548" spans="1:20" x14ac:dyDescent="0.25">
      <c r="A548" s="5">
        <v>44045</v>
      </c>
      <c r="B548">
        <v>1.42E-3</v>
      </c>
      <c r="C548">
        <v>1.436E-3</v>
      </c>
      <c r="D548">
        <v>1.25E-3</v>
      </c>
      <c r="E548">
        <v>1.315E-3</v>
      </c>
      <c r="F548">
        <v>181154785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-0.3010752688172047</v>
      </c>
      <c r="Q548">
        <f t="shared" si="985"/>
        <v>-54541225.591397919</v>
      </c>
      <c r="R548">
        <f t="shared" si="986"/>
        <v>-9192884803.8026962</v>
      </c>
      <c r="S548">
        <f t="shared" si="987"/>
        <v>-91928.848038026961</v>
      </c>
      <c r="T548">
        <f t="shared" si="988"/>
        <v>-91.928848038026956</v>
      </c>
    </row>
    <row r="549" spans="1:20" x14ac:dyDescent="0.25">
      <c r="A549" s="5">
        <v>44044</v>
      </c>
      <c r="B549">
        <v>1.405E-3</v>
      </c>
      <c r="C549">
        <v>1.438E-3</v>
      </c>
      <c r="D549">
        <v>1.3780000000000001E-3</v>
      </c>
      <c r="E549">
        <v>1.4159999999999999E-3</v>
      </c>
      <c r="F549">
        <v>99452088</v>
      </c>
      <c r="G549">
        <v>0</v>
      </c>
      <c r="L549" t="s">
        <v>7</v>
      </c>
      <c r="M549" t="s">
        <v>7</v>
      </c>
      <c r="N549" t="s">
        <v>7</v>
      </c>
      <c r="P549">
        <f t="shared" si="984"/>
        <v>0.26666666666666256</v>
      </c>
      <c r="Q549">
        <f t="shared" si="985"/>
        <v>26520556.799999591</v>
      </c>
      <c r="R549">
        <f t="shared" si="986"/>
        <v>-9138343578.211298</v>
      </c>
      <c r="S549">
        <f t="shared" si="987"/>
        <v>-91383.435782112982</v>
      </c>
      <c r="T549">
        <f t="shared" si="988"/>
        <v>-91.383435782112983</v>
      </c>
    </row>
    <row r="550" spans="1:20" x14ac:dyDescent="0.25">
      <c r="A550" s="5">
        <v>44043</v>
      </c>
      <c r="B550">
        <v>1.4779999999999999E-3</v>
      </c>
      <c r="C550">
        <v>1.4890000000000001E-3</v>
      </c>
      <c r="D550">
        <v>1.374E-3</v>
      </c>
      <c r="E550">
        <v>1.4059999999999999E-3</v>
      </c>
      <c r="F550">
        <v>86114654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-0.44347826086956721</v>
      </c>
      <c r="Q550">
        <f t="shared" si="985"/>
        <v>-38189976.991304517</v>
      </c>
      <c r="R550">
        <f t="shared" si="986"/>
        <v>-9164864135.0112972</v>
      </c>
      <c r="S550">
        <f t="shared" si="987"/>
        <v>-91648.641350112972</v>
      </c>
      <c r="T550">
        <f t="shared" si="988"/>
        <v>-91.648641350112968</v>
      </c>
    </row>
    <row r="551" spans="1:20" x14ac:dyDescent="0.25">
      <c r="A551" s="5">
        <v>44042</v>
      </c>
      <c r="B551">
        <v>1.4419999999999999E-3</v>
      </c>
      <c r="C551">
        <v>1.487E-3</v>
      </c>
      <c r="D551">
        <v>1.4289999999999999E-3</v>
      </c>
      <c r="E551">
        <v>1.4779999999999999E-3</v>
      </c>
      <c r="F551">
        <v>112766305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0.68965517241378993</v>
      </c>
      <c r="Q551">
        <f t="shared" si="985"/>
        <v>77769865.517241016</v>
      </c>
      <c r="R551">
        <f t="shared" si="986"/>
        <v>-9126674158.0199928</v>
      </c>
      <c r="S551">
        <f t="shared" si="987"/>
        <v>-91266.74158019993</v>
      </c>
      <c r="T551">
        <f t="shared" si="988"/>
        <v>-91.266741580199934</v>
      </c>
    </row>
    <row r="552" spans="1:20" x14ac:dyDescent="0.25">
      <c r="A552" s="5">
        <v>44041</v>
      </c>
      <c r="B552">
        <v>1.4959999999999999E-3</v>
      </c>
      <c r="C552">
        <v>1.5989999999999999E-3</v>
      </c>
      <c r="D552">
        <v>1.4239999999999999E-3</v>
      </c>
      <c r="E552">
        <v>1.4419999999999999E-3</v>
      </c>
      <c r="F552">
        <v>190285115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-0.79428571428571426</v>
      </c>
      <c r="Q552">
        <f t="shared" si="985"/>
        <v>-151140748.48571429</v>
      </c>
      <c r="R552">
        <f t="shared" si="986"/>
        <v>-9204444023.5372334</v>
      </c>
      <c r="S552">
        <f t="shared" si="987"/>
        <v>-92044.440235372327</v>
      </c>
      <c r="T552">
        <f t="shared" si="988"/>
        <v>-92.044440235372321</v>
      </c>
    </row>
    <row r="553" spans="1:20" x14ac:dyDescent="0.25">
      <c r="A553" s="5">
        <v>44040</v>
      </c>
      <c r="B553">
        <v>1.4250000000000001E-3</v>
      </c>
      <c r="C553">
        <v>1.5250000000000001E-3</v>
      </c>
      <c r="D553">
        <v>1.407E-3</v>
      </c>
      <c r="E553">
        <v>1.4940000000000001E-3</v>
      </c>
      <c r="F553">
        <v>117752351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0.47457627118644097</v>
      </c>
      <c r="Q553">
        <f t="shared" si="985"/>
        <v>55882471.661016986</v>
      </c>
      <c r="R553">
        <f t="shared" si="986"/>
        <v>-9053303275.0515194</v>
      </c>
      <c r="S553">
        <f t="shared" si="987"/>
        <v>-90533.032750515194</v>
      </c>
      <c r="T553">
        <f t="shared" si="988"/>
        <v>-90.53303275051519</v>
      </c>
    </row>
    <row r="554" spans="1:20" x14ac:dyDescent="0.25">
      <c r="A554" s="5">
        <v>44039</v>
      </c>
      <c r="B554">
        <v>1.5870000000000001E-3</v>
      </c>
      <c r="C554">
        <v>1.5870000000000001E-3</v>
      </c>
      <c r="D554">
        <v>1.3760000000000001E-3</v>
      </c>
      <c r="E554">
        <v>1.4250000000000001E-3</v>
      </c>
      <c r="F554">
        <v>299729593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-0.53554502369668255</v>
      </c>
      <c r="Q554">
        <f t="shared" si="985"/>
        <v>-160518691.98578203</v>
      </c>
      <c r="R554">
        <f t="shared" si="986"/>
        <v>-9109185746.7125359</v>
      </c>
      <c r="S554">
        <f t="shared" si="987"/>
        <v>-91091.857467125359</v>
      </c>
      <c r="T554">
        <f t="shared" si="988"/>
        <v>-91.091857467125365</v>
      </c>
    </row>
    <row r="555" spans="1:20" x14ac:dyDescent="0.25">
      <c r="A555" s="5">
        <v>44038</v>
      </c>
      <c r="B555">
        <v>1.6329999999999999E-3</v>
      </c>
      <c r="C555">
        <v>1.6620000000000001E-3</v>
      </c>
      <c r="D555">
        <v>1.5039999999999999E-3</v>
      </c>
      <c r="E555">
        <v>1.586E-3</v>
      </c>
      <c r="F555">
        <v>177848993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3.7974683544303313E-2</v>
      </c>
      <c r="Q555">
        <f t="shared" si="985"/>
        <v>6753759.2278480148</v>
      </c>
      <c r="R555">
        <f t="shared" si="986"/>
        <v>-8948667054.7267532</v>
      </c>
      <c r="S555">
        <f t="shared" si="987"/>
        <v>-89486.670547267538</v>
      </c>
      <c r="T555">
        <f t="shared" si="988"/>
        <v>-89.486670547267536</v>
      </c>
    </row>
    <row r="556" spans="1:20" x14ac:dyDescent="0.25">
      <c r="A556" s="5">
        <v>44037</v>
      </c>
      <c r="B556">
        <v>1.632E-3</v>
      </c>
      <c r="C556">
        <v>1.6850000000000001E-3</v>
      </c>
      <c r="D556">
        <v>1.6000000000000001E-3</v>
      </c>
      <c r="E556">
        <v>1.634E-3</v>
      </c>
      <c r="F556">
        <v>166366062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-0.20000000000000101</v>
      </c>
      <c r="Q556">
        <f t="shared" si="985"/>
        <v>-33273212.40000017</v>
      </c>
      <c r="R556">
        <f t="shared" si="986"/>
        <v>-8955420813.9546013</v>
      </c>
      <c r="S556">
        <f t="shared" si="987"/>
        <v>-89554.208139546012</v>
      </c>
      <c r="T556">
        <f t="shared" si="988"/>
        <v>-89.554208139546006</v>
      </c>
    </row>
    <row r="557" spans="1:20" x14ac:dyDescent="0.25">
      <c r="A557" s="5">
        <v>44036</v>
      </c>
      <c r="B557">
        <v>1.6800000000000001E-3</v>
      </c>
      <c r="C557">
        <v>1.7489999999999999E-3</v>
      </c>
      <c r="D557">
        <v>1.6169999999999999E-3</v>
      </c>
      <c r="E557">
        <v>1.632E-3</v>
      </c>
      <c r="F557">
        <v>214789442</v>
      </c>
      <c r="G557">
        <v>0</v>
      </c>
      <c r="L557" t="s">
        <v>8</v>
      </c>
      <c r="M557" t="s">
        <v>7</v>
      </c>
      <c r="N557" t="s">
        <v>8</v>
      </c>
      <c r="P557">
        <f t="shared" si="984"/>
        <v>-0.77272727272727204</v>
      </c>
      <c r="Q557">
        <f t="shared" si="985"/>
        <v>-165973659.72727257</v>
      </c>
      <c r="R557">
        <f t="shared" si="986"/>
        <v>-8922147601.5546017</v>
      </c>
      <c r="S557">
        <f t="shared" si="987"/>
        <v>-89221.47601554601</v>
      </c>
      <c r="T557">
        <f t="shared" si="988"/>
        <v>-89.221476015546017</v>
      </c>
    </row>
    <row r="558" spans="1:20" x14ac:dyDescent="0.25">
      <c r="A558" s="5">
        <v>44035</v>
      </c>
      <c r="B558">
        <v>1.7099999999999999E-3</v>
      </c>
      <c r="C558">
        <v>1.7520000000000001E-3</v>
      </c>
      <c r="D558">
        <v>1.5989999999999999E-3</v>
      </c>
      <c r="E558">
        <v>1.6800000000000001E-3</v>
      </c>
      <c r="F558">
        <v>276097849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5.8823529411765371E-2</v>
      </c>
      <c r="Q558">
        <f t="shared" si="985"/>
        <v>16241049.941176655</v>
      </c>
      <c r="R558">
        <f t="shared" si="986"/>
        <v>-8756173941.8273296</v>
      </c>
      <c r="S558">
        <f t="shared" si="987"/>
        <v>-87561.739418273297</v>
      </c>
      <c r="T558">
        <f t="shared" si="988"/>
        <v>-87.561739418273291</v>
      </c>
    </row>
    <row r="559" spans="1:20" x14ac:dyDescent="0.25">
      <c r="A559" s="5">
        <v>44034</v>
      </c>
      <c r="B559">
        <v>1.6100000000000001E-3</v>
      </c>
      <c r="C559">
        <v>1.8619999999999999E-3</v>
      </c>
      <c r="D559">
        <v>1.5920000000000001E-3</v>
      </c>
      <c r="E559">
        <v>1.7110000000000001E-3</v>
      </c>
      <c r="F559">
        <v>428166432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-0.11851851851851826</v>
      </c>
      <c r="Q559">
        <f t="shared" si="985"/>
        <v>-50745651.199999891</v>
      </c>
      <c r="R559">
        <f t="shared" si="986"/>
        <v>-8772414991.768507</v>
      </c>
      <c r="S559">
        <f t="shared" si="987"/>
        <v>-87724.149917685063</v>
      </c>
      <c r="T559">
        <f t="shared" si="988"/>
        <v>-87.724149917685068</v>
      </c>
    </row>
    <row r="560" spans="1:20" x14ac:dyDescent="0.25">
      <c r="A560" s="5">
        <v>44033</v>
      </c>
      <c r="B560">
        <v>1.6689999999999999E-3</v>
      </c>
      <c r="C560">
        <v>1.869E-3</v>
      </c>
      <c r="D560">
        <v>1.5479999999999999E-3</v>
      </c>
      <c r="E560">
        <v>1.601E-3</v>
      </c>
      <c r="F560">
        <v>461535841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-0.66978193146417397</v>
      </c>
      <c r="Q560">
        <f t="shared" si="985"/>
        <v>-309128367.02492189</v>
      </c>
      <c r="R560">
        <f t="shared" si="986"/>
        <v>-8721669340.5685062</v>
      </c>
      <c r="S560">
        <f t="shared" si="987"/>
        <v>-87216.693405685059</v>
      </c>
      <c r="T560">
        <f t="shared" si="988"/>
        <v>-87.216693405685064</v>
      </c>
    </row>
    <row r="561" spans="1:104" x14ac:dyDescent="0.25">
      <c r="A561" s="5">
        <v>44032</v>
      </c>
      <c r="B561">
        <v>1.779E-3</v>
      </c>
      <c r="C561">
        <v>2.0929999999999998E-3</v>
      </c>
      <c r="D561">
        <v>1.588E-3</v>
      </c>
      <c r="E561">
        <v>1.668E-3</v>
      </c>
      <c r="F561">
        <v>1240646885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-0.68316831683168311</v>
      </c>
      <c r="Q561">
        <f t="shared" si="985"/>
        <v>-847570644.20792067</v>
      </c>
      <c r="R561">
        <f t="shared" si="986"/>
        <v>-8412540973.5435848</v>
      </c>
      <c r="S561">
        <f t="shared" si="987"/>
        <v>-84125.409735435853</v>
      </c>
      <c r="T561">
        <f t="shared" si="988"/>
        <v>-84.125409735435852</v>
      </c>
      <c r="CZ561" t="s">
        <v>7</v>
      </c>
    </row>
    <row r="562" spans="1:104" x14ac:dyDescent="0.25">
      <c r="A562" s="5">
        <v>44031</v>
      </c>
      <c r="B562">
        <v>1.3290000000000001E-3</v>
      </c>
      <c r="C562">
        <v>2.2000000000000001E-3</v>
      </c>
      <c r="D562">
        <v>1.2899999999999999E-3</v>
      </c>
      <c r="E562">
        <v>1.779E-3</v>
      </c>
      <c r="F562">
        <v>2040984127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7.4725274725274612E-2</v>
      </c>
      <c r="Q562">
        <f t="shared" si="985"/>
        <v>152513099.59999976</v>
      </c>
      <c r="R562">
        <f t="shared" si="986"/>
        <v>-7564970329.3356638</v>
      </c>
      <c r="S562">
        <f t="shared" si="987"/>
        <v>-75649.703293356637</v>
      </c>
      <c r="T562">
        <f t="shared" si="988"/>
        <v>-75.649703293356637</v>
      </c>
      <c r="CZ562" t="s">
        <v>7</v>
      </c>
    </row>
    <row r="563" spans="1:104" x14ac:dyDescent="0.25">
      <c r="A563" s="5">
        <v>44030</v>
      </c>
      <c r="B563">
        <v>1.3090000000000001E-3</v>
      </c>
      <c r="C563">
        <v>1.3470000000000001E-3</v>
      </c>
      <c r="D563">
        <v>1.2830000000000001E-3</v>
      </c>
      <c r="E563">
        <v>1.3309999999999999E-3</v>
      </c>
      <c r="F563">
        <v>246222514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0.49999999999999489</v>
      </c>
      <c r="Q563">
        <f t="shared" si="985"/>
        <v>123111256.99999875</v>
      </c>
      <c r="R563">
        <f t="shared" si="986"/>
        <v>-7717483428.9356632</v>
      </c>
      <c r="S563">
        <f t="shared" si="987"/>
        <v>-77174.83428935663</v>
      </c>
      <c r="T563">
        <f t="shared" si="988"/>
        <v>-77.174834289356625</v>
      </c>
      <c r="CZ563" t="s">
        <v>7</v>
      </c>
    </row>
    <row r="564" spans="1:104" x14ac:dyDescent="0.25">
      <c r="A564" s="5">
        <v>44029</v>
      </c>
      <c r="B564">
        <v>1.372E-3</v>
      </c>
      <c r="C564">
        <v>1.379E-3</v>
      </c>
      <c r="D564">
        <v>1.299E-3</v>
      </c>
      <c r="E564">
        <v>1.312E-3</v>
      </c>
      <c r="F564">
        <v>426355235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-0.67500000000000016</v>
      </c>
      <c r="Q564">
        <f t="shared" si="985"/>
        <v>-287789783.62500006</v>
      </c>
      <c r="R564">
        <f t="shared" si="986"/>
        <v>-7840594685.9356623</v>
      </c>
      <c r="S564">
        <f t="shared" si="987"/>
        <v>-78405.946859356627</v>
      </c>
      <c r="T564">
        <f t="shared" si="988"/>
        <v>-78.405946859356632</v>
      </c>
    </row>
    <row r="565" spans="1:104" x14ac:dyDescent="0.25">
      <c r="A565" s="5">
        <v>44028</v>
      </c>
      <c r="B565">
        <v>1.3879999999999999E-3</v>
      </c>
      <c r="C565">
        <v>1.7489999999999999E-3</v>
      </c>
      <c r="D565">
        <v>1.3359999999999999E-3</v>
      </c>
      <c r="E565">
        <v>1.369E-3</v>
      </c>
      <c r="F565">
        <v>1542226896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-0.84019370460048404</v>
      </c>
      <c r="Q565">
        <f t="shared" si="985"/>
        <v>-1295769329.0847454</v>
      </c>
      <c r="R565">
        <f t="shared" si="986"/>
        <v>-7552804902.3106623</v>
      </c>
      <c r="S565">
        <f t="shared" si="987"/>
        <v>-75528.049023106621</v>
      </c>
      <c r="T565">
        <f t="shared" si="988"/>
        <v>-75.528049023106618</v>
      </c>
    </row>
    <row r="566" spans="1:104" x14ac:dyDescent="0.25">
      <c r="A566" s="5">
        <v>44027</v>
      </c>
      <c r="B566">
        <v>1.1329999999999999E-3</v>
      </c>
      <c r="C566">
        <v>1.413E-3</v>
      </c>
      <c r="D566">
        <v>1.122E-3</v>
      </c>
      <c r="E566">
        <v>1.389E-3</v>
      </c>
      <c r="F566">
        <v>829351447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0.83505154639175305</v>
      </c>
      <c r="Q566">
        <f t="shared" si="985"/>
        <v>692551208.31958807</v>
      </c>
      <c r="R566">
        <f t="shared" si="986"/>
        <v>-6257035573.2259169</v>
      </c>
      <c r="S566">
        <f t="shared" si="987"/>
        <v>-62570.355732259166</v>
      </c>
      <c r="T566">
        <f t="shared" si="988"/>
        <v>-62.570355732259166</v>
      </c>
    </row>
    <row r="567" spans="1:104" x14ac:dyDescent="0.25">
      <c r="A567" s="5">
        <v>44026</v>
      </c>
      <c r="B567">
        <v>1.126E-3</v>
      </c>
      <c r="C567">
        <v>1.142E-3</v>
      </c>
      <c r="D567">
        <v>1.096E-3</v>
      </c>
      <c r="E567">
        <v>1.1360000000000001E-3</v>
      </c>
      <c r="F567">
        <v>53903754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0.73913043478261198</v>
      </c>
      <c r="Q567">
        <f t="shared" si="985"/>
        <v>39841905.13043496</v>
      </c>
      <c r="R567">
        <f t="shared" si="986"/>
        <v>-6949586781.5455046</v>
      </c>
      <c r="S567">
        <f t="shared" si="987"/>
        <v>-69495.867815455043</v>
      </c>
      <c r="T567">
        <f t="shared" si="988"/>
        <v>-69.495867815455043</v>
      </c>
    </row>
    <row r="568" spans="1:104" x14ac:dyDescent="0.25">
      <c r="A568" s="5">
        <v>44025</v>
      </c>
      <c r="B568">
        <v>1.1620000000000001E-3</v>
      </c>
      <c r="C568">
        <v>1.1800000000000001E-3</v>
      </c>
      <c r="D568">
        <v>1.1050000000000001E-3</v>
      </c>
      <c r="E568">
        <v>1.127E-3</v>
      </c>
      <c r="F568">
        <v>154534146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-0.41333333333333627</v>
      </c>
      <c r="Q568">
        <f t="shared" si="985"/>
        <v>-63874113.680000454</v>
      </c>
      <c r="R568">
        <f t="shared" si="986"/>
        <v>-6989428686.6759396</v>
      </c>
      <c r="S568">
        <f t="shared" si="987"/>
        <v>-69894.286866759401</v>
      </c>
      <c r="T568">
        <f t="shared" si="988"/>
        <v>-69.894286866759401</v>
      </c>
    </row>
    <row r="569" spans="1:104" x14ac:dyDescent="0.25">
      <c r="A569" s="5">
        <v>44024</v>
      </c>
      <c r="B569">
        <v>1.15E-3</v>
      </c>
      <c r="C569">
        <v>1.1659999999999999E-3</v>
      </c>
      <c r="D569">
        <v>1.1119999999999999E-3</v>
      </c>
      <c r="E569">
        <v>1.16E-3</v>
      </c>
      <c r="F569">
        <v>109619191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0.77777777777778045</v>
      </c>
      <c r="Q569">
        <f t="shared" si="985"/>
        <v>85259370.777778074</v>
      </c>
      <c r="R569">
        <f t="shared" si="986"/>
        <v>-6925554572.9959393</v>
      </c>
      <c r="S569">
        <f t="shared" si="987"/>
        <v>-69255.545729959398</v>
      </c>
      <c r="T569">
        <f t="shared" si="988"/>
        <v>-69.255545729959394</v>
      </c>
    </row>
    <row r="570" spans="1:104" x14ac:dyDescent="0.25">
      <c r="A570" s="5">
        <v>44023</v>
      </c>
      <c r="B570">
        <v>1.1349999999999999E-3</v>
      </c>
      <c r="C570">
        <v>1.1800000000000001E-3</v>
      </c>
      <c r="D570">
        <v>1.1280000000000001E-3</v>
      </c>
      <c r="E570">
        <v>1.15E-3</v>
      </c>
      <c r="F570">
        <v>137285760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-0.15384615384615768</v>
      </c>
      <c r="Q570">
        <f t="shared" si="985"/>
        <v>-21120886.153846681</v>
      </c>
      <c r="R570">
        <f t="shared" si="986"/>
        <v>-7010813943.7737169</v>
      </c>
      <c r="S570">
        <f t="shared" si="987"/>
        <v>-70108.139437737176</v>
      </c>
      <c r="T570">
        <f t="shared" si="988"/>
        <v>-70.108139437737179</v>
      </c>
    </row>
    <row r="571" spans="1:104" x14ac:dyDescent="0.25">
      <c r="A571" s="5">
        <v>44022</v>
      </c>
      <c r="B571">
        <v>1.1670000000000001E-3</v>
      </c>
      <c r="C571">
        <v>1.181E-3</v>
      </c>
      <c r="D571">
        <v>1.106E-3</v>
      </c>
      <c r="E571">
        <v>1.1310000000000001E-3</v>
      </c>
      <c r="F571">
        <v>125987568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-0.33333333333333143</v>
      </c>
      <c r="Q571">
        <f t="shared" si="985"/>
        <v>-41995855.999999762</v>
      </c>
      <c r="R571">
        <f t="shared" si="986"/>
        <v>-6989693057.6198702</v>
      </c>
      <c r="S571">
        <f t="shared" si="987"/>
        <v>-69896.930576198705</v>
      </c>
      <c r="T571">
        <f t="shared" si="988"/>
        <v>-69.896930576198699</v>
      </c>
    </row>
    <row r="572" spans="1:104" x14ac:dyDescent="0.25">
      <c r="A572" s="5">
        <v>44021</v>
      </c>
      <c r="B572">
        <v>1.1310000000000001E-3</v>
      </c>
      <c r="C572">
        <v>1.1850000000000001E-3</v>
      </c>
      <c r="D572">
        <v>1.0989999999999999E-3</v>
      </c>
      <c r="E572">
        <v>1.1659999999999999E-3</v>
      </c>
      <c r="F572">
        <v>176772293</v>
      </c>
      <c r="G572">
        <v>0</v>
      </c>
      <c r="L572" t="s">
        <v>7</v>
      </c>
      <c r="M572" t="s">
        <v>8</v>
      </c>
      <c r="N572" t="s">
        <v>7</v>
      </c>
      <c r="P572">
        <f t="shared" si="984"/>
        <v>0.55813953488371848</v>
      </c>
      <c r="Q572">
        <f t="shared" si="985"/>
        <v>98663605.3953484</v>
      </c>
      <c r="R572">
        <f t="shared" si="986"/>
        <v>-6947697201.6198702</v>
      </c>
      <c r="S572">
        <f t="shared" si="987"/>
        <v>-69476.972016198706</v>
      </c>
      <c r="T572">
        <f t="shared" si="988"/>
        <v>-69.476972016198701</v>
      </c>
    </row>
    <row r="573" spans="1:104" x14ac:dyDescent="0.25">
      <c r="A573" s="5">
        <v>44020</v>
      </c>
      <c r="B573">
        <v>1.0920000000000001E-3</v>
      </c>
      <c r="C573">
        <v>1.2049999999999999E-3</v>
      </c>
      <c r="D573">
        <v>1.0759999999999999E-3</v>
      </c>
      <c r="E573">
        <v>1.132E-3</v>
      </c>
      <c r="F573">
        <v>420721688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-0.13178294573643312</v>
      </c>
      <c r="Q573">
        <f t="shared" si="985"/>
        <v>-55443943.379844546</v>
      </c>
      <c r="R573">
        <f t="shared" si="986"/>
        <v>-7046360807.0152187</v>
      </c>
      <c r="S573">
        <f t="shared" si="987"/>
        <v>-70463.608070152186</v>
      </c>
      <c r="T573">
        <f t="shared" si="988"/>
        <v>-70.463608070152191</v>
      </c>
    </row>
    <row r="574" spans="1:104" x14ac:dyDescent="0.25">
      <c r="A574" s="5">
        <v>44019</v>
      </c>
      <c r="B574">
        <v>1.08E-3</v>
      </c>
      <c r="C574">
        <v>1.093E-3</v>
      </c>
      <c r="D574">
        <v>1.054E-3</v>
      </c>
      <c r="E574">
        <v>1.091E-3</v>
      </c>
      <c r="F574">
        <v>88214040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0.89743589743589491</v>
      </c>
      <c r="Q574">
        <f t="shared" si="985"/>
        <v>79166446.153845936</v>
      </c>
      <c r="R574">
        <f t="shared" si="986"/>
        <v>-6990916863.6353741</v>
      </c>
      <c r="S574">
        <f t="shared" si="987"/>
        <v>-69909.168636353745</v>
      </c>
      <c r="T574">
        <f t="shared" si="988"/>
        <v>-69.909168636353741</v>
      </c>
    </row>
    <row r="575" spans="1:104" x14ac:dyDescent="0.25">
      <c r="A575" s="5">
        <v>44018</v>
      </c>
      <c r="B575">
        <v>1.07E-3</v>
      </c>
      <c r="C575">
        <v>1.1299999999999999E-3</v>
      </c>
      <c r="D575">
        <v>1.0009999999999999E-3</v>
      </c>
      <c r="E575">
        <v>1.08E-3</v>
      </c>
      <c r="F575">
        <v>210852090</v>
      </c>
      <c r="G575">
        <v>0</v>
      </c>
      <c r="L575" t="s">
        <v>7</v>
      </c>
      <c r="M575" t="s">
        <v>7</v>
      </c>
      <c r="N575" t="s">
        <v>7</v>
      </c>
      <c r="P575">
        <f t="shared" si="984"/>
        <v>0.22480620155038888</v>
      </c>
      <c r="Q575">
        <f t="shared" si="985"/>
        <v>47400857.441860735</v>
      </c>
      <c r="R575">
        <f t="shared" si="986"/>
        <v>-7070083309.7892199</v>
      </c>
      <c r="S575">
        <f t="shared" si="987"/>
        <v>-70700.833097892202</v>
      </c>
      <c r="T575">
        <f t="shared" si="988"/>
        <v>-70.7008330978922</v>
      </c>
    </row>
    <row r="576" spans="1:104" x14ac:dyDescent="0.25">
      <c r="A576" s="5">
        <v>44017</v>
      </c>
      <c r="B576">
        <v>1.098E-3</v>
      </c>
      <c r="C576">
        <v>1.1100000000000001E-3</v>
      </c>
      <c r="D576">
        <v>1.0510000000000001E-3</v>
      </c>
      <c r="E576">
        <v>1.062E-3</v>
      </c>
      <c r="F576">
        <v>79142185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-0.62711864406779871</v>
      </c>
      <c r="Q576">
        <f t="shared" si="985"/>
        <v>-49631539.745762877</v>
      </c>
      <c r="R576">
        <f t="shared" si="986"/>
        <v>-7117484167.231081</v>
      </c>
      <c r="S576">
        <f t="shared" si="987"/>
        <v>-71174.841672310809</v>
      </c>
      <c r="T576">
        <f t="shared" si="988"/>
        <v>-71.174841672310805</v>
      </c>
    </row>
    <row r="577" spans="1:20" x14ac:dyDescent="0.25">
      <c r="A577" s="5">
        <v>44016</v>
      </c>
      <c r="B577">
        <v>1.0870000000000001E-3</v>
      </c>
      <c r="C577">
        <v>1.1199999999999999E-3</v>
      </c>
      <c r="D577">
        <v>1.077E-3</v>
      </c>
      <c r="E577">
        <v>1.0939999999999999E-3</v>
      </c>
      <c r="F577">
        <v>98881028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-0.20930232558139863</v>
      </c>
      <c r="Q577">
        <f t="shared" si="985"/>
        <v>-20696029.116279393</v>
      </c>
      <c r="R577">
        <f t="shared" si="986"/>
        <v>-7067852627.4853182</v>
      </c>
      <c r="S577">
        <f t="shared" si="987"/>
        <v>-70678.526274853182</v>
      </c>
      <c r="T577">
        <f t="shared" si="988"/>
        <v>-70.678526274853184</v>
      </c>
    </row>
    <row r="578" spans="1:20" x14ac:dyDescent="0.25">
      <c r="A578" s="5">
        <v>44015</v>
      </c>
      <c r="B578">
        <v>1.08E-3</v>
      </c>
      <c r="C578">
        <v>1.0920000000000001E-3</v>
      </c>
      <c r="D578">
        <v>1.039E-3</v>
      </c>
      <c r="E578">
        <v>1.085E-3</v>
      </c>
      <c r="F578">
        <v>146775407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0.73584905660377176</v>
      </c>
      <c r="Q578">
        <f t="shared" si="985"/>
        <v>108004544.77358463</v>
      </c>
      <c r="R578">
        <f t="shared" si="986"/>
        <v>-7047156598.3690386</v>
      </c>
      <c r="S578">
        <f t="shared" si="987"/>
        <v>-70471.56598369038</v>
      </c>
      <c r="T578">
        <f t="shared" si="988"/>
        <v>-70.471565983690382</v>
      </c>
    </row>
    <row r="579" spans="1:20" x14ac:dyDescent="0.25">
      <c r="A579" s="5">
        <v>44014</v>
      </c>
      <c r="B579">
        <v>1.108E-3</v>
      </c>
      <c r="C579">
        <v>1.173E-3</v>
      </c>
      <c r="D579">
        <v>1.059E-3</v>
      </c>
      <c r="E579">
        <v>1.0809999999999999E-3</v>
      </c>
      <c r="F579">
        <v>152644707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-0.61403508771930015</v>
      </c>
      <c r="Q579">
        <f t="shared" si="985"/>
        <v>-93729206.05263187</v>
      </c>
      <c r="R579">
        <f t="shared" si="986"/>
        <v>-7155161143.1426229</v>
      </c>
      <c r="S579">
        <f t="shared" si="987"/>
        <v>-71551.611431426223</v>
      </c>
      <c r="T579">
        <f t="shared" si="988"/>
        <v>-71.551611431426224</v>
      </c>
    </row>
    <row r="580" spans="1:20" x14ac:dyDescent="0.25">
      <c r="A580" s="5">
        <v>44013</v>
      </c>
      <c r="B580">
        <v>1.1310000000000001E-3</v>
      </c>
      <c r="C580">
        <v>1.147E-3</v>
      </c>
      <c r="D580">
        <v>1.0970000000000001E-3</v>
      </c>
      <c r="E580">
        <v>1.1100000000000001E-3</v>
      </c>
      <c r="F580">
        <v>106748302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-0.47999999999999948</v>
      </c>
      <c r="Q580">
        <f t="shared" si="985"/>
        <v>-51239184.959999941</v>
      </c>
      <c r="R580">
        <f t="shared" si="986"/>
        <v>-7061431937.0899906</v>
      </c>
      <c r="S580">
        <f t="shared" si="987"/>
        <v>-70614.319370899902</v>
      </c>
      <c r="T580">
        <f t="shared" si="988"/>
        <v>-70.614319370899906</v>
      </c>
    </row>
    <row r="581" spans="1:20" x14ac:dyDescent="0.25">
      <c r="A581" s="5">
        <v>44012</v>
      </c>
      <c r="B581">
        <v>1.191E-3</v>
      </c>
      <c r="C581">
        <v>1.2290000000000001E-3</v>
      </c>
      <c r="D581">
        <v>1.1150000000000001E-3</v>
      </c>
      <c r="E581">
        <v>1.1310000000000001E-3</v>
      </c>
      <c r="F581">
        <v>151778742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-0.71929824561403577</v>
      </c>
      <c r="Q581">
        <f t="shared" si="985"/>
        <v>-109174182.84210537</v>
      </c>
      <c r="R581">
        <f t="shared" si="986"/>
        <v>-7010192752.1299906</v>
      </c>
      <c r="S581">
        <f t="shared" si="987"/>
        <v>-70101.927521299905</v>
      </c>
      <c r="T581">
        <f t="shared" si="988"/>
        <v>-70.101927521299899</v>
      </c>
    </row>
    <row r="582" spans="1:20" x14ac:dyDescent="0.25">
      <c r="A582" s="5">
        <v>44011</v>
      </c>
      <c r="B582">
        <v>1.1280000000000001E-3</v>
      </c>
      <c r="C582">
        <v>1.204E-3</v>
      </c>
      <c r="D582">
        <v>1.114E-3</v>
      </c>
      <c r="E582">
        <v>1.191E-3</v>
      </c>
      <c r="F582">
        <v>116032801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0.71111111111111136</v>
      </c>
      <c r="Q582">
        <f t="shared" ref="Q582:Q645" si="990">F582*P582</f>
        <v>82512214.044444472</v>
      </c>
      <c r="R582">
        <f t="shared" ref="R582:R645" si="991">R583+Q582</f>
        <v>-6901018569.2878857</v>
      </c>
      <c r="S582">
        <f t="shared" ref="S582:S645" si="992">R582/100000</f>
        <v>-69010.185692878862</v>
      </c>
      <c r="T582">
        <f t="shared" ref="T582:T645" si="993">S582/1000</f>
        <v>-69.010185692878864</v>
      </c>
    </row>
    <row r="583" spans="1:20" x14ac:dyDescent="0.25">
      <c r="A583" s="5">
        <v>44010</v>
      </c>
      <c r="B583">
        <v>1.093E-3</v>
      </c>
      <c r="C583">
        <v>1.16E-3</v>
      </c>
      <c r="D583">
        <v>1.0300000000000001E-3</v>
      </c>
      <c r="E583">
        <v>1.1280000000000001E-3</v>
      </c>
      <c r="F583">
        <v>132145563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0.50769230769230866</v>
      </c>
      <c r="Q583">
        <f t="shared" si="990"/>
        <v>67089285.83076936</v>
      </c>
      <c r="R583">
        <f t="shared" si="991"/>
        <v>-6983530783.3323298</v>
      </c>
      <c r="S583">
        <f t="shared" si="992"/>
        <v>-69835.307833323299</v>
      </c>
      <c r="T583">
        <f t="shared" si="993"/>
        <v>-69.835307833323299</v>
      </c>
    </row>
    <row r="584" spans="1:20" x14ac:dyDescent="0.25">
      <c r="A584" s="5">
        <v>44009</v>
      </c>
      <c r="B584">
        <v>1.235E-3</v>
      </c>
      <c r="C584">
        <v>1.238E-3</v>
      </c>
      <c r="D584">
        <v>1.052E-3</v>
      </c>
      <c r="E584">
        <v>1.0950000000000001E-3</v>
      </c>
      <c r="F584">
        <v>250229946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-0.53763440860214973</v>
      </c>
      <c r="Q584">
        <f t="shared" si="990"/>
        <v>-134532229.03225785</v>
      </c>
      <c r="R584">
        <f t="shared" si="991"/>
        <v>-7050620069.1630993</v>
      </c>
      <c r="S584">
        <f t="shared" si="992"/>
        <v>-70506.200691630991</v>
      </c>
      <c r="T584">
        <f t="shared" si="993"/>
        <v>-70.506200691630994</v>
      </c>
    </row>
    <row r="585" spans="1:20" x14ac:dyDescent="0.25">
      <c r="A585" s="5">
        <v>44008</v>
      </c>
      <c r="B585">
        <v>1.3799999999999999E-3</v>
      </c>
      <c r="C585">
        <v>1.3799999999999999E-3</v>
      </c>
      <c r="D585">
        <v>1.173E-3</v>
      </c>
      <c r="E585">
        <v>1.2390000000000001E-3</v>
      </c>
      <c r="F585">
        <v>397360987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-0.36231884057970909</v>
      </c>
      <c r="Q585">
        <f t="shared" si="990"/>
        <v>-143971372.10144886</v>
      </c>
      <c r="R585">
        <f t="shared" si="991"/>
        <v>-6916087840.1308413</v>
      </c>
      <c r="S585">
        <f t="shared" si="992"/>
        <v>-69160.878401308408</v>
      </c>
      <c r="T585">
        <f t="shared" si="993"/>
        <v>-69.160878401308409</v>
      </c>
    </row>
    <row r="586" spans="1:20" x14ac:dyDescent="0.25">
      <c r="A586" s="5">
        <v>44007</v>
      </c>
      <c r="B586">
        <v>1.387E-3</v>
      </c>
      <c r="C586">
        <v>1.5610000000000001E-3</v>
      </c>
      <c r="D586">
        <v>1.25E-3</v>
      </c>
      <c r="E586">
        <v>1.3799999999999999E-3</v>
      </c>
      <c r="F586">
        <v>1204654951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-0.1639871382636664</v>
      </c>
      <c r="Q586">
        <f t="shared" si="990"/>
        <v>-197547918.00964728</v>
      </c>
      <c r="R586">
        <f t="shared" si="991"/>
        <v>-6772116468.0293922</v>
      </c>
      <c r="S586">
        <f t="shared" si="992"/>
        <v>-67721.164680293921</v>
      </c>
      <c r="T586">
        <f t="shared" si="993"/>
        <v>-67.721164680293924</v>
      </c>
    </row>
    <row r="587" spans="1:20" x14ac:dyDescent="0.25">
      <c r="A587" s="5">
        <v>44006</v>
      </c>
      <c r="B587">
        <v>1.183E-3</v>
      </c>
      <c r="C587">
        <v>1.387E-3</v>
      </c>
      <c r="D587">
        <v>1.109E-3</v>
      </c>
      <c r="E587">
        <v>1.387E-3</v>
      </c>
      <c r="F587">
        <v>468355576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1</v>
      </c>
      <c r="Q587">
        <f t="shared" si="990"/>
        <v>468355576</v>
      </c>
      <c r="R587">
        <f t="shared" si="991"/>
        <v>-6574568550.0197449</v>
      </c>
      <c r="S587">
        <f t="shared" si="992"/>
        <v>-65745.685500197447</v>
      </c>
      <c r="T587">
        <f t="shared" si="993"/>
        <v>-65.745685500197453</v>
      </c>
    </row>
    <row r="588" spans="1:20" x14ac:dyDescent="0.25">
      <c r="A588" s="5">
        <v>44005</v>
      </c>
      <c r="B588">
        <v>1.173E-3</v>
      </c>
      <c r="C588">
        <v>1.2470000000000001E-3</v>
      </c>
      <c r="D588">
        <v>1.16E-3</v>
      </c>
      <c r="E588">
        <v>1.1820000000000001E-3</v>
      </c>
      <c r="F588">
        <v>170015165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-0.4942528735632164</v>
      </c>
      <c r="Q588">
        <f t="shared" si="990"/>
        <v>-84030483.850574374</v>
      </c>
      <c r="R588">
        <f t="shared" si="991"/>
        <v>-7042924126.0197449</v>
      </c>
      <c r="S588">
        <f t="shared" si="992"/>
        <v>-70429.24126019745</v>
      </c>
      <c r="T588">
        <f t="shared" si="993"/>
        <v>-70.429241260197443</v>
      </c>
    </row>
    <row r="589" spans="1:20" x14ac:dyDescent="0.25">
      <c r="A589" s="5">
        <v>44004</v>
      </c>
      <c r="B589">
        <v>1.096E-3</v>
      </c>
      <c r="C589">
        <v>1.2199999999999999E-3</v>
      </c>
      <c r="D589">
        <v>1.0889999999999999E-3</v>
      </c>
      <c r="E589">
        <v>1.1709999999999999E-3</v>
      </c>
      <c r="F589">
        <v>206175539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0.25190839694656514</v>
      </c>
      <c r="Q589">
        <f t="shared" si="990"/>
        <v>51937349.519084021</v>
      </c>
      <c r="R589">
        <f t="shared" si="991"/>
        <v>-6958893642.1691704</v>
      </c>
      <c r="S589">
        <f t="shared" si="992"/>
        <v>-69588.936421691702</v>
      </c>
      <c r="T589">
        <f t="shared" si="993"/>
        <v>-69.588936421691699</v>
      </c>
    </row>
    <row r="590" spans="1:20" x14ac:dyDescent="0.25">
      <c r="A590" s="5">
        <v>44003</v>
      </c>
      <c r="B590">
        <v>1.096E-3</v>
      </c>
      <c r="C590">
        <v>1.142E-3</v>
      </c>
      <c r="D590">
        <v>1.083E-3</v>
      </c>
      <c r="E590">
        <v>1.101E-3</v>
      </c>
      <c r="F590">
        <v>87062082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-0.3898305084745764</v>
      </c>
      <c r="Q590">
        <f t="shared" si="990"/>
        <v>-33939455.694915265</v>
      </c>
      <c r="R590">
        <f t="shared" si="991"/>
        <v>-7010830991.6882544</v>
      </c>
      <c r="S590">
        <f t="shared" si="992"/>
        <v>-70108.309916882543</v>
      </c>
      <c r="T590">
        <f t="shared" si="993"/>
        <v>-70.108309916882547</v>
      </c>
    </row>
    <row r="591" spans="1:20" x14ac:dyDescent="0.25">
      <c r="A591" s="5">
        <v>44002</v>
      </c>
      <c r="B591">
        <v>1.1180000000000001E-3</v>
      </c>
      <c r="C591">
        <v>1.173E-3</v>
      </c>
      <c r="D591">
        <v>1.054E-3</v>
      </c>
      <c r="E591">
        <v>1.096E-3</v>
      </c>
      <c r="F591">
        <v>138613879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-0.29411764705882437</v>
      </c>
      <c r="Q591">
        <f t="shared" si="990"/>
        <v>-40768787.941176586</v>
      </c>
      <c r="R591">
        <f t="shared" si="991"/>
        <v>-6976891535.9933395</v>
      </c>
      <c r="S591">
        <f t="shared" si="992"/>
        <v>-69768.915359933395</v>
      </c>
      <c r="T591">
        <f t="shared" si="993"/>
        <v>-69.768915359933402</v>
      </c>
    </row>
    <row r="592" spans="1:20" x14ac:dyDescent="0.25">
      <c r="A592" s="5">
        <v>44001</v>
      </c>
      <c r="B592">
        <v>1.067E-3</v>
      </c>
      <c r="C592">
        <v>1.152E-3</v>
      </c>
      <c r="D592">
        <v>1.067E-3</v>
      </c>
      <c r="E592">
        <v>1.1180000000000001E-3</v>
      </c>
      <c r="F592">
        <v>196085517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0.20000000000000101</v>
      </c>
      <c r="Q592">
        <f t="shared" si="990"/>
        <v>39217103.4000002</v>
      </c>
      <c r="R592">
        <f t="shared" si="991"/>
        <v>-6936122748.0521631</v>
      </c>
      <c r="S592">
        <f t="shared" si="992"/>
        <v>-69361.227480521629</v>
      </c>
      <c r="T592">
        <f t="shared" si="993"/>
        <v>-69.361227480521634</v>
      </c>
    </row>
    <row r="593" spans="1:20" x14ac:dyDescent="0.25">
      <c r="A593" s="5">
        <v>44000</v>
      </c>
      <c r="B593">
        <v>1.0529999999999999E-3</v>
      </c>
      <c r="C593">
        <v>1.101E-3</v>
      </c>
      <c r="D593">
        <v>1.0430000000000001E-3</v>
      </c>
      <c r="E593">
        <v>1.0690000000000001E-3</v>
      </c>
      <c r="F593">
        <v>134916796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-0.10344827586206794</v>
      </c>
      <c r="Q593">
        <f t="shared" si="990"/>
        <v>-13956909.931034343</v>
      </c>
      <c r="R593">
        <f t="shared" si="991"/>
        <v>-6975339851.4521637</v>
      </c>
      <c r="S593">
        <f t="shared" si="992"/>
        <v>-69753.398514521643</v>
      </c>
      <c r="T593">
        <f t="shared" si="993"/>
        <v>-69.753398514521649</v>
      </c>
    </row>
    <row r="594" spans="1:20" x14ac:dyDescent="0.25">
      <c r="A594" s="5">
        <v>43999</v>
      </c>
      <c r="B594">
        <v>1.062E-3</v>
      </c>
      <c r="C594">
        <v>1.075E-3</v>
      </c>
      <c r="D594">
        <v>1.0369999999999999E-3</v>
      </c>
      <c r="E594">
        <v>1.049E-3</v>
      </c>
      <c r="F594">
        <v>80573821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-0.36842105263157593</v>
      </c>
      <c r="Q594">
        <f t="shared" si="990"/>
        <v>-29685091.947368179</v>
      </c>
      <c r="R594">
        <f t="shared" si="991"/>
        <v>-6961382941.5211296</v>
      </c>
      <c r="S594">
        <f t="shared" si="992"/>
        <v>-69613.829415211294</v>
      </c>
      <c r="T594">
        <f t="shared" si="993"/>
        <v>-69.613829415211299</v>
      </c>
    </row>
    <row r="595" spans="1:20" x14ac:dyDescent="0.25">
      <c r="A595" s="5">
        <v>43998</v>
      </c>
      <c r="B595">
        <v>1.013E-3</v>
      </c>
      <c r="C595">
        <v>1.067E-3</v>
      </c>
      <c r="D595">
        <v>1.0020000000000001E-3</v>
      </c>
      <c r="E595">
        <v>1.06E-3</v>
      </c>
      <c r="F595">
        <v>112907714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0.78461538461538261</v>
      </c>
      <c r="Q595">
        <f t="shared" si="990"/>
        <v>88589129.446153626</v>
      </c>
      <c r="R595">
        <f t="shared" si="991"/>
        <v>-6931697849.573761</v>
      </c>
      <c r="S595">
        <f t="shared" si="992"/>
        <v>-69316.978495737611</v>
      </c>
      <c r="T595">
        <f t="shared" si="993"/>
        <v>-69.316978495737615</v>
      </c>
    </row>
    <row r="596" spans="1:20" x14ac:dyDescent="0.25">
      <c r="A596" s="5">
        <v>43997</v>
      </c>
      <c r="B596">
        <v>1.0610000000000001E-3</v>
      </c>
      <c r="C596">
        <v>1.0790000000000001E-3</v>
      </c>
      <c r="D596">
        <v>9.6900000000000003E-4</v>
      </c>
      <c r="E596">
        <v>1.0189999999999999E-3</v>
      </c>
      <c r="F596">
        <v>148454529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-9.0909090909093063E-2</v>
      </c>
      <c r="Q596">
        <f t="shared" si="990"/>
        <v>-13495866.272727592</v>
      </c>
      <c r="R596">
        <f t="shared" si="991"/>
        <v>-7020286979.0199146</v>
      </c>
      <c r="S596">
        <f t="shared" si="992"/>
        <v>-70202.86979019914</v>
      </c>
      <c r="T596">
        <f t="shared" si="993"/>
        <v>-70.202869790199145</v>
      </c>
    </row>
    <row r="597" spans="1:20" x14ac:dyDescent="0.25">
      <c r="A597" s="5">
        <v>43996</v>
      </c>
      <c r="B597">
        <v>1.0870000000000001E-3</v>
      </c>
      <c r="C597">
        <v>1.0939999999999999E-3</v>
      </c>
      <c r="D597">
        <v>1.042E-3</v>
      </c>
      <c r="E597">
        <v>1.0660000000000001E-3</v>
      </c>
      <c r="F597">
        <v>90273221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-7.6923076923070502E-2</v>
      </c>
      <c r="Q597">
        <f t="shared" si="990"/>
        <v>-6944093.9230763437</v>
      </c>
      <c r="R597">
        <f t="shared" si="991"/>
        <v>-7006791112.7471867</v>
      </c>
      <c r="S597">
        <f t="shared" si="992"/>
        <v>-70067.91112747186</v>
      </c>
      <c r="T597">
        <f t="shared" si="993"/>
        <v>-70.067911127471859</v>
      </c>
    </row>
    <row r="598" spans="1:20" x14ac:dyDescent="0.25">
      <c r="A598" s="5">
        <v>43995</v>
      </c>
      <c r="B598">
        <v>1.0189999999999999E-3</v>
      </c>
      <c r="C598">
        <v>1.111E-3</v>
      </c>
      <c r="D598">
        <v>1.01E-3</v>
      </c>
      <c r="E598">
        <v>1.0859999999999999E-3</v>
      </c>
      <c r="F598">
        <v>274092206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0.50495049504950351</v>
      </c>
      <c r="Q598">
        <f t="shared" si="990"/>
        <v>138402995.1089105</v>
      </c>
      <c r="R598">
        <f t="shared" si="991"/>
        <v>-6999847018.82411</v>
      </c>
      <c r="S598">
        <f t="shared" si="992"/>
        <v>-69998.470188241103</v>
      </c>
      <c r="T598">
        <f t="shared" si="993"/>
        <v>-69.9984701882411</v>
      </c>
    </row>
    <row r="599" spans="1:20" x14ac:dyDescent="0.25">
      <c r="A599" s="5">
        <v>43994</v>
      </c>
      <c r="B599">
        <v>9.9799999999999997E-4</v>
      </c>
      <c r="C599">
        <v>1.0319999999999999E-3</v>
      </c>
      <c r="D599">
        <v>9.68E-4</v>
      </c>
      <c r="E599">
        <v>1.0150000000000001E-3</v>
      </c>
      <c r="F599">
        <v>98476030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0.46875000000000344</v>
      </c>
      <c r="Q599">
        <f t="shared" si="990"/>
        <v>46160639.062500335</v>
      </c>
      <c r="R599">
        <f t="shared" si="991"/>
        <v>-7138250013.9330206</v>
      </c>
      <c r="S599">
        <f t="shared" si="992"/>
        <v>-71382.500139330208</v>
      </c>
      <c r="T599">
        <f t="shared" si="993"/>
        <v>-71.382500139330205</v>
      </c>
    </row>
    <row r="600" spans="1:20" x14ac:dyDescent="0.25">
      <c r="A600" s="5">
        <v>43993</v>
      </c>
      <c r="B600">
        <v>1.0629999999999999E-3</v>
      </c>
      <c r="C600">
        <v>1.0989999999999999E-3</v>
      </c>
      <c r="D600">
        <v>9.77E-4</v>
      </c>
      <c r="E600">
        <v>1.0020000000000001E-3</v>
      </c>
      <c r="F600">
        <v>185063796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-0.59016393442622817</v>
      </c>
      <c r="Q600">
        <f t="shared" si="990"/>
        <v>-109217977.96721287</v>
      </c>
      <c r="R600">
        <f t="shared" si="991"/>
        <v>-7184410652.9955206</v>
      </c>
      <c r="S600">
        <f t="shared" si="992"/>
        <v>-71844.106529955199</v>
      </c>
      <c r="T600">
        <f t="shared" si="993"/>
        <v>-71.844106529955198</v>
      </c>
    </row>
    <row r="601" spans="1:20" x14ac:dyDescent="0.25">
      <c r="A601" s="5">
        <v>43992</v>
      </c>
      <c r="B601">
        <v>1.0629999999999999E-3</v>
      </c>
      <c r="C601">
        <v>1.077E-3</v>
      </c>
      <c r="D601">
        <v>1.0529999999999999E-3</v>
      </c>
      <c r="E601">
        <v>1.0610000000000001E-3</v>
      </c>
      <c r="F601">
        <v>97537410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-0.33333333333332127</v>
      </c>
      <c r="Q601">
        <f t="shared" si="990"/>
        <v>-32512469.999998823</v>
      </c>
      <c r="R601">
        <f t="shared" si="991"/>
        <v>-7075192675.0283079</v>
      </c>
      <c r="S601">
        <f t="shared" si="992"/>
        <v>-70751.926750283077</v>
      </c>
      <c r="T601">
        <f t="shared" si="993"/>
        <v>-70.751926750283076</v>
      </c>
    </row>
    <row r="602" spans="1:20" x14ac:dyDescent="0.25">
      <c r="A602" s="5">
        <v>43991</v>
      </c>
      <c r="B602">
        <v>1.0399999999999999E-3</v>
      </c>
      <c r="C602">
        <v>1.083E-3</v>
      </c>
      <c r="D602">
        <v>1.0269999999999999E-3</v>
      </c>
      <c r="E602">
        <v>1.0679999999999999E-3</v>
      </c>
      <c r="F602">
        <v>115073481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0.46428571428571347</v>
      </c>
      <c r="Q602">
        <f t="shared" si="990"/>
        <v>53426973.321428478</v>
      </c>
      <c r="R602">
        <f t="shared" si="991"/>
        <v>-7042680205.0283089</v>
      </c>
      <c r="S602">
        <f t="shared" si="992"/>
        <v>-70426.802050283091</v>
      </c>
      <c r="T602">
        <f t="shared" si="993"/>
        <v>-70.426802050283086</v>
      </c>
    </row>
    <row r="603" spans="1:20" x14ac:dyDescent="0.25">
      <c r="A603" s="5">
        <v>43990</v>
      </c>
      <c r="B603">
        <v>1.0529999999999999E-3</v>
      </c>
      <c r="C603">
        <v>1.07E-3</v>
      </c>
      <c r="D603">
        <v>1.029E-3</v>
      </c>
      <c r="E603">
        <v>1.039E-3</v>
      </c>
      <c r="F603">
        <v>127415901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-0.51219512195121852</v>
      </c>
      <c r="Q603">
        <f t="shared" si="990"/>
        <v>-65261802.951219387</v>
      </c>
      <c r="R603">
        <f t="shared" si="991"/>
        <v>-7096107178.3497372</v>
      </c>
      <c r="S603">
        <f t="shared" si="992"/>
        <v>-70961.071783497377</v>
      </c>
      <c r="T603">
        <f t="shared" si="993"/>
        <v>-70.961071783497374</v>
      </c>
    </row>
    <row r="604" spans="1:20" x14ac:dyDescent="0.25">
      <c r="A604" s="5">
        <v>43989</v>
      </c>
      <c r="B604">
        <v>1.075E-3</v>
      </c>
      <c r="C604">
        <v>1.1039999999999999E-3</v>
      </c>
      <c r="D604">
        <v>1.0020000000000001E-3</v>
      </c>
      <c r="E604">
        <v>1.0480000000000001E-3</v>
      </c>
      <c r="F604">
        <v>174502950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-9.803921568627276E-2</v>
      </c>
      <c r="Q604">
        <f t="shared" si="990"/>
        <v>-17108132.352940872</v>
      </c>
      <c r="R604">
        <f t="shared" si="991"/>
        <v>-7030845375.3985176</v>
      </c>
      <c r="S604">
        <f t="shared" si="992"/>
        <v>-70308.453753985174</v>
      </c>
      <c r="T604">
        <f t="shared" si="993"/>
        <v>-70.308453753985177</v>
      </c>
    </row>
    <row r="605" spans="1:20" x14ac:dyDescent="0.25">
      <c r="A605" s="5">
        <v>43988</v>
      </c>
      <c r="B605">
        <v>1.0759999999999999E-3</v>
      </c>
      <c r="C605">
        <v>1.1069999999999999E-3</v>
      </c>
      <c r="D605">
        <v>1.067E-3</v>
      </c>
      <c r="E605">
        <v>1.075E-3</v>
      </c>
      <c r="F605">
        <v>106769646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-0.6</v>
      </c>
      <c r="Q605">
        <f t="shared" si="990"/>
        <v>-64061787.599999994</v>
      </c>
      <c r="R605">
        <f t="shared" si="991"/>
        <v>-7013737243.045577</v>
      </c>
      <c r="S605">
        <f t="shared" si="992"/>
        <v>-70137.372430455769</v>
      </c>
      <c r="T605">
        <f t="shared" si="993"/>
        <v>-70.13737243045577</v>
      </c>
    </row>
    <row r="606" spans="1:20" x14ac:dyDescent="0.25">
      <c r="A606" s="5">
        <v>43987</v>
      </c>
      <c r="B606">
        <v>1.1299999999999999E-3</v>
      </c>
      <c r="C606">
        <v>1.1659999999999999E-3</v>
      </c>
      <c r="D606">
        <v>1.06E-3</v>
      </c>
      <c r="E606">
        <v>1.0809999999999999E-3</v>
      </c>
      <c r="F606">
        <v>221073521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-0.60377358490566091</v>
      </c>
      <c r="Q606">
        <f t="shared" si="990"/>
        <v>-133478352.30188692</v>
      </c>
      <c r="R606">
        <f t="shared" si="991"/>
        <v>-6949675455.4455767</v>
      </c>
      <c r="S606">
        <f t="shared" si="992"/>
        <v>-69496.754554455765</v>
      </c>
      <c r="T606">
        <f t="shared" si="993"/>
        <v>-69.496754554455762</v>
      </c>
    </row>
    <row r="607" spans="1:20" x14ac:dyDescent="0.25">
      <c r="A607" s="5">
        <v>43986</v>
      </c>
      <c r="B607">
        <v>1.036E-3</v>
      </c>
      <c r="C607">
        <v>1.1900000000000001E-3</v>
      </c>
      <c r="D607">
        <v>1.036E-3</v>
      </c>
      <c r="E607">
        <v>1.1299999999999999E-3</v>
      </c>
      <c r="F607">
        <v>534427651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0.22077922077921902</v>
      </c>
      <c r="Q607">
        <f t="shared" si="990"/>
        <v>117990520.35064842</v>
      </c>
      <c r="R607">
        <f t="shared" si="991"/>
        <v>-6816197103.1436901</v>
      </c>
      <c r="S607">
        <f t="shared" si="992"/>
        <v>-68161.9710314369</v>
      </c>
      <c r="T607">
        <f t="shared" si="993"/>
        <v>-68.161971031436906</v>
      </c>
    </row>
    <row r="608" spans="1:20" x14ac:dyDescent="0.25">
      <c r="A608" s="5">
        <v>43985</v>
      </c>
      <c r="B608">
        <v>9.8400000000000007E-4</v>
      </c>
      <c r="C608">
        <v>1.0950000000000001E-3</v>
      </c>
      <c r="D608">
        <v>9.810000000000001E-4</v>
      </c>
      <c r="E608">
        <v>1.0330000000000001E-3</v>
      </c>
      <c r="F608">
        <v>179315851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-8.7719298245614308E-2</v>
      </c>
      <c r="Q608">
        <f t="shared" si="990"/>
        <v>-15729460.614035137</v>
      </c>
      <c r="R608">
        <f t="shared" si="991"/>
        <v>-6934187623.494339</v>
      </c>
      <c r="S608">
        <f t="shared" si="992"/>
        <v>-69341.876234943396</v>
      </c>
      <c r="T608">
        <f t="shared" si="993"/>
        <v>-69.341876234943399</v>
      </c>
    </row>
    <row r="609" spans="1:20" x14ac:dyDescent="0.25">
      <c r="A609" s="5">
        <v>43984</v>
      </c>
      <c r="B609">
        <v>9.990000000000001E-4</v>
      </c>
      <c r="C609">
        <v>1.042E-3</v>
      </c>
      <c r="D609">
        <v>9.5E-4</v>
      </c>
      <c r="E609">
        <v>9.8900000000000008E-4</v>
      </c>
      <c r="F609">
        <v>208969921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-0.15217391304347613</v>
      </c>
      <c r="Q609">
        <f t="shared" si="990"/>
        <v>-31799770.586956076</v>
      </c>
      <c r="R609">
        <f t="shared" si="991"/>
        <v>-6918458162.8803034</v>
      </c>
      <c r="S609">
        <f t="shared" si="992"/>
        <v>-69184.581628803033</v>
      </c>
      <c r="T609">
        <f t="shared" si="993"/>
        <v>-69.184581628803031</v>
      </c>
    </row>
    <row r="610" spans="1:20" x14ac:dyDescent="0.25">
      <c r="A610" s="5">
        <v>43983</v>
      </c>
      <c r="B610">
        <v>9.9299999999999996E-4</v>
      </c>
      <c r="C610">
        <v>1.0070000000000001E-3</v>
      </c>
      <c r="D610">
        <v>9.8200000000000002E-4</v>
      </c>
      <c r="E610">
        <v>9.990000000000001E-4</v>
      </c>
      <c r="F610">
        <v>87947998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0.36000000000000348</v>
      </c>
      <c r="Q610">
        <f t="shared" si="990"/>
        <v>31661279.280000307</v>
      </c>
      <c r="R610">
        <f t="shared" si="991"/>
        <v>-6886658392.2933474</v>
      </c>
      <c r="S610">
        <f t="shared" si="992"/>
        <v>-68866.583922933467</v>
      </c>
      <c r="T610">
        <f t="shared" si="993"/>
        <v>-68.866583922933472</v>
      </c>
    </row>
    <row r="611" spans="1:20" x14ac:dyDescent="0.25">
      <c r="A611" s="5">
        <v>43982</v>
      </c>
      <c r="B611">
        <v>1.029E-3</v>
      </c>
      <c r="C611">
        <v>1.0399999999999999E-3</v>
      </c>
      <c r="D611">
        <v>9.8700000000000003E-4</v>
      </c>
      <c r="E611">
        <v>9.9299999999999996E-4</v>
      </c>
      <c r="F611">
        <v>131024603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-0.77358490566037952</v>
      </c>
      <c r="Q611">
        <f t="shared" si="990"/>
        <v>-101358655.15094368</v>
      </c>
      <c r="R611">
        <f t="shared" si="991"/>
        <v>-6918319671.573348</v>
      </c>
      <c r="S611">
        <f t="shared" si="992"/>
        <v>-69183.196715733488</v>
      </c>
      <c r="T611">
        <f t="shared" si="993"/>
        <v>-69.183196715733487</v>
      </c>
    </row>
    <row r="612" spans="1:20" x14ac:dyDescent="0.25">
      <c r="A612" s="5">
        <v>43981</v>
      </c>
      <c r="B612">
        <v>1.011E-3</v>
      </c>
      <c r="C612">
        <v>1.0950000000000001E-3</v>
      </c>
      <c r="D612">
        <v>9.810000000000001E-4</v>
      </c>
      <c r="E612">
        <v>1.029E-3</v>
      </c>
      <c r="F612">
        <v>270720680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-0.15789473684210725</v>
      </c>
      <c r="Q612">
        <f t="shared" si="990"/>
        <v>-42745370.52631633</v>
      </c>
      <c r="R612">
        <f t="shared" si="991"/>
        <v>-6816961016.4224043</v>
      </c>
      <c r="S612">
        <f t="shared" si="992"/>
        <v>-68169.610164224039</v>
      </c>
      <c r="T612">
        <f t="shared" si="993"/>
        <v>-68.169610164224039</v>
      </c>
    </row>
    <row r="613" spans="1:20" x14ac:dyDescent="0.25">
      <c r="A613" s="5">
        <v>43980</v>
      </c>
      <c r="B613">
        <v>1.023E-3</v>
      </c>
      <c r="C613">
        <v>1.0449999999999999E-3</v>
      </c>
      <c r="D613">
        <v>1.005E-3</v>
      </c>
      <c r="E613">
        <v>1.0139999999999999E-3</v>
      </c>
      <c r="F613">
        <v>104011786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-0.55000000000000404</v>
      </c>
      <c r="Q613">
        <f t="shared" si="990"/>
        <v>-57206482.300000422</v>
      </c>
      <c r="R613">
        <f t="shared" si="991"/>
        <v>-6774215645.8960876</v>
      </c>
      <c r="S613">
        <f t="shared" si="992"/>
        <v>-67742.156458960875</v>
      </c>
      <c r="T613">
        <f t="shared" si="993"/>
        <v>-67.742156458960878</v>
      </c>
    </row>
    <row r="614" spans="1:20" x14ac:dyDescent="0.25">
      <c r="A614" s="5">
        <v>43979</v>
      </c>
      <c r="B614">
        <v>9.859999999999999E-4</v>
      </c>
      <c r="C614">
        <v>1.026E-3</v>
      </c>
      <c r="D614">
        <v>9.77E-4</v>
      </c>
      <c r="E614">
        <v>1.023E-3</v>
      </c>
      <c r="F614">
        <v>136254740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0.87755102040816468</v>
      </c>
      <c r="Q614">
        <f t="shared" si="990"/>
        <v>119570486.12244917</v>
      </c>
      <c r="R614">
        <f t="shared" si="991"/>
        <v>-6717009163.5960875</v>
      </c>
      <c r="S614">
        <f t="shared" si="992"/>
        <v>-67170.091635960882</v>
      </c>
      <c r="T614">
        <f t="shared" si="993"/>
        <v>-67.170091635960887</v>
      </c>
    </row>
    <row r="615" spans="1:20" x14ac:dyDescent="0.25">
      <c r="A615" s="5">
        <v>43978</v>
      </c>
      <c r="B615">
        <v>9.7999999999999997E-4</v>
      </c>
      <c r="C615">
        <v>1.024E-3</v>
      </c>
      <c r="D615">
        <v>9.6699999999999998E-4</v>
      </c>
      <c r="E615">
        <v>9.859999999999999E-4</v>
      </c>
      <c r="F615">
        <v>164552662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-0.33333333333333587</v>
      </c>
      <c r="Q615">
        <f t="shared" si="990"/>
        <v>-54850887.333333753</v>
      </c>
      <c r="R615">
        <f t="shared" si="991"/>
        <v>-6836579649.7185364</v>
      </c>
      <c r="S615">
        <f t="shared" si="992"/>
        <v>-68365.796497185365</v>
      </c>
      <c r="T615">
        <f t="shared" si="993"/>
        <v>-68.365796497185372</v>
      </c>
    </row>
    <row r="616" spans="1:20" x14ac:dyDescent="0.25">
      <c r="A616" s="5">
        <v>43977</v>
      </c>
      <c r="B616">
        <v>1.0120000000000001E-3</v>
      </c>
      <c r="C616">
        <v>1.06E-3</v>
      </c>
      <c r="D616">
        <v>9.6599999999999995E-4</v>
      </c>
      <c r="E616">
        <v>9.7999999999999997E-4</v>
      </c>
      <c r="F616">
        <v>292770122</v>
      </c>
      <c r="G616">
        <v>0</v>
      </c>
      <c r="L616" t="s">
        <v>8</v>
      </c>
      <c r="M616" t="s">
        <v>7</v>
      </c>
      <c r="N616" t="s">
        <v>8</v>
      </c>
      <c r="P616">
        <f t="shared" si="989"/>
        <v>-0.70212765957446777</v>
      </c>
      <c r="Q616">
        <f t="shared" si="990"/>
        <v>-205562000.55319139</v>
      </c>
      <c r="R616">
        <f t="shared" si="991"/>
        <v>-6781728762.3852024</v>
      </c>
      <c r="S616">
        <f t="shared" si="992"/>
        <v>-67817.287623852026</v>
      </c>
      <c r="T616">
        <f t="shared" si="993"/>
        <v>-67.817287623852025</v>
      </c>
    </row>
    <row r="617" spans="1:20" x14ac:dyDescent="0.25">
      <c r="A617" s="5">
        <v>43976</v>
      </c>
      <c r="B617">
        <v>9.3400000000000004E-4</v>
      </c>
      <c r="C617">
        <v>1.057E-3</v>
      </c>
      <c r="D617">
        <v>9.3000000000000005E-4</v>
      </c>
      <c r="E617">
        <v>1.011E-3</v>
      </c>
      <c r="F617">
        <v>340208878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0.27559055118110148</v>
      </c>
      <c r="Q617">
        <f t="shared" si="990"/>
        <v>93758352.204724118</v>
      </c>
      <c r="R617">
        <f t="shared" si="991"/>
        <v>-6576166761.8320112</v>
      </c>
      <c r="S617">
        <f t="shared" si="992"/>
        <v>-65761.667618320105</v>
      </c>
      <c r="T617">
        <f t="shared" si="993"/>
        <v>-65.761667618320104</v>
      </c>
    </row>
    <row r="618" spans="1:20" x14ac:dyDescent="0.25">
      <c r="A618" s="5">
        <v>43975</v>
      </c>
      <c r="B618">
        <v>9.9400000000000009E-4</v>
      </c>
      <c r="C618">
        <v>1.062E-3</v>
      </c>
      <c r="D618">
        <v>9.3499999999999996E-4</v>
      </c>
      <c r="E618">
        <v>9.3499999999999996E-4</v>
      </c>
      <c r="F618">
        <v>391755197</v>
      </c>
      <c r="G618">
        <v>0</v>
      </c>
      <c r="L618" t="s">
        <v>8</v>
      </c>
      <c r="M618" t="s">
        <v>7</v>
      </c>
      <c r="N618" t="s">
        <v>8</v>
      </c>
      <c r="P618">
        <f t="shared" si="989"/>
        <v>-1</v>
      </c>
      <c r="Q618">
        <f t="shared" si="990"/>
        <v>-391755197</v>
      </c>
      <c r="R618">
        <f t="shared" si="991"/>
        <v>-6669925114.0367355</v>
      </c>
      <c r="S618">
        <f t="shared" si="992"/>
        <v>-66699.251140367356</v>
      </c>
      <c r="T618">
        <f t="shared" si="993"/>
        <v>-66.699251140367352</v>
      </c>
    </row>
    <row r="619" spans="1:20" x14ac:dyDescent="0.25">
      <c r="A619" s="5">
        <v>43974</v>
      </c>
      <c r="B619">
        <v>1.0070000000000001E-3</v>
      </c>
      <c r="C619">
        <v>1.0250000000000001E-3</v>
      </c>
      <c r="D619">
        <v>9.7000000000000005E-4</v>
      </c>
      <c r="E619">
        <v>9.9400000000000009E-4</v>
      </c>
      <c r="F619">
        <v>184463725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-0.12727272727272634</v>
      </c>
      <c r="Q619">
        <f t="shared" si="990"/>
        <v>-23477201.363636192</v>
      </c>
      <c r="R619">
        <f t="shared" si="991"/>
        <v>-6278169917.0367355</v>
      </c>
      <c r="S619">
        <f t="shared" si="992"/>
        <v>-62781.699170367356</v>
      </c>
      <c r="T619">
        <f t="shared" si="993"/>
        <v>-62.781699170367354</v>
      </c>
    </row>
    <row r="620" spans="1:20" x14ac:dyDescent="0.25">
      <c r="A620" s="5">
        <v>43973</v>
      </c>
      <c r="B620">
        <v>1.013E-3</v>
      </c>
      <c r="C620">
        <v>1.0839999999999999E-3</v>
      </c>
      <c r="D620">
        <v>9.6000000000000002E-4</v>
      </c>
      <c r="E620">
        <v>1.0070000000000001E-3</v>
      </c>
      <c r="F620">
        <v>378438696</v>
      </c>
      <c r="G620">
        <v>0</v>
      </c>
      <c r="L620" t="s">
        <v>7</v>
      </c>
      <c r="M620" t="s">
        <v>7</v>
      </c>
      <c r="N620" t="s">
        <v>8</v>
      </c>
      <c r="P620">
        <f t="shared" si="989"/>
        <v>-0.241935483870966</v>
      </c>
      <c r="Q620">
        <f t="shared" si="990"/>
        <v>-91557749.032257408</v>
      </c>
      <c r="R620">
        <f t="shared" si="991"/>
        <v>-6254692715.6730995</v>
      </c>
      <c r="S620">
        <f t="shared" si="992"/>
        <v>-62546.927156730992</v>
      </c>
      <c r="T620">
        <f t="shared" si="993"/>
        <v>-62.546927156730995</v>
      </c>
    </row>
    <row r="621" spans="1:20" x14ac:dyDescent="0.25">
      <c r="A621" s="5">
        <v>43972</v>
      </c>
      <c r="B621">
        <v>9.1600000000000004E-4</v>
      </c>
      <c r="C621">
        <v>1.2080000000000001E-3</v>
      </c>
      <c r="D621">
        <v>8.8999999999999995E-4</v>
      </c>
      <c r="E621">
        <v>1.013E-3</v>
      </c>
      <c r="F621">
        <v>1351167101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-0.22641509433962259</v>
      </c>
      <c r="Q621">
        <f t="shared" si="990"/>
        <v>-305924626.64150935</v>
      </c>
      <c r="R621">
        <f t="shared" si="991"/>
        <v>-6163134966.6408424</v>
      </c>
      <c r="S621">
        <f t="shared" si="992"/>
        <v>-61631.349666408423</v>
      </c>
      <c r="T621">
        <f t="shared" si="993"/>
        <v>-61.631349666408425</v>
      </c>
    </row>
    <row r="622" spans="1:20" x14ac:dyDescent="0.25">
      <c r="A622" s="5">
        <v>43971</v>
      </c>
      <c r="B622">
        <v>8.8500000000000004E-4</v>
      </c>
      <c r="C622">
        <v>9.8900000000000008E-4</v>
      </c>
      <c r="D622">
        <v>8.83E-4</v>
      </c>
      <c r="E622">
        <v>9.1600000000000004E-4</v>
      </c>
      <c r="F622">
        <v>420713407</v>
      </c>
      <c r="G622">
        <v>0</v>
      </c>
      <c r="L622" t="s">
        <v>7</v>
      </c>
      <c r="M622" t="s">
        <v>7</v>
      </c>
      <c r="N622" t="s">
        <v>7</v>
      </c>
      <c r="P622">
        <f t="shared" si="989"/>
        <v>-0.37735849056603743</v>
      </c>
      <c r="Q622">
        <f t="shared" si="990"/>
        <v>-158759776.22641498</v>
      </c>
      <c r="R622">
        <f t="shared" si="991"/>
        <v>-5857210339.9993334</v>
      </c>
      <c r="S622">
        <f t="shared" si="992"/>
        <v>-58572.103399993335</v>
      </c>
      <c r="T622">
        <f t="shared" si="993"/>
        <v>-58.572103399993338</v>
      </c>
    </row>
    <row r="623" spans="1:20" x14ac:dyDescent="0.25">
      <c r="A623" s="5">
        <v>43970</v>
      </c>
      <c r="B623">
        <v>8.9700000000000001E-4</v>
      </c>
      <c r="C623">
        <v>9.1200000000000005E-4</v>
      </c>
      <c r="D623">
        <v>8.7500000000000002E-4</v>
      </c>
      <c r="E623">
        <v>8.8500000000000004E-4</v>
      </c>
      <c r="F623">
        <v>112640135</v>
      </c>
      <c r="G623">
        <v>0</v>
      </c>
      <c r="L623" t="s">
        <v>8</v>
      </c>
      <c r="M623" t="s">
        <v>7</v>
      </c>
      <c r="N623" t="s">
        <v>7</v>
      </c>
      <c r="P623">
        <f t="shared" si="989"/>
        <v>-0.45945945945945849</v>
      </c>
      <c r="Q623">
        <f t="shared" si="990"/>
        <v>-51753575.540540434</v>
      </c>
      <c r="R623">
        <f t="shared" si="991"/>
        <v>-5698450563.7729187</v>
      </c>
      <c r="S623">
        <f t="shared" si="992"/>
        <v>-56984.505637729184</v>
      </c>
      <c r="T623">
        <f t="shared" si="993"/>
        <v>-56.984505637729185</v>
      </c>
    </row>
    <row r="624" spans="1:20" x14ac:dyDescent="0.25">
      <c r="A624" s="5">
        <v>43969</v>
      </c>
      <c r="B624">
        <v>9.0399999999999996E-4</v>
      </c>
      <c r="C624">
        <v>9.2299999999999999E-4</v>
      </c>
      <c r="D624">
        <v>8.8099999999999995E-4</v>
      </c>
      <c r="E624">
        <v>8.9800000000000004E-4</v>
      </c>
      <c r="F624">
        <v>105260669</v>
      </c>
      <c r="G624">
        <v>0</v>
      </c>
      <c r="L624" t="s">
        <v>7</v>
      </c>
      <c r="M624" t="s">
        <v>7</v>
      </c>
      <c r="N624" t="s">
        <v>7</v>
      </c>
      <c r="P624">
        <f t="shared" si="989"/>
        <v>-0.19047619047618716</v>
      </c>
      <c r="Q624">
        <f t="shared" si="990"/>
        <v>-20049651.238094889</v>
      </c>
      <c r="R624">
        <f t="shared" si="991"/>
        <v>-5646696988.232378</v>
      </c>
      <c r="S624">
        <f t="shared" si="992"/>
        <v>-56466.969882323778</v>
      </c>
      <c r="T624">
        <f t="shared" si="993"/>
        <v>-56.466969882323781</v>
      </c>
    </row>
    <row r="625" spans="1:20" x14ac:dyDescent="0.25">
      <c r="A625" s="5">
        <v>43968</v>
      </c>
      <c r="B625">
        <v>9.0399999999999996E-4</v>
      </c>
      <c r="C625">
        <v>9.2000000000000003E-4</v>
      </c>
      <c r="D625">
        <v>8.8500000000000004E-4</v>
      </c>
      <c r="E625">
        <v>9.0799999999999995E-4</v>
      </c>
      <c r="F625">
        <v>102254283</v>
      </c>
      <c r="G625">
        <v>0</v>
      </c>
      <c r="L625" t="s">
        <v>8</v>
      </c>
      <c r="M625" t="s">
        <v>7</v>
      </c>
      <c r="N625" t="s">
        <v>7</v>
      </c>
      <c r="P625">
        <f t="shared" si="989"/>
        <v>0.31428571428570967</v>
      </c>
      <c r="Q625">
        <f t="shared" si="990"/>
        <v>32137060.371428099</v>
      </c>
      <c r="R625">
        <f t="shared" si="991"/>
        <v>-5626647336.9942827</v>
      </c>
      <c r="S625">
        <f t="shared" si="992"/>
        <v>-56266.473369942825</v>
      </c>
      <c r="T625">
        <f t="shared" si="993"/>
        <v>-56.266473369942823</v>
      </c>
    </row>
    <row r="626" spans="1:20" x14ac:dyDescent="0.25">
      <c r="A626" s="5">
        <v>43967</v>
      </c>
      <c r="B626">
        <v>9.0200000000000002E-4</v>
      </c>
      <c r="C626">
        <v>9.2400000000000002E-4</v>
      </c>
      <c r="D626">
        <v>8.8900000000000003E-4</v>
      </c>
      <c r="E626">
        <v>9.0300000000000005E-4</v>
      </c>
      <c r="F626">
        <v>56659273</v>
      </c>
      <c r="G626">
        <v>0</v>
      </c>
      <c r="L626" t="s">
        <v>7</v>
      </c>
      <c r="M626" t="s">
        <v>7</v>
      </c>
      <c r="N626" t="s">
        <v>7</v>
      </c>
      <c r="P626">
        <f t="shared" si="989"/>
        <v>-0.19999999999999876</v>
      </c>
      <c r="Q626">
        <f t="shared" si="990"/>
        <v>-11331854.599999931</v>
      </c>
      <c r="R626">
        <f t="shared" si="991"/>
        <v>-5658784397.3657112</v>
      </c>
      <c r="S626">
        <f t="shared" si="992"/>
        <v>-56587.843973657109</v>
      </c>
      <c r="T626">
        <f t="shared" si="993"/>
        <v>-56.587843973657108</v>
      </c>
    </row>
    <row r="627" spans="1:20" x14ac:dyDescent="0.25">
      <c r="A627" s="5">
        <v>43966</v>
      </c>
      <c r="B627">
        <v>9.3599999999999998E-4</v>
      </c>
      <c r="C627">
        <v>9.6699999999999998E-4</v>
      </c>
      <c r="D627">
        <v>8.4500000000000005E-4</v>
      </c>
      <c r="E627">
        <v>8.9899999999999995E-4</v>
      </c>
      <c r="F627">
        <v>210814230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-0.11475409836065682</v>
      </c>
      <c r="Q627">
        <f t="shared" si="990"/>
        <v>-24191796.885246132</v>
      </c>
      <c r="R627">
        <f t="shared" si="991"/>
        <v>-5647452542.7657108</v>
      </c>
      <c r="S627">
        <f t="shared" si="992"/>
        <v>-56474.525427657107</v>
      </c>
      <c r="T627">
        <f t="shared" si="993"/>
        <v>-56.474525427657106</v>
      </c>
    </row>
    <row r="628" spans="1:20" x14ac:dyDescent="0.25">
      <c r="A628" s="5">
        <v>43965</v>
      </c>
      <c r="B628">
        <v>9.3400000000000004E-4</v>
      </c>
      <c r="C628">
        <v>9.5299999999999996E-4</v>
      </c>
      <c r="D628">
        <v>9.1200000000000005E-4</v>
      </c>
      <c r="E628">
        <v>9.3499999999999996E-4</v>
      </c>
      <c r="F628">
        <v>128999702</v>
      </c>
      <c r="G628">
        <v>0</v>
      </c>
      <c r="L628" t="s">
        <v>7</v>
      </c>
      <c r="M628" t="s">
        <v>7</v>
      </c>
      <c r="N628" t="s">
        <v>7</v>
      </c>
      <c r="P628">
        <f t="shared" si="989"/>
        <v>0.12195121951219305</v>
      </c>
      <c r="Q628">
        <f t="shared" si="990"/>
        <v>15731670.975609489</v>
      </c>
      <c r="R628">
        <f t="shared" si="991"/>
        <v>-5623260745.8804646</v>
      </c>
      <c r="S628">
        <f t="shared" si="992"/>
        <v>-56232.607458804647</v>
      </c>
      <c r="T628">
        <f t="shared" si="993"/>
        <v>-56.232607458804644</v>
      </c>
    </row>
    <row r="629" spans="1:20" x14ac:dyDescent="0.25">
      <c r="A629" s="5">
        <v>43964</v>
      </c>
      <c r="B629">
        <v>9.19E-4</v>
      </c>
      <c r="C629">
        <v>9.5600000000000004E-4</v>
      </c>
      <c r="D629">
        <v>9.0399999999999996E-4</v>
      </c>
      <c r="E629">
        <v>9.3300000000000002E-4</v>
      </c>
      <c r="F629">
        <v>136477250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0.11538461538461595</v>
      </c>
      <c r="Q629">
        <f t="shared" si="990"/>
        <v>15747375.000000076</v>
      </c>
      <c r="R629">
        <f t="shared" si="991"/>
        <v>-5638992416.8560743</v>
      </c>
      <c r="S629">
        <f t="shared" si="992"/>
        <v>-56389.924168560741</v>
      </c>
      <c r="T629">
        <f t="shared" si="993"/>
        <v>-56.389924168560739</v>
      </c>
    </row>
    <row r="630" spans="1:20" x14ac:dyDescent="0.25">
      <c r="A630" s="5">
        <v>43963</v>
      </c>
      <c r="B630">
        <v>8.7399999999999999E-4</v>
      </c>
      <c r="C630">
        <v>9.9799999999999997E-4</v>
      </c>
      <c r="D630">
        <v>8.5599999999999999E-4</v>
      </c>
      <c r="E630">
        <v>9.19E-4</v>
      </c>
      <c r="F630">
        <v>380594434</v>
      </c>
      <c r="G630">
        <v>0</v>
      </c>
      <c r="L630" t="s">
        <v>7</v>
      </c>
      <c r="M630" t="s">
        <v>7</v>
      </c>
      <c r="N630" t="s">
        <v>7</v>
      </c>
      <c r="P630">
        <f t="shared" si="989"/>
        <v>-0.11267605633802787</v>
      </c>
      <c r="Q630">
        <f t="shared" si="990"/>
        <v>-42883879.887323827</v>
      </c>
      <c r="R630">
        <f t="shared" si="991"/>
        <v>-5654739791.8560743</v>
      </c>
      <c r="S630">
        <f t="shared" si="992"/>
        <v>-56547.397918560746</v>
      </c>
      <c r="T630">
        <f t="shared" si="993"/>
        <v>-56.547397918560748</v>
      </c>
    </row>
    <row r="631" spans="1:20" x14ac:dyDescent="0.25">
      <c r="A631" s="5">
        <v>43962</v>
      </c>
      <c r="B631">
        <v>9.5500000000000001E-4</v>
      </c>
      <c r="C631">
        <v>1.0020000000000001E-3</v>
      </c>
      <c r="D631">
        <v>8.4199999999999998E-4</v>
      </c>
      <c r="E631">
        <v>8.7900000000000001E-4</v>
      </c>
      <c r="F631">
        <v>243872330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-0.53749999999999987</v>
      </c>
      <c r="Q631">
        <f t="shared" si="990"/>
        <v>-131081377.37499997</v>
      </c>
      <c r="R631">
        <f t="shared" si="991"/>
        <v>-5611855911.968751</v>
      </c>
      <c r="S631">
        <f t="shared" si="992"/>
        <v>-56118.55911968751</v>
      </c>
      <c r="T631">
        <f t="shared" si="993"/>
        <v>-56.118559119687511</v>
      </c>
    </row>
    <row r="632" spans="1:20" x14ac:dyDescent="0.25">
      <c r="A632" s="5">
        <v>43961</v>
      </c>
      <c r="B632">
        <v>1.0820000000000001E-3</v>
      </c>
      <c r="C632">
        <v>1.0820000000000001E-3</v>
      </c>
      <c r="D632">
        <v>9.2000000000000003E-4</v>
      </c>
      <c r="E632">
        <v>9.5500000000000001E-4</v>
      </c>
      <c r="F632">
        <v>283964555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-0.56790123456790154</v>
      </c>
      <c r="Q632">
        <f t="shared" si="990"/>
        <v>-161263821.35802478</v>
      </c>
      <c r="R632">
        <f t="shared" si="991"/>
        <v>-5480774534.593751</v>
      </c>
      <c r="S632">
        <f t="shared" si="992"/>
        <v>-54807.74534593751</v>
      </c>
      <c r="T632">
        <f t="shared" si="993"/>
        <v>-54.807745345937512</v>
      </c>
    </row>
    <row r="633" spans="1:20" x14ac:dyDescent="0.25">
      <c r="A633" s="5">
        <v>43960</v>
      </c>
      <c r="B633">
        <v>1.121E-3</v>
      </c>
      <c r="C633">
        <v>1.1980000000000001E-3</v>
      </c>
      <c r="D633">
        <v>1.0549999999999999E-3</v>
      </c>
      <c r="E633">
        <v>1.083E-3</v>
      </c>
      <c r="F633">
        <v>397970036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-0.60839160839160833</v>
      </c>
      <c r="Q633">
        <f t="shared" si="990"/>
        <v>-242121630.29370627</v>
      </c>
      <c r="R633">
        <f t="shared" si="991"/>
        <v>-5319510713.2357264</v>
      </c>
      <c r="S633">
        <f t="shared" si="992"/>
        <v>-53195.107132357261</v>
      </c>
      <c r="T633">
        <f t="shared" si="993"/>
        <v>-53.195107132357265</v>
      </c>
    </row>
    <row r="634" spans="1:20" x14ac:dyDescent="0.25">
      <c r="A634" s="5">
        <v>43959</v>
      </c>
      <c r="B634">
        <v>9.6100000000000005E-4</v>
      </c>
      <c r="C634">
        <v>1.33E-3</v>
      </c>
      <c r="D634">
        <v>9.4899999999999997E-4</v>
      </c>
      <c r="E634">
        <v>1.1199999999999999E-3</v>
      </c>
      <c r="F634">
        <v>1624815488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-0.10236220472440993</v>
      </c>
      <c r="Q634">
        <f t="shared" si="990"/>
        <v>-166319695.62204802</v>
      </c>
      <c r="R634">
        <f t="shared" si="991"/>
        <v>-5077389082.9420204</v>
      </c>
      <c r="S634">
        <f t="shared" si="992"/>
        <v>-50773.890829420205</v>
      </c>
      <c r="T634">
        <f t="shared" si="993"/>
        <v>-50.773890829420203</v>
      </c>
    </row>
    <row r="635" spans="1:20" x14ac:dyDescent="0.25">
      <c r="A635" s="5">
        <v>43958</v>
      </c>
      <c r="B635">
        <v>1.031E-3</v>
      </c>
      <c r="C635">
        <v>1.0499999999999999E-3</v>
      </c>
      <c r="D635">
        <v>9.1E-4</v>
      </c>
      <c r="E635">
        <v>9.6000000000000002E-4</v>
      </c>
      <c r="F635">
        <v>321053634</v>
      </c>
      <c r="G635">
        <v>0</v>
      </c>
      <c r="L635" t="s">
        <v>7</v>
      </c>
      <c r="M635" t="s">
        <v>7</v>
      </c>
      <c r="N635" t="s">
        <v>7</v>
      </c>
      <c r="P635">
        <f t="shared" si="989"/>
        <v>-0.28571428571428503</v>
      </c>
      <c r="Q635">
        <f t="shared" si="990"/>
        <v>-91729609.714285493</v>
      </c>
      <c r="R635">
        <f t="shared" si="991"/>
        <v>-4911069387.319972</v>
      </c>
      <c r="S635">
        <f t="shared" si="992"/>
        <v>-49110.693873199722</v>
      </c>
      <c r="T635">
        <f t="shared" si="993"/>
        <v>-49.110693873199722</v>
      </c>
    </row>
    <row r="636" spans="1:20" x14ac:dyDescent="0.25">
      <c r="A636" s="5">
        <v>43957</v>
      </c>
      <c r="B636">
        <v>1.0449999999999999E-3</v>
      </c>
      <c r="C636">
        <v>1.1000000000000001E-3</v>
      </c>
      <c r="D636">
        <v>1.0300000000000001E-3</v>
      </c>
      <c r="E636">
        <v>1.0300000000000001E-3</v>
      </c>
      <c r="F636">
        <v>252539159</v>
      </c>
      <c r="G636">
        <v>0</v>
      </c>
      <c r="L636" t="s">
        <v>7</v>
      </c>
      <c r="M636" t="s">
        <v>7</v>
      </c>
      <c r="N636" t="s">
        <v>7</v>
      </c>
      <c r="P636">
        <f t="shared" si="989"/>
        <v>-1</v>
      </c>
      <c r="Q636">
        <f t="shared" si="990"/>
        <v>-252539159</v>
      </c>
      <c r="R636">
        <f t="shared" si="991"/>
        <v>-4819339777.6056862</v>
      </c>
      <c r="S636">
        <f t="shared" si="992"/>
        <v>-48193.39777605686</v>
      </c>
      <c r="T636">
        <f t="shared" si="993"/>
        <v>-48.193397776056862</v>
      </c>
    </row>
    <row r="637" spans="1:20" x14ac:dyDescent="0.25">
      <c r="A637" s="5">
        <v>43956</v>
      </c>
      <c r="B637">
        <v>1.0809999999999999E-3</v>
      </c>
      <c r="C637">
        <v>1.1429999999999999E-3</v>
      </c>
      <c r="D637">
        <v>1.024E-3</v>
      </c>
      <c r="E637">
        <v>1.044E-3</v>
      </c>
      <c r="F637">
        <v>284389729</v>
      </c>
      <c r="G637">
        <v>0</v>
      </c>
      <c r="L637" t="s">
        <v>8</v>
      </c>
      <c r="M637" t="s">
        <v>7</v>
      </c>
      <c r="N637" t="s">
        <v>7</v>
      </c>
      <c r="P637">
        <f t="shared" si="989"/>
        <v>-0.66386554621848637</v>
      </c>
      <c r="Q637">
        <f t="shared" si="990"/>
        <v>-188796542.78151232</v>
      </c>
      <c r="R637">
        <f t="shared" si="991"/>
        <v>-4566800618.6056862</v>
      </c>
      <c r="S637">
        <f t="shared" si="992"/>
        <v>-45668.00618605686</v>
      </c>
      <c r="T637">
        <f t="shared" si="993"/>
        <v>-45.668006186056857</v>
      </c>
    </row>
    <row r="638" spans="1:20" x14ac:dyDescent="0.25">
      <c r="A638" s="5">
        <v>43955</v>
      </c>
      <c r="B638">
        <v>1.108E-3</v>
      </c>
      <c r="C638">
        <v>1.1999999999999999E-3</v>
      </c>
      <c r="D638">
        <v>1.0059999999999999E-3</v>
      </c>
      <c r="E638">
        <v>1.0790000000000001E-3</v>
      </c>
      <c r="F638">
        <v>735452128</v>
      </c>
      <c r="G638">
        <v>0</v>
      </c>
      <c r="L638" t="s">
        <v>7</v>
      </c>
      <c r="M638" t="s">
        <v>7</v>
      </c>
      <c r="N638" t="s">
        <v>7</v>
      </c>
      <c r="P638">
        <f t="shared" si="989"/>
        <v>-0.24742268041236939</v>
      </c>
      <c r="Q638">
        <f t="shared" si="990"/>
        <v>-181967536.82474098</v>
      </c>
      <c r="R638">
        <f t="shared" si="991"/>
        <v>-4378004075.8241739</v>
      </c>
      <c r="S638">
        <f t="shared" si="992"/>
        <v>-43780.040758241739</v>
      </c>
      <c r="T638">
        <f t="shared" si="993"/>
        <v>-43.780040758241739</v>
      </c>
    </row>
    <row r="639" spans="1:20" x14ac:dyDescent="0.25">
      <c r="A639" s="5">
        <v>43954</v>
      </c>
      <c r="B639">
        <v>1.2340000000000001E-3</v>
      </c>
      <c r="C639">
        <v>1.395E-3</v>
      </c>
      <c r="D639">
        <v>1.0499999999999999E-3</v>
      </c>
      <c r="E639">
        <v>1.1100000000000001E-3</v>
      </c>
      <c r="F639">
        <v>2297390783</v>
      </c>
      <c r="G639">
        <v>0</v>
      </c>
      <c r="L639" t="s">
        <v>7</v>
      </c>
      <c r="M639" t="s">
        <v>7</v>
      </c>
      <c r="N639" t="s">
        <v>7</v>
      </c>
      <c r="P639">
        <f t="shared" si="989"/>
        <v>-0.65217391304347738</v>
      </c>
      <c r="Q639">
        <f t="shared" si="990"/>
        <v>-1498298336.7391284</v>
      </c>
      <c r="R639">
        <f t="shared" si="991"/>
        <v>-4196036538.9994326</v>
      </c>
      <c r="S639">
        <f t="shared" si="992"/>
        <v>-41960.365389994324</v>
      </c>
      <c r="T639">
        <f t="shared" si="993"/>
        <v>-41.960365389994323</v>
      </c>
    </row>
    <row r="640" spans="1:20" x14ac:dyDescent="0.25">
      <c r="A640" s="5">
        <v>43953</v>
      </c>
      <c r="B640">
        <v>8.1400000000000005E-4</v>
      </c>
      <c r="C640">
        <v>1.5969999999999999E-3</v>
      </c>
      <c r="D640">
        <v>8.03E-4</v>
      </c>
      <c r="E640">
        <v>1.2340000000000001E-3</v>
      </c>
      <c r="F640">
        <v>4124430638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8.5642317380352967E-2</v>
      </c>
      <c r="Q640">
        <f t="shared" si="990"/>
        <v>353225797.71284765</v>
      </c>
      <c r="R640">
        <f t="shared" si="991"/>
        <v>-2697738202.260304</v>
      </c>
      <c r="S640">
        <f t="shared" si="992"/>
        <v>-26977.38202260304</v>
      </c>
      <c r="T640">
        <f t="shared" si="993"/>
        <v>-26.977382022603042</v>
      </c>
    </row>
    <row r="641" spans="1:20" x14ac:dyDescent="0.25">
      <c r="A641" s="5">
        <v>43952</v>
      </c>
      <c r="B641">
        <v>7.1599999999999995E-4</v>
      </c>
      <c r="C641">
        <v>8.7500000000000002E-4</v>
      </c>
      <c r="D641">
        <v>7.1599999999999995E-4</v>
      </c>
      <c r="E641">
        <v>8.1400000000000005E-4</v>
      </c>
      <c r="F641">
        <v>1107301035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0.23270440251572405</v>
      </c>
      <c r="Q641">
        <f t="shared" si="990"/>
        <v>257673825.75471786</v>
      </c>
      <c r="R641">
        <f t="shared" si="991"/>
        <v>-3050963999.9731517</v>
      </c>
      <c r="S641">
        <f t="shared" si="992"/>
        <v>-30509.639999731517</v>
      </c>
      <c r="T641">
        <f t="shared" si="993"/>
        <v>-30.509639999731515</v>
      </c>
    </row>
    <row r="642" spans="1:20" x14ac:dyDescent="0.25">
      <c r="A642" s="5">
        <v>43951</v>
      </c>
      <c r="B642">
        <v>6.5799999999999995E-4</v>
      </c>
      <c r="C642">
        <v>8.0000000000000004E-4</v>
      </c>
      <c r="D642">
        <v>6.2600000000000004E-4</v>
      </c>
      <c r="E642">
        <v>7.1500000000000003E-4</v>
      </c>
      <c r="F642">
        <v>551086805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2.2988505747126374E-2</v>
      </c>
      <c r="Q642">
        <f t="shared" si="990"/>
        <v>12668662.183908012</v>
      </c>
      <c r="R642">
        <f t="shared" si="991"/>
        <v>-3308637825.7278695</v>
      </c>
      <c r="S642">
        <f t="shared" si="992"/>
        <v>-33086.378257278695</v>
      </c>
      <c r="T642">
        <f t="shared" si="993"/>
        <v>-33.086378257278696</v>
      </c>
    </row>
    <row r="643" spans="1:20" x14ac:dyDescent="0.25">
      <c r="A643" s="5">
        <v>43950</v>
      </c>
      <c r="B643">
        <v>6.4099999999999997E-4</v>
      </c>
      <c r="C643">
        <v>6.69E-4</v>
      </c>
      <c r="D643">
        <v>6.3699999999999998E-4</v>
      </c>
      <c r="E643">
        <v>6.6200000000000005E-4</v>
      </c>
      <c r="F643">
        <v>198465194</v>
      </c>
      <c r="G643">
        <v>0</v>
      </c>
      <c r="L643" t="s">
        <v>7</v>
      </c>
      <c r="M643" t="s">
        <v>7</v>
      </c>
      <c r="N643" t="s">
        <v>7</v>
      </c>
      <c r="P643">
        <f t="shared" si="989"/>
        <v>0.56250000000000322</v>
      </c>
      <c r="Q643">
        <f t="shared" si="990"/>
        <v>111636671.62500064</v>
      </c>
      <c r="R643">
        <f t="shared" si="991"/>
        <v>-3321306487.9117775</v>
      </c>
      <c r="S643">
        <f t="shared" si="992"/>
        <v>-33213.064879117774</v>
      </c>
      <c r="T643">
        <f t="shared" si="993"/>
        <v>-33.213064879117773</v>
      </c>
    </row>
    <row r="644" spans="1:20" x14ac:dyDescent="0.25">
      <c r="A644" s="5">
        <v>43949</v>
      </c>
      <c r="B644">
        <v>6.4999999999999997E-4</v>
      </c>
      <c r="C644">
        <v>6.5099999999999999E-4</v>
      </c>
      <c r="D644">
        <v>6.3199999999999997E-4</v>
      </c>
      <c r="E644">
        <v>6.4099999999999997E-4</v>
      </c>
      <c r="F644">
        <v>52481951</v>
      </c>
      <c r="G644">
        <v>0</v>
      </c>
      <c r="L644" t="s">
        <v>8</v>
      </c>
      <c r="M644" t="s">
        <v>7</v>
      </c>
      <c r="N644" t="s">
        <v>7</v>
      </c>
      <c r="P644">
        <f t="shared" si="989"/>
        <v>-5.2631578947369625E-2</v>
      </c>
      <c r="Q644">
        <f t="shared" si="990"/>
        <v>-2762207.9473684845</v>
      </c>
      <c r="R644">
        <f t="shared" si="991"/>
        <v>-3432943159.536778</v>
      </c>
      <c r="S644">
        <f t="shared" si="992"/>
        <v>-34329.43159536778</v>
      </c>
      <c r="T644">
        <f t="shared" si="993"/>
        <v>-34.32943159536778</v>
      </c>
    </row>
    <row r="645" spans="1:20" x14ac:dyDescent="0.25">
      <c r="A645" s="5">
        <v>43948</v>
      </c>
      <c r="B645">
        <v>6.38E-4</v>
      </c>
      <c r="C645">
        <v>6.6299999999999996E-4</v>
      </c>
      <c r="D645">
        <v>6.1899999999999998E-4</v>
      </c>
      <c r="E645">
        <v>6.4999999999999997E-4</v>
      </c>
      <c r="F645">
        <v>127427809</v>
      </c>
      <c r="G645">
        <v>0</v>
      </c>
      <c r="L645" t="s">
        <v>7</v>
      </c>
      <c r="M645" t="s">
        <v>7</v>
      </c>
      <c r="N645" t="s">
        <v>7</v>
      </c>
      <c r="P645">
        <f t="shared" si="989"/>
        <v>0.40909090909090934</v>
      </c>
      <c r="Q645">
        <f t="shared" si="990"/>
        <v>52129558.227272756</v>
      </c>
      <c r="R645">
        <f t="shared" si="991"/>
        <v>-3430180951.5894094</v>
      </c>
      <c r="S645">
        <f t="shared" si="992"/>
        <v>-34301.809515894092</v>
      </c>
      <c r="T645">
        <f t="shared" si="993"/>
        <v>-34.301809515894092</v>
      </c>
    </row>
    <row r="646" spans="1:20" x14ac:dyDescent="0.25">
      <c r="A646" s="5">
        <v>43947</v>
      </c>
      <c r="B646">
        <v>6.3500000000000004E-4</v>
      </c>
      <c r="C646">
        <v>6.6600000000000003E-4</v>
      </c>
      <c r="D646">
        <v>6.2600000000000004E-4</v>
      </c>
      <c r="E646">
        <v>6.3400000000000001E-4</v>
      </c>
      <c r="F646">
        <v>163632903</v>
      </c>
      <c r="G646">
        <v>0</v>
      </c>
      <c r="L646" t="s">
        <v>8</v>
      </c>
      <c r="M646" t="s">
        <v>7</v>
      </c>
      <c r="N646" t="s">
        <v>7</v>
      </c>
      <c r="P646">
        <f t="shared" ref="P646:P709" si="994">IF(C646=D646,0,((E646-D646)-(C646-E646))/(C646-D646))</f>
        <v>-0.60000000000000109</v>
      </c>
      <c r="Q646">
        <f t="shared" ref="Q646:Q709" si="995">F646*P646</f>
        <v>-98179741.800000176</v>
      </c>
      <c r="R646">
        <f t="shared" ref="R646:R709" si="996">R647+Q646</f>
        <v>-3482310509.8166823</v>
      </c>
      <c r="S646">
        <f t="shared" ref="S646:S709" si="997">R646/100000</f>
        <v>-34823.105098166823</v>
      </c>
      <c r="T646">
        <f t="shared" ref="T646:T709" si="998">S646/1000</f>
        <v>-34.82310509816682</v>
      </c>
    </row>
    <row r="647" spans="1:20" x14ac:dyDescent="0.25">
      <c r="A647" s="5">
        <v>43946</v>
      </c>
      <c r="B647">
        <v>6.1899999999999998E-4</v>
      </c>
      <c r="C647">
        <v>6.5899999999999997E-4</v>
      </c>
      <c r="D647">
        <v>6.0999999999999997E-4</v>
      </c>
      <c r="E647">
        <v>6.4099999999999997E-4</v>
      </c>
      <c r="F647">
        <v>125234293</v>
      </c>
      <c r="G647">
        <v>0</v>
      </c>
      <c r="L647" t="s">
        <v>7</v>
      </c>
      <c r="M647" t="s">
        <v>7</v>
      </c>
      <c r="N647" t="s">
        <v>7</v>
      </c>
      <c r="P647">
        <f t="shared" si="994"/>
        <v>0.26530612244897939</v>
      </c>
      <c r="Q647">
        <f t="shared" si="995"/>
        <v>33225424.673469361</v>
      </c>
      <c r="R647">
        <f t="shared" si="996"/>
        <v>-3384130768.0166821</v>
      </c>
      <c r="S647">
        <f t="shared" si="997"/>
        <v>-33841.307680166821</v>
      </c>
      <c r="T647">
        <f t="shared" si="998"/>
        <v>-33.841307680166821</v>
      </c>
    </row>
    <row r="648" spans="1:20" x14ac:dyDescent="0.25">
      <c r="A648" s="5">
        <v>43945</v>
      </c>
      <c r="B648">
        <v>6.11E-4</v>
      </c>
      <c r="C648">
        <v>6.3400000000000001E-4</v>
      </c>
      <c r="D648">
        <v>6.0599999999999998E-4</v>
      </c>
      <c r="E648">
        <v>6.2E-4</v>
      </c>
      <c r="F648">
        <v>85526052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0</v>
      </c>
      <c r="Q648">
        <f t="shared" si="995"/>
        <v>0</v>
      </c>
      <c r="R648">
        <f t="shared" si="996"/>
        <v>-3417356192.6901517</v>
      </c>
      <c r="S648">
        <f t="shared" si="997"/>
        <v>-34173.561926901515</v>
      </c>
      <c r="T648">
        <f t="shared" si="998"/>
        <v>-34.173561926901513</v>
      </c>
    </row>
    <row r="649" spans="1:20" x14ac:dyDescent="0.25">
      <c r="A649" s="5">
        <v>43944</v>
      </c>
      <c r="B649">
        <v>6.0499999999999996E-4</v>
      </c>
      <c r="C649">
        <v>6.3299999999999999E-4</v>
      </c>
      <c r="D649">
        <v>5.9599999999999996E-4</v>
      </c>
      <c r="E649">
        <v>6.0999999999999997E-4</v>
      </c>
      <c r="F649">
        <v>183247179</v>
      </c>
      <c r="G649">
        <v>0</v>
      </c>
      <c r="L649" t="s">
        <v>7</v>
      </c>
      <c r="M649" t="s">
        <v>7</v>
      </c>
      <c r="N649" t="s">
        <v>7</v>
      </c>
      <c r="P649">
        <f t="shared" si="994"/>
        <v>-0.24324324324324309</v>
      </c>
      <c r="Q649">
        <f t="shared" si="995"/>
        <v>-44573638.135135107</v>
      </c>
      <c r="R649">
        <f t="shared" si="996"/>
        <v>-3417356192.6901517</v>
      </c>
      <c r="S649">
        <f t="shared" si="997"/>
        <v>-34173.561926901515</v>
      </c>
      <c r="T649">
        <f t="shared" si="998"/>
        <v>-34.173561926901513</v>
      </c>
    </row>
    <row r="650" spans="1:20" x14ac:dyDescent="0.25">
      <c r="A650" s="5">
        <v>43943</v>
      </c>
      <c r="B650">
        <v>5.8600000000000004E-4</v>
      </c>
      <c r="C650">
        <v>6.2399999999999999E-4</v>
      </c>
      <c r="D650">
        <v>5.8100000000000003E-4</v>
      </c>
      <c r="E650">
        <v>6.0400000000000004E-4</v>
      </c>
      <c r="F650">
        <v>114615532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6.9767441860466878E-2</v>
      </c>
      <c r="Q650">
        <f t="shared" si="995"/>
        <v>7996432.4651164813</v>
      </c>
      <c r="R650">
        <f t="shared" si="996"/>
        <v>-3372782554.5550165</v>
      </c>
      <c r="S650">
        <f t="shared" si="997"/>
        <v>-33727.825545550164</v>
      </c>
      <c r="T650">
        <f t="shared" si="998"/>
        <v>-33.727825545550161</v>
      </c>
    </row>
    <row r="651" spans="1:20" x14ac:dyDescent="0.25">
      <c r="A651" s="5">
        <v>43942</v>
      </c>
      <c r="B651">
        <v>6.02E-4</v>
      </c>
      <c r="C651">
        <v>6.0400000000000004E-4</v>
      </c>
      <c r="D651">
        <v>5.7300000000000005E-4</v>
      </c>
      <c r="E651">
        <v>5.8500000000000002E-4</v>
      </c>
      <c r="F651">
        <v>124551983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-0.22580645161290525</v>
      </c>
      <c r="Q651">
        <f t="shared" si="995"/>
        <v>-28124641.322580896</v>
      </c>
      <c r="R651">
        <f t="shared" si="996"/>
        <v>-3380778987.020133</v>
      </c>
      <c r="S651">
        <f t="shared" si="997"/>
        <v>-33807.789870201334</v>
      </c>
      <c r="T651">
        <f t="shared" si="998"/>
        <v>-33.807789870201333</v>
      </c>
    </row>
    <row r="652" spans="1:20" x14ac:dyDescent="0.25">
      <c r="A652" s="5">
        <v>43941</v>
      </c>
      <c r="B652">
        <v>6.3100000000000005E-4</v>
      </c>
      <c r="C652">
        <v>6.4199999999999999E-4</v>
      </c>
      <c r="D652">
        <v>5.8500000000000002E-4</v>
      </c>
      <c r="E652">
        <v>5.9999999999999995E-4</v>
      </c>
      <c r="F652">
        <v>142245819</v>
      </c>
      <c r="G652">
        <v>0</v>
      </c>
      <c r="L652" t="s">
        <v>8</v>
      </c>
      <c r="M652" t="s">
        <v>7</v>
      </c>
      <c r="N652" t="s">
        <v>7</v>
      </c>
      <c r="P652">
        <f t="shared" si="994"/>
        <v>-0.47368421052631798</v>
      </c>
      <c r="Q652">
        <f t="shared" si="995"/>
        <v>-67379598.47368452</v>
      </c>
      <c r="R652">
        <f t="shared" si="996"/>
        <v>-3352654345.6975522</v>
      </c>
      <c r="S652">
        <f t="shared" si="997"/>
        <v>-33526.543456975523</v>
      </c>
      <c r="T652">
        <f t="shared" si="998"/>
        <v>-33.526543456975524</v>
      </c>
    </row>
    <row r="653" spans="1:20" x14ac:dyDescent="0.25">
      <c r="A653" s="5">
        <v>43940</v>
      </c>
      <c r="B653">
        <v>6.6600000000000003E-4</v>
      </c>
      <c r="C653">
        <v>6.6600000000000003E-4</v>
      </c>
      <c r="D653">
        <v>6.1799999999999995E-4</v>
      </c>
      <c r="E653">
        <v>6.3699999999999998E-4</v>
      </c>
      <c r="F653">
        <v>235019670</v>
      </c>
      <c r="G653">
        <v>0</v>
      </c>
      <c r="L653" t="s">
        <v>7</v>
      </c>
      <c r="M653" t="s">
        <v>8</v>
      </c>
      <c r="N653" t="s">
        <v>7</v>
      </c>
      <c r="P653">
        <f t="shared" si="994"/>
        <v>-0.20833333333333351</v>
      </c>
      <c r="Q653">
        <f t="shared" si="995"/>
        <v>-48962431.250000045</v>
      </c>
      <c r="R653">
        <f t="shared" si="996"/>
        <v>-3285274747.2238679</v>
      </c>
      <c r="S653">
        <f t="shared" si="997"/>
        <v>-32852.747472238676</v>
      </c>
      <c r="T653">
        <f t="shared" si="998"/>
        <v>-32.852747472238676</v>
      </c>
    </row>
    <row r="654" spans="1:20" x14ac:dyDescent="0.25">
      <c r="A654" s="5">
        <v>43939</v>
      </c>
      <c r="B654">
        <v>6.3599999999999996E-4</v>
      </c>
      <c r="C654">
        <v>6.9499999999999998E-4</v>
      </c>
      <c r="D654">
        <v>6.3199999999999997E-4</v>
      </c>
      <c r="E654">
        <v>6.6600000000000003E-4</v>
      </c>
      <c r="F654">
        <v>415462673</v>
      </c>
      <c r="G654">
        <v>0</v>
      </c>
      <c r="L654" t="s">
        <v>8</v>
      </c>
      <c r="M654" t="s">
        <v>8</v>
      </c>
      <c r="N654" t="s">
        <v>7</v>
      </c>
      <c r="P654">
        <f t="shared" si="994"/>
        <v>7.9365079365081276E-2</v>
      </c>
      <c r="Q654">
        <f t="shared" si="995"/>
        <v>32973228.015873808</v>
      </c>
      <c r="R654">
        <f t="shared" si="996"/>
        <v>-3236312315.9738679</v>
      </c>
      <c r="S654">
        <f t="shared" si="997"/>
        <v>-32363.12315973868</v>
      </c>
      <c r="T654">
        <f t="shared" si="998"/>
        <v>-32.363123159738677</v>
      </c>
    </row>
    <row r="655" spans="1:20" x14ac:dyDescent="0.25">
      <c r="A655" s="5">
        <v>43938</v>
      </c>
      <c r="B655">
        <v>5.7899999999999998E-4</v>
      </c>
      <c r="C655">
        <v>6.7000000000000002E-4</v>
      </c>
      <c r="D655">
        <v>5.6300000000000002E-4</v>
      </c>
      <c r="E655">
        <v>6.3599999999999996E-4</v>
      </c>
      <c r="F655">
        <v>300905315</v>
      </c>
      <c r="G655">
        <v>0</v>
      </c>
      <c r="L655" t="s">
        <v>7</v>
      </c>
      <c r="M655" t="s">
        <v>8</v>
      </c>
      <c r="N655" t="s">
        <v>7</v>
      </c>
      <c r="P655">
        <f t="shared" si="994"/>
        <v>0.36448598130840992</v>
      </c>
      <c r="Q655">
        <f t="shared" si="995"/>
        <v>109675769.0186912</v>
      </c>
      <c r="R655">
        <f t="shared" si="996"/>
        <v>-3269285543.9897418</v>
      </c>
      <c r="S655">
        <f t="shared" si="997"/>
        <v>-32692.855439897419</v>
      </c>
      <c r="T655">
        <f t="shared" si="998"/>
        <v>-32.692855439897421</v>
      </c>
    </row>
    <row r="656" spans="1:20" x14ac:dyDescent="0.25">
      <c r="A656" s="5">
        <v>43937</v>
      </c>
      <c r="B656">
        <v>5.6400000000000005E-4</v>
      </c>
      <c r="C656">
        <v>5.8799999999999998E-4</v>
      </c>
      <c r="D656">
        <v>5.5000000000000003E-4</v>
      </c>
      <c r="E656">
        <v>5.7899999999999998E-4</v>
      </c>
      <c r="F656">
        <v>269298455</v>
      </c>
      <c r="G656">
        <v>0</v>
      </c>
      <c r="L656" t="s">
        <v>8</v>
      </c>
      <c r="M656" t="s">
        <v>7</v>
      </c>
      <c r="N656" t="s">
        <v>7</v>
      </c>
      <c r="P656">
        <f t="shared" si="994"/>
        <v>0.52631578947368352</v>
      </c>
      <c r="Q656">
        <f t="shared" si="995"/>
        <v>141736028.94736823</v>
      </c>
      <c r="R656">
        <f t="shared" si="996"/>
        <v>-3378961313.0084329</v>
      </c>
      <c r="S656">
        <f t="shared" si="997"/>
        <v>-33789.613130084326</v>
      </c>
      <c r="T656">
        <f t="shared" si="998"/>
        <v>-33.789613130084327</v>
      </c>
    </row>
    <row r="657" spans="1:20" x14ac:dyDescent="0.25">
      <c r="A657" s="5">
        <v>43936</v>
      </c>
      <c r="B657">
        <v>6.0800000000000003E-4</v>
      </c>
      <c r="C657">
        <v>6.1499999999999999E-4</v>
      </c>
      <c r="D657">
        <v>5.5999999999999995E-4</v>
      </c>
      <c r="E657">
        <v>5.6499999999999996E-4</v>
      </c>
      <c r="F657">
        <v>69618109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-0.81818181818181779</v>
      </c>
      <c r="Q657">
        <f t="shared" si="995"/>
        <v>-56960270.99999997</v>
      </c>
      <c r="R657">
        <f t="shared" si="996"/>
        <v>-3520697341.955801</v>
      </c>
      <c r="S657">
        <f t="shared" si="997"/>
        <v>-35206.973419558009</v>
      </c>
      <c r="T657">
        <f t="shared" si="998"/>
        <v>-35.206973419558011</v>
      </c>
    </row>
    <row r="658" spans="1:20" x14ac:dyDescent="0.25">
      <c r="A658" s="5">
        <v>43935</v>
      </c>
      <c r="B658">
        <v>6.0499999999999996E-4</v>
      </c>
      <c r="C658">
        <v>6.1700000000000004E-4</v>
      </c>
      <c r="D658">
        <v>5.8500000000000002E-4</v>
      </c>
      <c r="E658">
        <v>6.0700000000000001E-4</v>
      </c>
      <c r="F658">
        <v>100845777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0.37499999999999872</v>
      </c>
      <c r="Q658">
        <f t="shared" si="995"/>
        <v>37817166.374999873</v>
      </c>
      <c r="R658">
        <f t="shared" si="996"/>
        <v>-3463737070.955801</v>
      </c>
      <c r="S658">
        <f t="shared" si="997"/>
        <v>-34637.37070955801</v>
      </c>
      <c r="T658">
        <f t="shared" si="998"/>
        <v>-34.637370709558013</v>
      </c>
    </row>
    <row r="659" spans="1:20" x14ac:dyDescent="0.25">
      <c r="A659" s="5">
        <v>43934</v>
      </c>
      <c r="B659">
        <v>6.3299999999999999E-4</v>
      </c>
      <c r="C659">
        <v>6.38E-4</v>
      </c>
      <c r="D659">
        <v>5.8100000000000003E-4</v>
      </c>
      <c r="E659">
        <v>6.0300000000000002E-4</v>
      </c>
      <c r="F659">
        <v>162705906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-0.22807017543859642</v>
      </c>
      <c r="Q659">
        <f t="shared" si="995"/>
        <v>-37108364.526315778</v>
      </c>
      <c r="R659">
        <f t="shared" si="996"/>
        <v>-3501554237.330801</v>
      </c>
      <c r="S659">
        <f t="shared" si="997"/>
        <v>-35015.54237330801</v>
      </c>
      <c r="T659">
        <f t="shared" si="998"/>
        <v>-35.015542373308008</v>
      </c>
    </row>
    <row r="660" spans="1:20" x14ac:dyDescent="0.25">
      <c r="A660" s="5">
        <v>43933</v>
      </c>
      <c r="B660">
        <v>6.4599999999999998E-4</v>
      </c>
      <c r="C660">
        <v>6.6399999999999999E-4</v>
      </c>
      <c r="D660">
        <v>6.3000000000000003E-4</v>
      </c>
      <c r="E660">
        <v>6.3400000000000001E-4</v>
      </c>
      <c r="F660">
        <v>104018906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-0.76470588235294157</v>
      </c>
      <c r="Q660">
        <f t="shared" si="995"/>
        <v>-79543869.294117689</v>
      </c>
      <c r="R660">
        <f t="shared" si="996"/>
        <v>-3464445872.8044853</v>
      </c>
      <c r="S660">
        <f t="shared" si="997"/>
        <v>-34644.458728044854</v>
      </c>
      <c r="T660">
        <f t="shared" si="998"/>
        <v>-34.644458728044853</v>
      </c>
    </row>
    <row r="661" spans="1:20" x14ac:dyDescent="0.25">
      <c r="A661" s="5">
        <v>43932</v>
      </c>
      <c r="B661">
        <v>6.5899999999999997E-4</v>
      </c>
      <c r="C661">
        <v>6.6600000000000003E-4</v>
      </c>
      <c r="D661">
        <v>6.2200000000000005E-4</v>
      </c>
      <c r="E661">
        <v>6.4400000000000004E-4</v>
      </c>
      <c r="F661">
        <v>113013440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0</v>
      </c>
      <c r="Q661">
        <f t="shared" si="995"/>
        <v>0</v>
      </c>
      <c r="R661">
        <f t="shared" si="996"/>
        <v>-3384902003.5103674</v>
      </c>
      <c r="S661">
        <f t="shared" si="997"/>
        <v>-33849.020035103676</v>
      </c>
      <c r="T661">
        <f t="shared" si="998"/>
        <v>-33.849020035103678</v>
      </c>
    </row>
    <row r="662" spans="1:20" x14ac:dyDescent="0.25">
      <c r="A662" s="5">
        <v>43931</v>
      </c>
      <c r="B662">
        <v>7.54E-4</v>
      </c>
      <c r="C662">
        <v>7.5500000000000003E-4</v>
      </c>
      <c r="D662">
        <v>6.5099999999999999E-4</v>
      </c>
      <c r="E662">
        <v>6.5899999999999997E-4</v>
      </c>
      <c r="F662">
        <v>200344390</v>
      </c>
      <c r="G662">
        <v>0</v>
      </c>
      <c r="L662" t="s">
        <v>8</v>
      </c>
      <c r="M662" t="s">
        <v>7</v>
      </c>
      <c r="N662" t="s">
        <v>7</v>
      </c>
      <c r="P662">
        <f t="shared" si="994"/>
        <v>-0.84615384615384659</v>
      </c>
      <c r="Q662">
        <f t="shared" si="995"/>
        <v>-169522176.15384623</v>
      </c>
      <c r="R662">
        <f t="shared" si="996"/>
        <v>-3384902003.5103674</v>
      </c>
      <c r="S662">
        <f t="shared" si="997"/>
        <v>-33849.020035103676</v>
      </c>
      <c r="T662">
        <f t="shared" si="998"/>
        <v>-33.849020035103678</v>
      </c>
    </row>
    <row r="663" spans="1:20" x14ac:dyDescent="0.25">
      <c r="A663" s="5">
        <v>43930</v>
      </c>
      <c r="B663">
        <v>7.6400000000000003E-4</v>
      </c>
      <c r="C663">
        <v>7.6999999999999996E-4</v>
      </c>
      <c r="D663">
        <v>7.45E-4</v>
      </c>
      <c r="E663">
        <v>7.5199999999999996E-4</v>
      </c>
      <c r="F663">
        <v>100965238</v>
      </c>
      <c r="G663">
        <v>0</v>
      </c>
      <c r="L663" t="s">
        <v>7</v>
      </c>
      <c r="M663" t="s">
        <v>7</v>
      </c>
      <c r="N663" t="s">
        <v>8</v>
      </c>
      <c r="P663">
        <f t="shared" si="994"/>
        <v>-0.44000000000000278</v>
      </c>
      <c r="Q663">
        <f t="shared" si="995"/>
        <v>-44424704.720000282</v>
      </c>
      <c r="R663">
        <f t="shared" si="996"/>
        <v>-3215379827.3565211</v>
      </c>
      <c r="S663">
        <f t="shared" si="997"/>
        <v>-32153.798273565211</v>
      </c>
      <c r="T663">
        <f t="shared" si="998"/>
        <v>-32.153798273565208</v>
      </c>
    </row>
    <row r="664" spans="1:20" x14ac:dyDescent="0.25">
      <c r="A664" s="5">
        <v>43929</v>
      </c>
      <c r="B664">
        <v>7.5799999999999999E-4</v>
      </c>
      <c r="C664">
        <v>7.8299999999999995E-4</v>
      </c>
      <c r="D664">
        <v>7.5500000000000003E-4</v>
      </c>
      <c r="E664">
        <v>7.6800000000000002E-4</v>
      </c>
      <c r="F664">
        <v>108286837</v>
      </c>
      <c r="G664">
        <v>0</v>
      </c>
      <c r="L664" t="s">
        <v>8</v>
      </c>
      <c r="M664" t="s">
        <v>7</v>
      </c>
      <c r="N664" t="s">
        <v>8</v>
      </c>
      <c r="P664">
        <f t="shared" si="994"/>
        <v>-7.1428571428569496E-2</v>
      </c>
      <c r="Q664">
        <f t="shared" si="995"/>
        <v>-7734774.0714283623</v>
      </c>
      <c r="R664">
        <f t="shared" si="996"/>
        <v>-3170955122.6365209</v>
      </c>
      <c r="S664">
        <f t="shared" si="997"/>
        <v>-31709.551226365209</v>
      </c>
      <c r="T664">
        <f t="shared" si="998"/>
        <v>-31.70955122636521</v>
      </c>
    </row>
    <row r="665" spans="1:20" x14ac:dyDescent="0.25">
      <c r="A665" s="5">
        <v>43928</v>
      </c>
      <c r="B665">
        <v>7.9799999999999999E-4</v>
      </c>
      <c r="C665">
        <v>8.0099999999999995E-4</v>
      </c>
      <c r="D665">
        <v>7.5000000000000002E-4</v>
      </c>
      <c r="E665">
        <v>7.6000000000000004E-4</v>
      </c>
      <c r="F665">
        <v>216389161</v>
      </c>
      <c r="G665">
        <v>0</v>
      </c>
      <c r="L665" t="s">
        <v>7</v>
      </c>
      <c r="M665" t="s">
        <v>7</v>
      </c>
      <c r="N665" t="s">
        <v>8</v>
      </c>
      <c r="P665">
        <f t="shared" si="994"/>
        <v>-0.60784313725490047</v>
      </c>
      <c r="Q665">
        <f t="shared" si="995"/>
        <v>-131530666.49019575</v>
      </c>
      <c r="R665">
        <f t="shared" si="996"/>
        <v>-3163220348.5650926</v>
      </c>
      <c r="S665">
        <f t="shared" si="997"/>
        <v>-31632.203485650927</v>
      </c>
      <c r="T665">
        <f t="shared" si="998"/>
        <v>-31.632203485650926</v>
      </c>
    </row>
    <row r="666" spans="1:20" x14ac:dyDescent="0.25">
      <c r="A666" s="5">
        <v>43927</v>
      </c>
      <c r="B666">
        <v>7.5600000000000005E-4</v>
      </c>
      <c r="C666">
        <v>8.0099999999999995E-4</v>
      </c>
      <c r="D666">
        <v>7.3999999999999999E-4</v>
      </c>
      <c r="E666">
        <v>7.9799999999999999E-4</v>
      </c>
      <c r="F666">
        <v>342850543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0.90163934426229619</v>
      </c>
      <c r="Q666">
        <f t="shared" si="995"/>
        <v>309127538.7704922</v>
      </c>
      <c r="R666">
        <f t="shared" si="996"/>
        <v>-3031689682.0748968</v>
      </c>
      <c r="S666">
        <f t="shared" si="997"/>
        <v>-30316.896820748967</v>
      </c>
      <c r="T666">
        <f t="shared" si="998"/>
        <v>-30.316896820748966</v>
      </c>
    </row>
    <row r="667" spans="1:20" x14ac:dyDescent="0.25">
      <c r="A667" s="5">
        <v>43926</v>
      </c>
      <c r="B667">
        <v>8.1099999999999998E-4</v>
      </c>
      <c r="C667">
        <v>8.1499999999999997E-4</v>
      </c>
      <c r="D667">
        <v>7.3399999999999995E-4</v>
      </c>
      <c r="E667">
        <v>7.5199999999999996E-4</v>
      </c>
      <c r="F667">
        <v>245470575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-0.55555555555555558</v>
      </c>
      <c r="Q667">
        <f t="shared" si="995"/>
        <v>-136372541.66666669</v>
      </c>
      <c r="R667">
        <f t="shared" si="996"/>
        <v>-3340817220.8453889</v>
      </c>
      <c r="S667">
        <f t="shared" si="997"/>
        <v>-33408.172208453892</v>
      </c>
      <c r="T667">
        <f t="shared" si="998"/>
        <v>-33.408172208453891</v>
      </c>
    </row>
    <row r="668" spans="1:20" x14ac:dyDescent="0.25">
      <c r="A668" s="5">
        <v>43925</v>
      </c>
      <c r="B668">
        <v>8.1999999999999998E-4</v>
      </c>
      <c r="C668">
        <v>8.34E-4</v>
      </c>
      <c r="D668">
        <v>8.0199999999999998E-4</v>
      </c>
      <c r="E668">
        <v>8.0999999999999996E-4</v>
      </c>
      <c r="F668">
        <v>193766765</v>
      </c>
      <c r="G668">
        <v>0</v>
      </c>
      <c r="L668" t="s">
        <v>8</v>
      </c>
      <c r="M668" t="s">
        <v>7</v>
      </c>
      <c r="N668" t="s">
        <v>8</v>
      </c>
      <c r="P668">
        <f t="shared" si="994"/>
        <v>-0.50000000000000167</v>
      </c>
      <c r="Q668">
        <f t="shared" si="995"/>
        <v>-96883382.500000328</v>
      </c>
      <c r="R668">
        <f t="shared" si="996"/>
        <v>-3204444679.1787224</v>
      </c>
      <c r="S668">
        <f t="shared" si="997"/>
        <v>-32044.446791787224</v>
      </c>
      <c r="T668">
        <f t="shared" si="998"/>
        <v>-32.044446791787223</v>
      </c>
    </row>
    <row r="669" spans="1:20" x14ac:dyDescent="0.25">
      <c r="A669" s="5">
        <v>43924</v>
      </c>
      <c r="B669">
        <v>8.8999999999999995E-4</v>
      </c>
      <c r="C669">
        <v>9.1E-4</v>
      </c>
      <c r="D669">
        <v>7.9299999999999998E-4</v>
      </c>
      <c r="E669">
        <v>8.1999999999999998E-4</v>
      </c>
      <c r="F669">
        <v>547959453</v>
      </c>
      <c r="G669">
        <v>0</v>
      </c>
      <c r="L669" t="s">
        <v>7</v>
      </c>
      <c r="M669" t="s">
        <v>7</v>
      </c>
      <c r="N669" t="s">
        <v>8</v>
      </c>
      <c r="P669">
        <f t="shared" si="994"/>
        <v>-0.53846153846153844</v>
      </c>
      <c r="Q669">
        <f t="shared" si="995"/>
        <v>-295055090.07692307</v>
      </c>
      <c r="R669">
        <f t="shared" si="996"/>
        <v>-3107561296.6787219</v>
      </c>
      <c r="S669">
        <f t="shared" si="997"/>
        <v>-31075.612966787219</v>
      </c>
      <c r="T669">
        <f t="shared" si="998"/>
        <v>-31.075612966787219</v>
      </c>
    </row>
    <row r="670" spans="1:20" x14ac:dyDescent="0.25">
      <c r="A670" s="5">
        <v>43923</v>
      </c>
      <c r="B670">
        <v>9.5600000000000004E-4</v>
      </c>
      <c r="C670">
        <v>9.7499999999999996E-4</v>
      </c>
      <c r="D670">
        <v>8.5300000000000003E-4</v>
      </c>
      <c r="E670">
        <v>8.8599999999999996E-4</v>
      </c>
      <c r="F670">
        <v>638601416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-0.45901639344262368</v>
      </c>
      <c r="Q670">
        <f t="shared" si="995"/>
        <v>-293128518.81967258</v>
      </c>
      <c r="R670">
        <f t="shared" si="996"/>
        <v>-2812506206.601799</v>
      </c>
      <c r="S670">
        <f t="shared" si="997"/>
        <v>-28125.062066017988</v>
      </c>
      <c r="T670">
        <f t="shared" si="998"/>
        <v>-28.125062066017989</v>
      </c>
    </row>
    <row r="671" spans="1:20" x14ac:dyDescent="0.25">
      <c r="A671" s="5">
        <v>43922</v>
      </c>
      <c r="B671">
        <v>9.7300000000000002E-4</v>
      </c>
      <c r="C671">
        <v>9.9299999999999996E-4</v>
      </c>
      <c r="D671">
        <v>8.8500000000000004E-4</v>
      </c>
      <c r="E671">
        <v>9.4399999999999996E-4</v>
      </c>
      <c r="F671">
        <v>62751249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9.2592592592591907E-2</v>
      </c>
      <c r="Q671">
        <f t="shared" si="995"/>
        <v>5810300.8333332902</v>
      </c>
      <c r="R671">
        <f t="shared" si="996"/>
        <v>-2519377687.7821264</v>
      </c>
      <c r="S671">
        <f t="shared" si="997"/>
        <v>-25193.776877821263</v>
      </c>
      <c r="T671">
        <f t="shared" si="998"/>
        <v>-25.193776877821264</v>
      </c>
    </row>
    <row r="672" spans="1:20" x14ac:dyDescent="0.25">
      <c r="A672" s="5">
        <v>43921</v>
      </c>
      <c r="B672">
        <v>9.6400000000000001E-4</v>
      </c>
      <c r="C672">
        <v>1.0460000000000001E-3</v>
      </c>
      <c r="D672">
        <v>9.6000000000000002E-4</v>
      </c>
      <c r="E672">
        <v>9.7300000000000002E-4</v>
      </c>
      <c r="F672">
        <v>19742705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-0.69767441860465151</v>
      </c>
      <c r="Q672">
        <f t="shared" si="995"/>
        <v>-13773980.232558146</v>
      </c>
      <c r="R672">
        <f t="shared" si="996"/>
        <v>-2525187988.6154599</v>
      </c>
      <c r="S672">
        <f t="shared" si="997"/>
        <v>-25251.879886154598</v>
      </c>
      <c r="T672">
        <f t="shared" si="998"/>
        <v>-25.251879886154597</v>
      </c>
    </row>
    <row r="673" spans="1:20" x14ac:dyDescent="0.25">
      <c r="A673" s="5">
        <v>43920</v>
      </c>
      <c r="B673">
        <v>8.83E-4</v>
      </c>
      <c r="C673">
        <v>9.8999999999999999E-4</v>
      </c>
      <c r="D673">
        <v>8.7799999999999998E-4</v>
      </c>
      <c r="E673">
        <v>9.5699999999999995E-4</v>
      </c>
      <c r="F673">
        <v>64088996</v>
      </c>
      <c r="G673">
        <v>0</v>
      </c>
      <c r="L673" t="s">
        <v>7</v>
      </c>
      <c r="M673" t="s">
        <v>7</v>
      </c>
      <c r="N673" t="s">
        <v>8</v>
      </c>
      <c r="P673">
        <f t="shared" si="994"/>
        <v>0.41071428571428503</v>
      </c>
      <c r="Q673">
        <f t="shared" si="995"/>
        <v>26322266.214285672</v>
      </c>
      <c r="R673">
        <f t="shared" si="996"/>
        <v>-2511414008.3829017</v>
      </c>
      <c r="S673">
        <f t="shared" si="997"/>
        <v>-25114.140083829017</v>
      </c>
      <c r="T673">
        <f t="shared" si="998"/>
        <v>-25.114140083829017</v>
      </c>
    </row>
    <row r="674" spans="1:20" x14ac:dyDescent="0.25">
      <c r="A674" s="5">
        <v>43919</v>
      </c>
      <c r="B674">
        <v>9.5200000000000005E-4</v>
      </c>
      <c r="C674">
        <v>9.5600000000000004E-4</v>
      </c>
      <c r="D674">
        <v>8.6300000000000005E-4</v>
      </c>
      <c r="E674">
        <v>8.7500000000000002E-4</v>
      </c>
      <c r="F674">
        <v>30673126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-0.74193548387096842</v>
      </c>
      <c r="Q674">
        <f t="shared" si="995"/>
        <v>-22757480.580645181</v>
      </c>
      <c r="R674">
        <f t="shared" si="996"/>
        <v>-2537736274.5971875</v>
      </c>
      <c r="S674">
        <f t="shared" si="997"/>
        <v>-25377.362745971874</v>
      </c>
      <c r="T674">
        <f t="shared" si="998"/>
        <v>-25.377362745971872</v>
      </c>
    </row>
    <row r="675" spans="1:20" x14ac:dyDescent="0.25">
      <c r="A675" s="5">
        <v>43918</v>
      </c>
      <c r="B675">
        <v>9.7499999999999996E-4</v>
      </c>
      <c r="C675">
        <v>9.9099999999999991E-4</v>
      </c>
      <c r="D675">
        <v>9.01E-4</v>
      </c>
      <c r="E675">
        <v>9.5299999999999996E-4</v>
      </c>
      <c r="F675">
        <v>31371863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0.15555555555555586</v>
      </c>
      <c r="Q675">
        <f t="shared" si="995"/>
        <v>4880067.5777777871</v>
      </c>
      <c r="R675">
        <f t="shared" si="996"/>
        <v>-2514978794.0165424</v>
      </c>
      <c r="S675">
        <f t="shared" si="997"/>
        <v>-25149.787940165425</v>
      </c>
      <c r="T675">
        <f t="shared" si="998"/>
        <v>-25.149787940165425</v>
      </c>
    </row>
    <row r="676" spans="1:20" x14ac:dyDescent="0.25">
      <c r="A676" s="5">
        <v>43917</v>
      </c>
      <c r="B676">
        <v>9.5699999999999995E-4</v>
      </c>
      <c r="C676">
        <v>1.0460000000000001E-3</v>
      </c>
      <c r="D676">
        <v>9.5699999999999995E-4</v>
      </c>
      <c r="E676">
        <v>9.8299999999999993E-4</v>
      </c>
      <c r="F676">
        <v>55249227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-0.41573033707865276</v>
      </c>
      <c r="Q676">
        <f t="shared" si="995"/>
        <v>-22968779.764045004</v>
      </c>
      <c r="R676">
        <f t="shared" si="996"/>
        <v>-2519858861.5943203</v>
      </c>
      <c r="S676">
        <f t="shared" si="997"/>
        <v>-25198.588615943205</v>
      </c>
      <c r="T676">
        <f t="shared" si="998"/>
        <v>-25.198588615943205</v>
      </c>
    </row>
    <row r="677" spans="1:20" x14ac:dyDescent="0.25">
      <c r="A677" s="5">
        <v>43916</v>
      </c>
      <c r="B677">
        <v>9.8499999999999998E-4</v>
      </c>
      <c r="C677">
        <v>9.8999999999999999E-4</v>
      </c>
      <c r="D677">
        <v>9.3099999999999997E-4</v>
      </c>
      <c r="E677">
        <v>9.5600000000000004E-4</v>
      </c>
      <c r="F677">
        <v>16689325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-0.15254237288135405</v>
      </c>
      <c r="Q677">
        <f t="shared" si="995"/>
        <v>-2545829.2372881044</v>
      </c>
      <c r="R677">
        <f t="shared" si="996"/>
        <v>-2496890081.8302751</v>
      </c>
      <c r="S677">
        <f t="shared" si="997"/>
        <v>-24968.900818302751</v>
      </c>
      <c r="T677">
        <f t="shared" si="998"/>
        <v>-24.96890081830275</v>
      </c>
    </row>
    <row r="678" spans="1:20" x14ac:dyDescent="0.25">
      <c r="A678" s="5">
        <v>43915</v>
      </c>
      <c r="B678">
        <v>9.4399999999999996E-4</v>
      </c>
      <c r="C678">
        <v>9.9799999999999997E-4</v>
      </c>
      <c r="D678">
        <v>9.2100000000000005E-4</v>
      </c>
      <c r="E678">
        <v>9.7799999999999992E-4</v>
      </c>
      <c r="F678">
        <v>43852710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0.48051948051947863</v>
      </c>
      <c r="Q678">
        <f t="shared" si="995"/>
        <v>21072081.428571347</v>
      </c>
      <c r="R678">
        <f t="shared" si="996"/>
        <v>-2494344252.5929871</v>
      </c>
      <c r="S678">
        <f t="shared" si="997"/>
        <v>-24943.44252592987</v>
      </c>
      <c r="T678">
        <f t="shared" si="998"/>
        <v>-24.943442525929871</v>
      </c>
    </row>
    <row r="679" spans="1:20" x14ac:dyDescent="0.25">
      <c r="A679" s="5">
        <v>43914</v>
      </c>
      <c r="B679">
        <v>9.2299999999999999E-4</v>
      </c>
      <c r="C679">
        <v>9.6400000000000001E-4</v>
      </c>
      <c r="D679">
        <v>8.9300000000000002E-4</v>
      </c>
      <c r="E679">
        <v>9.4399999999999996E-4</v>
      </c>
      <c r="F679">
        <v>58396808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0.43661971830985763</v>
      </c>
      <c r="Q679">
        <f t="shared" si="995"/>
        <v>25497197.859154839</v>
      </c>
      <c r="R679">
        <f t="shared" si="996"/>
        <v>-2515416334.0215583</v>
      </c>
      <c r="S679">
        <f t="shared" si="997"/>
        <v>-25154.163340215582</v>
      </c>
      <c r="T679">
        <f t="shared" si="998"/>
        <v>-25.154163340215582</v>
      </c>
    </row>
    <row r="680" spans="1:20" x14ac:dyDescent="0.25">
      <c r="A680" s="5">
        <v>43913</v>
      </c>
      <c r="B680">
        <v>8.5599999999999999E-4</v>
      </c>
      <c r="C680">
        <v>9.6699999999999998E-4</v>
      </c>
      <c r="D680">
        <v>7.1400000000000001E-4</v>
      </c>
      <c r="E680">
        <v>9.2199999999999997E-4</v>
      </c>
      <c r="F680">
        <v>43277536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0.64426877470355715</v>
      </c>
      <c r="Q680">
        <f t="shared" si="995"/>
        <v>27882365.090909082</v>
      </c>
      <c r="R680">
        <f t="shared" si="996"/>
        <v>-2540913531.880713</v>
      </c>
      <c r="S680">
        <f t="shared" si="997"/>
        <v>-25409.13531880713</v>
      </c>
      <c r="T680">
        <f t="shared" si="998"/>
        <v>-25.409135318807131</v>
      </c>
    </row>
    <row r="681" spans="1:20" x14ac:dyDescent="0.25">
      <c r="A681" s="5">
        <v>43912</v>
      </c>
      <c r="B681">
        <v>9.5200000000000005E-4</v>
      </c>
      <c r="C681">
        <v>1.003E-3</v>
      </c>
      <c r="D681">
        <v>8.5499999999999997E-4</v>
      </c>
      <c r="E681">
        <v>8.6399999999999997E-4</v>
      </c>
      <c r="F681">
        <v>23670882</v>
      </c>
      <c r="G681">
        <v>0</v>
      </c>
      <c r="L681" t="s">
        <v>8</v>
      </c>
      <c r="M681" t="s">
        <v>7</v>
      </c>
      <c r="N681" t="s">
        <v>8</v>
      </c>
      <c r="P681">
        <f t="shared" si="994"/>
        <v>-0.8783783783783784</v>
      </c>
      <c r="Q681">
        <f t="shared" si="995"/>
        <v>-20791990.945945945</v>
      </c>
      <c r="R681">
        <f t="shared" si="996"/>
        <v>-2568795896.971622</v>
      </c>
      <c r="S681">
        <f t="shared" si="997"/>
        <v>-25687.958969716219</v>
      </c>
      <c r="T681">
        <f t="shared" si="998"/>
        <v>-25.68795896971622</v>
      </c>
    </row>
    <row r="682" spans="1:20" x14ac:dyDescent="0.25">
      <c r="A682" s="5">
        <v>43911</v>
      </c>
      <c r="B682">
        <v>9.990000000000001E-4</v>
      </c>
      <c r="C682">
        <v>1.0349999999999999E-3</v>
      </c>
      <c r="D682">
        <v>9.2400000000000002E-4</v>
      </c>
      <c r="E682">
        <v>9.6900000000000003E-4</v>
      </c>
      <c r="F682">
        <v>23901261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-0.18918918918918814</v>
      </c>
      <c r="Q682">
        <f t="shared" si="995"/>
        <v>-4521860.189189164</v>
      </c>
      <c r="R682">
        <f t="shared" si="996"/>
        <v>-2548003906.0256763</v>
      </c>
      <c r="S682">
        <f t="shared" si="997"/>
        <v>-25480.039060256764</v>
      </c>
      <c r="T682">
        <f t="shared" si="998"/>
        <v>-25.480039060256765</v>
      </c>
    </row>
    <row r="683" spans="1:20" x14ac:dyDescent="0.25">
      <c r="A683" s="5">
        <v>43910</v>
      </c>
      <c r="B683">
        <v>9.5600000000000004E-4</v>
      </c>
      <c r="C683">
        <v>1.077E-3</v>
      </c>
      <c r="D683">
        <v>9.0300000000000005E-4</v>
      </c>
      <c r="E683">
        <v>1.029E-3</v>
      </c>
      <c r="F683">
        <v>68791662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0.44827586206896458</v>
      </c>
      <c r="Q683">
        <f t="shared" si="995"/>
        <v>30837641.586206831</v>
      </c>
      <c r="R683">
        <f t="shared" si="996"/>
        <v>-2543482045.8364873</v>
      </c>
      <c r="S683">
        <f t="shared" si="997"/>
        <v>-25434.820458364873</v>
      </c>
      <c r="T683">
        <f t="shared" si="998"/>
        <v>-25.434820458364872</v>
      </c>
    </row>
    <row r="684" spans="1:20" x14ac:dyDescent="0.25">
      <c r="A684" s="5">
        <v>43909</v>
      </c>
      <c r="B684">
        <v>7.9699999999999997E-4</v>
      </c>
      <c r="C684">
        <v>9.7799999999999992E-4</v>
      </c>
      <c r="D684">
        <v>7.94E-4</v>
      </c>
      <c r="E684">
        <v>9.3700000000000001E-4</v>
      </c>
      <c r="F684">
        <v>49313244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0.55434782608695732</v>
      </c>
      <c r="Q684">
        <f t="shared" si="995"/>
        <v>27336689.60869569</v>
      </c>
      <c r="R684">
        <f t="shared" si="996"/>
        <v>-2574319687.4226942</v>
      </c>
      <c r="S684">
        <f t="shared" si="997"/>
        <v>-25743.196874226942</v>
      </c>
      <c r="T684">
        <f t="shared" si="998"/>
        <v>-25.743196874226943</v>
      </c>
    </row>
    <row r="685" spans="1:20" x14ac:dyDescent="0.25">
      <c r="A685" s="5">
        <v>43908</v>
      </c>
      <c r="B685">
        <v>8.1300000000000003E-4</v>
      </c>
      <c r="C685">
        <v>8.2899999999999998E-4</v>
      </c>
      <c r="D685">
        <v>7.3300000000000004E-4</v>
      </c>
      <c r="E685">
        <v>7.9699999999999997E-4</v>
      </c>
      <c r="F685">
        <v>28756685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0.33333333333333259</v>
      </c>
      <c r="Q685">
        <f t="shared" si="995"/>
        <v>9585561.6666666456</v>
      </c>
      <c r="R685">
        <f t="shared" si="996"/>
        <v>-2601656377.0313897</v>
      </c>
      <c r="S685">
        <f t="shared" si="997"/>
        <v>-26016.563770313896</v>
      </c>
      <c r="T685">
        <f t="shared" si="998"/>
        <v>-26.016563770313898</v>
      </c>
    </row>
    <row r="686" spans="1:20" x14ac:dyDescent="0.25">
      <c r="A686" s="5">
        <v>43907</v>
      </c>
      <c r="B686">
        <v>7.67E-4</v>
      </c>
      <c r="C686">
        <v>9.0300000000000005E-4</v>
      </c>
      <c r="D686">
        <v>7.5699999999999997E-4</v>
      </c>
      <c r="E686">
        <v>8.1400000000000005E-4</v>
      </c>
      <c r="F686">
        <v>43838389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-0.21917808219178009</v>
      </c>
      <c r="Q686">
        <f t="shared" si="995"/>
        <v>-9608414.0273972284</v>
      </c>
      <c r="R686">
        <f t="shared" si="996"/>
        <v>-2611241938.6980562</v>
      </c>
      <c r="S686">
        <f t="shared" si="997"/>
        <v>-26112.419386980564</v>
      </c>
      <c r="T686">
        <f t="shared" si="998"/>
        <v>-26.112419386980562</v>
      </c>
    </row>
    <row r="687" spans="1:20" x14ac:dyDescent="0.25">
      <c r="A687" s="5">
        <v>43906</v>
      </c>
      <c r="B687">
        <v>8.1499999999999997E-4</v>
      </c>
      <c r="C687">
        <v>8.9899999999999995E-4</v>
      </c>
      <c r="D687">
        <v>6.7400000000000001E-4</v>
      </c>
      <c r="E687">
        <v>7.5100000000000004E-4</v>
      </c>
      <c r="F687">
        <v>55042464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-0.31555555555555515</v>
      </c>
      <c r="Q687">
        <f t="shared" si="995"/>
        <v>-17368955.306666642</v>
      </c>
      <c r="R687">
        <f t="shared" si="996"/>
        <v>-2601633524.6706591</v>
      </c>
      <c r="S687">
        <f t="shared" si="997"/>
        <v>-26016.335246706592</v>
      </c>
      <c r="T687">
        <f t="shared" si="998"/>
        <v>-26.016335246706593</v>
      </c>
    </row>
    <row r="688" spans="1:20" x14ac:dyDescent="0.25">
      <c r="A688" s="5">
        <v>43905</v>
      </c>
      <c r="B688">
        <v>7.9900000000000001E-4</v>
      </c>
      <c r="C688">
        <v>9.2800000000000001E-4</v>
      </c>
      <c r="D688">
        <v>7.9900000000000001E-4</v>
      </c>
      <c r="E688">
        <v>8.4800000000000001E-4</v>
      </c>
      <c r="F688">
        <v>29280729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-0.24031007751937983</v>
      </c>
      <c r="Q688">
        <f t="shared" si="995"/>
        <v>-7036454.2558139525</v>
      </c>
      <c r="R688">
        <f t="shared" si="996"/>
        <v>-2584264569.3639922</v>
      </c>
      <c r="S688">
        <f t="shared" si="997"/>
        <v>-25842.645693639923</v>
      </c>
      <c r="T688">
        <f t="shared" si="998"/>
        <v>-25.842645693639923</v>
      </c>
    </row>
    <row r="689" spans="1:20" x14ac:dyDescent="0.25">
      <c r="A689" s="5">
        <v>43904</v>
      </c>
      <c r="B689">
        <v>8.7299999999999997E-4</v>
      </c>
      <c r="C689">
        <v>9.1E-4</v>
      </c>
      <c r="D689">
        <v>7.6900000000000004E-4</v>
      </c>
      <c r="E689">
        <v>7.94E-4</v>
      </c>
      <c r="F689">
        <v>24582977</v>
      </c>
      <c r="G689">
        <v>0</v>
      </c>
      <c r="L689" t="s">
        <v>7</v>
      </c>
      <c r="M689" t="s">
        <v>8</v>
      </c>
      <c r="N689" t="s">
        <v>8</v>
      </c>
      <c r="P689">
        <f t="shared" si="994"/>
        <v>-0.6453900709219863</v>
      </c>
      <c r="Q689">
        <f t="shared" si="995"/>
        <v>-15865609.269503558</v>
      </c>
      <c r="R689">
        <f t="shared" si="996"/>
        <v>-2577228115.1081781</v>
      </c>
      <c r="S689">
        <f t="shared" si="997"/>
        <v>-25772.281151081781</v>
      </c>
      <c r="T689">
        <f t="shared" si="998"/>
        <v>-25.772281151081781</v>
      </c>
    </row>
    <row r="690" spans="1:20" x14ac:dyDescent="0.25">
      <c r="A690" s="5">
        <v>43903</v>
      </c>
      <c r="B690">
        <v>7.36E-4</v>
      </c>
      <c r="C690">
        <v>9.0899999999999998E-4</v>
      </c>
      <c r="D690">
        <v>5.2700000000000002E-4</v>
      </c>
      <c r="E690">
        <v>8.9400000000000005E-4</v>
      </c>
      <c r="F690">
        <v>50311134</v>
      </c>
      <c r="G690">
        <v>0</v>
      </c>
      <c r="L690" t="s">
        <v>8</v>
      </c>
      <c r="M690" t="s">
        <v>7</v>
      </c>
      <c r="N690" t="s">
        <v>7</v>
      </c>
      <c r="P690">
        <f t="shared" si="994"/>
        <v>0.92146596858638774</v>
      </c>
      <c r="Q690">
        <f t="shared" si="995"/>
        <v>46359997.821989544</v>
      </c>
      <c r="R690">
        <f t="shared" si="996"/>
        <v>-2561362505.8386745</v>
      </c>
      <c r="S690">
        <f t="shared" si="997"/>
        <v>-25613.625058386744</v>
      </c>
      <c r="T690">
        <f t="shared" si="998"/>
        <v>-25.613625058386745</v>
      </c>
    </row>
    <row r="691" spans="1:20" x14ac:dyDescent="0.25">
      <c r="A691" s="5">
        <v>43902</v>
      </c>
      <c r="B691">
        <v>1.4E-3</v>
      </c>
      <c r="C691">
        <v>1.4E-3</v>
      </c>
      <c r="D691">
        <v>7.0899999999999999E-4</v>
      </c>
      <c r="E691">
        <v>7.2300000000000001E-4</v>
      </c>
      <c r="F691">
        <v>71576083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-0.95947901591895801</v>
      </c>
      <c r="Q691">
        <f t="shared" si="995"/>
        <v>-68675749.680173665</v>
      </c>
      <c r="R691">
        <f t="shared" si="996"/>
        <v>-2607722503.6606641</v>
      </c>
      <c r="S691">
        <f t="shared" si="997"/>
        <v>-26077.22503660664</v>
      </c>
      <c r="T691">
        <f t="shared" si="998"/>
        <v>-26.077225036606642</v>
      </c>
    </row>
    <row r="692" spans="1:20" x14ac:dyDescent="0.25">
      <c r="A692" s="5">
        <v>43901</v>
      </c>
      <c r="B692">
        <v>1.457E-3</v>
      </c>
      <c r="C692">
        <v>1.4760000000000001E-3</v>
      </c>
      <c r="D692">
        <v>1.32E-3</v>
      </c>
      <c r="E692">
        <v>1.392E-3</v>
      </c>
      <c r="F692">
        <v>26455440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-7.6923076923077358E-2</v>
      </c>
      <c r="Q692">
        <f t="shared" si="995"/>
        <v>-2035033.8461538577</v>
      </c>
      <c r="R692">
        <f t="shared" si="996"/>
        <v>-2539046753.9804902</v>
      </c>
      <c r="S692">
        <f t="shared" si="997"/>
        <v>-25390.4675398049</v>
      </c>
      <c r="T692">
        <f t="shared" si="998"/>
        <v>-25.390467539804899</v>
      </c>
    </row>
    <row r="693" spans="1:20" x14ac:dyDescent="0.25">
      <c r="A693" s="5">
        <v>43900</v>
      </c>
      <c r="B693">
        <v>1.469E-3</v>
      </c>
      <c r="C693">
        <v>1.5150000000000001E-3</v>
      </c>
      <c r="D693">
        <v>1.405E-3</v>
      </c>
      <c r="E693">
        <v>1.451E-3</v>
      </c>
      <c r="F693">
        <v>26950594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-0.16363636363636355</v>
      </c>
      <c r="Q693">
        <f t="shared" si="995"/>
        <v>-4410097.1999999974</v>
      </c>
      <c r="R693">
        <f t="shared" si="996"/>
        <v>-2537011720.1343365</v>
      </c>
      <c r="S693">
        <f t="shared" si="997"/>
        <v>-25370.117201343364</v>
      </c>
      <c r="T693">
        <f t="shared" si="998"/>
        <v>-25.370117201343366</v>
      </c>
    </row>
    <row r="694" spans="1:20" x14ac:dyDescent="0.25">
      <c r="A694" s="5">
        <v>43899</v>
      </c>
      <c r="B694">
        <v>1.4580000000000001E-3</v>
      </c>
      <c r="C694">
        <v>1.523E-3</v>
      </c>
      <c r="D694">
        <v>1.3860000000000001E-3</v>
      </c>
      <c r="E694">
        <v>1.472E-3</v>
      </c>
      <c r="F694">
        <v>38751213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0.25547445255474366</v>
      </c>
      <c r="Q694">
        <f t="shared" si="995"/>
        <v>9899944.9270072654</v>
      </c>
      <c r="R694">
        <f t="shared" si="996"/>
        <v>-2532601622.9343367</v>
      </c>
      <c r="S694">
        <f t="shared" si="997"/>
        <v>-25326.016229343368</v>
      </c>
      <c r="T694">
        <f t="shared" si="998"/>
        <v>-25.326016229343367</v>
      </c>
    </row>
    <row r="695" spans="1:20" x14ac:dyDescent="0.25">
      <c r="A695" s="5">
        <v>43898</v>
      </c>
      <c r="B695">
        <v>1.7600000000000001E-3</v>
      </c>
      <c r="C695">
        <v>1.7600000000000001E-3</v>
      </c>
      <c r="D695">
        <v>1.446E-3</v>
      </c>
      <c r="E695">
        <v>1.446E-3</v>
      </c>
      <c r="F695">
        <v>37557119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-1</v>
      </c>
      <c r="Q695">
        <f t="shared" si="995"/>
        <v>-37557119</v>
      </c>
      <c r="R695">
        <f t="shared" si="996"/>
        <v>-2542501567.8613439</v>
      </c>
      <c r="S695">
        <f t="shared" si="997"/>
        <v>-25425.015678613439</v>
      </c>
      <c r="T695">
        <f t="shared" si="998"/>
        <v>-25.425015678613441</v>
      </c>
    </row>
    <row r="696" spans="1:20" x14ac:dyDescent="0.25">
      <c r="A696" s="5">
        <v>43897</v>
      </c>
      <c r="B696">
        <v>1.8240000000000001E-3</v>
      </c>
      <c r="C696">
        <v>1.8779999999999999E-3</v>
      </c>
      <c r="D696">
        <v>1.7440000000000001E-3</v>
      </c>
      <c r="E696">
        <v>1.7600000000000001E-3</v>
      </c>
      <c r="F696">
        <v>36392472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-0.76119402985074658</v>
      </c>
      <c r="Q696">
        <f t="shared" si="995"/>
        <v>-27701732.41791046</v>
      </c>
      <c r="R696">
        <f t="shared" si="996"/>
        <v>-2504944448.8613439</v>
      </c>
      <c r="S696">
        <f t="shared" si="997"/>
        <v>-25049.444488613437</v>
      </c>
      <c r="T696">
        <f t="shared" si="998"/>
        <v>-25.049444488613435</v>
      </c>
    </row>
    <row r="697" spans="1:20" x14ac:dyDescent="0.25">
      <c r="A697" s="5">
        <v>43896</v>
      </c>
      <c r="B697">
        <v>1.8090000000000001E-3</v>
      </c>
      <c r="C697">
        <v>1.846E-3</v>
      </c>
      <c r="D697">
        <v>1.755E-3</v>
      </c>
      <c r="E697">
        <v>1.8240000000000001E-3</v>
      </c>
      <c r="F697">
        <v>21140771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0.51648351648351865</v>
      </c>
      <c r="Q697">
        <f t="shared" si="995"/>
        <v>10918859.747252792</v>
      </c>
      <c r="R697">
        <f t="shared" si="996"/>
        <v>-2477242716.4434333</v>
      </c>
      <c r="S697">
        <f t="shared" si="997"/>
        <v>-24772.427164434332</v>
      </c>
      <c r="T697">
        <f t="shared" si="998"/>
        <v>-24.772427164434333</v>
      </c>
    </row>
    <row r="698" spans="1:20" x14ac:dyDescent="0.25">
      <c r="A698" s="5">
        <v>43895</v>
      </c>
      <c r="B698">
        <v>1.6180000000000001E-3</v>
      </c>
      <c r="C698">
        <v>1.879E-3</v>
      </c>
      <c r="D698">
        <v>1.616E-3</v>
      </c>
      <c r="E698">
        <v>1.8E-3</v>
      </c>
      <c r="F698">
        <v>76221670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0.39923954372623516</v>
      </c>
      <c r="Q698">
        <f t="shared" si="995"/>
        <v>30430704.752851665</v>
      </c>
      <c r="R698">
        <f t="shared" si="996"/>
        <v>-2488161576.1906862</v>
      </c>
      <c r="S698">
        <f t="shared" si="997"/>
        <v>-24881.615761906862</v>
      </c>
      <c r="T698">
        <f t="shared" si="998"/>
        <v>-24.881615761906861</v>
      </c>
    </row>
    <row r="699" spans="1:20" x14ac:dyDescent="0.25">
      <c r="A699" s="5">
        <v>43894</v>
      </c>
      <c r="B699">
        <v>1.606E-3</v>
      </c>
      <c r="C699">
        <v>1.6299999999999999E-3</v>
      </c>
      <c r="D699">
        <v>1.5920000000000001E-3</v>
      </c>
      <c r="E699">
        <v>1.603E-3</v>
      </c>
      <c r="F699">
        <v>20280366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-0.42105263157894796</v>
      </c>
      <c r="Q699">
        <f t="shared" si="995"/>
        <v>-8539101.4736842215</v>
      </c>
      <c r="R699">
        <f t="shared" si="996"/>
        <v>-2518592280.9435377</v>
      </c>
      <c r="S699">
        <f t="shared" si="997"/>
        <v>-25185.922809435378</v>
      </c>
      <c r="T699">
        <f t="shared" si="998"/>
        <v>-25.185922809435379</v>
      </c>
    </row>
    <row r="700" spans="1:20" x14ac:dyDescent="0.25">
      <c r="A700" s="5">
        <v>43893</v>
      </c>
      <c r="B700">
        <v>1.6180000000000001E-3</v>
      </c>
      <c r="C700">
        <v>1.634E-3</v>
      </c>
      <c r="D700">
        <v>1.5709999999999999E-3</v>
      </c>
      <c r="E700">
        <v>1.606E-3</v>
      </c>
      <c r="F700">
        <v>12323217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0.11111111111111188</v>
      </c>
      <c r="Q700">
        <f t="shared" si="995"/>
        <v>1369246.3333333428</v>
      </c>
      <c r="R700">
        <f t="shared" si="996"/>
        <v>-2510053179.4698534</v>
      </c>
      <c r="S700">
        <f t="shared" si="997"/>
        <v>-25100.531794698534</v>
      </c>
      <c r="T700">
        <f t="shared" si="998"/>
        <v>-25.100531794698533</v>
      </c>
    </row>
    <row r="701" spans="1:20" x14ac:dyDescent="0.25">
      <c r="A701" s="5">
        <v>43892</v>
      </c>
      <c r="B701">
        <v>1.547E-3</v>
      </c>
      <c r="C701">
        <v>1.635E-3</v>
      </c>
      <c r="D701">
        <v>1.5139999999999999E-3</v>
      </c>
      <c r="E701">
        <v>1.6199999999999999E-3</v>
      </c>
      <c r="F701">
        <v>15425601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0.75206611570247872</v>
      </c>
      <c r="Q701">
        <f t="shared" si="995"/>
        <v>11601071.826446271</v>
      </c>
      <c r="R701">
        <f t="shared" si="996"/>
        <v>-2511422425.8031869</v>
      </c>
      <c r="S701">
        <f t="shared" si="997"/>
        <v>-25114.224258031871</v>
      </c>
      <c r="T701">
        <f t="shared" si="998"/>
        <v>-25.114224258031872</v>
      </c>
    </row>
    <row r="702" spans="1:20" x14ac:dyDescent="0.25">
      <c r="A702" s="5">
        <v>43891</v>
      </c>
      <c r="B702">
        <v>1.5950000000000001E-3</v>
      </c>
      <c r="C702">
        <v>1.6100000000000001E-3</v>
      </c>
      <c r="D702">
        <v>1.5E-3</v>
      </c>
      <c r="E702">
        <v>1.552E-3</v>
      </c>
      <c r="F702">
        <v>13852529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-5.4545454545455833E-2</v>
      </c>
      <c r="Q702">
        <f t="shared" si="995"/>
        <v>-755592.49090910878</v>
      </c>
      <c r="R702">
        <f t="shared" si="996"/>
        <v>-2523023497.6296329</v>
      </c>
      <c r="S702">
        <f t="shared" si="997"/>
        <v>-25230.234976296331</v>
      </c>
      <c r="T702">
        <f t="shared" si="998"/>
        <v>-25.23023497629633</v>
      </c>
    </row>
    <row r="703" spans="1:20" x14ac:dyDescent="0.25">
      <c r="A703" s="5">
        <v>43890</v>
      </c>
      <c r="B703">
        <v>1.6280000000000001E-3</v>
      </c>
      <c r="C703">
        <v>1.6360000000000001E-3</v>
      </c>
      <c r="D703">
        <v>1.552E-3</v>
      </c>
      <c r="E703">
        <v>1.5939999999999999E-3</v>
      </c>
      <c r="F703">
        <v>7026524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-2.581433744013103E-15</v>
      </c>
      <c r="Q703">
        <f t="shared" si="995"/>
        <v>-1.8138506156717926E-8</v>
      </c>
      <c r="R703">
        <f t="shared" si="996"/>
        <v>-2522267905.1387239</v>
      </c>
      <c r="S703">
        <f t="shared" si="997"/>
        <v>-25222.67905138724</v>
      </c>
      <c r="T703">
        <f t="shared" si="998"/>
        <v>-25.222679051387239</v>
      </c>
    </row>
    <row r="704" spans="1:20" x14ac:dyDescent="0.25">
      <c r="A704" s="5">
        <v>43889</v>
      </c>
      <c r="B704">
        <v>1.6199999999999999E-3</v>
      </c>
      <c r="C704">
        <v>1.665E-3</v>
      </c>
      <c r="D704">
        <v>1.5009999999999999E-3</v>
      </c>
      <c r="E704">
        <v>1.635E-3</v>
      </c>
      <c r="F704">
        <v>12199764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0.63414634146341387</v>
      </c>
      <c r="Q704">
        <f t="shared" si="995"/>
        <v>7736435.7073170636</v>
      </c>
      <c r="R704">
        <f t="shared" si="996"/>
        <v>-2522267905.1387239</v>
      </c>
      <c r="S704">
        <f t="shared" si="997"/>
        <v>-25222.67905138724</v>
      </c>
      <c r="T704">
        <f t="shared" si="998"/>
        <v>-25.222679051387239</v>
      </c>
    </row>
    <row r="705" spans="1:20" x14ac:dyDescent="0.25">
      <c r="A705" s="5">
        <v>43888</v>
      </c>
      <c r="B705">
        <v>1.554E-3</v>
      </c>
      <c r="C705">
        <v>1.7409999999999999E-3</v>
      </c>
      <c r="D705">
        <v>1.495E-3</v>
      </c>
      <c r="E705">
        <v>1.6069999999999999E-3</v>
      </c>
      <c r="F705">
        <v>31471529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-8.9430894308943534E-2</v>
      </c>
      <c r="Q705">
        <f t="shared" si="995"/>
        <v>-2814526.9837398515</v>
      </c>
      <c r="R705">
        <f t="shared" si="996"/>
        <v>-2530004340.8460407</v>
      </c>
      <c r="S705">
        <f t="shared" si="997"/>
        <v>-25300.043408460406</v>
      </c>
      <c r="T705">
        <f t="shared" si="998"/>
        <v>-25.300043408460407</v>
      </c>
    </row>
    <row r="706" spans="1:20" x14ac:dyDescent="0.25">
      <c r="A706" s="5">
        <v>43887</v>
      </c>
      <c r="B706">
        <v>1.709E-3</v>
      </c>
      <c r="C706">
        <v>1.745E-3</v>
      </c>
      <c r="D706">
        <v>1.482E-3</v>
      </c>
      <c r="E706">
        <v>1.5690000000000001E-3</v>
      </c>
      <c r="F706">
        <v>40866748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-0.33840304182509462</v>
      </c>
      <c r="Q706">
        <f t="shared" si="995"/>
        <v>-13829431.832699602</v>
      </c>
      <c r="R706">
        <f t="shared" si="996"/>
        <v>-2527189813.8623009</v>
      </c>
      <c r="S706">
        <f t="shared" si="997"/>
        <v>-25271.898138623008</v>
      </c>
      <c r="T706">
        <f t="shared" si="998"/>
        <v>-25.271898138623008</v>
      </c>
    </row>
    <row r="707" spans="1:20" x14ac:dyDescent="0.25">
      <c r="A707" s="5">
        <v>43886</v>
      </c>
      <c r="B707">
        <v>1.89E-3</v>
      </c>
      <c r="C707">
        <v>1.897E-3</v>
      </c>
      <c r="D707">
        <v>1.6570000000000001E-3</v>
      </c>
      <c r="E707">
        <v>1.709E-3</v>
      </c>
      <c r="F707">
        <v>58311063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-0.56666666666666698</v>
      </c>
      <c r="Q707">
        <f t="shared" si="995"/>
        <v>-33042935.700000018</v>
      </c>
      <c r="R707">
        <f t="shared" si="996"/>
        <v>-2513360382.0296011</v>
      </c>
      <c r="S707">
        <f t="shared" si="997"/>
        <v>-25133.603820296012</v>
      </c>
      <c r="T707">
        <f t="shared" si="998"/>
        <v>-25.133603820296013</v>
      </c>
    </row>
    <row r="708" spans="1:20" x14ac:dyDescent="0.25">
      <c r="A708" s="5">
        <v>43885</v>
      </c>
      <c r="B708">
        <v>2.0690000000000001E-3</v>
      </c>
      <c r="C708">
        <v>2.0999999999999999E-3</v>
      </c>
      <c r="D708">
        <v>1.8749999999999999E-3</v>
      </c>
      <c r="E708">
        <v>1.8990000000000001E-3</v>
      </c>
      <c r="F708">
        <v>33355280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-0.78666666666666529</v>
      </c>
      <c r="Q708">
        <f t="shared" si="995"/>
        <v>-26239486.933333289</v>
      </c>
      <c r="R708">
        <f t="shared" si="996"/>
        <v>-2480317446.3296013</v>
      </c>
      <c r="S708">
        <f t="shared" si="997"/>
        <v>-24803.174463296014</v>
      </c>
      <c r="T708">
        <f t="shared" si="998"/>
        <v>-24.803174463296013</v>
      </c>
    </row>
    <row r="709" spans="1:20" x14ac:dyDescent="0.25">
      <c r="A709" s="5">
        <v>43884</v>
      </c>
      <c r="B709">
        <v>1.9910000000000001E-3</v>
      </c>
      <c r="C709">
        <v>2.0950000000000001E-3</v>
      </c>
      <c r="D709">
        <v>1.902E-3</v>
      </c>
      <c r="E709">
        <v>2.0690000000000001E-3</v>
      </c>
      <c r="F709">
        <v>28186276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0.73056994818652876</v>
      </c>
      <c r="Q709">
        <f t="shared" si="995"/>
        <v>20592046.1968912</v>
      </c>
      <c r="R709">
        <f t="shared" si="996"/>
        <v>-2454077959.3962679</v>
      </c>
      <c r="S709">
        <f t="shared" si="997"/>
        <v>-24540.779593962678</v>
      </c>
      <c r="T709">
        <f t="shared" si="998"/>
        <v>-24.540779593962679</v>
      </c>
    </row>
    <row r="710" spans="1:20" x14ac:dyDescent="0.25">
      <c r="A710" s="5">
        <v>43883</v>
      </c>
      <c r="B710">
        <v>2.0470000000000002E-3</v>
      </c>
      <c r="C710">
        <v>2.0470000000000002E-3</v>
      </c>
      <c r="D710">
        <v>1.903E-3</v>
      </c>
      <c r="E710">
        <v>1.9880000000000002E-3</v>
      </c>
      <c r="F710">
        <v>13797832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0.18055555555555663</v>
      </c>
      <c r="Q710">
        <f t="shared" ref="Q710:Q766" si="1000">F710*P710</f>
        <v>2491275.2222222369</v>
      </c>
      <c r="R710">
        <f t="shared" ref="R710:R766" si="1001">R711+Q710</f>
        <v>-2474670005.5931592</v>
      </c>
      <c r="S710">
        <f t="shared" ref="S710:S766" si="1002">R710/100000</f>
        <v>-24746.700055931593</v>
      </c>
      <c r="T710">
        <f t="shared" ref="T710:T766" si="1003">S710/1000</f>
        <v>-24.746700055931594</v>
      </c>
    </row>
    <row r="711" spans="1:20" x14ac:dyDescent="0.25">
      <c r="A711" s="5">
        <v>43882</v>
      </c>
      <c r="B711">
        <v>1.9469999999999999E-3</v>
      </c>
      <c r="C711">
        <v>2.1700000000000001E-3</v>
      </c>
      <c r="D711">
        <v>1.892E-3</v>
      </c>
      <c r="E711">
        <v>2.0470000000000002E-3</v>
      </c>
      <c r="F711">
        <v>44751262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0.11510791366906598</v>
      </c>
      <c r="Q711">
        <f t="shared" si="1000"/>
        <v>5151224.4028777527</v>
      </c>
      <c r="R711">
        <f t="shared" si="1001"/>
        <v>-2477161280.8153815</v>
      </c>
      <c r="S711">
        <f t="shared" si="1002"/>
        <v>-24771.612808153815</v>
      </c>
      <c r="T711">
        <f t="shared" si="1003"/>
        <v>-24.771612808153815</v>
      </c>
    </row>
    <row r="712" spans="1:20" x14ac:dyDescent="0.25">
      <c r="A712" s="5">
        <v>43881</v>
      </c>
      <c r="B712">
        <v>2.1410000000000001E-3</v>
      </c>
      <c r="C712">
        <v>2.1770000000000001E-3</v>
      </c>
      <c r="D712">
        <v>1.9E-3</v>
      </c>
      <c r="E712">
        <v>1.9469999999999999E-3</v>
      </c>
      <c r="F712">
        <v>49613476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-0.66064981949458534</v>
      </c>
      <c r="Q712">
        <f t="shared" si="1000"/>
        <v>-32777133.963898942</v>
      </c>
      <c r="R712">
        <f t="shared" si="1001"/>
        <v>-2482312505.2182593</v>
      </c>
      <c r="S712">
        <f t="shared" si="1002"/>
        <v>-24823.125052182593</v>
      </c>
      <c r="T712">
        <f t="shared" si="1003"/>
        <v>-24.823125052182593</v>
      </c>
    </row>
    <row r="713" spans="1:20" x14ac:dyDescent="0.25">
      <c r="A713" s="5">
        <v>43880</v>
      </c>
      <c r="B713">
        <v>2.3249999999999998E-3</v>
      </c>
      <c r="C713">
        <v>2.6319999999999998E-3</v>
      </c>
      <c r="D713">
        <v>2.0070000000000001E-3</v>
      </c>
      <c r="E713">
        <v>2.16E-3</v>
      </c>
      <c r="F713">
        <v>129149188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-0.51039999999999996</v>
      </c>
      <c r="Q713">
        <f t="shared" si="1000"/>
        <v>-65917745.555199996</v>
      </c>
      <c r="R713">
        <f t="shared" si="1001"/>
        <v>-2449535371.2543602</v>
      </c>
      <c r="S713">
        <f t="shared" si="1002"/>
        <v>-24495.353712543601</v>
      </c>
      <c r="T713">
        <f t="shared" si="1003"/>
        <v>-24.495353712543601</v>
      </c>
    </row>
    <row r="714" spans="1:20" x14ac:dyDescent="0.25">
      <c r="A714" s="5">
        <v>43879</v>
      </c>
      <c r="B714">
        <v>2.1979999999999999E-3</v>
      </c>
      <c r="C714">
        <v>2.3700000000000001E-3</v>
      </c>
      <c r="D714">
        <v>2.0769999999999999E-3</v>
      </c>
      <c r="E714">
        <v>2.3249999999999998E-3</v>
      </c>
      <c r="F714">
        <v>65949345</v>
      </c>
      <c r="G714">
        <v>0</v>
      </c>
      <c r="L714" t="s">
        <v>8</v>
      </c>
      <c r="M714" t="s">
        <v>8</v>
      </c>
      <c r="N714" t="s">
        <v>8</v>
      </c>
      <c r="P714">
        <f t="shared" si="999"/>
        <v>0.69283276450511744</v>
      </c>
      <c r="Q714">
        <f t="shared" si="1000"/>
        <v>45691867.013651744</v>
      </c>
      <c r="R714">
        <f t="shared" si="1001"/>
        <v>-2383617625.6991601</v>
      </c>
      <c r="S714">
        <f t="shared" si="1002"/>
        <v>-23836.176256991603</v>
      </c>
      <c r="T714">
        <f t="shared" si="1003"/>
        <v>-23.836176256991603</v>
      </c>
    </row>
    <row r="715" spans="1:20" x14ac:dyDescent="0.25">
      <c r="A715" s="5">
        <v>43878</v>
      </c>
      <c r="B715">
        <v>2.137E-3</v>
      </c>
      <c r="C715">
        <v>2.2599999999999999E-3</v>
      </c>
      <c r="D715">
        <v>1.89E-3</v>
      </c>
      <c r="E715">
        <v>2.1979999999999999E-3</v>
      </c>
      <c r="F715">
        <v>93759927</v>
      </c>
      <c r="G715">
        <v>0</v>
      </c>
      <c r="L715" t="s">
        <v>8</v>
      </c>
      <c r="M715" t="s">
        <v>8</v>
      </c>
      <c r="N715" t="s">
        <v>8</v>
      </c>
      <c r="P715">
        <f t="shared" si="999"/>
        <v>0.66486486486486485</v>
      </c>
      <c r="Q715">
        <f t="shared" si="1000"/>
        <v>62337681.194594592</v>
      </c>
      <c r="R715">
        <f t="shared" si="1001"/>
        <v>-2429309492.7128119</v>
      </c>
      <c r="S715">
        <f t="shared" si="1002"/>
        <v>-24293.094927128121</v>
      </c>
      <c r="T715">
        <f t="shared" si="1003"/>
        <v>-24.29309492712812</v>
      </c>
    </row>
    <row r="716" spans="1:20" x14ac:dyDescent="0.25">
      <c r="A716" s="5">
        <v>43877</v>
      </c>
      <c r="B716">
        <v>2.147E-3</v>
      </c>
      <c r="C716">
        <v>2.2650000000000001E-3</v>
      </c>
      <c r="D716">
        <v>1.8500000000000001E-3</v>
      </c>
      <c r="E716">
        <v>2.147E-3</v>
      </c>
      <c r="F716">
        <v>68781348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0.43132530120481904</v>
      </c>
      <c r="Q716">
        <f t="shared" si="1000"/>
        <v>29667135.643373478</v>
      </c>
      <c r="R716">
        <f t="shared" si="1001"/>
        <v>-2491647173.9074063</v>
      </c>
      <c r="S716">
        <f t="shared" si="1002"/>
        <v>-24916.471739074062</v>
      </c>
      <c r="T716">
        <f t="shared" si="1003"/>
        <v>-24.916471739074062</v>
      </c>
    </row>
    <row r="717" spans="1:20" x14ac:dyDescent="0.25">
      <c r="A717" s="5">
        <v>43876</v>
      </c>
      <c r="B717">
        <v>2.3029999999999999E-3</v>
      </c>
      <c r="C717">
        <v>2.4239999999999999E-3</v>
      </c>
      <c r="D717">
        <v>2.0999999999999999E-3</v>
      </c>
      <c r="E717">
        <v>2.1559999999999999E-3</v>
      </c>
      <c r="F717">
        <v>83768686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-0.65432098765432067</v>
      </c>
      <c r="Q717">
        <f t="shared" si="1000"/>
        <v>-54811609.358024664</v>
      </c>
      <c r="R717">
        <f t="shared" si="1001"/>
        <v>-2521314309.5507798</v>
      </c>
      <c r="S717">
        <f t="shared" si="1002"/>
        <v>-25213.143095507799</v>
      </c>
      <c r="T717">
        <f t="shared" si="1003"/>
        <v>-25.2131430955078</v>
      </c>
    </row>
    <row r="718" spans="1:20" x14ac:dyDescent="0.25">
      <c r="A718" s="5">
        <v>43875</v>
      </c>
      <c r="B718">
        <v>2.2030000000000001E-3</v>
      </c>
      <c r="C718">
        <v>2.4450000000000001E-3</v>
      </c>
      <c r="D718">
        <v>2.1480000000000002E-3</v>
      </c>
      <c r="E718">
        <v>2.294E-3</v>
      </c>
      <c r="F718">
        <v>109235122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-1.6835016835017612E-2</v>
      </c>
      <c r="Q718">
        <f t="shared" si="1000"/>
        <v>-1838975.1178452028</v>
      </c>
      <c r="R718">
        <f t="shared" si="1001"/>
        <v>-2466502700.1927552</v>
      </c>
      <c r="S718">
        <f t="shared" si="1002"/>
        <v>-24665.027001927552</v>
      </c>
      <c r="T718">
        <f t="shared" si="1003"/>
        <v>-24.665027001927552</v>
      </c>
    </row>
    <row r="719" spans="1:20" x14ac:dyDescent="0.25">
      <c r="A719" s="5">
        <v>43874</v>
      </c>
      <c r="B719">
        <v>2.1700000000000001E-3</v>
      </c>
      <c r="C719">
        <v>2.346E-3</v>
      </c>
      <c r="D719">
        <v>2.0869999999999999E-3</v>
      </c>
      <c r="E719">
        <v>2.2039999999999998E-3</v>
      </c>
      <c r="F719">
        <v>91360934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-9.6525096525097567E-2</v>
      </c>
      <c r="Q719">
        <f t="shared" si="1000"/>
        <v>-8818622.9729730673</v>
      </c>
      <c r="R719">
        <f t="shared" si="1001"/>
        <v>-2464663725.0749102</v>
      </c>
      <c r="S719">
        <f t="shared" si="1002"/>
        <v>-24646.637250749103</v>
      </c>
      <c r="T719">
        <f t="shared" si="1003"/>
        <v>-24.646637250749102</v>
      </c>
    </row>
    <row r="720" spans="1:20" x14ac:dyDescent="0.25">
      <c r="A720" s="5">
        <v>43873</v>
      </c>
      <c r="B720">
        <v>2.0330000000000001E-3</v>
      </c>
      <c r="C720">
        <v>2.3540000000000002E-3</v>
      </c>
      <c r="D720">
        <v>2.016E-3</v>
      </c>
      <c r="E720">
        <v>2.1700000000000001E-3</v>
      </c>
      <c r="F720">
        <v>99017573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-8.8757396449704318E-2</v>
      </c>
      <c r="Q720">
        <f t="shared" si="1000"/>
        <v>-8788541.9822485372</v>
      </c>
      <c r="R720">
        <f t="shared" si="1001"/>
        <v>-2455845102.1019373</v>
      </c>
      <c r="S720">
        <f t="shared" si="1002"/>
        <v>-24558.451021019373</v>
      </c>
      <c r="T720">
        <f t="shared" si="1003"/>
        <v>-24.558451021019373</v>
      </c>
    </row>
    <row r="721" spans="1:20" x14ac:dyDescent="0.25">
      <c r="A721" s="5">
        <v>43872</v>
      </c>
      <c r="B721">
        <v>1.9889999999999999E-3</v>
      </c>
      <c r="C721">
        <v>2.0699999999999998E-3</v>
      </c>
      <c r="D721">
        <v>1.9559999999999998E-3</v>
      </c>
      <c r="E721">
        <v>2.0179999999999998E-3</v>
      </c>
      <c r="F721">
        <v>52793404</v>
      </c>
      <c r="G721">
        <v>0</v>
      </c>
      <c r="L721" t="s">
        <v>8</v>
      </c>
      <c r="M721" t="s">
        <v>7</v>
      </c>
      <c r="N721" t="s">
        <v>8</v>
      </c>
      <c r="P721">
        <f t="shared" si="999"/>
        <v>8.7719298245614308E-2</v>
      </c>
      <c r="Q721">
        <f t="shared" si="1000"/>
        <v>4631000.3508772077</v>
      </c>
      <c r="R721">
        <f t="shared" si="1001"/>
        <v>-2447056560.119689</v>
      </c>
      <c r="S721">
        <f t="shared" si="1002"/>
        <v>-24470.565601196889</v>
      </c>
      <c r="T721">
        <f t="shared" si="1003"/>
        <v>-24.470565601196888</v>
      </c>
    </row>
    <row r="722" spans="1:20" x14ac:dyDescent="0.25">
      <c r="A722" s="5">
        <v>43871</v>
      </c>
      <c r="B722">
        <v>1.9610000000000001E-3</v>
      </c>
      <c r="C722">
        <v>2.049E-3</v>
      </c>
      <c r="D722">
        <v>1.8500000000000001E-3</v>
      </c>
      <c r="E722">
        <v>1.9889999999999999E-3</v>
      </c>
      <c r="F722">
        <v>33436457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0.39698492462311386</v>
      </c>
      <c r="Q722">
        <f t="shared" si="1000"/>
        <v>13273769.361808987</v>
      </c>
      <c r="R722">
        <f t="shared" si="1001"/>
        <v>-2451687560.4705663</v>
      </c>
      <c r="S722">
        <f t="shared" si="1002"/>
        <v>-24516.875604705663</v>
      </c>
      <c r="T722">
        <f t="shared" si="1003"/>
        <v>-24.516875604705664</v>
      </c>
    </row>
    <row r="723" spans="1:20" x14ac:dyDescent="0.25">
      <c r="A723" s="5">
        <v>43870</v>
      </c>
      <c r="B723">
        <v>1.946E-3</v>
      </c>
      <c r="C723">
        <v>1.99E-3</v>
      </c>
      <c r="D723">
        <v>1.8910000000000001E-3</v>
      </c>
      <c r="E723">
        <v>1.9610000000000001E-3</v>
      </c>
      <c r="F723">
        <v>33322159</v>
      </c>
      <c r="G723">
        <v>0</v>
      </c>
      <c r="L723" t="s">
        <v>7</v>
      </c>
      <c r="M723" t="s">
        <v>7</v>
      </c>
      <c r="N723" t="s">
        <v>8</v>
      </c>
      <c r="P723">
        <f t="shared" si="999"/>
        <v>0.4141414141414147</v>
      </c>
      <c r="Q723">
        <f t="shared" si="1000"/>
        <v>13800086.050505068</v>
      </c>
      <c r="R723">
        <f t="shared" si="1001"/>
        <v>-2464961329.832375</v>
      </c>
      <c r="S723">
        <f t="shared" si="1002"/>
        <v>-24649.613298323751</v>
      </c>
      <c r="T723">
        <f t="shared" si="1003"/>
        <v>-24.64961329832375</v>
      </c>
    </row>
    <row r="724" spans="1:20" x14ac:dyDescent="0.25">
      <c r="A724" s="5">
        <v>43869</v>
      </c>
      <c r="B724">
        <v>2.0349999999999999E-3</v>
      </c>
      <c r="C724">
        <v>2.0439999999999998E-3</v>
      </c>
      <c r="D724">
        <v>1.916E-3</v>
      </c>
      <c r="E724">
        <v>1.9469999999999999E-3</v>
      </c>
      <c r="F724">
        <v>48591231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-0.51562499999999956</v>
      </c>
      <c r="Q724">
        <f t="shared" si="1000"/>
        <v>-25054853.484374978</v>
      </c>
      <c r="R724">
        <f t="shared" si="1001"/>
        <v>-2478761415.8828802</v>
      </c>
      <c r="S724">
        <f t="shared" si="1002"/>
        <v>-24787.614158828801</v>
      </c>
      <c r="T724">
        <f t="shared" si="1003"/>
        <v>-24.787614158828802</v>
      </c>
    </row>
    <row r="725" spans="1:20" x14ac:dyDescent="0.25">
      <c r="A725" s="5">
        <v>43868</v>
      </c>
      <c r="B725">
        <v>2.0899999999999998E-3</v>
      </c>
      <c r="C725">
        <v>2.098E-3</v>
      </c>
      <c r="D725">
        <v>1.9889999999999999E-3</v>
      </c>
      <c r="E725">
        <v>2.026E-3</v>
      </c>
      <c r="F725">
        <v>80591973</v>
      </c>
      <c r="G725">
        <v>0</v>
      </c>
      <c r="L725" t="s">
        <v>7</v>
      </c>
      <c r="M725" t="s">
        <v>7</v>
      </c>
      <c r="N725" t="s">
        <v>8</v>
      </c>
      <c r="P725">
        <f t="shared" si="999"/>
        <v>-0.32110091743119107</v>
      </c>
      <c r="Q725">
        <f t="shared" si="1000"/>
        <v>-25878156.467889778</v>
      </c>
      <c r="R725">
        <f t="shared" si="1001"/>
        <v>-2453706562.3985052</v>
      </c>
      <c r="S725">
        <f t="shared" si="1002"/>
        <v>-24537.06562398505</v>
      </c>
      <c r="T725">
        <f t="shared" si="1003"/>
        <v>-24.53706562398505</v>
      </c>
    </row>
    <row r="726" spans="1:20" x14ac:dyDescent="0.25">
      <c r="A726" s="5">
        <v>43867</v>
      </c>
      <c r="B726">
        <v>1.9729999999999999E-3</v>
      </c>
      <c r="C726">
        <v>2.1429999999999999E-3</v>
      </c>
      <c r="D726">
        <v>1.897E-3</v>
      </c>
      <c r="E726">
        <v>2.0860000000000002E-3</v>
      </c>
      <c r="F726">
        <v>105555369</v>
      </c>
      <c r="G726">
        <v>0</v>
      </c>
      <c r="L726" t="s">
        <v>8</v>
      </c>
      <c r="M726" t="s">
        <v>7</v>
      </c>
      <c r="N726" t="s">
        <v>8</v>
      </c>
      <c r="P726">
        <f t="shared" si="999"/>
        <v>0.53658536585366035</v>
      </c>
      <c r="Q726">
        <f t="shared" si="1000"/>
        <v>56639466.292683117</v>
      </c>
      <c r="R726">
        <f t="shared" si="1001"/>
        <v>-2427828405.9306154</v>
      </c>
      <c r="S726">
        <f t="shared" si="1002"/>
        <v>-24278.284059306156</v>
      </c>
      <c r="T726">
        <f t="shared" si="1003"/>
        <v>-24.278284059306156</v>
      </c>
    </row>
    <row r="727" spans="1:20" x14ac:dyDescent="0.25">
      <c r="A727" s="5">
        <v>43866</v>
      </c>
      <c r="B727">
        <v>2.0409999999999998E-3</v>
      </c>
      <c r="C727">
        <v>2.1280000000000001E-3</v>
      </c>
      <c r="D727">
        <v>1.8779999999999999E-3</v>
      </c>
      <c r="E727">
        <v>1.9710000000000001E-3</v>
      </c>
      <c r="F727">
        <v>169938058</v>
      </c>
      <c r="G727">
        <v>0</v>
      </c>
      <c r="L727" t="s">
        <v>7</v>
      </c>
      <c r="M727" t="s">
        <v>7</v>
      </c>
      <c r="N727" t="s">
        <v>8</v>
      </c>
      <c r="P727">
        <f t="shared" si="999"/>
        <v>-0.25599999999999906</v>
      </c>
      <c r="Q727">
        <f t="shared" si="1000"/>
        <v>-43504142.847999841</v>
      </c>
      <c r="R727">
        <f t="shared" si="1001"/>
        <v>-2484467872.2232985</v>
      </c>
      <c r="S727">
        <f t="shared" si="1002"/>
        <v>-24844.678722232984</v>
      </c>
      <c r="T727">
        <f t="shared" si="1003"/>
        <v>-24.844678722232985</v>
      </c>
    </row>
    <row r="728" spans="1:20" x14ac:dyDescent="0.25">
      <c r="A728" s="5">
        <v>43865</v>
      </c>
      <c r="B728">
        <v>1.645E-3</v>
      </c>
      <c r="C728">
        <v>2.33E-3</v>
      </c>
      <c r="D728">
        <v>1.637E-3</v>
      </c>
      <c r="E728">
        <v>2.0430000000000001E-3</v>
      </c>
      <c r="F728">
        <v>226649275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0.17171717171717196</v>
      </c>
      <c r="Q728">
        <f t="shared" si="1000"/>
        <v>38919572.474747531</v>
      </c>
      <c r="R728">
        <f t="shared" si="1001"/>
        <v>-2440963729.3752985</v>
      </c>
      <c r="S728">
        <f t="shared" si="1002"/>
        <v>-24409.637293752985</v>
      </c>
      <c r="T728">
        <f t="shared" si="1003"/>
        <v>-24.409637293752986</v>
      </c>
    </row>
    <row r="729" spans="1:20" x14ac:dyDescent="0.25">
      <c r="A729" s="5">
        <v>43864</v>
      </c>
      <c r="B729">
        <v>1.632E-3</v>
      </c>
      <c r="C729">
        <v>1.73E-3</v>
      </c>
      <c r="D729">
        <v>1.6080000000000001E-3</v>
      </c>
      <c r="E729">
        <v>1.64E-3</v>
      </c>
      <c r="F729">
        <v>31497171</v>
      </c>
      <c r="G729">
        <v>0</v>
      </c>
      <c r="L729" t="s">
        <v>8</v>
      </c>
      <c r="M729" t="s">
        <v>8</v>
      </c>
      <c r="N729" t="s">
        <v>7</v>
      </c>
      <c r="P729">
        <f t="shared" si="999"/>
        <v>-0.47540983606557491</v>
      </c>
      <c r="Q729">
        <f t="shared" si="1000"/>
        <v>-14974064.90163938</v>
      </c>
      <c r="R729">
        <f t="shared" si="1001"/>
        <v>-2479883301.8500462</v>
      </c>
      <c r="S729">
        <f t="shared" si="1002"/>
        <v>-24798.833018500463</v>
      </c>
      <c r="T729">
        <f t="shared" si="1003"/>
        <v>-24.798833018500464</v>
      </c>
    </row>
    <row r="730" spans="1:20" x14ac:dyDescent="0.25">
      <c r="A730" s="5">
        <v>43863</v>
      </c>
      <c r="B730">
        <v>1.622E-3</v>
      </c>
      <c r="C730">
        <v>1.6999999999999999E-3</v>
      </c>
      <c r="D730">
        <v>1.5790000000000001E-3</v>
      </c>
      <c r="E730">
        <v>1.632E-3</v>
      </c>
      <c r="F730">
        <v>63346073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-0.12396694214876086</v>
      </c>
      <c r="Q730">
        <f t="shared" si="1000"/>
        <v>-7852818.9669421827</v>
      </c>
      <c r="R730">
        <f t="shared" si="1001"/>
        <v>-2464909236.9484067</v>
      </c>
      <c r="S730">
        <f t="shared" si="1002"/>
        <v>-24649.092369484068</v>
      </c>
      <c r="T730">
        <f t="shared" si="1003"/>
        <v>-24.649092369484066</v>
      </c>
    </row>
    <row r="731" spans="1:20" x14ac:dyDescent="0.25">
      <c r="A731" s="5">
        <v>43862</v>
      </c>
      <c r="B731">
        <v>1.49E-3</v>
      </c>
      <c r="C731">
        <v>1.622E-3</v>
      </c>
      <c r="D731">
        <v>1.48E-3</v>
      </c>
      <c r="E731">
        <v>1.622E-3</v>
      </c>
      <c r="F731">
        <v>31551737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1</v>
      </c>
      <c r="Q731">
        <f t="shared" si="1000"/>
        <v>31551737</v>
      </c>
      <c r="R731">
        <f t="shared" si="1001"/>
        <v>-2457056417.9814644</v>
      </c>
      <c r="S731">
        <f t="shared" si="1002"/>
        <v>-24570.564179814643</v>
      </c>
      <c r="T731">
        <f t="shared" si="1003"/>
        <v>-24.570564179814642</v>
      </c>
    </row>
    <row r="732" spans="1:20" x14ac:dyDescent="0.25">
      <c r="A732" s="5">
        <v>43861</v>
      </c>
      <c r="B732">
        <v>1.534E-3</v>
      </c>
      <c r="C732">
        <v>1.555E-3</v>
      </c>
      <c r="D732">
        <v>1.4679999999999999E-3</v>
      </c>
      <c r="E732">
        <v>1.4989999999999999E-3</v>
      </c>
      <c r="F732">
        <v>19277738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-0.28735632183908105</v>
      </c>
      <c r="Q732">
        <f t="shared" si="1000"/>
        <v>-5539579.8850574829</v>
      </c>
      <c r="R732">
        <f t="shared" si="1001"/>
        <v>-2488608154.9814644</v>
      </c>
      <c r="S732">
        <f t="shared" si="1002"/>
        <v>-24886.081549814644</v>
      </c>
      <c r="T732">
        <f t="shared" si="1003"/>
        <v>-24.886081549814644</v>
      </c>
    </row>
    <row r="733" spans="1:20" x14ac:dyDescent="0.25">
      <c r="A733" s="5">
        <v>43860</v>
      </c>
      <c r="B733">
        <v>1.4679999999999999E-3</v>
      </c>
      <c r="C733">
        <v>1.5479999999999999E-3</v>
      </c>
      <c r="D733">
        <v>1.4339999999999999E-3</v>
      </c>
      <c r="E733">
        <v>1.534E-3</v>
      </c>
      <c r="F733">
        <v>38288674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0.75438596491228227</v>
      </c>
      <c r="Q733">
        <f t="shared" si="1000"/>
        <v>28884438.280701816</v>
      </c>
      <c r="R733">
        <f t="shared" si="1001"/>
        <v>-2483068575.0964069</v>
      </c>
      <c r="S733">
        <f t="shared" si="1002"/>
        <v>-24830.685750964069</v>
      </c>
      <c r="T733">
        <f t="shared" si="1003"/>
        <v>-24.830685750964069</v>
      </c>
    </row>
    <row r="734" spans="1:20" x14ac:dyDescent="0.25">
      <c r="A734" s="5">
        <v>43859</v>
      </c>
      <c r="B734">
        <v>1.5479999999999999E-3</v>
      </c>
      <c r="C734">
        <v>1.56E-3</v>
      </c>
      <c r="D734">
        <v>1.4679999999999999E-3</v>
      </c>
      <c r="E734">
        <v>1.485E-3</v>
      </c>
      <c r="F734">
        <v>18446389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-0.63043478260869401</v>
      </c>
      <c r="Q734">
        <f t="shared" si="1000"/>
        <v>-11629245.239130404</v>
      </c>
      <c r="R734">
        <f t="shared" si="1001"/>
        <v>-2511953013.3771086</v>
      </c>
      <c r="S734">
        <f t="shared" si="1002"/>
        <v>-25119.530133771084</v>
      </c>
      <c r="T734">
        <f t="shared" si="1003"/>
        <v>-25.119530133771086</v>
      </c>
    </row>
    <row r="735" spans="1:20" x14ac:dyDescent="0.25">
      <c r="A735" s="5">
        <v>43858</v>
      </c>
      <c r="B735">
        <v>1.542E-3</v>
      </c>
      <c r="C735">
        <v>1.585E-3</v>
      </c>
      <c r="D735">
        <v>1.5100000000000001E-3</v>
      </c>
      <c r="E735">
        <v>1.5479999999999999E-3</v>
      </c>
      <c r="F735">
        <v>25854089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1.3333333333329324E-2</v>
      </c>
      <c r="Q735">
        <f t="shared" si="1000"/>
        <v>344721.18666656298</v>
      </c>
      <c r="R735">
        <f t="shared" si="1001"/>
        <v>-2500323768.1379781</v>
      </c>
      <c r="S735">
        <f t="shared" si="1002"/>
        <v>-25003.237681379782</v>
      </c>
      <c r="T735">
        <f t="shared" si="1003"/>
        <v>-25.003237681379783</v>
      </c>
    </row>
    <row r="736" spans="1:20" x14ac:dyDescent="0.25">
      <c r="A736" s="5">
        <v>43857</v>
      </c>
      <c r="B736">
        <v>1.513E-3</v>
      </c>
      <c r="C736">
        <v>1.585E-3</v>
      </c>
      <c r="D736">
        <v>1.5070000000000001E-3</v>
      </c>
      <c r="E736">
        <v>1.542E-3</v>
      </c>
      <c r="F736">
        <v>35963392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-0.10256410256410513</v>
      </c>
      <c r="Q736">
        <f t="shared" si="1000"/>
        <v>-3688553.0256411177</v>
      </c>
      <c r="R736">
        <f t="shared" si="1001"/>
        <v>-2500668489.3246446</v>
      </c>
      <c r="S736">
        <f t="shared" si="1002"/>
        <v>-25006.684893246445</v>
      </c>
      <c r="T736">
        <f t="shared" si="1003"/>
        <v>-25.006684893246444</v>
      </c>
    </row>
    <row r="737" spans="1:20" x14ac:dyDescent="0.25">
      <c r="A737" s="5">
        <v>43856</v>
      </c>
      <c r="B737">
        <v>1.4859999999999999E-3</v>
      </c>
      <c r="C737">
        <v>1.555E-3</v>
      </c>
      <c r="D737">
        <v>1.4649999999999999E-3</v>
      </c>
      <c r="E737">
        <v>1.513E-3</v>
      </c>
      <c r="F737">
        <v>34476455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6.6666666666668276E-2</v>
      </c>
      <c r="Q737">
        <f t="shared" si="1000"/>
        <v>2298430.3333333889</v>
      </c>
      <c r="R737">
        <f t="shared" si="1001"/>
        <v>-2496979936.2990036</v>
      </c>
      <c r="S737">
        <f t="shared" si="1002"/>
        <v>-24969.799362990037</v>
      </c>
      <c r="T737">
        <f t="shared" si="1003"/>
        <v>-24.969799362990038</v>
      </c>
    </row>
    <row r="738" spans="1:20" x14ac:dyDescent="0.25">
      <c r="A738" s="5">
        <v>43855</v>
      </c>
      <c r="B738">
        <v>1.42E-3</v>
      </c>
      <c r="C738">
        <v>1.542E-3</v>
      </c>
      <c r="D738">
        <v>1.395E-3</v>
      </c>
      <c r="E738">
        <v>1.487E-3</v>
      </c>
      <c r="F738">
        <v>33473027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0.25170068027210979</v>
      </c>
      <c r="Q738">
        <f t="shared" si="1000"/>
        <v>8425183.6666666977</v>
      </c>
      <c r="R738">
        <f t="shared" si="1001"/>
        <v>-2499278366.6323371</v>
      </c>
      <c r="S738">
        <f t="shared" si="1002"/>
        <v>-24992.783666323372</v>
      </c>
      <c r="T738">
        <f t="shared" si="1003"/>
        <v>-24.992783666323373</v>
      </c>
    </row>
    <row r="739" spans="1:20" x14ac:dyDescent="0.25">
      <c r="A739" s="5">
        <v>43854</v>
      </c>
      <c r="B739">
        <v>1.475E-3</v>
      </c>
      <c r="C739">
        <v>1.475E-3</v>
      </c>
      <c r="D739">
        <v>1.3849999999999999E-3</v>
      </c>
      <c r="E739">
        <v>1.42E-3</v>
      </c>
      <c r="F739">
        <v>18781286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-0.22222222222222035</v>
      </c>
      <c r="Q739">
        <f t="shared" si="1000"/>
        <v>-4173619.1111110761</v>
      </c>
      <c r="R739">
        <f t="shared" si="1001"/>
        <v>-2507703550.2990036</v>
      </c>
      <c r="S739">
        <f t="shared" si="1002"/>
        <v>-25077.035502990035</v>
      </c>
      <c r="T739">
        <f t="shared" si="1003"/>
        <v>-25.077035502990036</v>
      </c>
    </row>
    <row r="740" spans="1:20" x14ac:dyDescent="0.25">
      <c r="A740" s="5">
        <v>43853</v>
      </c>
      <c r="B740">
        <v>1.5139999999999999E-3</v>
      </c>
      <c r="C740">
        <v>1.5219999999999999E-3</v>
      </c>
      <c r="D740">
        <v>1.444E-3</v>
      </c>
      <c r="E740">
        <v>1.475E-3</v>
      </c>
      <c r="F740">
        <v>12716307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-0.2051282051282047</v>
      </c>
      <c r="Q740">
        <f t="shared" si="1000"/>
        <v>-2608473.2307692254</v>
      </c>
      <c r="R740">
        <f t="shared" si="1001"/>
        <v>-2503529931.1878924</v>
      </c>
      <c r="S740">
        <f t="shared" si="1002"/>
        <v>-25035.299311878924</v>
      </c>
      <c r="T740">
        <f t="shared" si="1003"/>
        <v>-25.035299311878923</v>
      </c>
    </row>
    <row r="741" spans="1:20" x14ac:dyDescent="0.25">
      <c r="A741" s="5">
        <v>43852</v>
      </c>
      <c r="B741">
        <v>1.5020000000000001E-3</v>
      </c>
      <c r="C741">
        <v>1.5319999999999999E-3</v>
      </c>
      <c r="D741">
        <v>1.4829999999999999E-3</v>
      </c>
      <c r="E741">
        <v>1.526E-3</v>
      </c>
      <c r="F741">
        <v>19083417</v>
      </c>
      <c r="G741">
        <v>0</v>
      </c>
      <c r="L741" t="s">
        <v>7</v>
      </c>
      <c r="M741" t="s">
        <v>7</v>
      </c>
      <c r="N741" t="s">
        <v>7</v>
      </c>
      <c r="P741">
        <f t="shared" si="999"/>
        <v>0.75510204081632937</v>
      </c>
      <c r="Q741">
        <f t="shared" si="1000"/>
        <v>14409927.122449033</v>
      </c>
      <c r="R741">
        <f t="shared" si="1001"/>
        <v>-2500921457.9571233</v>
      </c>
      <c r="S741">
        <f t="shared" si="1002"/>
        <v>-25009.214579571231</v>
      </c>
      <c r="T741">
        <f t="shared" si="1003"/>
        <v>-25.009214579571232</v>
      </c>
    </row>
    <row r="742" spans="1:20" x14ac:dyDescent="0.25">
      <c r="A742" s="5">
        <v>43851</v>
      </c>
      <c r="B742">
        <v>1.4909999999999999E-3</v>
      </c>
      <c r="C742">
        <v>1.516E-3</v>
      </c>
      <c r="D742">
        <v>1.456E-3</v>
      </c>
      <c r="E742">
        <v>1.5020000000000001E-3</v>
      </c>
      <c r="F742">
        <v>48783984</v>
      </c>
      <c r="G742">
        <v>0</v>
      </c>
      <c r="L742" t="s">
        <v>7</v>
      </c>
      <c r="M742" t="s">
        <v>7</v>
      </c>
      <c r="N742" t="s">
        <v>7</v>
      </c>
      <c r="P742">
        <f t="shared" si="999"/>
        <v>0.53333333333333599</v>
      </c>
      <c r="Q742">
        <f t="shared" si="1000"/>
        <v>26018124.800000131</v>
      </c>
      <c r="R742">
        <f t="shared" si="1001"/>
        <v>-2515331385.0795722</v>
      </c>
      <c r="S742">
        <f t="shared" si="1002"/>
        <v>-25153.313850795723</v>
      </c>
      <c r="T742">
        <f t="shared" si="1003"/>
        <v>-25.153313850795723</v>
      </c>
    </row>
    <row r="743" spans="1:20" x14ac:dyDescent="0.25">
      <c r="A743" s="5">
        <v>43850</v>
      </c>
      <c r="B743">
        <v>1.521E-3</v>
      </c>
      <c r="C743">
        <v>1.521E-3</v>
      </c>
      <c r="D743">
        <v>1.4760000000000001E-3</v>
      </c>
      <c r="E743">
        <v>1.4859999999999999E-3</v>
      </c>
      <c r="F743">
        <v>17276787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-0.55555555555556302</v>
      </c>
      <c r="Q743">
        <f t="shared" si="1000"/>
        <v>-9598215.0000001285</v>
      </c>
      <c r="R743">
        <f t="shared" si="1001"/>
        <v>-2541349509.8795724</v>
      </c>
      <c r="S743">
        <f t="shared" si="1002"/>
        <v>-25413.495098795724</v>
      </c>
      <c r="T743">
        <f t="shared" si="1003"/>
        <v>-25.413495098795725</v>
      </c>
    </row>
    <row r="744" spans="1:20" x14ac:dyDescent="0.25">
      <c r="A744" s="5">
        <v>43849</v>
      </c>
      <c r="B744">
        <v>1.5330000000000001E-3</v>
      </c>
      <c r="C744">
        <v>1.5690000000000001E-3</v>
      </c>
      <c r="D744">
        <v>1.433E-3</v>
      </c>
      <c r="E744">
        <v>1.521E-3</v>
      </c>
      <c r="F744">
        <v>57254076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0.2941176470588226</v>
      </c>
      <c r="Q744">
        <f t="shared" si="1000"/>
        <v>16839434.117647007</v>
      </c>
      <c r="R744">
        <f t="shared" si="1001"/>
        <v>-2531751294.8795724</v>
      </c>
      <c r="S744">
        <f t="shared" si="1002"/>
        <v>-25317.512948795724</v>
      </c>
      <c r="T744">
        <f t="shared" si="1003"/>
        <v>-25.317512948795724</v>
      </c>
    </row>
    <row r="745" spans="1:20" x14ac:dyDescent="0.25">
      <c r="A745" s="5">
        <v>43848</v>
      </c>
      <c r="B745">
        <v>1.534E-3</v>
      </c>
      <c r="C745">
        <v>1.547E-3</v>
      </c>
      <c r="D745">
        <v>1.4959999999999999E-3</v>
      </c>
      <c r="E745">
        <v>1.534E-3</v>
      </c>
      <c r="F745">
        <v>44983005</v>
      </c>
      <c r="G745">
        <v>0</v>
      </c>
      <c r="L745" t="s">
        <v>7</v>
      </c>
      <c r="M745" t="s">
        <v>7</v>
      </c>
      <c r="N745" t="s">
        <v>7</v>
      </c>
      <c r="P745">
        <f t="shared" si="999"/>
        <v>0.49019607843137336</v>
      </c>
      <c r="Q745">
        <f t="shared" si="1000"/>
        <v>22050492.647058859</v>
      </c>
      <c r="R745">
        <f t="shared" si="1001"/>
        <v>-2548590728.9972196</v>
      </c>
      <c r="S745">
        <f t="shared" si="1002"/>
        <v>-25485.907289972194</v>
      </c>
      <c r="T745">
        <f t="shared" si="1003"/>
        <v>-25.485907289972193</v>
      </c>
    </row>
    <row r="746" spans="1:20" x14ac:dyDescent="0.25">
      <c r="A746" s="5">
        <v>43847</v>
      </c>
      <c r="B746">
        <v>1.521E-3</v>
      </c>
      <c r="C746">
        <v>1.57E-3</v>
      </c>
      <c r="D746">
        <v>1.5009999999999999E-3</v>
      </c>
      <c r="E746">
        <v>1.534E-3</v>
      </c>
      <c r="F746">
        <v>83703256</v>
      </c>
      <c r="G746">
        <v>0</v>
      </c>
      <c r="L746" t="s">
        <v>7</v>
      </c>
      <c r="M746" t="s">
        <v>7</v>
      </c>
      <c r="N746" t="s">
        <v>7</v>
      </c>
      <c r="P746">
        <f t="shared" si="999"/>
        <v>-4.3478260869564668E-2</v>
      </c>
      <c r="Q746">
        <f t="shared" si="1000"/>
        <v>-3639271.9999999539</v>
      </c>
      <c r="R746">
        <f t="shared" si="1001"/>
        <v>-2570641221.6442785</v>
      </c>
      <c r="S746">
        <f t="shared" si="1002"/>
        <v>-25706.412216442786</v>
      </c>
      <c r="T746">
        <f t="shared" si="1003"/>
        <v>-25.706412216442786</v>
      </c>
    </row>
    <row r="747" spans="1:20" x14ac:dyDescent="0.25">
      <c r="A747" s="5">
        <v>43846</v>
      </c>
      <c r="B747">
        <v>1.5870000000000001E-3</v>
      </c>
      <c r="C747">
        <v>1.5870000000000001E-3</v>
      </c>
      <c r="D747">
        <v>1.5009999999999999E-3</v>
      </c>
      <c r="E747">
        <v>1.526E-3</v>
      </c>
      <c r="F747">
        <v>49670017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-0.41860465116279011</v>
      </c>
      <c r="Q747">
        <f t="shared" si="1000"/>
        <v>-20792100.139534853</v>
      </c>
      <c r="R747">
        <f t="shared" si="1001"/>
        <v>-2567001949.6442785</v>
      </c>
      <c r="S747">
        <f t="shared" si="1002"/>
        <v>-25670.019496442786</v>
      </c>
      <c r="T747">
        <f t="shared" si="1003"/>
        <v>-25.670019496442787</v>
      </c>
    </row>
    <row r="748" spans="1:20" x14ac:dyDescent="0.25">
      <c r="A748" s="5">
        <v>43845</v>
      </c>
      <c r="B748">
        <v>1.565E-3</v>
      </c>
      <c r="C748">
        <v>1.6540000000000001E-3</v>
      </c>
      <c r="D748">
        <v>1.508E-3</v>
      </c>
      <c r="E748">
        <v>1.5809999999999999E-3</v>
      </c>
      <c r="F748">
        <v>91955089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-1.4852084554595943E-15</v>
      </c>
      <c r="Q748">
        <f t="shared" si="1000"/>
        <v>-1.3657247570533952E-7</v>
      </c>
      <c r="R748">
        <f t="shared" si="1001"/>
        <v>-2546209849.5047436</v>
      </c>
      <c r="S748">
        <f t="shared" si="1002"/>
        <v>-25462.098495047434</v>
      </c>
      <c r="T748">
        <f t="shared" si="1003"/>
        <v>-25.462098495047435</v>
      </c>
    </row>
    <row r="749" spans="1:20" x14ac:dyDescent="0.25">
      <c r="A749" s="5">
        <v>43844</v>
      </c>
      <c r="B749">
        <v>1.5460000000000001E-3</v>
      </c>
      <c r="C749">
        <v>1.5920000000000001E-3</v>
      </c>
      <c r="D749">
        <v>1.518E-3</v>
      </c>
      <c r="E749">
        <v>1.5579999999999999E-3</v>
      </c>
      <c r="F749">
        <v>76462766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8.1081081081077117E-2</v>
      </c>
      <c r="Q749">
        <f t="shared" si="1000"/>
        <v>6199683.729729427</v>
      </c>
      <c r="R749">
        <f t="shared" si="1001"/>
        <v>-2546209849.5047436</v>
      </c>
      <c r="S749">
        <f t="shared" si="1002"/>
        <v>-25462.098495047434</v>
      </c>
      <c r="T749">
        <f t="shared" si="1003"/>
        <v>-25.462098495047435</v>
      </c>
    </row>
    <row r="750" spans="1:20" x14ac:dyDescent="0.25">
      <c r="A750" s="5">
        <v>43843</v>
      </c>
      <c r="B750">
        <v>1.6299999999999999E-3</v>
      </c>
      <c r="C750">
        <v>1.655E-3</v>
      </c>
      <c r="D750">
        <v>1.498E-3</v>
      </c>
      <c r="E750">
        <v>1.5449999999999999E-3</v>
      </c>
      <c r="F750">
        <v>61330410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-0.40127388535031921</v>
      </c>
      <c r="Q750">
        <f t="shared" si="1000"/>
        <v>-24610291.910828073</v>
      </c>
      <c r="R750">
        <f t="shared" si="1001"/>
        <v>-2552409533.2344732</v>
      </c>
      <c r="S750">
        <f t="shared" si="1002"/>
        <v>-25524.095332344732</v>
      </c>
      <c r="T750">
        <f t="shared" si="1003"/>
        <v>-25.524095332344732</v>
      </c>
    </row>
    <row r="751" spans="1:20" x14ac:dyDescent="0.25">
      <c r="A751" s="5">
        <v>43842</v>
      </c>
      <c r="B751">
        <v>1.6509999999999999E-3</v>
      </c>
      <c r="C751">
        <v>1.6509999999999999E-3</v>
      </c>
      <c r="D751">
        <v>1.606E-3</v>
      </c>
      <c r="E751">
        <v>1.624E-3</v>
      </c>
      <c r="F751">
        <v>35147360</v>
      </c>
      <c r="G751">
        <v>0</v>
      </c>
      <c r="L751" t="s">
        <v>7</v>
      </c>
      <c r="M751" t="s">
        <v>8</v>
      </c>
      <c r="N751" t="s">
        <v>7</v>
      </c>
      <c r="P751">
        <f t="shared" si="999"/>
        <v>-0.19999999999999807</v>
      </c>
      <c r="Q751">
        <f t="shared" si="1000"/>
        <v>-7029471.999999932</v>
      </c>
      <c r="R751">
        <f t="shared" si="1001"/>
        <v>-2527799241.3236451</v>
      </c>
      <c r="S751">
        <f t="shared" si="1002"/>
        <v>-25277.99241323645</v>
      </c>
      <c r="T751">
        <f t="shared" si="1003"/>
        <v>-25.277992413236451</v>
      </c>
    </row>
    <row r="752" spans="1:20" x14ac:dyDescent="0.25">
      <c r="A752" s="5">
        <v>43841</v>
      </c>
      <c r="B752">
        <v>1.5900000000000001E-3</v>
      </c>
      <c r="C752">
        <v>1.81E-3</v>
      </c>
      <c r="D752">
        <v>1.5579999999999999E-3</v>
      </c>
      <c r="E752">
        <v>1.6509999999999999E-3</v>
      </c>
      <c r="F752">
        <v>74659562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-0.2619047619047622</v>
      </c>
      <c r="Q752">
        <f t="shared" si="1000"/>
        <v>-19553694.809523832</v>
      </c>
      <c r="R752">
        <f t="shared" si="1001"/>
        <v>-2520769769.3236451</v>
      </c>
      <c r="S752">
        <f t="shared" si="1002"/>
        <v>-25207.697693236452</v>
      </c>
      <c r="T752">
        <f t="shared" si="1003"/>
        <v>-25.207697693236451</v>
      </c>
    </row>
    <row r="753" spans="1:20" x14ac:dyDescent="0.25">
      <c r="A753" s="5">
        <v>43840</v>
      </c>
      <c r="B753">
        <v>1.4909999999999999E-3</v>
      </c>
      <c r="C753">
        <v>1.6199999999999999E-3</v>
      </c>
      <c r="D753">
        <v>1.4499999999999999E-3</v>
      </c>
      <c r="E753">
        <v>1.5900000000000001E-3</v>
      </c>
      <c r="F753">
        <v>51597937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0.64705882352941346</v>
      </c>
      <c r="Q753">
        <f t="shared" si="1000"/>
        <v>33386900.411764793</v>
      </c>
      <c r="R753">
        <f t="shared" si="1001"/>
        <v>-2501216074.5141211</v>
      </c>
      <c r="S753">
        <f t="shared" si="1002"/>
        <v>-25012.160745141209</v>
      </c>
      <c r="T753">
        <f t="shared" si="1003"/>
        <v>-25.012160745141209</v>
      </c>
    </row>
    <row r="754" spans="1:20" x14ac:dyDescent="0.25">
      <c r="A754" s="5">
        <v>43839</v>
      </c>
      <c r="B754">
        <v>1.552E-3</v>
      </c>
      <c r="C754">
        <v>1.573E-3</v>
      </c>
      <c r="D754">
        <v>1.4809999999999999E-3</v>
      </c>
      <c r="E754">
        <v>1.488E-3</v>
      </c>
      <c r="F754">
        <v>58942011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-0.84782608695652051</v>
      </c>
      <c r="Q754">
        <f t="shared" si="1000"/>
        <v>-49972574.543478191</v>
      </c>
      <c r="R754">
        <f t="shared" si="1001"/>
        <v>-2534602974.9258857</v>
      </c>
      <c r="S754">
        <f t="shared" si="1002"/>
        <v>-25346.029749258858</v>
      </c>
      <c r="T754">
        <f t="shared" si="1003"/>
        <v>-25.346029749258857</v>
      </c>
    </row>
    <row r="755" spans="1:20" x14ac:dyDescent="0.25">
      <c r="A755" s="5">
        <v>43838</v>
      </c>
      <c r="B755">
        <v>1.629E-3</v>
      </c>
      <c r="C755">
        <v>1.668E-3</v>
      </c>
      <c r="D755">
        <v>1.5410000000000001E-3</v>
      </c>
      <c r="E755">
        <v>1.555E-3</v>
      </c>
      <c r="F755">
        <v>49357282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-0.7795275590551195</v>
      </c>
      <c r="Q755">
        <f t="shared" si="1000"/>
        <v>-38475361.559055187</v>
      </c>
      <c r="R755">
        <f t="shared" si="1001"/>
        <v>-2484630400.3824077</v>
      </c>
      <c r="S755">
        <f t="shared" si="1002"/>
        <v>-24846.304003824076</v>
      </c>
      <c r="T755">
        <f t="shared" si="1003"/>
        <v>-24.846304003824077</v>
      </c>
    </row>
    <row r="756" spans="1:20" x14ac:dyDescent="0.25">
      <c r="A756" s="5">
        <v>43837</v>
      </c>
      <c r="B756">
        <v>1.6819999999999999E-3</v>
      </c>
      <c r="C756">
        <v>1.6999999999999999E-3</v>
      </c>
      <c r="D756">
        <v>1.606E-3</v>
      </c>
      <c r="E756">
        <v>1.637E-3</v>
      </c>
      <c r="F756">
        <v>36295779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-0.34042553191489305</v>
      </c>
      <c r="Q756">
        <f t="shared" si="1000"/>
        <v>-12356009.872340405</v>
      </c>
      <c r="R756">
        <f t="shared" si="1001"/>
        <v>-2446155038.8233523</v>
      </c>
      <c r="S756">
        <f t="shared" si="1002"/>
        <v>-24461.550388233525</v>
      </c>
      <c r="T756">
        <f t="shared" si="1003"/>
        <v>-24.461550388233526</v>
      </c>
    </row>
    <row r="757" spans="1:20" x14ac:dyDescent="0.25">
      <c r="A757" s="5">
        <v>43836</v>
      </c>
      <c r="B757">
        <v>1.6570000000000001E-3</v>
      </c>
      <c r="C757">
        <v>1.707E-3</v>
      </c>
      <c r="D757">
        <v>1.6280000000000001E-3</v>
      </c>
      <c r="E757">
        <v>1.67E-3</v>
      </c>
      <c r="F757">
        <v>32056621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6.3291139240506611E-2</v>
      </c>
      <c r="Q757">
        <f t="shared" si="1000"/>
        <v>2028900.0632911483</v>
      </c>
      <c r="R757">
        <f t="shared" si="1001"/>
        <v>-2433799028.9510121</v>
      </c>
      <c r="S757">
        <f t="shared" si="1002"/>
        <v>-24337.990289510122</v>
      </c>
      <c r="T757">
        <f t="shared" si="1003"/>
        <v>-24.337990289510124</v>
      </c>
    </row>
    <row r="758" spans="1:20" x14ac:dyDescent="0.25">
      <c r="A758" s="5">
        <v>43835</v>
      </c>
      <c r="B758">
        <v>1.67E-3</v>
      </c>
      <c r="C758">
        <v>1.702E-3</v>
      </c>
      <c r="D758">
        <v>1.653E-3</v>
      </c>
      <c r="E758">
        <v>1.658E-3</v>
      </c>
      <c r="F758">
        <v>16485485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-0.79591836734693822</v>
      </c>
      <c r="Q758">
        <f t="shared" si="1000"/>
        <v>-13121100.306122439</v>
      </c>
      <c r="R758">
        <f t="shared" si="1001"/>
        <v>-2435827929.0143032</v>
      </c>
      <c r="S758">
        <f t="shared" si="1002"/>
        <v>-24358.279290143033</v>
      </c>
      <c r="T758">
        <f t="shared" si="1003"/>
        <v>-24.358279290143035</v>
      </c>
    </row>
    <row r="759" spans="1:20" x14ac:dyDescent="0.25">
      <c r="A759" s="5">
        <v>43834</v>
      </c>
      <c r="B759">
        <v>1.699E-3</v>
      </c>
      <c r="C759">
        <v>1.707E-3</v>
      </c>
      <c r="D759">
        <v>1.6620000000000001E-3</v>
      </c>
      <c r="E759">
        <v>1.67E-3</v>
      </c>
      <c r="F759">
        <v>13799386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-0.64444444444444471</v>
      </c>
      <c r="Q759">
        <f t="shared" si="1000"/>
        <v>-8892937.6444444489</v>
      </c>
      <c r="R759">
        <f t="shared" si="1001"/>
        <v>-2422706828.7081809</v>
      </c>
      <c r="S759">
        <f t="shared" si="1002"/>
        <v>-24227.068287081809</v>
      </c>
      <c r="T759">
        <f t="shared" si="1003"/>
        <v>-24.22706828708181</v>
      </c>
    </row>
    <row r="760" spans="1:20" x14ac:dyDescent="0.25">
      <c r="A760" s="5">
        <v>43833</v>
      </c>
      <c r="B760">
        <v>1.647E-3</v>
      </c>
      <c r="C760">
        <v>1.7459999999999999E-3</v>
      </c>
      <c r="D760">
        <v>1.619E-3</v>
      </c>
      <c r="E760">
        <v>1.6980000000000001E-3</v>
      </c>
      <c r="F760">
        <v>22966387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0.24409448818897816</v>
      </c>
      <c r="Q760">
        <f t="shared" si="1000"/>
        <v>5605968.4803150017</v>
      </c>
      <c r="R760">
        <f t="shared" si="1001"/>
        <v>-2413813891.0637364</v>
      </c>
      <c r="S760">
        <f t="shared" si="1002"/>
        <v>-24138.138910637364</v>
      </c>
      <c r="T760">
        <f t="shared" si="1003"/>
        <v>-24.138138910637366</v>
      </c>
    </row>
    <row r="761" spans="1:20" x14ac:dyDescent="0.25">
      <c r="A761" s="5">
        <v>43832</v>
      </c>
      <c r="B761">
        <v>1.6559999999999999E-3</v>
      </c>
      <c r="C761">
        <v>1.7459999999999999E-3</v>
      </c>
      <c r="D761">
        <v>1.6000000000000001E-3</v>
      </c>
      <c r="E761">
        <v>1.658E-3</v>
      </c>
      <c r="F761">
        <v>26747087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-0.20547945205479526</v>
      </c>
      <c r="Q761">
        <f t="shared" si="1000"/>
        <v>-5495976.7808219371</v>
      </c>
      <c r="R761">
        <f t="shared" si="1001"/>
        <v>-2419419859.5440516</v>
      </c>
      <c r="S761">
        <f t="shared" si="1002"/>
        <v>-24194.198595440517</v>
      </c>
      <c r="T761">
        <f t="shared" si="1003"/>
        <v>-24.194198595440518</v>
      </c>
    </row>
    <row r="762" spans="1:20" x14ac:dyDescent="0.25">
      <c r="A762" s="5">
        <v>43831</v>
      </c>
      <c r="B762">
        <v>1.6900000000000001E-3</v>
      </c>
      <c r="C762">
        <v>1.707E-3</v>
      </c>
      <c r="D762">
        <v>1.64E-3</v>
      </c>
      <c r="E762">
        <v>1.6590000000000001E-3</v>
      </c>
      <c r="F762">
        <v>15518517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-0.43283582089551831</v>
      </c>
      <c r="Q762">
        <f t="shared" si="1000"/>
        <v>-6716970.044776056</v>
      </c>
      <c r="R762">
        <f t="shared" si="1001"/>
        <v>-2413923882.7632298</v>
      </c>
      <c r="S762">
        <f t="shared" si="1002"/>
        <v>-24139.2388276323</v>
      </c>
      <c r="T762">
        <f t="shared" si="1003"/>
        <v>-24.139238827632301</v>
      </c>
    </row>
    <row r="763" spans="1:20" x14ac:dyDescent="0.25">
      <c r="A763" s="5">
        <v>43830</v>
      </c>
      <c r="B763">
        <v>1.6900000000000001E-3</v>
      </c>
      <c r="C763">
        <v>1.738E-3</v>
      </c>
      <c r="D763">
        <v>1.653E-3</v>
      </c>
      <c r="E763">
        <v>1.6900000000000001E-3</v>
      </c>
      <c r="F763">
        <v>20862420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-0.12941176470587912</v>
      </c>
      <c r="Q763">
        <f t="shared" si="1000"/>
        <v>-2699842.5882352265</v>
      </c>
      <c r="R763">
        <f t="shared" si="1001"/>
        <v>-2407206912.7184539</v>
      </c>
      <c r="S763">
        <f t="shared" si="1002"/>
        <v>-24072.069127184539</v>
      </c>
      <c r="T763">
        <f t="shared" si="1003"/>
        <v>-24.072069127184538</v>
      </c>
    </row>
    <row r="764" spans="1:20" x14ac:dyDescent="0.25">
      <c r="A764" s="5">
        <v>43829</v>
      </c>
      <c r="B764">
        <v>1.7309999999999999E-3</v>
      </c>
      <c r="C764">
        <v>1.753E-3</v>
      </c>
      <c r="D764">
        <v>1.6900000000000001E-3</v>
      </c>
      <c r="E764">
        <v>1.691E-3</v>
      </c>
      <c r="F764">
        <v>20064706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-0.96825396825397092</v>
      </c>
      <c r="Q764">
        <f t="shared" si="1000"/>
        <v>-19427731.206349261</v>
      </c>
      <c r="R764">
        <f t="shared" si="1001"/>
        <v>-2404507070.1302185</v>
      </c>
      <c r="S764">
        <f t="shared" si="1002"/>
        <v>-24045.070701302186</v>
      </c>
      <c r="T764">
        <f t="shared" si="1003"/>
        <v>-24.045070701302187</v>
      </c>
    </row>
    <row r="765" spans="1:20" x14ac:dyDescent="0.25">
      <c r="A765" s="5">
        <v>43828</v>
      </c>
      <c r="B765">
        <v>1.7539999999999999E-3</v>
      </c>
      <c r="C765">
        <v>1.7899999999999999E-3</v>
      </c>
      <c r="D765">
        <v>1.7240000000000001E-3</v>
      </c>
      <c r="E765">
        <v>1.7409999999999999E-3</v>
      </c>
      <c r="F765">
        <v>33696972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-0.48484848484848775</v>
      </c>
      <c r="Q765">
        <f t="shared" si="1000"/>
        <v>-16337925.818181915</v>
      </c>
      <c r="R765">
        <f t="shared" si="1001"/>
        <v>-2385079338.9238691</v>
      </c>
      <c r="S765">
        <f t="shared" si="1002"/>
        <v>-23850.79338923869</v>
      </c>
      <c r="T765">
        <f t="shared" si="1003"/>
        <v>-23.850793389238689</v>
      </c>
    </row>
    <row r="766" spans="1:20" x14ac:dyDescent="0.25">
      <c r="A766" s="5">
        <v>43827</v>
      </c>
      <c r="B766">
        <v>1.7160000000000001E-3</v>
      </c>
      <c r="C766">
        <v>1.8860000000000001E-3</v>
      </c>
      <c r="D766">
        <v>1.7160000000000001E-3</v>
      </c>
      <c r="E766">
        <v>1.756E-3</v>
      </c>
      <c r="F766">
        <v>66886486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-0.52941176470588369</v>
      </c>
      <c r="Q766">
        <f t="shared" si="1000"/>
        <v>-35410492.588235386</v>
      </c>
      <c r="R766">
        <f t="shared" si="1001"/>
        <v>-2368741413.1056871</v>
      </c>
      <c r="S766">
        <f t="shared" si="1002"/>
        <v>-23687.41413105687</v>
      </c>
      <c r="T766">
        <f t="shared" si="1003"/>
        <v>-23.687414131056869</v>
      </c>
    </row>
    <row r="767" spans="1:20" x14ac:dyDescent="0.25">
      <c r="A767" s="5">
        <v>43826</v>
      </c>
      <c r="B767">
        <v>1.691E-3</v>
      </c>
      <c r="C767">
        <v>1.7290000000000001E-3</v>
      </c>
      <c r="D767">
        <v>1.655E-3</v>
      </c>
      <c r="E767">
        <v>1.722E-3</v>
      </c>
      <c r="F767">
        <v>23362903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0.8108108108108093</v>
      </c>
      <c r="Q767">
        <f t="shared" ref="Q767:Q830" si="1005">F767*P767</f>
        <v>18942894.324324287</v>
      </c>
      <c r="R767">
        <f t="shared" ref="R767:R830" si="1006">R768+Q767</f>
        <v>-2333330920.5174518</v>
      </c>
      <c r="S767">
        <f t="shared" ref="S767:S830" si="1007">R767/100000</f>
        <v>-23333.309205174519</v>
      </c>
      <c r="T767">
        <f t="shared" ref="T767:T830" si="1008">S767/1000</f>
        <v>-23.333309205174519</v>
      </c>
    </row>
    <row r="768" spans="1:20" x14ac:dyDescent="0.25">
      <c r="A768" s="5">
        <v>43825</v>
      </c>
      <c r="B768">
        <v>1.6980000000000001E-3</v>
      </c>
      <c r="C768">
        <v>1.7979999999999999E-3</v>
      </c>
      <c r="D768">
        <v>1.663E-3</v>
      </c>
      <c r="E768">
        <v>1.691E-3</v>
      </c>
      <c r="F768">
        <v>67054930</v>
      </c>
      <c r="G768">
        <v>0</v>
      </c>
      <c r="L768" t="s">
        <v>8</v>
      </c>
      <c r="M768" t="s">
        <v>7</v>
      </c>
      <c r="N768" t="s">
        <v>7</v>
      </c>
      <c r="P768">
        <f t="shared" si="1004"/>
        <v>-0.58518518518518448</v>
      </c>
      <c r="Q768">
        <f t="shared" si="1005"/>
        <v>-39239551.629629582</v>
      </c>
      <c r="R768">
        <f t="shared" si="1006"/>
        <v>-2352273814.8417759</v>
      </c>
      <c r="S768">
        <f t="shared" si="1007"/>
        <v>-23522.73814841776</v>
      </c>
      <c r="T768">
        <f t="shared" si="1008"/>
        <v>-23.522738148417762</v>
      </c>
    </row>
    <row r="769" spans="1:20" x14ac:dyDescent="0.25">
      <c r="A769" s="5">
        <v>43824</v>
      </c>
      <c r="B769">
        <v>1.7669999999999999E-3</v>
      </c>
      <c r="C769">
        <v>1.877E-3</v>
      </c>
      <c r="D769">
        <v>1.65E-3</v>
      </c>
      <c r="E769">
        <v>1.6969999999999999E-3</v>
      </c>
      <c r="F769">
        <v>113722605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-0.58590308370044097</v>
      </c>
      <c r="Q769">
        <f t="shared" si="1005"/>
        <v>-66630424.955947191</v>
      </c>
      <c r="R769">
        <f t="shared" si="1006"/>
        <v>-2313034263.2121463</v>
      </c>
      <c r="S769">
        <f t="shared" si="1007"/>
        <v>-23130.342632121461</v>
      </c>
      <c r="T769">
        <f t="shared" si="1008"/>
        <v>-23.130342632121462</v>
      </c>
    </row>
    <row r="770" spans="1:20" x14ac:dyDescent="0.25">
      <c r="A770" s="5">
        <v>43823</v>
      </c>
      <c r="B770">
        <v>1.5499999999999999E-3</v>
      </c>
      <c r="C770">
        <v>1.9499999999999999E-3</v>
      </c>
      <c r="D770">
        <v>1.5430000000000001E-3</v>
      </c>
      <c r="E770">
        <v>1.7669999999999999E-3</v>
      </c>
      <c r="F770">
        <v>132314916</v>
      </c>
      <c r="G770">
        <v>0</v>
      </c>
      <c r="L770" t="s">
        <v>8</v>
      </c>
      <c r="M770" t="s">
        <v>8</v>
      </c>
      <c r="N770" t="s">
        <v>7</v>
      </c>
      <c r="P770">
        <f t="shared" si="1004"/>
        <v>0.10073710073710031</v>
      </c>
      <c r="Q770">
        <f t="shared" si="1005"/>
        <v>13329021.022112966</v>
      </c>
      <c r="R770">
        <f t="shared" si="1006"/>
        <v>-2246403838.2561989</v>
      </c>
      <c r="S770">
        <f t="shared" si="1007"/>
        <v>-22464.03838256199</v>
      </c>
      <c r="T770">
        <f t="shared" si="1008"/>
        <v>-22.464038382561991</v>
      </c>
    </row>
    <row r="771" spans="1:20" x14ac:dyDescent="0.25">
      <c r="A771" s="5">
        <v>43822</v>
      </c>
      <c r="B771">
        <v>1.6639999999999999E-3</v>
      </c>
      <c r="C771">
        <v>1.6850000000000001E-3</v>
      </c>
      <c r="D771">
        <v>1.536E-3</v>
      </c>
      <c r="E771">
        <v>1.56E-3</v>
      </c>
      <c r="F771">
        <v>32299921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-0.67785234899328961</v>
      </c>
      <c r="Q771">
        <f t="shared" si="1005"/>
        <v>-21894577.322147682</v>
      </c>
      <c r="R771">
        <f t="shared" si="1006"/>
        <v>-2259732859.2783117</v>
      </c>
      <c r="S771">
        <f t="shared" si="1007"/>
        <v>-22597.328592783117</v>
      </c>
      <c r="T771">
        <f t="shared" si="1008"/>
        <v>-22.597328592783118</v>
      </c>
    </row>
    <row r="772" spans="1:20" x14ac:dyDescent="0.25">
      <c r="A772" s="5">
        <v>43821</v>
      </c>
      <c r="B772">
        <v>1.6249999999999999E-3</v>
      </c>
      <c r="C772">
        <v>1.6900000000000001E-3</v>
      </c>
      <c r="D772">
        <v>1.6100000000000001E-3</v>
      </c>
      <c r="E772">
        <v>1.6509999999999999E-3</v>
      </c>
      <c r="F772">
        <v>22528023</v>
      </c>
      <c r="G772">
        <v>0</v>
      </c>
      <c r="L772" t="s">
        <v>8</v>
      </c>
      <c r="M772" t="s">
        <v>7</v>
      </c>
      <c r="N772" t="s">
        <v>7</v>
      </c>
      <c r="P772">
        <f t="shared" si="1004"/>
        <v>2.4999999999995189E-2</v>
      </c>
      <c r="Q772">
        <f t="shared" si="1005"/>
        <v>563200.57499989157</v>
      </c>
      <c r="R772">
        <f t="shared" si="1006"/>
        <v>-2237838281.9561639</v>
      </c>
      <c r="S772">
        <f t="shared" si="1007"/>
        <v>-22378.382819561641</v>
      </c>
      <c r="T772">
        <f t="shared" si="1008"/>
        <v>-22.37838281956164</v>
      </c>
    </row>
    <row r="773" spans="1:20" x14ac:dyDescent="0.25">
      <c r="A773" s="5">
        <v>43820</v>
      </c>
      <c r="B773">
        <v>1.684E-3</v>
      </c>
      <c r="C773">
        <v>1.6999999999999999E-3</v>
      </c>
      <c r="D773">
        <v>1.6100000000000001E-3</v>
      </c>
      <c r="E773">
        <v>1.6260000000000001E-3</v>
      </c>
      <c r="F773">
        <v>23225285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-0.64444444444444471</v>
      </c>
      <c r="Q773">
        <f t="shared" si="1005"/>
        <v>-14967405.888888896</v>
      </c>
      <c r="R773">
        <f t="shared" si="1006"/>
        <v>-2238401482.5311637</v>
      </c>
      <c r="S773">
        <f t="shared" si="1007"/>
        <v>-22384.014825311639</v>
      </c>
      <c r="T773">
        <f t="shared" si="1008"/>
        <v>-22.384014825311638</v>
      </c>
    </row>
    <row r="774" spans="1:20" x14ac:dyDescent="0.25">
      <c r="A774" s="5">
        <v>43819</v>
      </c>
      <c r="B774">
        <v>1.684E-3</v>
      </c>
      <c r="C774">
        <v>1.7149999999999999E-3</v>
      </c>
      <c r="D774">
        <v>1.652E-3</v>
      </c>
      <c r="E774">
        <v>1.684E-3</v>
      </c>
      <c r="F774">
        <v>23174920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1.5873015873014561E-2</v>
      </c>
      <c r="Q774">
        <f t="shared" si="1005"/>
        <v>367855.87301584258</v>
      </c>
      <c r="R774">
        <f t="shared" si="1006"/>
        <v>-2223434076.6422749</v>
      </c>
      <c r="S774">
        <f t="shared" si="1007"/>
        <v>-22234.340766422749</v>
      </c>
      <c r="T774">
        <f t="shared" si="1008"/>
        <v>-22.234340766422751</v>
      </c>
    </row>
    <row r="775" spans="1:20" x14ac:dyDescent="0.25">
      <c r="A775" s="5">
        <v>43818</v>
      </c>
      <c r="B775">
        <v>1.668E-3</v>
      </c>
      <c r="C775">
        <v>1.719E-3</v>
      </c>
      <c r="D775">
        <v>1.6000000000000001E-3</v>
      </c>
      <c r="E775">
        <v>1.6819999999999999E-3</v>
      </c>
      <c r="F775">
        <v>43937004</v>
      </c>
      <c r="G775">
        <v>0</v>
      </c>
      <c r="L775" t="s">
        <v>7</v>
      </c>
      <c r="M775" t="s">
        <v>7</v>
      </c>
      <c r="N775" t="s">
        <v>7</v>
      </c>
      <c r="P775">
        <f t="shared" si="1004"/>
        <v>0.37815126050419912</v>
      </c>
      <c r="Q775">
        <f t="shared" si="1005"/>
        <v>16614833.445378039</v>
      </c>
      <c r="R775">
        <f t="shared" si="1006"/>
        <v>-2223801932.5152907</v>
      </c>
      <c r="S775">
        <f t="shared" si="1007"/>
        <v>-22238.019325152909</v>
      </c>
      <c r="T775">
        <f t="shared" si="1008"/>
        <v>-22.238019325152909</v>
      </c>
    </row>
    <row r="776" spans="1:20" x14ac:dyDescent="0.25">
      <c r="A776" s="5">
        <v>43817</v>
      </c>
      <c r="B776">
        <v>1.5319999999999999E-3</v>
      </c>
      <c r="C776">
        <v>1.748E-3</v>
      </c>
      <c r="D776">
        <v>1.4549999999999999E-3</v>
      </c>
      <c r="E776">
        <v>1.6299999999999999E-3</v>
      </c>
      <c r="F776">
        <v>52444949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0.19453924914675755</v>
      </c>
      <c r="Q776">
        <f t="shared" si="1005"/>
        <v>10202600.999999993</v>
      </c>
      <c r="R776">
        <f t="shared" si="1006"/>
        <v>-2240416765.9606686</v>
      </c>
      <c r="S776">
        <f t="shared" si="1007"/>
        <v>-22404.167659606686</v>
      </c>
      <c r="T776">
        <f t="shared" si="1008"/>
        <v>-22.404167659606685</v>
      </c>
    </row>
    <row r="777" spans="1:20" x14ac:dyDescent="0.25">
      <c r="A777" s="5">
        <v>43816</v>
      </c>
      <c r="B777">
        <v>1.634E-3</v>
      </c>
      <c r="C777">
        <v>1.75E-3</v>
      </c>
      <c r="D777">
        <v>1.4549999999999999E-3</v>
      </c>
      <c r="E777">
        <v>1.542E-3</v>
      </c>
      <c r="F777">
        <v>69351337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-0.41016949152542359</v>
      </c>
      <c r="Q777">
        <f t="shared" si="1005"/>
        <v>-28445802.633898295</v>
      </c>
      <c r="R777">
        <f t="shared" si="1006"/>
        <v>-2250619366.9606686</v>
      </c>
      <c r="S777">
        <f t="shared" si="1007"/>
        <v>-22506.193669606684</v>
      </c>
      <c r="T777">
        <f t="shared" si="1008"/>
        <v>-22.506193669606684</v>
      </c>
    </row>
    <row r="778" spans="1:20" x14ac:dyDescent="0.25">
      <c r="A778" s="5">
        <v>43815</v>
      </c>
      <c r="B778">
        <v>1.8220000000000001E-3</v>
      </c>
      <c r="C778">
        <v>1.8220000000000001E-3</v>
      </c>
      <c r="D778">
        <v>1.56E-3</v>
      </c>
      <c r="E778">
        <v>1.6299999999999999E-3</v>
      </c>
      <c r="F778">
        <v>67720398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-0.4656488549618325</v>
      </c>
      <c r="Q778">
        <f t="shared" si="1005"/>
        <v>-31533925.786259573</v>
      </c>
      <c r="R778">
        <f t="shared" si="1006"/>
        <v>-2222173564.3267703</v>
      </c>
      <c r="S778">
        <f t="shared" si="1007"/>
        <v>-22221.735643267704</v>
      </c>
      <c r="T778">
        <f t="shared" si="1008"/>
        <v>-22.221735643267703</v>
      </c>
    </row>
    <row r="779" spans="1:20" x14ac:dyDescent="0.25">
      <c r="A779" s="5">
        <v>43814</v>
      </c>
      <c r="B779">
        <v>1.7750000000000001E-3</v>
      </c>
      <c r="C779">
        <v>1.8309999999999999E-3</v>
      </c>
      <c r="D779">
        <v>1.732E-3</v>
      </c>
      <c r="E779">
        <v>1.805E-3</v>
      </c>
      <c r="F779">
        <v>20714271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0.47474747474747464</v>
      </c>
      <c r="Q779">
        <f t="shared" si="1005"/>
        <v>9834047.8484848458</v>
      </c>
      <c r="R779">
        <f t="shared" si="1006"/>
        <v>-2190639638.5405107</v>
      </c>
      <c r="S779">
        <f t="shared" si="1007"/>
        <v>-21906.396385405107</v>
      </c>
      <c r="T779">
        <f t="shared" si="1008"/>
        <v>-21.906396385405106</v>
      </c>
    </row>
    <row r="780" spans="1:20" x14ac:dyDescent="0.25">
      <c r="A780" s="5">
        <v>43813</v>
      </c>
      <c r="B780">
        <v>1.8860000000000001E-3</v>
      </c>
      <c r="C780">
        <v>2.0799999999999998E-3</v>
      </c>
      <c r="D780">
        <v>1.7420000000000001E-3</v>
      </c>
      <c r="E780">
        <v>1.797E-3</v>
      </c>
      <c r="F780">
        <v>32044741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-0.6745562130177517</v>
      </c>
      <c r="Q780">
        <f t="shared" si="1005"/>
        <v>-21615979.136094682</v>
      </c>
      <c r="R780">
        <f t="shared" si="1006"/>
        <v>-2200473686.3889956</v>
      </c>
      <c r="S780">
        <f t="shared" si="1007"/>
        <v>-22004.736863889957</v>
      </c>
      <c r="T780">
        <f t="shared" si="1008"/>
        <v>-22.004736863889956</v>
      </c>
    </row>
    <row r="781" spans="1:20" x14ac:dyDescent="0.25">
      <c r="A781" s="5">
        <v>43812</v>
      </c>
      <c r="B781">
        <v>1.892E-3</v>
      </c>
      <c r="C781">
        <v>1.9449999999999999E-3</v>
      </c>
      <c r="D781">
        <v>1.8749999999999999E-3</v>
      </c>
      <c r="E781">
        <v>1.8749999999999999E-3</v>
      </c>
      <c r="F781">
        <v>44503719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-1</v>
      </c>
      <c r="Q781">
        <f t="shared" si="1005"/>
        <v>-44503719</v>
      </c>
      <c r="R781">
        <f t="shared" si="1006"/>
        <v>-2178857707.2529011</v>
      </c>
      <c r="S781">
        <f t="shared" si="1007"/>
        <v>-21788.577072529009</v>
      </c>
      <c r="T781">
        <f t="shared" si="1008"/>
        <v>-21.788577072529009</v>
      </c>
    </row>
    <row r="782" spans="1:20" x14ac:dyDescent="0.25">
      <c r="A782" s="5">
        <v>43811</v>
      </c>
      <c r="B782">
        <v>1.903E-3</v>
      </c>
      <c r="C782">
        <v>2.1810000000000002E-3</v>
      </c>
      <c r="D782">
        <v>1.8320000000000001E-3</v>
      </c>
      <c r="E782">
        <v>1.8799999999999999E-3</v>
      </c>
      <c r="F782">
        <v>109848471</v>
      </c>
      <c r="G782">
        <v>0</v>
      </c>
      <c r="L782" t="s">
        <v>8</v>
      </c>
      <c r="M782" t="s">
        <v>8</v>
      </c>
      <c r="N782" t="s">
        <v>7</v>
      </c>
      <c r="P782">
        <f t="shared" si="1004"/>
        <v>-0.72492836676217853</v>
      </c>
      <c r="Q782">
        <f t="shared" si="1005"/>
        <v>-79632272.67335254</v>
      </c>
      <c r="R782">
        <f t="shared" si="1006"/>
        <v>-2134353988.2529013</v>
      </c>
      <c r="S782">
        <f t="shared" si="1007"/>
        <v>-21343.539882529014</v>
      </c>
      <c r="T782">
        <f t="shared" si="1008"/>
        <v>-21.343539882529015</v>
      </c>
    </row>
    <row r="783" spans="1:20" x14ac:dyDescent="0.25">
      <c r="A783" s="5">
        <v>43810</v>
      </c>
      <c r="B783">
        <v>1.915E-3</v>
      </c>
      <c r="C783">
        <v>1.951E-3</v>
      </c>
      <c r="D783">
        <v>1.872E-3</v>
      </c>
      <c r="E783">
        <v>1.902E-3</v>
      </c>
      <c r="F783">
        <v>32194289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-0.24050632911392281</v>
      </c>
      <c r="Q783">
        <f t="shared" si="1005"/>
        <v>-7742930.2658227449</v>
      </c>
      <c r="R783">
        <f t="shared" si="1006"/>
        <v>-2054721715.5795488</v>
      </c>
      <c r="S783">
        <f t="shared" si="1007"/>
        <v>-20547.21715579549</v>
      </c>
      <c r="T783">
        <f t="shared" si="1008"/>
        <v>-20.54721715579549</v>
      </c>
    </row>
    <row r="784" spans="1:20" x14ac:dyDescent="0.25">
      <c r="A784" s="5">
        <v>43809</v>
      </c>
      <c r="B784">
        <v>2.1849999999999999E-3</v>
      </c>
      <c r="C784">
        <v>2.1879999999999998E-3</v>
      </c>
      <c r="D784">
        <v>1.841E-3</v>
      </c>
      <c r="E784">
        <v>1.915E-3</v>
      </c>
      <c r="F784">
        <v>117963213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-0.5734870317002877</v>
      </c>
      <c r="Q784">
        <f t="shared" si="1005"/>
        <v>-67650372.873198792</v>
      </c>
      <c r="R784">
        <f t="shared" si="1006"/>
        <v>-2046978785.3137262</v>
      </c>
      <c r="S784">
        <f t="shared" si="1007"/>
        <v>-20469.787853137263</v>
      </c>
      <c r="T784">
        <f t="shared" si="1008"/>
        <v>-20.469787853137262</v>
      </c>
    </row>
    <row r="785" spans="1:20" x14ac:dyDescent="0.25">
      <c r="A785" s="5">
        <v>43808</v>
      </c>
      <c r="B785">
        <v>2.14E-3</v>
      </c>
      <c r="C785">
        <v>2.3349999999999998E-3</v>
      </c>
      <c r="D785">
        <v>2.14E-3</v>
      </c>
      <c r="E785">
        <v>2.1770000000000001E-3</v>
      </c>
      <c r="F785">
        <v>164217691</v>
      </c>
      <c r="G785">
        <v>0</v>
      </c>
      <c r="L785" t="s">
        <v>8</v>
      </c>
      <c r="M785" t="s">
        <v>8</v>
      </c>
      <c r="N785" t="s">
        <v>8</v>
      </c>
      <c r="P785">
        <f t="shared" si="1004"/>
        <v>-0.62051282051281875</v>
      </c>
      <c r="Q785">
        <f t="shared" si="1005"/>
        <v>-101899182.62051253</v>
      </c>
      <c r="R785">
        <f t="shared" si="1006"/>
        <v>-1979328412.4405274</v>
      </c>
      <c r="S785">
        <f t="shared" si="1007"/>
        <v>-19793.284124405276</v>
      </c>
      <c r="T785">
        <f t="shared" si="1008"/>
        <v>-19.793284124405275</v>
      </c>
    </row>
    <row r="786" spans="1:20" x14ac:dyDescent="0.25">
      <c r="A786" s="5">
        <v>43807</v>
      </c>
      <c r="B786">
        <v>1.9910000000000001E-3</v>
      </c>
      <c r="C786">
        <v>2.202E-3</v>
      </c>
      <c r="D786">
        <v>1.9599999999999999E-3</v>
      </c>
      <c r="E786">
        <v>2.14E-3</v>
      </c>
      <c r="F786">
        <v>105457487</v>
      </c>
      <c r="G786">
        <v>0</v>
      </c>
      <c r="L786" t="s">
        <v>8</v>
      </c>
      <c r="M786" t="s">
        <v>7</v>
      </c>
      <c r="N786" t="s">
        <v>8</v>
      </c>
      <c r="P786">
        <f t="shared" si="1004"/>
        <v>0.48760330578512412</v>
      </c>
      <c r="Q786">
        <f t="shared" si="1005"/>
        <v>51421419.280991748</v>
      </c>
      <c r="R786">
        <f t="shared" si="1006"/>
        <v>-1877429229.820015</v>
      </c>
      <c r="S786">
        <f t="shared" si="1007"/>
        <v>-18774.292298200151</v>
      </c>
      <c r="T786">
        <f t="shared" si="1008"/>
        <v>-18.774292298200152</v>
      </c>
    </row>
    <row r="787" spans="1:20" x14ac:dyDescent="0.25">
      <c r="A787" s="5">
        <v>43806</v>
      </c>
      <c r="B787">
        <v>1.9689999999999998E-3</v>
      </c>
      <c r="C787">
        <v>2.055E-3</v>
      </c>
      <c r="D787">
        <v>1.946E-3</v>
      </c>
      <c r="E787">
        <v>2.0010000000000002E-3</v>
      </c>
      <c r="F787">
        <v>76071404</v>
      </c>
      <c r="G787">
        <v>0</v>
      </c>
      <c r="L787" t="s">
        <v>7</v>
      </c>
      <c r="M787" t="s">
        <v>7</v>
      </c>
      <c r="N787" t="s">
        <v>8</v>
      </c>
      <c r="P787">
        <f t="shared" si="1004"/>
        <v>9.1743119266087161E-3</v>
      </c>
      <c r="Q787">
        <f t="shared" si="1005"/>
        <v>697902.78899107</v>
      </c>
      <c r="R787">
        <f t="shared" si="1006"/>
        <v>-1928850649.1010067</v>
      </c>
      <c r="S787">
        <f t="shared" si="1007"/>
        <v>-19288.506491010066</v>
      </c>
      <c r="T787">
        <f t="shared" si="1008"/>
        <v>-19.288506491010068</v>
      </c>
    </row>
    <row r="788" spans="1:20" x14ac:dyDescent="0.25">
      <c r="A788" s="5">
        <v>43805</v>
      </c>
      <c r="B788">
        <v>2.055E-3</v>
      </c>
      <c r="C788">
        <v>2.0790000000000001E-3</v>
      </c>
      <c r="D788">
        <v>1.9469999999999999E-3</v>
      </c>
      <c r="E788">
        <v>1.9650000000000002E-3</v>
      </c>
      <c r="F788">
        <v>63735187</v>
      </c>
      <c r="G788">
        <v>0</v>
      </c>
      <c r="L788" t="s">
        <v>7</v>
      </c>
      <c r="M788" t="s">
        <v>7</v>
      </c>
      <c r="N788" t="s">
        <v>8</v>
      </c>
      <c r="P788">
        <f t="shared" si="1004"/>
        <v>-0.7272727272727243</v>
      </c>
      <c r="Q788">
        <f t="shared" si="1005"/>
        <v>-46352863.27272708</v>
      </c>
      <c r="R788">
        <f t="shared" si="1006"/>
        <v>-1929548551.8899977</v>
      </c>
      <c r="S788">
        <f t="shared" si="1007"/>
        <v>-19295.485518899975</v>
      </c>
      <c r="T788">
        <f t="shared" si="1008"/>
        <v>-19.295485518899977</v>
      </c>
    </row>
    <row r="789" spans="1:20" x14ac:dyDescent="0.25">
      <c r="A789" s="5">
        <v>43804</v>
      </c>
      <c r="B789">
        <v>1.9610000000000001E-3</v>
      </c>
      <c r="C789">
        <v>2.1189999999999998E-3</v>
      </c>
      <c r="D789">
        <v>1.933E-3</v>
      </c>
      <c r="E789">
        <v>2.055E-3</v>
      </c>
      <c r="F789">
        <v>65989203</v>
      </c>
      <c r="G789">
        <v>0</v>
      </c>
      <c r="L789" t="s">
        <v>8</v>
      </c>
      <c r="M789" t="s">
        <v>7</v>
      </c>
      <c r="N789" t="s">
        <v>8</v>
      </c>
      <c r="P789">
        <f t="shared" si="1004"/>
        <v>0.31182795698924831</v>
      </c>
      <c r="Q789">
        <f t="shared" si="1005"/>
        <v>20577278.354838777</v>
      </c>
      <c r="R789">
        <f t="shared" si="1006"/>
        <v>-1883195688.6172707</v>
      </c>
      <c r="S789">
        <f t="shared" si="1007"/>
        <v>-18831.956886172706</v>
      </c>
      <c r="T789">
        <f t="shared" si="1008"/>
        <v>-18.831956886172705</v>
      </c>
    </row>
    <row r="790" spans="1:20" x14ac:dyDescent="0.25">
      <c r="A790" s="5">
        <v>43803</v>
      </c>
      <c r="B790">
        <v>2.117E-3</v>
      </c>
      <c r="C790">
        <v>2.1719999999999999E-3</v>
      </c>
      <c r="D790">
        <v>1.952E-3</v>
      </c>
      <c r="E790">
        <v>1.9620000000000002E-3</v>
      </c>
      <c r="F790">
        <v>85876292</v>
      </c>
      <c r="G790">
        <v>0</v>
      </c>
      <c r="L790" t="s">
        <v>7</v>
      </c>
      <c r="M790" t="s">
        <v>7</v>
      </c>
      <c r="N790" t="s">
        <v>8</v>
      </c>
      <c r="P790">
        <f t="shared" si="1004"/>
        <v>-0.90909090909090684</v>
      </c>
      <c r="Q790">
        <f t="shared" si="1005"/>
        <v>-78069356.363636166</v>
      </c>
      <c r="R790">
        <f t="shared" si="1006"/>
        <v>-1903772966.9721096</v>
      </c>
      <c r="S790">
        <f t="shared" si="1007"/>
        <v>-19037.729669721095</v>
      </c>
      <c r="T790">
        <f t="shared" si="1008"/>
        <v>-19.037729669721095</v>
      </c>
    </row>
    <row r="791" spans="1:20" x14ac:dyDescent="0.25">
      <c r="A791" s="5">
        <v>43802</v>
      </c>
      <c r="B791">
        <v>2.212E-3</v>
      </c>
      <c r="C791">
        <v>2.2650000000000001E-3</v>
      </c>
      <c r="D791">
        <v>2.0560000000000001E-3</v>
      </c>
      <c r="E791">
        <v>2.124E-3</v>
      </c>
      <c r="F791">
        <v>93323825</v>
      </c>
      <c r="G791">
        <v>0</v>
      </c>
      <c r="L791" t="s">
        <v>7</v>
      </c>
      <c r="M791" t="s">
        <v>7</v>
      </c>
      <c r="N791" t="s">
        <v>8</v>
      </c>
      <c r="P791">
        <f t="shared" si="1004"/>
        <v>-0.34928229665071842</v>
      </c>
      <c r="Q791">
        <f t="shared" si="1005"/>
        <v>-32596359.928229731</v>
      </c>
      <c r="R791">
        <f t="shared" si="1006"/>
        <v>-1825703610.6084733</v>
      </c>
      <c r="S791">
        <f t="shared" si="1007"/>
        <v>-18257.036106084732</v>
      </c>
      <c r="T791">
        <f t="shared" si="1008"/>
        <v>-18.257036106084733</v>
      </c>
    </row>
    <row r="792" spans="1:20" x14ac:dyDescent="0.25">
      <c r="A792" s="5">
        <v>43801</v>
      </c>
      <c r="B792">
        <v>2.114E-3</v>
      </c>
      <c r="C792">
        <v>2.3400000000000001E-3</v>
      </c>
      <c r="D792">
        <v>2.049E-3</v>
      </c>
      <c r="E792">
        <v>2.2000000000000001E-3</v>
      </c>
      <c r="F792">
        <v>117467477</v>
      </c>
      <c r="G792">
        <v>0</v>
      </c>
      <c r="L792" t="s">
        <v>8</v>
      </c>
      <c r="M792" t="s">
        <v>7</v>
      </c>
      <c r="N792" t="s">
        <v>8</v>
      </c>
      <c r="P792">
        <f t="shared" si="1004"/>
        <v>3.7800687285223913E-2</v>
      </c>
      <c r="Q792">
        <f t="shared" si="1005"/>
        <v>4440351.3642612323</v>
      </c>
      <c r="R792">
        <f t="shared" si="1006"/>
        <v>-1793107250.6802435</v>
      </c>
      <c r="S792">
        <f t="shared" si="1007"/>
        <v>-17931.072506802437</v>
      </c>
      <c r="T792">
        <f t="shared" si="1008"/>
        <v>-17.931072506802437</v>
      </c>
    </row>
    <row r="793" spans="1:20" x14ac:dyDescent="0.25">
      <c r="A793" s="5">
        <v>43800</v>
      </c>
      <c r="B793">
        <v>2.111E-3</v>
      </c>
      <c r="C793">
        <v>2.1700000000000001E-3</v>
      </c>
      <c r="D793">
        <v>2.0079999999999998E-3</v>
      </c>
      <c r="E793">
        <v>2.1099999999999999E-3</v>
      </c>
      <c r="F793">
        <v>49183223</v>
      </c>
      <c r="G793">
        <v>0</v>
      </c>
      <c r="L793" t="s">
        <v>7</v>
      </c>
      <c r="M793" t="s">
        <v>7</v>
      </c>
      <c r="N793" t="s">
        <v>8</v>
      </c>
      <c r="P793">
        <f t="shared" si="1004"/>
        <v>0.25925925925925847</v>
      </c>
      <c r="Q793">
        <f t="shared" si="1005"/>
        <v>12751205.962962924</v>
      </c>
      <c r="R793">
        <f t="shared" si="1006"/>
        <v>-1797547602.0445046</v>
      </c>
      <c r="S793">
        <f t="shared" si="1007"/>
        <v>-17975.476020445047</v>
      </c>
      <c r="T793">
        <f t="shared" si="1008"/>
        <v>-17.975476020445047</v>
      </c>
    </row>
    <row r="794" spans="1:20" x14ac:dyDescent="0.25">
      <c r="A794" s="5">
        <v>43799</v>
      </c>
      <c r="B794">
        <v>2.2520000000000001E-3</v>
      </c>
      <c r="C794">
        <v>2.2669999999999999E-3</v>
      </c>
      <c r="D794">
        <v>2.0869999999999999E-3</v>
      </c>
      <c r="E794">
        <v>2.1129999999999999E-3</v>
      </c>
      <c r="F794">
        <v>71240541</v>
      </c>
      <c r="G794">
        <v>0</v>
      </c>
      <c r="L794" t="s">
        <v>7</v>
      </c>
      <c r="M794" t="s">
        <v>7</v>
      </c>
      <c r="N794" t="s">
        <v>8</v>
      </c>
      <c r="P794">
        <f t="shared" si="1004"/>
        <v>-0.71111111111111136</v>
      </c>
      <c r="Q794">
        <f t="shared" si="1005"/>
        <v>-50659940.266666688</v>
      </c>
      <c r="R794">
        <f t="shared" si="1006"/>
        <v>-1810298808.0074675</v>
      </c>
      <c r="S794">
        <f t="shared" si="1007"/>
        <v>-18102.988080074676</v>
      </c>
      <c r="T794">
        <f t="shared" si="1008"/>
        <v>-18.102988080074677</v>
      </c>
    </row>
    <row r="795" spans="1:20" x14ac:dyDescent="0.25">
      <c r="A795" s="5">
        <v>43798</v>
      </c>
      <c r="B795">
        <v>2.2799999999999999E-3</v>
      </c>
      <c r="C795">
        <v>2.5000000000000001E-3</v>
      </c>
      <c r="D795">
        <v>2.2070000000000002E-3</v>
      </c>
      <c r="E795">
        <v>2.2520000000000001E-3</v>
      </c>
      <c r="F795">
        <v>155441757</v>
      </c>
      <c r="G795">
        <v>0</v>
      </c>
      <c r="L795" t="s">
        <v>7</v>
      </c>
      <c r="M795" t="s">
        <v>8</v>
      </c>
      <c r="N795" t="s">
        <v>8</v>
      </c>
      <c r="P795">
        <f t="shared" si="1004"/>
        <v>-0.69283276450511999</v>
      </c>
      <c r="Q795">
        <f t="shared" si="1005"/>
        <v>-107695142.22184309</v>
      </c>
      <c r="R795">
        <f t="shared" si="1006"/>
        <v>-1759638867.7408009</v>
      </c>
      <c r="S795">
        <f t="shared" si="1007"/>
        <v>-17596.388677408009</v>
      </c>
      <c r="T795">
        <f t="shared" si="1008"/>
        <v>-17.596388677408008</v>
      </c>
    </row>
    <row r="796" spans="1:20" x14ac:dyDescent="0.25">
      <c r="A796" s="5">
        <v>43797</v>
      </c>
      <c r="B796">
        <v>2.1489999999999999E-3</v>
      </c>
      <c r="C796">
        <v>2.5500000000000002E-3</v>
      </c>
      <c r="D796">
        <v>2.1350000000000002E-3</v>
      </c>
      <c r="E796">
        <v>2.2910000000000001E-3</v>
      </c>
      <c r="F796">
        <v>319174463</v>
      </c>
      <c r="G796">
        <v>0</v>
      </c>
      <c r="L796" t="s">
        <v>8</v>
      </c>
      <c r="M796" t="s">
        <v>8</v>
      </c>
      <c r="N796" t="s">
        <v>8</v>
      </c>
      <c r="P796">
        <f t="shared" si="1004"/>
        <v>-0.2481927710843379</v>
      </c>
      <c r="Q796">
        <f t="shared" si="1005"/>
        <v>-79216794.43132548</v>
      </c>
      <c r="R796">
        <f t="shared" si="1006"/>
        <v>-1651943725.5189579</v>
      </c>
      <c r="S796">
        <f t="shared" si="1007"/>
        <v>-16519.437255189579</v>
      </c>
      <c r="T796">
        <f t="shared" si="1008"/>
        <v>-16.51943725518958</v>
      </c>
    </row>
    <row r="797" spans="1:20" x14ac:dyDescent="0.25">
      <c r="A797" s="5">
        <v>43796</v>
      </c>
      <c r="B797">
        <v>1.867E-3</v>
      </c>
      <c r="C797">
        <v>2.4729999999999999E-3</v>
      </c>
      <c r="D797">
        <v>1.7570000000000001E-3</v>
      </c>
      <c r="E797">
        <v>2.1519999999999998E-3</v>
      </c>
      <c r="F797">
        <v>389443294</v>
      </c>
      <c r="G797">
        <v>0</v>
      </c>
      <c r="L797" t="s">
        <v>8</v>
      </c>
      <c r="M797" t="s">
        <v>8</v>
      </c>
      <c r="N797" t="s">
        <v>8</v>
      </c>
      <c r="P797">
        <f t="shared" si="1004"/>
        <v>0.10335195530726207</v>
      </c>
      <c r="Q797">
        <f t="shared" si="1005"/>
        <v>40249725.916200921</v>
      </c>
      <c r="R797">
        <f t="shared" si="1006"/>
        <v>-1572726931.0876324</v>
      </c>
      <c r="S797">
        <f t="shared" si="1007"/>
        <v>-15727.269310876323</v>
      </c>
      <c r="T797">
        <f t="shared" si="1008"/>
        <v>-15.727269310876324</v>
      </c>
    </row>
    <row r="798" spans="1:20" x14ac:dyDescent="0.25">
      <c r="A798" s="5">
        <v>43795</v>
      </c>
      <c r="B798">
        <v>1.854E-3</v>
      </c>
      <c r="C798">
        <v>1.98E-3</v>
      </c>
      <c r="D798">
        <v>1.7290000000000001E-3</v>
      </c>
      <c r="E798">
        <v>1.8749999999999999E-3</v>
      </c>
      <c r="F798">
        <v>113184456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0.16334661354581601</v>
      </c>
      <c r="Q798">
        <f t="shared" si="1005"/>
        <v>18488297.593625415</v>
      </c>
      <c r="R798">
        <f t="shared" si="1006"/>
        <v>-1612976657.0038333</v>
      </c>
      <c r="S798">
        <f t="shared" si="1007"/>
        <v>-16129.766570038333</v>
      </c>
      <c r="T798">
        <f t="shared" si="1008"/>
        <v>-16.129766570038335</v>
      </c>
    </row>
    <row r="799" spans="1:20" x14ac:dyDescent="0.25">
      <c r="A799" s="5">
        <v>43794</v>
      </c>
      <c r="B799">
        <v>1.98E-3</v>
      </c>
      <c r="C799">
        <v>1.98E-3</v>
      </c>
      <c r="D799">
        <v>1.645E-3</v>
      </c>
      <c r="E799">
        <v>1.861E-3</v>
      </c>
      <c r="F799">
        <v>240432363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0.28955223880597036</v>
      </c>
      <c r="Q799">
        <f t="shared" si="1005"/>
        <v>69617728.988059759</v>
      </c>
      <c r="R799">
        <f t="shared" si="1006"/>
        <v>-1631464954.5974586</v>
      </c>
      <c r="S799">
        <f t="shared" si="1007"/>
        <v>-16314.649545974586</v>
      </c>
      <c r="T799">
        <f t="shared" si="1008"/>
        <v>-16.314649545974586</v>
      </c>
    </row>
    <row r="800" spans="1:20" x14ac:dyDescent="0.25">
      <c r="A800" s="5">
        <v>43793</v>
      </c>
      <c r="B800">
        <v>2.2539999999999999E-3</v>
      </c>
      <c r="C800">
        <v>2.3890000000000001E-3</v>
      </c>
      <c r="D800">
        <v>1.913E-3</v>
      </c>
      <c r="E800">
        <v>1.946E-3</v>
      </c>
      <c r="F800">
        <v>186635224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-0.86134453781512588</v>
      </c>
      <c r="Q800">
        <f t="shared" si="1005"/>
        <v>-160757230.75630248</v>
      </c>
      <c r="R800">
        <f t="shared" si="1006"/>
        <v>-1701082683.5855184</v>
      </c>
      <c r="S800">
        <f t="shared" si="1007"/>
        <v>-17010.826835855183</v>
      </c>
      <c r="T800">
        <f t="shared" si="1008"/>
        <v>-17.010826835855184</v>
      </c>
    </row>
    <row r="801" spans="1:20" x14ac:dyDescent="0.25">
      <c r="A801" s="5">
        <v>43792</v>
      </c>
      <c r="B801">
        <v>2.4729999999999999E-3</v>
      </c>
      <c r="C801">
        <v>2.8999999999999998E-3</v>
      </c>
      <c r="D801">
        <v>2.1580000000000002E-3</v>
      </c>
      <c r="E801">
        <v>2.2539999999999999E-3</v>
      </c>
      <c r="F801">
        <v>557167784</v>
      </c>
      <c r="G801">
        <v>0</v>
      </c>
      <c r="L801" t="s">
        <v>7</v>
      </c>
      <c r="M801" t="s">
        <v>7</v>
      </c>
      <c r="N801" t="s">
        <v>7</v>
      </c>
      <c r="P801">
        <f t="shared" si="1004"/>
        <v>-0.74123989218328901</v>
      </c>
      <c r="Q801">
        <f t="shared" si="1005"/>
        <v>-412994988.14016205</v>
      </c>
      <c r="R801">
        <f t="shared" si="1006"/>
        <v>-1540325452.829216</v>
      </c>
      <c r="S801">
        <f t="shared" si="1007"/>
        <v>-15403.25452829216</v>
      </c>
      <c r="T801">
        <f t="shared" si="1008"/>
        <v>-15.403254528292161</v>
      </c>
    </row>
    <row r="802" spans="1:20" x14ac:dyDescent="0.25">
      <c r="A802" s="5">
        <v>43791</v>
      </c>
      <c r="B802">
        <v>1.9840000000000001E-3</v>
      </c>
      <c r="C802">
        <v>4.8999999999999998E-3</v>
      </c>
      <c r="D802">
        <v>1.9269999999999999E-3</v>
      </c>
      <c r="E802">
        <v>2.4729999999999999E-3</v>
      </c>
      <c r="F802">
        <v>1067849623</v>
      </c>
      <c r="G802">
        <v>0</v>
      </c>
      <c r="L802" t="s">
        <v>8</v>
      </c>
      <c r="M802" t="s">
        <v>8</v>
      </c>
      <c r="N802" t="s">
        <v>8</v>
      </c>
      <c r="P802">
        <f t="shared" si="1004"/>
        <v>-0.63269424823410692</v>
      </c>
      <c r="Q802">
        <f t="shared" si="1005"/>
        <v>-675622314.45105946</v>
      </c>
      <c r="R802">
        <f t="shared" si="1006"/>
        <v>-1127330464.689054</v>
      </c>
      <c r="S802">
        <f t="shared" si="1007"/>
        <v>-11273.30464689054</v>
      </c>
      <c r="T802">
        <f t="shared" si="1008"/>
        <v>-11.273304646890539</v>
      </c>
    </row>
    <row r="803" spans="1:20" x14ac:dyDescent="0.25">
      <c r="A803" s="5">
        <v>43790</v>
      </c>
      <c r="B803">
        <v>1.7489999999999999E-3</v>
      </c>
      <c r="C803">
        <v>2.2330000000000002E-3</v>
      </c>
      <c r="D803">
        <v>1.652E-3</v>
      </c>
      <c r="E803">
        <v>1.9810000000000001E-3</v>
      </c>
      <c r="F803">
        <v>336316450</v>
      </c>
      <c r="G803">
        <v>0</v>
      </c>
      <c r="L803" t="s">
        <v>8</v>
      </c>
      <c r="M803" t="s">
        <v>8</v>
      </c>
      <c r="N803" t="s">
        <v>8</v>
      </c>
      <c r="P803">
        <f t="shared" si="1004"/>
        <v>0.13253012048192772</v>
      </c>
      <c r="Q803">
        <f t="shared" si="1005"/>
        <v>44572059.638554223</v>
      </c>
      <c r="R803">
        <f t="shared" si="1006"/>
        <v>-451708150.23799443</v>
      </c>
      <c r="S803">
        <f t="shared" si="1007"/>
        <v>-4517.0815023799441</v>
      </c>
      <c r="T803">
        <f t="shared" si="1008"/>
        <v>-4.517081502379944</v>
      </c>
    </row>
    <row r="804" spans="1:20" x14ac:dyDescent="0.25">
      <c r="A804" s="5">
        <v>43789</v>
      </c>
      <c r="B804">
        <v>1.555E-3</v>
      </c>
      <c r="C804">
        <v>1.8E-3</v>
      </c>
      <c r="D804">
        <v>1.5430000000000001E-3</v>
      </c>
      <c r="E804">
        <v>1.74E-3</v>
      </c>
      <c r="F804">
        <v>74628791</v>
      </c>
      <c r="G804">
        <v>0</v>
      </c>
      <c r="L804" t="s">
        <v>8</v>
      </c>
      <c r="M804" t="s">
        <v>7</v>
      </c>
      <c r="N804" t="s">
        <v>7</v>
      </c>
      <c r="P804">
        <f t="shared" si="1004"/>
        <v>0.53307392996108971</v>
      </c>
      <c r="Q804">
        <f t="shared" si="1005"/>
        <v>39782662.906614803</v>
      </c>
      <c r="R804">
        <f t="shared" si="1006"/>
        <v>-496280209.87654865</v>
      </c>
      <c r="S804">
        <f t="shared" si="1007"/>
        <v>-4962.8020987654863</v>
      </c>
      <c r="T804">
        <f t="shared" si="1008"/>
        <v>-4.9628020987654864</v>
      </c>
    </row>
    <row r="805" spans="1:20" x14ac:dyDescent="0.25">
      <c r="A805" s="5">
        <v>43788</v>
      </c>
      <c r="B805">
        <v>1.652E-3</v>
      </c>
      <c r="C805">
        <v>1.6590000000000001E-3</v>
      </c>
      <c r="D805">
        <v>1.526E-3</v>
      </c>
      <c r="E805">
        <v>1.555E-3</v>
      </c>
      <c r="F805">
        <v>25387561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-0.56390977443609136</v>
      </c>
      <c r="Q805">
        <f t="shared" si="1005"/>
        <v>-14316293.796992511</v>
      </c>
      <c r="R805">
        <f t="shared" si="1006"/>
        <v>-536062872.78316343</v>
      </c>
      <c r="S805">
        <f t="shared" si="1007"/>
        <v>-5360.628727831634</v>
      </c>
      <c r="T805">
        <f t="shared" si="1008"/>
        <v>-5.3606287278316342</v>
      </c>
    </row>
    <row r="806" spans="1:20" x14ac:dyDescent="0.25">
      <c r="A806" s="5">
        <v>43787</v>
      </c>
      <c r="B806">
        <v>1.6459999999999999E-3</v>
      </c>
      <c r="C806">
        <v>1.7160000000000001E-3</v>
      </c>
      <c r="D806">
        <v>1.601E-3</v>
      </c>
      <c r="E806">
        <v>1.652E-3</v>
      </c>
      <c r="F806">
        <v>29130227</v>
      </c>
      <c r="G806">
        <v>0</v>
      </c>
      <c r="L806" t="s">
        <v>7</v>
      </c>
      <c r="M806" t="s">
        <v>8</v>
      </c>
      <c r="N806" t="s">
        <v>7</v>
      </c>
      <c r="P806">
        <f t="shared" si="1004"/>
        <v>-0.1130434782608694</v>
      </c>
      <c r="Q806">
        <f t="shared" si="1005"/>
        <v>-3292982.1826086906</v>
      </c>
      <c r="R806">
        <f t="shared" si="1006"/>
        <v>-521746578.98617089</v>
      </c>
      <c r="S806">
        <f t="shared" si="1007"/>
        <v>-5217.4657898617088</v>
      </c>
      <c r="T806">
        <f t="shared" si="1008"/>
        <v>-5.2174657898617092</v>
      </c>
    </row>
    <row r="807" spans="1:20" x14ac:dyDescent="0.25">
      <c r="A807" s="5">
        <v>43786</v>
      </c>
      <c r="B807">
        <v>1.701E-3</v>
      </c>
      <c r="C807">
        <v>1.709E-3</v>
      </c>
      <c r="D807">
        <v>1.6429999999999999E-3</v>
      </c>
      <c r="E807">
        <v>1.6620000000000001E-3</v>
      </c>
      <c r="F807">
        <v>27754475</v>
      </c>
      <c r="G807">
        <v>0</v>
      </c>
      <c r="L807" t="s">
        <v>7</v>
      </c>
      <c r="M807" t="s">
        <v>8</v>
      </c>
      <c r="N807" t="s">
        <v>7</v>
      </c>
      <c r="P807">
        <f t="shared" si="1004"/>
        <v>-0.42424242424242087</v>
      </c>
      <c r="Q807">
        <f t="shared" si="1005"/>
        <v>-11774625.757575665</v>
      </c>
      <c r="R807">
        <f t="shared" si="1006"/>
        <v>-518453596.80356222</v>
      </c>
      <c r="S807">
        <f t="shared" si="1007"/>
        <v>-5184.5359680356223</v>
      </c>
      <c r="T807">
        <f t="shared" si="1008"/>
        <v>-5.1845359680356227</v>
      </c>
    </row>
    <row r="808" spans="1:20" x14ac:dyDescent="0.25">
      <c r="A808" s="5">
        <v>43785</v>
      </c>
      <c r="B808">
        <v>1.776E-3</v>
      </c>
      <c r="C808">
        <v>1.7960000000000001E-3</v>
      </c>
      <c r="D808">
        <v>1.6509999999999999E-3</v>
      </c>
      <c r="E808">
        <v>1.701E-3</v>
      </c>
      <c r="F808">
        <v>37034808</v>
      </c>
      <c r="G808">
        <v>0</v>
      </c>
      <c r="L808" t="s">
        <v>8</v>
      </c>
      <c r="M808" t="s">
        <v>8</v>
      </c>
      <c r="N808" t="s">
        <v>7</v>
      </c>
      <c r="P808">
        <f t="shared" si="1004"/>
        <v>-0.31034482758620585</v>
      </c>
      <c r="Q808">
        <f t="shared" si="1005"/>
        <v>-11493561.103448236</v>
      </c>
      <c r="R808">
        <f t="shared" si="1006"/>
        <v>-506678971.04598653</v>
      </c>
      <c r="S808">
        <f t="shared" si="1007"/>
        <v>-5066.7897104598651</v>
      </c>
      <c r="T808">
        <f t="shared" si="1008"/>
        <v>-5.0667897104598651</v>
      </c>
    </row>
    <row r="809" spans="1:20" x14ac:dyDescent="0.25">
      <c r="A809" s="5">
        <v>43784</v>
      </c>
      <c r="B809">
        <v>1.5939999999999999E-3</v>
      </c>
      <c r="C809">
        <v>1.859E-3</v>
      </c>
      <c r="D809">
        <v>1.57E-3</v>
      </c>
      <c r="E809">
        <v>1.776E-3</v>
      </c>
      <c r="F809">
        <v>76053888</v>
      </c>
      <c r="G809">
        <v>0</v>
      </c>
      <c r="L809" t="s">
        <v>7</v>
      </c>
      <c r="M809" t="s">
        <v>8</v>
      </c>
      <c r="N809" t="s">
        <v>7</v>
      </c>
      <c r="P809">
        <f t="shared" si="1004"/>
        <v>0.42560553633218018</v>
      </c>
      <c r="Q809">
        <f t="shared" si="1005"/>
        <v>32368955.792387564</v>
      </c>
      <c r="R809">
        <f t="shared" si="1006"/>
        <v>-495185409.94253832</v>
      </c>
      <c r="S809">
        <f t="shared" si="1007"/>
        <v>-4951.8540994253835</v>
      </c>
      <c r="T809">
        <f t="shared" si="1008"/>
        <v>-4.9518540994253835</v>
      </c>
    </row>
    <row r="810" spans="1:20" x14ac:dyDescent="0.25">
      <c r="A810" s="5">
        <v>43783</v>
      </c>
      <c r="B810">
        <v>1.709E-3</v>
      </c>
      <c r="C810">
        <v>1.709E-3</v>
      </c>
      <c r="D810">
        <v>1.573E-3</v>
      </c>
      <c r="E810">
        <v>1.588E-3</v>
      </c>
      <c r="F810">
        <v>38274500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-0.77941176470588192</v>
      </c>
      <c r="Q810">
        <f t="shared" si="1005"/>
        <v>-29831595.588235278</v>
      </c>
      <c r="R810">
        <f t="shared" si="1006"/>
        <v>-527554365.73492587</v>
      </c>
      <c r="S810">
        <f t="shared" si="1007"/>
        <v>-5275.5436573492589</v>
      </c>
      <c r="T810">
        <f t="shared" si="1008"/>
        <v>-5.2755436573492585</v>
      </c>
    </row>
    <row r="811" spans="1:20" x14ac:dyDescent="0.25">
      <c r="A811" s="5">
        <v>43782</v>
      </c>
      <c r="B811">
        <v>1.6540000000000001E-3</v>
      </c>
      <c r="C811">
        <v>1.7440000000000001E-3</v>
      </c>
      <c r="D811">
        <v>1.6509999999999999E-3</v>
      </c>
      <c r="E811">
        <v>1.701E-3</v>
      </c>
      <c r="F811">
        <v>22458942</v>
      </c>
      <c r="G811">
        <v>0</v>
      </c>
      <c r="L811" t="s">
        <v>7</v>
      </c>
      <c r="M811" t="s">
        <v>7</v>
      </c>
      <c r="N811" t="s">
        <v>7</v>
      </c>
      <c r="P811">
        <f t="shared" si="1004"/>
        <v>7.5268817204301577E-2</v>
      </c>
      <c r="Q811">
        <f t="shared" si="1005"/>
        <v>1690458.0000000112</v>
      </c>
      <c r="R811">
        <f t="shared" si="1006"/>
        <v>-497722770.14669061</v>
      </c>
      <c r="S811">
        <f t="shared" si="1007"/>
        <v>-4977.2277014669062</v>
      </c>
      <c r="T811">
        <f t="shared" si="1008"/>
        <v>-4.977227701466906</v>
      </c>
    </row>
    <row r="812" spans="1:20" x14ac:dyDescent="0.25">
      <c r="A812" s="5">
        <v>43781</v>
      </c>
      <c r="B812">
        <v>1.678E-3</v>
      </c>
      <c r="C812">
        <v>1.727E-3</v>
      </c>
      <c r="D812">
        <v>1.6410000000000001E-3</v>
      </c>
      <c r="E812">
        <v>1.6590000000000001E-3</v>
      </c>
      <c r="F812">
        <v>37782563</v>
      </c>
      <c r="G812">
        <v>0</v>
      </c>
      <c r="L812" t="s">
        <v>7</v>
      </c>
      <c r="M812" t="s">
        <v>7</v>
      </c>
      <c r="N812" t="s">
        <v>7</v>
      </c>
      <c r="P812">
        <f t="shared" si="1004"/>
        <v>-0.58139534883720878</v>
      </c>
      <c r="Q812">
        <f t="shared" si="1005"/>
        <v>-21966606.395348817</v>
      </c>
      <c r="R812">
        <f t="shared" si="1006"/>
        <v>-499413228.14669061</v>
      </c>
      <c r="S812">
        <f t="shared" si="1007"/>
        <v>-4994.1322814669056</v>
      </c>
      <c r="T812">
        <f t="shared" si="1008"/>
        <v>-4.9941322814669054</v>
      </c>
    </row>
    <row r="813" spans="1:20" x14ac:dyDescent="0.25">
      <c r="A813" s="5">
        <v>43780</v>
      </c>
      <c r="B813">
        <v>1.6999999999999999E-3</v>
      </c>
      <c r="C813">
        <v>1.7600000000000001E-3</v>
      </c>
      <c r="D813">
        <v>1.647E-3</v>
      </c>
      <c r="E813">
        <v>1.6900000000000001E-3</v>
      </c>
      <c r="F813">
        <v>29625479</v>
      </c>
      <c r="G813">
        <v>0</v>
      </c>
      <c r="L813" t="s">
        <v>7</v>
      </c>
      <c r="M813" t="s">
        <v>7</v>
      </c>
      <c r="N813" t="s">
        <v>7</v>
      </c>
      <c r="P813">
        <f t="shared" si="1004"/>
        <v>-0.23893805309734414</v>
      </c>
      <c r="Q813">
        <f t="shared" si="1005"/>
        <v>-7078654.2743362542</v>
      </c>
      <c r="R813">
        <f t="shared" si="1006"/>
        <v>-477446621.75134176</v>
      </c>
      <c r="S813">
        <f t="shared" si="1007"/>
        <v>-4774.4662175134172</v>
      </c>
      <c r="T813">
        <f t="shared" si="1008"/>
        <v>-4.7744662175134174</v>
      </c>
    </row>
    <row r="814" spans="1:20" x14ac:dyDescent="0.25">
      <c r="A814" s="5">
        <v>43779</v>
      </c>
      <c r="B814">
        <v>1.6999999999999999E-3</v>
      </c>
      <c r="C814">
        <v>1.779E-3</v>
      </c>
      <c r="D814">
        <v>1.6639999999999999E-3</v>
      </c>
      <c r="E814">
        <v>1.6999999999999999E-3</v>
      </c>
      <c r="F814">
        <v>77360116</v>
      </c>
      <c r="G814">
        <v>0</v>
      </c>
      <c r="L814" t="s">
        <v>7</v>
      </c>
      <c r="M814" t="s">
        <v>7</v>
      </c>
      <c r="N814" t="s">
        <v>7</v>
      </c>
      <c r="P814">
        <f t="shared" si="1004"/>
        <v>-0.37391304347826121</v>
      </c>
      <c r="Q814">
        <f t="shared" si="1005"/>
        <v>-28925956.41739133</v>
      </c>
      <c r="R814">
        <f t="shared" si="1006"/>
        <v>-470367967.47700548</v>
      </c>
      <c r="S814">
        <f t="shared" si="1007"/>
        <v>-4703.6796747700546</v>
      </c>
      <c r="T814">
        <f t="shared" si="1008"/>
        <v>-4.7036796747700542</v>
      </c>
    </row>
    <row r="815" spans="1:20" x14ac:dyDescent="0.25">
      <c r="A815" s="5">
        <v>43778</v>
      </c>
      <c r="B815">
        <v>1.7409999999999999E-3</v>
      </c>
      <c r="C815">
        <v>1.8500000000000001E-3</v>
      </c>
      <c r="D815">
        <v>1.6659999999999999E-3</v>
      </c>
      <c r="E815">
        <v>1.702E-3</v>
      </c>
      <c r="F815">
        <v>56012487</v>
      </c>
      <c r="G815">
        <v>0</v>
      </c>
      <c r="L815" t="s">
        <v>8</v>
      </c>
      <c r="M815" t="s">
        <v>7</v>
      </c>
      <c r="N815" t="s">
        <v>7</v>
      </c>
      <c r="P815">
        <f t="shared" si="1004"/>
        <v>-0.60869565217391319</v>
      </c>
      <c r="Q815">
        <f t="shared" si="1005"/>
        <v>-34094557.304347835</v>
      </c>
      <c r="R815">
        <f t="shared" si="1006"/>
        <v>-441442011.05961412</v>
      </c>
      <c r="S815">
        <f t="shared" si="1007"/>
        <v>-4414.4201105961411</v>
      </c>
      <c r="T815">
        <f t="shared" si="1008"/>
        <v>-4.4144201105961409</v>
      </c>
    </row>
    <row r="816" spans="1:20" x14ac:dyDescent="0.25">
      <c r="A816" s="5">
        <v>43777</v>
      </c>
      <c r="B816">
        <v>1.913E-3</v>
      </c>
      <c r="C816">
        <v>2.0639999999999999E-3</v>
      </c>
      <c r="D816">
        <v>1.6609999999999999E-3</v>
      </c>
      <c r="E816">
        <v>1.737E-3</v>
      </c>
      <c r="F816">
        <v>168906845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-0.62282878411910603</v>
      </c>
      <c r="Q816">
        <f t="shared" si="1005"/>
        <v>-105200044.9007443</v>
      </c>
      <c r="R816">
        <f t="shared" si="1006"/>
        <v>-407347453.75526631</v>
      </c>
      <c r="S816">
        <f t="shared" si="1007"/>
        <v>-4073.4745375526632</v>
      </c>
      <c r="T816">
        <f t="shared" si="1008"/>
        <v>-4.0734745375526629</v>
      </c>
    </row>
    <row r="817" spans="1:20" x14ac:dyDescent="0.25">
      <c r="A817" s="5">
        <v>43776</v>
      </c>
      <c r="B817">
        <v>1.426E-3</v>
      </c>
      <c r="C817">
        <v>3.7580000000000001E-3</v>
      </c>
      <c r="D817">
        <v>1.3129999999999999E-3</v>
      </c>
      <c r="E817">
        <v>1.913E-3</v>
      </c>
      <c r="F817">
        <v>629410151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-0.50920245398773001</v>
      </c>
      <c r="Q817">
        <f t="shared" si="1005"/>
        <v>-320497193.45398772</v>
      </c>
      <c r="R817">
        <f t="shared" si="1006"/>
        <v>-302147408.85452199</v>
      </c>
      <c r="S817">
        <f t="shared" si="1007"/>
        <v>-3021.4740885452197</v>
      </c>
      <c r="T817">
        <f t="shared" si="1008"/>
        <v>-3.0214740885452196</v>
      </c>
    </row>
    <row r="818" spans="1:20" x14ac:dyDescent="0.25">
      <c r="A818" s="5">
        <v>43775</v>
      </c>
      <c r="B818">
        <v>1.439E-3</v>
      </c>
      <c r="C818">
        <v>1.4519999999999999E-3</v>
      </c>
      <c r="D818">
        <v>1.392E-3</v>
      </c>
      <c r="E818">
        <v>1.431E-3</v>
      </c>
      <c r="F818">
        <v>16922424</v>
      </c>
      <c r="G818">
        <v>0</v>
      </c>
      <c r="L818" t="s">
        <v>8</v>
      </c>
      <c r="M818" t="s">
        <v>7</v>
      </c>
      <c r="N818" t="s">
        <v>7</v>
      </c>
      <c r="P818">
        <f t="shared" si="1004"/>
        <v>0.30000000000000038</v>
      </c>
      <c r="Q818">
        <f t="shared" si="1005"/>
        <v>5076727.2000000067</v>
      </c>
      <c r="R818">
        <f t="shared" si="1006"/>
        <v>18349784.599465743</v>
      </c>
      <c r="S818">
        <f t="shared" si="1007"/>
        <v>183.49784599465744</v>
      </c>
      <c r="T818">
        <f t="shared" si="1008"/>
        <v>0.18349784599465743</v>
      </c>
    </row>
    <row r="819" spans="1:20" x14ac:dyDescent="0.25">
      <c r="A819" s="5">
        <v>43774</v>
      </c>
      <c r="B819">
        <v>1.3699999999999999E-3</v>
      </c>
      <c r="C819">
        <v>1.441E-3</v>
      </c>
      <c r="D819">
        <v>1.3619999999999999E-3</v>
      </c>
      <c r="E819">
        <v>1.439E-3</v>
      </c>
      <c r="F819">
        <v>15801937</v>
      </c>
      <c r="G819">
        <v>0</v>
      </c>
      <c r="L819" t="s">
        <v>8</v>
      </c>
      <c r="M819" t="s">
        <v>7</v>
      </c>
      <c r="N819" t="s">
        <v>7</v>
      </c>
      <c r="P819">
        <f t="shared" si="1004"/>
        <v>0.94936708860759378</v>
      </c>
      <c r="Q819">
        <f t="shared" si="1005"/>
        <v>15001838.924050614</v>
      </c>
      <c r="R819">
        <f t="shared" si="1006"/>
        <v>13273057.399465736</v>
      </c>
      <c r="S819">
        <f t="shared" si="1007"/>
        <v>132.73057399465736</v>
      </c>
      <c r="T819">
        <f t="shared" si="1008"/>
        <v>0.13273057399465737</v>
      </c>
    </row>
    <row r="820" spans="1:20" x14ac:dyDescent="0.25">
      <c r="A820" s="5">
        <v>43773</v>
      </c>
      <c r="B820">
        <v>1.3810000000000001E-3</v>
      </c>
      <c r="C820">
        <v>1.3990000000000001E-3</v>
      </c>
      <c r="D820">
        <v>1.3630000000000001E-3</v>
      </c>
      <c r="E820">
        <v>1.3699999999999999E-3</v>
      </c>
      <c r="F820">
        <v>12685093</v>
      </c>
      <c r="G820">
        <v>0</v>
      </c>
      <c r="L820" t="s">
        <v>8</v>
      </c>
      <c r="M820" t="s">
        <v>7</v>
      </c>
      <c r="N820" t="s">
        <v>7</v>
      </c>
      <c r="P820">
        <f t="shared" si="1004"/>
        <v>-0.61111111111111982</v>
      </c>
      <c r="Q820">
        <f t="shared" si="1005"/>
        <v>-7752001.2777778879</v>
      </c>
      <c r="R820">
        <f t="shared" si="1006"/>
        <v>-1728781.5245848792</v>
      </c>
      <c r="S820">
        <f t="shared" si="1007"/>
        <v>-17.28781524584879</v>
      </c>
      <c r="T820">
        <f t="shared" si="1008"/>
        <v>-1.7287815245848791E-2</v>
      </c>
    </row>
    <row r="821" spans="1:20" x14ac:dyDescent="0.25">
      <c r="A821" s="5">
        <v>43772</v>
      </c>
      <c r="B821">
        <v>1.403E-3</v>
      </c>
      <c r="C821">
        <v>1.4270000000000001E-3</v>
      </c>
      <c r="D821">
        <v>1.364E-3</v>
      </c>
      <c r="E821">
        <v>1.3879999999999999E-3</v>
      </c>
      <c r="F821">
        <v>14688586</v>
      </c>
      <c r="G821">
        <v>0</v>
      </c>
      <c r="L821" t="s">
        <v>8</v>
      </c>
      <c r="M821" t="s">
        <v>7</v>
      </c>
      <c r="N821" t="s">
        <v>7</v>
      </c>
      <c r="P821">
        <f t="shared" si="1004"/>
        <v>-0.23809523809524169</v>
      </c>
      <c r="Q821">
        <f t="shared" si="1005"/>
        <v>-3497282.3809524337</v>
      </c>
      <c r="R821">
        <f t="shared" si="1006"/>
        <v>6023219.7531930087</v>
      </c>
      <c r="S821">
        <f t="shared" si="1007"/>
        <v>60.23219753193009</v>
      </c>
      <c r="T821">
        <f t="shared" si="1008"/>
        <v>6.0232197531930091E-2</v>
      </c>
    </row>
    <row r="822" spans="1:20" x14ac:dyDescent="0.25">
      <c r="A822" s="5">
        <v>43771</v>
      </c>
      <c r="B822">
        <v>1.379E-3</v>
      </c>
      <c r="C822">
        <v>1.42E-3</v>
      </c>
      <c r="D822">
        <v>1.3680000000000001E-3</v>
      </c>
      <c r="E822">
        <v>1.3910000000000001E-3</v>
      </c>
      <c r="F822">
        <v>11882357</v>
      </c>
      <c r="G822">
        <v>0</v>
      </c>
      <c r="L822" t="s">
        <v>8</v>
      </c>
      <c r="M822" t="s">
        <v>7</v>
      </c>
      <c r="N822" t="s">
        <v>7</v>
      </c>
      <c r="P822">
        <f t="shared" si="1004"/>
        <v>-0.1153846153846141</v>
      </c>
      <c r="Q822">
        <f t="shared" si="1005"/>
        <v>-1371041.1923076771</v>
      </c>
      <c r="R822">
        <f t="shared" si="1006"/>
        <v>9520502.1341454424</v>
      </c>
      <c r="S822">
        <f t="shared" si="1007"/>
        <v>95.205021341454426</v>
      </c>
      <c r="T822">
        <f t="shared" si="1008"/>
        <v>9.5205021341454421E-2</v>
      </c>
    </row>
    <row r="823" spans="1:20" x14ac:dyDescent="0.25">
      <c r="A823" s="5">
        <v>43770</v>
      </c>
      <c r="B823">
        <v>1.395E-3</v>
      </c>
      <c r="C823">
        <v>1.4170000000000001E-3</v>
      </c>
      <c r="D823">
        <v>1.3600000000000001E-3</v>
      </c>
      <c r="E823">
        <v>1.3680000000000001E-3</v>
      </c>
      <c r="F823">
        <v>13928608</v>
      </c>
      <c r="G823">
        <v>0</v>
      </c>
      <c r="L823" t="s">
        <v>8</v>
      </c>
      <c r="M823" t="s">
        <v>7</v>
      </c>
      <c r="N823" t="s">
        <v>7</v>
      </c>
      <c r="P823">
        <f t="shared" si="1004"/>
        <v>-0.71929824561403577</v>
      </c>
      <c r="Q823">
        <f t="shared" si="1005"/>
        <v>-10018823.298245624</v>
      </c>
      <c r="R823">
        <f t="shared" si="1006"/>
        <v>10891543.32645312</v>
      </c>
      <c r="S823">
        <f t="shared" si="1007"/>
        <v>108.91543326453119</v>
      </c>
      <c r="T823">
        <f t="shared" si="1008"/>
        <v>0.10891543326453119</v>
      </c>
    </row>
    <row r="824" spans="1:20" x14ac:dyDescent="0.25">
      <c r="A824" s="5">
        <v>43769</v>
      </c>
      <c r="B824">
        <v>1.358E-3</v>
      </c>
      <c r="C824">
        <v>1.4250000000000001E-3</v>
      </c>
      <c r="D824">
        <v>1.312E-3</v>
      </c>
      <c r="E824">
        <v>1.3940000000000001E-3</v>
      </c>
      <c r="F824">
        <v>12208135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0.45132743362831884</v>
      </c>
      <c r="Q824">
        <f t="shared" si="1005"/>
        <v>5509866.2389380559</v>
      </c>
      <c r="R824">
        <f t="shared" si="1006"/>
        <v>20910366.624698743</v>
      </c>
      <c r="S824">
        <f t="shared" si="1007"/>
        <v>209.10366624698744</v>
      </c>
      <c r="T824">
        <f t="shared" si="1008"/>
        <v>0.20910366624698745</v>
      </c>
    </row>
    <row r="825" spans="1:20" x14ac:dyDescent="0.25">
      <c r="A825" s="5">
        <v>43768</v>
      </c>
      <c r="B825">
        <v>1.3749999999999999E-3</v>
      </c>
      <c r="C825">
        <v>1.389E-3</v>
      </c>
      <c r="D825">
        <v>1.323E-3</v>
      </c>
      <c r="E825">
        <v>1.353E-3</v>
      </c>
      <c r="F825">
        <v>7487737</v>
      </c>
      <c r="G825">
        <v>0</v>
      </c>
      <c r="L825" t="s">
        <v>7</v>
      </c>
      <c r="M825" t="s">
        <v>7</v>
      </c>
      <c r="N825" t="s">
        <v>7</v>
      </c>
      <c r="P825">
        <f t="shared" si="1004"/>
        <v>-9.0909090909089718E-2</v>
      </c>
      <c r="Q825">
        <f t="shared" si="1005"/>
        <v>-680703.36363635468</v>
      </c>
      <c r="R825">
        <f t="shared" si="1006"/>
        <v>15400500.385760685</v>
      </c>
      <c r="S825">
        <f t="shared" si="1007"/>
        <v>154.00500385760685</v>
      </c>
      <c r="T825">
        <f t="shared" si="1008"/>
        <v>0.15400500385760685</v>
      </c>
    </row>
    <row r="826" spans="1:20" x14ac:dyDescent="0.25">
      <c r="A826" s="5">
        <v>43767</v>
      </c>
      <c r="B826">
        <v>1.408E-3</v>
      </c>
      <c r="C826">
        <v>1.869E-3</v>
      </c>
      <c r="D826">
        <v>1.2999999999999999E-3</v>
      </c>
      <c r="E826">
        <v>1.3749999999999999E-3</v>
      </c>
      <c r="F826">
        <v>102910516</v>
      </c>
      <c r="G826">
        <v>0</v>
      </c>
      <c r="L826" t="s">
        <v>8</v>
      </c>
      <c r="M826" t="s">
        <v>8</v>
      </c>
      <c r="N826" t="s">
        <v>8</v>
      </c>
      <c r="P826">
        <f t="shared" si="1004"/>
        <v>-0.73637961335676638</v>
      </c>
      <c r="Q826">
        <f t="shared" si="1005"/>
        <v>-75781205.982425317</v>
      </c>
      <c r="R826">
        <f t="shared" si="1006"/>
        <v>16081203.749397039</v>
      </c>
      <c r="S826">
        <f t="shared" si="1007"/>
        <v>160.81203749397039</v>
      </c>
      <c r="T826">
        <f t="shared" si="1008"/>
        <v>0.16081203749397038</v>
      </c>
    </row>
    <row r="827" spans="1:20" x14ac:dyDescent="0.25">
      <c r="A827" s="5">
        <v>43766</v>
      </c>
      <c r="B827">
        <v>1.361E-3</v>
      </c>
      <c r="C827">
        <v>1.4250000000000001E-3</v>
      </c>
      <c r="D827">
        <v>1.338E-3</v>
      </c>
      <c r="E827">
        <v>1.4040000000000001E-3</v>
      </c>
      <c r="F827">
        <v>14424631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0.51724137931034586</v>
      </c>
      <c r="Q827">
        <f t="shared" si="1005"/>
        <v>7461016.0344827734</v>
      </c>
      <c r="R827">
        <f t="shared" si="1006"/>
        <v>91862409.731822357</v>
      </c>
      <c r="S827">
        <f t="shared" si="1007"/>
        <v>918.62409731822356</v>
      </c>
      <c r="T827">
        <f t="shared" si="1008"/>
        <v>0.91862409731822359</v>
      </c>
    </row>
    <row r="828" spans="1:20" x14ac:dyDescent="0.25">
      <c r="A828" s="5">
        <v>43765</v>
      </c>
      <c r="B828">
        <v>1.263E-3</v>
      </c>
      <c r="C828">
        <v>1.3940000000000001E-3</v>
      </c>
      <c r="D828">
        <v>1.2489999999999999E-3</v>
      </c>
      <c r="E828">
        <v>1.3470000000000001E-3</v>
      </c>
      <c r="F828">
        <v>19258548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0.35172413793103591</v>
      </c>
      <c r="Q828">
        <f t="shared" si="1005"/>
        <v>6773696.1931034755</v>
      </c>
      <c r="R828">
        <f t="shared" si="1006"/>
        <v>84401393.697339579</v>
      </c>
      <c r="S828">
        <f t="shared" si="1007"/>
        <v>844.01393697339574</v>
      </c>
      <c r="T828">
        <f t="shared" si="1008"/>
        <v>0.84401393697339577</v>
      </c>
    </row>
    <row r="829" spans="1:20" x14ac:dyDescent="0.25">
      <c r="A829" s="5">
        <v>43764</v>
      </c>
      <c r="B829">
        <v>1.315E-3</v>
      </c>
      <c r="C829">
        <v>1.4289999999999999E-3</v>
      </c>
      <c r="D829">
        <v>1.24E-3</v>
      </c>
      <c r="E829">
        <v>1.2830000000000001E-3</v>
      </c>
      <c r="F829">
        <v>40900700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-0.54497354497354411</v>
      </c>
      <c r="Q829">
        <f t="shared" si="1005"/>
        <v>-22289799.470899437</v>
      </c>
      <c r="R829">
        <f t="shared" si="1006"/>
        <v>77627697.504236102</v>
      </c>
      <c r="S829">
        <f t="shared" si="1007"/>
        <v>776.27697504236107</v>
      </c>
      <c r="T829">
        <f t="shared" si="1008"/>
        <v>0.77627697504236104</v>
      </c>
    </row>
    <row r="830" spans="1:20" x14ac:dyDescent="0.25">
      <c r="A830" s="5">
        <v>43763</v>
      </c>
      <c r="B830">
        <v>1.286E-3</v>
      </c>
      <c r="C830">
        <v>1.374E-3</v>
      </c>
      <c r="D830">
        <v>1.145E-3</v>
      </c>
      <c r="E830">
        <v>1.2979999999999999E-3</v>
      </c>
      <c r="F830">
        <v>33287361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0.33624454148471528</v>
      </c>
      <c r="Q830">
        <f t="shared" si="1005"/>
        <v>11192693.436681194</v>
      </c>
      <c r="R830">
        <f t="shared" si="1006"/>
        <v>99917496.975135535</v>
      </c>
      <c r="S830">
        <f t="shared" si="1007"/>
        <v>999.17496975135532</v>
      </c>
      <c r="T830">
        <f t="shared" si="1008"/>
        <v>0.99917496975135534</v>
      </c>
    </row>
    <row r="831" spans="1:20" x14ac:dyDescent="0.25">
      <c r="A831" s="5">
        <v>43762</v>
      </c>
      <c r="B831">
        <v>1.289E-3</v>
      </c>
      <c r="C831">
        <v>1.304E-3</v>
      </c>
      <c r="D831">
        <v>1.2700000000000001E-3</v>
      </c>
      <c r="E831">
        <v>1.294E-3</v>
      </c>
      <c r="F831">
        <v>7499039</v>
      </c>
      <c r="G831">
        <v>0</v>
      </c>
      <c r="L831" t="s">
        <v>8</v>
      </c>
      <c r="M831" t="s">
        <v>7</v>
      </c>
      <c r="N831" t="s">
        <v>8</v>
      </c>
      <c r="P831">
        <f t="shared" ref="P831:P889" si="1009">IF(C831=D831,0,((E831-D831)-(C831-E831))/(C831-D831))</f>
        <v>0.4117647058823507</v>
      </c>
      <c r="Q831">
        <f t="shared" ref="Q831:Q889" si="1010">F831*P831</f>
        <v>3087839.5882352772</v>
      </c>
      <c r="R831">
        <f t="shared" ref="R831:R889" si="1011">R832+Q831</f>
        <v>88724803.538454339</v>
      </c>
      <c r="S831">
        <f t="shared" ref="S831:S889" si="1012">R831/100000</f>
        <v>887.24803538454341</v>
      </c>
      <c r="T831">
        <f t="shared" ref="T831:T889" si="1013">S831/1000</f>
        <v>0.88724803538454344</v>
      </c>
    </row>
    <row r="832" spans="1:20" x14ac:dyDescent="0.25">
      <c r="A832" s="5">
        <v>43761</v>
      </c>
      <c r="B832">
        <v>1.431E-3</v>
      </c>
      <c r="C832">
        <v>1.431E-3</v>
      </c>
      <c r="D832">
        <v>1.2080000000000001E-3</v>
      </c>
      <c r="E832">
        <v>1.2830000000000001E-3</v>
      </c>
      <c r="F832">
        <v>13072445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-0.32735426008968593</v>
      </c>
      <c r="Q832">
        <f t="shared" si="1010"/>
        <v>-4279320.560538114</v>
      </c>
      <c r="R832">
        <f t="shared" si="1011"/>
        <v>85636963.950219065</v>
      </c>
      <c r="S832">
        <f t="shared" si="1012"/>
        <v>856.36963950219069</v>
      </c>
      <c r="T832">
        <f t="shared" si="1013"/>
        <v>0.85636963950219069</v>
      </c>
    </row>
    <row r="833" spans="1:20" x14ac:dyDescent="0.25">
      <c r="A833" s="5">
        <v>43760</v>
      </c>
      <c r="B833">
        <v>1.4610000000000001E-3</v>
      </c>
      <c r="C833">
        <v>1.4970000000000001E-3</v>
      </c>
      <c r="D833">
        <v>1.4270000000000001E-3</v>
      </c>
      <c r="E833">
        <v>1.4270000000000001E-3</v>
      </c>
      <c r="F833">
        <v>3589389</v>
      </c>
      <c r="G833">
        <v>0</v>
      </c>
      <c r="L833" t="s">
        <v>8</v>
      </c>
      <c r="M833" t="s">
        <v>7</v>
      </c>
      <c r="N833" t="s">
        <v>8</v>
      </c>
      <c r="P833">
        <f t="shared" si="1009"/>
        <v>-1</v>
      </c>
      <c r="Q833">
        <f t="shared" si="1010"/>
        <v>-3589389</v>
      </c>
      <c r="R833">
        <f t="shared" si="1011"/>
        <v>89916284.510757178</v>
      </c>
      <c r="S833">
        <f t="shared" si="1012"/>
        <v>899.1628451075718</v>
      </c>
      <c r="T833">
        <f t="shared" si="1013"/>
        <v>0.89916284510757183</v>
      </c>
    </row>
    <row r="834" spans="1:20" x14ac:dyDescent="0.25">
      <c r="A834" s="5">
        <v>43759</v>
      </c>
      <c r="B834">
        <v>1.477E-3</v>
      </c>
      <c r="C834">
        <v>1.488E-3</v>
      </c>
      <c r="D834">
        <v>1.4220000000000001E-3</v>
      </c>
      <c r="E834">
        <v>1.4679999999999999E-3</v>
      </c>
      <c r="F834">
        <v>11763998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0.39393939393939115</v>
      </c>
      <c r="Q834">
        <f t="shared" si="1010"/>
        <v>4634302.2424242096</v>
      </c>
      <c r="R834">
        <f t="shared" si="1011"/>
        <v>93505673.510757178</v>
      </c>
      <c r="S834">
        <f t="shared" si="1012"/>
        <v>935.05673510757174</v>
      </c>
      <c r="T834">
        <f t="shared" si="1013"/>
        <v>0.9350567351075717</v>
      </c>
    </row>
    <row r="835" spans="1:20" x14ac:dyDescent="0.25">
      <c r="A835" s="5">
        <v>43758</v>
      </c>
      <c r="B835">
        <v>1.4170000000000001E-3</v>
      </c>
      <c r="C835">
        <v>1.4959999999999999E-3</v>
      </c>
      <c r="D835">
        <v>1.389E-3</v>
      </c>
      <c r="E835">
        <v>1.4909999999999999E-3</v>
      </c>
      <c r="F835">
        <v>10168113</v>
      </c>
      <c r="G835">
        <v>0</v>
      </c>
      <c r="L835" t="s">
        <v>8</v>
      </c>
      <c r="M835" t="s">
        <v>7</v>
      </c>
      <c r="N835" t="s">
        <v>8</v>
      </c>
      <c r="P835">
        <f t="shared" si="1009"/>
        <v>0.90654205607476601</v>
      </c>
      <c r="Q835">
        <f t="shared" si="1010"/>
        <v>9217822.0654205568</v>
      </c>
      <c r="R835">
        <f t="shared" si="1011"/>
        <v>88871371.268332973</v>
      </c>
      <c r="S835">
        <f t="shared" si="1012"/>
        <v>888.71371268332973</v>
      </c>
      <c r="T835">
        <f t="shared" si="1013"/>
        <v>0.88871371268332977</v>
      </c>
    </row>
    <row r="836" spans="1:20" x14ac:dyDescent="0.25">
      <c r="A836" s="5">
        <v>43757</v>
      </c>
      <c r="B836">
        <v>1.33E-3</v>
      </c>
      <c r="C836">
        <v>1.4779999999999999E-3</v>
      </c>
      <c r="D836">
        <v>1.305E-3</v>
      </c>
      <c r="E836">
        <v>1.4469999999999999E-3</v>
      </c>
      <c r="F836">
        <v>22394115</v>
      </c>
      <c r="G836">
        <v>0</v>
      </c>
      <c r="L836" t="s">
        <v>8</v>
      </c>
      <c r="M836" t="s">
        <v>7</v>
      </c>
      <c r="N836" t="s">
        <v>8</v>
      </c>
      <c r="P836">
        <f t="shared" si="1009"/>
        <v>0.64161849710982666</v>
      </c>
      <c r="Q836">
        <f t="shared" si="1010"/>
        <v>14368478.410404626</v>
      </c>
      <c r="R836">
        <f t="shared" si="1011"/>
        <v>79653549.20291242</v>
      </c>
      <c r="S836">
        <f t="shared" si="1012"/>
        <v>796.53549202912416</v>
      </c>
      <c r="T836">
        <f t="shared" si="1013"/>
        <v>0.7965354920291241</v>
      </c>
    </row>
    <row r="837" spans="1:20" x14ac:dyDescent="0.25">
      <c r="A837" s="5">
        <v>43756</v>
      </c>
      <c r="B837">
        <v>1.3780000000000001E-3</v>
      </c>
      <c r="C837">
        <v>1.3780000000000001E-3</v>
      </c>
      <c r="D837">
        <v>1.2930000000000001E-3</v>
      </c>
      <c r="E837">
        <v>1.3320000000000001E-3</v>
      </c>
      <c r="F837">
        <v>21549931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-8.2352941176471309E-2</v>
      </c>
      <c r="Q837">
        <f t="shared" si="1010"/>
        <v>-1774700.2000000156</v>
      </c>
      <c r="R837">
        <f t="shared" si="1011"/>
        <v>65285070.792507797</v>
      </c>
      <c r="S837">
        <f t="shared" si="1012"/>
        <v>652.85070792507793</v>
      </c>
      <c r="T837">
        <f t="shared" si="1013"/>
        <v>0.65285070792507793</v>
      </c>
    </row>
    <row r="838" spans="1:20" x14ac:dyDescent="0.25">
      <c r="A838" s="5">
        <v>43755</v>
      </c>
      <c r="B838">
        <v>1.3879999999999999E-3</v>
      </c>
      <c r="C838">
        <v>1.405E-3</v>
      </c>
      <c r="D838">
        <v>1.31E-3</v>
      </c>
      <c r="E838">
        <v>1.3699999999999999E-3</v>
      </c>
      <c r="F838">
        <v>22960561</v>
      </c>
      <c r="G838">
        <v>0</v>
      </c>
      <c r="L838" t="s">
        <v>7</v>
      </c>
      <c r="M838" t="s">
        <v>7</v>
      </c>
      <c r="N838" t="s">
        <v>8</v>
      </c>
      <c r="P838">
        <f t="shared" si="1009"/>
        <v>0.26315789473684043</v>
      </c>
      <c r="Q838">
        <f t="shared" si="1010"/>
        <v>6042252.8947368031</v>
      </c>
      <c r="R838">
        <f t="shared" si="1011"/>
        <v>67059770.992507815</v>
      </c>
      <c r="S838">
        <f t="shared" si="1012"/>
        <v>670.59770992507811</v>
      </c>
      <c r="T838">
        <f t="shared" si="1013"/>
        <v>0.67059770992507806</v>
      </c>
    </row>
    <row r="839" spans="1:20" x14ac:dyDescent="0.25">
      <c r="A839" s="5">
        <v>43754</v>
      </c>
      <c r="B839">
        <v>1.4760000000000001E-3</v>
      </c>
      <c r="C839">
        <v>1.5070000000000001E-3</v>
      </c>
      <c r="D839">
        <v>1.3550000000000001E-3</v>
      </c>
      <c r="E839">
        <v>1.4040000000000001E-3</v>
      </c>
      <c r="F839">
        <v>10493695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-0.35526315789473689</v>
      </c>
      <c r="Q839">
        <f t="shared" si="1010"/>
        <v>-3728023.2236842113</v>
      </c>
      <c r="R839">
        <f t="shared" si="1011"/>
        <v>61017518.097771011</v>
      </c>
      <c r="S839">
        <f t="shared" si="1012"/>
        <v>610.17518097771006</v>
      </c>
      <c r="T839">
        <f t="shared" si="1013"/>
        <v>0.61017518097771006</v>
      </c>
    </row>
    <row r="840" spans="1:20" x14ac:dyDescent="0.25">
      <c r="A840" s="5">
        <v>43753</v>
      </c>
      <c r="B840">
        <v>1.5380000000000001E-3</v>
      </c>
      <c r="C840">
        <v>1.6050000000000001E-3</v>
      </c>
      <c r="D840">
        <v>1.4710000000000001E-3</v>
      </c>
      <c r="E840">
        <v>1.5020000000000001E-3</v>
      </c>
      <c r="F840">
        <v>18908256</v>
      </c>
      <c r="G840">
        <v>0</v>
      </c>
      <c r="L840" t="s">
        <v>8</v>
      </c>
      <c r="M840" t="s">
        <v>8</v>
      </c>
      <c r="N840" t="s">
        <v>8</v>
      </c>
      <c r="P840">
        <f t="shared" si="1009"/>
        <v>-0.537313432835821</v>
      </c>
      <c r="Q840">
        <f t="shared" si="1010"/>
        <v>-10159659.940298509</v>
      </c>
      <c r="R840">
        <f t="shared" si="1011"/>
        <v>64745541.321455225</v>
      </c>
      <c r="S840">
        <f t="shared" si="1012"/>
        <v>647.45541321455221</v>
      </c>
      <c r="T840">
        <f t="shared" si="1013"/>
        <v>0.64745541321455224</v>
      </c>
    </row>
    <row r="841" spans="1:20" x14ac:dyDescent="0.25">
      <c r="A841" s="5">
        <v>43752</v>
      </c>
      <c r="B841">
        <v>1.4499999999999999E-3</v>
      </c>
      <c r="C841">
        <v>1.534E-3</v>
      </c>
      <c r="D841">
        <v>1.4430000000000001E-3</v>
      </c>
      <c r="E841">
        <v>1.5089999999999999E-3</v>
      </c>
      <c r="F841">
        <v>10333613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0.45054945054944873</v>
      </c>
      <c r="Q841">
        <f t="shared" si="1010"/>
        <v>4655803.6593406405</v>
      </c>
      <c r="R841">
        <f t="shared" si="1011"/>
        <v>74905201.261753738</v>
      </c>
      <c r="S841">
        <f t="shared" si="1012"/>
        <v>749.05201261753734</v>
      </c>
      <c r="T841">
        <f t="shared" si="1013"/>
        <v>0.74905201261753729</v>
      </c>
    </row>
    <row r="842" spans="1:20" x14ac:dyDescent="0.25">
      <c r="A842" s="5">
        <v>43751</v>
      </c>
      <c r="B842">
        <v>1.4970000000000001E-3</v>
      </c>
      <c r="C842">
        <v>1.5349999999999999E-3</v>
      </c>
      <c r="D842">
        <v>1.4400000000000001E-3</v>
      </c>
      <c r="E842">
        <v>1.4660000000000001E-3</v>
      </c>
      <c r="F842">
        <v>7980069</v>
      </c>
      <c r="G842">
        <v>0</v>
      </c>
      <c r="L842" t="s">
        <v>8</v>
      </c>
      <c r="M842" t="s">
        <v>8</v>
      </c>
      <c r="N842" t="s">
        <v>8</v>
      </c>
      <c r="P842">
        <f t="shared" si="1009"/>
        <v>-0.45263157894736777</v>
      </c>
      <c r="Q842">
        <f t="shared" si="1010"/>
        <v>-3612031.2315789424</v>
      </c>
      <c r="R842">
        <f t="shared" si="1011"/>
        <v>70249397.602413103</v>
      </c>
      <c r="S842">
        <f t="shared" si="1012"/>
        <v>702.49397602413103</v>
      </c>
      <c r="T842">
        <f t="shared" si="1013"/>
        <v>0.70249397602413099</v>
      </c>
    </row>
    <row r="843" spans="1:20" x14ac:dyDescent="0.25">
      <c r="A843" s="5">
        <v>43750</v>
      </c>
      <c r="B843">
        <v>1.474E-3</v>
      </c>
      <c r="C843">
        <v>1.531E-3</v>
      </c>
      <c r="D843">
        <v>1.4549999999999999E-3</v>
      </c>
      <c r="E843">
        <v>1.4790000000000001E-3</v>
      </c>
      <c r="F843">
        <v>17520385</v>
      </c>
      <c r="G843">
        <v>0</v>
      </c>
      <c r="L843" t="s">
        <v>8</v>
      </c>
      <c r="M843" t="s">
        <v>8</v>
      </c>
      <c r="N843" t="s">
        <v>8</v>
      </c>
      <c r="P843">
        <f t="shared" si="1009"/>
        <v>-0.36842105263157593</v>
      </c>
      <c r="Q843">
        <f t="shared" si="1010"/>
        <v>-6454878.6842104737</v>
      </c>
      <c r="R843">
        <f t="shared" si="1011"/>
        <v>73861428.833992049</v>
      </c>
      <c r="S843">
        <f t="shared" si="1012"/>
        <v>738.61428833992045</v>
      </c>
      <c r="T843">
        <f t="shared" si="1013"/>
        <v>0.73861428833992049</v>
      </c>
    </row>
    <row r="844" spans="1:20" x14ac:dyDescent="0.25">
      <c r="A844" s="5">
        <v>43749</v>
      </c>
      <c r="B844">
        <v>1.4400000000000001E-3</v>
      </c>
      <c r="C844">
        <v>1.5460000000000001E-3</v>
      </c>
      <c r="D844">
        <v>1.3699999999999999E-3</v>
      </c>
      <c r="E844">
        <v>1.4920000000000001E-3</v>
      </c>
      <c r="F844">
        <v>15224274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0.3863636363636368</v>
      </c>
      <c r="Q844">
        <f t="shared" si="1010"/>
        <v>5882105.8636363698</v>
      </c>
      <c r="R844">
        <f t="shared" si="1011"/>
        <v>80316307.518202528</v>
      </c>
      <c r="S844">
        <f t="shared" si="1012"/>
        <v>803.1630751820253</v>
      </c>
      <c r="T844">
        <f t="shared" si="1013"/>
        <v>0.80316307518202534</v>
      </c>
    </row>
    <row r="845" spans="1:20" x14ac:dyDescent="0.25">
      <c r="A845" s="5">
        <v>43748</v>
      </c>
      <c r="B845">
        <v>1.4679999999999999E-3</v>
      </c>
      <c r="C845">
        <v>1.506E-3</v>
      </c>
      <c r="D845">
        <v>1.4E-3</v>
      </c>
      <c r="E845">
        <v>1.4499999999999999E-3</v>
      </c>
      <c r="F845">
        <v>20344811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-5.6603773584907049E-2</v>
      </c>
      <c r="Q845">
        <f t="shared" si="1010"/>
        <v>-1151593.0754717265</v>
      </c>
      <c r="R845">
        <f t="shared" si="1011"/>
        <v>74434201.654566154</v>
      </c>
      <c r="S845">
        <f t="shared" si="1012"/>
        <v>744.34201654566152</v>
      </c>
      <c r="T845">
        <f t="shared" si="1013"/>
        <v>0.74434201654566157</v>
      </c>
    </row>
    <row r="846" spans="1:20" x14ac:dyDescent="0.25">
      <c r="A846" s="5">
        <v>43747</v>
      </c>
      <c r="B846">
        <v>1.542E-3</v>
      </c>
      <c r="C846">
        <v>1.5590000000000001E-3</v>
      </c>
      <c r="D846">
        <v>1.42E-3</v>
      </c>
      <c r="E846">
        <v>1.467E-3</v>
      </c>
      <c r="F846">
        <v>22839186</v>
      </c>
      <c r="G846">
        <v>0</v>
      </c>
      <c r="L846" t="s">
        <v>7</v>
      </c>
      <c r="M846" t="s">
        <v>8</v>
      </c>
      <c r="N846" t="s">
        <v>8</v>
      </c>
      <c r="P846">
        <f t="shared" si="1009"/>
        <v>-0.32374100719424542</v>
      </c>
      <c r="Q846">
        <f t="shared" si="1010"/>
        <v>-7393981.0791367097</v>
      </c>
      <c r="R846">
        <f t="shared" si="1011"/>
        <v>75585794.730037883</v>
      </c>
      <c r="S846">
        <f t="shared" si="1012"/>
        <v>755.85794730037878</v>
      </c>
      <c r="T846">
        <f t="shared" si="1013"/>
        <v>0.75585794730037881</v>
      </c>
    </row>
    <row r="847" spans="1:20" x14ac:dyDescent="0.25">
      <c r="A847" s="5">
        <v>43746</v>
      </c>
      <c r="B847">
        <v>1.312E-3</v>
      </c>
      <c r="C847">
        <v>1.5679999999999999E-3</v>
      </c>
      <c r="D847">
        <v>1.312E-3</v>
      </c>
      <c r="E847">
        <v>1.5610000000000001E-3</v>
      </c>
      <c r="F847">
        <v>40472939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0.94531250000000122</v>
      </c>
      <c r="Q847">
        <f t="shared" si="1010"/>
        <v>38259575.148437552</v>
      </c>
      <c r="R847">
        <f t="shared" si="1011"/>
        <v>82979775.809174597</v>
      </c>
      <c r="S847">
        <f t="shared" si="1012"/>
        <v>829.797758091746</v>
      </c>
      <c r="T847">
        <f t="shared" si="1013"/>
        <v>0.82979775809174605</v>
      </c>
    </row>
    <row r="848" spans="1:20" x14ac:dyDescent="0.25">
      <c r="A848" s="5">
        <v>43745</v>
      </c>
      <c r="B848">
        <v>1.253E-3</v>
      </c>
      <c r="C848">
        <v>1.3760000000000001E-3</v>
      </c>
      <c r="D848">
        <v>1.2290000000000001E-3</v>
      </c>
      <c r="E848">
        <v>1.335E-3</v>
      </c>
      <c r="F848">
        <v>10450733</v>
      </c>
      <c r="G848">
        <v>0</v>
      </c>
      <c r="L848" t="s">
        <v>7</v>
      </c>
      <c r="M848" t="s">
        <v>8</v>
      </c>
      <c r="N848" t="s">
        <v>7</v>
      </c>
      <c r="P848">
        <f t="shared" si="1009"/>
        <v>0.44217687074829903</v>
      </c>
      <c r="Q848">
        <f t="shared" si="1010"/>
        <v>4621072.4149659835</v>
      </c>
      <c r="R848">
        <f t="shared" si="1011"/>
        <v>44720200.660737038</v>
      </c>
      <c r="S848">
        <f t="shared" si="1012"/>
        <v>447.20200660737038</v>
      </c>
      <c r="T848">
        <f t="shared" si="1013"/>
        <v>0.44720200660737036</v>
      </c>
    </row>
    <row r="849" spans="1:20" x14ac:dyDescent="0.25">
      <c r="A849" s="5">
        <v>43744</v>
      </c>
      <c r="B849">
        <v>1.33E-3</v>
      </c>
      <c r="C849">
        <v>1.3450000000000001E-3</v>
      </c>
      <c r="D849">
        <v>1.24E-3</v>
      </c>
      <c r="E849">
        <v>1.273E-3</v>
      </c>
      <c r="F849">
        <v>9200279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-0.37142857142857094</v>
      </c>
      <c r="Q849">
        <f t="shared" si="1010"/>
        <v>-3417246.4857142814</v>
      </c>
      <c r="R849">
        <f t="shared" si="1011"/>
        <v>40099128.245771058</v>
      </c>
      <c r="S849">
        <f t="shared" si="1012"/>
        <v>400.99128245771055</v>
      </c>
      <c r="T849">
        <f t="shared" si="1013"/>
        <v>0.40099128245771054</v>
      </c>
    </row>
    <row r="850" spans="1:20" x14ac:dyDescent="0.25">
      <c r="A850" s="5">
        <v>43743</v>
      </c>
      <c r="B850">
        <v>1.279E-3</v>
      </c>
      <c r="C850">
        <v>1.395E-3</v>
      </c>
      <c r="D850">
        <v>1.279E-3</v>
      </c>
      <c r="E850">
        <v>1.33E-3</v>
      </c>
      <c r="F850">
        <v>16606354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-0.12068965517241299</v>
      </c>
      <c r="Q850">
        <f t="shared" si="1010"/>
        <v>-2004215.1379310212</v>
      </c>
      <c r="R850">
        <f t="shared" si="1011"/>
        <v>43516374.731485337</v>
      </c>
      <c r="S850">
        <f t="shared" si="1012"/>
        <v>435.16374731485337</v>
      </c>
      <c r="T850">
        <f t="shared" si="1013"/>
        <v>0.43516374731485336</v>
      </c>
    </row>
    <row r="851" spans="1:20" x14ac:dyDescent="0.25">
      <c r="A851" s="5">
        <v>43742</v>
      </c>
      <c r="B851">
        <v>1.289E-3</v>
      </c>
      <c r="C851">
        <v>1.2979999999999999E-3</v>
      </c>
      <c r="D851">
        <v>1.2489999999999999E-3</v>
      </c>
      <c r="E851">
        <v>1.2949999999999999E-3</v>
      </c>
      <c r="F851">
        <v>3078298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0.87755102040816468</v>
      </c>
      <c r="Q851">
        <f t="shared" si="1010"/>
        <v>2701363.5510204127</v>
      </c>
      <c r="R851">
        <f t="shared" si="1011"/>
        <v>45520589.869416356</v>
      </c>
      <c r="S851">
        <f t="shared" si="1012"/>
        <v>455.20589869416358</v>
      </c>
      <c r="T851">
        <f t="shared" si="1013"/>
        <v>0.45520589869416356</v>
      </c>
    </row>
    <row r="852" spans="1:20" x14ac:dyDescent="0.25">
      <c r="A852" s="5">
        <v>43741</v>
      </c>
      <c r="B852">
        <v>1.258E-3</v>
      </c>
      <c r="C852">
        <v>1.31E-3</v>
      </c>
      <c r="D852">
        <v>1.224E-3</v>
      </c>
      <c r="E852">
        <v>1.2899999999999999E-3</v>
      </c>
      <c r="F852">
        <v>9012071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0.53488372093023095</v>
      </c>
      <c r="Q852">
        <f t="shared" si="1010"/>
        <v>4820410.0697674276</v>
      </c>
      <c r="R852">
        <f t="shared" si="1011"/>
        <v>42819226.318395942</v>
      </c>
      <c r="S852">
        <f t="shared" si="1012"/>
        <v>428.19226318395943</v>
      </c>
      <c r="T852">
        <f t="shared" si="1013"/>
        <v>0.42819226318395942</v>
      </c>
    </row>
    <row r="853" spans="1:20" x14ac:dyDescent="0.25">
      <c r="A853" s="5">
        <v>43740</v>
      </c>
      <c r="B853">
        <v>1.248E-3</v>
      </c>
      <c r="C853">
        <v>1.2600000000000001E-3</v>
      </c>
      <c r="D853">
        <v>1.1850000000000001E-3</v>
      </c>
      <c r="E853">
        <v>1.258E-3</v>
      </c>
      <c r="F853">
        <v>26191525</v>
      </c>
      <c r="G853">
        <v>0</v>
      </c>
      <c r="L853" t="s">
        <v>7</v>
      </c>
      <c r="M853" t="s">
        <v>7</v>
      </c>
      <c r="N853" t="s">
        <v>7</v>
      </c>
      <c r="P853">
        <f t="shared" si="1009"/>
        <v>0.94666666666666532</v>
      </c>
      <c r="Q853">
        <f t="shared" si="1010"/>
        <v>24794643.666666631</v>
      </c>
      <c r="R853">
        <f t="shared" si="1011"/>
        <v>37998816.248628512</v>
      </c>
      <c r="S853">
        <f t="shared" si="1012"/>
        <v>379.98816248628515</v>
      </c>
      <c r="T853">
        <f t="shared" si="1013"/>
        <v>0.37998816248628514</v>
      </c>
    </row>
    <row r="854" spans="1:20" x14ac:dyDescent="0.25">
      <c r="A854" s="5">
        <v>43739</v>
      </c>
      <c r="B854">
        <v>1.2110000000000001E-3</v>
      </c>
      <c r="C854">
        <v>1.405E-3</v>
      </c>
      <c r="D854">
        <v>1.145E-3</v>
      </c>
      <c r="E854">
        <v>1.2600000000000001E-3</v>
      </c>
      <c r="F854">
        <v>45460394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-0.11538461538461484</v>
      </c>
      <c r="Q854">
        <f t="shared" si="1010"/>
        <v>-5245430.0769230518</v>
      </c>
      <c r="R854">
        <f t="shared" si="1011"/>
        <v>13204172.58196188</v>
      </c>
      <c r="S854">
        <f t="shared" si="1012"/>
        <v>132.04172581961879</v>
      </c>
      <c r="T854">
        <f t="shared" si="1013"/>
        <v>0.13204172581961879</v>
      </c>
    </row>
    <row r="855" spans="1:20" x14ac:dyDescent="0.25">
      <c r="A855" s="5">
        <v>43738</v>
      </c>
      <c r="B855">
        <v>1.1440000000000001E-3</v>
      </c>
      <c r="C855">
        <v>1.323E-3</v>
      </c>
      <c r="D855">
        <v>1.067E-3</v>
      </c>
      <c r="E855">
        <v>1.2160000000000001E-3</v>
      </c>
      <c r="F855">
        <v>16793511</v>
      </c>
      <c r="G855">
        <v>0</v>
      </c>
      <c r="L855" t="s">
        <v>8</v>
      </c>
      <c r="M855" t="s">
        <v>7</v>
      </c>
      <c r="N855" t="s">
        <v>7</v>
      </c>
      <c r="P855">
        <f t="shared" si="1009"/>
        <v>0.16406250000000064</v>
      </c>
      <c r="Q855">
        <f t="shared" si="1010"/>
        <v>2755185.3984375107</v>
      </c>
      <c r="R855">
        <f t="shared" si="1011"/>
        <v>18449602.658884931</v>
      </c>
      <c r="S855">
        <f t="shared" si="1012"/>
        <v>184.4960265888493</v>
      </c>
      <c r="T855">
        <f t="shared" si="1013"/>
        <v>0.18449602658884931</v>
      </c>
    </row>
    <row r="856" spans="1:20" x14ac:dyDescent="0.25">
      <c r="A856" s="5">
        <v>43737</v>
      </c>
      <c r="B856">
        <v>1.2130000000000001E-3</v>
      </c>
      <c r="C856">
        <v>1.315E-3</v>
      </c>
      <c r="D856">
        <v>1.121E-3</v>
      </c>
      <c r="E856">
        <v>1.1410000000000001E-3</v>
      </c>
      <c r="F856">
        <v>10730003</v>
      </c>
      <c r="G856">
        <v>0</v>
      </c>
      <c r="L856" t="s">
        <v>8</v>
      </c>
      <c r="M856" t="s">
        <v>8</v>
      </c>
      <c r="N856" t="s">
        <v>7</v>
      </c>
      <c r="P856">
        <f t="shared" si="1009"/>
        <v>-0.79381443298969012</v>
      </c>
      <c r="Q856">
        <f t="shared" si="1010"/>
        <v>-8517631.2474226747</v>
      </c>
      <c r="R856">
        <f t="shared" si="1011"/>
        <v>15694417.260447422</v>
      </c>
      <c r="S856">
        <f t="shared" si="1012"/>
        <v>156.94417260447423</v>
      </c>
      <c r="T856">
        <f t="shared" si="1013"/>
        <v>0.15694417260447424</v>
      </c>
    </row>
    <row r="857" spans="1:20" x14ac:dyDescent="0.25">
      <c r="A857" s="5">
        <v>43736</v>
      </c>
      <c r="B857">
        <v>1.2030000000000001E-3</v>
      </c>
      <c r="C857">
        <v>1.2210000000000001E-3</v>
      </c>
      <c r="D857">
        <v>1.163E-3</v>
      </c>
      <c r="E857">
        <v>1.2130000000000001E-3</v>
      </c>
      <c r="F857">
        <v>5637249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0.72413793103448409</v>
      </c>
      <c r="Q857">
        <f t="shared" si="1010"/>
        <v>4082145.8275862145</v>
      </c>
      <c r="R857">
        <f t="shared" si="1011"/>
        <v>24212048.507870097</v>
      </c>
      <c r="S857">
        <f t="shared" si="1012"/>
        <v>242.12048507870097</v>
      </c>
      <c r="T857">
        <f t="shared" si="1013"/>
        <v>0.24212048507870096</v>
      </c>
    </row>
    <row r="858" spans="1:20" x14ac:dyDescent="0.25">
      <c r="A858" s="5">
        <v>43735</v>
      </c>
      <c r="B858">
        <v>1.1640000000000001E-3</v>
      </c>
      <c r="C858">
        <v>1.204E-3</v>
      </c>
      <c r="D858">
        <v>1.109E-3</v>
      </c>
      <c r="E858">
        <v>1.204E-3</v>
      </c>
      <c r="F858">
        <v>7527783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1</v>
      </c>
      <c r="Q858">
        <f t="shared" si="1010"/>
        <v>7527783</v>
      </c>
      <c r="R858">
        <f t="shared" si="1011"/>
        <v>20129902.680283882</v>
      </c>
      <c r="S858">
        <f t="shared" si="1012"/>
        <v>201.29902680283882</v>
      </c>
      <c r="T858">
        <f t="shared" si="1013"/>
        <v>0.20129902680283882</v>
      </c>
    </row>
    <row r="859" spans="1:20" x14ac:dyDescent="0.25">
      <c r="A859" s="5">
        <v>43734</v>
      </c>
      <c r="B859">
        <v>1.245E-3</v>
      </c>
      <c r="C859">
        <v>1.2849999999999999E-3</v>
      </c>
      <c r="D859">
        <v>1.121E-3</v>
      </c>
      <c r="E859">
        <v>1.175E-3</v>
      </c>
      <c r="F859">
        <v>6158061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-0.34146341463414565</v>
      </c>
      <c r="Q859">
        <f t="shared" si="1010"/>
        <v>-2102752.5365853617</v>
      </c>
      <c r="R859">
        <f t="shared" si="1011"/>
        <v>12602119.680283882</v>
      </c>
      <c r="S859">
        <f t="shared" si="1012"/>
        <v>126.02119680283882</v>
      </c>
      <c r="T859">
        <f t="shared" si="1013"/>
        <v>0.12602119680283883</v>
      </c>
    </row>
    <row r="860" spans="1:20" x14ac:dyDescent="0.25">
      <c r="A860" s="5">
        <v>43733</v>
      </c>
      <c r="B860">
        <v>1.2589999999999999E-3</v>
      </c>
      <c r="C860">
        <v>1.323E-3</v>
      </c>
      <c r="D860">
        <v>1.1620000000000001E-3</v>
      </c>
      <c r="E860">
        <v>1.25E-3</v>
      </c>
      <c r="F860">
        <v>5058784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9.3167701863354338E-2</v>
      </c>
      <c r="Q860">
        <f t="shared" si="1010"/>
        <v>471315.27950310713</v>
      </c>
      <c r="R860">
        <f t="shared" si="1011"/>
        <v>14704872.216869244</v>
      </c>
      <c r="S860">
        <f t="shared" si="1012"/>
        <v>147.04872216869245</v>
      </c>
      <c r="T860">
        <f t="shared" si="1013"/>
        <v>0.14704872216869244</v>
      </c>
    </row>
    <row r="861" spans="1:20" x14ac:dyDescent="0.25">
      <c r="A861" s="5">
        <v>43732</v>
      </c>
      <c r="B861">
        <v>1.4710000000000001E-3</v>
      </c>
      <c r="C861">
        <v>1.5E-3</v>
      </c>
      <c r="D861">
        <v>1.07E-3</v>
      </c>
      <c r="E861">
        <v>1.2440000000000001E-3</v>
      </c>
      <c r="F861">
        <v>11474397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-0.19069767441860422</v>
      </c>
      <c r="Q861">
        <f t="shared" si="1010"/>
        <v>-2188140.823255809</v>
      </c>
      <c r="R861">
        <f t="shared" si="1011"/>
        <v>14233556.937366137</v>
      </c>
      <c r="S861">
        <f t="shared" si="1012"/>
        <v>142.33556937366137</v>
      </c>
      <c r="T861">
        <f t="shared" si="1013"/>
        <v>0.14233556937366137</v>
      </c>
    </row>
    <row r="862" spans="1:20" x14ac:dyDescent="0.25">
      <c r="A862" s="5">
        <v>43731</v>
      </c>
      <c r="B862">
        <v>1.523E-3</v>
      </c>
      <c r="C862">
        <v>1.5920000000000001E-3</v>
      </c>
      <c r="D862">
        <v>1.446E-3</v>
      </c>
      <c r="E862">
        <v>1.474E-3</v>
      </c>
      <c r="F862">
        <v>7094514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-0.61643835616438336</v>
      </c>
      <c r="Q862">
        <f t="shared" si="1010"/>
        <v>-4373330.5479452042</v>
      </c>
      <c r="R862">
        <f t="shared" si="1011"/>
        <v>16421697.760621946</v>
      </c>
      <c r="S862">
        <f t="shared" si="1012"/>
        <v>164.21697760621947</v>
      </c>
      <c r="T862">
        <f t="shared" si="1013"/>
        <v>0.16421697760621948</v>
      </c>
    </row>
    <row r="863" spans="1:20" x14ac:dyDescent="0.25">
      <c r="A863" s="5">
        <v>43730</v>
      </c>
      <c r="B863">
        <v>1.536E-3</v>
      </c>
      <c r="C863">
        <v>1.5740000000000001E-3</v>
      </c>
      <c r="D863">
        <v>1.477E-3</v>
      </c>
      <c r="E863">
        <v>1.5380000000000001E-3</v>
      </c>
      <c r="F863">
        <v>9647394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0.25773195876288707</v>
      </c>
      <c r="Q863">
        <f t="shared" si="1010"/>
        <v>2486441.7525773239</v>
      </c>
      <c r="R863">
        <f t="shared" si="1011"/>
        <v>20795028.308567151</v>
      </c>
      <c r="S863">
        <f t="shared" si="1012"/>
        <v>207.95028308567151</v>
      </c>
      <c r="T863">
        <f t="shared" si="1013"/>
        <v>0.20795028308567151</v>
      </c>
    </row>
    <row r="864" spans="1:20" x14ac:dyDescent="0.25">
      <c r="A864" s="5">
        <v>43729</v>
      </c>
      <c r="B864">
        <v>1.5330000000000001E-3</v>
      </c>
      <c r="C864">
        <v>1.5759999999999999E-3</v>
      </c>
      <c r="D864">
        <v>1.4790000000000001E-3</v>
      </c>
      <c r="E864">
        <v>1.565E-3</v>
      </c>
      <c r="F864">
        <v>9263361</v>
      </c>
      <c r="G864">
        <v>0</v>
      </c>
      <c r="L864" t="s">
        <v>8</v>
      </c>
      <c r="M864" t="s">
        <v>7</v>
      </c>
      <c r="N864" t="s">
        <v>7</v>
      </c>
      <c r="P864">
        <f t="shared" si="1009"/>
        <v>0.77319587628866071</v>
      </c>
      <c r="Q864">
        <f t="shared" si="1010"/>
        <v>7162392.5257732039</v>
      </c>
      <c r="R864">
        <f t="shared" si="1011"/>
        <v>18308586.555989828</v>
      </c>
      <c r="S864">
        <f t="shared" si="1012"/>
        <v>183.08586555989828</v>
      </c>
      <c r="T864">
        <f t="shared" si="1013"/>
        <v>0.18308586555989828</v>
      </c>
    </row>
    <row r="865" spans="1:20" x14ac:dyDescent="0.25">
      <c r="A865" s="5">
        <v>43728</v>
      </c>
      <c r="B865">
        <v>1.5510000000000001E-3</v>
      </c>
      <c r="C865">
        <v>1.5629999999999999E-3</v>
      </c>
      <c r="D865">
        <v>1.487E-3</v>
      </c>
      <c r="E865">
        <v>1.5330000000000001E-3</v>
      </c>
      <c r="F865">
        <v>6092004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0.21052631578947623</v>
      </c>
      <c r="Q865">
        <f t="shared" si="1010"/>
        <v>1282527.1578947522</v>
      </c>
      <c r="R865">
        <f t="shared" si="1011"/>
        <v>11146194.030216625</v>
      </c>
      <c r="S865">
        <f t="shared" si="1012"/>
        <v>111.46194030216625</v>
      </c>
      <c r="T865">
        <f t="shared" si="1013"/>
        <v>0.11146194030216626</v>
      </c>
    </row>
    <row r="866" spans="1:20" x14ac:dyDescent="0.25">
      <c r="A866" s="5">
        <v>43727</v>
      </c>
      <c r="B866">
        <v>1.701E-3</v>
      </c>
      <c r="C866">
        <v>1.735E-3</v>
      </c>
      <c r="D866">
        <v>1.4630000000000001E-3</v>
      </c>
      <c r="E866">
        <v>1.5510000000000001E-3</v>
      </c>
      <c r="F866">
        <v>23297767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-0.3529411764705882</v>
      </c>
      <c r="Q866">
        <f t="shared" si="1010"/>
        <v>-8222741.2941176463</v>
      </c>
      <c r="R866">
        <f t="shared" si="1011"/>
        <v>9863666.872321872</v>
      </c>
      <c r="S866">
        <f t="shared" si="1012"/>
        <v>98.636668723218719</v>
      </c>
      <c r="T866">
        <f t="shared" si="1013"/>
        <v>9.8636668723218718E-2</v>
      </c>
    </row>
    <row r="867" spans="1:20" x14ac:dyDescent="0.25">
      <c r="A867" s="5">
        <v>43726</v>
      </c>
      <c r="B867">
        <v>1.5200000000000001E-3</v>
      </c>
      <c r="C867">
        <v>1.8190000000000001E-3</v>
      </c>
      <c r="D867">
        <v>1.4970000000000001E-3</v>
      </c>
      <c r="E867">
        <v>1.7420000000000001E-3</v>
      </c>
      <c r="F867">
        <v>26862982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0.52173913043478248</v>
      </c>
      <c r="Q867">
        <f t="shared" si="1010"/>
        <v>14015468.869565213</v>
      </c>
      <c r="R867">
        <f t="shared" si="1011"/>
        <v>18086408.166439518</v>
      </c>
      <c r="S867">
        <f t="shared" si="1012"/>
        <v>180.86408166439517</v>
      </c>
      <c r="T867">
        <f t="shared" si="1013"/>
        <v>0.18086408166439516</v>
      </c>
    </row>
    <row r="868" spans="1:20" x14ac:dyDescent="0.25">
      <c r="A868" s="5">
        <v>43725</v>
      </c>
      <c r="B868">
        <v>1.4220000000000001E-3</v>
      </c>
      <c r="C868">
        <v>1.5499999999999999E-3</v>
      </c>
      <c r="D868">
        <v>1.39E-3</v>
      </c>
      <c r="E868">
        <v>1.4920000000000001E-3</v>
      </c>
      <c r="F868">
        <v>6395547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0.2750000000000013</v>
      </c>
      <c r="Q868">
        <f t="shared" si="1010"/>
        <v>1758775.4250000082</v>
      </c>
      <c r="R868">
        <f t="shared" si="1011"/>
        <v>4070939.2968743071</v>
      </c>
      <c r="S868">
        <f t="shared" si="1012"/>
        <v>40.709392968743074</v>
      </c>
      <c r="T868">
        <f t="shared" si="1013"/>
        <v>4.0709392968743076E-2</v>
      </c>
    </row>
    <row r="869" spans="1:20" x14ac:dyDescent="0.25">
      <c r="A869" s="5">
        <v>43724</v>
      </c>
      <c r="B869">
        <v>1.3849999999999999E-3</v>
      </c>
      <c r="C869">
        <v>1.475E-3</v>
      </c>
      <c r="D869">
        <v>1.3669999999999999E-3</v>
      </c>
      <c r="E869">
        <v>1.4419999999999999E-3</v>
      </c>
      <c r="F869">
        <v>4806791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0.38888888888888823</v>
      </c>
      <c r="Q869">
        <f t="shared" si="1010"/>
        <v>1869307.611111108</v>
      </c>
      <c r="R869">
        <f t="shared" si="1011"/>
        <v>2312163.8718742989</v>
      </c>
      <c r="S869">
        <f t="shared" si="1012"/>
        <v>23.121638718742989</v>
      </c>
      <c r="T869">
        <f t="shared" si="1013"/>
        <v>2.3121638718742989E-2</v>
      </c>
    </row>
    <row r="870" spans="1:20" x14ac:dyDescent="0.25">
      <c r="A870" s="5">
        <v>43723</v>
      </c>
      <c r="B870">
        <v>1.3979999999999999E-3</v>
      </c>
      <c r="C870">
        <v>1.4009999999999999E-3</v>
      </c>
      <c r="D870">
        <v>1.335E-3</v>
      </c>
      <c r="E870">
        <v>1.366E-3</v>
      </c>
      <c r="F870">
        <v>1664084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-6.0606060606058915E-2</v>
      </c>
      <c r="Q870">
        <f t="shared" si="1010"/>
        <v>-100853.57575757294</v>
      </c>
      <c r="R870">
        <f t="shared" si="1011"/>
        <v>442856.26076319109</v>
      </c>
      <c r="S870">
        <f t="shared" si="1012"/>
        <v>4.4285626076319113</v>
      </c>
      <c r="T870">
        <f t="shared" si="1013"/>
        <v>4.4285626076319114E-3</v>
      </c>
    </row>
    <row r="871" spans="1:20" x14ac:dyDescent="0.25">
      <c r="A871" s="5">
        <v>43722</v>
      </c>
      <c r="B871">
        <v>1.389E-3</v>
      </c>
      <c r="C871">
        <v>1.3990000000000001E-3</v>
      </c>
      <c r="D871">
        <v>1.325E-3</v>
      </c>
      <c r="E871">
        <v>1.3979999999999999E-3</v>
      </c>
      <c r="F871">
        <v>6872050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0.97297297297296936</v>
      </c>
      <c r="Q871">
        <f t="shared" si="1010"/>
        <v>6686318.9189188937</v>
      </c>
      <c r="R871">
        <f t="shared" si="1011"/>
        <v>543709.83652076405</v>
      </c>
      <c r="S871">
        <f t="shared" si="1012"/>
        <v>5.4370983652076408</v>
      </c>
      <c r="T871">
        <f t="shared" si="1013"/>
        <v>5.4370983652076406E-3</v>
      </c>
    </row>
    <row r="872" spans="1:20" x14ac:dyDescent="0.25">
      <c r="A872" s="5">
        <v>43721</v>
      </c>
      <c r="B872">
        <v>1.3600000000000001E-3</v>
      </c>
      <c r="C872">
        <v>1.395E-3</v>
      </c>
      <c r="D872">
        <v>1.3270000000000001E-3</v>
      </c>
      <c r="E872">
        <v>1.395E-3</v>
      </c>
      <c r="F872">
        <v>3023792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1</v>
      </c>
      <c r="Q872">
        <f t="shared" si="1010"/>
        <v>3023792</v>
      </c>
      <c r="R872">
        <f t="shared" si="1011"/>
        <v>-6142609.0823981296</v>
      </c>
      <c r="S872">
        <f t="shared" si="1012"/>
        <v>-61.426090823981298</v>
      </c>
      <c r="T872">
        <f t="shared" si="1013"/>
        <v>-6.1426090823981296E-2</v>
      </c>
    </row>
    <row r="873" spans="1:20" x14ac:dyDescent="0.25">
      <c r="A873" s="5">
        <v>43720</v>
      </c>
      <c r="B873">
        <v>1.428E-3</v>
      </c>
      <c r="C873">
        <v>1.428E-3</v>
      </c>
      <c r="D873">
        <v>1.315E-3</v>
      </c>
      <c r="E873">
        <v>1.3600000000000001E-3</v>
      </c>
      <c r="F873">
        <v>5755891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-0.20353982300884774</v>
      </c>
      <c r="Q873">
        <f t="shared" si="1010"/>
        <v>-1171553.0353982197</v>
      </c>
      <c r="R873">
        <f t="shared" si="1011"/>
        <v>-9166401.0823981296</v>
      </c>
      <c r="S873">
        <f t="shared" si="1012"/>
        <v>-91.6640108239813</v>
      </c>
      <c r="T873">
        <f t="shared" si="1013"/>
        <v>-9.1664010823981304E-2</v>
      </c>
    </row>
    <row r="874" spans="1:20" x14ac:dyDescent="0.25">
      <c r="A874" s="5">
        <v>43719</v>
      </c>
      <c r="B874">
        <v>1.5610000000000001E-3</v>
      </c>
      <c r="C874">
        <v>1.567E-3</v>
      </c>
      <c r="D874">
        <v>1.3860000000000001E-3</v>
      </c>
      <c r="E874">
        <v>1.428E-3</v>
      </c>
      <c r="F874">
        <v>9621330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-0.53591160220994538</v>
      </c>
      <c r="Q874">
        <f t="shared" si="1010"/>
        <v>-5156182.3756906139</v>
      </c>
      <c r="R874">
        <f t="shared" si="1011"/>
        <v>-7994848.0469999099</v>
      </c>
      <c r="S874">
        <f t="shared" si="1012"/>
        <v>-79.948480469999097</v>
      </c>
      <c r="T874">
        <f t="shared" si="1013"/>
        <v>-7.9948480469999098E-2</v>
      </c>
    </row>
    <row r="875" spans="1:20" x14ac:dyDescent="0.25">
      <c r="A875" s="5">
        <v>43718</v>
      </c>
      <c r="B875">
        <v>1.5460000000000001E-3</v>
      </c>
      <c r="C875">
        <v>1.6490000000000001E-3</v>
      </c>
      <c r="D875">
        <v>1.4450000000000001E-3</v>
      </c>
      <c r="E875">
        <v>1.5690000000000001E-3</v>
      </c>
      <c r="F875">
        <v>10384169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0.21568627450980388</v>
      </c>
      <c r="Q875">
        <f t="shared" si="1010"/>
        <v>2239722.7254901957</v>
      </c>
      <c r="R875">
        <f t="shared" si="1011"/>
        <v>-2838665.671309296</v>
      </c>
      <c r="S875">
        <f t="shared" si="1012"/>
        <v>-28.386656713092961</v>
      </c>
      <c r="T875">
        <f t="shared" si="1013"/>
        <v>-2.8386656713092959E-2</v>
      </c>
    </row>
    <row r="876" spans="1:20" x14ac:dyDescent="0.25">
      <c r="A876" s="5">
        <v>43717</v>
      </c>
      <c r="B876">
        <v>1.4289999999999999E-3</v>
      </c>
      <c r="C876">
        <v>1.6800000000000001E-3</v>
      </c>
      <c r="D876">
        <v>1.351E-3</v>
      </c>
      <c r="E876">
        <v>1.547E-3</v>
      </c>
      <c r="F876">
        <v>19011869</v>
      </c>
      <c r="G876">
        <v>0</v>
      </c>
      <c r="L876" t="s">
        <v>8</v>
      </c>
      <c r="M876" t="s">
        <v>8</v>
      </c>
      <c r="N876" t="s">
        <v>7</v>
      </c>
      <c r="P876">
        <f t="shared" si="1009"/>
        <v>0.19148936170212733</v>
      </c>
      <c r="Q876">
        <f t="shared" si="1010"/>
        <v>3640570.6595744616</v>
      </c>
      <c r="R876">
        <f t="shared" si="1011"/>
        <v>-5078388.3967994917</v>
      </c>
      <c r="S876">
        <f t="shared" si="1012"/>
        <v>-50.783883967994917</v>
      </c>
      <c r="T876">
        <f t="shared" si="1013"/>
        <v>-5.0783883967994915E-2</v>
      </c>
    </row>
    <row r="877" spans="1:20" x14ac:dyDescent="0.25">
      <c r="A877" s="5">
        <v>43716</v>
      </c>
      <c r="B877">
        <v>1.4499999999999999E-3</v>
      </c>
      <c r="C877">
        <v>1.4530000000000001E-3</v>
      </c>
      <c r="D877">
        <v>1.3669999999999999E-3</v>
      </c>
      <c r="E877">
        <v>1.4319999999999999E-3</v>
      </c>
      <c r="F877">
        <v>2382106</v>
      </c>
      <c r="G877">
        <v>0</v>
      </c>
      <c r="L877" t="s">
        <v>7</v>
      </c>
      <c r="M877" t="s">
        <v>7</v>
      </c>
      <c r="N877" t="s">
        <v>7</v>
      </c>
      <c r="P877">
        <f t="shared" si="1009"/>
        <v>0.51162790697674065</v>
      </c>
      <c r="Q877">
        <f t="shared" si="1010"/>
        <v>1218751.9069767357</v>
      </c>
      <c r="R877">
        <f t="shared" si="1011"/>
        <v>-8718959.0563739538</v>
      </c>
      <c r="S877">
        <f t="shared" si="1012"/>
        <v>-87.189590563739543</v>
      </c>
      <c r="T877">
        <f t="shared" si="1013"/>
        <v>-8.7189590563739539E-2</v>
      </c>
    </row>
    <row r="878" spans="1:20" x14ac:dyDescent="0.25">
      <c r="A878" s="5">
        <v>43715</v>
      </c>
      <c r="B878">
        <v>1.3979999999999999E-3</v>
      </c>
      <c r="C878">
        <v>1.493E-3</v>
      </c>
      <c r="D878">
        <v>1.3420000000000001E-3</v>
      </c>
      <c r="E878">
        <v>1.4499999999999999E-3</v>
      </c>
      <c r="F878">
        <v>1116789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0.43046357615893899</v>
      </c>
      <c r="Q878">
        <f t="shared" si="1010"/>
        <v>480736.98675496533</v>
      </c>
      <c r="R878">
        <f t="shared" si="1011"/>
        <v>-9937710.963350689</v>
      </c>
      <c r="S878">
        <f t="shared" si="1012"/>
        <v>-99.37710963350689</v>
      </c>
      <c r="T878">
        <f t="shared" si="1013"/>
        <v>-9.9377109633506891E-2</v>
      </c>
    </row>
    <row r="879" spans="1:20" x14ac:dyDescent="0.25">
      <c r="A879" s="5">
        <v>43714</v>
      </c>
      <c r="B879">
        <v>1.408E-3</v>
      </c>
      <c r="C879">
        <v>1.4339999999999999E-3</v>
      </c>
      <c r="D879">
        <v>1.307E-3</v>
      </c>
      <c r="E879">
        <v>1.4059999999999999E-3</v>
      </c>
      <c r="F879">
        <v>3316633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0.55905511811023556</v>
      </c>
      <c r="Q879">
        <f t="shared" si="1010"/>
        <v>1854180.6535433049</v>
      </c>
      <c r="R879">
        <f t="shared" si="1011"/>
        <v>-10418447.950105654</v>
      </c>
      <c r="S879">
        <f t="shared" si="1012"/>
        <v>-104.18447950105654</v>
      </c>
      <c r="T879">
        <f t="shared" si="1013"/>
        <v>-0.10418447950105654</v>
      </c>
    </row>
    <row r="880" spans="1:20" x14ac:dyDescent="0.25">
      <c r="A880" s="5">
        <v>43713</v>
      </c>
      <c r="B880">
        <v>1.3990000000000001E-3</v>
      </c>
      <c r="C880">
        <v>1.4859999999999999E-3</v>
      </c>
      <c r="D880">
        <v>1.356E-3</v>
      </c>
      <c r="E880">
        <v>1.408E-3</v>
      </c>
      <c r="F880">
        <v>1855753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-0.2</v>
      </c>
      <c r="Q880">
        <f t="shared" si="1010"/>
        <v>-371150.60000000003</v>
      </c>
      <c r="R880">
        <f t="shared" si="1011"/>
        <v>-12272628.603648959</v>
      </c>
      <c r="S880">
        <f t="shared" si="1012"/>
        <v>-122.72628603648958</v>
      </c>
      <c r="T880">
        <f t="shared" si="1013"/>
        <v>-0.12272628603648958</v>
      </c>
    </row>
    <row r="881" spans="1:20" x14ac:dyDescent="0.25">
      <c r="A881" s="5">
        <v>43712</v>
      </c>
      <c r="B881">
        <v>1.4289999999999999E-3</v>
      </c>
      <c r="C881">
        <v>1.485E-3</v>
      </c>
      <c r="D881">
        <v>1.3699999999999999E-3</v>
      </c>
      <c r="E881">
        <v>1.3990000000000001E-3</v>
      </c>
      <c r="F881">
        <v>4144360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-0.49565217391304101</v>
      </c>
      <c r="Q881">
        <f t="shared" si="1010"/>
        <v>-2054161.0434782507</v>
      </c>
      <c r="R881">
        <f t="shared" si="1011"/>
        <v>-11901478.003648959</v>
      </c>
      <c r="S881">
        <f t="shared" si="1012"/>
        <v>-119.0147800364896</v>
      </c>
      <c r="T881">
        <f t="shared" si="1013"/>
        <v>-0.1190147800364896</v>
      </c>
    </row>
    <row r="882" spans="1:20" x14ac:dyDescent="0.25">
      <c r="A882" s="5">
        <v>43711</v>
      </c>
      <c r="B882">
        <v>1.456E-3</v>
      </c>
      <c r="C882">
        <v>1.4970000000000001E-3</v>
      </c>
      <c r="D882">
        <v>1.3990000000000001E-3</v>
      </c>
      <c r="E882">
        <v>1.4109999999999999E-3</v>
      </c>
      <c r="F882">
        <v>3157500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-0.75510204081632937</v>
      </c>
      <c r="Q882">
        <f t="shared" si="1010"/>
        <v>-2384234.6938775601</v>
      </c>
      <c r="R882">
        <f t="shared" si="1011"/>
        <v>-9847316.9601707086</v>
      </c>
      <c r="S882">
        <f t="shared" si="1012"/>
        <v>-98.473169601707085</v>
      </c>
      <c r="T882">
        <f t="shared" si="1013"/>
        <v>-9.8473169601707086E-2</v>
      </c>
    </row>
    <row r="883" spans="1:20" x14ac:dyDescent="0.25">
      <c r="A883" s="5">
        <v>43710</v>
      </c>
      <c r="B883">
        <v>1.4369999999999999E-3</v>
      </c>
      <c r="C883">
        <v>1.49E-3</v>
      </c>
      <c r="D883">
        <v>1.3960000000000001E-3</v>
      </c>
      <c r="E883">
        <v>1.423E-3</v>
      </c>
      <c r="F883">
        <v>3369308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-0.42553191489361858</v>
      </c>
      <c r="Q883">
        <f t="shared" si="1010"/>
        <v>-1433748.0851063882</v>
      </c>
      <c r="R883">
        <f t="shared" si="1011"/>
        <v>-7463082.2662931494</v>
      </c>
      <c r="S883">
        <f t="shared" si="1012"/>
        <v>-74.630822662931493</v>
      </c>
      <c r="T883">
        <f t="shared" si="1013"/>
        <v>-7.4630822662931487E-2</v>
      </c>
    </row>
    <row r="884" spans="1:20" x14ac:dyDescent="0.25">
      <c r="A884" s="5">
        <v>43709</v>
      </c>
      <c r="B884">
        <v>1.4250000000000001E-3</v>
      </c>
      <c r="C884">
        <v>1.469E-3</v>
      </c>
      <c r="D884">
        <v>1.4040000000000001E-3</v>
      </c>
      <c r="E884">
        <v>1.469E-3</v>
      </c>
      <c r="F884">
        <v>2990062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1</v>
      </c>
      <c r="Q884">
        <f t="shared" si="1010"/>
        <v>2990062</v>
      </c>
      <c r="R884">
        <f t="shared" si="1011"/>
        <v>-6029334.1811867617</v>
      </c>
      <c r="S884">
        <f t="shared" si="1012"/>
        <v>-60.29334181186762</v>
      </c>
      <c r="T884">
        <f t="shared" si="1013"/>
        <v>-6.0293341811867622E-2</v>
      </c>
    </row>
    <row r="885" spans="1:20" x14ac:dyDescent="0.25">
      <c r="A885" s="5">
        <v>43708</v>
      </c>
      <c r="B885">
        <v>1.403E-3</v>
      </c>
      <c r="C885">
        <v>1.5590000000000001E-3</v>
      </c>
      <c r="D885">
        <v>1.397E-3</v>
      </c>
      <c r="E885">
        <v>1.4430000000000001E-3</v>
      </c>
      <c r="F885">
        <v>2185603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-0.43209876543209846</v>
      </c>
      <c r="Q885">
        <f t="shared" si="1010"/>
        <v>-944396.35802469065</v>
      </c>
      <c r="R885">
        <f t="shared" si="1011"/>
        <v>-9019396.1811867617</v>
      </c>
      <c r="S885">
        <f t="shared" si="1012"/>
        <v>-90.193961811867624</v>
      </c>
      <c r="T885">
        <f t="shared" si="1013"/>
        <v>-9.0193961811867618E-2</v>
      </c>
    </row>
    <row r="886" spans="1:20" x14ac:dyDescent="0.25">
      <c r="A886" s="5">
        <v>43707</v>
      </c>
      <c r="B886">
        <v>1.4760000000000001E-3</v>
      </c>
      <c r="C886">
        <v>1.477E-3</v>
      </c>
      <c r="D886">
        <v>1.3940000000000001E-3</v>
      </c>
      <c r="E886">
        <v>1.4599999999999999E-3</v>
      </c>
      <c r="F886">
        <v>337686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0.59036144578313021</v>
      </c>
      <c r="Q886">
        <f t="shared" si="1010"/>
        <v>199356.79518072211</v>
      </c>
      <c r="R886">
        <f t="shared" si="1011"/>
        <v>-8074999.8231620705</v>
      </c>
      <c r="S886">
        <f t="shared" si="1012"/>
        <v>-80.749998231620708</v>
      </c>
      <c r="T886">
        <f t="shared" si="1013"/>
        <v>-8.0749998231620712E-2</v>
      </c>
    </row>
    <row r="887" spans="1:20" x14ac:dyDescent="0.25">
      <c r="A887" s="5">
        <v>43706</v>
      </c>
      <c r="B887">
        <v>1.472E-3</v>
      </c>
      <c r="C887">
        <v>1.5679999999999999E-3</v>
      </c>
      <c r="D887">
        <v>1.3749999999999999E-3</v>
      </c>
      <c r="E887">
        <v>1.4250000000000001E-3</v>
      </c>
      <c r="F887">
        <v>4362207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-0.48186528497409198</v>
      </c>
      <c r="Q887">
        <f t="shared" si="1010"/>
        <v>-2101996.1191709787</v>
      </c>
      <c r="R887">
        <f t="shared" si="1011"/>
        <v>-8274356.6183427926</v>
      </c>
      <c r="S887">
        <f t="shared" si="1012"/>
        <v>-82.74356618342793</v>
      </c>
      <c r="T887">
        <f t="shared" si="1013"/>
        <v>-8.274356618342793E-2</v>
      </c>
    </row>
    <row r="888" spans="1:20" x14ac:dyDescent="0.25">
      <c r="A888" s="5">
        <v>43705</v>
      </c>
      <c r="B888">
        <v>1.5950000000000001E-3</v>
      </c>
      <c r="C888">
        <v>1.681E-3</v>
      </c>
      <c r="D888">
        <v>1.4519999999999999E-3</v>
      </c>
      <c r="E888">
        <v>1.49E-3</v>
      </c>
      <c r="F888">
        <v>5465499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-0.66812227074235764</v>
      </c>
      <c r="Q888">
        <f t="shared" si="1010"/>
        <v>-3651621.6026200848</v>
      </c>
      <c r="R888">
        <f t="shared" si="1011"/>
        <v>-6172360.4991718139</v>
      </c>
      <c r="S888">
        <f t="shared" si="1012"/>
        <v>-61.72360499171814</v>
      </c>
      <c r="T888">
        <f t="shared" si="1013"/>
        <v>-6.172360499171814E-2</v>
      </c>
    </row>
    <row r="889" spans="1:20" x14ac:dyDescent="0.25">
      <c r="A889" s="5">
        <v>43704</v>
      </c>
      <c r="B889">
        <v>1.8E-3</v>
      </c>
      <c r="C889">
        <v>1.8220000000000001E-3</v>
      </c>
      <c r="D889">
        <v>1.5900000000000001E-3</v>
      </c>
      <c r="E889">
        <v>1.6379999999999999E-3</v>
      </c>
      <c r="F889">
        <v>4300084</v>
      </c>
      <c r="G889">
        <v>0</v>
      </c>
      <c r="P889">
        <f t="shared" si="1009"/>
        <v>-0.58620689655172531</v>
      </c>
      <c r="Q889">
        <f t="shared" si="1010"/>
        <v>-2520738.8965517292</v>
      </c>
      <c r="R889">
        <f t="shared" si="1011"/>
        <v>-2520738.8965517292</v>
      </c>
      <c r="S889">
        <f t="shared" si="1012"/>
        <v>-25.207388965517293</v>
      </c>
      <c r="T889">
        <f t="shared" si="1013"/>
        <v>-2.5207388965517292E-2</v>
      </c>
    </row>
    <row r="890" spans="1:20" x14ac:dyDescent="0.25">
      <c r="A890" s="5"/>
      <c r="C890" s="4"/>
      <c r="D890" s="4"/>
    </row>
    <row r="891" spans="1:20" x14ac:dyDescent="0.25">
      <c r="A891" s="5"/>
      <c r="C891" s="4"/>
      <c r="D891" s="4"/>
    </row>
    <row r="892" spans="1:20" x14ac:dyDescent="0.25">
      <c r="A892" s="5"/>
      <c r="C892" s="4"/>
      <c r="D892" s="4"/>
    </row>
    <row r="893" spans="1:20" x14ac:dyDescent="0.25">
      <c r="A893" s="5"/>
      <c r="C893" s="4"/>
      <c r="D893" s="4"/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SD844" sqref="SD84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$A$843</v>
      </c>
      <c r="D111" s="1" t="str">
        <f>ADDRESS(C121-1,D121,1,1)</f>
        <v>$SD$843</v>
      </c>
      <c r="E111"/>
    </row>
    <row r="112" spans="1:5" x14ac:dyDescent="0.25">
      <c r="A112" s="7">
        <v>12164.144957890772</v>
      </c>
      <c r="C112" s="1" t="str">
        <f>ADDRESS(C121,1,1,1)</f>
        <v>$A$844</v>
      </c>
      <c r="D112" s="1" t="str">
        <f>ADDRESS(C121,D121-1,1,1)</f>
        <v>$SC$844</v>
      </c>
      <c r="E112"/>
    </row>
    <row r="113" spans="1:5" x14ac:dyDescent="0.25">
      <c r="A113" s="7">
        <v>11925.63231165762</v>
      </c>
      <c r="C113" s="1" t="str">
        <f>ADDRESS(C121+1,1,1,1)</f>
        <v>$A$845</v>
      </c>
      <c r="D113" s="1" t="str">
        <f>ADDRESS(C121-1,D121+1,1,1)</f>
        <v>$SE$843</v>
      </c>
    </row>
    <row r="114" spans="1:5" x14ac:dyDescent="0.25">
      <c r="A114" s="7">
        <v>11691.796383978059</v>
      </c>
      <c r="C114" s="1" t="str">
        <f>ADDRESS(C121,D121,1,1)</f>
        <v>$SD$844</v>
      </c>
      <c r="D114" s="1" t="str">
        <f>ADDRESS(C121+1,D121+1,1,1)</f>
        <v>$SE$845</v>
      </c>
    </row>
    <row r="115" spans="1:5" x14ac:dyDescent="0.25">
      <c r="A115" s="7">
        <v>11462.545474488292</v>
      </c>
      <c r="C115" s="1" t="str">
        <f>ADDRESS(C121+1,D121,1,1)</f>
        <v>$SD$845</v>
      </c>
    </row>
    <row r="116" spans="1:5" x14ac:dyDescent="0.25">
      <c r="A116" s="7">
        <v>11237.789680870874</v>
      </c>
      <c r="C116" s="1">
        <f>C117-1</f>
        <v>843</v>
      </c>
    </row>
    <row r="117" spans="1:5" x14ac:dyDescent="0.25">
      <c r="A117" s="7">
        <v>11017.440863598895</v>
      </c>
      <c r="C117" s="1">
        <f>C121</f>
        <v>844</v>
      </c>
      <c r="D117" s="1">
        <f>D121</f>
        <v>498</v>
      </c>
    </row>
    <row r="118" spans="1:5" x14ac:dyDescent="0.25">
      <c r="A118" s="7">
        <v>10801.412611371465</v>
      </c>
      <c r="C118" s="1">
        <f>C117+1</f>
        <v>845</v>
      </c>
      <c r="D118" s="1">
        <f>D117+1</f>
        <v>499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844</v>
      </c>
      <c r="D121" s="19">
        <v>498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R844</v>
      </c>
      <c r="D123" s="1" t="str">
        <f>"C"&amp;D121</f>
        <v>C498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6.1624847447202076E-3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" x14ac:dyDescent="0.25">
      <c r="A737" s="7">
        <v>5.1283095966678877E-2</v>
      </c>
      <c r="B737"/>
      <c r="C737"/>
      <c r="D737"/>
      <c r="E737"/>
      <c r="F737" s="27" t="s">
        <v>7</v>
      </c>
    </row>
    <row r="738" spans="1:6" x14ac:dyDescent="0.25">
      <c r="A738" s="7">
        <v>5.0277545065371444E-2</v>
      </c>
      <c r="B738"/>
      <c r="C738"/>
      <c r="D738"/>
      <c r="E738"/>
      <c r="F738" s="27" t="s">
        <v>7</v>
      </c>
    </row>
    <row r="739" spans="1:6" x14ac:dyDescent="0.25">
      <c r="A739" s="7">
        <v>4.9291710848403378E-2</v>
      </c>
      <c r="B739"/>
      <c r="C739"/>
      <c r="D739"/>
      <c r="E739"/>
      <c r="F739" s="27" t="s">
        <v>7</v>
      </c>
    </row>
    <row r="740" spans="1:6" x14ac:dyDescent="0.25">
      <c r="A740" s="7">
        <v>4.8325206714120959E-2</v>
      </c>
      <c r="B740"/>
      <c r="C740"/>
      <c r="D740"/>
      <c r="E740"/>
      <c r="F740" s="27" t="s">
        <v>7</v>
      </c>
    </row>
    <row r="741" spans="1:6" x14ac:dyDescent="0.25">
      <c r="A741" s="7">
        <v>4.7377653641295057E-2</v>
      </c>
      <c r="B741"/>
      <c r="C741"/>
      <c r="D741"/>
      <c r="E741"/>
      <c r="F741" s="27" t="s">
        <v>7</v>
      </c>
    </row>
    <row r="742" spans="1:6" x14ac:dyDescent="0.25">
      <c r="A742" s="7">
        <v>4.644868004048535E-2</v>
      </c>
      <c r="B742"/>
      <c r="C742"/>
      <c r="D742"/>
      <c r="E742"/>
      <c r="F742" s="27" t="s">
        <v>7</v>
      </c>
    </row>
    <row r="743" spans="1:6" x14ac:dyDescent="0.25">
      <c r="A743" s="7">
        <v>4.5537921608318974E-2</v>
      </c>
      <c r="B743"/>
      <c r="C743"/>
      <c r="D743"/>
      <c r="E743"/>
      <c r="F743" s="27" t="s">
        <v>7</v>
      </c>
    </row>
    <row r="744" spans="1:6" x14ac:dyDescent="0.25">
      <c r="A744" s="7">
        <v>4.4645021184626446E-2</v>
      </c>
      <c r="B744"/>
      <c r="C744"/>
      <c r="D744"/>
      <c r="E744"/>
      <c r="F744" s="27" t="s">
        <v>7</v>
      </c>
    </row>
    <row r="745" spans="1:6" x14ac:dyDescent="0.25">
      <c r="A745" s="7">
        <v>4.3769628612378868E-2</v>
      </c>
      <c r="B745"/>
      <c r="C745"/>
      <c r="D745"/>
      <c r="E745"/>
      <c r="F745" s="27" t="s">
        <v>7</v>
      </c>
    </row>
    <row r="746" spans="1:6" x14ac:dyDescent="0.25">
      <c r="A746" s="7">
        <v>4.2911400600371442E-2</v>
      </c>
      <c r="B746"/>
      <c r="C746"/>
      <c r="D746"/>
      <c r="E746"/>
      <c r="F746" s="27" t="s">
        <v>7</v>
      </c>
    </row>
    <row r="747" spans="1:6" x14ac:dyDescent="0.25">
      <c r="A747" s="7">
        <v>4.2070000588599457E-2</v>
      </c>
      <c r="B747"/>
      <c r="C747"/>
      <c r="D747"/>
      <c r="E747"/>
      <c r="F747" s="27" t="s">
        <v>7</v>
      </c>
    </row>
    <row r="748" spans="1:6" x14ac:dyDescent="0.25">
      <c r="A748" s="7">
        <v>4.1245098616273977E-2</v>
      </c>
      <c r="B748"/>
      <c r="C748"/>
      <c r="D748"/>
      <c r="E748"/>
      <c r="F748" s="27" t="s">
        <v>7</v>
      </c>
    </row>
    <row r="749" spans="1:6" x14ac:dyDescent="0.25">
      <c r="A749" s="7">
        <v>4.043637119242547E-2</v>
      </c>
      <c r="B749"/>
      <c r="C749"/>
      <c r="D749"/>
      <c r="E749"/>
      <c r="F749" s="27" t="s">
        <v>7</v>
      </c>
    </row>
    <row r="750" spans="1:6" x14ac:dyDescent="0.25">
      <c r="A750" s="7">
        <v>3.9643501169044582E-2</v>
      </c>
      <c r="B750"/>
      <c r="C750"/>
      <c r="D750"/>
      <c r="E750"/>
      <c r="F750" s="27" t="s">
        <v>7</v>
      </c>
    </row>
    <row r="751" spans="1:6" x14ac:dyDescent="0.25">
      <c r="A751" s="7">
        <v>3.8866177616710372E-2</v>
      </c>
      <c r="B751"/>
      <c r="C751"/>
      <c r="D751"/>
      <c r="E751"/>
      <c r="F751" s="27" t="s">
        <v>7</v>
      </c>
    </row>
    <row r="752" spans="1:6" x14ac:dyDescent="0.25">
      <c r="A752" s="7">
        <v>3.8104095702657229E-2</v>
      </c>
      <c r="B752"/>
      <c r="C752"/>
      <c r="D752"/>
      <c r="E752"/>
      <c r="F752" s="27" t="s">
        <v>7</v>
      </c>
    </row>
    <row r="753" spans="1:332" x14ac:dyDescent="0.25">
      <c r="A753" s="7">
        <v>3.7356956571232579E-2</v>
      </c>
      <c r="B753"/>
      <c r="C753"/>
      <c r="D753"/>
      <c r="E753"/>
      <c r="F753" s="27" t="s">
        <v>7</v>
      </c>
    </row>
    <row r="754" spans="1:332" x14ac:dyDescent="0.25">
      <c r="A754" s="7">
        <v>3.6624467226698605E-2</v>
      </c>
      <c r="B754"/>
      <c r="C754"/>
      <c r="D754"/>
      <c r="E754"/>
      <c r="F754" s="27" t="s">
        <v>7</v>
      </c>
    </row>
    <row r="755" spans="1:332" x14ac:dyDescent="0.25">
      <c r="A755" s="7">
        <v>3.5906340418331961E-2</v>
      </c>
      <c r="B755"/>
      <c r="C755"/>
      <c r="D755"/>
      <c r="E755"/>
      <c r="F755" s="27" t="s">
        <v>7</v>
      </c>
    </row>
    <row r="756" spans="1:332" x14ac:dyDescent="0.25">
      <c r="A756" s="7">
        <v>3.5202294527776436E-2</v>
      </c>
      <c r="B756"/>
      <c r="C756"/>
      <c r="D756"/>
      <c r="E756"/>
      <c r="F756" s="27" t="s">
        <v>7</v>
      </c>
    </row>
    <row r="757" spans="1:332" x14ac:dyDescent="0.25">
      <c r="A757" s="7">
        <v>3.451205345860435E-2</v>
      </c>
      <c r="B757"/>
      <c r="C757"/>
      <c r="D757"/>
      <c r="E757"/>
      <c r="F757" s="27" t="s">
        <v>7</v>
      </c>
      <c r="LS757" s="27" t="s">
        <v>8</v>
      </c>
    </row>
    <row r="758" spans="1:332" x14ac:dyDescent="0.25">
      <c r="A758" s="7">
        <v>3.3835346528043479E-2</v>
      </c>
      <c r="B758"/>
      <c r="C758"/>
      <c r="D758"/>
      <c r="E758"/>
      <c r="F758" s="27" t="s">
        <v>7</v>
      </c>
      <c r="LS758" s="27" t="s">
        <v>8</v>
      </c>
      <c r="LT758" s="27" t="s">
        <v>7</v>
      </c>
    </row>
    <row r="759" spans="1:332" x14ac:dyDescent="0.25">
      <c r="A759" s="7">
        <v>3.3171908360826938E-2</v>
      </c>
      <c r="B759"/>
      <c r="C759"/>
      <c r="D759"/>
      <c r="E759"/>
      <c r="F759" s="27" t="s">
        <v>7</v>
      </c>
      <c r="LS759" s="27" t="s">
        <v>8</v>
      </c>
      <c r="LT759" s="27" t="s">
        <v>7</v>
      </c>
    </row>
    <row r="760" spans="1:332" x14ac:dyDescent="0.25">
      <c r="A760" s="7">
        <v>3.2521478785124451E-2</v>
      </c>
      <c r="B760"/>
      <c r="C760"/>
      <c r="D760"/>
      <c r="E760"/>
      <c r="F760" s="27" t="s">
        <v>7</v>
      </c>
      <c r="LS760" s="27" t="s">
        <v>8</v>
      </c>
      <c r="LT760" s="27" t="s">
        <v>7</v>
      </c>
    </row>
    <row r="761" spans="1:332" x14ac:dyDescent="0.25">
      <c r="A761" s="7">
        <v>3.1883802730514173E-2</v>
      </c>
      <c r="B761"/>
      <c r="C761"/>
      <c r="D761"/>
      <c r="E761"/>
      <c r="F761" s="27" t="s">
        <v>7</v>
      </c>
      <c r="LS761" s="27" t="s">
        <v>8</v>
      </c>
      <c r="LT761" s="27" t="s">
        <v>7</v>
      </c>
    </row>
    <row r="762" spans="1:332" x14ac:dyDescent="0.25">
      <c r="A762" s="7">
        <v>3.1258630127955073E-2</v>
      </c>
      <c r="B762"/>
      <c r="C762"/>
      <c r="D762"/>
      <c r="E762"/>
      <c r="F762" s="27" t="s">
        <v>7</v>
      </c>
      <c r="LS762" s="27" t="s">
        <v>8</v>
      </c>
      <c r="LT762" s="27" t="s">
        <v>7</v>
      </c>
    </row>
    <row r="763" spans="1:332" x14ac:dyDescent="0.25">
      <c r="A763" s="7">
        <v>3.064571581172066E-2</v>
      </c>
      <c r="B763"/>
      <c r="C763"/>
      <c r="D763"/>
      <c r="E763"/>
      <c r="F763" s="27" t="s">
        <v>7</v>
      </c>
      <c r="LS763" s="27" t="s">
        <v>8</v>
      </c>
      <c r="LT763" s="27" t="s">
        <v>7</v>
      </c>
    </row>
    <row r="764" spans="1:332" x14ac:dyDescent="0.25">
      <c r="A764" s="7">
        <v>3.0044819423255549E-2</v>
      </c>
      <c r="B764"/>
      <c r="C764"/>
      <c r="D764"/>
      <c r="E764"/>
      <c r="F764" s="27" t="s">
        <v>7</v>
      </c>
      <c r="LS764" s="27" t="s">
        <v>8</v>
      </c>
      <c r="LT764" s="27" t="s">
        <v>7</v>
      </c>
    </row>
    <row r="765" spans="1:332" x14ac:dyDescent="0.25">
      <c r="A765" s="7">
        <v>2.9455705316917203E-2</v>
      </c>
      <c r="B765"/>
      <c r="C765"/>
      <c r="D765"/>
      <c r="E765"/>
      <c r="F765" s="27" t="s">
        <v>7</v>
      </c>
      <c r="LM765" s="27" t="s">
        <v>8</v>
      </c>
      <c r="LS765" s="27" t="s">
        <v>8</v>
      </c>
      <c r="LT765" s="27" t="s">
        <v>7</v>
      </c>
    </row>
    <row r="766" spans="1:332" x14ac:dyDescent="0.25">
      <c r="A766" s="7">
        <v>2.8878142467565884E-2</v>
      </c>
      <c r="B766"/>
      <c r="C766"/>
      <c r="D766"/>
      <c r="E766"/>
      <c r="F766" s="27" t="s">
        <v>7</v>
      </c>
      <c r="LM766" s="27" t="s">
        <v>8</v>
      </c>
      <c r="LN766" s="27" t="s">
        <v>7</v>
      </c>
      <c r="LS766" s="27" t="s">
        <v>8</v>
      </c>
      <c r="LT766" s="27" t="s">
        <v>7</v>
      </c>
    </row>
    <row r="767" spans="1:332" x14ac:dyDescent="0.25">
      <c r="A767" s="7">
        <v>2.8311904379966554E-2</v>
      </c>
      <c r="B767"/>
      <c r="C767"/>
      <c r="D767"/>
      <c r="E767"/>
      <c r="F767" s="27" t="s">
        <v>7</v>
      </c>
      <c r="LM767" s="27" t="s">
        <v>8</v>
      </c>
      <c r="LN767" s="27" t="s">
        <v>7</v>
      </c>
      <c r="LS767" s="27" t="s">
        <v>8</v>
      </c>
      <c r="LT767" s="27" t="s">
        <v>7</v>
      </c>
    </row>
    <row r="768" spans="1:332" x14ac:dyDescent="0.25">
      <c r="A768" s="7">
        <v>2.7756768999967207E-2</v>
      </c>
      <c r="B768"/>
      <c r="C768"/>
      <c r="D768"/>
      <c r="E768"/>
      <c r="F768" s="27" t="s">
        <v>7</v>
      </c>
      <c r="LK768" s="27" t="s">
        <v>8</v>
      </c>
      <c r="LM768" s="27" t="s">
        <v>8</v>
      </c>
      <c r="LN768" s="27" t="s">
        <v>7</v>
      </c>
      <c r="LS768" s="27" t="s">
        <v>8</v>
      </c>
      <c r="LT768" s="27" t="s">
        <v>7</v>
      </c>
    </row>
    <row r="769" spans="1:468" x14ac:dyDescent="0.25">
      <c r="A769" s="7">
        <v>2.7212518627418834E-2</v>
      </c>
      <c r="B769"/>
      <c r="C769"/>
      <c r="D769"/>
      <c r="E769"/>
      <c r="F769" s="27" t="s">
        <v>7</v>
      </c>
      <c r="LK769" s="27" t="s">
        <v>8</v>
      </c>
      <c r="LL769" s="27" t="s">
        <v>7</v>
      </c>
      <c r="LM769" s="27" t="s">
        <v>8</v>
      </c>
      <c r="LN769" s="27" t="s">
        <v>7</v>
      </c>
      <c r="LS769" s="27" t="s">
        <v>8</v>
      </c>
      <c r="LT769" s="27" t="s">
        <v>7</v>
      </c>
    </row>
    <row r="770" spans="1:468" x14ac:dyDescent="0.25">
      <c r="A770" s="7">
        <v>2.6678939830802779E-2</v>
      </c>
      <c r="B770"/>
      <c r="C770"/>
      <c r="D770"/>
      <c r="E770"/>
      <c r="F770" s="27" t="s">
        <v>7</v>
      </c>
      <c r="LK770" s="27" t="s">
        <v>8</v>
      </c>
      <c r="LL770" s="27" t="s">
        <v>7</v>
      </c>
      <c r="LM770" s="27" t="s">
        <v>8</v>
      </c>
      <c r="LN770" s="27" t="s">
        <v>7</v>
      </c>
      <c r="LS770" s="27" t="s">
        <v>8</v>
      </c>
      <c r="LT770" s="27" t="s">
        <v>7</v>
      </c>
    </row>
    <row r="771" spans="1:468" x14ac:dyDescent="0.25">
      <c r="A771" s="7">
        <v>2.615582336353214E-2</v>
      </c>
      <c r="B771"/>
      <c r="C771"/>
      <c r="D771"/>
      <c r="E771"/>
      <c r="F771" s="27" t="s">
        <v>7</v>
      </c>
      <c r="LK771" s="27" t="s">
        <v>8</v>
      </c>
      <c r="LL771" s="27" t="s">
        <v>7</v>
      </c>
      <c r="LM771" s="27" t="s">
        <v>8</v>
      </c>
      <c r="LN771" s="27" t="s">
        <v>7</v>
      </c>
      <c r="LQ771" s="27" t="s">
        <v>8</v>
      </c>
      <c r="LS771" s="27" t="s">
        <v>8</v>
      </c>
      <c r="LT771" s="27" t="s">
        <v>7</v>
      </c>
      <c r="QQ771" s="27" t="s">
        <v>8</v>
      </c>
    </row>
    <row r="772" spans="1:468" x14ac:dyDescent="0.25">
      <c r="A772" s="7">
        <v>2.5642964081894253E-2</v>
      </c>
      <c r="B772"/>
      <c r="C772"/>
      <c r="D772"/>
      <c r="E772"/>
      <c r="F772" s="27" t="s">
        <v>7</v>
      </c>
      <c r="LK772" s="27" t="s">
        <v>8</v>
      </c>
      <c r="LL772" s="27" t="s">
        <v>7</v>
      </c>
      <c r="LM772" s="27" t="s">
        <v>8</v>
      </c>
      <c r="LN772" s="27" t="s">
        <v>7</v>
      </c>
      <c r="LQ772" s="27" t="s">
        <v>8</v>
      </c>
      <c r="LR772" s="27" t="s">
        <v>7</v>
      </c>
      <c r="LS772" s="27" t="s">
        <v>8</v>
      </c>
      <c r="LT772" s="27" t="s">
        <v>7</v>
      </c>
      <c r="LU772" s="27" t="s">
        <v>8</v>
      </c>
      <c r="QQ772" s="27" t="s">
        <v>8</v>
      </c>
      <c r="QR772" s="27" t="s">
        <v>7</v>
      </c>
    </row>
    <row r="773" spans="1:468" x14ac:dyDescent="0.25">
      <c r="A773" s="7">
        <v>2.5140160864602207E-2</v>
      </c>
      <c r="B773"/>
      <c r="C773"/>
      <c r="D773"/>
      <c r="E773"/>
      <c r="F773" s="27" t="s">
        <v>7</v>
      </c>
      <c r="LK773" s="27" t="s">
        <v>8</v>
      </c>
      <c r="LL773" s="27" t="s">
        <v>7</v>
      </c>
      <c r="LM773" s="27" t="s">
        <v>8</v>
      </c>
      <c r="LN773" s="27" t="s">
        <v>7</v>
      </c>
      <c r="LQ773" s="27" t="s">
        <v>8</v>
      </c>
      <c r="LR773" s="27" t="s">
        <v>7</v>
      </c>
      <c r="LS773" s="27" t="s">
        <v>8</v>
      </c>
      <c r="LT773" s="27" t="s">
        <v>7</v>
      </c>
      <c r="LU773" s="27" t="s">
        <v>8</v>
      </c>
      <c r="LV773" s="27" t="s">
        <v>7</v>
      </c>
      <c r="MG773" s="27" t="s">
        <v>8</v>
      </c>
      <c r="QQ773" s="27" t="s">
        <v>8</v>
      </c>
      <c r="QR773" s="27" t="s">
        <v>7</v>
      </c>
    </row>
    <row r="774" spans="1:468" x14ac:dyDescent="0.25">
      <c r="A774" s="7">
        <v>2.4647216533923735E-2</v>
      </c>
      <c r="B774"/>
      <c r="C774"/>
      <c r="D774"/>
      <c r="E774"/>
      <c r="F774" s="27" t="s">
        <v>7</v>
      </c>
      <c r="LK774" s="27" t="s">
        <v>8</v>
      </c>
      <c r="LL774" s="27" t="s">
        <v>7</v>
      </c>
      <c r="LM774" s="27" t="s">
        <v>8</v>
      </c>
      <c r="LN774" s="27" t="s">
        <v>7</v>
      </c>
      <c r="LO774" s="27" t="s">
        <v>8</v>
      </c>
      <c r="LQ774" s="27" t="s">
        <v>8</v>
      </c>
      <c r="LR774" s="27" t="s">
        <v>7</v>
      </c>
      <c r="LS774" s="27" t="s">
        <v>8</v>
      </c>
      <c r="LT774" s="27" t="s">
        <v>7</v>
      </c>
      <c r="LU774" s="27" t="s">
        <v>8</v>
      </c>
      <c r="LV774" s="27" t="s">
        <v>7</v>
      </c>
      <c r="MG774" s="27" t="s">
        <v>8</v>
      </c>
      <c r="MH774" s="27" t="s">
        <v>7</v>
      </c>
      <c r="QQ774" s="27" t="s">
        <v>8</v>
      </c>
      <c r="QR774" s="27" t="s">
        <v>7</v>
      </c>
    </row>
    <row r="775" spans="1:468" x14ac:dyDescent="0.25">
      <c r="A775" s="7">
        <v>2.4163937778356601E-2</v>
      </c>
      <c r="B775"/>
      <c r="C775"/>
      <c r="D775"/>
      <c r="E775"/>
      <c r="F775" s="27" t="s">
        <v>7</v>
      </c>
      <c r="LK775" s="27" t="s">
        <v>8</v>
      </c>
      <c r="LL775" s="27" t="s">
        <v>7</v>
      </c>
      <c r="LM775" s="27" t="s">
        <v>8</v>
      </c>
      <c r="LN775" s="27" t="s">
        <v>7</v>
      </c>
      <c r="LO775" s="27" t="s">
        <v>8</v>
      </c>
      <c r="LP775" s="27" t="s">
        <v>7</v>
      </c>
      <c r="LQ775" s="27" t="s">
        <v>8</v>
      </c>
      <c r="LR775" s="27" t="s">
        <v>7</v>
      </c>
      <c r="LS775" s="27" t="s">
        <v>8</v>
      </c>
      <c r="LT775" s="27" t="s">
        <v>7</v>
      </c>
      <c r="LU775" s="27" t="s">
        <v>8</v>
      </c>
      <c r="LV775" s="27" t="s">
        <v>7</v>
      </c>
      <c r="MG775" s="27" t="s">
        <v>8</v>
      </c>
      <c r="MH775" s="27" t="s">
        <v>7</v>
      </c>
      <c r="QQ775" s="27" t="s">
        <v>8</v>
      </c>
      <c r="QR775" s="27" t="s">
        <v>7</v>
      </c>
    </row>
    <row r="776" spans="1:468" x14ac:dyDescent="0.25">
      <c r="A776" s="7">
        <v>2.3690135076820197E-2</v>
      </c>
      <c r="B776"/>
      <c r="C776"/>
      <c r="D776"/>
      <c r="E776"/>
      <c r="F776" s="27" t="s">
        <v>7</v>
      </c>
      <c r="LK776" s="27" t="s">
        <v>8</v>
      </c>
      <c r="LL776" s="27" t="s">
        <v>7</v>
      </c>
      <c r="LM776" s="27" t="s">
        <v>8</v>
      </c>
      <c r="LN776" s="27" t="s">
        <v>7</v>
      </c>
      <c r="LO776" s="27" t="s">
        <v>8</v>
      </c>
      <c r="LP776" s="27" t="s">
        <v>7</v>
      </c>
      <c r="LQ776" s="27" t="s">
        <v>8</v>
      </c>
      <c r="LR776" s="27" t="s">
        <v>7</v>
      </c>
      <c r="LS776" s="27" t="s">
        <v>8</v>
      </c>
      <c r="LT776" s="27" t="s">
        <v>7</v>
      </c>
      <c r="LU776" s="27" t="s">
        <v>8</v>
      </c>
      <c r="LV776" s="27" t="s">
        <v>7</v>
      </c>
      <c r="MG776" s="27" t="s">
        <v>8</v>
      </c>
      <c r="MH776" s="27" t="s">
        <v>7</v>
      </c>
      <c r="QQ776" s="27" t="s">
        <v>8</v>
      </c>
      <c r="QR776" s="27" t="s">
        <v>7</v>
      </c>
    </row>
    <row r="777" spans="1:468" x14ac:dyDescent="0.25">
      <c r="A777" s="7">
        <v>2.3225622624333527E-2</v>
      </c>
      <c r="B777"/>
      <c r="C777"/>
      <c r="D777"/>
      <c r="E777"/>
      <c r="F777" s="27" t="s">
        <v>7</v>
      </c>
      <c r="LK777" s="27" t="s">
        <v>8</v>
      </c>
      <c r="LL777" s="27" t="s">
        <v>7</v>
      </c>
      <c r="LM777" s="27" t="s">
        <v>8</v>
      </c>
      <c r="LN777" s="27" t="s">
        <v>7</v>
      </c>
      <c r="LO777" s="27" t="s">
        <v>8</v>
      </c>
      <c r="LP777" s="27" t="s">
        <v>7</v>
      </c>
      <c r="LQ777" s="27" t="s">
        <v>8</v>
      </c>
      <c r="LR777" s="27" t="s">
        <v>7</v>
      </c>
      <c r="LS777" s="27" t="s">
        <v>8</v>
      </c>
      <c r="LT777" s="27" t="s">
        <v>7</v>
      </c>
      <c r="LU777" s="27" t="s">
        <v>8</v>
      </c>
      <c r="LV777" s="27" t="s">
        <v>7</v>
      </c>
      <c r="MG777" s="27" t="s">
        <v>8</v>
      </c>
      <c r="MH777" s="27" t="s">
        <v>7</v>
      </c>
      <c r="QQ777" s="27" t="s">
        <v>8</v>
      </c>
      <c r="QR777" s="27" t="s">
        <v>7</v>
      </c>
    </row>
    <row r="778" spans="1:468" x14ac:dyDescent="0.25">
      <c r="A778" s="7">
        <v>2.2770218259150519E-2</v>
      </c>
      <c r="B778"/>
      <c r="C778"/>
      <c r="D778"/>
      <c r="E778"/>
      <c r="F778" s="27" t="s">
        <v>7</v>
      </c>
      <c r="LK778" s="27" t="s">
        <v>8</v>
      </c>
      <c r="LL778" s="27" t="s">
        <v>7</v>
      </c>
      <c r="LM778" s="27" t="s">
        <v>8</v>
      </c>
      <c r="LN778" s="27" t="s">
        <v>7</v>
      </c>
      <c r="LO778" s="27" t="s">
        <v>8</v>
      </c>
      <c r="LP778" s="27" t="s">
        <v>7</v>
      </c>
      <c r="LQ778" s="27" t="s">
        <v>8</v>
      </c>
      <c r="LR778" s="27" t="s">
        <v>7</v>
      </c>
      <c r="LS778" s="27" t="s">
        <v>8</v>
      </c>
      <c r="LT778" s="27" t="s">
        <v>7</v>
      </c>
      <c r="LU778" s="27" t="s">
        <v>8</v>
      </c>
      <c r="LV778" s="27" t="s">
        <v>7</v>
      </c>
      <c r="LW778" s="27" t="s">
        <v>8</v>
      </c>
      <c r="MG778" s="27" t="s">
        <v>8</v>
      </c>
      <c r="MH778" s="27" t="s">
        <v>7</v>
      </c>
      <c r="QQ778" s="27" t="s">
        <v>8</v>
      </c>
      <c r="QR778" s="27" t="s">
        <v>7</v>
      </c>
      <c r="QY778" s="27" t="s">
        <v>8</v>
      </c>
    </row>
    <row r="779" spans="1:468" x14ac:dyDescent="0.25">
      <c r="A779" s="7">
        <v>2.2323743391324039E-2</v>
      </c>
      <c r="B779"/>
      <c r="C779"/>
      <c r="D779"/>
      <c r="E779"/>
      <c r="F779" s="27" t="s">
        <v>7</v>
      </c>
      <c r="LK779" s="27" t="s">
        <v>8</v>
      </c>
      <c r="LL779" s="27" t="s">
        <v>7</v>
      </c>
      <c r="LM779" s="27" t="s">
        <v>8</v>
      </c>
      <c r="LN779" s="27" t="s">
        <v>7</v>
      </c>
      <c r="LO779" s="27" t="s">
        <v>8</v>
      </c>
      <c r="LP779" s="27" t="s">
        <v>7</v>
      </c>
      <c r="LQ779" s="27" t="s">
        <v>8</v>
      </c>
      <c r="LR779" s="27" t="s">
        <v>7</v>
      </c>
      <c r="LS779" s="27" t="s">
        <v>8</v>
      </c>
      <c r="LT779" s="27" t="s">
        <v>7</v>
      </c>
      <c r="LU779" s="27" t="s">
        <v>8</v>
      </c>
      <c r="LV779" s="27" t="s">
        <v>7</v>
      </c>
      <c r="LW779" s="27" t="s">
        <v>8</v>
      </c>
      <c r="LX779" s="27" t="s">
        <v>7</v>
      </c>
      <c r="LY779" s="27" t="s">
        <v>8</v>
      </c>
      <c r="MG779" s="27" t="s">
        <v>8</v>
      </c>
      <c r="MH779" s="27" t="s">
        <v>7</v>
      </c>
      <c r="QQ779" s="27" t="s">
        <v>8</v>
      </c>
      <c r="QR779" s="27" t="s">
        <v>7</v>
      </c>
      <c r="QY779" s="27" t="s">
        <v>8</v>
      </c>
      <c r="QZ779" s="27" t="s">
        <v>7</v>
      </c>
    </row>
    <row r="780" spans="1:468" x14ac:dyDescent="0.25">
      <c r="A780" s="7">
        <v>2.188602293267063E-2</v>
      </c>
      <c r="B780"/>
      <c r="C780"/>
      <c r="D780"/>
      <c r="E780"/>
      <c r="F780" s="27" t="s">
        <v>7</v>
      </c>
      <c r="LK780" s="27" t="s">
        <v>8</v>
      </c>
      <c r="LL780" s="27" t="s">
        <v>7</v>
      </c>
      <c r="LN780" s="27" t="s">
        <v>7</v>
      </c>
      <c r="LO780" s="27" t="s">
        <v>8</v>
      </c>
      <c r="LP780" s="27" t="s">
        <v>7</v>
      </c>
      <c r="LQ780" s="27" t="s">
        <v>8</v>
      </c>
      <c r="LR780" s="27" t="s">
        <v>7</v>
      </c>
      <c r="LS780" s="27" t="s">
        <v>8</v>
      </c>
      <c r="LT780" s="27" t="s">
        <v>7</v>
      </c>
      <c r="LU780" s="27" t="s">
        <v>8</v>
      </c>
      <c r="LV780" s="27" t="s">
        <v>7</v>
      </c>
      <c r="LW780" s="27" t="s">
        <v>8</v>
      </c>
      <c r="LX780" s="27" t="s">
        <v>7</v>
      </c>
      <c r="LY780" s="27" t="s">
        <v>8</v>
      </c>
      <c r="LZ780" s="27" t="s">
        <v>7</v>
      </c>
      <c r="MG780" s="27" t="s">
        <v>8</v>
      </c>
      <c r="MH780" s="27" t="s">
        <v>7</v>
      </c>
      <c r="QQ780" s="27" t="s">
        <v>8</v>
      </c>
      <c r="QR780" s="27" t="s">
        <v>7</v>
      </c>
      <c r="QY780" s="27" t="s">
        <v>8</v>
      </c>
      <c r="QZ780" s="27" t="s">
        <v>7</v>
      </c>
    </row>
    <row r="781" spans="1:468" x14ac:dyDescent="0.25">
      <c r="A781" s="7">
        <v>2.1456885228108461E-2</v>
      </c>
      <c r="B781"/>
      <c r="C781"/>
      <c r="D781"/>
      <c r="E781"/>
      <c r="F781" s="27" t="s">
        <v>7</v>
      </c>
      <c r="LK781" s="27" t="s">
        <v>8</v>
      </c>
      <c r="LN781" s="27" t="s">
        <v>7</v>
      </c>
      <c r="LO781" s="27" t="s">
        <v>8</v>
      </c>
      <c r="LP781" s="27" t="s">
        <v>7</v>
      </c>
      <c r="LQ781" s="27" t="s">
        <v>8</v>
      </c>
      <c r="LR781" s="27" t="s">
        <v>7</v>
      </c>
      <c r="LS781" s="27" t="s">
        <v>8</v>
      </c>
      <c r="LT781" s="27" t="s">
        <v>7</v>
      </c>
      <c r="LU781" s="27" t="s">
        <v>8</v>
      </c>
      <c r="LV781" s="27" t="s">
        <v>7</v>
      </c>
      <c r="LW781" s="27" t="s">
        <v>8</v>
      </c>
      <c r="LX781" s="27" t="s">
        <v>7</v>
      </c>
      <c r="LY781" s="27" t="s">
        <v>8</v>
      </c>
      <c r="LZ781" s="27" t="s">
        <v>7</v>
      </c>
      <c r="MG781" s="27" t="s">
        <v>8</v>
      </c>
      <c r="MH781" s="27" t="s">
        <v>7</v>
      </c>
      <c r="QQ781" s="27" t="s">
        <v>8</v>
      </c>
      <c r="QR781" s="27" t="s">
        <v>7</v>
      </c>
      <c r="QY781" s="27" t="s">
        <v>8</v>
      </c>
      <c r="QZ781" s="27" t="s">
        <v>7</v>
      </c>
    </row>
    <row r="782" spans="1:468" x14ac:dyDescent="0.25">
      <c r="A782" s="7">
        <v>2.1036161988341632E-2</v>
      </c>
      <c r="B782"/>
      <c r="C782"/>
      <c r="D782"/>
      <c r="E782"/>
      <c r="F782" s="27" t="s">
        <v>7</v>
      </c>
      <c r="LK782" s="27" t="s">
        <v>8</v>
      </c>
      <c r="LN782" s="27" t="s">
        <v>7</v>
      </c>
      <c r="LO782" s="27" t="s">
        <v>8</v>
      </c>
      <c r="LP782" s="27" t="s">
        <v>7</v>
      </c>
      <c r="LR782" s="27" t="s">
        <v>7</v>
      </c>
      <c r="LS782" s="27" t="s">
        <v>8</v>
      </c>
      <c r="LT782" s="27" t="s">
        <v>7</v>
      </c>
      <c r="LU782" s="27" t="s">
        <v>8</v>
      </c>
      <c r="LV782" s="27" t="s">
        <v>7</v>
      </c>
      <c r="LW782" s="27" t="s">
        <v>8</v>
      </c>
      <c r="LX782" s="27" t="s">
        <v>7</v>
      </c>
      <c r="LY782" s="27" t="s">
        <v>8</v>
      </c>
      <c r="LZ782" s="27" t="s">
        <v>7</v>
      </c>
      <c r="MG782" s="27" t="s">
        <v>8</v>
      </c>
      <c r="MH782" s="27" t="s">
        <v>7</v>
      </c>
      <c r="QQ782" s="27" t="s">
        <v>8</v>
      </c>
      <c r="QR782" s="27" t="s">
        <v>7</v>
      </c>
      <c r="QY782" s="27" t="s">
        <v>8</v>
      </c>
      <c r="QZ782" s="27" t="s">
        <v>7</v>
      </c>
    </row>
    <row r="783" spans="1:468" x14ac:dyDescent="0.25">
      <c r="A783" s="7">
        <v>2.0623688223864345E-2</v>
      </c>
      <c r="B783"/>
      <c r="C783"/>
      <c r="D783"/>
      <c r="E783"/>
      <c r="F783" s="27" t="s">
        <v>7</v>
      </c>
      <c r="LK783" s="27" t="s">
        <v>8</v>
      </c>
      <c r="LN783" s="27" t="s">
        <v>7</v>
      </c>
      <c r="LO783" s="27" t="s">
        <v>8</v>
      </c>
      <c r="LR783" s="27" t="s">
        <v>7</v>
      </c>
      <c r="LS783" s="27" t="s">
        <v>8</v>
      </c>
      <c r="LT783" s="27" t="s">
        <v>7</v>
      </c>
      <c r="LV783" s="27" t="s">
        <v>7</v>
      </c>
      <c r="LX783" s="27" t="s">
        <v>7</v>
      </c>
      <c r="LY783" s="27" t="s">
        <v>8</v>
      </c>
      <c r="LZ783" s="27" t="s">
        <v>7</v>
      </c>
      <c r="MA783" s="27" t="s">
        <v>8</v>
      </c>
      <c r="MG783" s="27" t="s">
        <v>8</v>
      </c>
      <c r="MH783" s="27" t="s">
        <v>7</v>
      </c>
      <c r="MI783" s="27" t="s">
        <v>8</v>
      </c>
      <c r="QQ783" s="27" t="s">
        <v>8</v>
      </c>
      <c r="QR783" s="27" t="s">
        <v>7</v>
      </c>
      <c r="QY783" s="27" t="s">
        <v>8</v>
      </c>
      <c r="QZ783" s="27" t="s">
        <v>7</v>
      </c>
    </row>
    <row r="784" spans="1:468" x14ac:dyDescent="0.25">
      <c r="A784" s="7">
        <v>2.021930218025916E-2</v>
      </c>
      <c r="B784"/>
      <c r="C784"/>
      <c r="D784"/>
      <c r="E784"/>
      <c r="F784" s="27" t="s">
        <v>7</v>
      </c>
      <c r="LK784" s="27" t="s">
        <v>8</v>
      </c>
      <c r="LN784" s="27" t="s">
        <v>7</v>
      </c>
      <c r="LO784" s="27" t="s">
        <v>8</v>
      </c>
      <c r="LR784" s="27" t="s">
        <v>7</v>
      </c>
      <c r="LX784" s="27" t="s">
        <v>7</v>
      </c>
      <c r="LY784" s="27" t="s">
        <v>8</v>
      </c>
      <c r="LZ784" s="27" t="s">
        <v>7</v>
      </c>
      <c r="MA784" s="27" t="s">
        <v>8</v>
      </c>
      <c r="MB784" s="27" t="s">
        <v>7</v>
      </c>
      <c r="MG784" s="27" t="s">
        <v>8</v>
      </c>
      <c r="MH784" s="27" t="s">
        <v>7</v>
      </c>
      <c r="MI784" s="27" t="s">
        <v>8</v>
      </c>
      <c r="MJ784" s="27" t="s">
        <v>7</v>
      </c>
      <c r="QQ784" s="27" t="s">
        <v>8</v>
      </c>
      <c r="QR784" s="27" t="s">
        <v>7</v>
      </c>
      <c r="QY784" s="27" t="s">
        <v>8</v>
      </c>
      <c r="QZ784" s="27" t="s">
        <v>7</v>
      </c>
    </row>
    <row r="785" spans="1:482" x14ac:dyDescent="0.25">
      <c r="A785" s="7">
        <v>1.9822845274763884E-2</v>
      </c>
      <c r="B785"/>
      <c r="C785"/>
      <c r="D785"/>
      <c r="E785"/>
      <c r="F785" s="27" t="s">
        <v>7</v>
      </c>
      <c r="LI785" s="27" t="s">
        <v>8</v>
      </c>
      <c r="LK785" s="27" t="s">
        <v>8</v>
      </c>
      <c r="LN785" s="27" t="s">
        <v>7</v>
      </c>
      <c r="LO785" s="27" t="s">
        <v>8</v>
      </c>
      <c r="LX785" s="27" t="s">
        <v>7</v>
      </c>
      <c r="LY785" s="27" t="s">
        <v>8</v>
      </c>
      <c r="LZ785" s="27" t="s">
        <v>7</v>
      </c>
      <c r="MA785" s="27" t="s">
        <v>8</v>
      </c>
      <c r="MB785" s="27" t="s">
        <v>7</v>
      </c>
      <c r="MG785" s="27" t="s">
        <v>8</v>
      </c>
      <c r="MH785" s="27" t="s">
        <v>7</v>
      </c>
      <c r="MI785" s="27" t="s">
        <v>8</v>
      </c>
      <c r="MJ785" s="27" t="s">
        <v>7</v>
      </c>
      <c r="QQ785" s="27" t="s">
        <v>8</v>
      </c>
      <c r="QR785" s="27" t="s">
        <v>7</v>
      </c>
      <c r="QY785" s="27" t="s">
        <v>8</v>
      </c>
      <c r="QZ785" s="27" t="s">
        <v>7</v>
      </c>
    </row>
    <row r="786" spans="1:482" x14ac:dyDescent="0.25">
      <c r="A786" s="7">
        <v>1.9434162034082238E-2</v>
      </c>
      <c r="B786"/>
      <c r="C786"/>
      <c r="D786"/>
      <c r="E786"/>
      <c r="F786" s="27" t="s">
        <v>7</v>
      </c>
      <c r="LI786" s="27" t="s">
        <v>8</v>
      </c>
      <c r="LJ786" s="27" t="s">
        <v>7</v>
      </c>
      <c r="LK786" s="27" t="s">
        <v>8</v>
      </c>
      <c r="LN786" s="27" t="s">
        <v>7</v>
      </c>
      <c r="LX786" s="27" t="s">
        <v>7</v>
      </c>
      <c r="LZ786" s="27" t="s">
        <v>7</v>
      </c>
      <c r="MA786" s="27" t="s">
        <v>8</v>
      </c>
      <c r="MB786" s="27" t="s">
        <v>7</v>
      </c>
      <c r="MG786" s="27" t="s">
        <v>8</v>
      </c>
      <c r="MH786" s="27" t="s">
        <v>7</v>
      </c>
      <c r="MI786" s="27" t="s">
        <v>8</v>
      </c>
      <c r="MJ786" s="27" t="s">
        <v>7</v>
      </c>
      <c r="QQ786" s="27" t="s">
        <v>8</v>
      </c>
      <c r="QR786" s="27" t="s">
        <v>7</v>
      </c>
      <c r="QY786" s="27" t="s">
        <v>8</v>
      </c>
      <c r="QZ786" s="27" t="s">
        <v>7</v>
      </c>
    </row>
    <row r="787" spans="1:482" x14ac:dyDescent="0.25">
      <c r="A787" s="7">
        <v>1.9053100033413959E-2</v>
      </c>
      <c r="B787"/>
      <c r="C787"/>
      <c r="D787"/>
      <c r="E787"/>
      <c r="F787" s="27" t="s">
        <v>7</v>
      </c>
      <c r="LI787" s="27" t="s">
        <v>8</v>
      </c>
      <c r="LJ787" s="27" t="s">
        <v>7</v>
      </c>
      <c r="LK787" s="27" t="s">
        <v>8</v>
      </c>
      <c r="LZ787" s="27" t="s">
        <v>7</v>
      </c>
      <c r="MA787" s="27" t="s">
        <v>8</v>
      </c>
      <c r="MB787" s="27" t="s">
        <v>7</v>
      </c>
      <c r="MG787" s="27" t="s">
        <v>8</v>
      </c>
      <c r="MH787" s="27" t="s">
        <v>7</v>
      </c>
      <c r="MJ787" s="27" t="s">
        <v>7</v>
      </c>
      <c r="QQ787" s="27" t="s">
        <v>8</v>
      </c>
      <c r="QR787" s="27" t="s">
        <v>7</v>
      </c>
      <c r="QY787" s="27" t="s">
        <v>8</v>
      </c>
      <c r="QZ787" s="27" t="s">
        <v>7</v>
      </c>
    </row>
    <row r="788" spans="1:482" x14ac:dyDescent="0.25">
      <c r="A788" s="7">
        <v>1.867950983668035E-2</v>
      </c>
      <c r="B788"/>
      <c r="C788"/>
      <c r="D788"/>
      <c r="E788"/>
      <c r="F788" s="27" t="s">
        <v>7</v>
      </c>
      <c r="LI788" s="27" t="s">
        <v>8</v>
      </c>
      <c r="LJ788" s="27" t="s">
        <v>7</v>
      </c>
      <c r="LK788" s="27" t="s">
        <v>8</v>
      </c>
      <c r="LZ788" s="27" t="s">
        <v>7</v>
      </c>
      <c r="MA788" s="27" t="s">
        <v>8</v>
      </c>
      <c r="MB788" s="27" t="s">
        <v>7</v>
      </c>
      <c r="ME788" s="27" t="s">
        <v>8</v>
      </c>
      <c r="MG788" s="27" t="s">
        <v>8</v>
      </c>
      <c r="MJ788" s="27" t="s">
        <v>7</v>
      </c>
      <c r="QQ788" s="27" t="s">
        <v>8</v>
      </c>
      <c r="QR788" s="27" t="s">
        <v>7</v>
      </c>
      <c r="QS788" s="27" t="s">
        <v>8</v>
      </c>
      <c r="QY788" s="27" t="s">
        <v>8</v>
      </c>
      <c r="QZ788" s="27" t="s">
        <v>7</v>
      </c>
    </row>
    <row r="789" spans="1:482" x14ac:dyDescent="0.25">
      <c r="A789" s="7">
        <v>1.8313244937921913E-2</v>
      </c>
      <c r="B789"/>
      <c r="C789"/>
      <c r="D789"/>
      <c r="E789"/>
      <c r="F789" s="27" t="s">
        <v>7</v>
      </c>
      <c r="LG789" s="27" t="s">
        <v>8</v>
      </c>
      <c r="LI789" s="27" t="s">
        <v>8</v>
      </c>
      <c r="LJ789" s="27" t="s">
        <v>7</v>
      </c>
      <c r="LK789" s="27" t="s">
        <v>8</v>
      </c>
      <c r="LZ789" s="27" t="s">
        <v>7</v>
      </c>
      <c r="MA789" s="27" t="s">
        <v>8</v>
      </c>
      <c r="MB789" s="27" t="s">
        <v>7</v>
      </c>
      <c r="ME789" s="27" t="s">
        <v>8</v>
      </c>
      <c r="MF789" s="27" t="s">
        <v>7</v>
      </c>
      <c r="MG789" s="27" t="s">
        <v>8</v>
      </c>
      <c r="MJ789" s="27" t="s">
        <v>7</v>
      </c>
      <c r="MK789" s="27" t="s">
        <v>8</v>
      </c>
      <c r="QQ789" s="27" t="s">
        <v>8</v>
      </c>
      <c r="QR789" s="27" t="s">
        <v>7</v>
      </c>
      <c r="QS789" s="27" t="s">
        <v>8</v>
      </c>
      <c r="QT789" s="27" t="s">
        <v>7</v>
      </c>
      <c r="QY789" s="27" t="s">
        <v>8</v>
      </c>
      <c r="QZ789" s="27" t="s">
        <v>7</v>
      </c>
    </row>
    <row r="790" spans="1:482" x14ac:dyDescent="0.25">
      <c r="A790" s="7">
        <v>1.7954161703845013E-2</v>
      </c>
      <c r="B790"/>
      <c r="C790"/>
      <c r="D790"/>
      <c r="E790"/>
      <c r="F790" s="27" t="s">
        <v>7</v>
      </c>
      <c r="LG790" s="27" t="s">
        <v>8</v>
      </c>
      <c r="LH790" s="27" t="s">
        <v>7</v>
      </c>
      <c r="LI790" s="27" t="s">
        <v>8</v>
      </c>
      <c r="LJ790" s="27" t="s">
        <v>7</v>
      </c>
      <c r="LK790" s="27" t="s">
        <v>8</v>
      </c>
      <c r="LZ790" s="27" t="s">
        <v>7</v>
      </c>
      <c r="MA790" s="27" t="s">
        <v>8</v>
      </c>
      <c r="MB790" s="27" t="s">
        <v>7</v>
      </c>
      <c r="ME790" s="27" t="s">
        <v>8</v>
      </c>
      <c r="MF790" s="27" t="s">
        <v>7</v>
      </c>
      <c r="MG790" s="27" t="s">
        <v>8</v>
      </c>
      <c r="MJ790" s="27" t="s">
        <v>7</v>
      </c>
      <c r="MK790" s="27" t="s">
        <v>8</v>
      </c>
      <c r="ML790" s="27" t="s">
        <v>7</v>
      </c>
      <c r="MM790" s="27" t="s">
        <v>8</v>
      </c>
      <c r="QQ790" s="27" t="s">
        <v>8</v>
      </c>
      <c r="QR790" s="27" t="s">
        <v>7</v>
      </c>
      <c r="QS790" s="27" t="s">
        <v>8</v>
      </c>
      <c r="QT790" s="27" t="s">
        <v>7</v>
      </c>
      <c r="QY790" s="27" t="s">
        <v>8</v>
      </c>
      <c r="QZ790" s="27" t="s">
        <v>7</v>
      </c>
    </row>
    <row r="791" spans="1:482" x14ac:dyDescent="0.25">
      <c r="A791" s="7">
        <v>1.7602119317495109E-2</v>
      </c>
      <c r="B791"/>
      <c r="C791"/>
      <c r="D791"/>
      <c r="E791"/>
      <c r="F791" s="27" t="s">
        <v>7</v>
      </c>
      <c r="LG791" s="27" t="s">
        <v>8</v>
      </c>
      <c r="LH791" s="27" t="s">
        <v>7</v>
      </c>
      <c r="LI791" s="27" t="s">
        <v>8</v>
      </c>
      <c r="LJ791" s="27" t="s">
        <v>7</v>
      </c>
      <c r="LK791" s="27" t="s">
        <v>8</v>
      </c>
      <c r="LZ791" s="27" t="s">
        <v>7</v>
      </c>
      <c r="MA791" s="27" t="s">
        <v>8</v>
      </c>
      <c r="MB791" s="27" t="s">
        <v>7</v>
      </c>
      <c r="ME791" s="27" t="s">
        <v>8</v>
      </c>
      <c r="MF791" s="27" t="s">
        <v>7</v>
      </c>
      <c r="MG791" s="27" t="s">
        <v>8</v>
      </c>
      <c r="MJ791" s="27" t="s">
        <v>7</v>
      </c>
      <c r="MK791" s="27" t="s">
        <v>8</v>
      </c>
      <c r="ML791" s="27" t="s">
        <v>7</v>
      </c>
      <c r="MM791" s="27" t="s">
        <v>8</v>
      </c>
      <c r="MN791" s="27" t="s">
        <v>7</v>
      </c>
      <c r="QQ791" s="27" t="s">
        <v>8</v>
      </c>
      <c r="QR791" s="27" t="s">
        <v>7</v>
      </c>
      <c r="QS791" s="27" t="s">
        <v>8</v>
      </c>
      <c r="QT791" s="27" t="s">
        <v>7</v>
      </c>
      <c r="QU791" s="27" t="s">
        <v>8</v>
      </c>
      <c r="QY791" s="27" t="s">
        <v>8</v>
      </c>
      <c r="QZ791" s="27" t="s">
        <v>7</v>
      </c>
    </row>
    <row r="792" spans="1:482" x14ac:dyDescent="0.25">
      <c r="A792" s="7">
        <v>1.7256979723034419E-2</v>
      </c>
      <c r="B792"/>
      <c r="C792"/>
      <c r="D792"/>
      <c r="E792"/>
      <c r="F792" s="27" t="s">
        <v>7</v>
      </c>
      <c r="LG792" s="27" t="s">
        <v>8</v>
      </c>
      <c r="LH792" s="27" t="s">
        <v>7</v>
      </c>
      <c r="LI792" s="27" t="s">
        <v>8</v>
      </c>
      <c r="LJ792" s="27" t="s">
        <v>7</v>
      </c>
      <c r="LK792" s="27" t="s">
        <v>8</v>
      </c>
      <c r="LZ792" s="27" t="s">
        <v>7</v>
      </c>
      <c r="MA792" s="27" t="s">
        <v>8</v>
      </c>
      <c r="MB792" s="27" t="s">
        <v>7</v>
      </c>
      <c r="ME792" s="27" t="s">
        <v>8</v>
      </c>
      <c r="MF792" s="27" t="s">
        <v>7</v>
      </c>
      <c r="MG792" s="27" t="s">
        <v>8</v>
      </c>
      <c r="MJ792" s="27" t="s">
        <v>7</v>
      </c>
      <c r="MK792" s="27" t="s">
        <v>8</v>
      </c>
      <c r="ML792" s="27" t="s">
        <v>7</v>
      </c>
      <c r="MM792" s="27" t="s">
        <v>8</v>
      </c>
      <c r="MN792" s="27" t="s">
        <v>7</v>
      </c>
      <c r="QQ792" s="27" t="s">
        <v>8</v>
      </c>
      <c r="QR792" s="27" t="s">
        <v>7</v>
      </c>
      <c r="QS792" s="27" t="s">
        <v>8</v>
      </c>
      <c r="QT792" s="27" t="s">
        <v>7</v>
      </c>
      <c r="QU792" s="27" t="s">
        <v>8</v>
      </c>
      <c r="QV792" s="27" t="s">
        <v>7</v>
      </c>
      <c r="QY792" s="27" t="s">
        <v>8</v>
      </c>
      <c r="QZ792" s="27" t="s">
        <v>7</v>
      </c>
    </row>
    <row r="793" spans="1:482" x14ac:dyDescent="0.25">
      <c r="A793" s="7">
        <v>1.6918607571602372E-2</v>
      </c>
      <c r="B793"/>
      <c r="C793"/>
      <c r="D793"/>
      <c r="E793"/>
      <c r="F793" s="27" t="s">
        <v>7</v>
      </c>
      <c r="LG793" s="27" t="s">
        <v>8</v>
      </c>
      <c r="LH793" s="27" t="s">
        <v>7</v>
      </c>
      <c r="LI793" s="27" t="s">
        <v>8</v>
      </c>
      <c r="LJ793" s="27" t="s">
        <v>7</v>
      </c>
      <c r="LK793" s="27" t="s">
        <v>8</v>
      </c>
      <c r="LZ793" s="27" t="s">
        <v>7</v>
      </c>
      <c r="MA793" s="27" t="s">
        <v>8</v>
      </c>
      <c r="MB793" s="27" t="s">
        <v>7</v>
      </c>
      <c r="ME793" s="27" t="s">
        <v>8</v>
      </c>
      <c r="MF793" s="27" t="s">
        <v>7</v>
      </c>
      <c r="MJ793" s="27" t="s">
        <v>7</v>
      </c>
      <c r="MK793" s="27" t="s">
        <v>8</v>
      </c>
      <c r="ML793" s="27" t="s">
        <v>7</v>
      </c>
      <c r="MM793" s="27" t="s">
        <v>8</v>
      </c>
      <c r="MN793" s="27" t="s">
        <v>7</v>
      </c>
      <c r="QQ793" s="27" t="s">
        <v>8</v>
      </c>
      <c r="QR793" s="27" t="s">
        <v>7</v>
      </c>
      <c r="QS793" s="27" t="s">
        <v>8</v>
      </c>
      <c r="QT793" s="27" t="s">
        <v>7</v>
      </c>
      <c r="QU793" s="27" t="s">
        <v>8</v>
      </c>
      <c r="QV793" s="27" t="s">
        <v>7</v>
      </c>
      <c r="QY793" s="27" t="s">
        <v>8</v>
      </c>
      <c r="QZ793" s="27" t="s">
        <v>7</v>
      </c>
    </row>
    <row r="794" spans="1:482" x14ac:dyDescent="0.25">
      <c r="A794" s="7">
        <v>1.6586870168237622E-2</v>
      </c>
      <c r="B794"/>
      <c r="C794"/>
      <c r="D794"/>
      <c r="E794"/>
      <c r="F794" s="27" t="s">
        <v>7</v>
      </c>
      <c r="LG794" s="27" t="s">
        <v>8</v>
      </c>
      <c r="LH794" s="27" t="s">
        <v>7</v>
      </c>
      <c r="LI794" s="27" t="s">
        <v>8</v>
      </c>
      <c r="LJ794" s="27" t="s">
        <v>7</v>
      </c>
      <c r="LK794" s="27" t="s">
        <v>8</v>
      </c>
      <c r="LZ794" s="27" t="s">
        <v>7</v>
      </c>
      <c r="MA794" s="27" t="s">
        <v>8</v>
      </c>
      <c r="MB794" s="27" t="s">
        <v>7</v>
      </c>
      <c r="ME794" s="27" t="s">
        <v>8</v>
      </c>
      <c r="MJ794" s="27" t="s">
        <v>7</v>
      </c>
      <c r="MK794" s="27" t="s">
        <v>8</v>
      </c>
      <c r="ML794" s="27" t="s">
        <v>7</v>
      </c>
      <c r="MM794" s="27" t="s">
        <v>8</v>
      </c>
      <c r="MN794" s="27" t="s">
        <v>7</v>
      </c>
      <c r="NA794" s="27" t="s">
        <v>8</v>
      </c>
      <c r="PW794" s="27" t="s">
        <v>8</v>
      </c>
      <c r="QE794" s="27" t="s">
        <v>8</v>
      </c>
      <c r="QQ794" s="27" t="s">
        <v>8</v>
      </c>
      <c r="QR794" s="27" t="s">
        <v>7</v>
      </c>
      <c r="QS794" s="27" t="s">
        <v>8</v>
      </c>
      <c r="QT794" s="27" t="s">
        <v>7</v>
      </c>
      <c r="QU794" s="27" t="s">
        <v>8</v>
      </c>
      <c r="QV794" s="27" t="s">
        <v>7</v>
      </c>
      <c r="QY794" s="27" t="s">
        <v>8</v>
      </c>
      <c r="QZ794" s="27" t="s">
        <v>7</v>
      </c>
    </row>
    <row r="795" spans="1:482" x14ac:dyDescent="0.25">
      <c r="A795" s="7">
        <v>1.6261637419840807E-2</v>
      </c>
      <c r="B795"/>
      <c r="C795"/>
      <c r="D795"/>
      <c r="E795"/>
      <c r="F795" s="27" t="s">
        <v>7</v>
      </c>
      <c r="LG795" s="27" t="s">
        <v>8</v>
      </c>
      <c r="LH795" s="27" t="s">
        <v>7</v>
      </c>
      <c r="LI795" s="27" t="s">
        <v>8</v>
      </c>
      <c r="LJ795" s="27" t="s">
        <v>7</v>
      </c>
      <c r="LK795" s="27" t="s">
        <v>8</v>
      </c>
      <c r="LZ795" s="27" t="s">
        <v>7</v>
      </c>
      <c r="MA795" s="27" t="s">
        <v>8</v>
      </c>
      <c r="MB795" s="27" t="s">
        <v>7</v>
      </c>
      <c r="ME795" s="27" t="s">
        <v>8</v>
      </c>
      <c r="MJ795" s="27" t="s">
        <v>7</v>
      </c>
      <c r="ML795" s="27" t="s">
        <v>7</v>
      </c>
      <c r="MM795" s="27" t="s">
        <v>8</v>
      </c>
      <c r="MN795" s="27" t="s">
        <v>7</v>
      </c>
      <c r="NA795" s="27" t="s">
        <v>8</v>
      </c>
      <c r="NB795" s="27" t="s">
        <v>7</v>
      </c>
      <c r="PW795" s="27" t="s">
        <v>8</v>
      </c>
      <c r="PX795" s="27" t="s">
        <v>7</v>
      </c>
      <c r="QE795" s="27" t="s">
        <v>8</v>
      </c>
      <c r="QF795" s="27" t="s">
        <v>7</v>
      </c>
      <c r="QQ795" s="27" t="s">
        <v>8</v>
      </c>
      <c r="QR795" s="27" t="s">
        <v>7</v>
      </c>
      <c r="QS795" s="27" t="s">
        <v>8</v>
      </c>
      <c r="QT795" s="27" t="s">
        <v>7</v>
      </c>
      <c r="QU795" s="27" t="s">
        <v>8</v>
      </c>
      <c r="QV795" s="27" t="s">
        <v>7</v>
      </c>
      <c r="QW795" s="27" t="s">
        <v>8</v>
      </c>
      <c r="QY795" s="27" t="s">
        <v>8</v>
      </c>
      <c r="QZ795" s="27" t="s">
        <v>7</v>
      </c>
      <c r="RA795" s="27" t="s">
        <v>8</v>
      </c>
    </row>
    <row r="796" spans="1:482" x14ac:dyDescent="0.25">
      <c r="A796" s="7">
        <v>1.5942781784157655E-2</v>
      </c>
      <c r="B796"/>
      <c r="C796"/>
      <c r="D796"/>
      <c r="E796"/>
      <c r="F796" s="27" t="s">
        <v>7</v>
      </c>
      <c r="LG796" s="27" t="s">
        <v>8</v>
      </c>
      <c r="LH796" s="27" t="s">
        <v>7</v>
      </c>
      <c r="LI796" s="27" t="s">
        <v>8</v>
      </c>
      <c r="LJ796" s="27" t="s">
        <v>7</v>
      </c>
      <c r="LK796" s="27" t="s">
        <v>8</v>
      </c>
      <c r="LZ796" s="27" t="s">
        <v>7</v>
      </c>
      <c r="MA796" s="27" t="s">
        <v>8</v>
      </c>
      <c r="MB796" s="27" t="s">
        <v>7</v>
      </c>
      <c r="ME796" s="27" t="s">
        <v>8</v>
      </c>
      <c r="ML796" s="27" t="s">
        <v>7</v>
      </c>
      <c r="MM796" s="27" t="s">
        <v>8</v>
      </c>
      <c r="MN796" s="27" t="s">
        <v>7</v>
      </c>
      <c r="NA796" s="27" t="s">
        <v>8</v>
      </c>
      <c r="NB796" s="27" t="s">
        <v>7</v>
      </c>
      <c r="PW796" s="27" t="s">
        <v>8</v>
      </c>
      <c r="PX796" s="27" t="s">
        <v>7</v>
      </c>
      <c r="QE796" s="27" t="s">
        <v>8</v>
      </c>
      <c r="QF796" s="27" t="s">
        <v>7</v>
      </c>
      <c r="QQ796" s="27" t="s">
        <v>8</v>
      </c>
      <c r="QR796" s="27" t="s">
        <v>7</v>
      </c>
      <c r="QS796" s="27" t="s">
        <v>8</v>
      </c>
      <c r="QT796" s="27" t="s">
        <v>7</v>
      </c>
      <c r="QU796" s="27" t="s">
        <v>8</v>
      </c>
      <c r="QV796" s="27" t="s">
        <v>7</v>
      </c>
      <c r="QW796" s="27" t="s">
        <v>8</v>
      </c>
      <c r="QX796" s="27" t="s">
        <v>7</v>
      </c>
      <c r="QY796" s="27" t="s">
        <v>8</v>
      </c>
      <c r="QZ796" s="27" t="s">
        <v>7</v>
      </c>
      <c r="RA796" s="27" t="s">
        <v>8</v>
      </c>
      <c r="RB796" s="27" t="s">
        <v>7</v>
      </c>
      <c r="RM796" s="27" t="s">
        <v>8</v>
      </c>
    </row>
    <row r="797" spans="1:482" x14ac:dyDescent="0.25">
      <c r="A797" s="7">
        <v>1.5630178219762408E-2</v>
      </c>
      <c r="B797"/>
      <c r="C797"/>
      <c r="D797"/>
      <c r="E797"/>
      <c r="F797" s="27" t="s">
        <v>7</v>
      </c>
      <c r="LG797" s="27" t="s">
        <v>8</v>
      </c>
      <c r="LH797" s="27" t="s">
        <v>7</v>
      </c>
      <c r="LI797" s="27" t="s">
        <v>8</v>
      </c>
      <c r="LJ797" s="27" t="s">
        <v>7</v>
      </c>
      <c r="LK797" s="27" t="s">
        <v>8</v>
      </c>
      <c r="LZ797" s="27" t="s">
        <v>7</v>
      </c>
      <c r="MA797" s="27" t="s">
        <v>8</v>
      </c>
      <c r="MB797" s="27" t="s">
        <v>7</v>
      </c>
      <c r="ME797" s="27" t="s">
        <v>8</v>
      </c>
      <c r="ML797" s="27" t="s">
        <v>7</v>
      </c>
      <c r="MM797" s="27" t="s">
        <v>8</v>
      </c>
      <c r="MN797" s="27" t="s">
        <v>7</v>
      </c>
      <c r="NA797" s="27" t="s">
        <v>8</v>
      </c>
      <c r="NB797" s="27" t="s">
        <v>7</v>
      </c>
      <c r="PW797" s="27" t="s">
        <v>8</v>
      </c>
      <c r="PX797" s="27" t="s">
        <v>7</v>
      </c>
      <c r="QE797" s="27" t="s">
        <v>8</v>
      </c>
      <c r="QF797" s="27" t="s">
        <v>7</v>
      </c>
      <c r="QQ797" s="27" t="s">
        <v>8</v>
      </c>
      <c r="QR797" s="27" t="s">
        <v>7</v>
      </c>
      <c r="QS797" s="27" t="s">
        <v>8</v>
      </c>
      <c r="QT797" s="27" t="s">
        <v>7</v>
      </c>
      <c r="QU797" s="27" t="s">
        <v>8</v>
      </c>
      <c r="QV797" s="27" t="s">
        <v>7</v>
      </c>
      <c r="QW797" s="27" t="s">
        <v>8</v>
      </c>
      <c r="QX797" s="27" t="s">
        <v>7</v>
      </c>
      <c r="QY797" s="27" t="s">
        <v>8</v>
      </c>
      <c r="QZ797" s="27" t="s">
        <v>7</v>
      </c>
      <c r="RA797" s="27" t="s">
        <v>8</v>
      </c>
      <c r="RB797" s="27" t="s">
        <v>7</v>
      </c>
      <c r="RM797" s="27" t="s">
        <v>8</v>
      </c>
      <c r="RN797" s="27" t="s">
        <v>7</v>
      </c>
    </row>
    <row r="798" spans="1:482" x14ac:dyDescent="0.25">
      <c r="A798" s="7">
        <v>1.5323704137021967E-2</v>
      </c>
      <c r="B798"/>
      <c r="C798"/>
      <c r="D798"/>
      <c r="E798"/>
      <c r="F798" s="27" t="s">
        <v>7</v>
      </c>
      <c r="LG798" s="27" t="s">
        <v>8</v>
      </c>
      <c r="LH798" s="27" t="s">
        <v>7</v>
      </c>
      <c r="LI798" s="27" t="s">
        <v>8</v>
      </c>
      <c r="LJ798" s="27" t="s">
        <v>7</v>
      </c>
      <c r="LK798" s="27" t="s">
        <v>8</v>
      </c>
      <c r="LZ798" s="27" t="s">
        <v>7</v>
      </c>
      <c r="MA798" s="27" t="s">
        <v>8</v>
      </c>
      <c r="MB798" s="27" t="s">
        <v>7</v>
      </c>
      <c r="ME798" s="27" t="s">
        <v>8</v>
      </c>
      <c r="ML798" s="27" t="s">
        <v>7</v>
      </c>
      <c r="MM798" s="27" t="s">
        <v>8</v>
      </c>
      <c r="MN798" s="27" t="s">
        <v>7</v>
      </c>
      <c r="NA798" s="27" t="s">
        <v>8</v>
      </c>
      <c r="NB798" s="27" t="s">
        <v>7</v>
      </c>
      <c r="PW798" s="27" t="s">
        <v>8</v>
      </c>
      <c r="PX798" s="27" t="s">
        <v>7</v>
      </c>
      <c r="QE798" s="27" t="s">
        <v>8</v>
      </c>
      <c r="QF798" s="27" t="s">
        <v>7</v>
      </c>
      <c r="QQ798" s="27" t="s">
        <v>8</v>
      </c>
      <c r="QR798" s="27" t="s">
        <v>7</v>
      </c>
      <c r="QS798" s="27" t="s">
        <v>8</v>
      </c>
      <c r="QT798" s="27" t="s">
        <v>7</v>
      </c>
      <c r="QU798" s="27" t="s">
        <v>8</v>
      </c>
      <c r="QV798" s="27" t="s">
        <v>7</v>
      </c>
      <c r="QW798" s="27" t="s">
        <v>8</v>
      </c>
      <c r="QX798" s="27" t="s">
        <v>7</v>
      </c>
      <c r="QY798" s="27" t="s">
        <v>8</v>
      </c>
      <c r="QZ798" s="27" t="s">
        <v>7</v>
      </c>
      <c r="RA798" s="27" t="s">
        <v>8</v>
      </c>
      <c r="RB798" s="27" t="s">
        <v>7</v>
      </c>
      <c r="RM798" s="27" t="s">
        <v>8</v>
      </c>
      <c r="RN798" s="27" t="s">
        <v>7</v>
      </c>
    </row>
    <row r="799" spans="1:482" x14ac:dyDescent="0.25">
      <c r="A799" s="7">
        <v>1.5023239350021535E-2</v>
      </c>
      <c r="B799"/>
      <c r="C799"/>
      <c r="D799"/>
      <c r="E799"/>
      <c r="F799" s="27" t="s">
        <v>7</v>
      </c>
      <c r="LG799" s="27" t="s">
        <v>8</v>
      </c>
      <c r="LH799" s="27" t="s">
        <v>7</v>
      </c>
      <c r="LI799" s="27" t="s">
        <v>8</v>
      </c>
      <c r="LJ799" s="27" t="s">
        <v>7</v>
      </c>
      <c r="LK799" s="27" t="s">
        <v>8</v>
      </c>
      <c r="LZ799" s="27" t="s">
        <v>7</v>
      </c>
      <c r="MA799" s="27" t="s">
        <v>8</v>
      </c>
      <c r="MB799" s="27" t="s">
        <v>7</v>
      </c>
      <c r="ME799" s="27" t="s">
        <v>8</v>
      </c>
      <c r="ML799" s="27" t="s">
        <v>7</v>
      </c>
      <c r="MM799" s="27" t="s">
        <v>8</v>
      </c>
      <c r="MN799" s="27" t="s">
        <v>7</v>
      </c>
      <c r="NA799" s="27" t="s">
        <v>8</v>
      </c>
      <c r="NB799" s="27" t="s">
        <v>7</v>
      </c>
      <c r="PW799" s="27" t="s">
        <v>8</v>
      </c>
      <c r="PX799" s="27" t="s">
        <v>7</v>
      </c>
      <c r="QE799" s="27" t="s">
        <v>8</v>
      </c>
      <c r="QF799" s="27" t="s">
        <v>7</v>
      </c>
      <c r="QQ799" s="27" t="s">
        <v>8</v>
      </c>
      <c r="QR799" s="27" t="s">
        <v>7</v>
      </c>
      <c r="QS799" s="27" t="s">
        <v>8</v>
      </c>
      <c r="QT799" s="27" t="s">
        <v>7</v>
      </c>
      <c r="QU799" s="27" t="s">
        <v>8</v>
      </c>
      <c r="QV799" s="27" t="s">
        <v>7</v>
      </c>
      <c r="QW799" s="27" t="s">
        <v>8</v>
      </c>
      <c r="QX799" s="27" t="s">
        <v>7</v>
      </c>
      <c r="QY799" s="27" t="s">
        <v>8</v>
      </c>
      <c r="QZ799" s="27" t="s">
        <v>7</v>
      </c>
      <c r="RA799" s="27" t="s">
        <v>8</v>
      </c>
      <c r="RB799" s="27" t="s">
        <v>7</v>
      </c>
      <c r="RM799" s="27" t="s">
        <v>8</v>
      </c>
      <c r="RN799" s="27" t="s">
        <v>7</v>
      </c>
    </row>
    <row r="800" spans="1:482" x14ac:dyDescent="0.25">
      <c r="A800" s="7">
        <v>1.4728666029432878E-2</v>
      </c>
      <c r="B800"/>
      <c r="C800"/>
      <c r="D800"/>
      <c r="E800"/>
      <c r="F800" s="27" t="s">
        <v>7</v>
      </c>
      <c r="KS800" s="27" t="s">
        <v>8</v>
      </c>
      <c r="LG800" s="27" t="s">
        <v>8</v>
      </c>
      <c r="LH800" s="27" t="s">
        <v>7</v>
      </c>
      <c r="LI800" s="27" t="s">
        <v>8</v>
      </c>
      <c r="LJ800" s="27" t="s">
        <v>7</v>
      </c>
      <c r="LZ800" s="27" t="s">
        <v>7</v>
      </c>
      <c r="MA800" s="27" t="s">
        <v>8</v>
      </c>
      <c r="MB800" s="27" t="s">
        <v>7</v>
      </c>
      <c r="ME800" s="27" t="s">
        <v>8</v>
      </c>
      <c r="ML800" s="27" t="s">
        <v>7</v>
      </c>
      <c r="MM800" s="27" t="s">
        <v>8</v>
      </c>
      <c r="MN800" s="27" t="s">
        <v>7</v>
      </c>
      <c r="NA800" s="27" t="s">
        <v>8</v>
      </c>
      <c r="NB800" s="27" t="s">
        <v>7</v>
      </c>
      <c r="PW800" s="27" t="s">
        <v>8</v>
      </c>
      <c r="PX800" s="27" t="s">
        <v>7</v>
      </c>
      <c r="QE800" s="27" t="s">
        <v>8</v>
      </c>
      <c r="QF800" s="27" t="s">
        <v>7</v>
      </c>
      <c r="QQ800" s="27" t="s">
        <v>8</v>
      </c>
      <c r="QR800" s="27" t="s">
        <v>7</v>
      </c>
      <c r="QS800" s="27" t="s">
        <v>8</v>
      </c>
      <c r="QT800" s="27" t="s">
        <v>7</v>
      </c>
      <c r="QU800" s="27" t="s">
        <v>8</v>
      </c>
      <c r="QV800" s="27" t="s">
        <v>7</v>
      </c>
      <c r="QX800" s="27" t="s">
        <v>7</v>
      </c>
      <c r="QY800" s="27" t="s">
        <v>8</v>
      </c>
      <c r="QZ800" s="27" t="s">
        <v>7</v>
      </c>
      <c r="RA800" s="27" t="s">
        <v>8</v>
      </c>
      <c r="RB800" s="27" t="s">
        <v>7</v>
      </c>
      <c r="RC800" s="27" t="s">
        <v>8</v>
      </c>
      <c r="RM800" s="27" t="s">
        <v>8</v>
      </c>
      <c r="RN800" s="27" t="s">
        <v>7</v>
      </c>
    </row>
    <row r="801" spans="1:492" x14ac:dyDescent="0.25">
      <c r="A801" s="7">
        <v>1.4439868656306743E-2</v>
      </c>
      <c r="B801"/>
      <c r="C801"/>
      <c r="D801"/>
      <c r="E801"/>
      <c r="F801" s="27" t="s">
        <v>7</v>
      </c>
      <c r="KS801" s="27" t="s">
        <v>8</v>
      </c>
      <c r="KT801" s="27" t="s">
        <v>7</v>
      </c>
      <c r="LG801" s="27" t="s">
        <v>8</v>
      </c>
      <c r="LH801" s="27" t="s">
        <v>7</v>
      </c>
      <c r="LI801" s="27" t="s">
        <v>8</v>
      </c>
      <c r="LZ801" s="27" t="s">
        <v>7</v>
      </c>
      <c r="MA801" s="27" t="s">
        <v>8</v>
      </c>
      <c r="MB801" s="27" t="s">
        <v>7</v>
      </c>
      <c r="ME801" s="27" t="s">
        <v>8</v>
      </c>
      <c r="ML801" s="27" t="s">
        <v>7</v>
      </c>
      <c r="MM801" s="27" t="s">
        <v>8</v>
      </c>
      <c r="MN801" s="27" t="s">
        <v>7</v>
      </c>
      <c r="NA801" s="27" t="s">
        <v>8</v>
      </c>
      <c r="NB801" s="27" t="s">
        <v>7</v>
      </c>
      <c r="PW801" s="27" t="s">
        <v>8</v>
      </c>
      <c r="PX801" s="27" t="s">
        <v>7</v>
      </c>
      <c r="QE801" s="27" t="s">
        <v>8</v>
      </c>
      <c r="QF801" s="27" t="s">
        <v>7</v>
      </c>
      <c r="QQ801" s="27" t="s">
        <v>8</v>
      </c>
      <c r="QR801" s="27" t="s">
        <v>7</v>
      </c>
      <c r="QS801" s="27" t="s">
        <v>8</v>
      </c>
      <c r="QT801" s="27" t="s">
        <v>7</v>
      </c>
      <c r="QU801" s="27" t="s">
        <v>8</v>
      </c>
      <c r="QX801" s="27" t="s">
        <v>7</v>
      </c>
      <c r="QZ801" s="27" t="s">
        <v>7</v>
      </c>
      <c r="RA801" s="27" t="s">
        <v>8</v>
      </c>
      <c r="RB801" s="27" t="s">
        <v>7</v>
      </c>
      <c r="RC801" s="27" t="s">
        <v>8</v>
      </c>
      <c r="RD801" s="27" t="s">
        <v>7</v>
      </c>
      <c r="RM801" s="27" t="s">
        <v>8</v>
      </c>
      <c r="RN801" s="27" t="s">
        <v>7</v>
      </c>
    </row>
    <row r="802" spans="1:492" x14ac:dyDescent="0.25">
      <c r="A802" s="7">
        <v>1.4156733976771318E-2</v>
      </c>
      <c r="B802"/>
      <c r="C802"/>
      <c r="D802"/>
      <c r="E802"/>
      <c r="F802" s="27" t="s">
        <v>7</v>
      </c>
      <c r="KS802" s="27" t="s">
        <v>8</v>
      </c>
      <c r="KT802" s="27" t="s">
        <v>7</v>
      </c>
      <c r="LG802" s="27" t="s">
        <v>8</v>
      </c>
      <c r="LH802" s="27" t="s">
        <v>7</v>
      </c>
      <c r="LI802" s="27" t="s">
        <v>8</v>
      </c>
      <c r="LZ802" s="27" t="s">
        <v>7</v>
      </c>
      <c r="MA802" s="27" t="s">
        <v>8</v>
      </c>
      <c r="MB802" s="27" t="s">
        <v>7</v>
      </c>
      <c r="MC802" s="27" t="s">
        <v>8</v>
      </c>
      <c r="ME802" s="27" t="s">
        <v>8</v>
      </c>
      <c r="ML802" s="27" t="s">
        <v>7</v>
      </c>
      <c r="MM802" s="27" t="s">
        <v>8</v>
      </c>
      <c r="MN802" s="27" t="s">
        <v>7</v>
      </c>
      <c r="NA802" s="27" t="s">
        <v>8</v>
      </c>
      <c r="NB802" s="27" t="s">
        <v>7</v>
      </c>
      <c r="PW802" s="27" t="s">
        <v>8</v>
      </c>
      <c r="PX802" s="27" t="s">
        <v>7</v>
      </c>
      <c r="QE802" s="27" t="s">
        <v>8</v>
      </c>
      <c r="QF802" s="27" t="s">
        <v>7</v>
      </c>
      <c r="QQ802" s="27" t="s">
        <v>8</v>
      </c>
      <c r="QR802" s="27" t="s">
        <v>7</v>
      </c>
      <c r="QS802" s="27" t="s">
        <v>8</v>
      </c>
      <c r="QT802" s="27" t="s">
        <v>7</v>
      </c>
      <c r="QU802" s="27" t="s">
        <v>8</v>
      </c>
      <c r="QZ802" s="27" t="s">
        <v>7</v>
      </c>
      <c r="RA802" s="27" t="s">
        <v>8</v>
      </c>
      <c r="RB802" s="27" t="s">
        <v>7</v>
      </c>
      <c r="RC802" s="27" t="s">
        <v>8</v>
      </c>
      <c r="RD802" s="27" t="s">
        <v>7</v>
      </c>
      <c r="RG802" s="27" t="s">
        <v>8</v>
      </c>
      <c r="RM802" s="27" t="s">
        <v>8</v>
      </c>
      <c r="RN802" s="27" t="s">
        <v>7</v>
      </c>
      <c r="RO802" s="27" t="s">
        <v>8</v>
      </c>
    </row>
    <row r="803" spans="1:492" x14ac:dyDescent="0.25">
      <c r="A803" s="7">
        <v>1.3879150957618939E-2</v>
      </c>
      <c r="B803"/>
      <c r="C803"/>
      <c r="D803"/>
      <c r="E803"/>
      <c r="F803" s="27" t="s">
        <v>7</v>
      </c>
      <c r="KS803" s="27" t="s">
        <v>8</v>
      </c>
      <c r="KT803" s="27" t="s">
        <v>7</v>
      </c>
      <c r="LG803" s="27" t="s">
        <v>8</v>
      </c>
      <c r="LH803" s="27" t="s">
        <v>7</v>
      </c>
      <c r="LZ803" s="27" t="s">
        <v>7</v>
      </c>
      <c r="MA803" s="27" t="s">
        <v>8</v>
      </c>
      <c r="MB803" s="27" t="s">
        <v>7</v>
      </c>
      <c r="MC803" s="27" t="s">
        <v>8</v>
      </c>
      <c r="MD803" s="27" t="s">
        <v>7</v>
      </c>
      <c r="ME803" s="27" t="s">
        <v>8</v>
      </c>
      <c r="ML803" s="27" t="s">
        <v>7</v>
      </c>
      <c r="MM803" s="27" t="s">
        <v>8</v>
      </c>
      <c r="MN803" s="27" t="s">
        <v>7</v>
      </c>
      <c r="NA803" s="27" t="s">
        <v>8</v>
      </c>
      <c r="NB803" s="27" t="s">
        <v>7</v>
      </c>
      <c r="PU803" s="27" t="s">
        <v>8</v>
      </c>
      <c r="PW803" s="27" t="s">
        <v>8</v>
      </c>
      <c r="PX803" s="27" t="s">
        <v>7</v>
      </c>
      <c r="QE803" s="27" t="s">
        <v>8</v>
      </c>
      <c r="QF803" s="27" t="s">
        <v>7</v>
      </c>
      <c r="QQ803" s="27" t="s">
        <v>8</v>
      </c>
      <c r="QR803" s="27" t="s">
        <v>7</v>
      </c>
      <c r="QT803" s="27" t="s">
        <v>7</v>
      </c>
      <c r="QZ803" s="27" t="s">
        <v>7</v>
      </c>
      <c r="RA803" s="27" t="s">
        <v>8</v>
      </c>
      <c r="RB803" s="27" t="s">
        <v>7</v>
      </c>
      <c r="RC803" s="27" t="s">
        <v>8</v>
      </c>
      <c r="RD803" s="27" t="s">
        <v>7</v>
      </c>
      <c r="RG803" s="27" t="s">
        <v>8</v>
      </c>
      <c r="RH803" s="27" t="s">
        <v>7</v>
      </c>
      <c r="RM803" s="27" t="s">
        <v>8</v>
      </c>
      <c r="RN803" s="27" t="s">
        <v>7</v>
      </c>
      <c r="RO803" s="27" t="s">
        <v>8</v>
      </c>
      <c r="RP803" s="27" t="s">
        <v>7</v>
      </c>
    </row>
    <row r="804" spans="1:492" x14ac:dyDescent="0.25">
      <c r="A804" s="7">
        <v>1.3607010742763666E-2</v>
      </c>
      <c r="B804"/>
      <c r="C804"/>
      <c r="D804"/>
      <c r="E804"/>
      <c r="F804" s="27" t="s">
        <v>7</v>
      </c>
      <c r="KS804" s="27" t="s">
        <v>8</v>
      </c>
      <c r="KT804" s="27" t="s">
        <v>7</v>
      </c>
      <c r="LG804" s="27" t="s">
        <v>8</v>
      </c>
      <c r="LZ804" s="27" t="s">
        <v>7</v>
      </c>
      <c r="MB804" s="27" t="s">
        <v>7</v>
      </c>
      <c r="MC804" s="27" t="s">
        <v>8</v>
      </c>
      <c r="MD804" s="27" t="s">
        <v>7</v>
      </c>
      <c r="ME804" s="27" t="s">
        <v>8</v>
      </c>
      <c r="ML804" s="27" t="s">
        <v>7</v>
      </c>
      <c r="MN804" s="27" t="s">
        <v>7</v>
      </c>
      <c r="NA804" s="27" t="s">
        <v>8</v>
      </c>
      <c r="NB804" s="27" t="s">
        <v>7</v>
      </c>
      <c r="PU804" s="27" t="s">
        <v>8</v>
      </c>
      <c r="PV804" s="27" t="s">
        <v>7</v>
      </c>
      <c r="PW804" s="27" t="s">
        <v>8</v>
      </c>
      <c r="PX804" s="27" t="s">
        <v>7</v>
      </c>
      <c r="PY804" s="27" t="s">
        <v>8</v>
      </c>
      <c r="QE804" s="27" t="s">
        <v>8</v>
      </c>
      <c r="QF804" s="27" t="s">
        <v>7</v>
      </c>
      <c r="QI804" s="27" t="s">
        <v>8</v>
      </c>
      <c r="QK804" s="27" t="s">
        <v>8</v>
      </c>
      <c r="QQ804" s="27" t="s">
        <v>8</v>
      </c>
      <c r="QZ804" s="27" t="s">
        <v>7</v>
      </c>
      <c r="RA804" s="27" t="s">
        <v>8</v>
      </c>
      <c r="RB804" s="27" t="s">
        <v>7</v>
      </c>
      <c r="RC804" s="27" t="s">
        <v>8</v>
      </c>
      <c r="RD804" s="27" t="s">
        <v>7</v>
      </c>
      <c r="RE804" s="27" t="s">
        <v>8</v>
      </c>
      <c r="RG804" s="27" t="s">
        <v>8</v>
      </c>
      <c r="RH804" s="27" t="s">
        <v>7</v>
      </c>
      <c r="RM804" s="27" t="s">
        <v>8</v>
      </c>
      <c r="RN804" s="27" t="s">
        <v>7</v>
      </c>
      <c r="RO804" s="27" t="s">
        <v>8</v>
      </c>
      <c r="RP804" s="27" t="s">
        <v>7</v>
      </c>
    </row>
    <row r="805" spans="1:492" x14ac:dyDescent="0.25">
      <c r="A805" s="7">
        <v>1.3340206610552614E-2</v>
      </c>
      <c r="B805"/>
      <c r="C805"/>
      <c r="D805"/>
      <c r="E805"/>
      <c r="F805" s="27" t="s">
        <v>7</v>
      </c>
      <c r="KS805" s="27" t="s">
        <v>8</v>
      </c>
      <c r="KT805" s="27" t="s">
        <v>7</v>
      </c>
      <c r="LG805" s="27" t="s">
        <v>8</v>
      </c>
      <c r="MB805" s="27" t="s">
        <v>7</v>
      </c>
      <c r="MC805" s="27" t="s">
        <v>8</v>
      </c>
      <c r="MD805" s="27" t="s">
        <v>7</v>
      </c>
      <c r="ME805" s="27" t="s">
        <v>8</v>
      </c>
      <c r="MN805" s="27" t="s">
        <v>7</v>
      </c>
      <c r="NA805" s="27" t="s">
        <v>8</v>
      </c>
      <c r="NB805" s="27" t="s">
        <v>7</v>
      </c>
      <c r="PU805" s="27" t="s">
        <v>8</v>
      </c>
      <c r="PV805" s="27" t="s">
        <v>7</v>
      </c>
      <c r="PW805" s="27" t="s">
        <v>8</v>
      </c>
      <c r="PX805" s="27" t="s">
        <v>7</v>
      </c>
      <c r="PY805" s="27" t="s">
        <v>8</v>
      </c>
      <c r="PZ805" s="27" t="s">
        <v>7</v>
      </c>
      <c r="QE805" s="27" t="s">
        <v>8</v>
      </c>
      <c r="QF805" s="27" t="s">
        <v>7</v>
      </c>
      <c r="QI805" s="27" t="s">
        <v>8</v>
      </c>
      <c r="QJ805" s="27" t="s">
        <v>7</v>
      </c>
      <c r="QK805" s="27" t="s">
        <v>8</v>
      </c>
      <c r="QL805" s="27" t="s">
        <v>7</v>
      </c>
      <c r="QQ805" s="27" t="s">
        <v>8</v>
      </c>
      <c r="QZ805" s="27" t="s">
        <v>7</v>
      </c>
      <c r="RA805" s="27" t="s">
        <v>8</v>
      </c>
      <c r="RB805" s="27" t="s">
        <v>7</v>
      </c>
      <c r="RC805" s="27" t="s">
        <v>8</v>
      </c>
      <c r="RD805" s="27" t="s">
        <v>7</v>
      </c>
      <c r="RE805" s="27" t="s">
        <v>8</v>
      </c>
      <c r="RF805" s="27" t="s">
        <v>7</v>
      </c>
      <c r="RG805" s="27" t="s">
        <v>8</v>
      </c>
      <c r="RH805" s="27" t="s">
        <v>7</v>
      </c>
      <c r="RM805" s="27" t="s">
        <v>8</v>
      </c>
      <c r="RN805" s="27" t="s">
        <v>7</v>
      </c>
      <c r="RO805" s="27" t="s">
        <v>8</v>
      </c>
      <c r="RP805" s="27" t="s">
        <v>7</v>
      </c>
      <c r="RQ805" s="27" t="s">
        <v>8</v>
      </c>
    </row>
    <row r="806" spans="1:492" x14ac:dyDescent="0.25">
      <c r="A806" s="7">
        <v>1.3078633931914328E-2</v>
      </c>
      <c r="B806"/>
      <c r="C806"/>
      <c r="D806"/>
      <c r="E806"/>
      <c r="F806" s="27" t="s">
        <v>7</v>
      </c>
      <c r="KS806" s="27" t="s">
        <v>8</v>
      </c>
      <c r="KT806" s="27" t="s">
        <v>7</v>
      </c>
      <c r="LG806" s="27" t="s">
        <v>8</v>
      </c>
      <c r="MB806" s="27" t="s">
        <v>7</v>
      </c>
      <c r="MC806" s="27" t="s">
        <v>8</v>
      </c>
      <c r="MD806" s="27" t="s">
        <v>7</v>
      </c>
      <c r="ME806" s="27" t="s">
        <v>8</v>
      </c>
      <c r="MN806" s="27" t="s">
        <v>7</v>
      </c>
      <c r="NA806" s="27" t="s">
        <v>8</v>
      </c>
      <c r="NB806" s="27" t="s">
        <v>7</v>
      </c>
      <c r="NC806" s="27" t="s">
        <v>8</v>
      </c>
      <c r="PU806" s="27" t="s">
        <v>8</v>
      </c>
      <c r="PV806" s="27" t="s">
        <v>7</v>
      </c>
      <c r="PW806" s="27" t="s">
        <v>8</v>
      </c>
      <c r="PX806" s="27" t="s">
        <v>7</v>
      </c>
      <c r="PY806" s="27" t="s">
        <v>8</v>
      </c>
      <c r="PZ806" s="27" t="s">
        <v>7</v>
      </c>
      <c r="QA806" s="27" t="s">
        <v>8</v>
      </c>
      <c r="QE806" s="27" t="s">
        <v>8</v>
      </c>
      <c r="QF806" s="27" t="s">
        <v>7</v>
      </c>
      <c r="QI806" s="27" t="s">
        <v>8</v>
      </c>
      <c r="QJ806" s="27" t="s">
        <v>7</v>
      </c>
      <c r="QK806" s="27" t="s">
        <v>8</v>
      </c>
      <c r="QL806" s="27" t="s">
        <v>7</v>
      </c>
      <c r="QQ806" s="27" t="s">
        <v>8</v>
      </c>
      <c r="QZ806" s="27" t="s">
        <v>7</v>
      </c>
      <c r="RA806" s="27" t="s">
        <v>8</v>
      </c>
      <c r="RB806" s="27" t="s">
        <v>7</v>
      </c>
      <c r="RC806" s="27" t="s">
        <v>8</v>
      </c>
      <c r="RD806" s="27" t="s">
        <v>7</v>
      </c>
      <c r="RE806" s="27" t="s">
        <v>8</v>
      </c>
      <c r="RF806" s="27" t="s">
        <v>7</v>
      </c>
      <c r="RG806" s="27" t="s">
        <v>8</v>
      </c>
      <c r="RH806" s="27" t="s">
        <v>7</v>
      </c>
      <c r="RM806" s="27" t="s">
        <v>8</v>
      </c>
      <c r="RN806" s="27" t="s">
        <v>7</v>
      </c>
      <c r="RO806" s="27" t="s">
        <v>8</v>
      </c>
      <c r="RP806" s="27" t="s">
        <v>7</v>
      </c>
      <c r="RQ806" s="27" t="s">
        <v>8</v>
      </c>
      <c r="RR806" s="27" t="s">
        <v>7</v>
      </c>
    </row>
    <row r="807" spans="1:492" x14ac:dyDescent="0.25">
      <c r="A807" s="7">
        <v>1.2822190129327771E-2</v>
      </c>
      <c r="B807"/>
      <c r="C807"/>
      <c r="D807"/>
      <c r="E807"/>
      <c r="F807" s="27" t="s">
        <v>7</v>
      </c>
      <c r="KS807" s="27" t="s">
        <v>8</v>
      </c>
      <c r="KT807" s="27" t="s">
        <v>7</v>
      </c>
      <c r="LG807" s="27" t="s">
        <v>8</v>
      </c>
      <c r="MB807" s="27" t="s">
        <v>7</v>
      </c>
      <c r="MC807" s="27" t="s">
        <v>8</v>
      </c>
      <c r="MD807" s="27" t="s">
        <v>7</v>
      </c>
      <c r="ME807" s="27" t="s">
        <v>8</v>
      </c>
      <c r="MN807" s="27" t="s">
        <v>7</v>
      </c>
      <c r="MO807" s="27" t="s">
        <v>8</v>
      </c>
      <c r="NA807" s="27" t="s">
        <v>8</v>
      </c>
      <c r="NB807" s="27" t="s">
        <v>7</v>
      </c>
      <c r="NC807" s="27" t="s">
        <v>8</v>
      </c>
      <c r="ND807" s="27" t="s">
        <v>7</v>
      </c>
      <c r="PE807" s="27" t="s">
        <v>8</v>
      </c>
      <c r="PU807" s="27" t="s">
        <v>8</v>
      </c>
      <c r="PV807" s="27" t="s">
        <v>7</v>
      </c>
      <c r="PW807" s="27" t="s">
        <v>8</v>
      </c>
      <c r="PX807" s="27" t="s">
        <v>7</v>
      </c>
      <c r="PY807" s="27" t="s">
        <v>8</v>
      </c>
      <c r="PZ807" s="27" t="s">
        <v>7</v>
      </c>
      <c r="QA807" s="27" t="s">
        <v>8</v>
      </c>
      <c r="QB807" s="27" t="s">
        <v>7</v>
      </c>
      <c r="QE807" s="27" t="s">
        <v>8</v>
      </c>
      <c r="QF807" s="27" t="s">
        <v>7</v>
      </c>
      <c r="QG807" s="27" t="s">
        <v>8</v>
      </c>
      <c r="QI807" s="27" t="s">
        <v>8</v>
      </c>
      <c r="QJ807" s="27" t="s">
        <v>7</v>
      </c>
      <c r="QK807" s="27" t="s">
        <v>8</v>
      </c>
      <c r="QL807" s="27" t="s">
        <v>7</v>
      </c>
      <c r="QM807" s="27" t="s">
        <v>8</v>
      </c>
      <c r="QQ807" s="27" t="s">
        <v>8</v>
      </c>
      <c r="QZ807" s="27" t="s">
        <v>7</v>
      </c>
      <c r="RB807" s="27" t="s">
        <v>7</v>
      </c>
      <c r="RC807" s="27" t="s">
        <v>8</v>
      </c>
      <c r="RD807" s="27" t="s">
        <v>7</v>
      </c>
      <c r="RE807" s="27" t="s">
        <v>8</v>
      </c>
      <c r="RF807" s="27" t="s">
        <v>7</v>
      </c>
      <c r="RG807" s="27" t="s">
        <v>8</v>
      </c>
      <c r="RH807" s="27" t="s">
        <v>7</v>
      </c>
      <c r="RI807" s="27" t="s">
        <v>8</v>
      </c>
      <c r="RK807" s="27" t="s">
        <v>8</v>
      </c>
      <c r="RM807" s="27" t="s">
        <v>8</v>
      </c>
      <c r="RN807" s="27" t="s">
        <v>7</v>
      </c>
      <c r="RO807" s="27" t="s">
        <v>8</v>
      </c>
      <c r="RP807" s="27" t="s">
        <v>7</v>
      </c>
      <c r="RQ807" s="27" t="s">
        <v>8</v>
      </c>
      <c r="RR807" s="27" t="s">
        <v>7</v>
      </c>
    </row>
    <row r="808" spans="1:492" x14ac:dyDescent="0.25">
      <c r="A808" s="7">
        <v>1.2570774636595854E-2</v>
      </c>
      <c r="B808"/>
      <c r="C808"/>
      <c r="D808"/>
      <c r="E808"/>
      <c r="F808" s="27" t="s">
        <v>7</v>
      </c>
      <c r="KS808" s="27" t="s">
        <v>8</v>
      </c>
      <c r="KT808" s="27" t="s">
        <v>7</v>
      </c>
      <c r="LG808" s="27" t="s">
        <v>8</v>
      </c>
      <c r="MB808" s="27" t="s">
        <v>7</v>
      </c>
      <c r="MC808" s="27" t="s">
        <v>8</v>
      </c>
      <c r="MD808" s="27" t="s">
        <v>7</v>
      </c>
      <c r="ME808" s="27" t="s">
        <v>8</v>
      </c>
      <c r="MN808" s="27" t="s">
        <v>7</v>
      </c>
      <c r="MO808" s="27" t="s">
        <v>8</v>
      </c>
      <c r="MP808" s="27" t="s">
        <v>7</v>
      </c>
      <c r="NA808" s="27" t="s">
        <v>8</v>
      </c>
      <c r="NB808" s="27" t="s">
        <v>7</v>
      </c>
      <c r="NC808" s="27" t="s">
        <v>8</v>
      </c>
      <c r="ND808" s="27" t="s">
        <v>7</v>
      </c>
      <c r="PE808" s="27" t="s">
        <v>8</v>
      </c>
      <c r="PF808" s="27" t="s">
        <v>7</v>
      </c>
      <c r="PU808" s="27" t="s">
        <v>8</v>
      </c>
      <c r="PV808" s="27" t="s">
        <v>7</v>
      </c>
      <c r="PW808" s="27" t="s">
        <v>8</v>
      </c>
      <c r="PX808" s="27" t="s">
        <v>7</v>
      </c>
      <c r="PY808" s="27" t="s">
        <v>8</v>
      </c>
      <c r="PZ808" s="27" t="s">
        <v>7</v>
      </c>
      <c r="QA808" s="27" t="s">
        <v>8</v>
      </c>
      <c r="QB808" s="27" t="s">
        <v>7</v>
      </c>
      <c r="QE808" s="27" t="s">
        <v>8</v>
      </c>
      <c r="QF808" s="27" t="s">
        <v>7</v>
      </c>
      <c r="QG808" s="27" t="s">
        <v>8</v>
      </c>
      <c r="QH808" s="27" t="s">
        <v>7</v>
      </c>
      <c r="QI808" s="27" t="s">
        <v>8</v>
      </c>
      <c r="QJ808" s="27" t="s">
        <v>7</v>
      </c>
      <c r="QK808" s="27" t="s">
        <v>8</v>
      </c>
      <c r="QL808" s="27" t="s">
        <v>7</v>
      </c>
      <c r="QM808" s="27" t="s">
        <v>8</v>
      </c>
      <c r="QN808" s="27" t="s">
        <v>7</v>
      </c>
      <c r="QQ808" s="27" t="s">
        <v>8</v>
      </c>
      <c r="RB808" s="27" t="s">
        <v>7</v>
      </c>
      <c r="RD808" s="27" t="s">
        <v>7</v>
      </c>
      <c r="RE808" s="27" t="s">
        <v>8</v>
      </c>
      <c r="RF808" s="27" t="s">
        <v>7</v>
      </c>
      <c r="RG808" s="27" t="s">
        <v>8</v>
      </c>
      <c r="RH808" s="27" t="s">
        <v>7</v>
      </c>
      <c r="RI808" s="27" t="s">
        <v>8</v>
      </c>
      <c r="RJ808" s="27" t="s">
        <v>7</v>
      </c>
      <c r="RK808" s="27" t="s">
        <v>8</v>
      </c>
      <c r="RL808" s="27" t="s">
        <v>7</v>
      </c>
      <c r="RM808" s="27" t="s">
        <v>8</v>
      </c>
      <c r="RN808" s="27" t="s">
        <v>7</v>
      </c>
      <c r="RO808" s="27" t="s">
        <v>8</v>
      </c>
      <c r="RP808" s="27" t="s">
        <v>7</v>
      </c>
      <c r="RR808" s="27" t="s">
        <v>7</v>
      </c>
    </row>
    <row r="809" spans="1:492" x14ac:dyDescent="0.25">
      <c r="A809" s="7">
        <v>1.23242888594077E-2</v>
      </c>
      <c r="B809"/>
      <c r="C809"/>
      <c r="D809"/>
      <c r="E809"/>
      <c r="F809" s="27" t="s">
        <v>7</v>
      </c>
      <c r="KS809" s="27" t="s">
        <v>8</v>
      </c>
      <c r="KT809" s="27" t="s">
        <v>7</v>
      </c>
      <c r="LG809" s="27" t="s">
        <v>8</v>
      </c>
      <c r="MB809" s="27" t="s">
        <v>7</v>
      </c>
      <c r="MC809" s="27" t="s">
        <v>8</v>
      </c>
      <c r="MD809" s="27" t="s">
        <v>7</v>
      </c>
      <c r="ME809" s="27" t="s">
        <v>8</v>
      </c>
      <c r="MN809" s="27" t="s">
        <v>7</v>
      </c>
      <c r="MO809" s="27" t="s">
        <v>8</v>
      </c>
      <c r="MP809" s="27" t="s">
        <v>7</v>
      </c>
      <c r="NA809" s="27" t="s">
        <v>8</v>
      </c>
      <c r="NB809" s="27" t="s">
        <v>7</v>
      </c>
      <c r="NC809" s="27" t="s">
        <v>8</v>
      </c>
      <c r="ND809" s="27" t="s">
        <v>7</v>
      </c>
      <c r="PE809" s="27" t="s">
        <v>8</v>
      </c>
      <c r="PF809" s="27" t="s">
        <v>7</v>
      </c>
      <c r="PU809" s="27" t="s">
        <v>8</v>
      </c>
      <c r="PV809" s="27" t="s">
        <v>7</v>
      </c>
      <c r="PW809" s="27" t="s">
        <v>8</v>
      </c>
      <c r="PX809" s="27" t="s">
        <v>7</v>
      </c>
      <c r="PZ809" s="27" t="s">
        <v>7</v>
      </c>
      <c r="QA809" s="27" t="s">
        <v>8</v>
      </c>
      <c r="QB809" s="27" t="s">
        <v>7</v>
      </c>
      <c r="QC809" s="27" t="s">
        <v>8</v>
      </c>
      <c r="QE809" s="27" t="s">
        <v>8</v>
      </c>
      <c r="QF809" s="27" t="s">
        <v>7</v>
      </c>
      <c r="QG809" s="27" t="s">
        <v>8</v>
      </c>
      <c r="QH809" s="27" t="s">
        <v>7</v>
      </c>
      <c r="QI809" s="27" t="s">
        <v>8</v>
      </c>
      <c r="QJ809" s="27" t="s">
        <v>7</v>
      </c>
      <c r="QK809" s="27" t="s">
        <v>8</v>
      </c>
      <c r="QL809" s="27" t="s">
        <v>7</v>
      </c>
      <c r="QM809" s="27" t="s">
        <v>8</v>
      </c>
      <c r="QN809" s="27" t="s">
        <v>7</v>
      </c>
      <c r="QQ809" s="27" t="s">
        <v>8</v>
      </c>
      <c r="RD809" s="27" t="s">
        <v>7</v>
      </c>
      <c r="RF809" s="27" t="s">
        <v>7</v>
      </c>
      <c r="RG809" s="27" t="s">
        <v>8</v>
      </c>
      <c r="RH809" s="27" t="s">
        <v>7</v>
      </c>
      <c r="RI809" s="27" t="s">
        <v>8</v>
      </c>
      <c r="RJ809" s="27" t="s">
        <v>7</v>
      </c>
      <c r="RK809" s="27" t="s">
        <v>8</v>
      </c>
      <c r="RL809" s="27" t="s">
        <v>7</v>
      </c>
      <c r="RM809" s="27" t="s">
        <v>8</v>
      </c>
      <c r="RN809" s="27" t="s">
        <v>7</v>
      </c>
      <c r="RO809" s="27" t="s">
        <v>8</v>
      </c>
      <c r="RR809" s="27" t="s">
        <v>7</v>
      </c>
    </row>
    <row r="810" spans="1:492" x14ac:dyDescent="0.25">
      <c r="A810" s="7">
        <v>1.2082636136674216E-2</v>
      </c>
      <c r="B810"/>
      <c r="C810"/>
      <c r="D810"/>
      <c r="E810"/>
      <c r="F810" s="27" t="s">
        <v>7</v>
      </c>
      <c r="KS810" s="27" t="s">
        <v>8</v>
      </c>
      <c r="KT810" s="27" t="s">
        <v>7</v>
      </c>
      <c r="LG810" s="27" t="s">
        <v>8</v>
      </c>
      <c r="MB810" s="27" t="s">
        <v>7</v>
      </c>
      <c r="MC810" s="27" t="s">
        <v>8</v>
      </c>
      <c r="MD810" s="27" t="s">
        <v>7</v>
      </c>
      <c r="ME810" s="27" t="s">
        <v>8</v>
      </c>
      <c r="MN810" s="27" t="s">
        <v>7</v>
      </c>
      <c r="MO810" s="27" t="s">
        <v>8</v>
      </c>
      <c r="MP810" s="27" t="s">
        <v>7</v>
      </c>
      <c r="NA810" s="27" t="s">
        <v>8</v>
      </c>
      <c r="NB810" s="27" t="s">
        <v>7</v>
      </c>
      <c r="NC810" s="27" t="s">
        <v>8</v>
      </c>
      <c r="ND810" s="27" t="s">
        <v>7</v>
      </c>
      <c r="PE810" s="27" t="s">
        <v>8</v>
      </c>
      <c r="PF810" s="27" t="s">
        <v>7</v>
      </c>
      <c r="PU810" s="27" t="s">
        <v>8</v>
      </c>
      <c r="PV810" s="27" t="s">
        <v>7</v>
      </c>
      <c r="PW810" s="27" t="s">
        <v>8</v>
      </c>
      <c r="PZ810" s="27" t="s">
        <v>7</v>
      </c>
      <c r="QA810" s="27" t="s">
        <v>8</v>
      </c>
      <c r="QB810" s="27" t="s">
        <v>7</v>
      </c>
      <c r="QC810" s="27" t="s">
        <v>8</v>
      </c>
      <c r="QD810" s="27" t="s">
        <v>7</v>
      </c>
      <c r="QE810" s="27" t="s">
        <v>8</v>
      </c>
      <c r="QF810" s="27" t="s">
        <v>7</v>
      </c>
      <c r="QG810" s="27" t="s">
        <v>8</v>
      </c>
      <c r="QH810" s="27" t="s">
        <v>7</v>
      </c>
      <c r="QI810" s="27" t="s">
        <v>8</v>
      </c>
      <c r="QJ810" s="27" t="s">
        <v>7</v>
      </c>
      <c r="QK810" s="27" t="s">
        <v>8</v>
      </c>
      <c r="QL810" s="27" t="s">
        <v>7</v>
      </c>
      <c r="QM810" s="27" t="s">
        <v>8</v>
      </c>
      <c r="QN810" s="27" t="s">
        <v>7</v>
      </c>
      <c r="QQ810" s="27" t="s">
        <v>8</v>
      </c>
      <c r="RF810" s="27" t="s">
        <v>7</v>
      </c>
      <c r="RG810" s="27" t="s">
        <v>8</v>
      </c>
      <c r="RH810" s="27" t="s">
        <v>7</v>
      </c>
      <c r="RI810" s="27" t="s">
        <v>8</v>
      </c>
      <c r="RJ810" s="27" t="s">
        <v>7</v>
      </c>
      <c r="RK810" s="27" t="s">
        <v>8</v>
      </c>
      <c r="RL810" s="27" t="s">
        <v>7</v>
      </c>
      <c r="RM810" s="27" t="s">
        <v>8</v>
      </c>
      <c r="RN810" s="27" t="s">
        <v>7</v>
      </c>
      <c r="RO810" s="27" t="s">
        <v>8</v>
      </c>
      <c r="RR810" s="27" t="s">
        <v>7</v>
      </c>
    </row>
    <row r="811" spans="1:492" x14ac:dyDescent="0.25">
      <c r="A811" s="7">
        <v>1.184572170262178E-2</v>
      </c>
      <c r="B811"/>
      <c r="C811"/>
      <c r="D811"/>
      <c r="E811"/>
      <c r="F811" s="27" t="s">
        <v>7</v>
      </c>
      <c r="KS811" s="27" t="s">
        <v>8</v>
      </c>
      <c r="KT811" s="27" t="s">
        <v>7</v>
      </c>
      <c r="LG811" s="27" t="s">
        <v>8</v>
      </c>
      <c r="MB811" s="27" t="s">
        <v>7</v>
      </c>
      <c r="MC811" s="27" t="s">
        <v>8</v>
      </c>
      <c r="MD811" s="27" t="s">
        <v>7</v>
      </c>
      <c r="ME811" s="27" t="s">
        <v>8</v>
      </c>
      <c r="MN811" s="27" t="s">
        <v>7</v>
      </c>
      <c r="MO811" s="27" t="s">
        <v>8</v>
      </c>
      <c r="MP811" s="27" t="s">
        <v>7</v>
      </c>
      <c r="NA811" s="27" t="s">
        <v>8</v>
      </c>
      <c r="NB811" s="27" t="s">
        <v>7</v>
      </c>
      <c r="NC811" s="27" t="s">
        <v>8</v>
      </c>
      <c r="ND811" s="27" t="s">
        <v>7</v>
      </c>
      <c r="NE811" s="27" t="s">
        <v>8</v>
      </c>
      <c r="PE811" s="27" t="s">
        <v>8</v>
      </c>
      <c r="PF811" s="27" t="s">
        <v>7</v>
      </c>
      <c r="PU811" s="27" t="s">
        <v>8</v>
      </c>
      <c r="PV811" s="27" t="s">
        <v>7</v>
      </c>
      <c r="PW811" s="27" t="s">
        <v>8</v>
      </c>
      <c r="PZ811" s="27" t="s">
        <v>7</v>
      </c>
      <c r="QA811" s="27" t="s">
        <v>8</v>
      </c>
      <c r="QB811" s="27" t="s">
        <v>7</v>
      </c>
      <c r="QC811" s="27" t="s">
        <v>8</v>
      </c>
      <c r="QD811" s="27" t="s">
        <v>7</v>
      </c>
      <c r="QE811" s="27" t="s">
        <v>8</v>
      </c>
      <c r="QF811" s="27" t="s">
        <v>7</v>
      </c>
      <c r="QH811" s="27" t="s">
        <v>7</v>
      </c>
      <c r="QI811" s="27" t="s">
        <v>8</v>
      </c>
      <c r="QJ811" s="27" t="s">
        <v>7</v>
      </c>
      <c r="QL811" s="27" t="s">
        <v>7</v>
      </c>
      <c r="QM811" s="27" t="s">
        <v>8</v>
      </c>
      <c r="QN811" s="27" t="s">
        <v>7</v>
      </c>
      <c r="QQ811" s="27" t="s">
        <v>8</v>
      </c>
      <c r="RF811" s="27" t="s">
        <v>7</v>
      </c>
      <c r="RG811" s="27" t="s">
        <v>8</v>
      </c>
      <c r="RH811" s="27" t="s">
        <v>7</v>
      </c>
      <c r="RJ811" s="27" t="s">
        <v>7</v>
      </c>
      <c r="RK811" s="27" t="s">
        <v>8</v>
      </c>
      <c r="RL811" s="27" t="s">
        <v>7</v>
      </c>
      <c r="RN811" s="27" t="s">
        <v>7</v>
      </c>
      <c r="RO811" s="27" t="s">
        <v>8</v>
      </c>
      <c r="RR811" s="27" t="s">
        <v>7</v>
      </c>
    </row>
    <row r="812" spans="1:492" x14ac:dyDescent="0.25">
      <c r="A812" s="7">
        <v>1.1613452649629196E-2</v>
      </c>
      <c r="B812"/>
      <c r="C812"/>
      <c r="D812"/>
      <c r="E812"/>
      <c r="F812" s="27" t="s">
        <v>7</v>
      </c>
      <c r="KS812" s="27" t="s">
        <v>8</v>
      </c>
      <c r="KT812" s="27" t="s">
        <v>7</v>
      </c>
      <c r="LG812" s="27" t="s">
        <v>8</v>
      </c>
      <c r="MB812" s="27" t="s">
        <v>7</v>
      </c>
      <c r="MC812" s="27" t="s">
        <v>8</v>
      </c>
      <c r="MD812" s="27" t="s">
        <v>7</v>
      </c>
      <c r="ME812" s="27" t="s">
        <v>8</v>
      </c>
      <c r="MN812" s="27" t="s">
        <v>7</v>
      </c>
      <c r="MP812" s="27" t="s">
        <v>7</v>
      </c>
      <c r="NA812" s="27" t="s">
        <v>8</v>
      </c>
      <c r="NB812" s="27" t="s">
        <v>7</v>
      </c>
      <c r="NC812" s="27" t="s">
        <v>8</v>
      </c>
      <c r="ND812" s="27" t="s">
        <v>7</v>
      </c>
      <c r="NE812" s="27" t="s">
        <v>8</v>
      </c>
      <c r="NF812" s="27" t="s">
        <v>7</v>
      </c>
      <c r="PE812" s="27" t="s">
        <v>8</v>
      </c>
      <c r="PF812" s="27" t="s">
        <v>7</v>
      </c>
      <c r="PU812" s="27" t="s">
        <v>8</v>
      </c>
      <c r="PV812" s="27" t="s">
        <v>7</v>
      </c>
      <c r="PW812" s="27" t="s">
        <v>8</v>
      </c>
      <c r="PZ812" s="27" t="s">
        <v>7</v>
      </c>
      <c r="QB812" s="27" t="s">
        <v>7</v>
      </c>
      <c r="QC812" s="27" t="s">
        <v>8</v>
      </c>
      <c r="QD812" s="27" t="s">
        <v>7</v>
      </c>
      <c r="QE812" s="27" t="s">
        <v>8</v>
      </c>
      <c r="QH812" s="27" t="s">
        <v>7</v>
      </c>
      <c r="QI812" s="27" t="s">
        <v>8</v>
      </c>
      <c r="QL812" s="27" t="s">
        <v>7</v>
      </c>
      <c r="QM812" s="27" t="s">
        <v>8</v>
      </c>
      <c r="QN812" s="27" t="s">
        <v>7</v>
      </c>
      <c r="QO812" s="27" t="s">
        <v>8</v>
      </c>
      <c r="QQ812" s="27" t="s">
        <v>8</v>
      </c>
      <c r="RF812" s="27" t="s">
        <v>7</v>
      </c>
      <c r="RG812" s="27" t="s">
        <v>8</v>
      </c>
      <c r="RJ812" s="27" t="s">
        <v>7</v>
      </c>
      <c r="RK812" s="27" t="s">
        <v>8</v>
      </c>
      <c r="RN812" s="27" t="s">
        <v>7</v>
      </c>
      <c r="RR812" s="27" t="s">
        <v>7</v>
      </c>
    </row>
    <row r="813" spans="1:492" x14ac:dyDescent="0.25">
      <c r="A813" s="7">
        <v>1.138573789179333E-2</v>
      </c>
      <c r="B813"/>
      <c r="C813"/>
      <c r="D813"/>
      <c r="E813"/>
      <c r="F813" s="27" t="s">
        <v>7</v>
      </c>
      <c r="KS813" s="27" t="s">
        <v>8</v>
      </c>
      <c r="KT813" s="27" t="s">
        <v>7</v>
      </c>
      <c r="LG813" s="27" t="s">
        <v>8</v>
      </c>
      <c r="MB813" s="27" t="s">
        <v>7</v>
      </c>
      <c r="MC813" s="27" t="s">
        <v>8</v>
      </c>
      <c r="MD813" s="27" t="s">
        <v>7</v>
      </c>
      <c r="MP813" s="27" t="s">
        <v>7</v>
      </c>
      <c r="NA813" s="27" t="s">
        <v>8</v>
      </c>
      <c r="NB813" s="27" t="s">
        <v>7</v>
      </c>
      <c r="NC813" s="27" t="s">
        <v>8</v>
      </c>
      <c r="ND813" s="27" t="s">
        <v>7</v>
      </c>
      <c r="NE813" s="27" t="s">
        <v>8</v>
      </c>
      <c r="NF813" s="27" t="s">
        <v>7</v>
      </c>
      <c r="OO813" s="27" t="s">
        <v>8</v>
      </c>
      <c r="OS813" s="27" t="s">
        <v>8</v>
      </c>
      <c r="OW813" s="27" t="s">
        <v>8</v>
      </c>
      <c r="PE813" s="27" t="s">
        <v>8</v>
      </c>
      <c r="PF813" s="27" t="s">
        <v>7</v>
      </c>
      <c r="PU813" s="27" t="s">
        <v>8</v>
      </c>
      <c r="PV813" s="27" t="s">
        <v>7</v>
      </c>
      <c r="PW813" s="27" t="s">
        <v>8</v>
      </c>
      <c r="QB813" s="27" t="s">
        <v>7</v>
      </c>
      <c r="QC813" s="27" t="s">
        <v>8</v>
      </c>
      <c r="QD813" s="27" t="s">
        <v>7</v>
      </c>
      <c r="QE813" s="27" t="s">
        <v>8</v>
      </c>
      <c r="QH813" s="27" t="s">
        <v>7</v>
      </c>
      <c r="QL813" s="27" t="s">
        <v>7</v>
      </c>
      <c r="QN813" s="27" t="s">
        <v>7</v>
      </c>
      <c r="QO813" s="27" t="s">
        <v>8</v>
      </c>
      <c r="QP813" s="27" t="s">
        <v>7</v>
      </c>
      <c r="QQ813" s="27" t="s">
        <v>8</v>
      </c>
      <c r="RF813" s="27" t="s">
        <v>7</v>
      </c>
      <c r="RG813" s="27" t="s">
        <v>8</v>
      </c>
      <c r="RJ813" s="27" t="s">
        <v>7</v>
      </c>
      <c r="RR813" s="27" t="s">
        <v>7</v>
      </c>
      <c r="RW813" s="27" t="s">
        <v>8</v>
      </c>
    </row>
    <row r="814" spans="1:492" x14ac:dyDescent="0.25">
      <c r="A814" s="7">
        <v>1.1162488129209149E-2</v>
      </c>
      <c r="B814"/>
      <c r="C814"/>
      <c r="D814"/>
      <c r="E814"/>
      <c r="F814" s="27" t="s">
        <v>7</v>
      </c>
      <c r="KS814" s="27" t="s">
        <v>8</v>
      </c>
      <c r="KT814" s="27" t="s">
        <v>7</v>
      </c>
      <c r="LG814" s="27" t="s">
        <v>8</v>
      </c>
      <c r="MB814" s="27" t="s">
        <v>7</v>
      </c>
      <c r="MC814" s="27" t="s">
        <v>8</v>
      </c>
      <c r="MP814" s="27" t="s">
        <v>7</v>
      </c>
      <c r="NA814" s="27" t="s">
        <v>8</v>
      </c>
      <c r="NB814" s="27" t="s">
        <v>7</v>
      </c>
      <c r="NC814" s="27" t="s">
        <v>8</v>
      </c>
      <c r="ND814" s="27" t="s">
        <v>7</v>
      </c>
      <c r="NE814" s="27" t="s">
        <v>8</v>
      </c>
      <c r="NF814" s="27" t="s">
        <v>7</v>
      </c>
      <c r="OO814" s="27" t="s">
        <v>8</v>
      </c>
      <c r="OP814" s="27" t="s">
        <v>7</v>
      </c>
      <c r="OS814" s="27" t="s">
        <v>8</v>
      </c>
      <c r="OT814" s="27" t="s">
        <v>7</v>
      </c>
      <c r="OW814" s="27" t="s">
        <v>8</v>
      </c>
      <c r="OX814" s="27" t="s">
        <v>7</v>
      </c>
      <c r="PE814" s="27" t="s">
        <v>8</v>
      </c>
      <c r="PF814" s="27" t="s">
        <v>7</v>
      </c>
      <c r="PU814" s="27" t="s">
        <v>8</v>
      </c>
      <c r="PV814" s="27" t="s">
        <v>7</v>
      </c>
      <c r="PW814" s="27" t="s">
        <v>8</v>
      </c>
      <c r="QB814" s="27" t="s">
        <v>7</v>
      </c>
      <c r="QC814" s="27" t="s">
        <v>8</v>
      </c>
      <c r="QD814" s="27" t="s">
        <v>7</v>
      </c>
      <c r="QE814" s="27" t="s">
        <v>8</v>
      </c>
      <c r="QN814" s="27" t="s">
        <v>7</v>
      </c>
      <c r="QO814" s="27" t="s">
        <v>8</v>
      </c>
      <c r="QP814" s="27" t="s">
        <v>7</v>
      </c>
      <c r="QQ814" s="27" t="s">
        <v>8</v>
      </c>
      <c r="RF814" s="27" t="s">
        <v>7</v>
      </c>
      <c r="RG814" s="27" t="s">
        <v>8</v>
      </c>
      <c r="RR814" s="27" t="s">
        <v>7</v>
      </c>
      <c r="RW814" s="27" t="s">
        <v>8</v>
      </c>
      <c r="RX814" s="27" t="s">
        <v>7</v>
      </c>
    </row>
    <row r="815" spans="1:492" x14ac:dyDescent="0.25">
      <c r="A815" s="7">
        <v>1.0943615812950145E-2</v>
      </c>
      <c r="B815"/>
      <c r="C815"/>
      <c r="D815"/>
      <c r="E815"/>
      <c r="F815" s="27" t="s">
        <v>7</v>
      </c>
      <c r="KS815" s="27" t="s">
        <v>8</v>
      </c>
      <c r="KT815" s="27" t="s">
        <v>7</v>
      </c>
      <c r="LG815" s="27" t="s">
        <v>8</v>
      </c>
      <c r="MB815" s="27" t="s">
        <v>7</v>
      </c>
      <c r="MP815" s="27" t="s">
        <v>7</v>
      </c>
      <c r="NA815" s="27" t="s">
        <v>8</v>
      </c>
      <c r="NB815" s="27" t="s">
        <v>7</v>
      </c>
      <c r="NC815" s="27" t="s">
        <v>8</v>
      </c>
      <c r="ND815" s="27" t="s">
        <v>7</v>
      </c>
      <c r="NE815" s="27" t="s">
        <v>8</v>
      </c>
      <c r="NF815" s="27" t="s">
        <v>7</v>
      </c>
      <c r="OO815" s="27" t="s">
        <v>8</v>
      </c>
      <c r="OP815" s="27" t="s">
        <v>7</v>
      </c>
      <c r="OS815" s="27" t="s">
        <v>8</v>
      </c>
      <c r="OT815" s="27" t="s">
        <v>7</v>
      </c>
      <c r="OW815" s="27" t="s">
        <v>8</v>
      </c>
      <c r="OX815" s="27" t="s">
        <v>7</v>
      </c>
      <c r="PE815" s="27" t="s">
        <v>8</v>
      </c>
      <c r="PF815" s="27" t="s">
        <v>7</v>
      </c>
      <c r="PU815" s="27" t="s">
        <v>8</v>
      </c>
      <c r="PV815" s="27" t="s">
        <v>7</v>
      </c>
      <c r="PW815" s="27" t="s">
        <v>8</v>
      </c>
      <c r="QB815" s="27" t="s">
        <v>7</v>
      </c>
      <c r="QC815" s="27" t="s">
        <v>8</v>
      </c>
      <c r="QD815" s="27" t="s">
        <v>7</v>
      </c>
      <c r="QE815" s="27" t="s">
        <v>8</v>
      </c>
      <c r="QN815" s="27" t="s">
        <v>7</v>
      </c>
      <c r="QO815" s="27" t="s">
        <v>8</v>
      </c>
      <c r="QP815" s="27" t="s">
        <v>7</v>
      </c>
      <c r="QQ815" s="27" t="s">
        <v>8</v>
      </c>
      <c r="RF815" s="27" t="s">
        <v>7</v>
      </c>
      <c r="RR815" s="27" t="s">
        <v>7</v>
      </c>
      <c r="RS815" s="27" t="s">
        <v>8</v>
      </c>
      <c r="RU815" s="27" t="s">
        <v>8</v>
      </c>
      <c r="RW815" s="27" t="s">
        <v>8</v>
      </c>
      <c r="RX815" s="27" t="s">
        <v>7</v>
      </c>
    </row>
    <row r="816" spans="1:492" x14ac:dyDescent="0.25">
      <c r="A816" s="7">
        <v>1.0729035110735436E-2</v>
      </c>
      <c r="B816"/>
      <c r="C816"/>
      <c r="D816"/>
      <c r="E816"/>
      <c r="F816" s="27" t="s">
        <v>7</v>
      </c>
      <c r="KS816" s="27" t="s">
        <v>8</v>
      </c>
      <c r="KT816" s="27" t="s">
        <v>7</v>
      </c>
      <c r="KU816" s="27" t="s">
        <v>8</v>
      </c>
      <c r="LG816" s="27" t="s">
        <v>8</v>
      </c>
      <c r="MP816" s="27" t="s">
        <v>7</v>
      </c>
      <c r="MY816" s="27" t="s">
        <v>8</v>
      </c>
      <c r="NA816" s="27" t="s">
        <v>8</v>
      </c>
      <c r="NB816" s="27" t="s">
        <v>7</v>
      </c>
      <c r="NC816" s="27" t="s">
        <v>8</v>
      </c>
      <c r="ND816" s="27" t="s">
        <v>7</v>
      </c>
      <c r="NE816" s="27" t="s">
        <v>8</v>
      </c>
      <c r="NF816" s="27" t="s">
        <v>7</v>
      </c>
      <c r="OG816" s="27" t="s">
        <v>8</v>
      </c>
      <c r="OI816" s="27" t="s">
        <v>8</v>
      </c>
      <c r="OO816" s="27" t="s">
        <v>8</v>
      </c>
      <c r="OP816" s="27" t="s">
        <v>7</v>
      </c>
      <c r="OS816" s="27" t="s">
        <v>8</v>
      </c>
      <c r="OT816" s="27" t="s">
        <v>7</v>
      </c>
      <c r="OU816" s="27" t="s">
        <v>8</v>
      </c>
      <c r="OW816" s="27" t="s">
        <v>8</v>
      </c>
      <c r="OX816" s="27" t="s">
        <v>7</v>
      </c>
      <c r="PE816" s="27" t="s">
        <v>8</v>
      </c>
      <c r="PF816" s="27" t="s">
        <v>7</v>
      </c>
      <c r="PU816" s="27" t="s">
        <v>8</v>
      </c>
      <c r="PV816" s="27" t="s">
        <v>7</v>
      </c>
      <c r="PW816" s="27" t="s">
        <v>8</v>
      </c>
      <c r="QB816" s="27" t="s">
        <v>7</v>
      </c>
      <c r="QC816" s="27" t="s">
        <v>8</v>
      </c>
      <c r="QD816" s="27" t="s">
        <v>7</v>
      </c>
      <c r="QE816" s="27" t="s">
        <v>8</v>
      </c>
      <c r="QN816" s="27" t="s">
        <v>7</v>
      </c>
      <c r="QO816" s="27" t="s">
        <v>8</v>
      </c>
      <c r="QP816" s="27" t="s">
        <v>7</v>
      </c>
      <c r="QQ816" s="27" t="s">
        <v>8</v>
      </c>
      <c r="RR816" s="27" t="s">
        <v>7</v>
      </c>
      <c r="RS816" s="27" t="s">
        <v>8</v>
      </c>
      <c r="RT816" s="27" t="s">
        <v>7</v>
      </c>
      <c r="RU816" s="27" t="s">
        <v>8</v>
      </c>
      <c r="RV816" s="27" t="s">
        <v>7</v>
      </c>
      <c r="RW816" s="27" t="s">
        <v>8</v>
      </c>
      <c r="RX816" s="27" t="s">
        <v>7</v>
      </c>
    </row>
    <row r="817" spans="1:494" x14ac:dyDescent="0.25">
      <c r="A817" s="7">
        <v>1.0518661873270036E-2</v>
      </c>
      <c r="B817"/>
      <c r="C817"/>
      <c r="D817"/>
      <c r="E817"/>
      <c r="F817" s="27" t="s">
        <v>7</v>
      </c>
      <c r="KS817" s="27" t="s">
        <v>8</v>
      </c>
      <c r="KT817" s="27" t="s">
        <v>7</v>
      </c>
      <c r="KU817" s="27" t="s">
        <v>8</v>
      </c>
      <c r="KV817" s="27" t="s">
        <v>7</v>
      </c>
      <c r="LG817" s="27" t="s">
        <v>8</v>
      </c>
      <c r="MP817" s="27" t="s">
        <v>7</v>
      </c>
      <c r="MY817" s="27" t="s">
        <v>8</v>
      </c>
      <c r="MZ817" s="27" t="s">
        <v>7</v>
      </c>
      <c r="NA817" s="27" t="s">
        <v>8</v>
      </c>
      <c r="NB817" s="27" t="s">
        <v>7</v>
      </c>
      <c r="NC817" s="27" t="s">
        <v>8</v>
      </c>
      <c r="ND817" s="27" t="s">
        <v>7</v>
      </c>
      <c r="NE817" s="27" t="s">
        <v>8</v>
      </c>
      <c r="NF817" s="27" t="s">
        <v>7</v>
      </c>
      <c r="OG817" s="27" t="s">
        <v>8</v>
      </c>
      <c r="OH817" s="27" t="s">
        <v>7</v>
      </c>
      <c r="OI817" s="27" t="s">
        <v>8</v>
      </c>
      <c r="OJ817" s="27" t="s">
        <v>7</v>
      </c>
      <c r="OO817" s="27" t="s">
        <v>8</v>
      </c>
      <c r="OP817" s="27" t="s">
        <v>7</v>
      </c>
      <c r="OS817" s="27" t="s">
        <v>8</v>
      </c>
      <c r="OT817" s="27" t="s">
        <v>7</v>
      </c>
      <c r="OU817" s="27" t="s">
        <v>8</v>
      </c>
      <c r="OV817" s="27" t="s">
        <v>7</v>
      </c>
      <c r="OW817" s="27" t="s">
        <v>8</v>
      </c>
      <c r="OX817" s="27" t="s">
        <v>7</v>
      </c>
      <c r="PE817" s="27" t="s">
        <v>8</v>
      </c>
      <c r="PF817" s="27" t="s">
        <v>7</v>
      </c>
      <c r="PU817" s="27" t="s">
        <v>8</v>
      </c>
      <c r="PV817" s="27" t="s">
        <v>7</v>
      </c>
      <c r="PW817" s="27" t="s">
        <v>8</v>
      </c>
      <c r="QB817" s="27" t="s">
        <v>7</v>
      </c>
      <c r="QC817" s="27" t="s">
        <v>8</v>
      </c>
      <c r="QD817" s="27" t="s">
        <v>7</v>
      </c>
      <c r="QN817" s="27" t="s">
        <v>7</v>
      </c>
      <c r="QP817" s="27" t="s">
        <v>7</v>
      </c>
      <c r="QQ817" s="27" t="s">
        <v>8</v>
      </c>
      <c r="RR817" s="27" t="s">
        <v>7</v>
      </c>
      <c r="RS817" s="27" t="s">
        <v>8</v>
      </c>
      <c r="RT817" s="27" t="s">
        <v>7</v>
      </c>
      <c r="RU817" s="27" t="s">
        <v>8</v>
      </c>
      <c r="RV817" s="27" t="s">
        <v>7</v>
      </c>
      <c r="RW817" s="27" t="s">
        <v>8</v>
      </c>
      <c r="RX817" s="27" t="s">
        <v>7</v>
      </c>
    </row>
    <row r="818" spans="1:494" x14ac:dyDescent="0.25">
      <c r="A818" s="7">
        <v>1.0312413601245135E-2</v>
      </c>
      <c r="B818"/>
      <c r="C818"/>
      <c r="D818"/>
      <c r="E818"/>
      <c r="F818" s="27" t="s">
        <v>7</v>
      </c>
      <c r="KS818" s="27" t="s">
        <v>8</v>
      </c>
      <c r="KT818" s="27" t="s">
        <v>7</v>
      </c>
      <c r="KU818" s="27" t="s">
        <v>8</v>
      </c>
      <c r="KV818" s="27" t="s">
        <v>7</v>
      </c>
      <c r="LG818" s="27" t="s">
        <v>8</v>
      </c>
      <c r="MP818" s="27" t="s">
        <v>7</v>
      </c>
      <c r="MY818" s="27" t="s">
        <v>8</v>
      </c>
      <c r="MZ818" s="27" t="s">
        <v>7</v>
      </c>
      <c r="NA818" s="27" t="s">
        <v>8</v>
      </c>
      <c r="NB818" s="27" t="s">
        <v>7</v>
      </c>
      <c r="NC818" s="27" t="s">
        <v>8</v>
      </c>
      <c r="ND818" s="27" t="s">
        <v>7</v>
      </c>
      <c r="NE818" s="27" t="s">
        <v>8</v>
      </c>
      <c r="NF818" s="27" t="s">
        <v>7</v>
      </c>
      <c r="OG818" s="27" t="s">
        <v>8</v>
      </c>
      <c r="OH818" s="27" t="s">
        <v>7</v>
      </c>
      <c r="OI818" s="27" t="s">
        <v>8</v>
      </c>
      <c r="OJ818" s="27" t="s">
        <v>7</v>
      </c>
      <c r="OK818" s="27" t="s">
        <v>8</v>
      </c>
      <c r="OM818" s="27" t="s">
        <v>8</v>
      </c>
      <c r="OO818" s="27" t="s">
        <v>8</v>
      </c>
      <c r="OP818" s="27" t="s">
        <v>7</v>
      </c>
      <c r="OS818" s="27" t="s">
        <v>8</v>
      </c>
      <c r="OT818" s="27" t="s">
        <v>7</v>
      </c>
      <c r="OU818" s="27" t="s">
        <v>8</v>
      </c>
      <c r="OV818" s="27" t="s">
        <v>7</v>
      </c>
      <c r="OW818" s="27" t="s">
        <v>8</v>
      </c>
      <c r="OX818" s="27" t="s">
        <v>7</v>
      </c>
      <c r="PE818" s="27" t="s">
        <v>8</v>
      </c>
      <c r="PF818" s="27" t="s">
        <v>7</v>
      </c>
      <c r="PO818" s="27" t="s">
        <v>8</v>
      </c>
      <c r="PU818" s="27" t="s">
        <v>8</v>
      </c>
      <c r="PV818" s="27" t="s">
        <v>7</v>
      </c>
      <c r="PW818" s="27" t="s">
        <v>8</v>
      </c>
      <c r="QB818" s="27" t="s">
        <v>7</v>
      </c>
      <c r="QC818" s="27" t="s">
        <v>8</v>
      </c>
      <c r="QP818" s="27" t="s">
        <v>7</v>
      </c>
      <c r="QQ818" s="27" t="s">
        <v>8</v>
      </c>
      <c r="RR818" s="27" t="s">
        <v>7</v>
      </c>
      <c r="RS818" s="27" t="s">
        <v>8</v>
      </c>
      <c r="RT818" s="27" t="s">
        <v>7</v>
      </c>
      <c r="RU818" s="27" t="s">
        <v>8</v>
      </c>
      <c r="RV818" s="27" t="s">
        <v>7</v>
      </c>
      <c r="RW818" s="27" t="s">
        <v>8</v>
      </c>
      <c r="RX818" s="27" t="s">
        <v>7</v>
      </c>
      <c r="RY818" s="27" t="s">
        <v>8</v>
      </c>
    </row>
    <row r="819" spans="1:494" x14ac:dyDescent="0.25">
      <c r="A819" s="7">
        <v>1.0110209412985426E-2</v>
      </c>
      <c r="B819"/>
      <c r="C819"/>
      <c r="D819"/>
      <c r="E819"/>
      <c r="F819" s="27" t="s">
        <v>7</v>
      </c>
      <c r="GS819" s="27" t="s">
        <v>8</v>
      </c>
      <c r="KS819" s="27" t="s">
        <v>8</v>
      </c>
      <c r="KT819" s="27" t="s">
        <v>7</v>
      </c>
      <c r="KU819" s="27" t="s">
        <v>8</v>
      </c>
      <c r="KV819" s="27" t="s">
        <v>7</v>
      </c>
      <c r="LG819" s="27" t="s">
        <v>8</v>
      </c>
      <c r="MP819" s="27" t="s">
        <v>7</v>
      </c>
      <c r="MY819" s="27" t="s">
        <v>8</v>
      </c>
      <c r="MZ819" s="27" t="s">
        <v>7</v>
      </c>
      <c r="NA819" s="27" t="s">
        <v>8</v>
      </c>
      <c r="NB819" s="27" t="s">
        <v>7</v>
      </c>
      <c r="NC819" s="27" t="s">
        <v>8</v>
      </c>
      <c r="ND819" s="27" t="s">
        <v>7</v>
      </c>
      <c r="NE819" s="27" t="s">
        <v>8</v>
      </c>
      <c r="NF819" s="27" t="s">
        <v>7</v>
      </c>
      <c r="OG819" s="27" t="s">
        <v>8</v>
      </c>
      <c r="OH819" s="27" t="s">
        <v>7</v>
      </c>
      <c r="OI819" s="27" t="s">
        <v>8</v>
      </c>
      <c r="OJ819" s="27" t="s">
        <v>7</v>
      </c>
      <c r="OK819" s="27" t="s">
        <v>8</v>
      </c>
      <c r="OL819" s="27" t="s">
        <v>7</v>
      </c>
      <c r="OM819" s="27" t="s">
        <v>8</v>
      </c>
      <c r="ON819" s="27" t="s">
        <v>7</v>
      </c>
      <c r="OO819" s="27" t="s">
        <v>8</v>
      </c>
      <c r="OP819" s="27" t="s">
        <v>7</v>
      </c>
      <c r="OS819" s="27" t="s">
        <v>8</v>
      </c>
      <c r="OT819" s="27" t="s">
        <v>7</v>
      </c>
      <c r="OU819" s="27" t="s">
        <v>8</v>
      </c>
      <c r="OV819" s="27" t="s">
        <v>7</v>
      </c>
      <c r="OX819" s="27" t="s">
        <v>7</v>
      </c>
      <c r="PE819" s="27" t="s">
        <v>8</v>
      </c>
      <c r="PF819" s="27" t="s">
        <v>7</v>
      </c>
      <c r="PO819" s="27" t="s">
        <v>8</v>
      </c>
      <c r="PP819" s="27" t="s">
        <v>7</v>
      </c>
      <c r="PU819" s="27" t="s">
        <v>8</v>
      </c>
      <c r="PV819" s="27" t="s">
        <v>7</v>
      </c>
      <c r="PW819" s="27" t="s">
        <v>8</v>
      </c>
      <c r="QB819" s="27" t="s">
        <v>7</v>
      </c>
      <c r="QP819" s="27" t="s">
        <v>7</v>
      </c>
      <c r="RR819" s="27" t="s">
        <v>7</v>
      </c>
      <c r="RT819" s="27" t="s">
        <v>7</v>
      </c>
      <c r="RU819" s="27" t="s">
        <v>8</v>
      </c>
      <c r="RV819" s="27" t="s">
        <v>7</v>
      </c>
      <c r="RX819" s="27" t="s">
        <v>7</v>
      </c>
      <c r="RY819" s="27" t="s">
        <v>8</v>
      </c>
      <c r="RZ819" s="27" t="s">
        <v>7</v>
      </c>
    </row>
    <row r="820" spans="1:494" x14ac:dyDescent="0.25">
      <c r="A820" s="7">
        <v>9.9119700127308103E-3</v>
      </c>
      <c r="B820"/>
      <c r="C820"/>
      <c r="D820"/>
      <c r="E820"/>
      <c r="F820" s="27" t="s">
        <v>7</v>
      </c>
      <c r="GS820" s="27" t="s">
        <v>8</v>
      </c>
      <c r="GT820" s="27" t="s">
        <v>7</v>
      </c>
      <c r="KS820" s="27" t="s">
        <v>8</v>
      </c>
      <c r="KT820" s="27" t="s">
        <v>7</v>
      </c>
      <c r="KU820" s="27" t="s">
        <v>8</v>
      </c>
      <c r="KV820" s="27" t="s">
        <v>7</v>
      </c>
      <c r="LE820" s="27" t="s">
        <v>8</v>
      </c>
      <c r="LG820" s="27" t="s">
        <v>8</v>
      </c>
      <c r="MP820" s="27" t="s">
        <v>7</v>
      </c>
      <c r="MQ820" s="27" t="s">
        <v>8</v>
      </c>
      <c r="MS820" s="27" t="s">
        <v>8</v>
      </c>
      <c r="MY820" s="27" t="s">
        <v>8</v>
      </c>
      <c r="MZ820" s="27" t="s">
        <v>7</v>
      </c>
      <c r="NA820" s="27" t="s">
        <v>8</v>
      </c>
      <c r="NB820" s="27" t="s">
        <v>7</v>
      </c>
      <c r="NC820" s="27" t="s">
        <v>8</v>
      </c>
      <c r="ND820" s="27" t="s">
        <v>7</v>
      </c>
      <c r="NF820" s="27" t="s">
        <v>7</v>
      </c>
      <c r="OG820" s="27" t="s">
        <v>8</v>
      </c>
      <c r="OH820" s="27" t="s">
        <v>7</v>
      </c>
      <c r="OI820" s="27" t="s">
        <v>8</v>
      </c>
      <c r="OJ820" s="27" t="s">
        <v>7</v>
      </c>
      <c r="OK820" s="27" t="s">
        <v>8</v>
      </c>
      <c r="OL820" s="27" t="s">
        <v>7</v>
      </c>
      <c r="OM820" s="27" t="s">
        <v>8</v>
      </c>
      <c r="ON820" s="27" t="s">
        <v>7</v>
      </c>
      <c r="OO820" s="27" t="s">
        <v>8</v>
      </c>
      <c r="OP820" s="27" t="s">
        <v>7</v>
      </c>
      <c r="OQ820" s="27" t="s">
        <v>8</v>
      </c>
      <c r="OS820" s="27" t="s">
        <v>8</v>
      </c>
      <c r="OT820" s="27" t="s">
        <v>7</v>
      </c>
      <c r="OU820" s="27" t="s">
        <v>8</v>
      </c>
      <c r="OX820" s="27" t="s">
        <v>7</v>
      </c>
      <c r="PE820" s="27" t="s">
        <v>8</v>
      </c>
      <c r="PF820" s="27" t="s">
        <v>7</v>
      </c>
      <c r="PO820" s="27" t="s">
        <v>8</v>
      </c>
      <c r="PP820" s="27" t="s">
        <v>7</v>
      </c>
      <c r="PS820" s="27" t="s">
        <v>8</v>
      </c>
      <c r="PU820" s="27" t="s">
        <v>8</v>
      </c>
      <c r="PV820" s="27" t="s">
        <v>7</v>
      </c>
      <c r="PW820" s="27" t="s">
        <v>8</v>
      </c>
      <c r="RT820" s="27" t="s">
        <v>7</v>
      </c>
      <c r="RU820" s="27" t="s">
        <v>8</v>
      </c>
      <c r="RX820" s="27" t="s">
        <v>7</v>
      </c>
      <c r="RY820" s="27" t="s">
        <v>8</v>
      </c>
      <c r="RZ820" s="27" t="s">
        <v>7</v>
      </c>
    </row>
    <row r="821" spans="1:494" x14ac:dyDescent="0.25">
      <c r="A821" s="7">
        <v>9.717617659540009E-3</v>
      </c>
      <c r="B821"/>
      <c r="C821"/>
      <c r="D821"/>
      <c r="E821"/>
      <c r="F821" s="27" t="s">
        <v>7</v>
      </c>
      <c r="GS821" s="27" t="s">
        <v>8</v>
      </c>
      <c r="GT821" s="27" t="s">
        <v>7</v>
      </c>
      <c r="KS821" s="27" t="s">
        <v>8</v>
      </c>
      <c r="KT821" s="27" t="s">
        <v>7</v>
      </c>
      <c r="KU821" s="27" t="s">
        <v>8</v>
      </c>
      <c r="KV821" s="27" t="s">
        <v>7</v>
      </c>
      <c r="LE821" s="27" t="s">
        <v>8</v>
      </c>
      <c r="LF821" s="27" t="s">
        <v>7</v>
      </c>
      <c r="LG821" s="27" t="s">
        <v>8</v>
      </c>
      <c r="MP821" s="27" t="s">
        <v>7</v>
      </c>
      <c r="MQ821" s="27" t="s">
        <v>8</v>
      </c>
      <c r="MR821" s="27" t="s">
        <v>7</v>
      </c>
      <c r="MS821" s="27" t="s">
        <v>8</v>
      </c>
      <c r="MT821" s="27" t="s">
        <v>7</v>
      </c>
      <c r="MY821" s="27" t="s">
        <v>8</v>
      </c>
      <c r="MZ821" s="27" t="s">
        <v>7</v>
      </c>
      <c r="NA821" s="27" t="s">
        <v>8</v>
      </c>
      <c r="NB821" s="27" t="s">
        <v>7</v>
      </c>
      <c r="NC821" s="27" t="s">
        <v>8</v>
      </c>
      <c r="NF821" s="27" t="s">
        <v>7</v>
      </c>
      <c r="OG821" s="27" t="s">
        <v>8</v>
      </c>
      <c r="OH821" s="27" t="s">
        <v>7</v>
      </c>
      <c r="OI821" s="27" t="s">
        <v>8</v>
      </c>
      <c r="OJ821" s="27" t="s">
        <v>7</v>
      </c>
      <c r="OK821" s="27" t="s">
        <v>8</v>
      </c>
      <c r="OL821" s="27" t="s">
        <v>7</v>
      </c>
      <c r="OM821" s="27" t="s">
        <v>8</v>
      </c>
      <c r="ON821" s="27" t="s">
        <v>7</v>
      </c>
      <c r="OO821" s="27" t="s">
        <v>8</v>
      </c>
      <c r="OP821" s="27" t="s">
        <v>7</v>
      </c>
      <c r="OQ821" s="27" t="s">
        <v>8</v>
      </c>
      <c r="OR821" s="27" t="s">
        <v>7</v>
      </c>
      <c r="OS821" s="27" t="s">
        <v>8</v>
      </c>
      <c r="OT821" s="27" t="s">
        <v>7</v>
      </c>
      <c r="OU821" s="27" t="s">
        <v>8</v>
      </c>
      <c r="OX821" s="27" t="s">
        <v>7</v>
      </c>
      <c r="PE821" s="27" t="s">
        <v>8</v>
      </c>
      <c r="PF821" s="27" t="s">
        <v>7</v>
      </c>
      <c r="PO821" s="27" t="s">
        <v>8</v>
      </c>
      <c r="PP821" s="27" t="s">
        <v>7</v>
      </c>
      <c r="PQ821" s="27" t="s">
        <v>8</v>
      </c>
      <c r="PS821" s="27" t="s">
        <v>8</v>
      </c>
      <c r="PT821" s="27" t="s">
        <v>7</v>
      </c>
      <c r="PU821" s="27" t="s">
        <v>8</v>
      </c>
      <c r="PV821" s="27" t="s">
        <v>7</v>
      </c>
      <c r="RT821" s="27" t="s">
        <v>7</v>
      </c>
      <c r="RX821" s="27" t="s">
        <v>7</v>
      </c>
      <c r="RZ821" s="27" t="s">
        <v>7</v>
      </c>
    </row>
    <row r="822" spans="1:494" x14ac:dyDescent="0.25">
      <c r="A822" s="7">
        <v>9.5270761368039299E-3</v>
      </c>
      <c r="B822"/>
      <c r="C822"/>
      <c r="D822"/>
      <c r="E822"/>
      <c r="F822" s="27" t="s">
        <v>7</v>
      </c>
      <c r="GS822" s="27" t="s">
        <v>8</v>
      </c>
      <c r="GT822" s="27" t="s">
        <v>7</v>
      </c>
      <c r="KS822" s="27" t="s">
        <v>8</v>
      </c>
      <c r="KT822" s="27" t="s">
        <v>7</v>
      </c>
      <c r="KU822" s="27" t="s">
        <v>8</v>
      </c>
      <c r="KV822" s="27" t="s">
        <v>7</v>
      </c>
      <c r="LE822" s="27" t="s">
        <v>8</v>
      </c>
      <c r="LF822" s="27" t="s">
        <v>7</v>
      </c>
      <c r="LG822" s="27" t="s">
        <v>8</v>
      </c>
      <c r="MP822" s="27" t="s">
        <v>7</v>
      </c>
      <c r="MQ822" s="27" t="s">
        <v>8</v>
      </c>
      <c r="MR822" s="27" t="s">
        <v>7</v>
      </c>
      <c r="MS822" s="27" t="s">
        <v>8</v>
      </c>
      <c r="MT822" s="27" t="s">
        <v>7</v>
      </c>
      <c r="MY822" s="27" t="s">
        <v>8</v>
      </c>
      <c r="MZ822" s="27" t="s">
        <v>7</v>
      </c>
      <c r="NA822" s="27" t="s">
        <v>8</v>
      </c>
      <c r="NB822" s="27" t="s">
        <v>7</v>
      </c>
      <c r="NC822" s="27" t="s">
        <v>8</v>
      </c>
      <c r="NF822" s="27" t="s">
        <v>7</v>
      </c>
      <c r="OG822" s="27" t="s">
        <v>8</v>
      </c>
      <c r="OH822" s="27" t="s">
        <v>7</v>
      </c>
      <c r="OI822" s="27" t="s">
        <v>8</v>
      </c>
      <c r="OJ822" s="27" t="s">
        <v>7</v>
      </c>
      <c r="OL822" s="27" t="s">
        <v>7</v>
      </c>
      <c r="OM822" s="27" t="s">
        <v>8</v>
      </c>
      <c r="ON822" s="27" t="s">
        <v>7</v>
      </c>
      <c r="OP822" s="27" t="s">
        <v>7</v>
      </c>
      <c r="OQ822" s="27" t="s">
        <v>8</v>
      </c>
      <c r="OR822" s="27" t="s">
        <v>7</v>
      </c>
      <c r="OS822" s="27" t="s">
        <v>8</v>
      </c>
      <c r="OT822" s="27" t="s">
        <v>7</v>
      </c>
      <c r="OX822" s="27" t="s">
        <v>7</v>
      </c>
      <c r="PE822" s="27" t="s">
        <v>8</v>
      </c>
      <c r="PF822" s="27" t="s">
        <v>7</v>
      </c>
      <c r="PO822" s="27" t="s">
        <v>8</v>
      </c>
      <c r="PP822" s="27" t="s">
        <v>7</v>
      </c>
      <c r="PQ822" s="27" t="s">
        <v>8</v>
      </c>
      <c r="PR822" s="27" t="s">
        <v>7</v>
      </c>
      <c r="PS822" s="27" t="s">
        <v>8</v>
      </c>
      <c r="PT822" s="27" t="s">
        <v>7</v>
      </c>
      <c r="PU822" s="27" t="s">
        <v>8</v>
      </c>
      <c r="RZ822" s="27" t="s">
        <v>7</v>
      </c>
    </row>
    <row r="823" spans="1:494" x14ac:dyDescent="0.25">
      <c r="A823" s="7">
        <v>9.3402707223567936E-3</v>
      </c>
      <c r="B823"/>
      <c r="C823"/>
      <c r="D823"/>
      <c r="E823"/>
      <c r="F823" s="27" t="s">
        <v>7</v>
      </c>
      <c r="GS823" s="27" t="s">
        <v>8</v>
      </c>
      <c r="GT823" s="27" t="s">
        <v>7</v>
      </c>
      <c r="KS823" s="27" t="s">
        <v>8</v>
      </c>
      <c r="KT823" s="27" t="s">
        <v>7</v>
      </c>
      <c r="KU823" s="27" t="s">
        <v>8</v>
      </c>
      <c r="KV823" s="27" t="s">
        <v>7</v>
      </c>
      <c r="LE823" s="27" t="s">
        <v>8</v>
      </c>
      <c r="LF823" s="27" t="s">
        <v>7</v>
      </c>
      <c r="LG823" s="27" t="s">
        <v>8</v>
      </c>
      <c r="MP823" s="27" t="s">
        <v>7</v>
      </c>
      <c r="MQ823" s="27" t="s">
        <v>8</v>
      </c>
      <c r="MR823" s="27" t="s">
        <v>7</v>
      </c>
      <c r="MS823" s="27" t="s">
        <v>8</v>
      </c>
      <c r="MT823" s="27" t="s">
        <v>7</v>
      </c>
      <c r="MY823" s="27" t="s">
        <v>8</v>
      </c>
      <c r="MZ823" s="27" t="s">
        <v>7</v>
      </c>
      <c r="NA823" s="27" t="s">
        <v>8</v>
      </c>
      <c r="NB823" s="27" t="s">
        <v>7</v>
      </c>
      <c r="NC823" s="27" t="s">
        <v>8</v>
      </c>
      <c r="NF823" s="27" t="s">
        <v>7</v>
      </c>
      <c r="OG823" s="27" t="s">
        <v>8</v>
      </c>
      <c r="OH823" s="27" t="s">
        <v>7</v>
      </c>
      <c r="OI823" s="27" t="s">
        <v>8</v>
      </c>
      <c r="OL823" s="27" t="s">
        <v>7</v>
      </c>
      <c r="OM823" s="27" t="s">
        <v>8</v>
      </c>
      <c r="OP823" s="27" t="s">
        <v>7</v>
      </c>
      <c r="OQ823" s="27" t="s">
        <v>8</v>
      </c>
      <c r="OR823" s="27" t="s">
        <v>7</v>
      </c>
      <c r="OX823" s="27" t="s">
        <v>7</v>
      </c>
      <c r="PC823" s="27" t="s">
        <v>8</v>
      </c>
      <c r="PE823" s="27" t="s">
        <v>8</v>
      </c>
      <c r="PF823" s="27" t="s">
        <v>7</v>
      </c>
      <c r="PO823" s="27" t="s">
        <v>8</v>
      </c>
      <c r="PP823" s="27" t="s">
        <v>7</v>
      </c>
      <c r="PQ823" s="27" t="s">
        <v>8</v>
      </c>
      <c r="PR823" s="27" t="s">
        <v>7</v>
      </c>
      <c r="PS823" s="27" t="s">
        <v>8</v>
      </c>
      <c r="PT823" s="27" t="s">
        <v>7</v>
      </c>
      <c r="RZ823" s="27" t="s">
        <v>7</v>
      </c>
    </row>
    <row r="824" spans="1:494" x14ac:dyDescent="0.25">
      <c r="A824" s="7">
        <v>9.1571281591733261E-3</v>
      </c>
      <c r="B824"/>
      <c r="C824"/>
      <c r="D824"/>
      <c r="E824"/>
      <c r="F824" s="27" t="s">
        <v>7</v>
      </c>
      <c r="GS824" s="27" t="s">
        <v>8</v>
      </c>
      <c r="GT824" s="27" t="s">
        <v>7</v>
      </c>
      <c r="KS824" s="27" t="s">
        <v>8</v>
      </c>
      <c r="KT824" s="27" t="s">
        <v>7</v>
      </c>
      <c r="KU824" s="27" t="s">
        <v>8</v>
      </c>
      <c r="KV824" s="27" t="s">
        <v>7</v>
      </c>
      <c r="LE824" s="27" t="s">
        <v>8</v>
      </c>
      <c r="LF824" s="27" t="s">
        <v>7</v>
      </c>
      <c r="LG824" s="27" t="s">
        <v>8</v>
      </c>
      <c r="MP824" s="27" t="s">
        <v>7</v>
      </c>
      <c r="MQ824" s="27" t="s">
        <v>8</v>
      </c>
      <c r="MR824" s="27" t="s">
        <v>7</v>
      </c>
      <c r="MS824" s="27" t="s">
        <v>8</v>
      </c>
      <c r="MT824" s="27" t="s">
        <v>7</v>
      </c>
      <c r="MY824" s="27" t="s">
        <v>8</v>
      </c>
      <c r="MZ824" s="27" t="s">
        <v>7</v>
      </c>
      <c r="NA824" s="27" t="s">
        <v>8</v>
      </c>
      <c r="NB824" s="27" t="s">
        <v>7</v>
      </c>
      <c r="NC824" s="27" t="s">
        <v>8</v>
      </c>
      <c r="NF824" s="27" t="s">
        <v>7</v>
      </c>
      <c r="OE824" s="27" t="s">
        <v>8</v>
      </c>
      <c r="OG824" s="27" t="s">
        <v>8</v>
      </c>
      <c r="OH824" s="27" t="s">
        <v>7</v>
      </c>
      <c r="OI824" s="27" t="s">
        <v>8</v>
      </c>
      <c r="OL824" s="27" t="s">
        <v>7</v>
      </c>
      <c r="OM824" s="27" t="s">
        <v>8</v>
      </c>
      <c r="OP824" s="27" t="s">
        <v>7</v>
      </c>
      <c r="OQ824" s="27" t="s">
        <v>8</v>
      </c>
      <c r="OX824" s="27" t="s">
        <v>7</v>
      </c>
      <c r="OY824" s="27" t="s">
        <v>8</v>
      </c>
      <c r="PC824" s="27" t="s">
        <v>8</v>
      </c>
      <c r="PD824" s="27" t="s">
        <v>7</v>
      </c>
      <c r="PE824" s="27" t="s">
        <v>8</v>
      </c>
      <c r="PF824" s="27" t="s">
        <v>7</v>
      </c>
      <c r="PO824" s="27" t="s">
        <v>8</v>
      </c>
      <c r="PP824" s="27" t="s">
        <v>7</v>
      </c>
      <c r="PQ824" s="27" t="s">
        <v>8</v>
      </c>
      <c r="PR824" s="27" t="s">
        <v>7</v>
      </c>
      <c r="PS824" s="27" t="s">
        <v>8</v>
      </c>
      <c r="RZ824" s="27" t="s">
        <v>7</v>
      </c>
    </row>
    <row r="825" spans="1:494" x14ac:dyDescent="0.25">
      <c r="A825" s="7">
        <v>8.9775766266405148E-3</v>
      </c>
      <c r="B825"/>
      <c r="C825"/>
      <c r="D825"/>
      <c r="E825"/>
      <c r="F825" s="27" t="s">
        <v>7</v>
      </c>
      <c r="GS825" s="27" t="s">
        <v>8</v>
      </c>
      <c r="GT825" s="27" t="s">
        <v>7</v>
      </c>
      <c r="KS825" s="27" t="s">
        <v>8</v>
      </c>
      <c r="KT825" s="27" t="s">
        <v>7</v>
      </c>
      <c r="KU825" s="27" t="s">
        <v>8</v>
      </c>
      <c r="KV825" s="27" t="s">
        <v>7</v>
      </c>
      <c r="LE825" s="27" t="s">
        <v>8</v>
      </c>
      <c r="LF825" s="27" t="s">
        <v>7</v>
      </c>
      <c r="LG825" s="27" t="s">
        <v>8</v>
      </c>
      <c r="MP825" s="27" t="s">
        <v>7</v>
      </c>
      <c r="MQ825" s="27" t="s">
        <v>8</v>
      </c>
      <c r="MR825" s="27" t="s">
        <v>7</v>
      </c>
      <c r="MS825" s="27" t="s">
        <v>8</v>
      </c>
      <c r="MT825" s="27" t="s">
        <v>7</v>
      </c>
      <c r="MU825" s="27" t="s">
        <v>8</v>
      </c>
      <c r="MY825" s="27" t="s">
        <v>8</v>
      </c>
      <c r="MZ825" s="27" t="s">
        <v>7</v>
      </c>
      <c r="NA825" s="27" t="s">
        <v>8</v>
      </c>
      <c r="NB825" s="27" t="s">
        <v>7</v>
      </c>
      <c r="NC825" s="27" t="s">
        <v>8</v>
      </c>
      <c r="NF825" s="27" t="s">
        <v>7</v>
      </c>
      <c r="NG825" s="27" t="s">
        <v>8</v>
      </c>
      <c r="OE825" s="27" t="s">
        <v>8</v>
      </c>
      <c r="OF825" s="27" t="s">
        <v>7</v>
      </c>
      <c r="OG825" s="27" t="s">
        <v>8</v>
      </c>
      <c r="OH825" s="27" t="s">
        <v>7</v>
      </c>
      <c r="OI825" s="27" t="s">
        <v>8</v>
      </c>
      <c r="OL825" s="27" t="s">
        <v>7</v>
      </c>
      <c r="OM825" s="27" t="s">
        <v>8</v>
      </c>
      <c r="OP825" s="27" t="s">
        <v>7</v>
      </c>
      <c r="OX825" s="27" t="s">
        <v>7</v>
      </c>
      <c r="OY825" s="27" t="s">
        <v>8</v>
      </c>
      <c r="OZ825" s="27" t="s">
        <v>7</v>
      </c>
      <c r="PA825" s="27" t="s">
        <v>8</v>
      </c>
      <c r="PC825" s="27" t="s">
        <v>8</v>
      </c>
      <c r="PD825" s="27" t="s">
        <v>7</v>
      </c>
      <c r="PE825" s="27" t="s">
        <v>8</v>
      </c>
      <c r="PF825" s="27" t="s">
        <v>7</v>
      </c>
      <c r="PG825" s="27" t="s">
        <v>8</v>
      </c>
      <c r="PI825" s="27" t="s">
        <v>8</v>
      </c>
      <c r="PM825" s="27" t="s">
        <v>8</v>
      </c>
      <c r="PO825" s="27" t="s">
        <v>8</v>
      </c>
      <c r="PP825" s="27" t="s">
        <v>7</v>
      </c>
      <c r="PQ825" s="27" t="s">
        <v>8</v>
      </c>
      <c r="PR825" s="27" t="s">
        <v>7</v>
      </c>
      <c r="PS825" s="27" t="s">
        <v>8</v>
      </c>
      <c r="RZ825" s="27" t="s">
        <v>7</v>
      </c>
    </row>
    <row r="826" spans="1:494" x14ac:dyDescent="0.25">
      <c r="A826" s="7">
        <v>8.8015457123926614E-3</v>
      </c>
      <c r="B826"/>
      <c r="C826"/>
      <c r="D826"/>
      <c r="E826"/>
      <c r="F826" s="27" t="s">
        <v>7</v>
      </c>
      <c r="GS826" s="27" t="s">
        <v>8</v>
      </c>
      <c r="GT826" s="27" t="s">
        <v>7</v>
      </c>
      <c r="KI826" s="27" t="s">
        <v>8</v>
      </c>
      <c r="KS826" s="27" t="s">
        <v>8</v>
      </c>
      <c r="KT826" s="27" t="s">
        <v>7</v>
      </c>
      <c r="KU826" s="27" t="s">
        <v>8</v>
      </c>
      <c r="KV826" s="27" t="s">
        <v>7</v>
      </c>
      <c r="KW826" s="27" t="s">
        <v>8</v>
      </c>
      <c r="LE826" s="27" t="s">
        <v>8</v>
      </c>
      <c r="LF826" s="27" t="s">
        <v>7</v>
      </c>
      <c r="LG826" s="27" t="s">
        <v>8</v>
      </c>
      <c r="MP826" s="27" t="s">
        <v>7</v>
      </c>
      <c r="MQ826" s="27" t="s">
        <v>8</v>
      </c>
      <c r="MR826" s="27" t="s">
        <v>7</v>
      </c>
      <c r="MS826" s="27" t="s">
        <v>8</v>
      </c>
      <c r="MT826" s="27" t="s">
        <v>7</v>
      </c>
      <c r="MU826" s="27" t="s">
        <v>8</v>
      </c>
      <c r="MV826" s="27" t="s">
        <v>7</v>
      </c>
      <c r="MY826" s="27" t="s">
        <v>8</v>
      </c>
      <c r="MZ826" s="27" t="s">
        <v>7</v>
      </c>
      <c r="NA826" s="27" t="s">
        <v>8</v>
      </c>
      <c r="NB826" s="27" t="s">
        <v>7</v>
      </c>
      <c r="NC826" s="27" t="s">
        <v>8</v>
      </c>
      <c r="NF826" s="27" t="s">
        <v>7</v>
      </c>
      <c r="NG826" s="27" t="s">
        <v>8</v>
      </c>
      <c r="NH826" s="27" t="s">
        <v>7</v>
      </c>
      <c r="OE826" s="27" t="s">
        <v>8</v>
      </c>
      <c r="OF826" s="27" t="s">
        <v>7</v>
      </c>
      <c r="OG826" s="27" t="s">
        <v>8</v>
      </c>
      <c r="OH826" s="27" t="s">
        <v>7</v>
      </c>
      <c r="OL826" s="27" t="s">
        <v>7</v>
      </c>
      <c r="OX826" s="27" t="s">
        <v>7</v>
      </c>
      <c r="OY826" s="27" t="s">
        <v>8</v>
      </c>
      <c r="OZ826" s="27" t="s">
        <v>7</v>
      </c>
      <c r="PA826" s="27" t="s">
        <v>8</v>
      </c>
      <c r="PB826" s="27" t="s">
        <v>7</v>
      </c>
      <c r="PC826" s="27" t="s">
        <v>8</v>
      </c>
      <c r="PD826" s="27" t="s">
        <v>7</v>
      </c>
      <c r="PE826" s="27" t="s">
        <v>8</v>
      </c>
      <c r="PF826" s="27" t="s">
        <v>7</v>
      </c>
      <c r="PG826" s="27" t="s">
        <v>8</v>
      </c>
      <c r="PH826" s="27" t="s">
        <v>7</v>
      </c>
      <c r="PI826" s="27" t="s">
        <v>8</v>
      </c>
      <c r="PJ826" s="27" t="s">
        <v>7</v>
      </c>
      <c r="PM826" s="27" t="s">
        <v>8</v>
      </c>
      <c r="PN826" s="27" t="s">
        <v>7</v>
      </c>
      <c r="PO826" s="27" t="s">
        <v>8</v>
      </c>
      <c r="PP826" s="27" t="s">
        <v>7</v>
      </c>
      <c r="PR826" s="27" t="s">
        <v>7</v>
      </c>
      <c r="RZ826" s="27" t="s">
        <v>7</v>
      </c>
    </row>
    <row r="827" spans="1:494" x14ac:dyDescent="0.25">
      <c r="A827" s="7">
        <v>8.6289663846986879E-3</v>
      </c>
      <c r="B827"/>
      <c r="C827"/>
      <c r="D827"/>
      <c r="E827"/>
      <c r="F827" s="27" t="s">
        <v>7</v>
      </c>
      <c r="GS827" s="27" t="s">
        <v>8</v>
      </c>
      <c r="GT827" s="27" t="s">
        <v>7</v>
      </c>
      <c r="KI827" s="27" t="s">
        <v>8</v>
      </c>
      <c r="KJ827" s="27" t="s">
        <v>7</v>
      </c>
      <c r="KS827" s="27" t="s">
        <v>8</v>
      </c>
      <c r="KT827" s="27" t="s">
        <v>7</v>
      </c>
      <c r="KU827" s="27" t="s">
        <v>8</v>
      </c>
      <c r="KV827" s="27" t="s">
        <v>7</v>
      </c>
      <c r="KW827" s="27" t="s">
        <v>8</v>
      </c>
      <c r="KX827" s="27" t="s">
        <v>7</v>
      </c>
      <c r="LE827" s="27" t="s">
        <v>8</v>
      </c>
      <c r="LF827" s="27" t="s">
        <v>7</v>
      </c>
      <c r="LG827" s="27" t="s">
        <v>8</v>
      </c>
      <c r="MP827" s="27" t="s">
        <v>7</v>
      </c>
      <c r="MQ827" s="27" t="s">
        <v>8</v>
      </c>
      <c r="MR827" s="27" t="s">
        <v>7</v>
      </c>
      <c r="MS827" s="27" t="s">
        <v>8</v>
      </c>
      <c r="MT827" s="27" t="s">
        <v>7</v>
      </c>
      <c r="MU827" s="27" t="s">
        <v>8</v>
      </c>
      <c r="MV827" s="27" t="s">
        <v>7</v>
      </c>
      <c r="MW827" s="27" t="s">
        <v>8</v>
      </c>
      <c r="MY827" s="27" t="s">
        <v>8</v>
      </c>
      <c r="MZ827" s="27" t="s">
        <v>7</v>
      </c>
      <c r="NA827" s="27" t="s">
        <v>8</v>
      </c>
      <c r="NB827" s="27" t="s">
        <v>7</v>
      </c>
      <c r="NC827" s="27" t="s">
        <v>8</v>
      </c>
      <c r="NF827" s="27" t="s">
        <v>7</v>
      </c>
      <c r="NG827" s="27" t="s">
        <v>8</v>
      </c>
      <c r="NH827" s="27" t="s">
        <v>7</v>
      </c>
      <c r="OE827" s="27" t="s">
        <v>8</v>
      </c>
      <c r="OF827" s="27" t="s">
        <v>7</v>
      </c>
      <c r="OG827" s="27" t="s">
        <v>8</v>
      </c>
      <c r="OX827" s="27" t="s">
        <v>7</v>
      </c>
      <c r="OY827" s="27" t="s">
        <v>8</v>
      </c>
      <c r="OZ827" s="27" t="s">
        <v>7</v>
      </c>
      <c r="PA827" s="27" t="s">
        <v>8</v>
      </c>
      <c r="PB827" s="27" t="s">
        <v>7</v>
      </c>
      <c r="PC827" s="27" t="s">
        <v>8</v>
      </c>
      <c r="PD827" s="27" t="s">
        <v>7</v>
      </c>
      <c r="PE827" s="27" t="s">
        <v>8</v>
      </c>
      <c r="PF827" s="27" t="s">
        <v>7</v>
      </c>
      <c r="PG827" s="27" t="s">
        <v>8</v>
      </c>
      <c r="PH827" s="27" t="s">
        <v>7</v>
      </c>
      <c r="PI827" s="27" t="s">
        <v>8</v>
      </c>
      <c r="PJ827" s="27" t="s">
        <v>7</v>
      </c>
      <c r="PM827" s="27" t="s">
        <v>8</v>
      </c>
      <c r="PN827" s="27" t="s">
        <v>7</v>
      </c>
      <c r="PO827" s="27" t="s">
        <v>8</v>
      </c>
      <c r="RZ827" s="27" t="s">
        <v>7</v>
      </c>
    </row>
    <row r="828" spans="1:494" x14ac:dyDescent="0.25">
      <c r="A828" s="7">
        <v>8.4597709653908715E-3</v>
      </c>
      <c r="B828"/>
      <c r="C828"/>
      <c r="D828"/>
      <c r="E828"/>
      <c r="F828" s="27" t="s">
        <v>7</v>
      </c>
      <c r="GS828" s="27" t="s">
        <v>8</v>
      </c>
      <c r="GT828" s="27" t="s">
        <v>7</v>
      </c>
      <c r="KI828" s="27" t="s">
        <v>8</v>
      </c>
      <c r="KJ828" s="27" t="s">
        <v>7</v>
      </c>
      <c r="KS828" s="27" t="s">
        <v>8</v>
      </c>
      <c r="KT828" s="27" t="s">
        <v>7</v>
      </c>
      <c r="KU828" s="27" t="s">
        <v>8</v>
      </c>
      <c r="KV828" s="27" t="s">
        <v>7</v>
      </c>
      <c r="KW828" s="27" t="s">
        <v>8</v>
      </c>
      <c r="KX828" s="27" t="s">
        <v>7</v>
      </c>
      <c r="LE828" s="27" t="s">
        <v>8</v>
      </c>
      <c r="LF828" s="27" t="s">
        <v>7</v>
      </c>
      <c r="MP828" s="27" t="s">
        <v>7</v>
      </c>
      <c r="MQ828" s="27" t="s">
        <v>8</v>
      </c>
      <c r="MR828" s="27" t="s">
        <v>7</v>
      </c>
      <c r="MS828" s="27" t="s">
        <v>8</v>
      </c>
      <c r="MT828" s="27" t="s">
        <v>7</v>
      </c>
      <c r="MU828" s="27" t="s">
        <v>8</v>
      </c>
      <c r="MV828" s="27" t="s">
        <v>7</v>
      </c>
      <c r="MW828" s="27" t="s">
        <v>8</v>
      </c>
      <c r="MX828" s="27" t="s">
        <v>7</v>
      </c>
      <c r="MY828" s="27" t="s">
        <v>8</v>
      </c>
      <c r="MZ828" s="27" t="s">
        <v>7</v>
      </c>
      <c r="NA828" s="27" t="s">
        <v>8</v>
      </c>
      <c r="NB828" s="27" t="s">
        <v>7</v>
      </c>
      <c r="NC828" s="27" t="s">
        <v>8</v>
      </c>
      <c r="NF828" s="27" t="s">
        <v>7</v>
      </c>
      <c r="NG828" s="27" t="s">
        <v>8</v>
      </c>
      <c r="NH828" s="27" t="s">
        <v>7</v>
      </c>
      <c r="OE828" s="27" t="s">
        <v>8</v>
      </c>
      <c r="OF828" s="27" t="s">
        <v>7</v>
      </c>
      <c r="OG828" s="27" t="s">
        <v>8</v>
      </c>
      <c r="OX828" s="27" t="s">
        <v>7</v>
      </c>
      <c r="OY828" s="27" t="s">
        <v>8</v>
      </c>
      <c r="OZ828" s="27" t="s">
        <v>7</v>
      </c>
      <c r="PA828" s="27" t="s">
        <v>8</v>
      </c>
      <c r="PB828" s="27" t="s">
        <v>7</v>
      </c>
      <c r="PC828" s="27" t="s">
        <v>8</v>
      </c>
      <c r="PD828" s="27" t="s">
        <v>7</v>
      </c>
      <c r="PE828" s="27" t="s">
        <v>8</v>
      </c>
      <c r="PF828" s="27" t="s">
        <v>7</v>
      </c>
      <c r="PG828" s="27" t="s">
        <v>8</v>
      </c>
      <c r="PH828" s="27" t="s">
        <v>7</v>
      </c>
      <c r="PI828" s="27" t="s">
        <v>8</v>
      </c>
      <c r="PJ828" s="27" t="s">
        <v>7</v>
      </c>
      <c r="PK828" s="27" t="s">
        <v>8</v>
      </c>
      <c r="PM828" s="27" t="s">
        <v>8</v>
      </c>
      <c r="PN828" s="27" t="s">
        <v>7</v>
      </c>
      <c r="PO828" s="27" t="s">
        <v>8</v>
      </c>
      <c r="RZ828" s="27" t="s">
        <v>7</v>
      </c>
    </row>
    <row r="829" spans="1:494" x14ac:dyDescent="0.25">
      <c r="A829" s="7">
        <v>8.2938931033243839E-3</v>
      </c>
      <c r="B829"/>
      <c r="C829"/>
      <c r="D829"/>
      <c r="E829"/>
      <c r="F829" s="27" t="s">
        <v>7</v>
      </c>
      <c r="GS829" s="27" t="s">
        <v>8</v>
      </c>
      <c r="GT829" s="27" t="s">
        <v>7</v>
      </c>
      <c r="KI829" s="27" t="s">
        <v>8</v>
      </c>
      <c r="KJ829" s="27" t="s">
        <v>7</v>
      </c>
      <c r="KS829" s="27" t="s">
        <v>8</v>
      </c>
      <c r="KT829" s="27" t="s">
        <v>7</v>
      </c>
      <c r="KU829" s="27" t="s">
        <v>8</v>
      </c>
      <c r="KV829" s="27" t="s">
        <v>7</v>
      </c>
      <c r="KW829" s="27" t="s">
        <v>8</v>
      </c>
      <c r="KX829" s="27" t="s">
        <v>7</v>
      </c>
      <c r="LA829" s="27" t="s">
        <v>8</v>
      </c>
      <c r="LE829" s="27" t="s">
        <v>8</v>
      </c>
      <c r="MP829" s="27" t="s">
        <v>7</v>
      </c>
      <c r="MQ829" s="27" t="s">
        <v>8</v>
      </c>
      <c r="MR829" s="27" t="s">
        <v>7</v>
      </c>
      <c r="MS829" s="27" t="s">
        <v>8</v>
      </c>
      <c r="MT829" s="27" t="s">
        <v>7</v>
      </c>
      <c r="MU829" s="27" t="s">
        <v>8</v>
      </c>
      <c r="MV829" s="27" t="s">
        <v>7</v>
      </c>
      <c r="MW829" s="27" t="s">
        <v>8</v>
      </c>
      <c r="MX829" s="27" t="s">
        <v>7</v>
      </c>
      <c r="MY829" s="27" t="s">
        <v>8</v>
      </c>
      <c r="MZ829" s="27" t="s">
        <v>7</v>
      </c>
      <c r="NA829" s="27" t="s">
        <v>8</v>
      </c>
      <c r="NB829" s="27" t="s">
        <v>7</v>
      </c>
      <c r="NF829" s="27" t="s">
        <v>7</v>
      </c>
      <c r="NG829" s="27" t="s">
        <v>8</v>
      </c>
      <c r="NH829" s="27" t="s">
        <v>7</v>
      </c>
      <c r="NK829" s="27" t="s">
        <v>8</v>
      </c>
      <c r="OE829" s="27" t="s">
        <v>8</v>
      </c>
      <c r="OF829" s="27" t="s">
        <v>7</v>
      </c>
      <c r="OG829" s="27" t="s">
        <v>8</v>
      </c>
      <c r="OX829" s="27" t="s">
        <v>7</v>
      </c>
      <c r="OY829" s="27" t="s">
        <v>8</v>
      </c>
      <c r="OZ829" s="27" t="s">
        <v>7</v>
      </c>
      <c r="PA829" s="27" t="s">
        <v>8</v>
      </c>
      <c r="PB829" s="27" t="s">
        <v>7</v>
      </c>
      <c r="PC829" s="27" t="s">
        <v>8</v>
      </c>
      <c r="PD829" s="27" t="s">
        <v>7</v>
      </c>
      <c r="PF829" s="27" t="s">
        <v>7</v>
      </c>
      <c r="PG829" s="27" t="s">
        <v>8</v>
      </c>
      <c r="PH829" s="27" t="s">
        <v>7</v>
      </c>
      <c r="PI829" s="27" t="s">
        <v>8</v>
      </c>
      <c r="PJ829" s="27" t="s">
        <v>7</v>
      </c>
      <c r="PK829" s="27" t="s">
        <v>8</v>
      </c>
      <c r="PL829" s="27" t="s">
        <v>7</v>
      </c>
      <c r="PM829" s="27" t="s">
        <v>8</v>
      </c>
      <c r="PN829" s="27" t="s">
        <v>7</v>
      </c>
      <c r="PO829" s="27" t="s">
        <v>8</v>
      </c>
      <c r="RZ829" s="27" t="s">
        <v>7</v>
      </c>
    </row>
    <row r="830" spans="1:494" x14ac:dyDescent="0.25">
      <c r="A830" s="7">
        <v>8.1312677483572383E-3</v>
      </c>
      <c r="B830"/>
      <c r="C830"/>
      <c r="D830"/>
      <c r="E830"/>
      <c r="F830" s="27" t="s">
        <v>7</v>
      </c>
      <c r="GS830" s="27" t="s">
        <v>8</v>
      </c>
      <c r="GT830" s="27" t="s">
        <v>7</v>
      </c>
      <c r="KI830" s="27" t="s">
        <v>8</v>
      </c>
      <c r="KJ830" s="27" t="s">
        <v>7</v>
      </c>
      <c r="KS830" s="27" t="s">
        <v>8</v>
      </c>
      <c r="KT830" s="27" t="s">
        <v>7</v>
      </c>
      <c r="KU830" s="27" t="s">
        <v>8</v>
      </c>
      <c r="KV830" s="27" t="s">
        <v>7</v>
      </c>
      <c r="KW830" s="27" t="s">
        <v>8</v>
      </c>
      <c r="KX830" s="27" t="s">
        <v>7</v>
      </c>
      <c r="KY830" s="27" t="s">
        <v>8</v>
      </c>
      <c r="LA830" s="27" t="s">
        <v>8</v>
      </c>
      <c r="LB830" s="27" t="s">
        <v>7</v>
      </c>
      <c r="LC830" s="27" t="s">
        <v>8</v>
      </c>
      <c r="LE830" s="27" t="s">
        <v>8</v>
      </c>
      <c r="MP830" s="27" t="s">
        <v>7</v>
      </c>
      <c r="MQ830" s="27" t="s">
        <v>8</v>
      </c>
      <c r="MR830" s="27" t="s">
        <v>7</v>
      </c>
      <c r="MS830" s="27" t="s">
        <v>8</v>
      </c>
      <c r="MT830" s="27" t="s">
        <v>7</v>
      </c>
      <c r="MU830" s="27" t="s">
        <v>8</v>
      </c>
      <c r="MV830" s="27" t="s">
        <v>7</v>
      </c>
      <c r="MW830" s="27" t="s">
        <v>8</v>
      </c>
      <c r="MX830" s="27" t="s">
        <v>7</v>
      </c>
      <c r="MY830" s="27" t="s">
        <v>8</v>
      </c>
      <c r="MZ830" s="27" t="s">
        <v>7</v>
      </c>
      <c r="NA830" s="27" t="s">
        <v>8</v>
      </c>
      <c r="NF830" s="27" t="s">
        <v>7</v>
      </c>
      <c r="NG830" s="27" t="s">
        <v>8</v>
      </c>
      <c r="NH830" s="27" t="s">
        <v>7</v>
      </c>
      <c r="NK830" s="27" t="s">
        <v>8</v>
      </c>
      <c r="NL830" s="27" t="s">
        <v>7</v>
      </c>
      <c r="NM830" s="27" t="s">
        <v>8</v>
      </c>
      <c r="NO830" s="27" t="s">
        <v>8</v>
      </c>
      <c r="OE830" s="27" t="s">
        <v>8</v>
      </c>
      <c r="OF830" s="27" t="s">
        <v>7</v>
      </c>
      <c r="OG830" s="27" t="s">
        <v>8</v>
      </c>
      <c r="OX830" s="27" t="s">
        <v>7</v>
      </c>
      <c r="OY830" s="27" t="s">
        <v>8</v>
      </c>
      <c r="OZ830" s="27" t="s">
        <v>7</v>
      </c>
      <c r="PA830" s="27" t="s">
        <v>8</v>
      </c>
      <c r="PB830" s="27" t="s">
        <v>7</v>
      </c>
      <c r="PC830" s="27" t="s">
        <v>8</v>
      </c>
      <c r="PF830" s="27" t="s">
        <v>7</v>
      </c>
      <c r="PG830" s="27" t="s">
        <v>8</v>
      </c>
      <c r="PH830" s="27" t="s">
        <v>7</v>
      </c>
      <c r="PI830" s="27" t="s">
        <v>8</v>
      </c>
      <c r="PJ830" s="27" t="s">
        <v>7</v>
      </c>
      <c r="PK830" s="27" t="s">
        <v>8</v>
      </c>
      <c r="PL830" s="27" t="s">
        <v>7</v>
      </c>
      <c r="PM830" s="27" t="s">
        <v>8</v>
      </c>
      <c r="PN830" s="27" t="s">
        <v>7</v>
      </c>
      <c r="PO830" s="27" t="s">
        <v>8</v>
      </c>
      <c r="RZ830" s="27" t="s">
        <v>7</v>
      </c>
    </row>
    <row r="831" spans="1:494" x14ac:dyDescent="0.25">
      <c r="A831" s="7">
        <v>7.9718311258404305E-3</v>
      </c>
      <c r="B831"/>
      <c r="C831"/>
      <c r="D831"/>
      <c r="E831"/>
      <c r="F831" s="27" t="s">
        <v>7</v>
      </c>
      <c r="GS831" s="27" t="s">
        <v>8</v>
      </c>
      <c r="GT831" s="27" t="s">
        <v>7</v>
      </c>
      <c r="KI831" s="27" t="s">
        <v>8</v>
      </c>
      <c r="KJ831" s="27" t="s">
        <v>7</v>
      </c>
      <c r="KS831" s="27" t="s">
        <v>8</v>
      </c>
      <c r="KT831" s="27" t="s">
        <v>7</v>
      </c>
      <c r="KU831" s="27" t="s">
        <v>8</v>
      </c>
      <c r="KV831" s="27" t="s">
        <v>7</v>
      </c>
      <c r="KW831" s="27" t="s">
        <v>8</v>
      </c>
      <c r="KX831" s="27" t="s">
        <v>7</v>
      </c>
      <c r="KY831" s="27" t="s">
        <v>8</v>
      </c>
      <c r="KZ831" s="27" t="s">
        <v>7</v>
      </c>
      <c r="LA831" s="27" t="s">
        <v>8</v>
      </c>
      <c r="LB831" s="27" t="s">
        <v>7</v>
      </c>
      <c r="LC831" s="27" t="s">
        <v>8</v>
      </c>
      <c r="LD831" s="27" t="s">
        <v>7</v>
      </c>
      <c r="LE831" s="27" t="s">
        <v>8</v>
      </c>
      <c r="MP831" s="27" t="s">
        <v>7</v>
      </c>
      <c r="MQ831" s="27" t="s">
        <v>8</v>
      </c>
      <c r="MR831" s="27" t="s">
        <v>7</v>
      </c>
      <c r="MS831" s="27" t="s">
        <v>8</v>
      </c>
      <c r="MT831" s="27" t="s">
        <v>7</v>
      </c>
      <c r="MU831" s="27" t="s">
        <v>8</v>
      </c>
      <c r="MV831" s="27" t="s">
        <v>7</v>
      </c>
      <c r="MW831" s="27" t="s">
        <v>8</v>
      </c>
      <c r="MX831" s="27" t="s">
        <v>7</v>
      </c>
      <c r="MY831" s="27" t="s">
        <v>8</v>
      </c>
      <c r="MZ831" s="27" t="s">
        <v>7</v>
      </c>
      <c r="NA831" s="27" t="s">
        <v>8</v>
      </c>
      <c r="NF831" s="27" t="s">
        <v>7</v>
      </c>
      <c r="NG831" s="27" t="s">
        <v>8</v>
      </c>
      <c r="NH831" s="27" t="s">
        <v>7</v>
      </c>
      <c r="NK831" s="27" t="s">
        <v>8</v>
      </c>
      <c r="NL831" s="27" t="s">
        <v>7</v>
      </c>
      <c r="NM831" s="27" t="s">
        <v>8</v>
      </c>
      <c r="NN831" s="27" t="s">
        <v>7</v>
      </c>
      <c r="NO831" s="27" t="s">
        <v>8</v>
      </c>
      <c r="NP831" s="27" t="s">
        <v>7</v>
      </c>
      <c r="OE831" s="27" t="s">
        <v>8</v>
      </c>
      <c r="OF831" s="27" t="s">
        <v>7</v>
      </c>
      <c r="OG831" s="27" t="s">
        <v>8</v>
      </c>
      <c r="OX831" s="27" t="s">
        <v>7</v>
      </c>
      <c r="OY831" s="27" t="s">
        <v>8</v>
      </c>
      <c r="OZ831" s="27" t="s">
        <v>7</v>
      </c>
      <c r="PA831" s="27" t="s">
        <v>8</v>
      </c>
      <c r="PB831" s="27" t="s">
        <v>7</v>
      </c>
      <c r="PF831" s="27" t="s">
        <v>7</v>
      </c>
      <c r="PG831" s="27" t="s">
        <v>8</v>
      </c>
      <c r="PH831" s="27" t="s">
        <v>7</v>
      </c>
      <c r="PI831" s="27" t="s">
        <v>8</v>
      </c>
      <c r="PJ831" s="27" t="s">
        <v>7</v>
      </c>
      <c r="PK831" s="27" t="s">
        <v>8</v>
      </c>
      <c r="PL831" s="27" t="s">
        <v>7</v>
      </c>
      <c r="PM831" s="27" t="s">
        <v>8</v>
      </c>
      <c r="PN831" s="27" t="s">
        <v>7</v>
      </c>
      <c r="PO831" s="27" t="s">
        <v>8</v>
      </c>
      <c r="RZ831" s="27" t="s">
        <v>7</v>
      </c>
    </row>
    <row r="832" spans="1:494" x14ac:dyDescent="0.25">
      <c r="A832" s="7">
        <v>7.8155207116082648E-3</v>
      </c>
      <c r="B832"/>
      <c r="C832"/>
      <c r="D832"/>
      <c r="E832"/>
      <c r="F832" s="27" t="s">
        <v>7</v>
      </c>
      <c r="GS832" s="27" t="s">
        <v>8</v>
      </c>
      <c r="GT832" s="27" t="s">
        <v>7</v>
      </c>
      <c r="KI832" s="27" t="s">
        <v>8</v>
      </c>
      <c r="KJ832" s="27" t="s">
        <v>7</v>
      </c>
      <c r="KS832" s="27" t="s">
        <v>8</v>
      </c>
      <c r="KT832" s="27" t="s">
        <v>7</v>
      </c>
      <c r="KU832" s="27" t="s">
        <v>8</v>
      </c>
      <c r="KV832" s="27" t="s">
        <v>7</v>
      </c>
      <c r="KW832" s="27" t="s">
        <v>8</v>
      </c>
      <c r="KX832" s="27" t="s">
        <v>7</v>
      </c>
      <c r="KY832" s="27" t="s">
        <v>8</v>
      </c>
      <c r="KZ832" s="27" t="s">
        <v>7</v>
      </c>
      <c r="LA832" s="27" t="s">
        <v>8</v>
      </c>
      <c r="LB832" s="27" t="s">
        <v>7</v>
      </c>
      <c r="LC832" s="27" t="s">
        <v>8</v>
      </c>
      <c r="LD832" s="27" t="s">
        <v>7</v>
      </c>
      <c r="LE832" s="27" t="s">
        <v>8</v>
      </c>
      <c r="MP832" s="27" t="s">
        <v>7</v>
      </c>
      <c r="MQ832" s="27" t="s">
        <v>8</v>
      </c>
      <c r="MR832" s="27" t="s">
        <v>7</v>
      </c>
      <c r="MS832" s="27" t="s">
        <v>8</v>
      </c>
      <c r="MT832" s="27" t="s">
        <v>7</v>
      </c>
      <c r="MU832" s="27" t="s">
        <v>8</v>
      </c>
      <c r="MV832" s="27" t="s">
        <v>7</v>
      </c>
      <c r="MX832" s="27" t="s">
        <v>7</v>
      </c>
      <c r="MY832" s="27" t="s">
        <v>8</v>
      </c>
      <c r="MZ832" s="27" t="s">
        <v>7</v>
      </c>
      <c r="NA832" s="27" t="s">
        <v>8</v>
      </c>
      <c r="NF832" s="27" t="s">
        <v>7</v>
      </c>
      <c r="NG832" s="27" t="s">
        <v>8</v>
      </c>
      <c r="NH832" s="27" t="s">
        <v>7</v>
      </c>
      <c r="NI832" s="27" t="s">
        <v>8</v>
      </c>
      <c r="NK832" s="27" t="s">
        <v>8</v>
      </c>
      <c r="NL832" s="27" t="s">
        <v>7</v>
      </c>
      <c r="NM832" s="27" t="s">
        <v>8</v>
      </c>
      <c r="NN832" s="27" t="s">
        <v>7</v>
      </c>
      <c r="NO832" s="27" t="s">
        <v>8</v>
      </c>
      <c r="NP832" s="27" t="s">
        <v>7</v>
      </c>
      <c r="OE832" s="27" t="s">
        <v>8</v>
      </c>
      <c r="OF832" s="27" t="s">
        <v>7</v>
      </c>
      <c r="OG832" s="27" t="s">
        <v>8</v>
      </c>
      <c r="OX832" s="27" t="s">
        <v>7</v>
      </c>
      <c r="OY832" s="27" t="s">
        <v>8</v>
      </c>
      <c r="OZ832" s="27" t="s">
        <v>7</v>
      </c>
      <c r="PF832" s="27" t="s">
        <v>7</v>
      </c>
      <c r="PG832" s="27" t="s">
        <v>8</v>
      </c>
      <c r="PH832" s="27" t="s">
        <v>7</v>
      </c>
      <c r="PI832" s="27" t="s">
        <v>8</v>
      </c>
      <c r="PJ832" s="27" t="s">
        <v>7</v>
      </c>
      <c r="PK832" s="27" t="s">
        <v>8</v>
      </c>
      <c r="PL832" s="27" t="s">
        <v>7</v>
      </c>
      <c r="PN832" s="27" t="s">
        <v>7</v>
      </c>
      <c r="PO832" s="27" t="s">
        <v>8</v>
      </c>
      <c r="RZ832" s="27" t="s">
        <v>7</v>
      </c>
    </row>
    <row r="833" spans="1:498" x14ac:dyDescent="0.25">
      <c r="A833" s="7">
        <v>7.6622752074590825E-3</v>
      </c>
      <c r="B833"/>
      <c r="C833"/>
      <c r="D833"/>
      <c r="E833"/>
      <c r="F833" s="27" t="s">
        <v>7</v>
      </c>
      <c r="GS833" s="27" t="s">
        <v>8</v>
      </c>
      <c r="GT833" s="27" t="s">
        <v>7</v>
      </c>
      <c r="KI833" s="27" t="s">
        <v>8</v>
      </c>
      <c r="KJ833" s="27" t="s">
        <v>7</v>
      </c>
      <c r="KS833" s="27" t="s">
        <v>8</v>
      </c>
      <c r="KT833" s="27" t="s">
        <v>7</v>
      </c>
      <c r="KV833" s="27" t="s">
        <v>7</v>
      </c>
      <c r="KX833" s="27" t="s">
        <v>7</v>
      </c>
      <c r="KY833" s="27" t="s">
        <v>8</v>
      </c>
      <c r="KZ833" s="27" t="s">
        <v>7</v>
      </c>
      <c r="LA833" s="27" t="s">
        <v>8</v>
      </c>
      <c r="LB833" s="27" t="s">
        <v>7</v>
      </c>
      <c r="LC833" s="27" t="s">
        <v>8</v>
      </c>
      <c r="LD833" s="27" t="s">
        <v>7</v>
      </c>
      <c r="LE833" s="27" t="s">
        <v>8</v>
      </c>
      <c r="MP833" s="27" t="s">
        <v>7</v>
      </c>
      <c r="MQ833" s="27" t="s">
        <v>8</v>
      </c>
      <c r="MR833" s="27" t="s">
        <v>7</v>
      </c>
      <c r="MS833" s="27" t="s">
        <v>8</v>
      </c>
      <c r="MT833" s="27" t="s">
        <v>7</v>
      </c>
      <c r="MU833" s="27" t="s">
        <v>8</v>
      </c>
      <c r="MX833" s="27" t="s">
        <v>7</v>
      </c>
      <c r="MY833" s="27" t="s">
        <v>8</v>
      </c>
      <c r="MZ833" s="27" t="s">
        <v>7</v>
      </c>
      <c r="NA833" s="27" t="s">
        <v>8</v>
      </c>
      <c r="NF833" s="27" t="s">
        <v>7</v>
      </c>
      <c r="NG833" s="27" t="s">
        <v>8</v>
      </c>
      <c r="NH833" s="27" t="s">
        <v>7</v>
      </c>
      <c r="NI833" s="27" t="s">
        <v>8</v>
      </c>
      <c r="NJ833" s="27" t="s">
        <v>7</v>
      </c>
      <c r="NK833" s="27" t="s">
        <v>8</v>
      </c>
      <c r="NL833" s="27" t="s">
        <v>7</v>
      </c>
      <c r="NM833" s="27" t="s">
        <v>8</v>
      </c>
      <c r="NN833" s="27" t="s">
        <v>7</v>
      </c>
      <c r="NO833" s="27" t="s">
        <v>8</v>
      </c>
      <c r="NP833" s="27" t="s">
        <v>7</v>
      </c>
      <c r="NQ833" s="27" t="s">
        <v>8</v>
      </c>
      <c r="OE833" s="27" t="s">
        <v>8</v>
      </c>
      <c r="OF833" s="27" t="s">
        <v>7</v>
      </c>
      <c r="OG833" s="27" t="s">
        <v>8</v>
      </c>
      <c r="OX833" s="27" t="s">
        <v>7</v>
      </c>
      <c r="PF833" s="27" t="s">
        <v>7</v>
      </c>
      <c r="PG833" s="27" t="s">
        <v>8</v>
      </c>
      <c r="PH833" s="27" t="s">
        <v>7</v>
      </c>
      <c r="PI833" s="27" t="s">
        <v>8</v>
      </c>
      <c r="PJ833" s="27" t="s">
        <v>7</v>
      </c>
      <c r="PK833" s="27" t="s">
        <v>8</v>
      </c>
      <c r="PN833" s="27" t="s">
        <v>7</v>
      </c>
      <c r="RZ833" s="27" t="s">
        <v>7</v>
      </c>
    </row>
    <row r="834" spans="1:498" x14ac:dyDescent="0.25">
      <c r="A834" s="7">
        <v>7.5120345171167469E-3</v>
      </c>
      <c r="B834"/>
      <c r="C834"/>
      <c r="D834"/>
      <c r="E834"/>
      <c r="F834" s="27" t="s">
        <v>7</v>
      </c>
      <c r="GS834" s="27" t="s">
        <v>8</v>
      </c>
      <c r="GT834" s="27" t="s">
        <v>7</v>
      </c>
      <c r="KI834" s="27" t="s">
        <v>8</v>
      </c>
      <c r="KJ834" s="27" t="s">
        <v>7</v>
      </c>
      <c r="KS834" s="27" t="s">
        <v>8</v>
      </c>
      <c r="KX834" s="27" t="s">
        <v>7</v>
      </c>
      <c r="KY834" s="27" t="s">
        <v>8</v>
      </c>
      <c r="KZ834" s="27" t="s">
        <v>7</v>
      </c>
      <c r="LA834" s="27" t="s">
        <v>8</v>
      </c>
      <c r="LB834" s="27" t="s">
        <v>7</v>
      </c>
      <c r="LC834" s="27" t="s">
        <v>8</v>
      </c>
      <c r="LD834" s="27" t="s">
        <v>7</v>
      </c>
      <c r="LE834" s="27" t="s">
        <v>8</v>
      </c>
      <c r="MP834" s="27" t="s">
        <v>7</v>
      </c>
      <c r="MQ834" s="27" t="s">
        <v>8</v>
      </c>
      <c r="MR834" s="27" t="s">
        <v>7</v>
      </c>
      <c r="MS834" s="27" t="s">
        <v>8</v>
      </c>
      <c r="MT834" s="27" t="s">
        <v>7</v>
      </c>
      <c r="MU834" s="27" t="s">
        <v>8</v>
      </c>
      <c r="MX834" s="27" t="s">
        <v>7</v>
      </c>
      <c r="MZ834" s="27" t="s">
        <v>7</v>
      </c>
      <c r="NA834" s="27" t="s">
        <v>8</v>
      </c>
      <c r="NF834" s="27" t="s">
        <v>7</v>
      </c>
      <c r="NG834" s="27" t="s">
        <v>8</v>
      </c>
      <c r="NH834" s="27" t="s">
        <v>7</v>
      </c>
      <c r="NI834" s="27" t="s">
        <v>8</v>
      </c>
      <c r="NJ834" s="27" t="s">
        <v>7</v>
      </c>
      <c r="NK834" s="27" t="s">
        <v>8</v>
      </c>
      <c r="NL834" s="27" t="s">
        <v>7</v>
      </c>
      <c r="NM834" s="27" t="s">
        <v>8</v>
      </c>
      <c r="NN834" s="27" t="s">
        <v>7</v>
      </c>
      <c r="NO834" s="27" t="s">
        <v>8</v>
      </c>
      <c r="NP834" s="27" t="s">
        <v>7</v>
      </c>
      <c r="NQ834" s="27" t="s">
        <v>8</v>
      </c>
      <c r="NR834" s="27" t="s">
        <v>7</v>
      </c>
      <c r="OC834" s="27" t="s">
        <v>8</v>
      </c>
      <c r="OE834" s="27" t="s">
        <v>8</v>
      </c>
      <c r="OF834" s="27" t="s">
        <v>7</v>
      </c>
      <c r="PF834" s="27" t="s">
        <v>7</v>
      </c>
      <c r="PG834" s="27" t="s">
        <v>8</v>
      </c>
      <c r="PH834" s="27" t="s">
        <v>7</v>
      </c>
      <c r="PI834" s="27" t="s">
        <v>8</v>
      </c>
      <c r="PJ834" s="27" t="s">
        <v>7</v>
      </c>
      <c r="PK834" s="27" t="s">
        <v>8</v>
      </c>
      <c r="RZ834" s="27" t="s">
        <v>7</v>
      </c>
      <c r="SA834" s="27" t="s">
        <v>8</v>
      </c>
    </row>
    <row r="835" spans="1:498" x14ac:dyDescent="0.25">
      <c r="A835" s="7">
        <v>7.3647397226634772E-3</v>
      </c>
      <c r="B835"/>
      <c r="C835"/>
      <c r="D835"/>
      <c r="E835"/>
      <c r="F835" s="27" t="s">
        <v>7</v>
      </c>
      <c r="GS835" s="27" t="s">
        <v>8</v>
      </c>
      <c r="GT835" s="27" t="s">
        <v>7</v>
      </c>
      <c r="KI835" s="27" t="s">
        <v>8</v>
      </c>
      <c r="KJ835" s="27" t="s">
        <v>7</v>
      </c>
      <c r="KS835" s="27" t="s">
        <v>8</v>
      </c>
      <c r="KX835" s="27" t="s">
        <v>7</v>
      </c>
      <c r="KY835" s="27" t="s">
        <v>8</v>
      </c>
      <c r="KZ835" s="27" t="s">
        <v>7</v>
      </c>
      <c r="LA835" s="27" t="s">
        <v>8</v>
      </c>
      <c r="LB835" s="27" t="s">
        <v>7</v>
      </c>
      <c r="LC835" s="27" t="s">
        <v>8</v>
      </c>
      <c r="LD835" s="27" t="s">
        <v>7</v>
      </c>
      <c r="LE835" s="27" t="s">
        <v>8</v>
      </c>
      <c r="MP835" s="27" t="s">
        <v>7</v>
      </c>
      <c r="MQ835" s="27" t="s">
        <v>8</v>
      </c>
      <c r="MR835" s="27" t="s">
        <v>7</v>
      </c>
      <c r="MS835" s="27" t="s">
        <v>8</v>
      </c>
      <c r="MT835" s="27" t="s">
        <v>7</v>
      </c>
      <c r="MU835" s="27" t="s">
        <v>8</v>
      </c>
      <c r="MZ835" s="27" t="s">
        <v>7</v>
      </c>
      <c r="NF835" s="27" t="s">
        <v>7</v>
      </c>
      <c r="NG835" s="27" t="s">
        <v>8</v>
      </c>
      <c r="NH835" s="27" t="s">
        <v>7</v>
      </c>
      <c r="NI835" s="27" t="s">
        <v>8</v>
      </c>
      <c r="NJ835" s="27" t="s">
        <v>7</v>
      </c>
      <c r="NK835" s="27" t="s">
        <v>8</v>
      </c>
      <c r="NL835" s="27" t="s">
        <v>7</v>
      </c>
      <c r="NM835" s="27" t="s">
        <v>8</v>
      </c>
      <c r="NN835" s="27" t="s">
        <v>7</v>
      </c>
      <c r="NP835" s="27" t="s">
        <v>7</v>
      </c>
      <c r="NQ835" s="27" t="s">
        <v>8</v>
      </c>
      <c r="NR835" s="27" t="s">
        <v>7</v>
      </c>
      <c r="NS835" s="27" t="s">
        <v>8</v>
      </c>
      <c r="NW835" s="27" t="s">
        <v>8</v>
      </c>
      <c r="NY835" s="27" t="s">
        <v>8</v>
      </c>
      <c r="OC835" s="27" t="s">
        <v>8</v>
      </c>
      <c r="OD835" s="27" t="s">
        <v>7</v>
      </c>
      <c r="OE835" s="27" t="s">
        <v>8</v>
      </c>
      <c r="PF835" s="27" t="s">
        <v>7</v>
      </c>
      <c r="PG835" s="27" t="s">
        <v>8</v>
      </c>
      <c r="PH835" s="27" t="s">
        <v>7</v>
      </c>
      <c r="PI835" s="27" t="s">
        <v>8</v>
      </c>
      <c r="PJ835" s="27" t="s">
        <v>7</v>
      </c>
      <c r="PK835" s="27" t="s">
        <v>8</v>
      </c>
      <c r="RZ835" s="27" t="s">
        <v>7</v>
      </c>
      <c r="SA835" s="27" t="s">
        <v>8</v>
      </c>
      <c r="SB835" s="27" t="s">
        <v>7</v>
      </c>
    </row>
    <row r="836" spans="1:498" x14ac:dyDescent="0.25">
      <c r="A836" s="7">
        <v>7.2203330614347815E-3</v>
      </c>
      <c r="B836"/>
      <c r="C836"/>
      <c r="D836"/>
      <c r="E836"/>
      <c r="F836" s="27" t="s">
        <v>7</v>
      </c>
      <c r="GS836" s="27" t="s">
        <v>8</v>
      </c>
      <c r="GT836" s="27" t="s">
        <v>7</v>
      </c>
      <c r="KI836" s="27" t="s">
        <v>8</v>
      </c>
      <c r="KJ836" s="27" t="s">
        <v>7</v>
      </c>
      <c r="KS836" s="27" t="s">
        <v>8</v>
      </c>
      <c r="KX836" s="27" t="s">
        <v>7</v>
      </c>
      <c r="KY836" s="27" t="s">
        <v>8</v>
      </c>
      <c r="KZ836" s="27" t="s">
        <v>7</v>
      </c>
      <c r="LA836" s="27" t="s">
        <v>8</v>
      </c>
      <c r="LB836" s="27" t="s">
        <v>7</v>
      </c>
      <c r="LC836" s="27" t="s">
        <v>8</v>
      </c>
      <c r="LD836" s="27" t="s">
        <v>7</v>
      </c>
      <c r="MP836" s="27" t="s">
        <v>7</v>
      </c>
      <c r="MQ836" s="27" t="s">
        <v>8</v>
      </c>
      <c r="MR836" s="27" t="s">
        <v>7</v>
      </c>
      <c r="MS836" s="27" t="s">
        <v>8</v>
      </c>
      <c r="MT836" s="27" t="s">
        <v>7</v>
      </c>
      <c r="MU836" s="27" t="s">
        <v>8</v>
      </c>
      <c r="NF836" s="27" t="s">
        <v>7</v>
      </c>
      <c r="NG836" s="27" t="s">
        <v>8</v>
      </c>
      <c r="NH836" s="27" t="s">
        <v>7</v>
      </c>
      <c r="NI836" s="27" t="s">
        <v>8</v>
      </c>
      <c r="NJ836" s="27" t="s">
        <v>7</v>
      </c>
      <c r="NL836" s="27" t="s">
        <v>7</v>
      </c>
      <c r="NP836" s="27" t="s">
        <v>7</v>
      </c>
      <c r="NQ836" s="27" t="s">
        <v>8</v>
      </c>
      <c r="NR836" s="27" t="s">
        <v>7</v>
      </c>
      <c r="NS836" s="27" t="s">
        <v>8</v>
      </c>
      <c r="NT836" s="27" t="s">
        <v>7</v>
      </c>
      <c r="NW836" s="27" t="s">
        <v>8</v>
      </c>
      <c r="NX836" s="27" t="s">
        <v>7</v>
      </c>
      <c r="NY836" s="27" t="s">
        <v>8</v>
      </c>
      <c r="NZ836" s="27" t="s">
        <v>7</v>
      </c>
      <c r="OC836" s="27" t="s">
        <v>8</v>
      </c>
      <c r="OD836" s="27" t="s">
        <v>7</v>
      </c>
      <c r="OE836" s="27" t="s">
        <v>8</v>
      </c>
      <c r="PF836" s="27" t="s">
        <v>7</v>
      </c>
      <c r="PH836" s="27" t="s">
        <v>7</v>
      </c>
      <c r="PJ836" s="27" t="s">
        <v>7</v>
      </c>
      <c r="PK836" s="27" t="s">
        <v>8</v>
      </c>
      <c r="RZ836" s="27" t="s">
        <v>7</v>
      </c>
      <c r="SA836" s="27" t="s">
        <v>8</v>
      </c>
      <c r="SB836" s="27" t="s">
        <v>7</v>
      </c>
    </row>
    <row r="837" spans="1:498" x14ac:dyDescent="0.25">
      <c r="A837" s="7">
        <v>7.0787579033674327E-3</v>
      </c>
      <c r="B837"/>
      <c r="C837"/>
      <c r="D837"/>
      <c r="E837"/>
      <c r="F837" s="27" t="s">
        <v>7</v>
      </c>
      <c r="GS837" s="27" t="s">
        <v>8</v>
      </c>
      <c r="GT837" s="27" t="s">
        <v>7</v>
      </c>
      <c r="KI837" s="27" t="s">
        <v>8</v>
      </c>
      <c r="KJ837" s="27" t="s">
        <v>7</v>
      </c>
      <c r="KQ837" s="27" t="s">
        <v>8</v>
      </c>
      <c r="KS837" s="27" t="s">
        <v>8</v>
      </c>
      <c r="KX837" s="27" t="s">
        <v>7</v>
      </c>
      <c r="KY837" s="27" t="s">
        <v>8</v>
      </c>
      <c r="KZ837" s="27" t="s">
        <v>7</v>
      </c>
      <c r="LB837" s="27" t="s">
        <v>7</v>
      </c>
      <c r="LC837" s="27" t="s">
        <v>8</v>
      </c>
      <c r="MP837" s="27" t="s">
        <v>7</v>
      </c>
      <c r="MQ837" s="27" t="s">
        <v>8</v>
      </c>
      <c r="MR837" s="27" t="s">
        <v>7</v>
      </c>
      <c r="MS837" s="27" t="s">
        <v>8</v>
      </c>
      <c r="MT837" s="27" t="s">
        <v>7</v>
      </c>
      <c r="MU837" s="27" t="s">
        <v>8</v>
      </c>
      <c r="NF837" s="27" t="s">
        <v>7</v>
      </c>
      <c r="NG837" s="27" t="s">
        <v>8</v>
      </c>
      <c r="NH837" s="27" t="s">
        <v>7</v>
      </c>
      <c r="NI837" s="27" t="s">
        <v>8</v>
      </c>
      <c r="NP837" s="27" t="s">
        <v>7</v>
      </c>
      <c r="NQ837" s="27" t="s">
        <v>8</v>
      </c>
      <c r="NR837" s="27" t="s">
        <v>7</v>
      </c>
      <c r="NS837" s="27" t="s">
        <v>8</v>
      </c>
      <c r="NT837" s="27" t="s">
        <v>7</v>
      </c>
      <c r="NW837" s="27" t="s">
        <v>8</v>
      </c>
      <c r="NX837" s="27" t="s">
        <v>7</v>
      </c>
      <c r="NY837" s="27" t="s">
        <v>8</v>
      </c>
      <c r="NZ837" s="27" t="s">
        <v>7</v>
      </c>
      <c r="OA837" s="27" t="s">
        <v>8</v>
      </c>
      <c r="OC837" s="27" t="s">
        <v>8</v>
      </c>
      <c r="OD837" s="27" t="s">
        <v>7</v>
      </c>
      <c r="OE837" s="27" t="s">
        <v>8</v>
      </c>
      <c r="PJ837" s="27" t="s">
        <v>7</v>
      </c>
      <c r="RZ837" s="27" t="s">
        <v>7</v>
      </c>
      <c r="SA837" s="27" t="s">
        <v>8</v>
      </c>
      <c r="SB837" s="27" t="s">
        <v>7</v>
      </c>
    </row>
    <row r="838" spans="1:498" x14ac:dyDescent="0.25">
      <c r="A838" s="7">
        <v>6.9399587287916013E-3</v>
      </c>
      <c r="B838"/>
      <c r="C838"/>
      <c r="D838"/>
      <c r="E838"/>
      <c r="F838" s="27" t="s">
        <v>7</v>
      </c>
      <c r="GS838" s="27" t="s">
        <v>8</v>
      </c>
      <c r="GT838" s="27" t="s">
        <v>7</v>
      </c>
      <c r="KI838" s="27" t="s">
        <v>8</v>
      </c>
      <c r="KJ838" s="27" t="s">
        <v>7</v>
      </c>
      <c r="KQ838" s="27" t="s">
        <v>8</v>
      </c>
      <c r="KR838" s="27" t="s">
        <v>7</v>
      </c>
      <c r="KS838" s="27" t="s">
        <v>8</v>
      </c>
      <c r="KX838" s="27" t="s">
        <v>7</v>
      </c>
      <c r="KY838" s="27" t="s">
        <v>8</v>
      </c>
      <c r="LB838" s="27" t="s">
        <v>7</v>
      </c>
      <c r="LC838" s="27" t="s">
        <v>8</v>
      </c>
      <c r="MP838" s="27" t="s">
        <v>7</v>
      </c>
      <c r="MQ838" s="27" t="s">
        <v>8</v>
      </c>
      <c r="MR838" s="27" t="s">
        <v>7</v>
      </c>
      <c r="MS838" s="27" t="s">
        <v>8</v>
      </c>
      <c r="MT838" s="27" t="s">
        <v>7</v>
      </c>
      <c r="NF838" s="27" t="s">
        <v>7</v>
      </c>
      <c r="NG838" s="27" t="s">
        <v>8</v>
      </c>
      <c r="NH838" s="27" t="s">
        <v>7</v>
      </c>
      <c r="NI838" s="27" t="s">
        <v>8</v>
      </c>
      <c r="NP838" s="27" t="s">
        <v>7</v>
      </c>
      <c r="NR838" s="27" t="s">
        <v>7</v>
      </c>
      <c r="NS838" s="27" t="s">
        <v>8</v>
      </c>
      <c r="NT838" s="27" t="s">
        <v>7</v>
      </c>
      <c r="NW838" s="27" t="s">
        <v>8</v>
      </c>
      <c r="NX838" s="27" t="s">
        <v>7</v>
      </c>
      <c r="NY838" s="27" t="s">
        <v>8</v>
      </c>
      <c r="NZ838" s="27" t="s">
        <v>7</v>
      </c>
      <c r="OA838" s="27" t="s">
        <v>8</v>
      </c>
      <c r="OB838" s="27" t="s">
        <v>7</v>
      </c>
      <c r="OC838" s="27" t="s">
        <v>8</v>
      </c>
      <c r="OD838" s="27" t="s">
        <v>7</v>
      </c>
      <c r="OE838" s="27" t="s">
        <v>8</v>
      </c>
      <c r="RZ838" s="27" t="s">
        <v>7</v>
      </c>
      <c r="SA838" s="27" t="s">
        <v>8</v>
      </c>
      <c r="SB838" s="27" t="s">
        <v>7</v>
      </c>
    </row>
    <row r="839" spans="1:498" x14ac:dyDescent="0.25">
      <c r="A839" s="7">
        <v>6.8038811066584333E-3</v>
      </c>
      <c r="B839"/>
      <c r="C839"/>
      <c r="D839"/>
      <c r="E839"/>
      <c r="F839" s="27" t="s">
        <v>7</v>
      </c>
      <c r="GS839" s="27" t="s">
        <v>8</v>
      </c>
      <c r="GT839" s="27" t="s">
        <v>7</v>
      </c>
      <c r="KI839" s="27" t="s">
        <v>8</v>
      </c>
      <c r="KJ839" s="27" t="s">
        <v>7</v>
      </c>
      <c r="KQ839" s="27" t="s">
        <v>8</v>
      </c>
      <c r="KR839" s="27" t="s">
        <v>7</v>
      </c>
      <c r="KS839" s="27" t="s">
        <v>8</v>
      </c>
      <c r="KX839" s="27" t="s">
        <v>7</v>
      </c>
      <c r="KY839" s="27" t="s">
        <v>8</v>
      </c>
      <c r="LB839" s="27" t="s">
        <v>7</v>
      </c>
      <c r="LC839" s="27" t="s">
        <v>8</v>
      </c>
      <c r="MP839" s="27" t="s">
        <v>7</v>
      </c>
      <c r="MQ839" s="27" t="s">
        <v>8</v>
      </c>
      <c r="MR839" s="27" t="s">
        <v>7</v>
      </c>
      <c r="MS839" s="27" t="s">
        <v>8</v>
      </c>
      <c r="NF839" s="27" t="s">
        <v>7</v>
      </c>
      <c r="NG839" s="27" t="s">
        <v>8</v>
      </c>
      <c r="NH839" s="27" t="s">
        <v>7</v>
      </c>
      <c r="NR839" s="27" t="s">
        <v>7</v>
      </c>
      <c r="NS839" s="27" t="s">
        <v>8</v>
      </c>
      <c r="NT839" s="27" t="s">
        <v>7</v>
      </c>
      <c r="NW839" s="27" t="s">
        <v>8</v>
      </c>
      <c r="NX839" s="27" t="s">
        <v>7</v>
      </c>
      <c r="NY839" s="27" t="s">
        <v>8</v>
      </c>
      <c r="NZ839" s="27" t="s">
        <v>7</v>
      </c>
      <c r="OA839" s="27" t="s">
        <v>8</v>
      </c>
      <c r="OB839" s="27" t="s">
        <v>7</v>
      </c>
      <c r="OC839" s="27" t="s">
        <v>8</v>
      </c>
      <c r="OD839" s="27" t="s">
        <v>7</v>
      </c>
      <c r="RZ839" s="27" t="s">
        <v>7</v>
      </c>
      <c r="SA839" s="27" t="s">
        <v>8</v>
      </c>
      <c r="SB839" s="27" t="s">
        <v>7</v>
      </c>
      <c r="SC839" s="27" t="s">
        <v>8</v>
      </c>
    </row>
    <row r="840" spans="1:498" x14ac:dyDescent="0.25">
      <c r="A840" s="7">
        <v>6.6704716731945425E-3</v>
      </c>
      <c r="B840"/>
      <c r="C840"/>
      <c r="D840"/>
      <c r="E840"/>
      <c r="F840" s="27" t="s">
        <v>7</v>
      </c>
      <c r="GS840" s="27" t="s">
        <v>8</v>
      </c>
      <c r="GT840" s="27" t="s">
        <v>7</v>
      </c>
      <c r="KI840" s="27" t="s">
        <v>8</v>
      </c>
      <c r="KJ840" s="27" t="s">
        <v>7</v>
      </c>
      <c r="KO840" s="27" t="s">
        <v>8</v>
      </c>
      <c r="KQ840" s="27" t="s">
        <v>8</v>
      </c>
      <c r="KR840" s="27" t="s">
        <v>7</v>
      </c>
      <c r="KS840" s="27" t="s">
        <v>8</v>
      </c>
      <c r="KX840" s="27" t="s">
        <v>7</v>
      </c>
      <c r="KY840" s="27" t="s">
        <v>8</v>
      </c>
      <c r="LB840" s="27" t="s">
        <v>7</v>
      </c>
      <c r="MP840" s="27" t="s">
        <v>7</v>
      </c>
      <c r="MQ840" s="27" t="s">
        <v>8</v>
      </c>
      <c r="MR840" s="27" t="s">
        <v>7</v>
      </c>
      <c r="MS840" s="27" t="s">
        <v>8</v>
      </c>
      <c r="NF840" s="27" t="s">
        <v>7</v>
      </c>
      <c r="NG840" s="27" t="s">
        <v>8</v>
      </c>
      <c r="NR840" s="27" t="s">
        <v>7</v>
      </c>
      <c r="NT840" s="27" t="s">
        <v>7</v>
      </c>
      <c r="NU840" s="27" t="s">
        <v>8</v>
      </c>
      <c r="NW840" s="27" t="s">
        <v>8</v>
      </c>
      <c r="NX840" s="27" t="s">
        <v>7</v>
      </c>
      <c r="NY840" s="27" t="s">
        <v>8</v>
      </c>
      <c r="NZ840" s="27" t="s">
        <v>7</v>
      </c>
      <c r="OA840" s="27" t="s">
        <v>8</v>
      </c>
      <c r="OB840" s="27" t="s">
        <v>7</v>
      </c>
      <c r="OC840" s="27" t="s">
        <v>8</v>
      </c>
      <c r="RZ840" s="27" t="s">
        <v>7</v>
      </c>
      <c r="SA840" s="27" t="s">
        <v>8</v>
      </c>
      <c r="SB840" s="27" t="s">
        <v>7</v>
      </c>
      <c r="SC840" s="27" t="s">
        <v>8</v>
      </c>
      <c r="SD840" s="27" t="s">
        <v>7</v>
      </c>
    </row>
    <row r="841" spans="1:498" x14ac:dyDescent="0.25">
      <c r="A841" s="7">
        <v>6.5396781109750427E-3</v>
      </c>
      <c r="B841"/>
      <c r="C841"/>
      <c r="D841"/>
      <c r="E841"/>
      <c r="F841" s="27" t="s">
        <v>7</v>
      </c>
      <c r="GS841" s="27" t="s">
        <v>8</v>
      </c>
      <c r="GT841" s="27" t="s">
        <v>7</v>
      </c>
      <c r="KI841" s="27" t="s">
        <v>8</v>
      </c>
      <c r="KJ841" s="27" t="s">
        <v>7</v>
      </c>
      <c r="KO841" s="27" t="s">
        <v>8</v>
      </c>
      <c r="KP841" s="27" t="s">
        <v>7</v>
      </c>
      <c r="KQ841" s="27" t="s">
        <v>8</v>
      </c>
      <c r="KR841" s="27" t="s">
        <v>7</v>
      </c>
      <c r="KS841" s="27" t="s">
        <v>8</v>
      </c>
      <c r="KX841" s="27" t="s">
        <v>7</v>
      </c>
      <c r="MP841" s="27" t="s">
        <v>7</v>
      </c>
      <c r="MQ841" s="27" t="s">
        <v>8</v>
      </c>
      <c r="MR841" s="27" t="s">
        <v>7</v>
      </c>
      <c r="MS841" s="27" t="s">
        <v>8</v>
      </c>
      <c r="NF841" s="27" t="s">
        <v>7</v>
      </c>
      <c r="NG841" s="27" t="s">
        <v>8</v>
      </c>
      <c r="NT841" s="27" t="s">
        <v>7</v>
      </c>
      <c r="NU841" s="27" t="s">
        <v>8</v>
      </c>
      <c r="NV841" s="27" t="s">
        <v>7</v>
      </c>
      <c r="NW841" s="27" t="s">
        <v>8</v>
      </c>
      <c r="NX841" s="27" t="s">
        <v>7</v>
      </c>
      <c r="NZ841" s="27" t="s">
        <v>7</v>
      </c>
      <c r="OB841" s="27" t="s">
        <v>7</v>
      </c>
      <c r="RZ841" s="27" t="s">
        <v>7</v>
      </c>
      <c r="SA841" s="27" t="s">
        <v>8</v>
      </c>
      <c r="SB841" s="27" t="s">
        <v>7</v>
      </c>
      <c r="SC841" s="27" t="s">
        <v>8</v>
      </c>
      <c r="SD841" s="27" t="s">
        <v>7</v>
      </c>
    </row>
    <row r="842" spans="1:498" x14ac:dyDescent="0.25">
      <c r="A842" s="7">
        <v>6.4114491284069045E-3</v>
      </c>
      <c r="B842"/>
      <c r="C842"/>
      <c r="D842"/>
      <c r="E842"/>
      <c r="F842" s="27" t="s">
        <v>7</v>
      </c>
      <c r="GS842" s="27" t="s">
        <v>8</v>
      </c>
      <c r="GT842" s="27" t="s">
        <v>7</v>
      </c>
      <c r="KI842" s="27" t="s">
        <v>8</v>
      </c>
      <c r="KJ842" s="27" t="s">
        <v>7</v>
      </c>
      <c r="KO842" s="27" t="s">
        <v>8</v>
      </c>
      <c r="KP842" s="27" t="s">
        <v>7</v>
      </c>
      <c r="KQ842" s="27" t="s">
        <v>8</v>
      </c>
      <c r="KR842" s="27" t="s">
        <v>7</v>
      </c>
      <c r="KS842" s="27" t="s">
        <v>8</v>
      </c>
      <c r="MP842" s="27" t="s">
        <v>7</v>
      </c>
      <c r="MQ842" s="27" t="s">
        <v>8</v>
      </c>
      <c r="MR842" s="27" t="s">
        <v>7</v>
      </c>
      <c r="MS842" s="27" t="s">
        <v>8</v>
      </c>
      <c r="NF842" s="27" t="s">
        <v>7</v>
      </c>
      <c r="NG842" s="27" t="s">
        <v>8</v>
      </c>
      <c r="NT842" s="27" t="s">
        <v>7</v>
      </c>
      <c r="NU842" s="27" t="s">
        <v>8</v>
      </c>
      <c r="NV842" s="27" t="s">
        <v>7</v>
      </c>
      <c r="NW842" s="27" t="s">
        <v>8</v>
      </c>
      <c r="RZ842" s="27" t="s">
        <v>7</v>
      </c>
      <c r="SA842" s="27" t="s">
        <v>8</v>
      </c>
      <c r="SB842" s="27" t="s">
        <v>7</v>
      </c>
      <c r="SC842" s="27" t="s">
        <v>8</v>
      </c>
      <c r="SD842" s="27" t="s">
        <v>7</v>
      </c>
    </row>
    <row r="843" spans="1:498" x14ac:dyDescent="0.25">
      <c r="A843" s="7">
        <v>6.2857344396146115E-3</v>
      </c>
      <c r="B843"/>
      <c r="C843"/>
      <c r="D843"/>
      <c r="E843"/>
      <c r="F843" s="27" t="s">
        <v>7</v>
      </c>
      <c r="GS843" s="27" t="s">
        <v>8</v>
      </c>
      <c r="GT843" s="27" t="s">
        <v>7</v>
      </c>
      <c r="KI843" s="27" t="s">
        <v>8</v>
      </c>
      <c r="KJ843" s="27" t="s">
        <v>7</v>
      </c>
      <c r="KO843" s="27" t="s">
        <v>8</v>
      </c>
      <c r="KP843" s="27" t="s">
        <v>7</v>
      </c>
      <c r="KQ843" s="27" t="s">
        <v>8</v>
      </c>
      <c r="KR843" s="27" t="s">
        <v>7</v>
      </c>
      <c r="KS843" s="27" t="s">
        <v>8</v>
      </c>
      <c r="MP843" s="27" t="s">
        <v>7</v>
      </c>
      <c r="MQ843" s="27" t="s">
        <v>8</v>
      </c>
      <c r="MR843" s="27" t="s">
        <v>7</v>
      </c>
      <c r="MS843" s="27" t="s">
        <v>8</v>
      </c>
      <c r="NF843" s="27" t="s">
        <v>7</v>
      </c>
      <c r="NG843" s="27" t="s">
        <v>8</v>
      </c>
      <c r="NT843" s="27" t="s">
        <v>7</v>
      </c>
      <c r="NV843" s="27" t="s">
        <v>7</v>
      </c>
      <c r="NW843" s="27" t="s">
        <v>8</v>
      </c>
      <c r="RZ843" s="27" t="s">
        <v>7</v>
      </c>
      <c r="SA843" s="27" t="s">
        <v>8</v>
      </c>
      <c r="SB843" s="27" t="s">
        <v>7</v>
      </c>
      <c r="SC843" s="27" t="s">
        <v>8</v>
      </c>
      <c r="SD843" s="27" t="s">
        <v>7</v>
      </c>
    </row>
    <row r="844" spans="1:498" x14ac:dyDescent="0.25">
      <c r="A844" s="7">
        <v>6.1624847447202076E-3</v>
      </c>
      <c r="B844"/>
      <c r="C844"/>
      <c r="D844"/>
      <c r="E844"/>
      <c r="F844" s="27" t="s">
        <v>7</v>
      </c>
      <c r="GS844" s="27" t="s">
        <v>8</v>
      </c>
      <c r="GT844" s="27" t="s">
        <v>7</v>
      </c>
      <c r="KI844" s="27" t="s">
        <v>8</v>
      </c>
      <c r="KJ844" s="27" t="s">
        <v>7</v>
      </c>
      <c r="KO844" s="27" t="s">
        <v>8</v>
      </c>
      <c r="KP844" s="27" t="s">
        <v>7</v>
      </c>
      <c r="KQ844" s="27" t="s">
        <v>8</v>
      </c>
      <c r="KR844" s="27" t="s">
        <v>7</v>
      </c>
      <c r="KS844" s="27" t="s">
        <v>8</v>
      </c>
      <c r="MP844" s="27" t="s">
        <v>7</v>
      </c>
      <c r="MR844" s="27" t="s">
        <v>7</v>
      </c>
      <c r="MS844" s="27" t="s">
        <v>8</v>
      </c>
      <c r="NF844" s="27" t="s">
        <v>7</v>
      </c>
      <c r="NG844" s="27" t="s">
        <v>8</v>
      </c>
      <c r="NV844" s="27" t="s">
        <v>7</v>
      </c>
      <c r="NW844" s="27" t="s">
        <v>8</v>
      </c>
      <c r="RZ844" s="27" t="s">
        <v>7</v>
      </c>
      <c r="SA844" s="27" t="s">
        <v>8</v>
      </c>
      <c r="SB844" s="27" t="s">
        <v>7</v>
      </c>
      <c r="SC844" s="27" t="s">
        <v>8</v>
      </c>
      <c r="SD844" s="27" t="s">
        <v>7</v>
      </c>
    </row>
    <row r="845" spans="1:498" x14ac:dyDescent="0.25">
      <c r="A845" s="7">
        <v>6.0416517105100079E-3</v>
      </c>
      <c r="B845"/>
      <c r="C845"/>
      <c r="D845"/>
      <c r="E845"/>
      <c r="F845" s="27" t="s">
        <v>7</v>
      </c>
      <c r="GS845" s="27" t="s">
        <v>8</v>
      </c>
      <c r="GT845" s="27" t="s">
        <v>7</v>
      </c>
      <c r="GU845" s="27" t="s">
        <v>8</v>
      </c>
      <c r="KI845" s="27" t="s">
        <v>8</v>
      </c>
      <c r="KJ845" s="27" t="s">
        <v>7</v>
      </c>
      <c r="KO845" s="27" t="s">
        <v>8</v>
      </c>
      <c r="KP845" s="27" t="s">
        <v>7</v>
      </c>
      <c r="KQ845" s="27" t="s">
        <v>8</v>
      </c>
      <c r="KR845" s="27" t="s">
        <v>7</v>
      </c>
      <c r="KS845" s="27" t="s">
        <v>8</v>
      </c>
      <c r="MR845" s="27" t="s">
        <v>7</v>
      </c>
      <c r="MS845" s="27" t="s">
        <v>8</v>
      </c>
      <c r="NF845" s="27" t="s">
        <v>7</v>
      </c>
      <c r="NV845" s="18" t="s">
        <v>7</v>
      </c>
      <c r="NW845" s="27" t="s">
        <v>8</v>
      </c>
      <c r="RZ845" s="27" t="s">
        <v>7</v>
      </c>
      <c r="SA845" s="27" t="s">
        <v>8</v>
      </c>
      <c r="SB845" s="27" t="s">
        <v>7</v>
      </c>
      <c r="SC845" s="27" t="s">
        <v>8</v>
      </c>
    </row>
    <row r="846" spans="1:498" x14ac:dyDescent="0.25">
      <c r="A846" s="7">
        <v>5.9231879514803996E-3</v>
      </c>
      <c r="B846"/>
      <c r="C846"/>
      <c r="D846"/>
      <c r="E846"/>
      <c r="F846" s="27" t="s">
        <v>7</v>
      </c>
      <c r="GS846" s="27" t="s">
        <v>8</v>
      </c>
      <c r="GT846" s="27" t="s">
        <v>7</v>
      </c>
      <c r="GU846" s="27" t="s">
        <v>8</v>
      </c>
      <c r="GV846" s="27" t="s">
        <v>7</v>
      </c>
      <c r="KI846" s="27" t="s">
        <v>8</v>
      </c>
      <c r="KJ846" s="27" t="s">
        <v>7</v>
      </c>
      <c r="KM846" s="27" t="s">
        <v>8</v>
      </c>
      <c r="KO846" s="27" t="s">
        <v>8</v>
      </c>
      <c r="KP846" s="27" t="s">
        <v>7</v>
      </c>
      <c r="KQ846" s="27" t="s">
        <v>8</v>
      </c>
      <c r="KR846" s="27" t="s">
        <v>7</v>
      </c>
      <c r="KS846" s="27" t="s">
        <v>8</v>
      </c>
      <c r="MR846" s="27" t="s">
        <v>7</v>
      </c>
      <c r="MS846" s="27" t="s">
        <v>8</v>
      </c>
      <c r="NV846" s="27" t="s">
        <v>7</v>
      </c>
      <c r="NW846" s="27" t="s">
        <v>8</v>
      </c>
      <c r="RZ846" s="27" t="s">
        <v>7</v>
      </c>
      <c r="SA846" s="27" t="s">
        <v>8</v>
      </c>
      <c r="SB846" s="27" t="s">
        <v>7</v>
      </c>
      <c r="SC846" s="27" t="s">
        <v>8</v>
      </c>
    </row>
    <row r="847" spans="1:498" x14ac:dyDescent="0.25">
      <c r="A847" s="7">
        <v>5.8070470112552936E-3</v>
      </c>
      <c r="B847"/>
      <c r="C847"/>
      <c r="D847"/>
      <c r="E847"/>
      <c r="F847" s="27" t="s">
        <v>7</v>
      </c>
      <c r="GS847" s="27" t="s">
        <v>8</v>
      </c>
      <c r="GT847" s="27" t="s">
        <v>7</v>
      </c>
      <c r="GU847" s="27" t="s">
        <v>8</v>
      </c>
      <c r="GV847" s="27" t="s">
        <v>7</v>
      </c>
      <c r="KI847" s="27" t="s">
        <v>8</v>
      </c>
      <c r="KJ847" s="27" t="s">
        <v>7</v>
      </c>
      <c r="KM847" s="27" t="s">
        <v>8</v>
      </c>
      <c r="KN847" s="27" t="s">
        <v>7</v>
      </c>
      <c r="KO847" s="27" t="s">
        <v>8</v>
      </c>
      <c r="KP847" s="27" t="s">
        <v>7</v>
      </c>
      <c r="KQ847" s="27" t="s">
        <v>8</v>
      </c>
      <c r="KR847" s="27" t="s">
        <v>7</v>
      </c>
      <c r="KS847" s="27" t="s">
        <v>8</v>
      </c>
      <c r="MR847" s="27" t="s">
        <v>7</v>
      </c>
      <c r="MS847" s="27" t="s">
        <v>8</v>
      </c>
      <c r="NV847" s="27" t="s">
        <v>7</v>
      </c>
      <c r="NW847" s="27" t="s">
        <v>8</v>
      </c>
      <c r="RZ847" s="27" t="s">
        <v>7</v>
      </c>
      <c r="SA847" s="27" t="s">
        <v>8</v>
      </c>
      <c r="SB847" s="27" t="s">
        <v>7</v>
      </c>
    </row>
    <row r="848" spans="1:498" x14ac:dyDescent="0.25">
      <c r="A848" s="7">
        <v>5.6931833443679353E-3</v>
      </c>
      <c r="B848"/>
      <c r="C848"/>
      <c r="D848"/>
      <c r="E848"/>
      <c r="F848" s="27" t="s">
        <v>7</v>
      </c>
      <c r="GS848" s="27" t="s">
        <v>8</v>
      </c>
      <c r="GT848" s="27" t="s">
        <v>7</v>
      </c>
      <c r="GU848" s="27" t="s">
        <v>8</v>
      </c>
      <c r="GV848" s="27" t="s">
        <v>7</v>
      </c>
      <c r="KI848" s="27" t="s">
        <v>8</v>
      </c>
      <c r="KJ848" s="27" t="s">
        <v>7</v>
      </c>
      <c r="KM848" s="27" t="s">
        <v>8</v>
      </c>
      <c r="KN848" s="27" t="s">
        <v>7</v>
      </c>
      <c r="KO848" s="27" t="s">
        <v>8</v>
      </c>
      <c r="KP848" s="27" t="s">
        <v>7</v>
      </c>
      <c r="KQ848" s="27" t="s">
        <v>8</v>
      </c>
      <c r="KR848" s="27" t="s">
        <v>7</v>
      </c>
      <c r="KS848" s="27" t="s">
        <v>8</v>
      </c>
      <c r="MR848" s="27" t="s">
        <v>7</v>
      </c>
      <c r="MS848" s="27" t="s">
        <v>8</v>
      </c>
      <c r="NV848" s="27" t="s">
        <v>7</v>
      </c>
      <c r="NW848" s="27" t="s">
        <v>8</v>
      </c>
      <c r="RZ848" s="27" t="s">
        <v>7</v>
      </c>
    </row>
    <row r="849" spans="1:387" x14ac:dyDescent="0.25">
      <c r="A849" s="7">
        <v>5.5815522983999367E-3</v>
      </c>
      <c r="B849"/>
      <c r="C849"/>
      <c r="D849"/>
      <c r="E849"/>
      <c r="F849" s="27" t="s">
        <v>7</v>
      </c>
      <c r="GS849" s="27" t="s">
        <v>8</v>
      </c>
      <c r="GT849" s="27" t="s">
        <v>7</v>
      </c>
      <c r="GU849" s="27" t="s">
        <v>8</v>
      </c>
      <c r="GV849" s="27" t="s">
        <v>7</v>
      </c>
      <c r="KI849" s="27" t="s">
        <v>8</v>
      </c>
      <c r="KJ849" s="27" t="s">
        <v>7</v>
      </c>
      <c r="KM849" s="27" t="s">
        <v>8</v>
      </c>
      <c r="KN849" s="27" t="s">
        <v>7</v>
      </c>
      <c r="KO849" s="27" t="s">
        <v>8</v>
      </c>
      <c r="KP849" s="27" t="s">
        <v>7</v>
      </c>
      <c r="KQ849" s="27" t="s">
        <v>8</v>
      </c>
      <c r="KR849" s="27" t="s">
        <v>7</v>
      </c>
      <c r="KS849" s="27" t="s">
        <v>8</v>
      </c>
      <c r="MR849" s="27" t="s">
        <v>7</v>
      </c>
      <c r="MS849" s="27" t="s">
        <v>8</v>
      </c>
      <c r="NV849" s="27" t="s">
        <v>7</v>
      </c>
      <c r="NW849" s="27" t="s">
        <v>8</v>
      </c>
    </row>
    <row r="850" spans="1:387" x14ac:dyDescent="0.25">
      <c r="A850" s="7">
        <v>5.4721100964705257E-3</v>
      </c>
      <c r="B850"/>
      <c r="C850"/>
      <c r="D850"/>
      <c r="E850"/>
      <c r="F850" s="27" t="s">
        <v>7</v>
      </c>
      <c r="GS850" s="27" t="s">
        <v>8</v>
      </c>
      <c r="GT850" s="27" t="s">
        <v>7</v>
      </c>
      <c r="GU850" s="27" t="s">
        <v>8</v>
      </c>
      <c r="GV850" s="27" t="s">
        <v>7</v>
      </c>
      <c r="KI850" s="27" t="s">
        <v>8</v>
      </c>
      <c r="KJ850" s="27" t="s">
        <v>7</v>
      </c>
      <c r="KM850" s="27" t="s">
        <v>8</v>
      </c>
      <c r="KN850" s="27" t="s">
        <v>7</v>
      </c>
      <c r="KO850" s="27" t="s">
        <v>8</v>
      </c>
      <c r="KP850" s="27" t="s">
        <v>7</v>
      </c>
      <c r="KQ850" s="27" t="s">
        <v>8</v>
      </c>
      <c r="KR850" s="27" t="s">
        <v>7</v>
      </c>
      <c r="KS850" s="27" t="s">
        <v>8</v>
      </c>
      <c r="MR850" s="27" t="s">
        <v>7</v>
      </c>
      <c r="NV850" s="27" t="s">
        <v>7</v>
      </c>
    </row>
    <row r="851" spans="1:387" x14ac:dyDescent="0.25">
      <c r="A851" s="7">
        <v>5.3648138200691423E-3</v>
      </c>
      <c r="B851"/>
      <c r="C851"/>
      <c r="D851"/>
      <c r="E851"/>
      <c r="F851" s="27" t="s">
        <v>7</v>
      </c>
      <c r="GS851" s="27" t="s">
        <v>8</v>
      </c>
      <c r="GT851" s="27" t="s">
        <v>7</v>
      </c>
      <c r="GU851" s="27" t="s">
        <v>8</v>
      </c>
      <c r="GV851" s="27" t="s">
        <v>7</v>
      </c>
      <c r="KI851" s="27" t="s">
        <v>8</v>
      </c>
      <c r="KJ851" s="27" t="s">
        <v>7</v>
      </c>
      <c r="KM851" s="27" t="s">
        <v>8</v>
      </c>
      <c r="KN851" s="27" t="s">
        <v>7</v>
      </c>
      <c r="KO851" s="27" t="s">
        <v>8</v>
      </c>
      <c r="KP851" s="27" t="s">
        <v>7</v>
      </c>
      <c r="KR851" s="27" t="s">
        <v>7</v>
      </c>
      <c r="KS851" s="27" t="s">
        <v>8</v>
      </c>
    </row>
    <row r="852" spans="1:387" x14ac:dyDescent="0.25">
      <c r="A852" s="7">
        <v>5.2596213922246494E-3</v>
      </c>
      <c r="B852"/>
      <c r="C852"/>
      <c r="D852"/>
      <c r="E852"/>
      <c r="F852" s="27" t="s">
        <v>7</v>
      </c>
      <c r="GS852" s="27" t="s">
        <v>8</v>
      </c>
      <c r="GT852" s="27" t="s">
        <v>7</v>
      </c>
      <c r="GU852" s="27" t="s">
        <v>8</v>
      </c>
      <c r="GV852" s="27" t="s">
        <v>7</v>
      </c>
      <c r="KI852" s="27" t="s">
        <v>8</v>
      </c>
      <c r="KJ852" s="27" t="s">
        <v>7</v>
      </c>
      <c r="KM852" s="27" t="s">
        <v>8</v>
      </c>
      <c r="KN852" s="27" t="s">
        <v>7</v>
      </c>
      <c r="KO852" s="27" t="s">
        <v>8</v>
      </c>
      <c r="KR852" s="27" t="s">
        <v>7</v>
      </c>
      <c r="KS852" s="27" t="s">
        <v>8</v>
      </c>
    </row>
    <row r="853" spans="1:387" x14ac:dyDescent="0.25">
      <c r="A853" s="7">
        <v>5.1564915610045588E-3</v>
      </c>
      <c r="B853"/>
      <c r="C853"/>
      <c r="D853"/>
      <c r="E853"/>
      <c r="F853" s="27" t="s">
        <v>7</v>
      </c>
      <c r="GS853" s="27" t="s">
        <v>8</v>
      </c>
      <c r="GT853" s="27" t="s">
        <v>7</v>
      </c>
      <c r="GU853" s="27" t="s">
        <v>8</v>
      </c>
      <c r="GV853" s="27" t="s">
        <v>7</v>
      </c>
      <c r="KI853" s="27" t="s">
        <v>8</v>
      </c>
      <c r="KJ853" s="27" t="s">
        <v>7</v>
      </c>
      <c r="KM853" s="27" t="s">
        <v>8</v>
      </c>
      <c r="KN853" s="27" t="s">
        <v>7</v>
      </c>
      <c r="KO853" s="27" t="s">
        <v>8</v>
      </c>
      <c r="KR853" s="27" t="s">
        <v>7</v>
      </c>
      <c r="KS853" s="27" t="s">
        <v>8</v>
      </c>
    </row>
    <row r="854" spans="1:387" x14ac:dyDescent="0.25">
      <c r="A854" s="7">
        <v>5.0553838833378023E-3</v>
      </c>
      <c r="B854"/>
      <c r="C854"/>
      <c r="D854"/>
      <c r="E854"/>
      <c r="F854" s="27" t="s">
        <v>7</v>
      </c>
      <c r="GS854" s="27" t="s">
        <v>8</v>
      </c>
      <c r="GT854" s="27" t="s">
        <v>7</v>
      </c>
      <c r="GU854" s="27" t="s">
        <v>8</v>
      </c>
      <c r="GV854" s="27" t="s">
        <v>7</v>
      </c>
      <c r="KI854" s="27" t="s">
        <v>8</v>
      </c>
      <c r="KJ854" s="27" t="s">
        <v>7</v>
      </c>
      <c r="KM854" s="27" t="s">
        <v>8</v>
      </c>
      <c r="KN854" s="27" t="s">
        <v>7</v>
      </c>
      <c r="KO854" s="27" t="s">
        <v>8</v>
      </c>
      <c r="KR854" s="27" t="s">
        <v>7</v>
      </c>
    </row>
    <row r="855" spans="1:387" x14ac:dyDescent="0.25">
      <c r="A855" s="7">
        <v>4.9562587091547079E-3</v>
      </c>
      <c r="B855"/>
      <c r="C855"/>
      <c r="D855"/>
      <c r="E855"/>
      <c r="F855" s="27" t="s">
        <v>7</v>
      </c>
      <c r="GS855" s="27" t="s">
        <v>8</v>
      </c>
      <c r="GT855" s="27" t="s">
        <v>7</v>
      </c>
      <c r="GU855" s="27" t="s">
        <v>8</v>
      </c>
      <c r="GV855" s="27" t="s">
        <v>7</v>
      </c>
      <c r="KI855" s="27" t="s">
        <v>8</v>
      </c>
      <c r="KJ855" s="27" t="s">
        <v>7</v>
      </c>
      <c r="KK855" s="27" t="s">
        <v>8</v>
      </c>
      <c r="KM855" s="27" t="s">
        <v>8</v>
      </c>
      <c r="KN855" s="27" t="s">
        <v>7</v>
      </c>
      <c r="KO855" s="27" t="s">
        <v>8</v>
      </c>
    </row>
    <row r="856" spans="1:387" x14ac:dyDescent="0.25">
      <c r="A856" s="7">
        <v>4.8590771658379491E-3</v>
      </c>
      <c r="B856"/>
      <c r="C856"/>
      <c r="D856"/>
      <c r="E856"/>
      <c r="F856" s="27" t="s">
        <v>7</v>
      </c>
      <c r="AM856" s="27" t="s">
        <v>8</v>
      </c>
      <c r="GS856" s="27" t="s">
        <v>8</v>
      </c>
      <c r="GT856" s="27" t="s">
        <v>7</v>
      </c>
      <c r="GU856" s="27" t="s">
        <v>8</v>
      </c>
      <c r="GV856" s="27" t="s">
        <v>7</v>
      </c>
      <c r="KI856" s="27" t="s">
        <v>8</v>
      </c>
      <c r="KJ856" s="27" t="s">
        <v>7</v>
      </c>
      <c r="KK856" s="27" t="s">
        <v>8</v>
      </c>
      <c r="KL856" s="27" t="s">
        <v>7</v>
      </c>
      <c r="KM856" s="27" t="s">
        <v>8</v>
      </c>
      <c r="KN856" s="27" t="s">
        <v>7</v>
      </c>
      <c r="KO856" s="27" t="s">
        <v>8</v>
      </c>
    </row>
    <row r="857" spans="1:387" x14ac:dyDescent="0.25">
      <c r="A857" s="7">
        <v>4.7638011429783815E-3</v>
      </c>
      <c r="B857"/>
      <c r="C857"/>
      <c r="D857"/>
      <c r="E857"/>
      <c r="F857" s="27" t="s">
        <v>7</v>
      </c>
      <c r="AM857" s="27" t="s">
        <v>8</v>
      </c>
      <c r="AN857" s="27" t="s">
        <v>7</v>
      </c>
      <c r="GS857" s="27" t="s">
        <v>8</v>
      </c>
      <c r="GT857" s="27" t="s">
        <v>7</v>
      </c>
      <c r="GU857" s="27" t="s">
        <v>8</v>
      </c>
      <c r="GV857" s="27" t="s">
        <v>7</v>
      </c>
      <c r="KI857" s="27" t="s">
        <v>8</v>
      </c>
      <c r="KJ857" s="27" t="s">
        <v>7</v>
      </c>
      <c r="KK857" s="27" t="s">
        <v>8</v>
      </c>
      <c r="KL857" s="27" t="s">
        <v>7</v>
      </c>
      <c r="KM857" s="27" t="s">
        <v>8</v>
      </c>
      <c r="KN857" s="27" t="s">
        <v>7</v>
      </c>
      <c r="KO857" s="27" t="s">
        <v>8</v>
      </c>
    </row>
    <row r="858" spans="1:387" x14ac:dyDescent="0.25">
      <c r="A858" s="7">
        <v>4.6703932774297859E-3</v>
      </c>
      <c r="B858"/>
      <c r="C858"/>
      <c r="D858"/>
      <c r="E858"/>
      <c r="F858" s="27" t="s">
        <v>7</v>
      </c>
      <c r="AM858" s="27" t="s">
        <v>8</v>
      </c>
      <c r="AN858" s="27" t="s">
        <v>7</v>
      </c>
      <c r="GS858" s="27" t="s">
        <v>8</v>
      </c>
      <c r="GT858" s="27" t="s">
        <v>7</v>
      </c>
      <c r="GU858" s="27" t="s">
        <v>8</v>
      </c>
      <c r="GV858" s="27" t="s">
        <v>7</v>
      </c>
      <c r="KI858" s="27" t="s">
        <v>8</v>
      </c>
      <c r="KJ858" s="27" t="s">
        <v>7</v>
      </c>
      <c r="KK858" s="27" t="s">
        <v>8</v>
      </c>
      <c r="KL858" s="27" t="s">
        <v>7</v>
      </c>
      <c r="KM858" s="27" t="s">
        <v>8</v>
      </c>
      <c r="KN858" s="27" t="s">
        <v>7</v>
      </c>
    </row>
    <row r="859" spans="1:387" x14ac:dyDescent="0.25">
      <c r="A859" s="7">
        <v>4.5788169386566527E-3</v>
      </c>
      <c r="B859"/>
      <c r="C859"/>
      <c r="D859"/>
      <c r="E859"/>
      <c r="F859" s="27" t="s">
        <v>7</v>
      </c>
      <c r="AM859" s="27" t="s">
        <v>8</v>
      </c>
      <c r="AN859" s="27" t="s">
        <v>7</v>
      </c>
      <c r="GS859" s="27" t="s">
        <v>8</v>
      </c>
      <c r="GT859" s="27" t="s">
        <v>7</v>
      </c>
      <c r="GU859" s="27" t="s">
        <v>8</v>
      </c>
      <c r="GV859" s="27" t="s">
        <v>7</v>
      </c>
      <c r="KI859" s="27" t="s">
        <v>8</v>
      </c>
      <c r="KJ859" s="27" t="s">
        <v>7</v>
      </c>
      <c r="KK859" s="27" t="s">
        <v>8</v>
      </c>
      <c r="KL859" s="27" t="s">
        <v>7</v>
      </c>
      <c r="KM859" s="27" t="s">
        <v>8</v>
      </c>
    </row>
    <row r="860" spans="1:387" x14ac:dyDescent="0.25">
      <c r="A860" s="7">
        <v>4.4890362143692672E-3</v>
      </c>
      <c r="B860"/>
      <c r="C860"/>
      <c r="D860"/>
      <c r="E860"/>
      <c r="F860" s="27" t="s">
        <v>7</v>
      </c>
      <c r="AM860" s="27" t="s">
        <v>8</v>
      </c>
      <c r="AN860" s="27" t="s">
        <v>7</v>
      </c>
      <c r="GS860" s="27" t="s">
        <v>8</v>
      </c>
      <c r="GT860" s="27" t="s">
        <v>7</v>
      </c>
      <c r="GU860" s="27" t="s">
        <v>8</v>
      </c>
      <c r="GV860" s="27" t="s">
        <v>7</v>
      </c>
      <c r="KI860" s="27" t="s">
        <v>8</v>
      </c>
      <c r="KJ860" s="27" t="s">
        <v>7</v>
      </c>
      <c r="KK860" s="27" t="s">
        <v>8</v>
      </c>
      <c r="KL860" s="27" t="s">
        <v>7</v>
      </c>
      <c r="KM860" s="27" t="s">
        <v>8</v>
      </c>
    </row>
    <row r="861" spans="1:387" x14ac:dyDescent="0.25">
      <c r="A861" s="7">
        <v>4.4010158964404578E-3</v>
      </c>
      <c r="B861"/>
      <c r="C861"/>
      <c r="D861"/>
      <c r="E861"/>
      <c r="F861" s="27" t="s">
        <v>7</v>
      </c>
      <c r="AM861" s="27" t="s">
        <v>8</v>
      </c>
      <c r="AN861" s="27" t="s">
        <v>7</v>
      </c>
      <c r="GS861" s="27" t="s">
        <v>8</v>
      </c>
      <c r="GT861" s="27" t="s">
        <v>7</v>
      </c>
      <c r="GU861" s="27" t="s">
        <v>8</v>
      </c>
      <c r="GV861" s="27" t="s">
        <v>7</v>
      </c>
      <c r="KI861" s="27" t="s">
        <v>8</v>
      </c>
      <c r="KJ861" s="27" t="s">
        <v>7</v>
      </c>
      <c r="KK861" s="27" t="s">
        <v>8</v>
      </c>
      <c r="KL861" s="27" t="s">
        <v>7</v>
      </c>
      <c r="KM861" s="27" t="s">
        <v>8</v>
      </c>
    </row>
    <row r="862" spans="1:387" x14ac:dyDescent="0.25">
      <c r="A862" s="7">
        <v>4.314721467098488E-3</v>
      </c>
      <c r="B862"/>
      <c r="C862"/>
      <c r="D862"/>
      <c r="E862"/>
      <c r="F862" s="27" t="s">
        <v>7</v>
      </c>
      <c r="AM862" s="27" t="s">
        <v>8</v>
      </c>
      <c r="AN862" s="27" t="s">
        <v>7</v>
      </c>
      <c r="GS862" s="27" t="s">
        <v>8</v>
      </c>
      <c r="GT862" s="27" t="s">
        <v>7</v>
      </c>
      <c r="GV862" s="27" t="s">
        <v>7</v>
      </c>
      <c r="KI862" s="27" t="s">
        <v>8</v>
      </c>
      <c r="KJ862" s="27" t="s">
        <v>7</v>
      </c>
      <c r="KK862" s="27" t="s">
        <v>8</v>
      </c>
      <c r="KL862" s="27" t="s">
        <v>7</v>
      </c>
      <c r="KM862" s="27" t="s">
        <v>8</v>
      </c>
    </row>
    <row r="863" spans="1:387" x14ac:dyDescent="0.25">
      <c r="A863" s="7">
        <v>4.2301190853906746E-3</v>
      </c>
      <c r="B863"/>
      <c r="C863"/>
      <c r="D863"/>
      <c r="E863"/>
      <c r="F863" s="27" t="s">
        <v>7</v>
      </c>
      <c r="AM863" s="27" t="s">
        <v>8</v>
      </c>
      <c r="AN863" s="27" t="s">
        <v>7</v>
      </c>
      <c r="GS863" s="27" t="s">
        <v>8</v>
      </c>
      <c r="GV863" s="27" t="s">
        <v>7</v>
      </c>
      <c r="KI863" s="27" t="s">
        <v>8</v>
      </c>
      <c r="KJ863" s="27" t="s">
        <v>7</v>
      </c>
      <c r="KK863" s="27" t="s">
        <v>8</v>
      </c>
      <c r="KL863" s="27" t="s">
        <v>7</v>
      </c>
      <c r="KM863" s="27" t="s">
        <v>8</v>
      </c>
    </row>
    <row r="864" spans="1:387" x14ac:dyDescent="0.25">
      <c r="A864" s="7">
        <v>4.1471755739124266E-3</v>
      </c>
      <c r="B864"/>
      <c r="C864"/>
      <c r="D864"/>
      <c r="E864"/>
      <c r="F864" s="27" t="s">
        <v>7</v>
      </c>
      <c r="AM864" s="27" t="s">
        <v>8</v>
      </c>
      <c r="AN864" s="27" t="s">
        <v>7</v>
      </c>
      <c r="GS864" s="27" t="s">
        <v>8</v>
      </c>
      <c r="GV864" s="27" t="s">
        <v>7</v>
      </c>
      <c r="KI864" s="27" t="s">
        <v>8</v>
      </c>
      <c r="KJ864" s="27" t="s">
        <v>7</v>
      </c>
      <c r="KL864" s="27" t="s">
        <v>7</v>
      </c>
      <c r="KM864" s="27" t="s">
        <v>8</v>
      </c>
    </row>
    <row r="865" spans="1:299" x14ac:dyDescent="0.25">
      <c r="A865" s="7">
        <v>4.0658584057964966E-3</v>
      </c>
      <c r="B865"/>
      <c r="C865"/>
      <c r="D865"/>
      <c r="E865"/>
      <c r="F865" s="27" t="s">
        <v>7</v>
      </c>
      <c r="AM865" s="27" t="s">
        <v>8</v>
      </c>
      <c r="AN865" s="27" t="s">
        <v>7</v>
      </c>
      <c r="GS865" s="27" t="s">
        <v>8</v>
      </c>
      <c r="GV865" s="27" t="s">
        <v>7</v>
      </c>
      <c r="KI865" s="27" t="s">
        <v>8</v>
      </c>
      <c r="KL865" s="27" t="s">
        <v>7</v>
      </c>
      <c r="KM865" s="27" t="s">
        <v>8</v>
      </c>
    </row>
    <row r="866" spans="1:299" x14ac:dyDescent="0.25">
      <c r="A866" s="7">
        <v>3.9861356919573491E-3</v>
      </c>
      <c r="B866"/>
      <c r="C866"/>
      <c r="D866"/>
      <c r="E866"/>
      <c r="F866" s="27" t="s">
        <v>7</v>
      </c>
      <c r="AM866" s="27" t="s">
        <v>8</v>
      </c>
      <c r="AN866" s="27" t="s">
        <v>7</v>
      </c>
      <c r="GS866" s="27" t="s">
        <v>8</v>
      </c>
      <c r="GV866" s="27" t="s">
        <v>7</v>
      </c>
      <c r="KI866" s="27" t="s">
        <v>8</v>
      </c>
      <c r="KL866" s="27" t="s">
        <v>7</v>
      </c>
      <c r="KM866" s="27" t="s">
        <v>8</v>
      </c>
    </row>
    <row r="867" spans="1:299" x14ac:dyDescent="0.25">
      <c r="A867" s="7">
        <v>3.9079761685856364E-3</v>
      </c>
      <c r="B867"/>
      <c r="C867"/>
      <c r="D867"/>
      <c r="E867"/>
      <c r="F867" s="27" t="s">
        <v>7</v>
      </c>
      <c r="AM867" s="27" t="s">
        <v>8</v>
      </c>
      <c r="AN867" s="27" t="s">
        <v>7</v>
      </c>
      <c r="GS867" s="27" t="s">
        <v>8</v>
      </c>
      <c r="GV867" s="27" t="s">
        <v>7</v>
      </c>
      <c r="GW867" s="27" t="s">
        <v>8</v>
      </c>
      <c r="KI867" s="27" t="s">
        <v>8</v>
      </c>
      <c r="KL867" s="27" t="s">
        <v>7</v>
      </c>
    </row>
    <row r="868" spans="1:299" x14ac:dyDescent="0.25">
      <c r="A868" s="7">
        <v>3.8313491848878793E-3</v>
      </c>
      <c r="B868"/>
      <c r="C868"/>
      <c r="D868"/>
      <c r="E868"/>
      <c r="F868" s="27" t="s">
        <v>7</v>
      </c>
      <c r="AM868" s="27" t="s">
        <v>8</v>
      </c>
      <c r="AN868" s="27" t="s">
        <v>7</v>
      </c>
      <c r="GS868" s="27" t="s">
        <v>8</v>
      </c>
      <c r="GV868" s="27" t="s">
        <v>7</v>
      </c>
      <c r="GW868" s="27" t="s">
        <v>8</v>
      </c>
      <c r="GX868" s="27" t="s">
        <v>7</v>
      </c>
      <c r="KG868" s="27" t="s">
        <v>8</v>
      </c>
      <c r="KI868" s="27" t="s">
        <v>8</v>
      </c>
    </row>
    <row r="869" spans="1:299" x14ac:dyDescent="0.25">
      <c r="A869" s="7">
        <v>3.7562246910665485E-3</v>
      </c>
      <c r="B869"/>
      <c r="C869"/>
      <c r="D869"/>
      <c r="E869"/>
      <c r="F869" s="27" t="s">
        <v>7</v>
      </c>
      <c r="AG869" s="27" t="s">
        <v>8</v>
      </c>
      <c r="AM869" s="27" t="s">
        <v>8</v>
      </c>
      <c r="AN869" s="27" t="s">
        <v>7</v>
      </c>
      <c r="GS869" s="27" t="s">
        <v>8</v>
      </c>
      <c r="GV869" s="27" t="s">
        <v>7</v>
      </c>
      <c r="GW869" s="27" t="s">
        <v>8</v>
      </c>
      <c r="GX869" s="27" t="s">
        <v>7</v>
      </c>
      <c r="KG869" s="27" t="s">
        <v>8</v>
      </c>
      <c r="KH869" s="27" t="s">
        <v>7</v>
      </c>
      <c r="KI869" s="27" t="s">
        <v>8</v>
      </c>
    </row>
    <row r="870" spans="1:299" x14ac:dyDescent="0.25">
      <c r="A870" s="7">
        <v>3.6825732265358315E-3</v>
      </c>
      <c r="B870"/>
      <c r="C870"/>
      <c r="D870"/>
      <c r="E870"/>
      <c r="F870" s="27" t="s">
        <v>7</v>
      </c>
      <c r="AG870" s="27" t="s">
        <v>8</v>
      </c>
      <c r="AH870" s="27" t="s">
        <v>7</v>
      </c>
      <c r="AM870" s="27" t="s">
        <v>8</v>
      </c>
      <c r="AN870" s="27" t="s">
        <v>7</v>
      </c>
      <c r="GS870" s="27" t="s">
        <v>8</v>
      </c>
      <c r="GV870" s="27" t="s">
        <v>7</v>
      </c>
      <c r="GW870" s="27" t="s">
        <v>8</v>
      </c>
      <c r="GX870" s="27" t="s">
        <v>7</v>
      </c>
      <c r="HC870" s="27" t="s">
        <v>8</v>
      </c>
      <c r="HW870" s="27" t="s">
        <v>8</v>
      </c>
      <c r="KG870" s="27" t="s">
        <v>8</v>
      </c>
      <c r="KH870" s="27" t="s">
        <v>7</v>
      </c>
      <c r="KI870" s="27" t="s">
        <v>8</v>
      </c>
    </row>
    <row r="871" spans="1:299" x14ac:dyDescent="0.25">
      <c r="A871" s="7">
        <v>3.6103659083684624E-3</v>
      </c>
      <c r="B871"/>
      <c r="C871"/>
      <c r="D871"/>
      <c r="E871"/>
      <c r="F871" s="27" t="s">
        <v>7</v>
      </c>
      <c r="AG871" s="27" t="s">
        <v>8</v>
      </c>
      <c r="AH871" s="27" t="s">
        <v>7</v>
      </c>
      <c r="AM871" s="27" t="s">
        <v>8</v>
      </c>
      <c r="AN871" s="27" t="s">
        <v>7</v>
      </c>
      <c r="GS871" s="27" t="s">
        <v>8</v>
      </c>
      <c r="GV871" s="27" t="s">
        <v>7</v>
      </c>
      <c r="GW871" s="27" t="s">
        <v>8</v>
      </c>
      <c r="GX871" s="27" t="s">
        <v>7</v>
      </c>
      <c r="HC871" s="27" t="s">
        <v>8</v>
      </c>
      <c r="HD871" s="27" t="s">
        <v>7</v>
      </c>
      <c r="HW871" s="27" t="s">
        <v>8</v>
      </c>
      <c r="HX871" s="27" t="s">
        <v>7</v>
      </c>
      <c r="KG871" s="27" t="s">
        <v>8</v>
      </c>
      <c r="KH871" s="27" t="s">
        <v>7</v>
      </c>
      <c r="KI871" s="27" t="s">
        <v>8</v>
      </c>
    </row>
    <row r="872" spans="1:299" x14ac:dyDescent="0.25">
      <c r="A872" s="7">
        <v>3.539574419969081E-3</v>
      </c>
      <c r="B872"/>
      <c r="C872"/>
      <c r="D872"/>
      <c r="E872"/>
      <c r="F872" s="27" t="s">
        <v>7</v>
      </c>
      <c r="AG872" s="27" t="s">
        <v>8</v>
      </c>
      <c r="AH872" s="27" t="s">
        <v>7</v>
      </c>
      <c r="AM872" s="27" t="s">
        <v>8</v>
      </c>
      <c r="AN872" s="27" t="s">
        <v>7</v>
      </c>
      <c r="GS872" s="27" t="s">
        <v>8</v>
      </c>
      <c r="GV872" s="27" t="s">
        <v>7</v>
      </c>
      <c r="GW872" s="27" t="s">
        <v>8</v>
      </c>
      <c r="GX872" s="27" t="s">
        <v>7</v>
      </c>
      <c r="HC872" s="27" t="s">
        <v>8</v>
      </c>
      <c r="HD872" s="27" t="s">
        <v>7</v>
      </c>
      <c r="HE872" s="27" t="s">
        <v>8</v>
      </c>
      <c r="HW872" s="27" t="s">
        <v>8</v>
      </c>
      <c r="HX872" s="27" t="s">
        <v>7</v>
      </c>
      <c r="KG872" s="27" t="s">
        <v>8</v>
      </c>
      <c r="KH872" s="27" t="s">
        <v>7</v>
      </c>
      <c r="KI872" s="27" t="s">
        <v>8</v>
      </c>
    </row>
    <row r="873" spans="1:299" x14ac:dyDescent="0.25">
      <c r="A873" s="7">
        <v>3.4701709999696872E-3</v>
      </c>
      <c r="B873"/>
      <c r="C873"/>
      <c r="D873"/>
      <c r="E873"/>
      <c r="F873" s="27" t="s">
        <v>7</v>
      </c>
      <c r="AG873" s="27" t="s">
        <v>8</v>
      </c>
      <c r="AH873" s="27" t="s">
        <v>7</v>
      </c>
      <c r="AM873" s="27" t="s">
        <v>8</v>
      </c>
      <c r="AN873" s="27" t="s">
        <v>7</v>
      </c>
      <c r="GS873" s="27" t="s">
        <v>8</v>
      </c>
      <c r="GV873" s="27" t="s">
        <v>7</v>
      </c>
      <c r="GW873" s="27" t="s">
        <v>8</v>
      </c>
      <c r="GX873" s="27" t="s">
        <v>7</v>
      </c>
      <c r="HC873" s="27" t="s">
        <v>8</v>
      </c>
      <c r="HD873" s="27" t="s">
        <v>7</v>
      </c>
      <c r="HE873" s="27" t="s">
        <v>8</v>
      </c>
      <c r="HF873" s="27" t="s">
        <v>7</v>
      </c>
      <c r="HW873" s="27" t="s">
        <v>8</v>
      </c>
      <c r="HX873" s="27" t="s">
        <v>7</v>
      </c>
      <c r="KG873" s="27" t="s">
        <v>8</v>
      </c>
      <c r="KH873" s="27" t="s">
        <v>7</v>
      </c>
      <c r="KI873" s="27" t="s">
        <v>8</v>
      </c>
    </row>
    <row r="874" spans="1:299" x14ac:dyDescent="0.25">
      <c r="A874" s="7">
        <v>3.4021284313428307E-3</v>
      </c>
      <c r="B874"/>
      <c r="C874"/>
      <c r="D874"/>
      <c r="E874"/>
      <c r="F874" s="27" t="s">
        <v>7</v>
      </c>
      <c r="AG874" s="27" t="s">
        <v>8</v>
      </c>
      <c r="AH874" s="27" t="s">
        <v>7</v>
      </c>
      <c r="AM874" s="27" t="s">
        <v>8</v>
      </c>
      <c r="AN874" s="27" t="s">
        <v>7</v>
      </c>
      <c r="GS874" s="27" t="s">
        <v>8</v>
      </c>
      <c r="GV874" s="27" t="s">
        <v>7</v>
      </c>
      <c r="GW874" s="27" t="s">
        <v>8</v>
      </c>
      <c r="GX874" s="27" t="s">
        <v>7</v>
      </c>
      <c r="HC874" s="27" t="s">
        <v>8</v>
      </c>
      <c r="HD874" s="27" t="s">
        <v>7</v>
      </c>
      <c r="HE874" s="27" t="s">
        <v>8</v>
      </c>
      <c r="HF874" s="27" t="s">
        <v>7</v>
      </c>
      <c r="HW874" s="27" t="s">
        <v>8</v>
      </c>
      <c r="HX874" s="27" t="s">
        <v>7</v>
      </c>
      <c r="KG874" s="27" t="s">
        <v>8</v>
      </c>
      <c r="KH874" s="27" t="s">
        <v>7</v>
      </c>
      <c r="KI874" s="27" t="s">
        <v>8</v>
      </c>
    </row>
    <row r="875" spans="1:299" x14ac:dyDescent="0.25">
      <c r="A875" s="7">
        <v>3.3354200307282654E-3</v>
      </c>
      <c r="B875"/>
      <c r="C875"/>
      <c r="D875"/>
      <c r="E875"/>
      <c r="F875" s="27" t="s">
        <v>7</v>
      </c>
      <c r="AG875" s="27" t="s">
        <v>8</v>
      </c>
      <c r="AH875" s="27" t="s">
        <v>7</v>
      </c>
      <c r="AM875" s="27" t="s">
        <v>8</v>
      </c>
      <c r="AN875" s="27" t="s">
        <v>7</v>
      </c>
      <c r="GS875" s="27" t="s">
        <v>8</v>
      </c>
      <c r="GV875" s="27" t="s">
        <v>7</v>
      </c>
      <c r="GW875" s="27" t="s">
        <v>8</v>
      </c>
      <c r="GX875" s="27" t="s">
        <v>7</v>
      </c>
      <c r="HC875" s="27" t="s">
        <v>8</v>
      </c>
      <c r="HD875" s="27" t="s">
        <v>7</v>
      </c>
      <c r="HE875" s="27" t="s">
        <v>8</v>
      </c>
      <c r="HF875" s="27" t="s">
        <v>7</v>
      </c>
      <c r="HW875" s="27" t="s">
        <v>8</v>
      </c>
      <c r="HX875" s="27" t="s">
        <v>7</v>
      </c>
      <c r="KG875" s="27" t="s">
        <v>8</v>
      </c>
      <c r="KH875" s="27" t="s">
        <v>7</v>
      </c>
      <c r="KI875" s="27" t="s">
        <v>8</v>
      </c>
    </row>
    <row r="876" spans="1:299" x14ac:dyDescent="0.25">
      <c r="A876" s="7">
        <v>3.2700196379688881E-3</v>
      </c>
      <c r="B876"/>
      <c r="C876"/>
      <c r="D876"/>
      <c r="E876"/>
      <c r="F876" s="27" t="s">
        <v>7</v>
      </c>
      <c r="AG876" s="27" t="s">
        <v>8</v>
      </c>
      <c r="AH876" s="27" t="s">
        <v>7</v>
      </c>
      <c r="AM876" s="27" t="s">
        <v>8</v>
      </c>
      <c r="AN876" s="27" t="s">
        <v>7</v>
      </c>
      <c r="GS876" s="27" t="s">
        <v>8</v>
      </c>
      <c r="GV876" s="27" t="s">
        <v>7</v>
      </c>
      <c r="GW876" s="27" t="s">
        <v>8</v>
      </c>
      <c r="GX876" s="27" t="s">
        <v>7</v>
      </c>
      <c r="GY876" s="27" t="s">
        <v>8</v>
      </c>
      <c r="HC876" s="27" t="s">
        <v>8</v>
      </c>
      <c r="HD876" s="27" t="s">
        <v>7</v>
      </c>
      <c r="HE876" s="27" t="s">
        <v>8</v>
      </c>
      <c r="HF876" s="27" t="s">
        <v>7</v>
      </c>
      <c r="HW876" s="27" t="s">
        <v>8</v>
      </c>
      <c r="HX876" s="27" t="s">
        <v>7</v>
      </c>
      <c r="IQ876" s="27" t="s">
        <v>8</v>
      </c>
      <c r="JS876" s="27" t="s">
        <v>8</v>
      </c>
      <c r="KG876" s="27" t="s">
        <v>8</v>
      </c>
      <c r="KH876" s="27" t="s">
        <v>7</v>
      </c>
      <c r="KI876" s="27" t="s">
        <v>8</v>
      </c>
    </row>
    <row r="877" spans="1:299" x14ac:dyDescent="0.25">
      <c r="A877" s="7">
        <v>3.205901605851851E-3</v>
      </c>
      <c r="B877"/>
      <c r="C877"/>
      <c r="D877"/>
      <c r="E877"/>
      <c r="F877" s="27" t="s">
        <v>7</v>
      </c>
      <c r="AG877" s="27" t="s">
        <v>8</v>
      </c>
      <c r="AH877" s="27" t="s">
        <v>7</v>
      </c>
      <c r="AM877" s="27" t="s">
        <v>8</v>
      </c>
      <c r="AN877" s="27" t="s">
        <v>7</v>
      </c>
      <c r="GS877" s="27" t="s">
        <v>8</v>
      </c>
      <c r="GV877" s="27" t="s">
        <v>7</v>
      </c>
      <c r="GW877" s="27" t="s">
        <v>8</v>
      </c>
      <c r="GX877" s="27" t="s">
        <v>7</v>
      </c>
      <c r="GY877" s="27" t="s">
        <v>8</v>
      </c>
      <c r="GZ877" s="27" t="s">
        <v>7</v>
      </c>
      <c r="HC877" s="27" t="s">
        <v>8</v>
      </c>
      <c r="HD877" s="27" t="s">
        <v>7</v>
      </c>
      <c r="HE877" s="27" t="s">
        <v>8</v>
      </c>
      <c r="HF877" s="27" t="s">
        <v>7</v>
      </c>
      <c r="HW877" s="27" t="s">
        <v>8</v>
      </c>
      <c r="HX877" s="27" t="s">
        <v>7</v>
      </c>
      <c r="IQ877" s="27" t="s">
        <v>8</v>
      </c>
      <c r="IR877" s="27" t="s">
        <v>7</v>
      </c>
      <c r="IS877" s="27" t="s">
        <v>8</v>
      </c>
      <c r="JS877" s="27" t="s">
        <v>8</v>
      </c>
      <c r="JT877" s="27" t="s">
        <v>7</v>
      </c>
      <c r="KG877" s="27" t="s">
        <v>8</v>
      </c>
      <c r="KH877" s="27" t="s">
        <v>7</v>
      </c>
      <c r="KI877" s="27" t="s">
        <v>8</v>
      </c>
    </row>
    <row r="878" spans="1:299" x14ac:dyDescent="0.25">
      <c r="A878" s="7">
        <v>3.1430407900508344E-3</v>
      </c>
      <c r="B878"/>
      <c r="C878"/>
      <c r="D878"/>
      <c r="E878"/>
      <c r="F878" s="27" t="s">
        <v>7</v>
      </c>
      <c r="AG878" s="27" t="s">
        <v>8</v>
      </c>
      <c r="AH878" s="27" t="s">
        <v>7</v>
      </c>
      <c r="AM878" s="27" t="s">
        <v>8</v>
      </c>
      <c r="AN878" s="27" t="s">
        <v>7</v>
      </c>
      <c r="GS878" s="27" t="s">
        <v>8</v>
      </c>
      <c r="GV878" s="27" t="s">
        <v>7</v>
      </c>
      <c r="GW878" s="27" t="s">
        <v>8</v>
      </c>
      <c r="GX878" s="27" t="s">
        <v>7</v>
      </c>
      <c r="GY878" s="27" t="s">
        <v>8</v>
      </c>
      <c r="GZ878" s="27" t="s">
        <v>7</v>
      </c>
      <c r="HC878" s="27" t="s">
        <v>8</v>
      </c>
      <c r="HD878" s="27" t="s">
        <v>7</v>
      </c>
      <c r="HE878" s="27" t="s">
        <v>8</v>
      </c>
      <c r="HF878" s="27" t="s">
        <v>7</v>
      </c>
      <c r="HW878" s="27" t="s">
        <v>8</v>
      </c>
      <c r="HX878" s="27" t="s">
        <v>7</v>
      </c>
      <c r="IQ878" s="27" t="s">
        <v>8</v>
      </c>
      <c r="IR878" s="27" t="s">
        <v>7</v>
      </c>
      <c r="IS878" s="27" t="s">
        <v>8</v>
      </c>
      <c r="IT878" s="27" t="s">
        <v>7</v>
      </c>
      <c r="JS878" s="27" t="s">
        <v>8</v>
      </c>
      <c r="JT878" s="27" t="s">
        <v>7</v>
      </c>
      <c r="KG878" s="27" t="s">
        <v>8</v>
      </c>
      <c r="KH878" s="27" t="s">
        <v>7</v>
      </c>
      <c r="KI878" s="27" t="s">
        <v>8</v>
      </c>
    </row>
    <row r="879" spans="1:299" x14ac:dyDescent="0.25">
      <c r="A879" s="7">
        <v>3.0814125392655241E-3</v>
      </c>
      <c r="B879"/>
      <c r="C879"/>
      <c r="D879"/>
      <c r="E879"/>
      <c r="F879" s="27" t="s">
        <v>7</v>
      </c>
      <c r="AG879" s="27" t="s">
        <v>8</v>
      </c>
      <c r="AH879" s="27" t="s">
        <v>7</v>
      </c>
      <c r="AM879" s="27" t="s">
        <v>8</v>
      </c>
      <c r="AN879" s="27" t="s">
        <v>7</v>
      </c>
      <c r="GS879" s="27" t="s">
        <v>8</v>
      </c>
      <c r="GV879" s="27" t="s">
        <v>7</v>
      </c>
      <c r="GW879" s="27" t="s">
        <v>8</v>
      </c>
      <c r="GX879" s="27" t="s">
        <v>7</v>
      </c>
      <c r="GY879" s="27" t="s">
        <v>8</v>
      </c>
      <c r="GZ879" s="27" t="s">
        <v>7</v>
      </c>
      <c r="HA879" s="27" t="s">
        <v>8</v>
      </c>
      <c r="HC879" s="27" t="s">
        <v>8</v>
      </c>
      <c r="HD879" s="27" t="s">
        <v>7</v>
      </c>
      <c r="HE879" s="27" t="s">
        <v>8</v>
      </c>
      <c r="HF879" s="27" t="s">
        <v>7</v>
      </c>
      <c r="HW879" s="27" t="s">
        <v>8</v>
      </c>
      <c r="HX879" s="27" t="s">
        <v>7</v>
      </c>
      <c r="HY879" s="27" t="s">
        <v>8</v>
      </c>
      <c r="IQ879" s="27" t="s">
        <v>8</v>
      </c>
      <c r="IR879" s="27" t="s">
        <v>7</v>
      </c>
      <c r="IS879" s="27" t="s">
        <v>8</v>
      </c>
      <c r="IT879" s="27" t="s">
        <v>7</v>
      </c>
      <c r="JS879" s="27" t="s">
        <v>8</v>
      </c>
      <c r="JT879" s="27" t="s">
        <v>7</v>
      </c>
      <c r="KA879" s="27" t="s">
        <v>8</v>
      </c>
      <c r="KG879" s="27" t="s">
        <v>8</v>
      </c>
      <c r="KH879" s="27" t="s">
        <v>7</v>
      </c>
      <c r="KI879" s="27" t="s">
        <v>8</v>
      </c>
    </row>
    <row r="880" spans="1:299" x14ac:dyDescent="0.25">
      <c r="A880" s="7">
        <v>3.0209926855544354E-3</v>
      </c>
      <c r="B880"/>
      <c r="C880"/>
      <c r="D880"/>
      <c r="E880"/>
      <c r="F880" s="27" t="s">
        <v>7</v>
      </c>
      <c r="AG880" s="27" t="s">
        <v>8</v>
      </c>
      <c r="AH880" s="27" t="s">
        <v>7</v>
      </c>
      <c r="AM880" s="27" t="s">
        <v>8</v>
      </c>
      <c r="AN880" s="27" t="s">
        <v>7</v>
      </c>
      <c r="GS880" s="27" t="s">
        <v>8</v>
      </c>
      <c r="GV880" s="27" t="s">
        <v>7</v>
      </c>
      <c r="GW880" s="27" t="s">
        <v>8</v>
      </c>
      <c r="GX880" s="27" t="s">
        <v>7</v>
      </c>
      <c r="GY880" s="27" t="s">
        <v>8</v>
      </c>
      <c r="GZ880" s="27" t="s">
        <v>7</v>
      </c>
      <c r="HA880" s="27" t="s">
        <v>8</v>
      </c>
      <c r="HB880" s="27" t="s">
        <v>7</v>
      </c>
      <c r="HC880" s="27" t="s">
        <v>8</v>
      </c>
      <c r="HD880" s="27" t="s">
        <v>7</v>
      </c>
      <c r="HE880" s="27" t="s">
        <v>8</v>
      </c>
      <c r="HF880" s="27" t="s">
        <v>7</v>
      </c>
      <c r="HW880" s="27" t="s">
        <v>8</v>
      </c>
      <c r="HX880" s="27" t="s">
        <v>7</v>
      </c>
      <c r="HY880" s="27" t="s">
        <v>8</v>
      </c>
      <c r="HZ880" s="27" t="s">
        <v>7</v>
      </c>
      <c r="IQ880" s="27" t="s">
        <v>8</v>
      </c>
      <c r="IR880" s="27" t="s">
        <v>7</v>
      </c>
      <c r="IS880" s="27" t="s">
        <v>8</v>
      </c>
      <c r="IT880" s="27" t="s">
        <v>7</v>
      </c>
      <c r="JS880" s="27" t="s">
        <v>8</v>
      </c>
      <c r="JT880" s="27" t="s">
        <v>7</v>
      </c>
      <c r="KA880" s="27" t="s">
        <v>8</v>
      </c>
      <c r="KB880" s="27" t="s">
        <v>7</v>
      </c>
      <c r="KG880" s="27" t="s">
        <v>8</v>
      </c>
      <c r="KH880" s="27" t="s">
        <v>7</v>
      </c>
      <c r="KI880" s="27" t="s">
        <v>8</v>
      </c>
    </row>
    <row r="881" spans="1:295" x14ac:dyDescent="0.25">
      <c r="A881" s="7">
        <v>2.9617575348572897E-3</v>
      </c>
      <c r="B881"/>
      <c r="C881"/>
      <c r="D881"/>
      <c r="E881"/>
      <c r="F881" s="27" t="s">
        <v>7</v>
      </c>
      <c r="AG881" s="27" t="s">
        <v>8</v>
      </c>
      <c r="AH881" s="27" t="s">
        <v>7</v>
      </c>
      <c r="AM881" s="27" t="s">
        <v>8</v>
      </c>
      <c r="AN881" s="27" t="s">
        <v>7</v>
      </c>
      <c r="GS881" s="27" t="s">
        <v>8</v>
      </c>
      <c r="GV881" s="27" t="s">
        <v>7</v>
      </c>
      <c r="GW881" s="27" t="s">
        <v>8</v>
      </c>
      <c r="GX881" s="27" t="s">
        <v>7</v>
      </c>
      <c r="GY881" s="27" t="s">
        <v>8</v>
      </c>
      <c r="GZ881" s="27" t="s">
        <v>7</v>
      </c>
      <c r="HA881" s="27" t="s">
        <v>8</v>
      </c>
      <c r="HB881" s="27" t="s">
        <v>7</v>
      </c>
      <c r="HC881" s="27" t="s">
        <v>8</v>
      </c>
      <c r="HD881" s="27" t="s">
        <v>7</v>
      </c>
      <c r="HE881" s="27" t="s">
        <v>8</v>
      </c>
      <c r="HF881" s="27" t="s">
        <v>7</v>
      </c>
      <c r="HW881" s="27" t="s">
        <v>8</v>
      </c>
      <c r="HX881" s="27" t="s">
        <v>7</v>
      </c>
      <c r="HY881" s="27" t="s">
        <v>8</v>
      </c>
      <c r="HZ881" s="27" t="s">
        <v>7</v>
      </c>
      <c r="IQ881" s="27" t="s">
        <v>8</v>
      </c>
      <c r="IR881" s="27" t="s">
        <v>7</v>
      </c>
      <c r="IS881" s="27" t="s">
        <v>8</v>
      </c>
      <c r="IT881" s="27" t="s">
        <v>7</v>
      </c>
      <c r="JS881" s="27" t="s">
        <v>8</v>
      </c>
      <c r="JT881" s="27" t="s">
        <v>7</v>
      </c>
      <c r="KA881" s="27" t="s">
        <v>8</v>
      </c>
      <c r="KB881" s="27" t="s">
        <v>7</v>
      </c>
      <c r="KG881" s="27" t="s">
        <v>8</v>
      </c>
      <c r="KH881" s="27" t="s">
        <v>7</v>
      </c>
      <c r="KI881" s="27" t="s">
        <v>8</v>
      </c>
    </row>
    <row r="882" spans="1:295" x14ac:dyDescent="0.25">
      <c r="A882" s="7">
        <v>2.9036838577032251E-3</v>
      </c>
      <c r="B882"/>
      <c r="C882"/>
      <c r="D882"/>
      <c r="E882"/>
      <c r="F882" s="27" t="s">
        <v>7</v>
      </c>
      <c r="AG882" s="27" t="s">
        <v>8</v>
      </c>
      <c r="AH882" s="27" t="s">
        <v>7</v>
      </c>
      <c r="AM882" s="27" t="s">
        <v>8</v>
      </c>
      <c r="AN882" s="27" t="s">
        <v>7</v>
      </c>
      <c r="GS882" s="27" t="s">
        <v>8</v>
      </c>
      <c r="GV882" s="27" t="s">
        <v>7</v>
      </c>
      <c r="GW882" s="27" t="s">
        <v>8</v>
      </c>
      <c r="GX882" s="27" t="s">
        <v>7</v>
      </c>
      <c r="GY882" s="27" t="s">
        <v>8</v>
      </c>
      <c r="GZ882" s="27" t="s">
        <v>7</v>
      </c>
      <c r="HA882" s="27" t="s">
        <v>8</v>
      </c>
      <c r="HB882" s="27" t="s">
        <v>7</v>
      </c>
      <c r="HC882" s="27" t="s">
        <v>8</v>
      </c>
      <c r="HD882" s="27" t="s">
        <v>7</v>
      </c>
      <c r="HE882" s="27" t="s">
        <v>8</v>
      </c>
      <c r="HF882" s="27" t="s">
        <v>7</v>
      </c>
      <c r="HW882" s="27" t="s">
        <v>8</v>
      </c>
      <c r="HX882" s="27" t="s">
        <v>7</v>
      </c>
      <c r="HY882" s="27" t="s">
        <v>8</v>
      </c>
      <c r="HZ882" s="27" t="s">
        <v>7</v>
      </c>
      <c r="IQ882" s="27" t="s">
        <v>8</v>
      </c>
      <c r="IR882" s="27" t="s">
        <v>7</v>
      </c>
      <c r="IS882" s="27" t="s">
        <v>8</v>
      </c>
      <c r="IT882" s="27" t="s">
        <v>7</v>
      </c>
      <c r="JS882" s="27" t="s">
        <v>8</v>
      </c>
      <c r="JT882" s="27" t="s">
        <v>7</v>
      </c>
      <c r="KA882" s="27" t="s">
        <v>8</v>
      </c>
      <c r="KB882" s="27" t="s">
        <v>7</v>
      </c>
      <c r="KE882" s="27" t="s">
        <v>8</v>
      </c>
      <c r="KG882" s="27" t="s">
        <v>8</v>
      </c>
      <c r="KH882" s="27" t="s">
        <v>7</v>
      </c>
      <c r="KI882" s="27" t="s">
        <v>8</v>
      </c>
    </row>
    <row r="883" spans="1:295" x14ac:dyDescent="0.25">
      <c r="A883" s="7">
        <v>2.8467488801012012E-3</v>
      </c>
      <c r="B883"/>
      <c r="C883"/>
      <c r="D883"/>
      <c r="E883"/>
      <c r="F883" s="27" t="s">
        <v>7</v>
      </c>
      <c r="AG883" s="27" t="s">
        <v>8</v>
      </c>
      <c r="AH883" s="27" t="s">
        <v>7</v>
      </c>
      <c r="AM883" s="27" t="s">
        <v>8</v>
      </c>
      <c r="AN883" s="27" t="s">
        <v>7</v>
      </c>
      <c r="GS883" s="27" t="s">
        <v>8</v>
      </c>
      <c r="GV883" s="27" t="s">
        <v>7</v>
      </c>
      <c r="GW883" s="27" t="s">
        <v>8</v>
      </c>
      <c r="GX883" s="27" t="s">
        <v>7</v>
      </c>
      <c r="GY883" s="27" t="s">
        <v>8</v>
      </c>
      <c r="GZ883" s="27" t="s">
        <v>7</v>
      </c>
      <c r="HB883" s="27" t="s">
        <v>7</v>
      </c>
      <c r="HC883" s="27" t="s">
        <v>8</v>
      </c>
      <c r="HD883" s="27" t="s">
        <v>7</v>
      </c>
      <c r="HE883" s="27" t="s">
        <v>8</v>
      </c>
      <c r="HF883" s="27" t="s">
        <v>7</v>
      </c>
      <c r="HW883" s="27" t="s">
        <v>8</v>
      </c>
      <c r="HX883" s="27" t="s">
        <v>7</v>
      </c>
      <c r="HY883" s="27" t="s">
        <v>8</v>
      </c>
      <c r="HZ883" s="27" t="s">
        <v>7</v>
      </c>
      <c r="IQ883" s="27" t="s">
        <v>8</v>
      </c>
      <c r="IR883" s="27" t="s">
        <v>7</v>
      </c>
      <c r="IS883" s="27" t="s">
        <v>8</v>
      </c>
      <c r="IT883" s="27" t="s">
        <v>7</v>
      </c>
      <c r="JS883" s="27" t="s">
        <v>8</v>
      </c>
      <c r="JT883" s="27" t="s">
        <v>7</v>
      </c>
      <c r="KA883" s="27" t="s">
        <v>8</v>
      </c>
      <c r="KB883" s="27" t="s">
        <v>7</v>
      </c>
      <c r="KE883" s="27" t="s">
        <v>8</v>
      </c>
      <c r="KF883" s="27" t="s">
        <v>7</v>
      </c>
      <c r="KG883" s="27" t="s">
        <v>8</v>
      </c>
      <c r="KH883" s="27" t="s">
        <v>7</v>
      </c>
      <c r="KI883" s="27" t="s">
        <v>8</v>
      </c>
    </row>
    <row r="884" spans="1:295" x14ac:dyDescent="0.25">
      <c r="A884" s="7">
        <v>2.7909302746090209E-3</v>
      </c>
      <c r="B884"/>
      <c r="C884"/>
      <c r="D884"/>
      <c r="E884"/>
      <c r="F884" s="27" t="s">
        <v>7</v>
      </c>
      <c r="AG884" s="27" t="s">
        <v>8</v>
      </c>
      <c r="AH884" s="27" t="s">
        <v>7</v>
      </c>
      <c r="AM884" s="27" t="s">
        <v>8</v>
      </c>
      <c r="AN884" s="27" t="s">
        <v>7</v>
      </c>
      <c r="GS884" s="27" t="s">
        <v>8</v>
      </c>
      <c r="GV884" s="27" t="s">
        <v>7</v>
      </c>
      <c r="GW884" s="27" t="s">
        <v>8</v>
      </c>
      <c r="GX884" s="27" t="s">
        <v>7</v>
      </c>
      <c r="GY884" s="27" t="s">
        <v>8</v>
      </c>
      <c r="HB884" s="27" t="s">
        <v>7</v>
      </c>
      <c r="HC884" s="27" t="s">
        <v>8</v>
      </c>
      <c r="HD884" s="27" t="s">
        <v>7</v>
      </c>
      <c r="HE884" s="27" t="s">
        <v>8</v>
      </c>
      <c r="HF884" s="27" t="s">
        <v>7</v>
      </c>
      <c r="HW884" s="27" t="s">
        <v>8</v>
      </c>
      <c r="HX884" s="27" t="s">
        <v>7</v>
      </c>
      <c r="HY884" s="27" t="s">
        <v>8</v>
      </c>
      <c r="HZ884" s="27" t="s">
        <v>7</v>
      </c>
      <c r="IQ884" s="27" t="s">
        <v>8</v>
      </c>
      <c r="IR884" s="27" t="s">
        <v>7</v>
      </c>
      <c r="IS884" s="27" t="s">
        <v>8</v>
      </c>
      <c r="IT884" s="27" t="s">
        <v>7</v>
      </c>
      <c r="IY884" s="27" t="s">
        <v>8</v>
      </c>
      <c r="JS884" s="27" t="s">
        <v>8</v>
      </c>
      <c r="JT884" s="27" t="s">
        <v>7</v>
      </c>
      <c r="KA884" s="27" t="s">
        <v>8</v>
      </c>
      <c r="KB884" s="27" t="s">
        <v>7</v>
      </c>
      <c r="KC884" s="27" t="s">
        <v>8</v>
      </c>
      <c r="KE884" s="27" t="s">
        <v>8</v>
      </c>
      <c r="KF884" s="27" t="s">
        <v>7</v>
      </c>
      <c r="KG884" s="27" t="s">
        <v>8</v>
      </c>
      <c r="KH884" s="27" t="s">
        <v>7</v>
      </c>
    </row>
    <row r="885" spans="1:295" x14ac:dyDescent="0.25">
      <c r="A885" s="7">
        <v>2.7362061515774716E-3</v>
      </c>
      <c r="B885"/>
      <c r="C885"/>
      <c r="D885"/>
      <c r="E885"/>
      <c r="F885" s="27" t="s">
        <v>7</v>
      </c>
      <c r="AG885" s="27" t="s">
        <v>8</v>
      </c>
      <c r="AH885" s="27" t="s">
        <v>7</v>
      </c>
      <c r="AM885" s="27" t="s">
        <v>8</v>
      </c>
      <c r="AN885" s="27" t="s">
        <v>7</v>
      </c>
      <c r="GS885" s="27" t="s">
        <v>8</v>
      </c>
      <c r="GV885" s="27" t="s">
        <v>7</v>
      </c>
      <c r="GW885" s="27" t="s">
        <v>8</v>
      </c>
      <c r="GX885" s="27" t="s">
        <v>7</v>
      </c>
      <c r="GY885" s="27" t="s">
        <v>8</v>
      </c>
      <c r="HB885" s="27" t="s">
        <v>7</v>
      </c>
      <c r="HC885" s="27" t="s">
        <v>8</v>
      </c>
      <c r="HD885" s="27" t="s">
        <v>7</v>
      </c>
      <c r="HF885" s="27" t="s">
        <v>7</v>
      </c>
      <c r="HW885" s="27" t="s">
        <v>8</v>
      </c>
      <c r="HX885" s="27" t="s">
        <v>7</v>
      </c>
      <c r="HY885" s="27" t="s">
        <v>8</v>
      </c>
      <c r="HZ885" s="27" t="s">
        <v>7</v>
      </c>
      <c r="IK885" s="27" t="s">
        <v>8</v>
      </c>
      <c r="IO885" s="27" t="s">
        <v>8</v>
      </c>
      <c r="IQ885" s="27" t="s">
        <v>8</v>
      </c>
      <c r="IR885" s="27" t="s">
        <v>7</v>
      </c>
      <c r="IS885" s="27" t="s">
        <v>8</v>
      </c>
      <c r="IT885" s="27" t="s">
        <v>7</v>
      </c>
      <c r="IW885" s="27" t="s">
        <v>8</v>
      </c>
      <c r="IY885" s="27" t="s">
        <v>8</v>
      </c>
      <c r="IZ885" s="27" t="s">
        <v>7</v>
      </c>
      <c r="JE885" s="27" t="s">
        <v>8</v>
      </c>
      <c r="JS885" s="27" t="s">
        <v>8</v>
      </c>
      <c r="JT885" s="27" t="s">
        <v>7</v>
      </c>
      <c r="KA885" s="27" t="s">
        <v>8</v>
      </c>
      <c r="KB885" s="27" t="s">
        <v>7</v>
      </c>
      <c r="KC885" s="27" t="s">
        <v>8</v>
      </c>
      <c r="KD885" s="27" t="s">
        <v>7</v>
      </c>
      <c r="KE885" s="27" t="s">
        <v>8</v>
      </c>
      <c r="KF885" s="27" t="s">
        <v>7</v>
      </c>
      <c r="KG885" s="27" t="s">
        <v>8</v>
      </c>
    </row>
    <row r="886" spans="1:295" x14ac:dyDescent="0.25">
      <c r="A886" s="7">
        <v>2.6825550505661486E-3</v>
      </c>
      <c r="B886"/>
      <c r="C886"/>
      <c r="D886"/>
      <c r="E886"/>
      <c r="F886" s="27" t="s">
        <v>7</v>
      </c>
      <c r="AG886" s="27" t="s">
        <v>8</v>
      </c>
      <c r="AH886" s="27" t="s">
        <v>7</v>
      </c>
      <c r="AM886" s="27" t="s">
        <v>8</v>
      </c>
      <c r="AN886" s="27" t="s">
        <v>7</v>
      </c>
      <c r="GS886" s="27" t="s">
        <v>8</v>
      </c>
      <c r="GV886" s="27" t="s">
        <v>7</v>
      </c>
      <c r="GW886" s="27" t="s">
        <v>8</v>
      </c>
      <c r="GX886" s="27" t="s">
        <v>7</v>
      </c>
      <c r="GY886" s="27" t="s">
        <v>8</v>
      </c>
      <c r="HB886" s="27" t="s">
        <v>7</v>
      </c>
      <c r="HC886" s="27" t="s">
        <v>8</v>
      </c>
      <c r="HF886" s="27" t="s">
        <v>7</v>
      </c>
      <c r="HW886" s="27" t="s">
        <v>8</v>
      </c>
      <c r="HX886" s="27" t="s">
        <v>7</v>
      </c>
      <c r="HY886" s="27" t="s">
        <v>8</v>
      </c>
      <c r="HZ886" s="27" t="s">
        <v>7</v>
      </c>
      <c r="IA886" s="27" t="s">
        <v>8</v>
      </c>
      <c r="IK886" s="27" t="s">
        <v>8</v>
      </c>
      <c r="IL886" s="27" t="s">
        <v>7</v>
      </c>
      <c r="IO886" s="27" t="s">
        <v>8</v>
      </c>
      <c r="IP886" s="27" t="s">
        <v>7</v>
      </c>
      <c r="IQ886" s="27" t="s">
        <v>8</v>
      </c>
      <c r="IR886" s="27" t="s">
        <v>7</v>
      </c>
      <c r="IS886" s="27" t="s">
        <v>8</v>
      </c>
      <c r="IT886" s="27" t="s">
        <v>7</v>
      </c>
      <c r="IU886" s="27" t="s">
        <v>8</v>
      </c>
      <c r="IW886" s="27" t="s">
        <v>8</v>
      </c>
      <c r="IX886" s="27" t="s">
        <v>7</v>
      </c>
      <c r="IY886" s="27" t="s">
        <v>8</v>
      </c>
      <c r="IZ886" s="27" t="s">
        <v>7</v>
      </c>
      <c r="JE886" s="27" t="s">
        <v>8</v>
      </c>
      <c r="JF886" s="27" t="s">
        <v>7</v>
      </c>
      <c r="JS886" s="27" t="s">
        <v>8</v>
      </c>
      <c r="JT886" s="27" t="s">
        <v>7</v>
      </c>
      <c r="KA886" s="27" t="s">
        <v>8</v>
      </c>
      <c r="KB886" s="27" t="s">
        <v>7</v>
      </c>
      <c r="KC886" s="27" t="s">
        <v>8</v>
      </c>
      <c r="KD886" s="27" t="s">
        <v>7</v>
      </c>
      <c r="KE886" s="27" t="s">
        <v>8</v>
      </c>
      <c r="KF886" s="27" t="s">
        <v>7</v>
      </c>
      <c r="KG886" s="27" t="s">
        <v>8</v>
      </c>
    </row>
    <row r="887" spans="1:295" x14ac:dyDescent="0.25">
      <c r="A887" s="7">
        <v>2.6299559319275965E-3</v>
      </c>
      <c r="B887"/>
      <c r="C887"/>
      <c r="D887"/>
      <c r="E887"/>
      <c r="F887" s="27" t="s">
        <v>7</v>
      </c>
      <c r="AG887" s="27" t="s">
        <v>8</v>
      </c>
      <c r="AH887" s="27" t="s">
        <v>7</v>
      </c>
      <c r="AM887" s="27" t="s">
        <v>8</v>
      </c>
      <c r="AN887" s="27" t="s">
        <v>7</v>
      </c>
      <c r="BY887" s="27" t="s">
        <v>8</v>
      </c>
      <c r="GS887" s="27" t="s">
        <v>8</v>
      </c>
      <c r="GV887" s="27" t="s">
        <v>7</v>
      </c>
      <c r="GW887" s="27" t="s">
        <v>8</v>
      </c>
      <c r="GX887" s="27" t="s">
        <v>7</v>
      </c>
      <c r="HB887" s="27" t="s">
        <v>7</v>
      </c>
      <c r="HC887" s="27" t="s">
        <v>8</v>
      </c>
      <c r="HF887" s="27" t="s">
        <v>7</v>
      </c>
      <c r="HW887" s="27" t="s">
        <v>8</v>
      </c>
      <c r="HX887" s="27" t="s">
        <v>7</v>
      </c>
      <c r="HY887" s="27" t="s">
        <v>8</v>
      </c>
      <c r="HZ887" s="27" t="s">
        <v>7</v>
      </c>
      <c r="IA887" s="27" t="s">
        <v>8</v>
      </c>
      <c r="IB887" s="27" t="s">
        <v>7</v>
      </c>
      <c r="IK887" s="27" t="s">
        <v>8</v>
      </c>
      <c r="IL887" s="27" t="s">
        <v>7</v>
      </c>
      <c r="IO887" s="27" t="s">
        <v>8</v>
      </c>
      <c r="IP887" s="27" t="s">
        <v>7</v>
      </c>
      <c r="IQ887" s="27" t="s">
        <v>8</v>
      </c>
      <c r="IR887" s="27" t="s">
        <v>7</v>
      </c>
      <c r="IS887" s="27" t="s">
        <v>8</v>
      </c>
      <c r="IT887" s="27" t="s">
        <v>7</v>
      </c>
      <c r="IU887" s="27" t="s">
        <v>8</v>
      </c>
      <c r="IV887" s="27" t="s">
        <v>7</v>
      </c>
      <c r="IW887" s="27" t="s">
        <v>8</v>
      </c>
      <c r="IX887" s="27" t="s">
        <v>7</v>
      </c>
      <c r="IY887" s="27" t="s">
        <v>8</v>
      </c>
      <c r="IZ887" s="27" t="s">
        <v>7</v>
      </c>
      <c r="JE887" s="27" t="s">
        <v>8</v>
      </c>
      <c r="JF887" s="27" t="s">
        <v>7</v>
      </c>
      <c r="JS887" s="27" t="s">
        <v>8</v>
      </c>
      <c r="JT887" s="27" t="s">
        <v>7</v>
      </c>
      <c r="KA887" s="27" t="s">
        <v>8</v>
      </c>
      <c r="KB887" s="27" t="s">
        <v>7</v>
      </c>
      <c r="KC887" s="27" t="s">
        <v>8</v>
      </c>
      <c r="KD887" s="27" t="s">
        <v>7</v>
      </c>
      <c r="KE887" s="27" t="s">
        <v>8</v>
      </c>
      <c r="KF887" s="27" t="s">
        <v>7</v>
      </c>
      <c r="KG887" s="27" t="s">
        <v>8</v>
      </c>
    </row>
    <row r="888" spans="1:295" x14ac:dyDescent="0.25">
      <c r="A888" s="7">
        <v>2.578388168556467E-3</v>
      </c>
      <c r="B888"/>
      <c r="C888"/>
      <c r="D888"/>
      <c r="E888"/>
      <c r="F888" s="27" t="s">
        <v>7</v>
      </c>
      <c r="AG888" s="27" t="s">
        <v>8</v>
      </c>
      <c r="AH888" s="27" t="s">
        <v>7</v>
      </c>
      <c r="AM888" s="27" t="s">
        <v>8</v>
      </c>
      <c r="AN888" s="27" t="s">
        <v>7</v>
      </c>
      <c r="BY888" s="27" t="s">
        <v>8</v>
      </c>
      <c r="BZ888" s="27" t="s">
        <v>7</v>
      </c>
      <c r="GS888" s="27" t="s">
        <v>8</v>
      </c>
      <c r="GV888" s="27" t="s">
        <v>7</v>
      </c>
      <c r="GW888" s="27" t="s">
        <v>8</v>
      </c>
      <c r="HB888" s="27" t="s">
        <v>7</v>
      </c>
      <c r="HC888" s="27" t="s">
        <v>8</v>
      </c>
      <c r="HF888" s="27" t="s">
        <v>7</v>
      </c>
      <c r="HG888" s="27" t="s">
        <v>8</v>
      </c>
      <c r="HK888" s="27" t="s">
        <v>8</v>
      </c>
      <c r="HW888" s="27" t="s">
        <v>8</v>
      </c>
      <c r="HX888" s="27" t="s">
        <v>7</v>
      </c>
      <c r="HY888" s="27" t="s">
        <v>8</v>
      </c>
      <c r="HZ888" s="27" t="s">
        <v>7</v>
      </c>
      <c r="IA888" s="27" t="s">
        <v>8</v>
      </c>
      <c r="IB888" s="27" t="s">
        <v>7</v>
      </c>
      <c r="IK888" s="27" t="s">
        <v>8</v>
      </c>
      <c r="IL888" s="27" t="s">
        <v>7</v>
      </c>
      <c r="IO888" s="27" t="s">
        <v>8</v>
      </c>
      <c r="IP888" s="27" t="s">
        <v>7</v>
      </c>
      <c r="IQ888" s="27" t="s">
        <v>8</v>
      </c>
      <c r="IR888" s="27" t="s">
        <v>7</v>
      </c>
      <c r="IS888" s="27" t="s">
        <v>8</v>
      </c>
      <c r="IT888" s="27" t="s">
        <v>7</v>
      </c>
      <c r="IU888" s="27" t="s">
        <v>8</v>
      </c>
      <c r="IV888" s="27" t="s">
        <v>7</v>
      </c>
      <c r="IW888" s="27" t="s">
        <v>8</v>
      </c>
      <c r="IX888" s="27" t="s">
        <v>7</v>
      </c>
      <c r="IY888" s="27" t="s">
        <v>8</v>
      </c>
      <c r="IZ888" s="27" t="s">
        <v>7</v>
      </c>
      <c r="JE888" s="27" t="s">
        <v>8</v>
      </c>
      <c r="JF888" s="27" t="s">
        <v>7</v>
      </c>
      <c r="JS888" s="27" t="s">
        <v>8</v>
      </c>
      <c r="JT888" s="27" t="s">
        <v>7</v>
      </c>
      <c r="JY888" s="27" t="s">
        <v>8</v>
      </c>
      <c r="KA888" s="27" t="s">
        <v>8</v>
      </c>
      <c r="KB888" s="27" t="s">
        <v>7</v>
      </c>
      <c r="KC888" s="27" t="s">
        <v>8</v>
      </c>
      <c r="KD888" s="27" t="s">
        <v>7</v>
      </c>
      <c r="KE888" s="27" t="s">
        <v>8</v>
      </c>
      <c r="KF888" s="27" t="s">
        <v>7</v>
      </c>
      <c r="KG888" s="27" t="s">
        <v>8</v>
      </c>
    </row>
    <row r="889" spans="1:295" x14ac:dyDescent="0.25">
      <c r="A889" s="7">
        <v>2.5278315378004577E-3</v>
      </c>
      <c r="B889"/>
      <c r="C889"/>
      <c r="D889"/>
      <c r="E889"/>
      <c r="F889" s="27" t="s">
        <v>7</v>
      </c>
      <c r="AG889" s="27" t="s">
        <v>8</v>
      </c>
      <c r="AH889" s="27" t="s">
        <v>7</v>
      </c>
      <c r="AM889" s="27" t="s">
        <v>8</v>
      </c>
      <c r="AN889" s="27" t="s">
        <v>7</v>
      </c>
      <c r="AO889" s="27" t="s">
        <v>8</v>
      </c>
      <c r="BY889" s="27" t="s">
        <v>8</v>
      </c>
      <c r="BZ889" s="27" t="s">
        <v>7</v>
      </c>
      <c r="GS889" s="27" t="s">
        <v>8</v>
      </c>
      <c r="GV889" s="27" t="s">
        <v>7</v>
      </c>
      <c r="GW889" s="27" t="s">
        <v>8</v>
      </c>
      <c r="HB889" s="27" t="s">
        <v>7</v>
      </c>
      <c r="HF889" s="27" t="s">
        <v>7</v>
      </c>
      <c r="HG889" s="27" t="s">
        <v>8</v>
      </c>
      <c r="HH889" s="27" t="s">
        <v>7</v>
      </c>
      <c r="HI889" s="27" t="s">
        <v>8</v>
      </c>
      <c r="HK889" s="27" t="s">
        <v>8</v>
      </c>
      <c r="HL889" s="27" t="s">
        <v>7</v>
      </c>
      <c r="HW889" s="27" t="s">
        <v>8</v>
      </c>
      <c r="HX889" s="27" t="s">
        <v>7</v>
      </c>
      <c r="HY889" s="27" t="s">
        <v>8</v>
      </c>
      <c r="HZ889" s="27" t="s">
        <v>7</v>
      </c>
      <c r="IA889" s="27" t="s">
        <v>8</v>
      </c>
      <c r="IB889" s="27" t="s">
        <v>7</v>
      </c>
      <c r="II889" s="27" t="s">
        <v>8</v>
      </c>
      <c r="IK889" s="27" t="s">
        <v>8</v>
      </c>
      <c r="IL889" s="27" t="s">
        <v>7</v>
      </c>
      <c r="IM889" s="27" t="s">
        <v>8</v>
      </c>
      <c r="IO889" s="27" t="s">
        <v>8</v>
      </c>
      <c r="IP889" s="27" t="s">
        <v>7</v>
      </c>
      <c r="IQ889" s="27" t="s">
        <v>8</v>
      </c>
      <c r="IR889" s="27" t="s">
        <v>7</v>
      </c>
      <c r="IT889" s="27" t="s">
        <v>7</v>
      </c>
      <c r="IU889" s="27" t="s">
        <v>8</v>
      </c>
      <c r="IV889" s="27" t="s">
        <v>7</v>
      </c>
      <c r="IW889" s="27" t="s">
        <v>8</v>
      </c>
      <c r="IX889" s="27" t="s">
        <v>7</v>
      </c>
      <c r="IY889" s="27" t="s">
        <v>8</v>
      </c>
      <c r="IZ889" s="27" t="s">
        <v>7</v>
      </c>
      <c r="JE889" s="27" t="s">
        <v>8</v>
      </c>
      <c r="JF889" s="27" t="s">
        <v>7</v>
      </c>
      <c r="JS889" s="27" t="s">
        <v>8</v>
      </c>
      <c r="JT889" s="27" t="s">
        <v>7</v>
      </c>
      <c r="JY889" s="27" t="s">
        <v>8</v>
      </c>
      <c r="JZ889" s="27" t="s">
        <v>7</v>
      </c>
      <c r="KA889" s="27" t="s">
        <v>8</v>
      </c>
      <c r="KB889" s="27" t="s">
        <v>7</v>
      </c>
      <c r="KC889" s="27" t="s">
        <v>8</v>
      </c>
      <c r="KD889" s="27" t="s">
        <v>7</v>
      </c>
      <c r="KF889" s="27" t="s">
        <v>7</v>
      </c>
      <c r="KG889" s="27" t="s">
        <v>8</v>
      </c>
    </row>
    <row r="890" spans="1:295" x14ac:dyDescent="0.25">
      <c r="A890" s="7">
        <v>2.4782662135298603E-3</v>
      </c>
      <c r="B890"/>
      <c r="C890"/>
      <c r="D890"/>
      <c r="E890"/>
      <c r="F890" s="27" t="s">
        <v>7</v>
      </c>
      <c r="AG890" s="27" t="s">
        <v>8</v>
      </c>
      <c r="AH890" s="27" t="s">
        <v>7</v>
      </c>
      <c r="AM890" s="27" t="s">
        <v>8</v>
      </c>
      <c r="AN890" s="27" t="s">
        <v>7</v>
      </c>
      <c r="AO890" s="27" t="s">
        <v>8</v>
      </c>
      <c r="AP890" s="27" t="s">
        <v>7</v>
      </c>
      <c r="BY890" s="27" t="s">
        <v>8</v>
      </c>
      <c r="BZ890" s="27" t="s">
        <v>7</v>
      </c>
      <c r="GS890" s="27" t="s">
        <v>8</v>
      </c>
      <c r="GV890" s="27" t="s">
        <v>7</v>
      </c>
      <c r="GW890" s="27" t="s">
        <v>8</v>
      </c>
      <c r="HF890" s="27" t="s">
        <v>7</v>
      </c>
      <c r="HG890" s="27" t="s">
        <v>8</v>
      </c>
      <c r="HH890" s="27" t="s">
        <v>7</v>
      </c>
      <c r="HI890" s="27" t="s">
        <v>8</v>
      </c>
      <c r="HJ890" s="27" t="s">
        <v>7</v>
      </c>
      <c r="HK890" s="27" t="s">
        <v>8</v>
      </c>
      <c r="HL890" s="27" t="s">
        <v>7</v>
      </c>
      <c r="HM890" s="27" t="s">
        <v>8</v>
      </c>
      <c r="HW890" s="27" t="s">
        <v>8</v>
      </c>
      <c r="HX890" s="27" t="s">
        <v>7</v>
      </c>
      <c r="HY890" s="27" t="s">
        <v>8</v>
      </c>
      <c r="HZ890" s="27" t="s">
        <v>7</v>
      </c>
      <c r="IA890" s="27" t="s">
        <v>8</v>
      </c>
      <c r="IB890" s="27" t="s">
        <v>7</v>
      </c>
      <c r="IC890" s="27" t="s">
        <v>8</v>
      </c>
      <c r="II890" s="27" t="s">
        <v>8</v>
      </c>
      <c r="IJ890" s="27" t="s">
        <v>7</v>
      </c>
      <c r="IK890" s="27" t="s">
        <v>8</v>
      </c>
      <c r="IL890" s="27" t="s">
        <v>7</v>
      </c>
      <c r="IM890" s="27" t="s">
        <v>8</v>
      </c>
      <c r="IN890" s="27" t="s">
        <v>7</v>
      </c>
      <c r="IO890" s="27" t="s">
        <v>8</v>
      </c>
      <c r="IP890" s="27" t="s">
        <v>7</v>
      </c>
      <c r="IQ890" s="27" t="s">
        <v>8</v>
      </c>
      <c r="IT890" s="27" t="s">
        <v>7</v>
      </c>
      <c r="IU890" s="27" t="s">
        <v>8</v>
      </c>
      <c r="IV890" s="27" t="s">
        <v>7</v>
      </c>
      <c r="IX890" s="27" t="s">
        <v>7</v>
      </c>
      <c r="IY890" s="27" t="s">
        <v>8</v>
      </c>
      <c r="IZ890" s="27" t="s">
        <v>7</v>
      </c>
      <c r="JE890" s="27" t="s">
        <v>8</v>
      </c>
      <c r="JF890" s="27" t="s">
        <v>7</v>
      </c>
      <c r="JM890" s="27" t="s">
        <v>8</v>
      </c>
      <c r="JQ890" s="27" t="s">
        <v>8</v>
      </c>
      <c r="JS890" s="27" t="s">
        <v>8</v>
      </c>
      <c r="JT890" s="27" t="s">
        <v>7</v>
      </c>
      <c r="JY890" s="27" t="s">
        <v>8</v>
      </c>
      <c r="JZ890" s="27" t="s">
        <v>7</v>
      </c>
      <c r="KA890" s="27" t="s">
        <v>8</v>
      </c>
      <c r="KB890" s="27" t="s">
        <v>7</v>
      </c>
      <c r="KC890" s="27" t="s">
        <v>8</v>
      </c>
      <c r="KF890" s="27" t="s">
        <v>7</v>
      </c>
      <c r="KG890" s="27" t="s">
        <v>8</v>
      </c>
    </row>
    <row r="891" spans="1:295" x14ac:dyDescent="0.25">
      <c r="A891" s="7">
        <v>2.4296727583626083E-3</v>
      </c>
      <c r="B891"/>
      <c r="C891"/>
      <c r="D891"/>
      <c r="E891"/>
      <c r="F891" s="27" t="s">
        <v>7</v>
      </c>
      <c r="AG891" s="27" t="s">
        <v>8</v>
      </c>
      <c r="AH891" s="27" t="s">
        <v>7</v>
      </c>
      <c r="AM891" s="27" t="s">
        <v>8</v>
      </c>
      <c r="AN891" s="27" t="s">
        <v>7</v>
      </c>
      <c r="AO891" s="27" t="s">
        <v>8</v>
      </c>
      <c r="AP891" s="27" t="s">
        <v>7</v>
      </c>
      <c r="BW891" s="27" t="s">
        <v>8</v>
      </c>
      <c r="BY891" s="27" t="s">
        <v>8</v>
      </c>
      <c r="BZ891" s="27" t="s">
        <v>7</v>
      </c>
      <c r="GM891" s="27" t="s">
        <v>8</v>
      </c>
      <c r="GS891" s="27" t="s">
        <v>8</v>
      </c>
      <c r="GV891" s="27" t="s">
        <v>7</v>
      </c>
      <c r="GW891" s="27" t="s">
        <v>8</v>
      </c>
      <c r="HF891" s="27" t="s">
        <v>7</v>
      </c>
      <c r="HG891" s="27" t="s">
        <v>8</v>
      </c>
      <c r="HH891" s="27" t="s">
        <v>7</v>
      </c>
      <c r="HI891" s="27" t="s">
        <v>8</v>
      </c>
      <c r="HJ891" s="27" t="s">
        <v>7</v>
      </c>
      <c r="HK891" s="27" t="s">
        <v>8</v>
      </c>
      <c r="HL891" s="27" t="s">
        <v>7</v>
      </c>
      <c r="HM891" s="27" t="s">
        <v>8</v>
      </c>
      <c r="HN891" s="27" t="s">
        <v>7</v>
      </c>
      <c r="HW891" s="27" t="s">
        <v>8</v>
      </c>
      <c r="HX891" s="27" t="s">
        <v>7</v>
      </c>
      <c r="HY891" s="27" t="s">
        <v>8</v>
      </c>
      <c r="HZ891" s="27" t="s">
        <v>7</v>
      </c>
      <c r="IA891" s="27" t="s">
        <v>8</v>
      </c>
      <c r="IB891" s="27" t="s">
        <v>7</v>
      </c>
      <c r="IC891" s="27" t="s">
        <v>8</v>
      </c>
      <c r="ID891" s="27" t="s">
        <v>7</v>
      </c>
      <c r="IG891" s="27" t="s">
        <v>8</v>
      </c>
      <c r="II891" s="27" t="s">
        <v>8</v>
      </c>
      <c r="IJ891" s="27" t="s">
        <v>7</v>
      </c>
      <c r="IK891" s="27" t="s">
        <v>8</v>
      </c>
      <c r="IL891" s="27" t="s">
        <v>7</v>
      </c>
      <c r="IM891" s="27" t="s">
        <v>8</v>
      </c>
      <c r="IN891" s="27" t="s">
        <v>7</v>
      </c>
      <c r="IO891" s="27" t="s">
        <v>8</v>
      </c>
      <c r="IP891" s="27" t="s">
        <v>7</v>
      </c>
      <c r="IQ891" s="27" t="s">
        <v>8</v>
      </c>
      <c r="IT891" s="27" t="s">
        <v>7</v>
      </c>
      <c r="IU891" s="27" t="s">
        <v>8</v>
      </c>
      <c r="IX891" s="27" t="s">
        <v>7</v>
      </c>
      <c r="IY891" s="27" t="s">
        <v>8</v>
      </c>
      <c r="IZ891" s="27" t="s">
        <v>7</v>
      </c>
      <c r="JE891" s="27" t="s">
        <v>8</v>
      </c>
      <c r="JF891" s="27" t="s">
        <v>7</v>
      </c>
      <c r="JM891" s="27" t="s">
        <v>8</v>
      </c>
      <c r="JN891" s="27" t="s">
        <v>7</v>
      </c>
      <c r="JQ891" s="27" t="s">
        <v>8</v>
      </c>
      <c r="JR891" s="27" t="s">
        <v>7</v>
      </c>
      <c r="JS891" s="27" t="s">
        <v>8</v>
      </c>
      <c r="JT891" s="27" t="s">
        <v>7</v>
      </c>
      <c r="JY891" s="27" t="s">
        <v>8</v>
      </c>
      <c r="JZ891" s="27" t="s">
        <v>7</v>
      </c>
      <c r="KA891" s="27" t="s">
        <v>8</v>
      </c>
      <c r="KB891" s="27" t="s">
        <v>7</v>
      </c>
      <c r="KC891" s="27" t="s">
        <v>8</v>
      </c>
      <c r="KF891" s="27" t="s">
        <v>7</v>
      </c>
    </row>
    <row r="892" spans="1:295" x14ac:dyDescent="0.25">
      <c r="A892" s="7">
        <v>2.3820321160417726E-3</v>
      </c>
      <c r="B892"/>
      <c r="C892"/>
      <c r="D892"/>
      <c r="E892"/>
      <c r="F892" s="27" t="s">
        <v>7</v>
      </c>
      <c r="AG892" s="27" t="s">
        <v>8</v>
      </c>
      <c r="AH892" s="27" t="s">
        <v>7</v>
      </c>
      <c r="AM892" s="27" t="s">
        <v>8</v>
      </c>
      <c r="AN892" s="27" t="s">
        <v>7</v>
      </c>
      <c r="AO892" s="27" t="s">
        <v>8</v>
      </c>
      <c r="AP892" s="27" t="s">
        <v>7</v>
      </c>
      <c r="BW892" s="27" t="s">
        <v>8</v>
      </c>
      <c r="BX892" s="27" t="s">
        <v>7</v>
      </c>
      <c r="BY892" s="27" t="s">
        <v>8</v>
      </c>
      <c r="BZ892" s="27" t="s">
        <v>7</v>
      </c>
      <c r="GM892" s="27" t="s">
        <v>8</v>
      </c>
      <c r="GN892" s="27" t="s">
        <v>7</v>
      </c>
      <c r="GS892" s="27" t="s">
        <v>8</v>
      </c>
      <c r="GV892" s="27" t="s">
        <v>7</v>
      </c>
      <c r="GW892" s="27" t="s">
        <v>8</v>
      </c>
      <c r="HF892" s="27" t="s">
        <v>7</v>
      </c>
      <c r="HG892" s="27" t="s">
        <v>8</v>
      </c>
      <c r="HH892" s="27" t="s">
        <v>7</v>
      </c>
      <c r="HI892" s="27" t="s">
        <v>8</v>
      </c>
      <c r="HJ892" s="27" t="s">
        <v>7</v>
      </c>
      <c r="HK892" s="27" t="s">
        <v>8</v>
      </c>
      <c r="HL892" s="27" t="s">
        <v>7</v>
      </c>
      <c r="HM892" s="27" t="s">
        <v>8</v>
      </c>
      <c r="HN892" s="27" t="s">
        <v>7</v>
      </c>
      <c r="HQ892" s="27" t="s">
        <v>8</v>
      </c>
      <c r="HW892" s="27" t="s">
        <v>8</v>
      </c>
      <c r="HX892" s="27" t="s">
        <v>7</v>
      </c>
      <c r="HY892" s="27" t="s">
        <v>8</v>
      </c>
      <c r="HZ892" s="27" t="s">
        <v>7</v>
      </c>
      <c r="IA892" s="27" t="s">
        <v>8</v>
      </c>
      <c r="IB892" s="27" t="s">
        <v>7</v>
      </c>
      <c r="IC892" s="27" t="s">
        <v>8</v>
      </c>
      <c r="ID892" s="27" t="s">
        <v>7</v>
      </c>
      <c r="IE892" s="27" t="s">
        <v>8</v>
      </c>
      <c r="IG892" s="27" t="s">
        <v>8</v>
      </c>
      <c r="IH892" s="27" t="s">
        <v>7</v>
      </c>
      <c r="II892" s="27" t="s">
        <v>8</v>
      </c>
      <c r="IJ892" s="27" t="s">
        <v>7</v>
      </c>
      <c r="IK892" s="27" t="s">
        <v>8</v>
      </c>
      <c r="IL892" s="27" t="s">
        <v>7</v>
      </c>
      <c r="IM892" s="27" t="s">
        <v>8</v>
      </c>
      <c r="IN892" s="27" t="s">
        <v>7</v>
      </c>
      <c r="IO892" s="27" t="s">
        <v>8</v>
      </c>
      <c r="IP892" s="27" t="s">
        <v>7</v>
      </c>
      <c r="IT892" s="27" t="s">
        <v>7</v>
      </c>
      <c r="IU892" s="27" t="s">
        <v>8</v>
      </c>
      <c r="IX892" s="27" t="s">
        <v>7</v>
      </c>
      <c r="IZ892" s="27" t="s">
        <v>7</v>
      </c>
      <c r="JA892" s="27" t="s">
        <v>8</v>
      </c>
      <c r="JC892" s="27" t="s">
        <v>8</v>
      </c>
      <c r="JE892" s="27" t="s">
        <v>8</v>
      </c>
      <c r="JF892" s="27" t="s">
        <v>7</v>
      </c>
      <c r="JM892" s="27" t="s">
        <v>8</v>
      </c>
      <c r="JN892" s="27" t="s">
        <v>7</v>
      </c>
      <c r="JQ892" s="27" t="s">
        <v>8</v>
      </c>
      <c r="JR892" s="27" t="s">
        <v>7</v>
      </c>
      <c r="JS892" s="27" t="s">
        <v>8</v>
      </c>
      <c r="JT892" s="27" t="s">
        <v>7</v>
      </c>
      <c r="JU892" s="27" t="s">
        <v>8</v>
      </c>
      <c r="JW892" s="27" t="s">
        <v>8</v>
      </c>
      <c r="JY892" s="27" t="s">
        <v>8</v>
      </c>
      <c r="JZ892" s="27" t="s">
        <v>7</v>
      </c>
      <c r="KA892" s="27" t="s">
        <v>8</v>
      </c>
      <c r="KB892" s="27" t="s">
        <v>7</v>
      </c>
      <c r="KC892" s="27" t="s">
        <v>8</v>
      </c>
    </row>
    <row r="893" spans="1:295" x14ac:dyDescent="0.25">
      <c r="A893" s="7">
        <v>2.3353256039625224E-3</v>
      </c>
      <c r="B893"/>
      <c r="C893"/>
      <c r="D893"/>
      <c r="E893"/>
      <c r="F893" s="27" t="s">
        <v>7</v>
      </c>
      <c r="AG893" s="27" t="s">
        <v>8</v>
      </c>
      <c r="AH893" s="27" t="s">
        <v>7</v>
      </c>
      <c r="AM893" s="27" t="s">
        <v>8</v>
      </c>
      <c r="AN893" s="27" t="s">
        <v>7</v>
      </c>
      <c r="AO893" s="27" t="s">
        <v>8</v>
      </c>
      <c r="AP893" s="27" t="s">
        <v>7</v>
      </c>
      <c r="AQ893" s="27" t="s">
        <v>8</v>
      </c>
      <c r="BU893" s="27" t="s">
        <v>8</v>
      </c>
      <c r="BW893" s="27" t="s">
        <v>8</v>
      </c>
      <c r="BX893" s="27" t="s">
        <v>7</v>
      </c>
      <c r="BY893" s="27" t="s">
        <v>8</v>
      </c>
      <c r="BZ893" s="27" t="s">
        <v>7</v>
      </c>
      <c r="GM893" s="27" t="s">
        <v>8</v>
      </c>
      <c r="GN893" s="27" t="s">
        <v>7</v>
      </c>
      <c r="GS893" s="27" t="s">
        <v>8</v>
      </c>
      <c r="GV893" s="27" t="s">
        <v>7</v>
      </c>
      <c r="GW893" s="27" t="s">
        <v>8</v>
      </c>
      <c r="HF893" s="27" t="s">
        <v>7</v>
      </c>
      <c r="HG893" s="27" t="s">
        <v>8</v>
      </c>
      <c r="HH893" s="27" t="s">
        <v>7</v>
      </c>
      <c r="HI893" s="27" t="s">
        <v>8</v>
      </c>
      <c r="HJ893" s="27" t="s">
        <v>7</v>
      </c>
      <c r="HK893" s="27" t="s">
        <v>8</v>
      </c>
      <c r="HL893" s="27" t="s">
        <v>7</v>
      </c>
      <c r="HM893" s="27" t="s">
        <v>8</v>
      </c>
      <c r="HN893" s="27" t="s">
        <v>7</v>
      </c>
      <c r="HQ893" s="27" t="s">
        <v>8</v>
      </c>
      <c r="HR893" s="27" t="s">
        <v>7</v>
      </c>
      <c r="HW893" s="27" t="s">
        <v>8</v>
      </c>
      <c r="HX893" s="27" t="s">
        <v>7</v>
      </c>
      <c r="HY893" s="27" t="s">
        <v>8</v>
      </c>
      <c r="HZ893" s="27" t="s">
        <v>7</v>
      </c>
      <c r="IA893" s="27" t="s">
        <v>8</v>
      </c>
      <c r="IB893" s="27" t="s">
        <v>7</v>
      </c>
      <c r="IC893" s="27" t="s">
        <v>8</v>
      </c>
      <c r="ID893" s="27" t="s">
        <v>7</v>
      </c>
      <c r="IE893" s="27" t="s">
        <v>8</v>
      </c>
      <c r="IF893" s="27" t="s">
        <v>7</v>
      </c>
      <c r="IG893" s="27" t="s">
        <v>8</v>
      </c>
      <c r="IH893" s="27" t="s">
        <v>7</v>
      </c>
      <c r="II893" s="27" t="s">
        <v>8</v>
      </c>
      <c r="IJ893" s="27" t="s">
        <v>7</v>
      </c>
      <c r="IK893" s="27" t="s">
        <v>8</v>
      </c>
      <c r="IL893" s="27" t="s">
        <v>7</v>
      </c>
      <c r="IN893" s="27" t="s">
        <v>7</v>
      </c>
      <c r="IT893" s="27" t="s">
        <v>7</v>
      </c>
      <c r="IZ893" s="27" t="s">
        <v>7</v>
      </c>
      <c r="JA893" s="27" t="s">
        <v>8</v>
      </c>
      <c r="JB893" s="27" t="s">
        <v>7</v>
      </c>
      <c r="JC893" s="27" t="s">
        <v>8</v>
      </c>
      <c r="JD893" s="27" t="s">
        <v>7</v>
      </c>
      <c r="JE893" s="27" t="s">
        <v>8</v>
      </c>
      <c r="JF893" s="27" t="s">
        <v>7</v>
      </c>
      <c r="JM893" s="27" t="s">
        <v>8</v>
      </c>
      <c r="JN893" s="27" t="s">
        <v>7</v>
      </c>
      <c r="JQ893" s="27" t="s">
        <v>8</v>
      </c>
      <c r="JR893" s="27" t="s">
        <v>7</v>
      </c>
      <c r="JS893" s="27" t="s">
        <v>8</v>
      </c>
      <c r="JT893" s="27" t="s">
        <v>7</v>
      </c>
      <c r="JU893" s="27" t="s">
        <v>8</v>
      </c>
      <c r="JV893" s="27" t="s">
        <v>7</v>
      </c>
      <c r="JW893" s="27" t="s">
        <v>8</v>
      </c>
      <c r="JX893" s="27" t="s">
        <v>7</v>
      </c>
      <c r="JY893" s="27" t="s">
        <v>8</v>
      </c>
      <c r="JZ893" s="27" t="s">
        <v>7</v>
      </c>
      <c r="KB893" s="27" t="s">
        <v>7</v>
      </c>
      <c r="KC893" s="27" t="s">
        <v>8</v>
      </c>
    </row>
    <row r="894" spans="1:295" x14ac:dyDescent="0.25">
      <c r="A894" s="7">
        <v>2.2895349058456101E-3</v>
      </c>
      <c r="B894"/>
      <c r="C894"/>
      <c r="D894"/>
      <c r="E894"/>
      <c r="F894" s="27" t="s">
        <v>7</v>
      </c>
      <c r="AG894" s="27" t="s">
        <v>8</v>
      </c>
      <c r="AH894" s="27" t="s">
        <v>7</v>
      </c>
      <c r="AM894" s="27" t="s">
        <v>8</v>
      </c>
      <c r="AN894" s="27" t="s">
        <v>7</v>
      </c>
      <c r="AO894" s="27" t="s">
        <v>8</v>
      </c>
      <c r="AP894" s="27" t="s">
        <v>7</v>
      </c>
      <c r="AQ894" s="27" t="s">
        <v>8</v>
      </c>
      <c r="AR894" s="27" t="s">
        <v>7</v>
      </c>
      <c r="AU894" s="27" t="s">
        <v>8</v>
      </c>
      <c r="BQ894" s="27" t="s">
        <v>8</v>
      </c>
      <c r="BU894" s="27" t="s">
        <v>8</v>
      </c>
      <c r="BV894" s="27" t="s">
        <v>7</v>
      </c>
      <c r="BW894" s="27" t="s">
        <v>8</v>
      </c>
      <c r="BX894" s="27" t="s">
        <v>7</v>
      </c>
      <c r="BY894" s="27" t="s">
        <v>8</v>
      </c>
      <c r="BZ894" s="27" t="s">
        <v>7</v>
      </c>
      <c r="GM894" s="27" t="s">
        <v>8</v>
      </c>
      <c r="GN894" s="27" t="s">
        <v>7</v>
      </c>
      <c r="GS894" s="27" t="s">
        <v>8</v>
      </c>
      <c r="GV894" s="27" t="s">
        <v>7</v>
      </c>
      <c r="GW894" s="27" t="s">
        <v>8</v>
      </c>
      <c r="HF894" s="27" t="s">
        <v>7</v>
      </c>
      <c r="HH894" s="27" t="s">
        <v>7</v>
      </c>
      <c r="HI894" s="27" t="s">
        <v>8</v>
      </c>
      <c r="HJ894" s="27" t="s">
        <v>7</v>
      </c>
      <c r="HL894" s="27" t="s">
        <v>7</v>
      </c>
      <c r="HN894" s="27" t="s">
        <v>7</v>
      </c>
      <c r="HQ894" s="27" t="s">
        <v>8</v>
      </c>
      <c r="HR894" s="27" t="s">
        <v>7</v>
      </c>
      <c r="HW894" s="27" t="s">
        <v>8</v>
      </c>
      <c r="HX894" s="27" t="s">
        <v>7</v>
      </c>
      <c r="HY894" s="27" t="s">
        <v>8</v>
      </c>
      <c r="HZ894" s="27" t="s">
        <v>7</v>
      </c>
      <c r="IA894" s="27" t="s">
        <v>8</v>
      </c>
      <c r="IB894" s="27" t="s">
        <v>7</v>
      </c>
      <c r="IC894" s="27" t="s">
        <v>8</v>
      </c>
      <c r="ID894" s="27" t="s">
        <v>7</v>
      </c>
      <c r="IE894" s="27" t="s">
        <v>8</v>
      </c>
      <c r="IF894" s="27" t="s">
        <v>7</v>
      </c>
      <c r="IG894" s="27" t="s">
        <v>8</v>
      </c>
      <c r="IH894" s="27" t="s">
        <v>7</v>
      </c>
      <c r="II894" s="27" t="s">
        <v>8</v>
      </c>
      <c r="IJ894" s="27" t="s">
        <v>7</v>
      </c>
      <c r="IK894" s="27" t="s">
        <v>8</v>
      </c>
      <c r="IZ894" s="27" t="s">
        <v>7</v>
      </c>
      <c r="JA894" s="27" t="s">
        <v>8</v>
      </c>
      <c r="JB894" s="27" t="s">
        <v>7</v>
      </c>
      <c r="JC894" s="27" t="s">
        <v>8</v>
      </c>
      <c r="JD894" s="27" t="s">
        <v>7</v>
      </c>
      <c r="JE894" s="27" t="s">
        <v>8</v>
      </c>
      <c r="JF894" s="27" t="s">
        <v>7</v>
      </c>
      <c r="JM894" s="27" t="s">
        <v>8</v>
      </c>
      <c r="JN894" s="27" t="s">
        <v>7</v>
      </c>
      <c r="JQ894" s="27" t="s">
        <v>8</v>
      </c>
      <c r="JR894" s="27" t="s">
        <v>7</v>
      </c>
      <c r="JS894" s="27" t="s">
        <v>8</v>
      </c>
      <c r="JT894" s="27" t="s">
        <v>7</v>
      </c>
      <c r="JU894" s="27" t="s">
        <v>8</v>
      </c>
      <c r="JV894" s="27" t="s">
        <v>7</v>
      </c>
      <c r="JW894" s="27" t="s">
        <v>8</v>
      </c>
      <c r="JX894" s="27" t="s">
        <v>7</v>
      </c>
      <c r="JY894" s="27" t="s">
        <v>8</v>
      </c>
      <c r="KB894" s="27" t="s">
        <v>7</v>
      </c>
      <c r="KC894" s="27" t="s">
        <v>8</v>
      </c>
    </row>
    <row r="895" spans="1:295" x14ac:dyDescent="0.25">
      <c r="A895" s="7">
        <v>2.24464206455452E-3</v>
      </c>
      <c r="B895"/>
      <c r="C895"/>
      <c r="D895"/>
      <c r="E895"/>
      <c r="F895" s="27" t="s">
        <v>7</v>
      </c>
      <c r="AG895" s="27" t="s">
        <v>8</v>
      </c>
      <c r="AH895" s="27" t="s">
        <v>7</v>
      </c>
      <c r="AM895" s="27" t="s">
        <v>8</v>
      </c>
      <c r="AN895" s="27" t="s">
        <v>7</v>
      </c>
      <c r="AO895" s="27" t="s">
        <v>8</v>
      </c>
      <c r="AP895" s="27" t="s">
        <v>7</v>
      </c>
      <c r="AQ895" s="27" t="s">
        <v>8</v>
      </c>
      <c r="AR895" s="27" t="s">
        <v>7</v>
      </c>
      <c r="AU895" s="27" t="s">
        <v>8</v>
      </c>
      <c r="AV895" s="27" t="s">
        <v>7</v>
      </c>
      <c r="BQ895" s="27" t="s">
        <v>8</v>
      </c>
      <c r="BR895" s="27" t="s">
        <v>7</v>
      </c>
      <c r="BU895" s="27" t="s">
        <v>8</v>
      </c>
      <c r="BV895" s="27" t="s">
        <v>7</v>
      </c>
      <c r="BW895" s="27" t="s">
        <v>8</v>
      </c>
      <c r="BX895" s="27" t="s">
        <v>7</v>
      </c>
      <c r="BY895" s="27" t="s">
        <v>8</v>
      </c>
      <c r="BZ895" s="27" t="s">
        <v>7</v>
      </c>
      <c r="GM895" s="27" t="s">
        <v>8</v>
      </c>
      <c r="GN895" s="27" t="s">
        <v>7</v>
      </c>
      <c r="GS895" s="27" t="s">
        <v>8</v>
      </c>
      <c r="GV895" s="27" t="s">
        <v>7</v>
      </c>
      <c r="HH895" s="27" t="s">
        <v>7</v>
      </c>
      <c r="HN895" s="27" t="s">
        <v>7</v>
      </c>
      <c r="HQ895" s="27" t="s">
        <v>8</v>
      </c>
      <c r="HR895" s="27" t="s">
        <v>7</v>
      </c>
      <c r="HW895" s="27" t="s">
        <v>8</v>
      </c>
      <c r="HX895" s="27" t="s">
        <v>7</v>
      </c>
      <c r="HY895" s="27" t="s">
        <v>8</v>
      </c>
      <c r="HZ895" s="27" t="s">
        <v>7</v>
      </c>
      <c r="IA895" s="27" t="s">
        <v>8</v>
      </c>
      <c r="IB895" s="27" t="s">
        <v>7</v>
      </c>
      <c r="ID895" s="27" t="s">
        <v>7</v>
      </c>
      <c r="IE895" s="27" t="s">
        <v>8</v>
      </c>
      <c r="IF895" s="27" t="s">
        <v>7</v>
      </c>
      <c r="IG895" s="27" t="s">
        <v>8</v>
      </c>
      <c r="IH895" s="27" t="s">
        <v>7</v>
      </c>
      <c r="II895" s="27" t="s">
        <v>8</v>
      </c>
      <c r="IJ895" s="27" t="s">
        <v>7</v>
      </c>
      <c r="IZ895" s="27" t="s">
        <v>7</v>
      </c>
      <c r="JB895" s="27" t="s">
        <v>7</v>
      </c>
      <c r="JC895" s="27" t="s">
        <v>8</v>
      </c>
      <c r="JD895" s="27" t="s">
        <v>7</v>
      </c>
      <c r="JE895" s="27" t="s">
        <v>8</v>
      </c>
      <c r="JF895" s="27" t="s">
        <v>7</v>
      </c>
      <c r="JI895" s="27" t="s">
        <v>8</v>
      </c>
      <c r="JM895" s="27" t="s">
        <v>8</v>
      </c>
      <c r="JN895" s="27" t="s">
        <v>7</v>
      </c>
      <c r="JQ895" s="27" t="s">
        <v>8</v>
      </c>
      <c r="JR895" s="27" t="s">
        <v>7</v>
      </c>
      <c r="JS895" s="27" t="s">
        <v>8</v>
      </c>
      <c r="JT895" s="27" t="s">
        <v>7</v>
      </c>
      <c r="JU895" s="27" t="s">
        <v>8</v>
      </c>
      <c r="JV895" s="27" t="s">
        <v>7</v>
      </c>
      <c r="JW895" s="27" t="s">
        <v>8</v>
      </c>
      <c r="JX895" s="27" t="s">
        <v>7</v>
      </c>
      <c r="JY895" s="27" t="s">
        <v>8</v>
      </c>
      <c r="KB895" s="27" t="s">
        <v>7</v>
      </c>
      <c r="KC895" s="27" t="s">
        <v>8</v>
      </c>
    </row>
    <row r="896" spans="1:295" x14ac:dyDescent="0.25">
      <c r="A896" s="7">
        <v>2.200629475053451E-3</v>
      </c>
      <c r="B896"/>
      <c r="C896"/>
      <c r="D896"/>
      <c r="E896"/>
      <c r="F896" s="27" t="s">
        <v>7</v>
      </c>
      <c r="AG896" s="27" t="s">
        <v>8</v>
      </c>
      <c r="AH896" s="27" t="s">
        <v>7</v>
      </c>
      <c r="AM896" s="27" t="s">
        <v>8</v>
      </c>
      <c r="AN896" s="27" t="s">
        <v>7</v>
      </c>
      <c r="AO896" s="27" t="s">
        <v>8</v>
      </c>
      <c r="AP896" s="27" t="s">
        <v>7</v>
      </c>
      <c r="AQ896" s="27" t="s">
        <v>8</v>
      </c>
      <c r="AR896" s="27" t="s">
        <v>7</v>
      </c>
      <c r="AU896" s="27" t="s">
        <v>8</v>
      </c>
      <c r="AV896" s="27" t="s">
        <v>7</v>
      </c>
      <c r="BQ896" s="27" t="s">
        <v>8</v>
      </c>
      <c r="BR896" s="27" t="s">
        <v>7</v>
      </c>
      <c r="BU896" s="27" t="s">
        <v>8</v>
      </c>
      <c r="BV896" s="27" t="s">
        <v>7</v>
      </c>
      <c r="BW896" s="27" t="s">
        <v>8</v>
      </c>
      <c r="BX896" s="27" t="s">
        <v>7</v>
      </c>
      <c r="BY896" s="27" t="s">
        <v>8</v>
      </c>
      <c r="BZ896" s="27" t="s">
        <v>7</v>
      </c>
      <c r="GM896" s="27" t="s">
        <v>8</v>
      </c>
      <c r="GN896" s="27" t="s">
        <v>7</v>
      </c>
      <c r="GS896" s="27" t="s">
        <v>8</v>
      </c>
      <c r="HN896" s="27" t="s">
        <v>7</v>
      </c>
      <c r="HQ896" s="27" t="s">
        <v>8</v>
      </c>
      <c r="HR896" s="27" t="s">
        <v>7</v>
      </c>
      <c r="HW896" s="27" t="s">
        <v>8</v>
      </c>
      <c r="HX896" s="27" t="s">
        <v>7</v>
      </c>
      <c r="HY896" s="27" t="s">
        <v>8</v>
      </c>
      <c r="HZ896" s="27" t="s">
        <v>7</v>
      </c>
      <c r="IA896" s="27" t="s">
        <v>8</v>
      </c>
      <c r="ID896" s="27" t="s">
        <v>7</v>
      </c>
      <c r="IF896" s="27" t="s">
        <v>7</v>
      </c>
      <c r="IH896" s="27" t="s">
        <v>7</v>
      </c>
      <c r="II896" s="27" t="s">
        <v>8</v>
      </c>
      <c r="JB896" s="27" t="s">
        <v>7</v>
      </c>
      <c r="JC896" s="27" t="s">
        <v>8</v>
      </c>
      <c r="JD896" s="27" t="s">
        <v>7</v>
      </c>
      <c r="JE896" s="27" t="s">
        <v>8</v>
      </c>
      <c r="JF896" s="27" t="s">
        <v>7</v>
      </c>
      <c r="JI896" s="27" t="s">
        <v>8</v>
      </c>
      <c r="JJ896" s="27" t="s">
        <v>7</v>
      </c>
      <c r="JM896" s="27" t="s">
        <v>8</v>
      </c>
      <c r="JN896" s="27" t="s">
        <v>7</v>
      </c>
      <c r="JO896" s="27" t="s">
        <v>8</v>
      </c>
      <c r="JQ896" s="27" t="s">
        <v>8</v>
      </c>
      <c r="JR896" s="27" t="s">
        <v>7</v>
      </c>
      <c r="JS896" s="27" t="s">
        <v>8</v>
      </c>
      <c r="JT896" s="27" t="s">
        <v>7</v>
      </c>
      <c r="JU896" s="27" t="s">
        <v>8</v>
      </c>
      <c r="JV896" s="27" t="s">
        <v>7</v>
      </c>
      <c r="JW896" s="27" t="s">
        <v>8</v>
      </c>
      <c r="JX896" s="27" t="s">
        <v>7</v>
      </c>
      <c r="JY896" s="27" t="s">
        <v>8</v>
      </c>
      <c r="KB896" s="27" t="s">
        <v>7</v>
      </c>
      <c r="KC896" s="27" t="s">
        <v>8</v>
      </c>
    </row>
    <row r="897" spans="1:288" x14ac:dyDescent="0.25">
      <c r="A897" s="7">
        <v>2.1574798775033832E-3</v>
      </c>
      <c r="B897"/>
      <c r="C897"/>
      <c r="D897"/>
      <c r="E897"/>
      <c r="F897" s="27" t="s">
        <v>7</v>
      </c>
      <c r="AG897" s="27" t="s">
        <v>8</v>
      </c>
      <c r="AH897" s="27" t="s">
        <v>7</v>
      </c>
      <c r="AM897" s="27" t="s">
        <v>8</v>
      </c>
      <c r="AN897" s="27" t="s">
        <v>7</v>
      </c>
      <c r="AO897" s="27" t="s">
        <v>8</v>
      </c>
      <c r="AP897" s="27" t="s">
        <v>7</v>
      </c>
      <c r="AQ897" s="27" t="s">
        <v>8</v>
      </c>
      <c r="AR897" s="27" t="s">
        <v>7</v>
      </c>
      <c r="AU897" s="27" t="s">
        <v>8</v>
      </c>
      <c r="AV897" s="27" t="s">
        <v>7</v>
      </c>
      <c r="AW897" s="27" t="s">
        <v>8</v>
      </c>
      <c r="BQ897" s="27" t="s">
        <v>8</v>
      </c>
      <c r="BR897" s="27" t="s">
        <v>7</v>
      </c>
      <c r="BU897" s="27" t="s">
        <v>8</v>
      </c>
      <c r="BV897" s="27" t="s">
        <v>7</v>
      </c>
      <c r="BW897" s="27" t="s">
        <v>8</v>
      </c>
      <c r="BX897" s="27" t="s">
        <v>7</v>
      </c>
      <c r="BY897" s="27" t="s">
        <v>8</v>
      </c>
      <c r="BZ897" s="27" t="s">
        <v>7</v>
      </c>
      <c r="CA897" s="27" t="s">
        <v>8</v>
      </c>
      <c r="FY897" s="27" t="s">
        <v>8</v>
      </c>
      <c r="GM897" s="27" t="s">
        <v>8</v>
      </c>
      <c r="GN897" s="27" t="s">
        <v>7</v>
      </c>
      <c r="GS897" s="27" t="s">
        <v>8</v>
      </c>
      <c r="HN897" s="27" t="s">
        <v>7</v>
      </c>
      <c r="HQ897" s="27" t="s">
        <v>8</v>
      </c>
      <c r="HR897" s="27" t="s">
        <v>7</v>
      </c>
      <c r="HW897" s="27" t="s">
        <v>8</v>
      </c>
      <c r="HX897" s="27" t="s">
        <v>7</v>
      </c>
      <c r="HZ897" s="27" t="s">
        <v>7</v>
      </c>
      <c r="IA897" s="27" t="s">
        <v>8</v>
      </c>
      <c r="IH897" s="27" t="s">
        <v>7</v>
      </c>
      <c r="II897" s="27" t="s">
        <v>8</v>
      </c>
      <c r="JB897" s="27" t="s">
        <v>7</v>
      </c>
      <c r="JC897" s="27" t="s">
        <v>8</v>
      </c>
      <c r="JD897" s="27" t="s">
        <v>7</v>
      </c>
      <c r="JE897" s="27" t="s">
        <v>8</v>
      </c>
      <c r="JF897" s="27" t="s">
        <v>7</v>
      </c>
      <c r="JI897" s="27" t="s">
        <v>8</v>
      </c>
      <c r="JJ897" s="27" t="s">
        <v>7</v>
      </c>
      <c r="JM897" s="27" t="s">
        <v>8</v>
      </c>
      <c r="JN897" s="27" t="s">
        <v>7</v>
      </c>
      <c r="JO897" s="27" t="s">
        <v>8</v>
      </c>
      <c r="JP897" s="27" t="s">
        <v>7</v>
      </c>
      <c r="JQ897" s="27" t="s">
        <v>8</v>
      </c>
      <c r="JR897" s="27" t="s">
        <v>7</v>
      </c>
      <c r="JT897" s="27" t="s">
        <v>7</v>
      </c>
      <c r="JU897" s="27" t="s">
        <v>8</v>
      </c>
      <c r="JV897" s="27" t="s">
        <v>7</v>
      </c>
      <c r="JW897" s="27" t="s">
        <v>8</v>
      </c>
      <c r="JX897" s="27" t="s">
        <v>7</v>
      </c>
      <c r="KB897" s="27" t="s">
        <v>7</v>
      </c>
    </row>
    <row r="898" spans="1:288" x14ac:dyDescent="0.25">
      <c r="A898" s="7">
        <v>2.115176350493513E-3</v>
      </c>
      <c r="B898"/>
      <c r="C898"/>
      <c r="D898"/>
      <c r="E898"/>
      <c r="F898" s="27" t="s">
        <v>7</v>
      </c>
      <c r="AG898" s="27" t="s">
        <v>8</v>
      </c>
      <c r="AH898" s="27" t="s">
        <v>7</v>
      </c>
      <c r="AM898" s="27" t="s">
        <v>8</v>
      </c>
      <c r="AN898" s="27" t="s">
        <v>7</v>
      </c>
      <c r="AO898" s="27" t="s">
        <v>8</v>
      </c>
      <c r="AP898" s="27" t="s">
        <v>7</v>
      </c>
      <c r="AQ898" s="27" t="s">
        <v>8</v>
      </c>
      <c r="AR898" s="27" t="s">
        <v>7</v>
      </c>
      <c r="AS898" s="27" t="s">
        <v>8</v>
      </c>
      <c r="AU898" s="27" t="s">
        <v>8</v>
      </c>
      <c r="AV898" s="27" t="s">
        <v>7</v>
      </c>
      <c r="AW898" s="27" t="s">
        <v>8</v>
      </c>
      <c r="AX898" s="27" t="s">
        <v>7</v>
      </c>
      <c r="BQ898" s="27" t="s">
        <v>8</v>
      </c>
      <c r="BR898" s="27" t="s">
        <v>7</v>
      </c>
      <c r="BS898" s="27" t="s">
        <v>8</v>
      </c>
      <c r="BU898" s="27" t="s">
        <v>8</v>
      </c>
      <c r="BV898" s="27" t="s">
        <v>7</v>
      </c>
      <c r="BX898" s="27" t="s">
        <v>7</v>
      </c>
      <c r="BY898" s="27" t="s">
        <v>8</v>
      </c>
      <c r="BZ898" s="27" t="s">
        <v>7</v>
      </c>
      <c r="CA898" s="27" t="s">
        <v>8</v>
      </c>
      <c r="CB898" s="27" t="s">
        <v>7</v>
      </c>
      <c r="FY898" s="27" t="s">
        <v>8</v>
      </c>
      <c r="FZ898" s="27" t="s">
        <v>7</v>
      </c>
      <c r="GK898" s="27" t="s">
        <v>8</v>
      </c>
      <c r="GM898" s="27" t="s">
        <v>8</v>
      </c>
      <c r="GN898" s="27" t="s">
        <v>7</v>
      </c>
      <c r="GO898" s="27" t="s">
        <v>8</v>
      </c>
      <c r="GS898" s="27" t="s">
        <v>8</v>
      </c>
      <c r="HN898" s="27" t="s">
        <v>7</v>
      </c>
      <c r="HO898" s="27" t="s">
        <v>8</v>
      </c>
      <c r="HQ898" s="27" t="s">
        <v>8</v>
      </c>
      <c r="HR898" s="27" t="s">
        <v>7</v>
      </c>
      <c r="HW898" s="27" t="s">
        <v>8</v>
      </c>
      <c r="HZ898" s="27" t="s">
        <v>7</v>
      </c>
      <c r="IH898" s="27" t="s">
        <v>7</v>
      </c>
      <c r="II898" s="27" t="s">
        <v>8</v>
      </c>
      <c r="JB898" s="27" t="s">
        <v>7</v>
      </c>
      <c r="JD898" s="27" t="s">
        <v>7</v>
      </c>
      <c r="JF898" s="27" t="s">
        <v>7</v>
      </c>
      <c r="JG898" s="27" t="s">
        <v>8</v>
      </c>
      <c r="JI898" s="27" t="s">
        <v>8</v>
      </c>
      <c r="JJ898" s="27" t="s">
        <v>7</v>
      </c>
      <c r="JM898" s="27" t="s">
        <v>8</v>
      </c>
      <c r="JN898" s="27" t="s">
        <v>7</v>
      </c>
      <c r="JO898" s="27" t="s">
        <v>8</v>
      </c>
      <c r="JP898" s="27" t="s">
        <v>7</v>
      </c>
      <c r="JQ898" s="27" t="s">
        <v>8</v>
      </c>
      <c r="JT898" s="27" t="s">
        <v>7</v>
      </c>
      <c r="JU898" s="27" t="s">
        <v>8</v>
      </c>
      <c r="JV898" s="27" t="s">
        <v>7</v>
      </c>
      <c r="JW898" s="27" t="s">
        <v>8</v>
      </c>
    </row>
    <row r="899" spans="1:288" x14ac:dyDescent="0.25">
      <c r="A899" s="7">
        <v>2.0737023044054047E-3</v>
      </c>
      <c r="B899"/>
      <c r="C899"/>
      <c r="D899"/>
      <c r="E899"/>
      <c r="F899" s="27" t="s">
        <v>7</v>
      </c>
      <c r="AG899" s="27" t="s">
        <v>8</v>
      </c>
      <c r="AH899" s="27" t="s">
        <v>7</v>
      </c>
      <c r="AM899" s="27" t="s">
        <v>8</v>
      </c>
      <c r="AN899" s="27" t="s">
        <v>7</v>
      </c>
      <c r="AO899" s="27" t="s">
        <v>8</v>
      </c>
      <c r="AP899" s="27" t="s">
        <v>7</v>
      </c>
      <c r="AQ899" s="27" t="s">
        <v>8</v>
      </c>
      <c r="AR899" s="27" t="s">
        <v>7</v>
      </c>
      <c r="AS899" s="27" t="s">
        <v>8</v>
      </c>
      <c r="AT899" s="27" t="s">
        <v>7</v>
      </c>
      <c r="AU899" s="27" t="s">
        <v>8</v>
      </c>
      <c r="AV899" s="27" t="s">
        <v>7</v>
      </c>
      <c r="AW899" s="27" t="s">
        <v>8</v>
      </c>
      <c r="AX899" s="27" t="s">
        <v>7</v>
      </c>
      <c r="BQ899" s="27" t="s">
        <v>8</v>
      </c>
      <c r="BR899" s="27" t="s">
        <v>7</v>
      </c>
      <c r="BS899" s="27" t="s">
        <v>8</v>
      </c>
      <c r="BT899" s="27" t="s">
        <v>7</v>
      </c>
      <c r="BU899" s="27" t="s">
        <v>8</v>
      </c>
      <c r="BX899" s="27" t="s">
        <v>7</v>
      </c>
      <c r="BY899" s="27" t="s">
        <v>8</v>
      </c>
      <c r="BZ899" s="27" t="s">
        <v>7</v>
      </c>
      <c r="CA899" s="27" t="s">
        <v>8</v>
      </c>
      <c r="CB899" s="27" t="s">
        <v>7</v>
      </c>
      <c r="CC899" s="27" t="s">
        <v>8</v>
      </c>
      <c r="FY899" s="27" t="s">
        <v>8</v>
      </c>
      <c r="FZ899" s="27" t="s">
        <v>7</v>
      </c>
      <c r="GK899" s="27" t="s">
        <v>8</v>
      </c>
      <c r="GL899" s="27" t="s">
        <v>7</v>
      </c>
      <c r="GM899" s="27" t="s">
        <v>8</v>
      </c>
      <c r="GN899" s="27" t="s">
        <v>7</v>
      </c>
      <c r="GO899" s="27" t="s">
        <v>8</v>
      </c>
      <c r="GP899" s="27" t="s">
        <v>7</v>
      </c>
      <c r="GS899" s="27" t="s">
        <v>8</v>
      </c>
      <c r="HN899" s="27" t="s">
        <v>7</v>
      </c>
      <c r="HO899" s="27" t="s">
        <v>8</v>
      </c>
      <c r="HP899" s="27" t="s">
        <v>7</v>
      </c>
      <c r="HQ899" s="27" t="s">
        <v>8</v>
      </c>
      <c r="HR899" s="27" t="s">
        <v>7</v>
      </c>
      <c r="HS899" s="27" t="s">
        <v>8</v>
      </c>
      <c r="HW899" s="27" t="s">
        <v>8</v>
      </c>
      <c r="IH899" s="27" t="s">
        <v>7</v>
      </c>
      <c r="II899" s="27" t="s">
        <v>8</v>
      </c>
      <c r="JF899" s="27" t="s">
        <v>7</v>
      </c>
      <c r="JG899" s="27" t="s">
        <v>8</v>
      </c>
      <c r="JH899" s="27" t="s">
        <v>7</v>
      </c>
      <c r="JI899" s="27" t="s">
        <v>8</v>
      </c>
      <c r="JJ899" s="27" t="s">
        <v>7</v>
      </c>
      <c r="JK899" s="27" t="s">
        <v>8</v>
      </c>
      <c r="JM899" s="27" t="s">
        <v>8</v>
      </c>
      <c r="JN899" s="27" t="s">
        <v>7</v>
      </c>
      <c r="JO899" s="27" t="s">
        <v>8</v>
      </c>
      <c r="JP899" s="27" t="s">
        <v>7</v>
      </c>
      <c r="JQ899" s="27" t="s">
        <v>8</v>
      </c>
      <c r="JT899" s="27" t="s">
        <v>7</v>
      </c>
      <c r="JU899" s="27" t="s">
        <v>8</v>
      </c>
      <c r="JV899" s="27" t="s">
        <v>7</v>
      </c>
    </row>
    <row r="900" spans="1:288" x14ac:dyDescent="0.25">
      <c r="A900" s="7">
        <v>2.0330414749072595E-3</v>
      </c>
      <c r="B900"/>
      <c r="C900"/>
      <c r="D900"/>
      <c r="E900"/>
      <c r="F900" s="27" t="s">
        <v>7</v>
      </c>
      <c r="AG900" s="27" t="s">
        <v>8</v>
      </c>
      <c r="AH900" s="27" t="s">
        <v>7</v>
      </c>
      <c r="AM900" s="27" t="s">
        <v>8</v>
      </c>
      <c r="AN900" s="27" t="s">
        <v>7</v>
      </c>
      <c r="AO900" s="27" t="s">
        <v>8</v>
      </c>
      <c r="AP900" s="27" t="s">
        <v>7</v>
      </c>
      <c r="AR900" s="27" t="s">
        <v>7</v>
      </c>
      <c r="AS900" s="27" t="s">
        <v>8</v>
      </c>
      <c r="AT900" s="27" t="s">
        <v>7</v>
      </c>
      <c r="AU900" s="27" t="s">
        <v>8</v>
      </c>
      <c r="AV900" s="27" t="s">
        <v>7</v>
      </c>
      <c r="AW900" s="27" t="s">
        <v>8</v>
      </c>
      <c r="AX900" s="27" t="s">
        <v>7</v>
      </c>
      <c r="BQ900" s="27" t="s">
        <v>8</v>
      </c>
      <c r="BR900" s="27" t="s">
        <v>7</v>
      </c>
      <c r="BS900" s="27" t="s">
        <v>8</v>
      </c>
      <c r="BT900" s="27" t="s">
        <v>7</v>
      </c>
      <c r="BU900" s="27" t="s">
        <v>8</v>
      </c>
      <c r="BX900" s="27" t="s">
        <v>7</v>
      </c>
      <c r="BY900" s="27" t="s">
        <v>8</v>
      </c>
      <c r="BZ900" s="27" t="s">
        <v>7</v>
      </c>
      <c r="CA900" s="27" t="s">
        <v>8</v>
      </c>
      <c r="CB900" s="27" t="s">
        <v>7</v>
      </c>
      <c r="CC900" s="27" t="s">
        <v>8</v>
      </c>
      <c r="CD900" s="27" t="s">
        <v>7</v>
      </c>
      <c r="FY900" s="27" t="s">
        <v>8</v>
      </c>
      <c r="FZ900" s="27" t="s">
        <v>7</v>
      </c>
      <c r="GK900" s="27" t="s">
        <v>8</v>
      </c>
      <c r="GL900" s="27" t="s">
        <v>7</v>
      </c>
      <c r="GM900" s="27" t="s">
        <v>8</v>
      </c>
      <c r="GN900" s="27" t="s">
        <v>7</v>
      </c>
      <c r="GO900" s="27" t="s">
        <v>8</v>
      </c>
      <c r="GP900" s="27" t="s">
        <v>7</v>
      </c>
      <c r="GS900" s="27" t="s">
        <v>8</v>
      </c>
      <c r="HN900" s="27" t="s">
        <v>7</v>
      </c>
      <c r="HO900" s="27" t="s">
        <v>8</v>
      </c>
      <c r="HP900" s="27" t="s">
        <v>7</v>
      </c>
      <c r="HQ900" s="27" t="s">
        <v>8</v>
      </c>
      <c r="HR900" s="27" t="s">
        <v>7</v>
      </c>
      <c r="HS900" s="27" t="s">
        <v>8</v>
      </c>
      <c r="HT900" s="27" t="s">
        <v>7</v>
      </c>
      <c r="HW900" s="27" t="s">
        <v>8</v>
      </c>
      <c r="IH900" s="27" t="s">
        <v>7</v>
      </c>
      <c r="JF900" s="27" t="s">
        <v>7</v>
      </c>
      <c r="JG900" s="27" t="s">
        <v>8</v>
      </c>
      <c r="JH900" s="27" t="s">
        <v>7</v>
      </c>
      <c r="JI900" s="27" t="s">
        <v>8</v>
      </c>
      <c r="JJ900" s="27" t="s">
        <v>7</v>
      </c>
      <c r="JK900" s="27" t="s">
        <v>8</v>
      </c>
      <c r="JL900" s="27" t="s">
        <v>7</v>
      </c>
      <c r="JM900" s="27" t="s">
        <v>8</v>
      </c>
      <c r="JN900" s="27" t="s">
        <v>7</v>
      </c>
      <c r="JO900" s="27" t="s">
        <v>8</v>
      </c>
      <c r="JP900" s="27" t="s">
        <v>7</v>
      </c>
      <c r="JQ900" s="27" t="s">
        <v>8</v>
      </c>
      <c r="JT900" s="27" t="s">
        <v>7</v>
      </c>
      <c r="JU900" s="27" t="s">
        <v>8</v>
      </c>
    </row>
    <row r="901" spans="1:288" x14ac:dyDescent="0.25">
      <c r="A901" s="7">
        <v>1.9931779165757446E-3</v>
      </c>
      <c r="B901"/>
      <c r="C901"/>
      <c r="D901"/>
      <c r="E901"/>
      <c r="F901" s="27" t="s">
        <v>7</v>
      </c>
      <c r="AG901" s="27" t="s">
        <v>8</v>
      </c>
      <c r="AH901" s="27" t="s">
        <v>7</v>
      </c>
      <c r="AM901" s="27" t="s">
        <v>8</v>
      </c>
      <c r="AN901" s="27" t="s">
        <v>7</v>
      </c>
      <c r="AO901" s="27" t="s">
        <v>8</v>
      </c>
      <c r="AR901" s="27" t="s">
        <v>7</v>
      </c>
      <c r="AS901" s="27" t="s">
        <v>8</v>
      </c>
      <c r="AT901" s="27" t="s">
        <v>7</v>
      </c>
      <c r="AU901" s="27" t="s">
        <v>8</v>
      </c>
      <c r="AV901" s="27" t="s">
        <v>7</v>
      </c>
      <c r="AW901" s="27" t="s">
        <v>8</v>
      </c>
      <c r="AX901" s="27" t="s">
        <v>7</v>
      </c>
      <c r="BQ901" s="27" t="s">
        <v>8</v>
      </c>
      <c r="BR901" s="27" t="s">
        <v>7</v>
      </c>
      <c r="BS901" s="27" t="s">
        <v>8</v>
      </c>
      <c r="BT901" s="27" t="s">
        <v>7</v>
      </c>
      <c r="BU901" s="27" t="s">
        <v>8</v>
      </c>
      <c r="BX901" s="27" t="s">
        <v>7</v>
      </c>
      <c r="BY901" s="27" t="s">
        <v>8</v>
      </c>
      <c r="BZ901" s="27" t="s">
        <v>7</v>
      </c>
      <c r="CA901" s="27" t="s">
        <v>8</v>
      </c>
      <c r="CB901" s="27" t="s">
        <v>7</v>
      </c>
      <c r="CC901" s="27" t="s">
        <v>8</v>
      </c>
      <c r="CD901" s="27" t="s">
        <v>7</v>
      </c>
      <c r="FY901" s="27" t="s">
        <v>8</v>
      </c>
      <c r="FZ901" s="27" t="s">
        <v>7</v>
      </c>
      <c r="GK901" s="27" t="s">
        <v>8</v>
      </c>
      <c r="GL901" s="27" t="s">
        <v>7</v>
      </c>
      <c r="GM901" s="27" t="s">
        <v>8</v>
      </c>
      <c r="GN901" s="27" t="s">
        <v>7</v>
      </c>
      <c r="GO901" s="27" t="s">
        <v>8</v>
      </c>
      <c r="GP901" s="27" t="s">
        <v>7</v>
      </c>
      <c r="GQ901" s="27" t="s">
        <v>8</v>
      </c>
      <c r="GS901" s="27" t="s">
        <v>8</v>
      </c>
      <c r="HN901" s="27" t="s">
        <v>7</v>
      </c>
      <c r="HO901" s="27" t="s">
        <v>8</v>
      </c>
      <c r="HP901" s="27" t="s">
        <v>7</v>
      </c>
      <c r="HQ901" s="27" t="s">
        <v>8</v>
      </c>
      <c r="HR901" s="27" t="s">
        <v>7</v>
      </c>
      <c r="HS901" s="27" t="s">
        <v>8</v>
      </c>
      <c r="HT901" s="27" t="s">
        <v>7</v>
      </c>
      <c r="HW901" s="27" t="s">
        <v>8</v>
      </c>
      <c r="JF901" s="27" t="s">
        <v>7</v>
      </c>
      <c r="JG901" s="27" t="s">
        <v>8</v>
      </c>
      <c r="JH901" s="27" t="s">
        <v>7</v>
      </c>
      <c r="JI901" s="27" t="s">
        <v>8</v>
      </c>
      <c r="JJ901" s="27" t="s">
        <v>7</v>
      </c>
      <c r="JK901" s="27" t="s">
        <v>8</v>
      </c>
      <c r="JL901" s="27" t="s">
        <v>7</v>
      </c>
      <c r="JM901" s="27" t="s">
        <v>8</v>
      </c>
      <c r="JN901" s="27" t="s">
        <v>7</v>
      </c>
      <c r="JP901" s="27" t="s">
        <v>7</v>
      </c>
      <c r="JQ901" s="27" t="s">
        <v>8</v>
      </c>
      <c r="JT901" s="27" t="s">
        <v>7</v>
      </c>
      <c r="JU901" s="27" t="s">
        <v>8</v>
      </c>
    </row>
    <row r="902" spans="1:288" x14ac:dyDescent="0.25">
      <c r="A902" s="7">
        <v>1.954095996642887E-3</v>
      </c>
      <c r="B902"/>
      <c r="C902"/>
      <c r="D902"/>
      <c r="E902"/>
      <c r="F902" s="27" t="s">
        <v>7</v>
      </c>
      <c r="AG902" s="27" t="s">
        <v>8</v>
      </c>
      <c r="AH902" s="27" t="s">
        <v>7</v>
      </c>
      <c r="AM902" s="27" t="s">
        <v>8</v>
      </c>
      <c r="AN902" s="27" t="s">
        <v>7</v>
      </c>
      <c r="AO902" s="27" t="s">
        <v>8</v>
      </c>
      <c r="AR902" s="27" t="s">
        <v>7</v>
      </c>
      <c r="AT902" s="27" t="s">
        <v>7</v>
      </c>
      <c r="AV902" s="27" t="s">
        <v>7</v>
      </c>
      <c r="AW902" s="27" t="s">
        <v>8</v>
      </c>
      <c r="AX902" s="27" t="s">
        <v>7</v>
      </c>
      <c r="BQ902" s="27" t="s">
        <v>8</v>
      </c>
      <c r="BR902" s="27" t="s">
        <v>7</v>
      </c>
      <c r="BS902" s="27" t="s">
        <v>8</v>
      </c>
      <c r="BT902" s="27" t="s">
        <v>7</v>
      </c>
      <c r="BU902" s="27" t="s">
        <v>8</v>
      </c>
      <c r="BX902" s="27" t="s">
        <v>7</v>
      </c>
      <c r="BY902" s="27" t="s">
        <v>8</v>
      </c>
      <c r="BZ902" s="27" t="s">
        <v>7</v>
      </c>
      <c r="CA902" s="27" t="s">
        <v>8</v>
      </c>
      <c r="CB902" s="27" t="s">
        <v>7</v>
      </c>
      <c r="CC902" s="27" t="s">
        <v>8</v>
      </c>
      <c r="CD902" s="27" t="s">
        <v>7</v>
      </c>
      <c r="FY902" s="27" t="s">
        <v>8</v>
      </c>
      <c r="FZ902" s="27" t="s">
        <v>7</v>
      </c>
      <c r="GK902" s="27" t="s">
        <v>8</v>
      </c>
      <c r="GL902" s="27" t="s">
        <v>7</v>
      </c>
      <c r="GM902" s="27" t="s">
        <v>8</v>
      </c>
      <c r="GN902" s="27" t="s">
        <v>7</v>
      </c>
      <c r="GP902" s="27" t="s">
        <v>7</v>
      </c>
      <c r="GQ902" s="27" t="s">
        <v>8</v>
      </c>
      <c r="GR902" s="27" t="s">
        <v>7</v>
      </c>
      <c r="GS902" s="27" t="s">
        <v>8</v>
      </c>
      <c r="HN902" s="27" t="s">
        <v>7</v>
      </c>
      <c r="HO902" s="27" t="s">
        <v>8</v>
      </c>
      <c r="HP902" s="27" t="s">
        <v>7</v>
      </c>
      <c r="HQ902" s="27" t="s">
        <v>8</v>
      </c>
      <c r="HR902" s="27" t="s">
        <v>7</v>
      </c>
      <c r="HT902" s="27" t="s">
        <v>7</v>
      </c>
      <c r="HW902" s="27" t="s">
        <v>8</v>
      </c>
      <c r="JF902" s="27" t="s">
        <v>7</v>
      </c>
      <c r="JG902" s="27" t="s">
        <v>8</v>
      </c>
      <c r="JH902" s="27" t="s">
        <v>7</v>
      </c>
      <c r="JI902" s="27" t="s">
        <v>8</v>
      </c>
      <c r="JJ902" s="27" t="s">
        <v>7</v>
      </c>
      <c r="JK902" s="27" t="s">
        <v>8</v>
      </c>
      <c r="JL902" s="27" t="s">
        <v>7</v>
      </c>
      <c r="JM902" s="27" t="s">
        <v>8</v>
      </c>
      <c r="JP902" s="27" t="s">
        <v>7</v>
      </c>
      <c r="JT902" s="27" t="s">
        <v>7</v>
      </c>
    </row>
    <row r="903" spans="1:288" x14ac:dyDescent="0.25">
      <c r="A903" s="7">
        <v>1.9157803888655755E-3</v>
      </c>
      <c r="B903"/>
      <c r="C903"/>
      <c r="D903"/>
      <c r="E903"/>
      <c r="F903" s="27" t="s">
        <v>7</v>
      </c>
      <c r="AG903" s="27" t="s">
        <v>8</v>
      </c>
      <c r="AH903" s="27" t="s">
        <v>7</v>
      </c>
      <c r="AM903" s="27" t="s">
        <v>8</v>
      </c>
      <c r="AN903" s="27" t="s">
        <v>7</v>
      </c>
      <c r="AO903" s="27" t="s">
        <v>8</v>
      </c>
      <c r="AV903" s="27" t="s">
        <v>7</v>
      </c>
      <c r="AW903" s="27" t="s">
        <v>8</v>
      </c>
      <c r="AX903" s="27" t="s">
        <v>7</v>
      </c>
      <c r="BC903" s="27" t="s">
        <v>8</v>
      </c>
      <c r="BQ903" s="27" t="s">
        <v>8</v>
      </c>
      <c r="BR903" s="27" t="s">
        <v>7</v>
      </c>
      <c r="BS903" s="27" t="s">
        <v>8</v>
      </c>
      <c r="BT903" s="27" t="s">
        <v>7</v>
      </c>
      <c r="BU903" s="27" t="s">
        <v>8</v>
      </c>
      <c r="BX903" s="27" t="s">
        <v>7</v>
      </c>
      <c r="BY903" s="27" t="s">
        <v>8</v>
      </c>
      <c r="BZ903" s="27" t="s">
        <v>7</v>
      </c>
      <c r="CB903" s="27" t="s">
        <v>7</v>
      </c>
      <c r="CD903" s="27" t="s">
        <v>7</v>
      </c>
      <c r="FY903" s="27" t="s">
        <v>8</v>
      </c>
      <c r="FZ903" s="27" t="s">
        <v>7</v>
      </c>
      <c r="GI903" s="27" t="s">
        <v>8</v>
      </c>
      <c r="GK903" s="27" t="s">
        <v>8</v>
      </c>
      <c r="GL903" s="27" t="s">
        <v>7</v>
      </c>
      <c r="GM903" s="27" t="s">
        <v>8</v>
      </c>
      <c r="GP903" s="27" t="s">
        <v>7</v>
      </c>
      <c r="GQ903" s="27" t="s">
        <v>8</v>
      </c>
      <c r="GR903" s="27" t="s">
        <v>7</v>
      </c>
      <c r="GS903" s="27" t="s">
        <v>8</v>
      </c>
      <c r="HN903" s="27" t="s">
        <v>7</v>
      </c>
      <c r="HP903" s="27" t="s">
        <v>7</v>
      </c>
      <c r="HQ903" s="27" t="s">
        <v>8</v>
      </c>
      <c r="HT903" s="27" t="s">
        <v>7</v>
      </c>
      <c r="HU903" s="27" t="s">
        <v>8</v>
      </c>
      <c r="HW903" s="27" t="s">
        <v>8</v>
      </c>
      <c r="JF903" s="27" t="s">
        <v>7</v>
      </c>
      <c r="JG903" s="27" t="s">
        <v>8</v>
      </c>
      <c r="JH903" s="27" t="s">
        <v>7</v>
      </c>
      <c r="JJ903" s="27" t="s">
        <v>7</v>
      </c>
      <c r="JL903" s="27" t="s">
        <v>7</v>
      </c>
    </row>
    <row r="904" spans="1:288" x14ac:dyDescent="0.25">
      <c r="A904" s="7">
        <v>1.8782160675152703E-3</v>
      </c>
      <c r="B904"/>
      <c r="C904"/>
      <c r="D904"/>
      <c r="E904"/>
      <c r="F904" s="27" t="s">
        <v>7</v>
      </c>
      <c r="AG904" s="27" t="s">
        <v>8</v>
      </c>
      <c r="AH904" s="27" t="s">
        <v>7</v>
      </c>
      <c r="AM904" s="27" t="s">
        <v>8</v>
      </c>
      <c r="AN904" s="27" t="s">
        <v>7</v>
      </c>
      <c r="AO904" s="27" t="s">
        <v>8</v>
      </c>
      <c r="AV904" s="27" t="s">
        <v>7</v>
      </c>
      <c r="AW904" s="27" t="s">
        <v>8</v>
      </c>
      <c r="AX904" s="27" t="s">
        <v>7</v>
      </c>
      <c r="BC904" s="27" t="s">
        <v>8</v>
      </c>
      <c r="BD904" s="27" t="s">
        <v>7</v>
      </c>
      <c r="BG904" s="27" t="s">
        <v>8</v>
      </c>
      <c r="BQ904" s="27" t="s">
        <v>8</v>
      </c>
      <c r="BR904" s="27" t="s">
        <v>7</v>
      </c>
      <c r="BT904" s="27" t="s">
        <v>7</v>
      </c>
      <c r="BX904" s="27" t="s">
        <v>7</v>
      </c>
      <c r="CD904" s="27" t="s">
        <v>7</v>
      </c>
      <c r="CI904" s="27" t="s">
        <v>8</v>
      </c>
      <c r="FY904" s="27" t="s">
        <v>8</v>
      </c>
      <c r="FZ904" s="27" t="s">
        <v>7</v>
      </c>
      <c r="GI904" s="27" t="s">
        <v>8</v>
      </c>
      <c r="GJ904" s="27" t="s">
        <v>7</v>
      </c>
      <c r="GK904" s="27" t="s">
        <v>8</v>
      </c>
      <c r="GL904" s="27" t="s">
        <v>7</v>
      </c>
      <c r="GM904" s="27" t="s">
        <v>8</v>
      </c>
      <c r="GP904" s="27" t="s">
        <v>7</v>
      </c>
      <c r="GQ904" s="27" t="s">
        <v>8</v>
      </c>
      <c r="GR904" s="27" t="s">
        <v>7</v>
      </c>
      <c r="GS904" s="27" t="s">
        <v>8</v>
      </c>
      <c r="HP904" s="27" t="s">
        <v>7</v>
      </c>
      <c r="HQ904" s="27" t="s">
        <v>8</v>
      </c>
      <c r="HT904" s="27" t="s">
        <v>7</v>
      </c>
      <c r="HU904" s="27" t="s">
        <v>8</v>
      </c>
      <c r="HV904" s="27" t="s">
        <v>7</v>
      </c>
      <c r="HW904" s="27" t="s">
        <v>8</v>
      </c>
      <c r="JF904" s="27" t="s">
        <v>7</v>
      </c>
      <c r="JG904" s="27" t="s">
        <v>8</v>
      </c>
    </row>
    <row r="905" spans="1:288" x14ac:dyDescent="0.25">
      <c r="A905" s="7">
        <v>1.8413883014855592E-3</v>
      </c>
      <c r="B905"/>
      <c r="C905"/>
      <c r="D905"/>
      <c r="E905"/>
      <c r="F905" s="27" t="s">
        <v>7</v>
      </c>
      <c r="AE905" s="27" t="s">
        <v>8</v>
      </c>
      <c r="AG905" s="27" t="s">
        <v>8</v>
      </c>
      <c r="AH905" s="27" t="s">
        <v>7</v>
      </c>
      <c r="AI905" s="27" t="s">
        <v>8</v>
      </c>
      <c r="AM905" s="27" t="s">
        <v>8</v>
      </c>
      <c r="AN905" s="27" t="s">
        <v>7</v>
      </c>
      <c r="AO905" s="27" t="s">
        <v>8</v>
      </c>
      <c r="AV905" s="27" t="s">
        <v>7</v>
      </c>
      <c r="AX905" s="27" t="s">
        <v>7</v>
      </c>
      <c r="BC905" s="27" t="s">
        <v>8</v>
      </c>
      <c r="BD905" s="27" t="s">
        <v>7</v>
      </c>
      <c r="BG905" s="27" t="s">
        <v>8</v>
      </c>
      <c r="BH905" s="27" t="s">
        <v>7</v>
      </c>
      <c r="BQ905" s="27" t="s">
        <v>8</v>
      </c>
      <c r="CD905" s="27" t="s">
        <v>7</v>
      </c>
      <c r="CI905" s="27" t="s">
        <v>8</v>
      </c>
      <c r="CJ905" s="27" t="s">
        <v>7</v>
      </c>
      <c r="FY905" s="27" t="s">
        <v>8</v>
      </c>
      <c r="FZ905" s="27" t="s">
        <v>7</v>
      </c>
      <c r="GA905" s="27" t="s">
        <v>8</v>
      </c>
      <c r="GI905" s="27" t="s">
        <v>8</v>
      </c>
      <c r="GJ905" s="27" t="s">
        <v>7</v>
      </c>
      <c r="GK905" s="27" t="s">
        <v>8</v>
      </c>
      <c r="GL905" s="27" t="s">
        <v>7</v>
      </c>
      <c r="GM905" s="27" t="s">
        <v>8</v>
      </c>
      <c r="GP905" s="27" t="s">
        <v>7</v>
      </c>
      <c r="GR905" s="27" t="s">
        <v>7</v>
      </c>
      <c r="GS905" s="27" t="s">
        <v>8</v>
      </c>
      <c r="HP905" s="27" t="s">
        <v>7</v>
      </c>
      <c r="HQ905" s="27" t="s">
        <v>8</v>
      </c>
      <c r="HT905" s="27" t="s">
        <v>7</v>
      </c>
      <c r="HU905" s="27" t="s">
        <v>8</v>
      </c>
      <c r="HV905" s="27" t="s">
        <v>7</v>
      </c>
      <c r="HW905" s="27" t="s">
        <v>8</v>
      </c>
      <c r="JF905" s="27" t="s">
        <v>7</v>
      </c>
      <c r="JG905" s="27" t="s">
        <v>8</v>
      </c>
    </row>
    <row r="906" spans="1:288" x14ac:dyDescent="0.25">
      <c r="A906" s="7">
        <v>1.8052826485152542E-3</v>
      </c>
      <c r="B906"/>
      <c r="C906"/>
      <c r="D906"/>
      <c r="E906"/>
      <c r="F906" s="27" t="s">
        <v>7</v>
      </c>
      <c r="M906" s="27" t="s">
        <v>8</v>
      </c>
      <c r="AE906" s="27" t="s">
        <v>8</v>
      </c>
      <c r="AF906" s="27" t="s">
        <v>7</v>
      </c>
      <c r="AG906" s="27" t="s">
        <v>8</v>
      </c>
      <c r="AH906" s="27" t="s">
        <v>7</v>
      </c>
      <c r="AI906" s="27" t="s">
        <v>8</v>
      </c>
      <c r="AJ906" s="27" t="s">
        <v>7</v>
      </c>
      <c r="AM906" s="27" t="s">
        <v>8</v>
      </c>
      <c r="AN906" s="27" t="s">
        <v>7</v>
      </c>
      <c r="AO906" s="27" t="s">
        <v>8</v>
      </c>
      <c r="AX906" s="27" t="s">
        <v>7</v>
      </c>
      <c r="BC906" s="27" t="s">
        <v>8</v>
      </c>
      <c r="BD906" s="27" t="s">
        <v>7</v>
      </c>
      <c r="BG906" s="27" t="s">
        <v>8</v>
      </c>
      <c r="BH906" s="27" t="s">
        <v>7</v>
      </c>
      <c r="BK906" s="27" t="s">
        <v>8</v>
      </c>
      <c r="BQ906" s="27" t="s">
        <v>8</v>
      </c>
      <c r="CD906" s="27" t="s">
        <v>7</v>
      </c>
      <c r="CI906" s="27" t="s">
        <v>8</v>
      </c>
      <c r="CJ906" s="27" t="s">
        <v>7</v>
      </c>
      <c r="FY906" s="27" t="s">
        <v>8</v>
      </c>
      <c r="FZ906" s="27" t="s">
        <v>7</v>
      </c>
      <c r="GA906" s="27" t="s">
        <v>8</v>
      </c>
      <c r="GB906" s="27" t="s">
        <v>7</v>
      </c>
      <c r="GI906" s="27" t="s">
        <v>8</v>
      </c>
      <c r="GJ906" s="27" t="s">
        <v>7</v>
      </c>
      <c r="GK906" s="27" t="s">
        <v>8</v>
      </c>
      <c r="GL906" s="27" t="s">
        <v>7</v>
      </c>
      <c r="GM906" s="27" t="s">
        <v>8</v>
      </c>
      <c r="GR906" s="27" t="s">
        <v>7</v>
      </c>
      <c r="GS906" s="27" t="s">
        <v>8</v>
      </c>
      <c r="HP906" s="27" t="s">
        <v>7</v>
      </c>
      <c r="HQ906" s="27" t="s">
        <v>8</v>
      </c>
      <c r="HT906" s="27" t="s">
        <v>7</v>
      </c>
      <c r="HU906" s="27" t="s">
        <v>8</v>
      </c>
      <c r="HV906" s="27" t="s">
        <v>7</v>
      </c>
      <c r="HW906" s="27" t="s">
        <v>8</v>
      </c>
      <c r="JF906" s="27" t="s">
        <v>7</v>
      </c>
      <c r="JG906" s="27" t="s">
        <v>8</v>
      </c>
    </row>
    <row r="907" spans="1:288" x14ac:dyDescent="0.25">
      <c r="A907" s="7">
        <v>1.7698849495247592E-3</v>
      </c>
      <c r="B907"/>
      <c r="C907"/>
      <c r="D907"/>
      <c r="E907"/>
      <c r="F907" s="27" t="s">
        <v>7</v>
      </c>
      <c r="M907" s="27" t="s">
        <v>8</v>
      </c>
      <c r="N907" s="27" t="s">
        <v>7</v>
      </c>
      <c r="AE907" s="27" t="s">
        <v>8</v>
      </c>
      <c r="AF907" s="27" t="s">
        <v>7</v>
      </c>
      <c r="AG907" s="27" t="s">
        <v>8</v>
      </c>
      <c r="AH907" s="27" t="s">
        <v>7</v>
      </c>
      <c r="AI907" s="27" t="s">
        <v>8</v>
      </c>
      <c r="AJ907" s="27" t="s">
        <v>7</v>
      </c>
      <c r="AK907" s="27" t="s">
        <v>8</v>
      </c>
      <c r="AM907" s="27" t="s">
        <v>8</v>
      </c>
      <c r="AN907" s="27" t="s">
        <v>7</v>
      </c>
      <c r="AO907" s="27" t="s">
        <v>8</v>
      </c>
      <c r="AX907" s="27" t="s">
        <v>7</v>
      </c>
      <c r="BC907" s="27" t="s">
        <v>8</v>
      </c>
      <c r="BD907" s="27" t="s">
        <v>7</v>
      </c>
      <c r="BE907" s="27" t="s">
        <v>8</v>
      </c>
      <c r="BG907" s="27" t="s">
        <v>8</v>
      </c>
      <c r="BH907" s="27" t="s">
        <v>7</v>
      </c>
      <c r="BK907" s="27" t="s">
        <v>8</v>
      </c>
      <c r="BL907" s="27" t="s">
        <v>7</v>
      </c>
      <c r="BQ907" s="27" t="s">
        <v>8</v>
      </c>
      <c r="CD907" s="27" t="s">
        <v>7</v>
      </c>
      <c r="CI907" s="27" t="s">
        <v>8</v>
      </c>
      <c r="CJ907" s="27" t="s">
        <v>7</v>
      </c>
      <c r="FY907" s="27" t="s">
        <v>8</v>
      </c>
      <c r="FZ907" s="27" t="s">
        <v>7</v>
      </c>
      <c r="GA907" s="27" t="s">
        <v>8</v>
      </c>
      <c r="GB907" s="27" t="s">
        <v>7</v>
      </c>
      <c r="GI907" s="27" t="s">
        <v>8</v>
      </c>
      <c r="GJ907" s="27" t="s">
        <v>7</v>
      </c>
      <c r="GK907" s="27" t="s">
        <v>8</v>
      </c>
      <c r="GL907" s="27" t="s">
        <v>7</v>
      </c>
      <c r="GM907" s="27" t="s">
        <v>8</v>
      </c>
      <c r="GR907" s="27" t="s">
        <v>7</v>
      </c>
      <c r="GS907" s="27" t="s">
        <v>8</v>
      </c>
      <c r="HP907" s="27" t="s">
        <v>7</v>
      </c>
      <c r="HQ907" s="27" t="s">
        <v>8</v>
      </c>
      <c r="HT907" s="27" t="s">
        <v>7</v>
      </c>
      <c r="HU907" s="27" t="s">
        <v>8</v>
      </c>
      <c r="HV907" s="27" t="s">
        <v>7</v>
      </c>
      <c r="JF907" s="27" t="s">
        <v>7</v>
      </c>
      <c r="JG907" s="27" t="s">
        <v>8</v>
      </c>
    </row>
    <row r="908" spans="1:288" x14ac:dyDescent="0.25">
      <c r="A908" s="7">
        <v>1.7351813230634893E-3</v>
      </c>
      <c r="B908"/>
      <c r="C908"/>
      <c r="D908"/>
      <c r="E908"/>
      <c r="F908" s="27" t="s">
        <v>7</v>
      </c>
      <c r="M908" s="27" t="s">
        <v>8</v>
      </c>
      <c r="N908" s="27" t="s">
        <v>7</v>
      </c>
      <c r="AE908" s="27" t="s">
        <v>8</v>
      </c>
      <c r="AF908" s="27" t="s">
        <v>7</v>
      </c>
      <c r="AG908" s="27" t="s">
        <v>8</v>
      </c>
      <c r="AH908" s="27" t="s">
        <v>7</v>
      </c>
      <c r="AI908" s="27" t="s">
        <v>8</v>
      </c>
      <c r="AJ908" s="27" t="s">
        <v>7</v>
      </c>
      <c r="AK908" s="27" t="s">
        <v>8</v>
      </c>
      <c r="AL908" s="27" t="s">
        <v>7</v>
      </c>
      <c r="AM908" s="27" t="s">
        <v>8</v>
      </c>
      <c r="AN908" s="27" t="s">
        <v>7</v>
      </c>
      <c r="AO908" s="27" t="s">
        <v>8</v>
      </c>
      <c r="AX908" s="27" t="s">
        <v>7</v>
      </c>
      <c r="AY908" s="27" t="s">
        <v>8</v>
      </c>
      <c r="BC908" s="27" t="s">
        <v>8</v>
      </c>
      <c r="BD908" s="27" t="s">
        <v>7</v>
      </c>
      <c r="BE908" s="27" t="s">
        <v>8</v>
      </c>
      <c r="BF908" s="27" t="s">
        <v>7</v>
      </c>
      <c r="BG908" s="27" t="s">
        <v>8</v>
      </c>
      <c r="BH908" s="27" t="s">
        <v>7</v>
      </c>
      <c r="BI908" s="27" t="s">
        <v>8</v>
      </c>
      <c r="BK908" s="27" t="s">
        <v>8</v>
      </c>
      <c r="BL908" s="27" t="s">
        <v>7</v>
      </c>
      <c r="BQ908" s="27" t="s">
        <v>8</v>
      </c>
      <c r="CD908" s="27" t="s">
        <v>7</v>
      </c>
      <c r="CE908" s="27" t="s">
        <v>8</v>
      </c>
      <c r="CI908" s="27" t="s">
        <v>8</v>
      </c>
      <c r="CJ908" s="27" t="s">
        <v>7</v>
      </c>
      <c r="FW908" s="27" t="s">
        <v>8</v>
      </c>
      <c r="FY908" s="27" t="s">
        <v>8</v>
      </c>
      <c r="FZ908" s="27" t="s">
        <v>7</v>
      </c>
      <c r="GA908" s="27" t="s">
        <v>8</v>
      </c>
      <c r="GB908" s="27" t="s">
        <v>7</v>
      </c>
      <c r="GC908" s="27" t="s">
        <v>8</v>
      </c>
      <c r="GI908" s="27" t="s">
        <v>8</v>
      </c>
      <c r="GJ908" s="27" t="s">
        <v>7</v>
      </c>
      <c r="GK908" s="27" t="s">
        <v>8</v>
      </c>
      <c r="GL908" s="27" t="s">
        <v>7</v>
      </c>
      <c r="GR908" s="27" t="s">
        <v>7</v>
      </c>
      <c r="HP908" s="27" t="s">
        <v>7</v>
      </c>
      <c r="HQ908" s="27" t="s">
        <v>8</v>
      </c>
      <c r="HT908" s="27" t="s">
        <v>7</v>
      </c>
      <c r="HU908" s="27" t="s">
        <v>8</v>
      </c>
      <c r="JF908" s="27" t="s">
        <v>7</v>
      </c>
      <c r="JG908" s="27" t="s">
        <v>8</v>
      </c>
    </row>
    <row r="909" spans="1:288" x14ac:dyDescent="0.25">
      <c r="A909" s="7">
        <v>1.701158159866166E-3</v>
      </c>
      <c r="B909"/>
      <c r="C909"/>
      <c r="D909"/>
      <c r="E909"/>
      <c r="F909" s="27" t="s">
        <v>7</v>
      </c>
      <c r="M909" s="27" t="s">
        <v>8</v>
      </c>
      <c r="N909" s="27" t="s">
        <v>7</v>
      </c>
      <c r="AE909" s="27" t="s">
        <v>8</v>
      </c>
      <c r="AF909" s="27" t="s">
        <v>7</v>
      </c>
      <c r="AG909" s="27" t="s">
        <v>8</v>
      </c>
      <c r="AH909" s="27" t="s">
        <v>7</v>
      </c>
      <c r="AI909" s="27" t="s">
        <v>8</v>
      </c>
      <c r="AJ909" s="27" t="s">
        <v>7</v>
      </c>
      <c r="AK909" s="27" t="s">
        <v>8</v>
      </c>
      <c r="AL909" s="27" t="s">
        <v>7</v>
      </c>
      <c r="AM909" s="27" t="s">
        <v>8</v>
      </c>
      <c r="AN909" s="27" t="s">
        <v>7</v>
      </c>
      <c r="AO909" s="27" t="s">
        <v>8</v>
      </c>
      <c r="AX909" s="27" t="s">
        <v>7</v>
      </c>
      <c r="AY909" s="27" t="s">
        <v>8</v>
      </c>
      <c r="AZ909" s="27" t="s">
        <v>7</v>
      </c>
      <c r="BA909" s="27" t="s">
        <v>8</v>
      </c>
      <c r="BC909" s="27" t="s">
        <v>8</v>
      </c>
      <c r="BD909" s="27" t="s">
        <v>7</v>
      </c>
      <c r="BE909" s="27" t="s">
        <v>8</v>
      </c>
      <c r="BF909" s="27" t="s">
        <v>7</v>
      </c>
      <c r="BG909" s="27" t="s">
        <v>8</v>
      </c>
      <c r="BH909" s="27" t="s">
        <v>7</v>
      </c>
      <c r="BI909" s="27" t="s">
        <v>8</v>
      </c>
      <c r="BJ909" s="27" t="s">
        <v>7</v>
      </c>
      <c r="BK909" s="27" t="s">
        <v>8</v>
      </c>
      <c r="BL909" s="27" t="s">
        <v>7</v>
      </c>
      <c r="BQ909" s="27" t="s">
        <v>8</v>
      </c>
      <c r="CD909" s="27" t="s">
        <v>7</v>
      </c>
      <c r="CE909" s="27" t="s">
        <v>8</v>
      </c>
      <c r="CF909" s="27" t="s">
        <v>7</v>
      </c>
      <c r="CI909" s="27" t="s">
        <v>8</v>
      </c>
      <c r="CJ909" s="27" t="s">
        <v>7</v>
      </c>
      <c r="FW909" s="27" t="s">
        <v>8</v>
      </c>
      <c r="FX909" s="27" t="s">
        <v>7</v>
      </c>
      <c r="FY909" s="27" t="s">
        <v>8</v>
      </c>
      <c r="FZ909" s="27" t="s">
        <v>7</v>
      </c>
      <c r="GA909" s="27" t="s">
        <v>8</v>
      </c>
      <c r="GB909" s="27" t="s">
        <v>7</v>
      </c>
      <c r="GC909" s="27" t="s">
        <v>8</v>
      </c>
      <c r="GD909" s="27" t="s">
        <v>7</v>
      </c>
      <c r="GI909" s="27" t="s">
        <v>8</v>
      </c>
      <c r="GJ909" s="27" t="s">
        <v>7</v>
      </c>
      <c r="GK909" s="27" t="s">
        <v>8</v>
      </c>
      <c r="HP909" s="27" t="s">
        <v>7</v>
      </c>
      <c r="HQ909" s="27" t="s">
        <v>8</v>
      </c>
      <c r="HT909" s="27" t="s">
        <v>7</v>
      </c>
      <c r="JF909" s="27" t="s">
        <v>7</v>
      </c>
    </row>
    <row r="910" spans="1:288" x14ac:dyDescent="0.25">
      <c r="A910" s="7">
        <v>1.6678021175158492E-3</v>
      </c>
      <c r="B910"/>
      <c r="C910"/>
      <c r="D910"/>
      <c r="E910"/>
      <c r="F910" s="27" t="s">
        <v>7</v>
      </c>
      <c r="K910" s="27" t="s">
        <v>8</v>
      </c>
      <c r="M910" s="27" t="s">
        <v>8</v>
      </c>
      <c r="N910" s="27" t="s">
        <v>7</v>
      </c>
      <c r="AE910" s="27" t="s">
        <v>8</v>
      </c>
      <c r="AF910" s="27" t="s">
        <v>7</v>
      </c>
      <c r="AG910" s="27" t="s">
        <v>8</v>
      </c>
      <c r="AH910" s="27" t="s">
        <v>7</v>
      </c>
      <c r="AJ910" s="27" t="s">
        <v>7</v>
      </c>
      <c r="AK910" s="27" t="s">
        <v>8</v>
      </c>
      <c r="AL910" s="27" t="s">
        <v>7</v>
      </c>
      <c r="AM910" s="27" t="s">
        <v>8</v>
      </c>
      <c r="AN910" s="27" t="s">
        <v>7</v>
      </c>
      <c r="AX910" s="27" t="s">
        <v>7</v>
      </c>
      <c r="AY910" s="27" t="s">
        <v>8</v>
      </c>
      <c r="AZ910" s="27" t="s">
        <v>7</v>
      </c>
      <c r="BA910" s="27" t="s">
        <v>8</v>
      </c>
      <c r="BB910" s="27" t="s">
        <v>7</v>
      </c>
      <c r="BC910" s="27" t="s">
        <v>8</v>
      </c>
      <c r="BD910" s="27" t="s">
        <v>7</v>
      </c>
      <c r="BF910" s="27" t="s">
        <v>7</v>
      </c>
      <c r="BH910" s="27" t="s">
        <v>7</v>
      </c>
      <c r="BI910" s="27" t="s">
        <v>8</v>
      </c>
      <c r="BJ910" s="27" t="s">
        <v>7</v>
      </c>
      <c r="BK910" s="27" t="s">
        <v>8</v>
      </c>
      <c r="BL910" s="27" t="s">
        <v>7</v>
      </c>
      <c r="BQ910" s="27" t="s">
        <v>8</v>
      </c>
      <c r="CD910" s="27" t="s">
        <v>7</v>
      </c>
      <c r="CE910" s="27" t="s">
        <v>8</v>
      </c>
      <c r="CF910" s="27" t="s">
        <v>7</v>
      </c>
      <c r="CI910" s="27" t="s">
        <v>8</v>
      </c>
      <c r="CJ910" s="27" t="s">
        <v>7</v>
      </c>
      <c r="FW910" s="27" t="s">
        <v>8</v>
      </c>
      <c r="FX910" s="27" t="s">
        <v>7</v>
      </c>
      <c r="FY910" s="27" t="s">
        <v>8</v>
      </c>
      <c r="FZ910" s="27" t="s">
        <v>7</v>
      </c>
      <c r="GA910" s="27" t="s">
        <v>8</v>
      </c>
      <c r="GB910" s="27" t="s">
        <v>7</v>
      </c>
      <c r="GC910" s="27" t="s">
        <v>8</v>
      </c>
      <c r="GD910" s="27" t="s">
        <v>7</v>
      </c>
      <c r="GI910" s="27" t="s">
        <v>8</v>
      </c>
      <c r="GJ910" s="27" t="s">
        <v>7</v>
      </c>
      <c r="HP910" s="27" t="s">
        <v>7</v>
      </c>
      <c r="HQ910" s="27" t="s">
        <v>8</v>
      </c>
    </row>
    <row r="911" spans="1:288" x14ac:dyDescent="0.25">
      <c r="A911" s="7">
        <v>1.6351001152116167E-3</v>
      </c>
      <c r="B911"/>
      <c r="C911"/>
      <c r="D911"/>
      <c r="E911"/>
      <c r="F911" s="27" t="s">
        <v>7</v>
      </c>
      <c r="K911" s="27" t="s">
        <v>8</v>
      </c>
      <c r="L911" s="27" t="s">
        <v>7</v>
      </c>
      <c r="M911" s="27" t="s">
        <v>8</v>
      </c>
      <c r="N911" s="27" t="s">
        <v>7</v>
      </c>
      <c r="AE911" s="27" t="s">
        <v>8</v>
      </c>
      <c r="AF911" s="27" t="s">
        <v>7</v>
      </c>
      <c r="AG911" s="27" t="s">
        <v>8</v>
      </c>
      <c r="AJ911" s="27" t="s">
        <v>7</v>
      </c>
      <c r="AK911" s="27" t="s">
        <v>8</v>
      </c>
      <c r="AL911" s="27" t="s">
        <v>7</v>
      </c>
      <c r="AM911" s="27" t="s">
        <v>8</v>
      </c>
      <c r="AX911" s="27" t="s">
        <v>7</v>
      </c>
      <c r="AY911" s="27" t="s">
        <v>8</v>
      </c>
      <c r="AZ911" s="27" t="s">
        <v>7</v>
      </c>
      <c r="BA911" s="27" t="s">
        <v>8</v>
      </c>
      <c r="BB911" s="27" t="s">
        <v>7</v>
      </c>
      <c r="BC911" s="27" t="s">
        <v>8</v>
      </c>
      <c r="BH911" s="27" t="s">
        <v>7</v>
      </c>
      <c r="BI911" s="27" t="s">
        <v>8</v>
      </c>
      <c r="BJ911" s="27" t="s">
        <v>7</v>
      </c>
      <c r="BK911" s="27" t="s">
        <v>8</v>
      </c>
      <c r="BL911" s="27" t="s">
        <v>7</v>
      </c>
      <c r="BM911" s="27" t="s">
        <v>8</v>
      </c>
      <c r="BQ911" s="27" t="s">
        <v>8</v>
      </c>
      <c r="CD911" s="27" t="s">
        <v>7</v>
      </c>
      <c r="CE911" s="27" t="s">
        <v>8</v>
      </c>
      <c r="CF911" s="27" t="s">
        <v>7</v>
      </c>
      <c r="CG911" s="27" t="s">
        <v>8</v>
      </c>
      <c r="CI911" s="27" t="s">
        <v>8</v>
      </c>
      <c r="CJ911" s="27" t="s">
        <v>7</v>
      </c>
      <c r="FW911" s="27" t="s">
        <v>8</v>
      </c>
      <c r="FX911" s="27" t="s">
        <v>7</v>
      </c>
      <c r="FY911" s="27" t="s">
        <v>8</v>
      </c>
      <c r="FZ911" s="27" t="s">
        <v>7</v>
      </c>
      <c r="GA911" s="27" t="s">
        <v>8</v>
      </c>
      <c r="GB911" s="27" t="s">
        <v>7</v>
      </c>
      <c r="GC911" s="27" t="s">
        <v>8</v>
      </c>
      <c r="GD911" s="27" t="s">
        <v>7</v>
      </c>
      <c r="GI911" s="27" t="s">
        <v>8</v>
      </c>
      <c r="HP911" s="27" t="s">
        <v>7</v>
      </c>
      <c r="HQ911" s="27" t="s">
        <v>8</v>
      </c>
    </row>
    <row r="912" spans="1:288" x14ac:dyDescent="0.25">
      <c r="A912" s="7">
        <v>1.60303932863884E-3</v>
      </c>
      <c r="B912"/>
      <c r="C912"/>
      <c r="D912"/>
      <c r="E912"/>
      <c r="F912" s="27" t="s">
        <v>7</v>
      </c>
      <c r="K912" s="27" t="s">
        <v>8</v>
      </c>
      <c r="L912" s="27" t="s">
        <v>7</v>
      </c>
      <c r="M912" s="27" t="s">
        <v>8</v>
      </c>
      <c r="N912" s="27" t="s">
        <v>7</v>
      </c>
      <c r="Y912" s="27" t="s">
        <v>8</v>
      </c>
      <c r="AE912" s="27" t="s">
        <v>8</v>
      </c>
      <c r="AF912" s="27" t="s">
        <v>7</v>
      </c>
      <c r="AG912" s="27" t="s">
        <v>8</v>
      </c>
      <c r="AJ912" s="27" t="s">
        <v>7</v>
      </c>
      <c r="AK912" s="27" t="s">
        <v>8</v>
      </c>
      <c r="AL912" s="27" t="s">
        <v>7</v>
      </c>
      <c r="AM912" s="27" t="s">
        <v>8</v>
      </c>
      <c r="AX912" s="27" t="s">
        <v>7</v>
      </c>
      <c r="AY912" s="27" t="s">
        <v>8</v>
      </c>
      <c r="AZ912" s="27" t="s">
        <v>7</v>
      </c>
      <c r="BB912" s="27" t="s">
        <v>7</v>
      </c>
      <c r="BC912" s="27" t="s">
        <v>8</v>
      </c>
      <c r="BH912" s="27" t="s">
        <v>7</v>
      </c>
      <c r="BJ912" s="27" t="s">
        <v>7</v>
      </c>
      <c r="BK912" s="27" t="s">
        <v>8</v>
      </c>
      <c r="BL912" s="27" t="s">
        <v>7</v>
      </c>
      <c r="BM912" s="27" t="s">
        <v>8</v>
      </c>
      <c r="BN912" s="27" t="s">
        <v>7</v>
      </c>
      <c r="BQ912" s="27" t="s">
        <v>8</v>
      </c>
      <c r="CD912" s="27" t="s">
        <v>7</v>
      </c>
      <c r="CE912" s="27" t="s">
        <v>8</v>
      </c>
      <c r="CF912" s="27" t="s">
        <v>7</v>
      </c>
      <c r="CG912" s="27" t="s">
        <v>8</v>
      </c>
      <c r="CH912" s="27" t="s">
        <v>7</v>
      </c>
      <c r="CI912" s="27" t="s">
        <v>8</v>
      </c>
      <c r="CJ912" s="27" t="s">
        <v>7</v>
      </c>
      <c r="FW912" s="27" t="s">
        <v>8</v>
      </c>
      <c r="FX912" s="27" t="s">
        <v>7</v>
      </c>
      <c r="FY912" s="27" t="s">
        <v>8</v>
      </c>
      <c r="FZ912" s="27" t="s">
        <v>7</v>
      </c>
      <c r="GA912" s="27" t="s">
        <v>8</v>
      </c>
      <c r="GB912" s="27" t="s">
        <v>7</v>
      </c>
      <c r="GD912" s="27" t="s">
        <v>7</v>
      </c>
      <c r="GI912" s="27" t="s">
        <v>8</v>
      </c>
      <c r="HP912" s="27" t="s">
        <v>7</v>
      </c>
    </row>
    <row r="913" spans="1:191" x14ac:dyDescent="0.25">
      <c r="A913" s="7">
        <v>1.5716071849400392E-3</v>
      </c>
      <c r="B913"/>
      <c r="C913"/>
      <c r="D913"/>
      <c r="E913"/>
      <c r="F913" s="27" t="s">
        <v>7</v>
      </c>
      <c r="K913" s="27" t="s">
        <v>8</v>
      </c>
      <c r="L913" s="27" t="s">
        <v>7</v>
      </c>
      <c r="M913" s="27" t="s">
        <v>8</v>
      </c>
      <c r="N913" s="27" t="s">
        <v>7</v>
      </c>
      <c r="O913" s="27" t="s">
        <v>8</v>
      </c>
      <c r="Y913" s="27" t="s">
        <v>8</v>
      </c>
      <c r="Z913" s="27" t="s">
        <v>7</v>
      </c>
      <c r="AE913" s="27" t="s">
        <v>8</v>
      </c>
      <c r="AF913" s="27" t="s">
        <v>7</v>
      </c>
      <c r="AG913" s="27" t="s">
        <v>8</v>
      </c>
      <c r="AJ913" s="27" t="s">
        <v>7</v>
      </c>
      <c r="AL913" s="27" t="s">
        <v>7</v>
      </c>
      <c r="AM913" s="27" t="s">
        <v>8</v>
      </c>
      <c r="AX913" s="27" t="s">
        <v>7</v>
      </c>
      <c r="AY913" s="27" t="s">
        <v>8</v>
      </c>
      <c r="BB913" s="27" t="s">
        <v>7</v>
      </c>
      <c r="BC913" s="27" t="s">
        <v>8</v>
      </c>
      <c r="BJ913" s="27" t="s">
        <v>7</v>
      </c>
      <c r="BK913" s="27" t="s">
        <v>8</v>
      </c>
      <c r="BL913" s="27" t="s">
        <v>7</v>
      </c>
      <c r="BM913" s="27" t="s">
        <v>8</v>
      </c>
      <c r="BN913" s="27" t="s">
        <v>7</v>
      </c>
      <c r="BO913" s="27" t="s">
        <v>8</v>
      </c>
      <c r="BQ913" s="27" t="s">
        <v>8</v>
      </c>
      <c r="CD913" s="27" t="s">
        <v>7</v>
      </c>
      <c r="CE913" s="27" t="s">
        <v>8</v>
      </c>
      <c r="CF913" s="27" t="s">
        <v>7</v>
      </c>
      <c r="CG913" s="27" t="s">
        <v>8</v>
      </c>
      <c r="CH913" s="27" t="s">
        <v>7</v>
      </c>
      <c r="CI913" s="27" t="s">
        <v>8</v>
      </c>
      <c r="CJ913" s="27" t="s">
        <v>7</v>
      </c>
      <c r="EI913" s="27" t="s">
        <v>8</v>
      </c>
      <c r="FW913" s="27" t="s">
        <v>8</v>
      </c>
      <c r="FX913" s="27" t="s">
        <v>7</v>
      </c>
      <c r="FY913" s="27" t="s">
        <v>8</v>
      </c>
      <c r="FZ913" s="27" t="s">
        <v>7</v>
      </c>
      <c r="GD913" s="27" t="s">
        <v>7</v>
      </c>
      <c r="GE913" s="27" t="s">
        <v>8</v>
      </c>
      <c r="GI913" s="27" t="s">
        <v>8</v>
      </c>
    </row>
    <row r="914" spans="1:191" x14ac:dyDescent="0.25">
      <c r="A914" s="7">
        <v>1.5407913577843522E-3</v>
      </c>
      <c r="B914"/>
      <c r="C914"/>
      <c r="D914"/>
      <c r="E914"/>
      <c r="F914" s="27" t="s">
        <v>7</v>
      </c>
      <c r="G914" s="27" t="s">
        <v>8</v>
      </c>
      <c r="K914" s="27" t="s">
        <v>8</v>
      </c>
      <c r="L914" s="27" t="s">
        <v>7</v>
      </c>
      <c r="M914" s="27" t="s">
        <v>8</v>
      </c>
      <c r="N914" s="27" t="s">
        <v>7</v>
      </c>
      <c r="O914" s="27" t="s">
        <v>8</v>
      </c>
      <c r="P914" s="27" t="s">
        <v>7</v>
      </c>
      <c r="W914" s="27" t="s">
        <v>8</v>
      </c>
      <c r="Y914" s="27" t="s">
        <v>8</v>
      </c>
      <c r="Z914" s="27" t="s">
        <v>7</v>
      </c>
      <c r="AE914" s="27" t="s">
        <v>8</v>
      </c>
      <c r="AF914" s="27" t="s">
        <v>7</v>
      </c>
      <c r="AG914" s="27" t="s">
        <v>8</v>
      </c>
      <c r="AL914" s="27" t="s">
        <v>7</v>
      </c>
      <c r="AX914" s="27" t="s">
        <v>7</v>
      </c>
      <c r="AY914" s="27" t="s">
        <v>8</v>
      </c>
      <c r="BB914" s="27" t="s">
        <v>7</v>
      </c>
      <c r="BJ914" s="27" t="s">
        <v>7</v>
      </c>
      <c r="BK914" s="27" t="s">
        <v>8</v>
      </c>
      <c r="BL914" s="27" t="s">
        <v>7</v>
      </c>
      <c r="BM914" s="27" t="s">
        <v>8</v>
      </c>
      <c r="BN914" s="27" t="s">
        <v>7</v>
      </c>
      <c r="BO914" s="27" t="s">
        <v>8</v>
      </c>
      <c r="BP914" s="27" t="s">
        <v>7</v>
      </c>
      <c r="BQ914" s="27" t="s">
        <v>8</v>
      </c>
      <c r="CD914" s="27" t="s">
        <v>7</v>
      </c>
      <c r="CE914" s="27" t="s">
        <v>8</v>
      </c>
      <c r="CF914" s="27" t="s">
        <v>7</v>
      </c>
      <c r="CG914" s="27" t="s">
        <v>8</v>
      </c>
      <c r="CH914" s="27" t="s">
        <v>7</v>
      </c>
      <c r="CI914" s="27" t="s">
        <v>8</v>
      </c>
      <c r="CJ914" s="27" t="s">
        <v>7</v>
      </c>
      <c r="EI914" s="27" t="s">
        <v>8</v>
      </c>
      <c r="EJ914" s="27" t="s">
        <v>7</v>
      </c>
      <c r="FO914" s="27" t="s">
        <v>8</v>
      </c>
      <c r="FW914" s="27" t="s">
        <v>8</v>
      </c>
      <c r="FX914" s="27" t="s">
        <v>7</v>
      </c>
      <c r="FY914" s="27" t="s">
        <v>8</v>
      </c>
      <c r="GD914" s="27" t="s">
        <v>7</v>
      </c>
      <c r="GE914" s="27" t="s">
        <v>8</v>
      </c>
      <c r="GF914" s="27" t="s">
        <v>7</v>
      </c>
      <c r="GI914" s="27" t="s">
        <v>8</v>
      </c>
    </row>
    <row r="915" spans="1:191" x14ac:dyDescent="0.25">
      <c r="A915" s="7">
        <v>1.5105797625336785E-3</v>
      </c>
      <c r="B915"/>
      <c r="C915"/>
      <c r="D915"/>
      <c r="E915"/>
      <c r="F915" s="27" t="s">
        <v>7</v>
      </c>
      <c r="G915" s="27" t="s">
        <v>8</v>
      </c>
      <c r="H915" s="27" t="s">
        <v>7</v>
      </c>
      <c r="K915" s="27" t="s">
        <v>8</v>
      </c>
      <c r="L915" s="27" t="s">
        <v>7</v>
      </c>
      <c r="M915" s="27" t="s">
        <v>8</v>
      </c>
      <c r="N915" s="27" t="s">
        <v>7</v>
      </c>
      <c r="O915" s="27" t="s">
        <v>8</v>
      </c>
      <c r="P915" s="27" t="s">
        <v>7</v>
      </c>
      <c r="W915" s="27" t="s">
        <v>8</v>
      </c>
      <c r="X915" s="27" t="s">
        <v>7</v>
      </c>
      <c r="Y915" s="27" t="s">
        <v>8</v>
      </c>
      <c r="Z915" s="27" t="s">
        <v>7</v>
      </c>
      <c r="AE915" s="27" t="s">
        <v>8</v>
      </c>
      <c r="AF915" s="27" t="s">
        <v>7</v>
      </c>
      <c r="AG915" s="27" t="s">
        <v>8</v>
      </c>
      <c r="AX915" s="27" t="s">
        <v>7</v>
      </c>
      <c r="AY915" s="27" t="s">
        <v>8</v>
      </c>
      <c r="BJ915" s="27" t="s">
        <v>7</v>
      </c>
      <c r="BK915" s="27" t="s">
        <v>8</v>
      </c>
      <c r="BL915" s="27" t="s">
        <v>7</v>
      </c>
      <c r="BN915" s="27" t="s">
        <v>7</v>
      </c>
      <c r="BO915" s="27" t="s">
        <v>8</v>
      </c>
      <c r="BP915" s="27" t="s">
        <v>7</v>
      </c>
      <c r="BQ915" s="27" t="s">
        <v>8</v>
      </c>
      <c r="CD915" s="27" t="s">
        <v>7</v>
      </c>
      <c r="CF915" s="27" t="s">
        <v>7</v>
      </c>
      <c r="CH915" s="27" t="s">
        <v>7</v>
      </c>
      <c r="CJ915" s="27" t="s">
        <v>7</v>
      </c>
      <c r="CK915" s="27" t="s">
        <v>8</v>
      </c>
      <c r="EI915" s="27" t="s">
        <v>8</v>
      </c>
      <c r="EJ915" s="27" t="s">
        <v>7</v>
      </c>
      <c r="FO915" s="27" t="s">
        <v>8</v>
      </c>
      <c r="FP915" s="27" t="s">
        <v>7</v>
      </c>
      <c r="FW915" s="27" t="s">
        <v>8</v>
      </c>
      <c r="FX915" s="27" t="s">
        <v>7</v>
      </c>
      <c r="FY915" s="27" t="s">
        <v>8</v>
      </c>
      <c r="GD915" s="27" t="s">
        <v>7</v>
      </c>
      <c r="GE915" s="27" t="s">
        <v>8</v>
      </c>
      <c r="GF915" s="27" t="s">
        <v>7</v>
      </c>
      <c r="GG915" s="27" t="s">
        <v>8</v>
      </c>
      <c r="GI915" s="27" t="s">
        <v>8</v>
      </c>
    </row>
    <row r="916" spans="1:191" x14ac:dyDescent="0.25">
      <c r="A916" s="7">
        <v>1.4809605515036064E-3</v>
      </c>
      <c r="B916"/>
      <c r="C916"/>
      <c r="D916"/>
      <c r="E916"/>
      <c r="F916" s="27" t="s">
        <v>7</v>
      </c>
      <c r="G916" s="27" t="s">
        <v>8</v>
      </c>
      <c r="H916" s="27" t="s">
        <v>7</v>
      </c>
      <c r="I916" s="27" t="s">
        <v>8</v>
      </c>
      <c r="K916" s="27" t="s">
        <v>8</v>
      </c>
      <c r="L916" s="27" t="s">
        <v>7</v>
      </c>
      <c r="M916" s="27" t="s">
        <v>8</v>
      </c>
      <c r="N916" s="27" t="s">
        <v>7</v>
      </c>
      <c r="P916" s="27" t="s">
        <v>7</v>
      </c>
      <c r="W916" s="27" t="s">
        <v>8</v>
      </c>
      <c r="X916" s="27" t="s">
        <v>7</v>
      </c>
      <c r="Y916" s="27" t="s">
        <v>8</v>
      </c>
      <c r="Z916" s="27" t="s">
        <v>7</v>
      </c>
      <c r="AA916" s="27" t="s">
        <v>8</v>
      </c>
      <c r="AE916" s="27" t="s">
        <v>8</v>
      </c>
      <c r="AF916" s="27" t="s">
        <v>7</v>
      </c>
      <c r="AG916" s="27" t="s">
        <v>8</v>
      </c>
      <c r="AX916" s="27" t="s">
        <v>7</v>
      </c>
      <c r="BJ916" s="27" t="s">
        <v>7</v>
      </c>
      <c r="BK916" s="27" t="s">
        <v>8</v>
      </c>
      <c r="BN916" s="27" t="s">
        <v>7</v>
      </c>
      <c r="BO916" s="27" t="s">
        <v>8</v>
      </c>
      <c r="BP916" s="27" t="s">
        <v>7</v>
      </c>
      <c r="BQ916" s="27" t="s">
        <v>8</v>
      </c>
      <c r="CJ916" s="27" t="s">
        <v>7</v>
      </c>
      <c r="CK916" s="27" t="s">
        <v>8</v>
      </c>
      <c r="CL916" s="27" t="s">
        <v>7</v>
      </c>
      <c r="EI916" s="27" t="s">
        <v>8</v>
      </c>
      <c r="EJ916" s="27" t="s">
        <v>7</v>
      </c>
      <c r="FO916" s="27" t="s">
        <v>8</v>
      </c>
      <c r="FP916" s="27" t="s">
        <v>7</v>
      </c>
      <c r="FW916" s="27" t="s">
        <v>8</v>
      </c>
      <c r="FX916" s="27" t="s">
        <v>7</v>
      </c>
      <c r="FY916" s="27" t="s">
        <v>8</v>
      </c>
      <c r="GD916" s="27" t="s">
        <v>7</v>
      </c>
      <c r="GE916" s="27" t="s">
        <v>8</v>
      </c>
      <c r="GF916" s="27" t="s">
        <v>7</v>
      </c>
      <c r="GG916" s="27" t="s">
        <v>8</v>
      </c>
      <c r="GH916" s="27" t="s">
        <v>7</v>
      </c>
      <c r="GI916" s="27" t="s">
        <v>8</v>
      </c>
    </row>
    <row r="917" spans="1:191" x14ac:dyDescent="0.25">
      <c r="A917" s="7">
        <v>1.4519221093172612E-3</v>
      </c>
      <c r="B917"/>
      <c r="C917"/>
      <c r="D917"/>
      <c r="E917"/>
      <c r="F917" s="27" t="s">
        <v>7</v>
      </c>
      <c r="G917" s="27" t="s">
        <v>8</v>
      </c>
      <c r="H917" s="27" t="s">
        <v>7</v>
      </c>
      <c r="I917" s="27" t="s">
        <v>8</v>
      </c>
      <c r="J917" s="27" t="s">
        <v>7</v>
      </c>
      <c r="K917" s="27" t="s">
        <v>8</v>
      </c>
      <c r="L917" s="27" t="s">
        <v>7</v>
      </c>
      <c r="M917" s="27" t="s">
        <v>8</v>
      </c>
      <c r="P917" s="27" t="s">
        <v>7</v>
      </c>
      <c r="W917" s="27" t="s">
        <v>8</v>
      </c>
      <c r="X917" s="27" t="s">
        <v>7</v>
      </c>
      <c r="Y917" s="27" t="s">
        <v>8</v>
      </c>
      <c r="Z917" s="27" t="s">
        <v>7</v>
      </c>
      <c r="AA917" s="27" t="s">
        <v>8</v>
      </c>
      <c r="AB917" s="27" t="s">
        <v>7</v>
      </c>
      <c r="AE917" s="27" t="s">
        <v>8</v>
      </c>
      <c r="AF917" s="27" t="s">
        <v>7</v>
      </c>
      <c r="AG917" s="27" t="s">
        <v>8</v>
      </c>
      <c r="BJ917" s="27" t="s">
        <v>7</v>
      </c>
      <c r="BN917" s="27" t="s">
        <v>7</v>
      </c>
      <c r="BO917" s="27" t="s">
        <v>8</v>
      </c>
      <c r="BP917" s="27" t="s">
        <v>7</v>
      </c>
      <c r="CJ917" s="27" t="s">
        <v>7</v>
      </c>
      <c r="CK917" s="27" t="s">
        <v>8</v>
      </c>
      <c r="CL917" s="27" t="s">
        <v>7</v>
      </c>
      <c r="EI917" s="27" t="s">
        <v>8</v>
      </c>
      <c r="EJ917" s="27" t="s">
        <v>7</v>
      </c>
      <c r="FO917" s="27" t="s">
        <v>8</v>
      </c>
      <c r="FP917" s="27" t="s">
        <v>7</v>
      </c>
      <c r="FW917" s="27" t="s">
        <v>8</v>
      </c>
      <c r="FX917" s="27" t="s">
        <v>7</v>
      </c>
      <c r="FY917" s="27" t="s">
        <v>8</v>
      </c>
      <c r="GD917" s="27" t="s">
        <v>7</v>
      </c>
      <c r="GE917" s="27" t="s">
        <v>8</v>
      </c>
      <c r="GF917" s="27" t="s">
        <v>7</v>
      </c>
      <c r="GG917" s="27" t="s">
        <v>8</v>
      </c>
      <c r="GH917" s="27" t="s">
        <v>7</v>
      </c>
      <c r="GI917" s="27" t="s">
        <v>8</v>
      </c>
    </row>
    <row r="918" spans="1:191" x14ac:dyDescent="0.25">
      <c r="A918" s="7">
        <v>1.423453048350256E-3</v>
      </c>
      <c r="B918"/>
      <c r="C918"/>
      <c r="D918"/>
      <c r="E918"/>
      <c r="F918" s="27" t="s">
        <v>7</v>
      </c>
      <c r="G918" s="27" t="s">
        <v>8</v>
      </c>
      <c r="H918" s="27" t="s">
        <v>7</v>
      </c>
      <c r="I918" s="27" t="s">
        <v>8</v>
      </c>
      <c r="J918" s="27" t="s">
        <v>7</v>
      </c>
      <c r="K918" s="27" t="s">
        <v>8</v>
      </c>
      <c r="L918" s="27" t="s">
        <v>7</v>
      </c>
      <c r="M918" s="27" t="s">
        <v>8</v>
      </c>
      <c r="P918" s="27" t="s">
        <v>7</v>
      </c>
      <c r="W918" s="27" t="s">
        <v>8</v>
      </c>
      <c r="X918" s="27" t="s">
        <v>7</v>
      </c>
      <c r="Y918" s="27" t="s">
        <v>8</v>
      </c>
      <c r="Z918" s="27" t="s">
        <v>7</v>
      </c>
      <c r="AA918" s="27" t="s">
        <v>8</v>
      </c>
      <c r="AB918" s="27" t="s">
        <v>7</v>
      </c>
      <c r="AC918" s="27" t="s">
        <v>8</v>
      </c>
      <c r="AE918" s="27" t="s">
        <v>8</v>
      </c>
      <c r="AF918" s="27" t="s">
        <v>7</v>
      </c>
      <c r="AG918" s="27" t="s">
        <v>8</v>
      </c>
      <c r="BN918" s="27" t="s">
        <v>7</v>
      </c>
      <c r="BO918" s="27" t="s">
        <v>8</v>
      </c>
      <c r="CJ918" s="27" t="s">
        <v>7</v>
      </c>
      <c r="CK918" s="27" t="s">
        <v>8</v>
      </c>
      <c r="CL918" s="27" t="s">
        <v>7</v>
      </c>
      <c r="EI918" s="27" t="s">
        <v>8</v>
      </c>
      <c r="EJ918" s="27" t="s">
        <v>7</v>
      </c>
      <c r="FO918" s="27" t="s">
        <v>8</v>
      </c>
      <c r="FP918" s="27" t="s">
        <v>7</v>
      </c>
      <c r="FW918" s="27" t="s">
        <v>8</v>
      </c>
      <c r="FX918" s="27" t="s">
        <v>7</v>
      </c>
      <c r="FY918" s="27" t="s">
        <v>8</v>
      </c>
      <c r="GD918" s="27" t="s">
        <v>7</v>
      </c>
      <c r="GE918" s="27" t="s">
        <v>8</v>
      </c>
      <c r="GF918" s="27" t="s">
        <v>7</v>
      </c>
      <c r="GG918" s="27" t="s">
        <v>8</v>
      </c>
      <c r="GH918" s="27" t="s">
        <v>7</v>
      </c>
    </row>
    <row r="919" spans="1:191" x14ac:dyDescent="0.25">
      <c r="A919" s="7">
        <v>1.3955422042649568E-3</v>
      </c>
      <c r="B919"/>
      <c r="C919"/>
      <c r="D919"/>
      <c r="E919"/>
      <c r="F919" s="27" t="s">
        <v>7</v>
      </c>
      <c r="H919" s="27" t="s">
        <v>7</v>
      </c>
      <c r="I919" s="27" t="s">
        <v>8</v>
      </c>
      <c r="J919" s="27" t="s">
        <v>7</v>
      </c>
      <c r="K919" s="27" t="s">
        <v>8</v>
      </c>
      <c r="L919" s="27" t="s">
        <v>7</v>
      </c>
      <c r="M919" s="27" t="s">
        <v>8</v>
      </c>
      <c r="P919" s="27" t="s">
        <v>7</v>
      </c>
      <c r="S919" s="27" t="s">
        <v>8</v>
      </c>
      <c r="W919" s="27" t="s">
        <v>8</v>
      </c>
      <c r="X919" s="27" t="s">
        <v>7</v>
      </c>
      <c r="Z919" s="27" t="s">
        <v>7</v>
      </c>
      <c r="AA919" s="27" t="s">
        <v>8</v>
      </c>
      <c r="AB919" s="27" t="s">
        <v>7</v>
      </c>
      <c r="AC919" s="27" t="s">
        <v>8</v>
      </c>
      <c r="AD919" s="27" t="s">
        <v>7</v>
      </c>
      <c r="AE919" s="27" t="s">
        <v>8</v>
      </c>
      <c r="AF919" s="27" t="s">
        <v>7</v>
      </c>
      <c r="AG919" s="27" t="s">
        <v>8</v>
      </c>
      <c r="BN919" s="27" t="s">
        <v>7</v>
      </c>
      <c r="CJ919" s="27" t="s">
        <v>7</v>
      </c>
      <c r="CL919" s="27" t="s">
        <v>7</v>
      </c>
      <c r="EI919" s="27" t="s">
        <v>8</v>
      </c>
      <c r="EJ919" s="27" t="s">
        <v>7</v>
      </c>
      <c r="FO919" s="27" t="s">
        <v>8</v>
      </c>
      <c r="FP919" s="27" t="s">
        <v>7</v>
      </c>
      <c r="FW919" s="27" t="s">
        <v>8</v>
      </c>
      <c r="FX919" s="27" t="s">
        <v>7</v>
      </c>
      <c r="FY919" s="27" t="s">
        <v>8</v>
      </c>
      <c r="GD919" s="27" t="s">
        <v>7</v>
      </c>
      <c r="GF919" s="27" t="s">
        <v>7</v>
      </c>
      <c r="GG919" s="27" t="s">
        <v>8</v>
      </c>
    </row>
    <row r="920" spans="1:191" x14ac:dyDescent="0.25">
      <c r="A920" s="7">
        <v>1.3681786316323105E-3</v>
      </c>
      <c r="B920"/>
      <c r="C920"/>
      <c r="D920"/>
      <c r="E920"/>
      <c r="H920" s="27" t="s">
        <v>7</v>
      </c>
      <c r="I920" s="27" t="s">
        <v>8</v>
      </c>
      <c r="J920" s="27" t="s">
        <v>7</v>
      </c>
      <c r="L920" s="27" t="s">
        <v>7</v>
      </c>
      <c r="M920" s="27" t="s">
        <v>8</v>
      </c>
      <c r="P920" s="27" t="s">
        <v>7</v>
      </c>
      <c r="S920" s="27" t="s">
        <v>8</v>
      </c>
      <c r="T920" s="27" t="s">
        <v>7</v>
      </c>
      <c r="U920" s="27" t="s">
        <v>8</v>
      </c>
      <c r="W920" s="27" t="s">
        <v>8</v>
      </c>
      <c r="Z920" s="27" t="s">
        <v>7</v>
      </c>
      <c r="AA920" s="27" t="s">
        <v>8</v>
      </c>
      <c r="AB920" s="27" t="s">
        <v>7</v>
      </c>
      <c r="AC920" s="27" t="s">
        <v>8</v>
      </c>
      <c r="AD920" s="27" t="s">
        <v>7</v>
      </c>
      <c r="AE920" s="27" t="s">
        <v>8</v>
      </c>
      <c r="AF920" s="27" t="s">
        <v>7</v>
      </c>
      <c r="AG920" s="27" t="s">
        <v>8</v>
      </c>
      <c r="CL920" s="27" t="s">
        <v>7</v>
      </c>
      <c r="EI920" s="27" t="s">
        <v>8</v>
      </c>
      <c r="EJ920" s="27" t="s">
        <v>7</v>
      </c>
      <c r="FO920" s="27" t="s">
        <v>8</v>
      </c>
      <c r="FP920" s="27" t="s">
        <v>7</v>
      </c>
      <c r="FW920" s="27" t="s">
        <v>8</v>
      </c>
      <c r="FX920" s="27" t="s">
        <v>7</v>
      </c>
      <c r="FY920" s="27" t="s">
        <v>8</v>
      </c>
      <c r="GF920" s="27" t="s">
        <v>7</v>
      </c>
      <c r="GG920" s="27" t="s">
        <v>8</v>
      </c>
    </row>
    <row r="921" spans="1:191" x14ac:dyDescent="0.25">
      <c r="A921" s="7">
        <v>1.3413515996395203E-3</v>
      </c>
      <c r="B921"/>
      <c r="C921"/>
      <c r="D921"/>
      <c r="E921"/>
      <c r="H921" s="27" t="s">
        <v>7</v>
      </c>
      <c r="I921" s="27" t="s">
        <v>8</v>
      </c>
      <c r="L921" s="27" t="s">
        <v>7</v>
      </c>
      <c r="M921" s="27" t="s">
        <v>8</v>
      </c>
      <c r="P921" s="27" t="s">
        <v>7</v>
      </c>
      <c r="S921" s="27" t="s">
        <v>8</v>
      </c>
      <c r="T921" s="27" t="s">
        <v>7</v>
      </c>
      <c r="U921" s="27" t="s">
        <v>8</v>
      </c>
      <c r="V921" s="27" t="s">
        <v>7</v>
      </c>
      <c r="W921" s="27" t="s">
        <v>8</v>
      </c>
      <c r="Z921" s="27" t="s">
        <v>7</v>
      </c>
      <c r="AA921" s="27" t="s">
        <v>8</v>
      </c>
      <c r="AB921" s="27" t="s">
        <v>7</v>
      </c>
      <c r="AC921" s="27" t="s">
        <v>8</v>
      </c>
      <c r="AD921" s="27" t="s">
        <v>7</v>
      </c>
      <c r="AE921" s="27" t="s">
        <v>8</v>
      </c>
      <c r="AF921" s="27" t="s">
        <v>7</v>
      </c>
      <c r="AG921" s="27" t="s">
        <v>8</v>
      </c>
      <c r="CL921" s="27" t="s">
        <v>7</v>
      </c>
      <c r="EI921" s="27" t="s">
        <v>8</v>
      </c>
      <c r="EJ921" s="27" t="s">
        <v>7</v>
      </c>
      <c r="FO921" s="27" t="s">
        <v>8</v>
      </c>
      <c r="FP921" s="27" t="s">
        <v>7</v>
      </c>
      <c r="FW921" s="27" t="s">
        <v>8</v>
      </c>
      <c r="FX921" s="27" t="s">
        <v>7</v>
      </c>
      <c r="FY921" s="27" t="s">
        <v>8</v>
      </c>
      <c r="GF921" s="27" t="s">
        <v>7</v>
      </c>
      <c r="GG921" s="27" t="s">
        <v>8</v>
      </c>
    </row>
    <row r="922" spans="1:191" x14ac:dyDescent="0.25">
      <c r="A922" s="7">
        <v>1.3150505878818826E-3</v>
      </c>
      <c r="B922"/>
      <c r="C922"/>
      <c r="D922"/>
      <c r="E922"/>
      <c r="H922" s="27" t="s">
        <v>7</v>
      </c>
      <c r="L922" s="27" t="s">
        <v>7</v>
      </c>
      <c r="P922" s="27" t="s">
        <v>7</v>
      </c>
      <c r="Q922" s="27" t="s">
        <v>8</v>
      </c>
      <c r="S922" s="27" t="s">
        <v>8</v>
      </c>
      <c r="T922" s="27" t="s">
        <v>7</v>
      </c>
      <c r="U922" s="27" t="s">
        <v>8</v>
      </c>
      <c r="V922" s="27" t="s">
        <v>7</v>
      </c>
      <c r="W922" s="27" t="s">
        <v>8</v>
      </c>
      <c r="Z922" s="27" t="s">
        <v>7</v>
      </c>
      <c r="AB922" s="27" t="s">
        <v>7</v>
      </c>
      <c r="AC922" s="27" t="s">
        <v>8</v>
      </c>
      <c r="AD922" s="27" t="s">
        <v>7</v>
      </c>
      <c r="AE922" s="27" t="s">
        <v>8</v>
      </c>
      <c r="AF922" s="27" t="s">
        <v>7</v>
      </c>
      <c r="CL922" s="27" t="s">
        <v>7</v>
      </c>
      <c r="EI922" s="27" t="s">
        <v>8</v>
      </c>
      <c r="EJ922" s="27" t="s">
        <v>7</v>
      </c>
      <c r="EM922" s="27" t="s">
        <v>8</v>
      </c>
      <c r="FO922" s="27" t="s">
        <v>8</v>
      </c>
      <c r="FP922" s="27" t="s">
        <v>7</v>
      </c>
      <c r="FW922" s="27" t="s">
        <v>8</v>
      </c>
      <c r="FX922" s="27" t="s">
        <v>7</v>
      </c>
      <c r="FY922" s="27" t="s">
        <v>8</v>
      </c>
      <c r="GF922" s="27" t="s">
        <v>7</v>
      </c>
      <c r="GG922" s="27" t="s">
        <v>8</v>
      </c>
    </row>
    <row r="923" spans="1:191" x14ac:dyDescent="0.25">
      <c r="A923" s="7">
        <v>1.2892652822371396E-3</v>
      </c>
      <c r="B923"/>
      <c r="C923"/>
      <c r="D923"/>
      <c r="E923"/>
      <c r="P923" s="27" t="s">
        <v>7</v>
      </c>
      <c r="Q923" s="27" t="s">
        <v>8</v>
      </c>
      <c r="R923" s="27" t="s">
        <v>7</v>
      </c>
      <c r="S923" s="27" t="s">
        <v>8</v>
      </c>
      <c r="T923" s="27" t="s">
        <v>7</v>
      </c>
      <c r="U923" s="27" t="s">
        <v>8</v>
      </c>
      <c r="V923" s="27" t="s">
        <v>7</v>
      </c>
      <c r="W923" s="27" t="s">
        <v>8</v>
      </c>
      <c r="AB923" s="27" t="s">
        <v>7</v>
      </c>
      <c r="AC923" s="27" t="s">
        <v>8</v>
      </c>
      <c r="AD923" s="27" t="s">
        <v>7</v>
      </c>
      <c r="AE923" s="27" t="s">
        <v>8</v>
      </c>
      <c r="CL923" s="27" t="s">
        <v>7</v>
      </c>
      <c r="EI923" s="27" t="s">
        <v>8</v>
      </c>
      <c r="EJ923" s="27" t="s">
        <v>7</v>
      </c>
      <c r="EM923" s="27" t="s">
        <v>8</v>
      </c>
      <c r="EN923" s="27" t="s">
        <v>7</v>
      </c>
      <c r="FO923" s="27" t="s">
        <v>8</v>
      </c>
      <c r="FP923" s="27" t="s">
        <v>7</v>
      </c>
      <c r="FW923" s="27" t="s">
        <v>8</v>
      </c>
      <c r="FX923" s="27" t="s">
        <v>7</v>
      </c>
      <c r="GF923" s="27" t="s">
        <v>7</v>
      </c>
      <c r="GG923" s="27" t="s">
        <v>8</v>
      </c>
    </row>
    <row r="924" spans="1:191" x14ac:dyDescent="0.25">
      <c r="A924" s="7">
        <v>1.2639855708207251E-3</v>
      </c>
      <c r="B924"/>
      <c r="C924"/>
      <c r="D924"/>
      <c r="E924"/>
      <c r="P924" s="27" t="s">
        <v>7</v>
      </c>
      <c r="Q924" s="27" t="s">
        <v>8</v>
      </c>
      <c r="R924" s="27" t="s">
        <v>7</v>
      </c>
      <c r="S924" s="27" t="s">
        <v>8</v>
      </c>
      <c r="T924" s="27" t="s">
        <v>7</v>
      </c>
      <c r="U924" s="27" t="s">
        <v>8</v>
      </c>
      <c r="V924" s="27" t="s">
        <v>7</v>
      </c>
      <c r="W924" s="27" t="s">
        <v>8</v>
      </c>
      <c r="AB924" s="27" t="s">
        <v>7</v>
      </c>
      <c r="AC924" s="27" t="s">
        <v>8</v>
      </c>
      <c r="AD924" s="27" t="s">
        <v>7</v>
      </c>
      <c r="CL924" s="27" t="s">
        <v>7</v>
      </c>
      <c r="EI924" s="27" t="s">
        <v>8</v>
      </c>
      <c r="EJ924" s="27" t="s">
        <v>7</v>
      </c>
      <c r="EM924" s="27" t="s">
        <v>8</v>
      </c>
      <c r="EN924" s="27" t="s">
        <v>7</v>
      </c>
      <c r="FO924" s="27" t="s">
        <v>8</v>
      </c>
      <c r="FP924" s="27" t="s">
        <v>7</v>
      </c>
      <c r="FW924" s="27" t="s">
        <v>8</v>
      </c>
      <c r="GF924" s="27" t="s">
        <v>7</v>
      </c>
    </row>
    <row r="925" spans="1:191" x14ac:dyDescent="0.25">
      <c r="A925" s="7">
        <v>1.2392015400203187E-3</v>
      </c>
      <c r="B925"/>
      <c r="C925"/>
      <c r="D925"/>
      <c r="E925"/>
      <c r="P925" s="27" t="s">
        <v>7</v>
      </c>
      <c r="Q925" s="27" t="s">
        <v>8</v>
      </c>
      <c r="R925" s="27" t="s">
        <v>7</v>
      </c>
      <c r="S925" s="27" t="s">
        <v>8</v>
      </c>
      <c r="T925" s="27" t="s">
        <v>7</v>
      </c>
      <c r="U925" s="27" t="s">
        <v>8</v>
      </c>
      <c r="V925" s="27" t="s">
        <v>7</v>
      </c>
      <c r="AB925" s="27" t="s">
        <v>7</v>
      </c>
      <c r="AC925" s="27" t="s">
        <v>8</v>
      </c>
      <c r="CL925" s="27" t="s">
        <v>7</v>
      </c>
      <c r="EI925" s="27" t="s">
        <v>8</v>
      </c>
      <c r="EJ925" s="27" t="s">
        <v>7</v>
      </c>
      <c r="EM925" s="27" t="s">
        <v>8</v>
      </c>
      <c r="EN925" s="27" t="s">
        <v>7</v>
      </c>
      <c r="FO925" s="27" t="s">
        <v>8</v>
      </c>
      <c r="FP925" s="27" t="s">
        <v>7</v>
      </c>
      <c r="FW925" s="27" t="s">
        <v>8</v>
      </c>
    </row>
    <row r="926" spans="1:191" x14ac:dyDescent="0.25">
      <c r="A926" s="7">
        <v>1.2149034706081556E-3</v>
      </c>
      <c r="B926"/>
      <c r="C926"/>
      <c r="D926"/>
      <c r="E926"/>
      <c r="P926" s="27" t="s">
        <v>7</v>
      </c>
      <c r="Q926" s="27" t="s">
        <v>8</v>
      </c>
      <c r="R926" s="27" t="s">
        <v>7</v>
      </c>
      <c r="S926" s="27" t="s">
        <v>8</v>
      </c>
      <c r="T926" s="27" t="s">
        <v>7</v>
      </c>
      <c r="U926" s="27" t="s">
        <v>8</v>
      </c>
      <c r="AB926" s="27" t="s">
        <v>7</v>
      </c>
      <c r="CL926" s="27" t="s">
        <v>7</v>
      </c>
      <c r="EI926" s="27" t="s">
        <v>8</v>
      </c>
      <c r="EJ926" s="27" t="s">
        <v>7</v>
      </c>
      <c r="EM926" s="27" t="s">
        <v>8</v>
      </c>
      <c r="EN926" s="27" t="s">
        <v>7</v>
      </c>
      <c r="FO926" s="27" t="s">
        <v>8</v>
      </c>
      <c r="FP926" s="27" t="s">
        <v>7</v>
      </c>
      <c r="FQ926" s="27" t="s">
        <v>8</v>
      </c>
      <c r="FW926" s="27" t="s">
        <v>8</v>
      </c>
    </row>
    <row r="927" spans="1:191" x14ac:dyDescent="0.25">
      <c r="A927" s="7">
        <v>1.1910818339295644E-3</v>
      </c>
      <c r="B927"/>
      <c r="C927"/>
      <c r="D927"/>
      <c r="E927"/>
      <c r="P927" s="27" t="s">
        <v>7</v>
      </c>
      <c r="Q927" s="27" t="s">
        <v>8</v>
      </c>
      <c r="R927" s="27" t="s">
        <v>7</v>
      </c>
      <c r="S927" s="27" t="s">
        <v>8</v>
      </c>
      <c r="T927" s="27" t="s">
        <v>7</v>
      </c>
      <c r="CL927" s="27" t="s">
        <v>7</v>
      </c>
      <c r="EI927" s="27" t="s">
        <v>8</v>
      </c>
      <c r="EJ927" s="27" t="s">
        <v>7</v>
      </c>
      <c r="EM927" s="27" t="s">
        <v>8</v>
      </c>
      <c r="EN927" s="27" t="s">
        <v>7</v>
      </c>
      <c r="EY927" s="27" t="s">
        <v>8</v>
      </c>
      <c r="FO927" s="27" t="s">
        <v>8</v>
      </c>
      <c r="FP927" s="27" t="s">
        <v>7</v>
      </c>
      <c r="FQ927" s="27" t="s">
        <v>8</v>
      </c>
      <c r="FR927" s="27" t="s">
        <v>7</v>
      </c>
      <c r="FS927" s="27" t="s">
        <v>8</v>
      </c>
      <c r="FW927" s="27" t="s">
        <v>8</v>
      </c>
    </row>
    <row r="928" spans="1:191" x14ac:dyDescent="0.25">
      <c r="A928" s="7">
        <v>1.1677272881662395E-3</v>
      </c>
      <c r="B928"/>
      <c r="C928"/>
      <c r="D928"/>
      <c r="E928"/>
      <c r="P928" s="27" t="s">
        <v>7</v>
      </c>
      <c r="Q928" s="27" t="s">
        <v>8</v>
      </c>
      <c r="R928" s="27" t="s">
        <v>7</v>
      </c>
      <c r="S928" s="27" t="s">
        <v>8</v>
      </c>
      <c r="CL928" s="27" t="s">
        <v>7</v>
      </c>
      <c r="EI928" s="27" t="s">
        <v>8</v>
      </c>
      <c r="EJ928" s="27" t="s">
        <v>7</v>
      </c>
      <c r="EM928" s="27" t="s">
        <v>8</v>
      </c>
      <c r="EN928" s="27" t="s">
        <v>7</v>
      </c>
      <c r="EY928" s="27" t="s">
        <v>8</v>
      </c>
      <c r="EZ928" s="27" t="s">
        <v>7</v>
      </c>
      <c r="FG928" s="27" t="s">
        <v>8</v>
      </c>
      <c r="FM928" s="27" t="s">
        <v>8</v>
      </c>
      <c r="FO928" s="27" t="s">
        <v>8</v>
      </c>
      <c r="FP928" s="27" t="s">
        <v>7</v>
      </c>
      <c r="FQ928" s="27" t="s">
        <v>8</v>
      </c>
      <c r="FR928" s="27" t="s">
        <v>7</v>
      </c>
      <c r="FS928" s="27" t="s">
        <v>8</v>
      </c>
      <c r="FT928" s="27" t="s">
        <v>7</v>
      </c>
      <c r="FU928" s="27" t="s">
        <v>8</v>
      </c>
      <c r="FW928" s="27" t="s">
        <v>8</v>
      </c>
    </row>
    <row r="929" spans="1:179" x14ac:dyDescent="0.25">
      <c r="A929" s="7">
        <v>1.1448306746727837E-3</v>
      </c>
      <c r="B929"/>
      <c r="C929"/>
      <c r="D929"/>
      <c r="E929"/>
      <c r="P929" s="27" t="s">
        <v>7</v>
      </c>
      <c r="Q929" s="27" t="s">
        <v>8</v>
      </c>
      <c r="R929" s="27" t="s">
        <v>7</v>
      </c>
      <c r="S929" s="27" t="s">
        <v>8</v>
      </c>
      <c r="CL929" s="27" t="s">
        <v>7</v>
      </c>
      <c r="EI929" s="27" t="s">
        <v>8</v>
      </c>
      <c r="EJ929" s="27" t="s">
        <v>7</v>
      </c>
      <c r="EM929" s="27" t="s">
        <v>8</v>
      </c>
      <c r="EN929" s="27" t="s">
        <v>7</v>
      </c>
      <c r="EY929" s="27" t="s">
        <v>8</v>
      </c>
      <c r="EZ929" s="27" t="s">
        <v>7</v>
      </c>
      <c r="FG929" s="27" t="s">
        <v>8</v>
      </c>
      <c r="FH929" s="27" t="s">
        <v>7</v>
      </c>
      <c r="FM929" s="27" t="s">
        <v>8</v>
      </c>
      <c r="FN929" s="27" t="s">
        <v>7</v>
      </c>
      <c r="FO929" s="27" t="s">
        <v>8</v>
      </c>
      <c r="FP929" s="27" t="s">
        <v>7</v>
      </c>
      <c r="FQ929" s="27" t="s">
        <v>8</v>
      </c>
      <c r="FR929" s="27" t="s">
        <v>7</v>
      </c>
      <c r="FS929" s="27" t="s">
        <v>8</v>
      </c>
      <c r="FT929" s="27" t="s">
        <v>7</v>
      </c>
      <c r="FU929" s="27" t="s">
        <v>8</v>
      </c>
      <c r="FV929" s="27" t="s">
        <v>7</v>
      </c>
      <c r="FW929" s="27" t="s">
        <v>8</v>
      </c>
    </row>
    <row r="930" spans="1:179" x14ac:dyDescent="0.25">
      <c r="A930" s="7">
        <v>1.1223830143850821E-3</v>
      </c>
      <c r="B930"/>
      <c r="C930"/>
      <c r="D930"/>
      <c r="E930"/>
      <c r="P930" s="27" t="s">
        <v>7</v>
      </c>
      <c r="Q930" s="27" t="s">
        <v>8</v>
      </c>
      <c r="R930" s="27" t="s">
        <v>7</v>
      </c>
      <c r="CL930" s="27" t="s">
        <v>7</v>
      </c>
      <c r="EI930" s="27" t="s">
        <v>8</v>
      </c>
      <c r="EJ930" s="27" t="s">
        <v>7</v>
      </c>
      <c r="EK930" s="27" t="s">
        <v>8</v>
      </c>
      <c r="EM930" s="27" t="s">
        <v>8</v>
      </c>
      <c r="EN930" s="27" t="s">
        <v>7</v>
      </c>
      <c r="EY930" s="27" t="s">
        <v>8</v>
      </c>
      <c r="EZ930" s="27" t="s">
        <v>7</v>
      </c>
      <c r="FG930" s="27" t="s">
        <v>8</v>
      </c>
      <c r="FH930" s="27" t="s">
        <v>7</v>
      </c>
      <c r="FM930" s="27" t="s">
        <v>8</v>
      </c>
      <c r="FN930" s="27" t="s">
        <v>7</v>
      </c>
      <c r="FO930" s="27" t="s">
        <v>8</v>
      </c>
      <c r="FP930" s="27" t="s">
        <v>7</v>
      </c>
      <c r="FQ930" s="27" t="s">
        <v>8</v>
      </c>
      <c r="FR930" s="27" t="s">
        <v>7</v>
      </c>
      <c r="FS930" s="27" t="s">
        <v>8</v>
      </c>
      <c r="FT930" s="27" t="s">
        <v>7</v>
      </c>
      <c r="FU930" s="27" t="s">
        <v>8</v>
      </c>
      <c r="FV930" s="27" t="s">
        <v>7</v>
      </c>
      <c r="FW930" s="27" t="s">
        <v>8</v>
      </c>
    </row>
    <row r="931" spans="1:179" x14ac:dyDescent="0.25">
      <c r="A931" s="7">
        <v>1.1003755042991001E-3</v>
      </c>
      <c r="B931"/>
      <c r="C931"/>
      <c r="D931"/>
      <c r="E931"/>
      <c r="P931" s="27" t="s">
        <v>7</v>
      </c>
      <c r="Q931" s="27" t="s">
        <v>8</v>
      </c>
      <c r="CL931" s="27" t="s">
        <v>7</v>
      </c>
      <c r="EI931" s="27" t="s">
        <v>8</v>
      </c>
      <c r="EJ931" s="27" t="s">
        <v>7</v>
      </c>
      <c r="EK931" s="27" t="s">
        <v>8</v>
      </c>
      <c r="EL931" s="27" t="s">
        <v>7</v>
      </c>
      <c r="EM931" s="27" t="s">
        <v>8</v>
      </c>
      <c r="EN931" s="27" t="s">
        <v>7</v>
      </c>
      <c r="EY931" s="27" t="s">
        <v>8</v>
      </c>
      <c r="EZ931" s="27" t="s">
        <v>7</v>
      </c>
      <c r="FG931" s="27" t="s">
        <v>8</v>
      </c>
      <c r="FH931" s="27" t="s">
        <v>7</v>
      </c>
      <c r="FK931" s="27" t="s">
        <v>8</v>
      </c>
      <c r="FM931" s="27" t="s">
        <v>8</v>
      </c>
      <c r="FN931" s="27" t="s">
        <v>7</v>
      </c>
      <c r="FP931" s="27" t="s">
        <v>7</v>
      </c>
      <c r="FQ931" s="27" t="s">
        <v>8</v>
      </c>
      <c r="FR931" s="27" t="s">
        <v>7</v>
      </c>
      <c r="FS931" s="27" t="s">
        <v>8</v>
      </c>
      <c r="FT931" s="27" t="s">
        <v>7</v>
      </c>
      <c r="FV931" s="27" t="s">
        <v>7</v>
      </c>
    </row>
    <row r="932" spans="1:179" x14ac:dyDescent="0.25">
      <c r="A932" s="7">
        <v>1.0787995140187257E-3</v>
      </c>
      <c r="B932"/>
      <c r="C932"/>
      <c r="D932"/>
      <c r="E932"/>
      <c r="P932" s="27" t="s">
        <v>7</v>
      </c>
      <c r="CL932" s="27" t="s">
        <v>7</v>
      </c>
      <c r="EI932" s="27" t="s">
        <v>8</v>
      </c>
      <c r="EJ932" s="27" t="s">
        <v>7</v>
      </c>
      <c r="EK932" s="27" t="s">
        <v>8</v>
      </c>
      <c r="EL932" s="27" t="s">
        <v>7</v>
      </c>
      <c r="EM932" s="27" t="s">
        <v>8</v>
      </c>
      <c r="EN932" s="27" t="s">
        <v>7</v>
      </c>
      <c r="EY932" s="27" t="s">
        <v>8</v>
      </c>
      <c r="EZ932" s="27" t="s">
        <v>7</v>
      </c>
      <c r="FE932" s="27" t="s">
        <v>8</v>
      </c>
      <c r="FG932" s="27" t="s">
        <v>8</v>
      </c>
      <c r="FH932" s="27" t="s">
        <v>7</v>
      </c>
      <c r="FI932" s="27" t="s">
        <v>8</v>
      </c>
      <c r="FK932" s="27" t="s">
        <v>8</v>
      </c>
      <c r="FL932" s="27" t="s">
        <v>7</v>
      </c>
      <c r="FM932" s="27" t="s">
        <v>8</v>
      </c>
      <c r="FP932" s="27" t="s">
        <v>7</v>
      </c>
      <c r="FQ932" s="27" t="s">
        <v>8</v>
      </c>
      <c r="FR932" s="27" t="s">
        <v>7</v>
      </c>
      <c r="FS932" s="27" t="s">
        <v>8</v>
      </c>
    </row>
    <row r="933" spans="1:179" x14ac:dyDescent="0.25">
      <c r="A933" s="7">
        <v>1.0576465823712996E-3</v>
      </c>
      <c r="B933"/>
      <c r="C933"/>
      <c r="D933"/>
      <c r="E933"/>
      <c r="CL933" s="27" t="s">
        <v>7</v>
      </c>
      <c r="CS933" s="27" t="s">
        <v>8</v>
      </c>
      <c r="EI933" s="27" t="s">
        <v>8</v>
      </c>
      <c r="EJ933" s="27" t="s">
        <v>7</v>
      </c>
      <c r="EK933" s="27" t="s">
        <v>8</v>
      </c>
      <c r="EL933" s="27" t="s">
        <v>7</v>
      </c>
      <c r="EM933" s="27" t="s">
        <v>8</v>
      </c>
      <c r="EN933" s="27" t="s">
        <v>7</v>
      </c>
      <c r="EY933" s="27" t="s">
        <v>8</v>
      </c>
      <c r="EZ933" s="27" t="s">
        <v>7</v>
      </c>
      <c r="FA933" s="27" t="s">
        <v>8</v>
      </c>
      <c r="FC933" s="27" t="s">
        <v>8</v>
      </c>
      <c r="FE933" s="27" t="s">
        <v>8</v>
      </c>
      <c r="FF933" s="27" t="s">
        <v>7</v>
      </c>
      <c r="FG933" s="27" t="s">
        <v>8</v>
      </c>
      <c r="FH933" s="27" t="s">
        <v>7</v>
      </c>
      <c r="FI933" s="27" t="s">
        <v>8</v>
      </c>
      <c r="FJ933" s="27" t="s">
        <v>7</v>
      </c>
      <c r="FK933" s="27" t="s">
        <v>8</v>
      </c>
      <c r="FL933" s="27" t="s">
        <v>7</v>
      </c>
      <c r="FM933" s="27" t="s">
        <v>8</v>
      </c>
      <c r="FP933" s="27" t="s">
        <v>7</v>
      </c>
      <c r="FQ933" s="27" t="s">
        <v>8</v>
      </c>
      <c r="FR933" s="27" t="s">
        <v>7</v>
      </c>
      <c r="FS933" s="27" t="s">
        <v>8</v>
      </c>
    </row>
    <row r="934" spans="1:179" x14ac:dyDescent="0.25">
      <c r="A934" s="7">
        <v>1.0369084140895094E-3</v>
      </c>
      <c r="B934"/>
      <c r="C934"/>
      <c r="D934"/>
      <c r="E934"/>
      <c r="CL934" s="27" t="s">
        <v>7</v>
      </c>
      <c r="CS934" s="27" t="s">
        <v>8</v>
      </c>
      <c r="CT934" s="27" t="s">
        <v>7</v>
      </c>
      <c r="CY934" s="27" t="s">
        <v>8</v>
      </c>
      <c r="DC934" s="27" t="s">
        <v>8</v>
      </c>
      <c r="EI934" s="27" t="s">
        <v>8</v>
      </c>
      <c r="EJ934" s="27" t="s">
        <v>7</v>
      </c>
      <c r="EK934" s="27" t="s">
        <v>8</v>
      </c>
      <c r="EL934" s="27" t="s">
        <v>7</v>
      </c>
      <c r="EM934" s="27" t="s">
        <v>8</v>
      </c>
      <c r="EN934" s="27" t="s">
        <v>7</v>
      </c>
      <c r="EY934" s="27" t="s">
        <v>8</v>
      </c>
      <c r="EZ934" s="27" t="s">
        <v>7</v>
      </c>
      <c r="FA934" s="27" t="s">
        <v>8</v>
      </c>
      <c r="FB934" s="27" t="s">
        <v>7</v>
      </c>
      <c r="FC934" s="27" t="s">
        <v>8</v>
      </c>
      <c r="FD934" s="27" t="s">
        <v>7</v>
      </c>
      <c r="FE934" s="27" t="s">
        <v>8</v>
      </c>
      <c r="FF934" s="27" t="s">
        <v>7</v>
      </c>
      <c r="FG934" s="27" t="s">
        <v>8</v>
      </c>
      <c r="FH934" s="27" t="s">
        <v>7</v>
      </c>
      <c r="FI934" s="27" t="s">
        <v>8</v>
      </c>
      <c r="FJ934" s="27" t="s">
        <v>7</v>
      </c>
      <c r="FK934" s="27" t="s">
        <v>8</v>
      </c>
      <c r="FL934" s="27" t="s">
        <v>7</v>
      </c>
      <c r="FM934" s="27" t="s">
        <v>8</v>
      </c>
      <c r="FP934" s="27" t="s">
        <v>7</v>
      </c>
      <c r="FR934" s="27" t="s">
        <v>7</v>
      </c>
      <c r="FS934" s="27" t="s">
        <v>8</v>
      </c>
    </row>
    <row r="935" spans="1:179" x14ac:dyDescent="0.25">
      <c r="A935" s="7">
        <v>1.0165768765583426E-3</v>
      </c>
      <c r="B935"/>
      <c r="C935"/>
      <c r="D935"/>
      <c r="E935"/>
      <c r="CL935" s="27" t="s">
        <v>7</v>
      </c>
      <c r="CS935" s="27" t="s">
        <v>8</v>
      </c>
      <c r="CT935" s="27" t="s">
        <v>7</v>
      </c>
      <c r="CY935" s="27" t="s">
        <v>8</v>
      </c>
      <c r="CZ935" s="27" t="s">
        <v>7</v>
      </c>
      <c r="DC935" s="27" t="s">
        <v>8</v>
      </c>
      <c r="DD935" s="27" t="s">
        <v>7</v>
      </c>
      <c r="EI935" s="27" t="s">
        <v>8</v>
      </c>
      <c r="EJ935" s="27" t="s">
        <v>7</v>
      </c>
      <c r="EL935" s="27" t="s">
        <v>7</v>
      </c>
      <c r="EM935" s="27" t="s">
        <v>8</v>
      </c>
      <c r="EN935" s="27" t="s">
        <v>7</v>
      </c>
      <c r="EY935" s="27" t="s">
        <v>8</v>
      </c>
      <c r="EZ935" s="27" t="s">
        <v>7</v>
      </c>
      <c r="FA935" s="27" t="s">
        <v>8</v>
      </c>
      <c r="FB935" s="27" t="s">
        <v>7</v>
      </c>
      <c r="FC935" s="27" t="s">
        <v>8</v>
      </c>
      <c r="FD935" s="27" t="s">
        <v>7</v>
      </c>
      <c r="FE935" s="27" t="s">
        <v>8</v>
      </c>
      <c r="FF935" s="27" t="s">
        <v>7</v>
      </c>
      <c r="FG935" s="27" t="s">
        <v>8</v>
      </c>
      <c r="FH935" s="27" t="s">
        <v>7</v>
      </c>
      <c r="FJ935" s="27" t="s">
        <v>7</v>
      </c>
      <c r="FK935" s="27" t="s">
        <v>8</v>
      </c>
      <c r="FL935" s="27" t="s">
        <v>7</v>
      </c>
      <c r="FM935" s="27" t="s">
        <v>8</v>
      </c>
      <c r="FR935" s="27" t="s">
        <v>7</v>
      </c>
    </row>
    <row r="936" spans="1:179" x14ac:dyDescent="0.25">
      <c r="A936" s="7">
        <v>9.966439966258261E-4</v>
      </c>
      <c r="B936"/>
      <c r="C936"/>
      <c r="D936"/>
      <c r="E936"/>
      <c r="CL936" s="27" t="s">
        <v>7</v>
      </c>
      <c r="CM936" s="27" t="s">
        <v>8</v>
      </c>
      <c r="CO936" s="27" t="s">
        <v>8</v>
      </c>
      <c r="CQ936" s="27" t="s">
        <v>8</v>
      </c>
      <c r="CS936" s="27" t="s">
        <v>8</v>
      </c>
      <c r="CT936" s="27" t="s">
        <v>7</v>
      </c>
      <c r="CU936" s="27" t="s">
        <v>8</v>
      </c>
      <c r="CW936" s="27" t="s">
        <v>8</v>
      </c>
      <c r="CY936" s="27" t="s">
        <v>8</v>
      </c>
      <c r="CZ936" s="27" t="s">
        <v>7</v>
      </c>
      <c r="DA936" s="27" t="s">
        <v>8</v>
      </c>
      <c r="DC936" s="27" t="s">
        <v>8</v>
      </c>
      <c r="DD936" s="27" t="s">
        <v>7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Q936" s="27" t="s">
        <v>8</v>
      </c>
      <c r="DS936" s="27" t="s">
        <v>8</v>
      </c>
      <c r="DU936" s="27" t="s">
        <v>8</v>
      </c>
      <c r="DW936" s="27" t="s">
        <v>8</v>
      </c>
      <c r="DY936" s="27" t="s">
        <v>8</v>
      </c>
      <c r="EA936" s="27" t="s">
        <v>8</v>
      </c>
      <c r="EC936" s="27" t="s">
        <v>8</v>
      </c>
      <c r="EE936" s="27" t="s">
        <v>8</v>
      </c>
      <c r="EG936" s="27" t="s">
        <v>8</v>
      </c>
      <c r="EI936" s="27" t="s">
        <v>8</v>
      </c>
      <c r="EL936" s="27" t="s">
        <v>7</v>
      </c>
      <c r="EM936" s="27" t="s">
        <v>8</v>
      </c>
      <c r="EN936" s="27" t="s">
        <v>7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EZ936" s="27" t="s">
        <v>7</v>
      </c>
      <c r="FA936" s="27" t="s">
        <v>8</v>
      </c>
      <c r="FB936" s="27" t="s">
        <v>7</v>
      </c>
      <c r="FC936" s="27" t="s">
        <v>8</v>
      </c>
      <c r="FD936" s="27" t="s">
        <v>7</v>
      </c>
      <c r="FE936" s="27" t="s">
        <v>8</v>
      </c>
      <c r="FF936" s="27" t="s">
        <v>7</v>
      </c>
      <c r="FG936" s="27" t="s">
        <v>8</v>
      </c>
      <c r="FJ936" s="27" t="s">
        <v>7</v>
      </c>
      <c r="FK936" s="27" t="s">
        <v>8</v>
      </c>
      <c r="FL936" s="27" t="s">
        <v>7</v>
      </c>
      <c r="FM936" s="27" t="s">
        <v>8</v>
      </c>
    </row>
    <row r="937" spans="1:179" x14ac:dyDescent="0.25"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T937" s="27" t="s">
        <v>7</v>
      </c>
      <c r="DV937" s="27" t="s">
        <v>7</v>
      </c>
      <c r="DX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  <c r="FJ937" s="27" t="s">
        <v>7</v>
      </c>
      <c r="FL937" s="27" t="s">
        <v>7</v>
      </c>
    </row>
  </sheetData>
  <conditionalFormatting sqref="C27">
    <cfRule type="cellIs" dxfId="90" priority="1290" operator="equal">
      <formula>$U$1</formula>
    </cfRule>
    <cfRule type="cellIs" dxfId="89" priority="1291" operator="equal">
      <formula>$S$1</formula>
    </cfRule>
  </conditionalFormatting>
  <conditionalFormatting sqref="D27">
    <cfRule type="cellIs" dxfId="88" priority="1288" operator="equal">
      <formula>$S$1</formula>
    </cfRule>
    <cfRule type="cellIs" dxfId="87" priority="1289" operator="equal">
      <formula>$U$1</formula>
    </cfRule>
  </conditionalFormatting>
  <conditionalFormatting sqref="C164">
    <cfRule type="cellIs" dxfId="86" priority="1286" operator="equal">
      <formula>$U$1</formula>
    </cfRule>
    <cfRule type="cellIs" dxfId="85" priority="1287" operator="equal">
      <formula>$S$1</formula>
    </cfRule>
  </conditionalFormatting>
  <conditionalFormatting sqref="D164">
    <cfRule type="cellIs" dxfId="84" priority="1284" operator="equal">
      <formula>$S$1</formula>
    </cfRule>
    <cfRule type="cellIs" dxfId="83" priority="1285" operator="equal">
      <formula>$U$1</formula>
    </cfRule>
  </conditionalFormatting>
  <conditionalFormatting sqref="C55">
    <cfRule type="cellIs" dxfId="82" priority="1282" operator="equal">
      <formula>$U$1</formula>
    </cfRule>
    <cfRule type="cellIs" dxfId="81" priority="1283" operator="equal">
      <formula>$S$1</formula>
    </cfRule>
  </conditionalFormatting>
  <conditionalFormatting sqref="D55">
    <cfRule type="cellIs" dxfId="80" priority="1280" operator="equal">
      <formula>$S$1</formula>
    </cfRule>
    <cfRule type="cellIs" dxfId="79" priority="1281" operator="equal">
      <formula>$U$1</formula>
    </cfRule>
  </conditionalFormatting>
  <conditionalFormatting sqref="C89">
    <cfRule type="cellIs" dxfId="78" priority="1278" operator="equal">
      <formula>$U$1</formula>
    </cfRule>
    <cfRule type="cellIs" dxfId="77" priority="1279" operator="equal">
      <formula>$S$1</formula>
    </cfRule>
  </conditionalFormatting>
  <conditionalFormatting sqref="D89">
    <cfRule type="cellIs" dxfId="76" priority="1276" operator="equal">
      <formula>$S$1</formula>
    </cfRule>
    <cfRule type="cellIs" dxfId="75" priority="1277" operator="equal">
      <formula>$U$1</formula>
    </cfRule>
  </conditionalFormatting>
  <conditionalFormatting sqref="C136">
    <cfRule type="cellIs" dxfId="74" priority="1274" operator="equal">
      <formula>$U$1</formula>
    </cfRule>
    <cfRule type="cellIs" dxfId="73" priority="1275" operator="equal">
      <formula>$S$1</formula>
    </cfRule>
  </conditionalFormatting>
  <conditionalFormatting sqref="D136">
    <cfRule type="cellIs" dxfId="72" priority="1272" operator="equal">
      <formula>$S$1</formula>
    </cfRule>
    <cfRule type="cellIs" dxfId="71" priority="1273" operator="equal">
      <formula>$U$1</formula>
    </cfRule>
  </conditionalFormatting>
  <conditionalFormatting sqref="C1">
    <cfRule type="cellIs" dxfId="70" priority="12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IG342" sqref="IG34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$A$341</v>
      </c>
      <c r="D111" s="1" t="str">
        <f>ADDRESS(C121-1,D121,1,1)</f>
        <v>$IG$341</v>
      </c>
      <c r="E111"/>
    </row>
    <row r="112" spans="1:5" x14ac:dyDescent="0.25">
      <c r="A112" s="30">
        <v>515.50191262726139</v>
      </c>
      <c r="C112" s="1" t="str">
        <f>ADDRESS(C121,1,1,1)</f>
        <v>$A$342</v>
      </c>
      <c r="D112" s="1" t="str">
        <f>ADDRESS(C121,D121-1,1,1)</f>
        <v>$IF$342</v>
      </c>
      <c r="E112"/>
    </row>
    <row r="113" spans="1:5" x14ac:dyDescent="0.25">
      <c r="A113" s="30">
        <v>490.95420250215363</v>
      </c>
      <c r="C113" s="1" t="str">
        <f>ADDRESS(C121+1,1,1,1)</f>
        <v>$A$343</v>
      </c>
      <c r="D113" s="1" t="str">
        <f>ADDRESS(C121-1,D121+1,1,1)</f>
        <v>$IH$341</v>
      </c>
    </row>
    <row r="114" spans="1:5" x14ac:dyDescent="0.25">
      <c r="A114" s="30">
        <v>467.57543095443202</v>
      </c>
      <c r="C114" s="1" t="str">
        <f>ADDRESS(C121,D121,1,1)</f>
        <v>$IG$342</v>
      </c>
      <c r="D114" s="1" t="str">
        <f>ADDRESS(C121+1,D121+1,1,1)</f>
        <v>$IH$343</v>
      </c>
    </row>
    <row r="115" spans="1:5" x14ac:dyDescent="0.25">
      <c r="A115" s="30">
        <v>445.30993424231622</v>
      </c>
      <c r="C115" s="1" t="str">
        <f>ADDRESS(C121+1,D121,1,1)</f>
        <v>$IG$343</v>
      </c>
    </row>
    <row r="116" spans="1:5" x14ac:dyDescent="0.25">
      <c r="A116" s="30">
        <v>424.10469927839637</v>
      </c>
      <c r="C116" s="1">
        <f>C117-1</f>
        <v>341</v>
      </c>
    </row>
    <row r="117" spans="1:5" x14ac:dyDescent="0.25">
      <c r="A117" s="30">
        <v>403.9092374079965</v>
      </c>
      <c r="C117" s="1">
        <f>C121</f>
        <v>342</v>
      </c>
      <c r="D117" s="1">
        <f>D121</f>
        <v>241</v>
      </c>
    </row>
    <row r="118" spans="1:5" x14ac:dyDescent="0.25">
      <c r="A118" s="30">
        <v>384.6754641980919</v>
      </c>
      <c r="C118" s="1">
        <f>C117+1</f>
        <v>343</v>
      </c>
      <c r="D118" s="1">
        <f>D117+1</f>
        <v>242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342</v>
      </c>
      <c r="D121" s="19">
        <v>241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R342</v>
      </c>
      <c r="D123" s="1" t="str">
        <f>"C"&amp;D121</f>
        <v>C241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6.8974965967103846E-3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230" x14ac:dyDescent="0.25">
      <c r="A305" s="30">
        <v>4.1946483690970725E-2</v>
      </c>
      <c r="B305"/>
      <c r="C305"/>
      <c r="D305"/>
      <c r="E305"/>
      <c r="F305" s="27" t="s">
        <v>7</v>
      </c>
    </row>
    <row r="306" spans="1:230" x14ac:dyDescent="0.25">
      <c r="A306" s="30">
        <v>3.9949032086638768E-2</v>
      </c>
      <c r="B306"/>
      <c r="C306"/>
      <c r="D306"/>
      <c r="E306"/>
      <c r="F306" s="27" t="s">
        <v>7</v>
      </c>
    </row>
    <row r="307" spans="1:230" x14ac:dyDescent="0.25">
      <c r="A307" s="30">
        <v>3.8046697225370241E-2</v>
      </c>
      <c r="B307"/>
      <c r="C307"/>
      <c r="D307"/>
      <c r="E307"/>
      <c r="F307" s="27" t="s">
        <v>7</v>
      </c>
    </row>
    <row r="308" spans="1:230" x14ac:dyDescent="0.25">
      <c r="A308" s="30">
        <v>3.6234949738447833E-2</v>
      </c>
      <c r="B308"/>
      <c r="C308"/>
      <c r="D308"/>
      <c r="E308"/>
      <c r="F308" s="27" t="s">
        <v>7</v>
      </c>
    </row>
    <row r="309" spans="1:230" x14ac:dyDescent="0.25">
      <c r="A309" s="30">
        <v>3.4509475941378875E-2</v>
      </c>
      <c r="B309"/>
      <c r="C309"/>
      <c r="D309"/>
      <c r="E309"/>
      <c r="F309" s="27" t="s">
        <v>7</v>
      </c>
      <c r="FC309" s="27" t="s">
        <v>8</v>
      </c>
    </row>
    <row r="310" spans="1:230" x14ac:dyDescent="0.25">
      <c r="A310" s="30">
        <v>3.286616756321796E-2</v>
      </c>
      <c r="B310"/>
      <c r="C310"/>
      <c r="D310"/>
      <c r="E310"/>
      <c r="F310" s="27" t="s">
        <v>7</v>
      </c>
      <c r="FC310" s="27" t="s">
        <v>8</v>
      </c>
      <c r="FD310" s="27" t="s">
        <v>7</v>
      </c>
    </row>
    <row r="311" spans="1:230" x14ac:dyDescent="0.25">
      <c r="A311" s="30">
        <v>3.1301111964969472E-2</v>
      </c>
      <c r="B311"/>
      <c r="C311"/>
      <c r="D311"/>
      <c r="E311"/>
      <c r="F311" s="27" t="s">
        <v>7</v>
      </c>
      <c r="FC311" s="27" t="s">
        <v>8</v>
      </c>
      <c r="FD311" s="27" t="s">
        <v>7</v>
      </c>
    </row>
    <row r="312" spans="1:230" x14ac:dyDescent="0.25">
      <c r="A312" s="30">
        <v>2.9810582823780438E-2</v>
      </c>
      <c r="B312"/>
      <c r="C312"/>
      <c r="D312"/>
      <c r="E312"/>
      <c r="F312" s="27" t="s">
        <v>7</v>
      </c>
      <c r="EW312" s="27" t="s">
        <v>8</v>
      </c>
      <c r="FC312" s="27" t="s">
        <v>8</v>
      </c>
      <c r="FD312" s="27" t="s">
        <v>7</v>
      </c>
    </row>
    <row r="313" spans="1:230" x14ac:dyDescent="0.25">
      <c r="A313" s="30">
        <v>2.8391031260743264E-2</v>
      </c>
      <c r="B313"/>
      <c r="C313"/>
      <c r="D313"/>
      <c r="E313"/>
      <c r="F313" s="27" t="s">
        <v>7</v>
      </c>
      <c r="EW313" s="27" t="s">
        <v>8</v>
      </c>
      <c r="EX313" s="27" t="s">
        <v>7</v>
      </c>
      <c r="FC313" s="27" t="s">
        <v>8</v>
      </c>
      <c r="FD313" s="27" t="s">
        <v>7</v>
      </c>
    </row>
    <row r="314" spans="1:230" x14ac:dyDescent="0.25">
      <c r="A314" s="30">
        <v>2.7039077391184052E-2</v>
      </c>
      <c r="B314"/>
      <c r="C314"/>
      <c r="D314"/>
      <c r="E314"/>
      <c r="F314" s="27" t="s">
        <v>7</v>
      </c>
      <c r="EU314" s="27" t="s">
        <v>8</v>
      </c>
      <c r="EW314" s="27" t="s">
        <v>8</v>
      </c>
      <c r="EX314" s="27" t="s">
        <v>7</v>
      </c>
      <c r="FC314" s="27" t="s">
        <v>8</v>
      </c>
      <c r="FD314" s="27" t="s">
        <v>7</v>
      </c>
    </row>
    <row r="315" spans="1:230" x14ac:dyDescent="0.25">
      <c r="A315" s="30">
        <v>2.5751502277318133E-2</v>
      </c>
      <c r="B315"/>
      <c r="C315"/>
      <c r="D315"/>
      <c r="E315"/>
      <c r="F315" s="27" t="s">
        <v>7</v>
      </c>
      <c r="EU315" s="27" t="s">
        <v>8</v>
      </c>
      <c r="EV315" s="27" t="s">
        <v>7</v>
      </c>
      <c r="EW315" s="27" t="s">
        <v>8</v>
      </c>
      <c r="EX315" s="27" t="s">
        <v>7</v>
      </c>
      <c r="FA315" s="27" t="s">
        <v>8</v>
      </c>
      <c r="FC315" s="27" t="s">
        <v>8</v>
      </c>
      <c r="FD315" s="27" t="s">
        <v>7</v>
      </c>
      <c r="FE315" s="27" t="s">
        <v>8</v>
      </c>
      <c r="HO315" s="27" t="s">
        <v>8</v>
      </c>
    </row>
    <row r="316" spans="1:230" x14ac:dyDescent="0.25">
      <c r="A316" s="30">
        <v>2.4525240264112496E-2</v>
      </c>
      <c r="B316"/>
      <c r="C316"/>
      <c r="D316"/>
      <c r="E316"/>
      <c r="F316" s="27" t="s">
        <v>7</v>
      </c>
      <c r="EU316" s="27" t="s">
        <v>8</v>
      </c>
      <c r="EV316" s="27" t="s">
        <v>7</v>
      </c>
      <c r="EW316" s="27" t="s">
        <v>8</v>
      </c>
      <c r="EX316" s="27" t="s">
        <v>7</v>
      </c>
      <c r="EY316" s="27" t="s">
        <v>8</v>
      </c>
      <c r="FA316" s="27" t="s">
        <v>8</v>
      </c>
      <c r="FB316" s="27" t="s">
        <v>7</v>
      </c>
      <c r="FC316" s="27" t="s">
        <v>8</v>
      </c>
      <c r="FD316" s="27" t="s">
        <v>7</v>
      </c>
      <c r="FE316" s="27" t="s">
        <v>8</v>
      </c>
      <c r="FF316" s="27" t="s">
        <v>7</v>
      </c>
      <c r="FK316" s="27" t="s">
        <v>8</v>
      </c>
      <c r="HO316" s="27" t="s">
        <v>8</v>
      </c>
      <c r="HP316" s="27" t="s">
        <v>7</v>
      </c>
    </row>
    <row r="317" spans="1:230" x14ac:dyDescent="0.25">
      <c r="A317" s="30">
        <v>2.3357371680107129E-2</v>
      </c>
      <c r="B317"/>
      <c r="C317"/>
      <c r="D317"/>
      <c r="E317"/>
      <c r="F317" s="27" t="s">
        <v>7</v>
      </c>
      <c r="EU317" s="27" t="s">
        <v>8</v>
      </c>
      <c r="EV317" s="27" t="s">
        <v>7</v>
      </c>
      <c r="EW317" s="27" t="s">
        <v>8</v>
      </c>
      <c r="EX317" s="27" t="s">
        <v>7</v>
      </c>
      <c r="EY317" s="27" t="s">
        <v>8</v>
      </c>
      <c r="EZ317" s="27" t="s">
        <v>7</v>
      </c>
      <c r="FA317" s="27" t="s">
        <v>8</v>
      </c>
      <c r="FB317" s="27" t="s">
        <v>7</v>
      </c>
      <c r="FC317" s="27" t="s">
        <v>8</v>
      </c>
      <c r="FD317" s="27" t="s">
        <v>7</v>
      </c>
      <c r="FE317" s="27" t="s">
        <v>8</v>
      </c>
      <c r="FF317" s="27" t="s">
        <v>7</v>
      </c>
      <c r="FK317" s="27" t="s">
        <v>8</v>
      </c>
      <c r="FL317" s="27" t="s">
        <v>7</v>
      </c>
      <c r="HO317" s="27" t="s">
        <v>8</v>
      </c>
      <c r="HP317" s="27" t="s">
        <v>7</v>
      </c>
    </row>
    <row r="318" spans="1:230" x14ac:dyDescent="0.25">
      <c r="A318" s="30">
        <v>2.2245115885816305E-2</v>
      </c>
      <c r="B318"/>
      <c r="C318"/>
      <c r="D318"/>
      <c r="E318"/>
      <c r="F318" s="27" t="s">
        <v>7</v>
      </c>
      <c r="EU318" s="27" t="s">
        <v>8</v>
      </c>
      <c r="EV318" s="27" t="s">
        <v>7</v>
      </c>
      <c r="EX318" s="27" t="s">
        <v>7</v>
      </c>
      <c r="EY318" s="27" t="s">
        <v>8</v>
      </c>
      <c r="EZ318" s="27" t="s">
        <v>7</v>
      </c>
      <c r="FA318" s="27" t="s">
        <v>8</v>
      </c>
      <c r="FB318" s="27" t="s">
        <v>7</v>
      </c>
      <c r="FC318" s="27" t="s">
        <v>8</v>
      </c>
      <c r="FD318" s="27" t="s">
        <v>7</v>
      </c>
      <c r="FE318" s="27" t="s">
        <v>8</v>
      </c>
      <c r="FF318" s="27" t="s">
        <v>7</v>
      </c>
      <c r="FK318" s="27" t="s">
        <v>8</v>
      </c>
      <c r="FL318" s="27" t="s">
        <v>7</v>
      </c>
      <c r="HO318" s="27" t="s">
        <v>8</v>
      </c>
      <c r="HP318" s="27" t="s">
        <v>7</v>
      </c>
      <c r="HU318" s="27" t="s">
        <v>8</v>
      </c>
    </row>
    <row r="319" spans="1:230" x14ac:dyDescent="0.25">
      <c r="A319" s="30">
        <v>2.1185824653158377E-2</v>
      </c>
      <c r="B319"/>
      <c r="C319"/>
      <c r="D319"/>
      <c r="E319"/>
      <c r="F319" s="27" t="s">
        <v>7</v>
      </c>
      <c r="EU319" s="27" t="s">
        <v>8</v>
      </c>
      <c r="EX319" s="27" t="s">
        <v>7</v>
      </c>
      <c r="EY319" s="27" t="s">
        <v>8</v>
      </c>
      <c r="EZ319" s="27" t="s">
        <v>7</v>
      </c>
      <c r="FB319" s="27" t="s">
        <v>7</v>
      </c>
      <c r="FD319" s="27" t="s">
        <v>7</v>
      </c>
      <c r="FF319" s="27" t="s">
        <v>7</v>
      </c>
      <c r="FK319" s="27" t="s">
        <v>8</v>
      </c>
      <c r="FL319" s="27" t="s">
        <v>7</v>
      </c>
      <c r="HO319" s="27" t="s">
        <v>8</v>
      </c>
      <c r="HP319" s="27" t="s">
        <v>7</v>
      </c>
      <c r="HU319" s="27" t="s">
        <v>8</v>
      </c>
      <c r="HV319" s="27" t="s">
        <v>7</v>
      </c>
    </row>
    <row r="320" spans="1:230" x14ac:dyDescent="0.25">
      <c r="A320" s="30">
        <v>2.0176975860150829E-2</v>
      </c>
      <c r="B320"/>
      <c r="C320"/>
      <c r="D320"/>
      <c r="E320"/>
      <c r="F320" s="27" t="s">
        <v>7</v>
      </c>
      <c r="EU320" s="27" t="s">
        <v>8</v>
      </c>
      <c r="EX320" s="27" t="s">
        <v>7</v>
      </c>
      <c r="EY320" s="27" t="s">
        <v>8</v>
      </c>
      <c r="FF320" s="27" t="s">
        <v>7</v>
      </c>
      <c r="FG320" s="27" t="s">
        <v>8</v>
      </c>
      <c r="FK320" s="27" t="s">
        <v>8</v>
      </c>
      <c r="FL320" s="27" t="s">
        <v>7</v>
      </c>
      <c r="HO320" s="27" t="s">
        <v>8</v>
      </c>
      <c r="HP320" s="27" t="s">
        <v>7</v>
      </c>
      <c r="HQ320" s="27" t="s">
        <v>8</v>
      </c>
      <c r="HU320" s="27" t="s">
        <v>8</v>
      </c>
      <c r="HV320" s="27" t="s">
        <v>7</v>
      </c>
    </row>
    <row r="321" spans="1:238" x14ac:dyDescent="0.25">
      <c r="A321" s="30">
        <v>1.9216167485857926E-2</v>
      </c>
      <c r="B321"/>
      <c r="C321"/>
      <c r="D321"/>
      <c r="E321"/>
      <c r="F321" s="27" t="s">
        <v>7</v>
      </c>
      <c r="ES321" s="27" t="s">
        <v>8</v>
      </c>
      <c r="EU321" s="27" t="s">
        <v>8</v>
      </c>
      <c r="EX321" s="27" t="s">
        <v>7</v>
      </c>
      <c r="FF321" s="27" t="s">
        <v>7</v>
      </c>
      <c r="FG321" s="27" t="s">
        <v>8</v>
      </c>
      <c r="FH321" s="27" t="s">
        <v>7</v>
      </c>
      <c r="FK321" s="27" t="s">
        <v>8</v>
      </c>
      <c r="FL321" s="27" t="s">
        <v>7</v>
      </c>
      <c r="HO321" s="27" t="s">
        <v>8</v>
      </c>
      <c r="HP321" s="27" t="s">
        <v>7</v>
      </c>
      <c r="HQ321" s="27" t="s">
        <v>8</v>
      </c>
      <c r="HR321" s="27" t="s">
        <v>7</v>
      </c>
      <c r="HU321" s="27" t="s">
        <v>8</v>
      </c>
      <c r="HV321" s="27" t="s">
        <v>7</v>
      </c>
    </row>
    <row r="322" spans="1:238" x14ac:dyDescent="0.25">
      <c r="A322" s="30">
        <v>1.8301111891293256E-2</v>
      </c>
      <c r="B322"/>
      <c r="C322"/>
      <c r="D322"/>
      <c r="E322"/>
      <c r="F322" s="27" t="s">
        <v>7</v>
      </c>
      <c r="EQ322" s="27" t="s">
        <v>8</v>
      </c>
      <c r="ES322" s="27" t="s">
        <v>8</v>
      </c>
      <c r="ET322" s="27" t="s">
        <v>7</v>
      </c>
      <c r="EU322" s="27" t="s">
        <v>8</v>
      </c>
      <c r="FF322" s="27" t="s">
        <v>7</v>
      </c>
      <c r="FG322" s="27" t="s">
        <v>8</v>
      </c>
      <c r="FH322" s="27" t="s">
        <v>7</v>
      </c>
      <c r="FK322" s="27" t="s">
        <v>8</v>
      </c>
      <c r="FL322" s="27" t="s">
        <v>7</v>
      </c>
      <c r="HO322" s="27" t="s">
        <v>8</v>
      </c>
      <c r="HP322" s="27" t="s">
        <v>7</v>
      </c>
      <c r="HQ322" s="27" t="s">
        <v>8</v>
      </c>
      <c r="HR322" s="27" t="s">
        <v>7</v>
      </c>
      <c r="HU322" s="27" t="s">
        <v>8</v>
      </c>
      <c r="HV322" s="27" t="s">
        <v>7</v>
      </c>
    </row>
    <row r="323" spans="1:238" x14ac:dyDescent="0.25">
      <c r="A323" s="30">
        <v>1.7429630372660238E-2</v>
      </c>
      <c r="B323"/>
      <c r="C323"/>
      <c r="D323"/>
      <c r="E323"/>
      <c r="F323" s="27" t="s">
        <v>7</v>
      </c>
      <c r="EQ323" s="27" t="s">
        <v>8</v>
      </c>
      <c r="ER323" s="27" t="s">
        <v>7</v>
      </c>
      <c r="ES323" s="27" t="s">
        <v>8</v>
      </c>
      <c r="ET323" s="27" t="s">
        <v>7</v>
      </c>
      <c r="EU323" s="27" t="s">
        <v>8</v>
      </c>
      <c r="FF323" s="27" t="s">
        <v>7</v>
      </c>
      <c r="FG323" s="27" t="s">
        <v>8</v>
      </c>
      <c r="FH323" s="27" t="s">
        <v>7</v>
      </c>
      <c r="FK323" s="27" t="s">
        <v>8</v>
      </c>
      <c r="FL323" s="27" t="s">
        <v>7</v>
      </c>
      <c r="HO323" s="27" t="s">
        <v>8</v>
      </c>
      <c r="HP323" s="27" t="s">
        <v>7</v>
      </c>
      <c r="HQ323" s="27" t="s">
        <v>8</v>
      </c>
      <c r="HR323" s="27" t="s">
        <v>7</v>
      </c>
      <c r="HS323" s="27" t="s">
        <v>8</v>
      </c>
      <c r="HU323" s="27" t="s">
        <v>8</v>
      </c>
      <c r="HV323" s="27" t="s">
        <v>7</v>
      </c>
    </row>
    <row r="324" spans="1:238" x14ac:dyDescent="0.25">
      <c r="A324" s="30">
        <v>1.6599647973962125E-2</v>
      </c>
      <c r="B324"/>
      <c r="C324"/>
      <c r="D324"/>
      <c r="E324"/>
      <c r="F324" s="27" t="s">
        <v>7</v>
      </c>
      <c r="EQ324" s="27" t="s">
        <v>8</v>
      </c>
      <c r="ER324" s="27" t="s">
        <v>7</v>
      </c>
      <c r="ES324" s="27" t="s">
        <v>8</v>
      </c>
      <c r="ET324" s="27" t="s">
        <v>7</v>
      </c>
      <c r="EU324" s="27" t="s">
        <v>8</v>
      </c>
      <c r="FF324" s="27" t="s">
        <v>7</v>
      </c>
      <c r="FG324" s="27" t="s">
        <v>8</v>
      </c>
      <c r="FH324" s="27" t="s">
        <v>7</v>
      </c>
      <c r="FK324" s="27" t="s">
        <v>8</v>
      </c>
      <c r="FL324" s="27" t="s">
        <v>7</v>
      </c>
      <c r="FY324" s="27" t="s">
        <v>8</v>
      </c>
      <c r="HG324" s="27" t="s">
        <v>8</v>
      </c>
      <c r="HK324" s="27" t="s">
        <v>8</v>
      </c>
      <c r="HO324" s="27" t="s">
        <v>8</v>
      </c>
      <c r="HP324" s="27" t="s">
        <v>7</v>
      </c>
      <c r="HQ324" s="27" t="s">
        <v>8</v>
      </c>
      <c r="HR324" s="27" t="s">
        <v>7</v>
      </c>
      <c r="HS324" s="27" t="s">
        <v>8</v>
      </c>
      <c r="HT324" s="27" t="s">
        <v>7</v>
      </c>
      <c r="HU324" s="27" t="s">
        <v>8</v>
      </c>
      <c r="HV324" s="27" t="s">
        <v>7</v>
      </c>
    </row>
    <row r="325" spans="1:238" x14ac:dyDescent="0.25">
      <c r="A325" s="30">
        <v>1.580918854663059E-2</v>
      </c>
      <c r="B325"/>
      <c r="C325"/>
      <c r="D325"/>
      <c r="E325"/>
      <c r="F325" s="27" t="s">
        <v>7</v>
      </c>
      <c r="EQ325" s="27" t="s">
        <v>8</v>
      </c>
      <c r="ER325" s="27" t="s">
        <v>7</v>
      </c>
      <c r="ES325" s="27" t="s">
        <v>8</v>
      </c>
      <c r="ET325" s="27" t="s">
        <v>7</v>
      </c>
      <c r="EU325" s="27" t="s">
        <v>8</v>
      </c>
      <c r="FF325" s="27" t="s">
        <v>7</v>
      </c>
      <c r="FG325" s="27" t="s">
        <v>8</v>
      </c>
      <c r="FH325" s="27" t="s">
        <v>7</v>
      </c>
      <c r="FK325" s="27" t="s">
        <v>8</v>
      </c>
      <c r="FL325" s="27" t="s">
        <v>7</v>
      </c>
      <c r="FM325" s="27" t="s">
        <v>8</v>
      </c>
      <c r="FO325" s="27" t="s">
        <v>8</v>
      </c>
      <c r="FY325" s="27" t="s">
        <v>8</v>
      </c>
      <c r="FZ325" s="27" t="s">
        <v>7</v>
      </c>
      <c r="HG325" s="27" t="s">
        <v>8</v>
      </c>
      <c r="HH325" s="27" t="s">
        <v>7</v>
      </c>
      <c r="HK325" s="27" t="s">
        <v>8</v>
      </c>
      <c r="HL325" s="27" t="s">
        <v>7</v>
      </c>
      <c r="HO325" s="27" t="s">
        <v>8</v>
      </c>
      <c r="HP325" s="27" t="s">
        <v>7</v>
      </c>
      <c r="HQ325" s="27" t="s">
        <v>8</v>
      </c>
      <c r="HR325" s="27" t="s">
        <v>7</v>
      </c>
      <c r="HS325" s="27" t="s">
        <v>8</v>
      </c>
      <c r="HT325" s="27" t="s">
        <v>7</v>
      </c>
      <c r="HU325" s="27" t="s">
        <v>8</v>
      </c>
      <c r="HV325" s="27" t="s">
        <v>7</v>
      </c>
      <c r="HW325" s="27" t="s">
        <v>8</v>
      </c>
      <c r="IA325" s="27" t="s">
        <v>8</v>
      </c>
    </row>
    <row r="326" spans="1:238" x14ac:dyDescent="0.25">
      <c r="A326" s="30">
        <v>1.5056370044410079E-2</v>
      </c>
      <c r="B326"/>
      <c r="C326"/>
      <c r="D326"/>
      <c r="E326"/>
      <c r="F326" s="27" t="s">
        <v>7</v>
      </c>
      <c r="EQ326" s="27" t="s">
        <v>8</v>
      </c>
      <c r="ER326" s="27" t="s">
        <v>7</v>
      </c>
      <c r="ES326" s="27" t="s">
        <v>8</v>
      </c>
      <c r="ET326" s="27" t="s">
        <v>7</v>
      </c>
      <c r="FF326" s="27" t="s">
        <v>7</v>
      </c>
      <c r="FG326" s="27" t="s">
        <v>8</v>
      </c>
      <c r="FH326" s="27" t="s">
        <v>7</v>
      </c>
      <c r="FK326" s="27" t="s">
        <v>8</v>
      </c>
      <c r="FL326" s="27" t="s">
        <v>7</v>
      </c>
      <c r="FM326" s="27" t="s">
        <v>8</v>
      </c>
      <c r="FN326" s="27" t="s">
        <v>7</v>
      </c>
      <c r="FO326" s="27" t="s">
        <v>8</v>
      </c>
      <c r="FP326" s="27" t="s">
        <v>7</v>
      </c>
      <c r="FY326" s="27" t="s">
        <v>8</v>
      </c>
      <c r="FZ326" s="27" t="s">
        <v>7</v>
      </c>
      <c r="HG326" s="27" t="s">
        <v>8</v>
      </c>
      <c r="HH326" s="27" t="s">
        <v>7</v>
      </c>
      <c r="HK326" s="27" t="s">
        <v>8</v>
      </c>
      <c r="HL326" s="27" t="s">
        <v>7</v>
      </c>
      <c r="HO326" s="27" t="s">
        <v>8</v>
      </c>
      <c r="HP326" s="27" t="s">
        <v>7</v>
      </c>
      <c r="HQ326" s="27" t="s">
        <v>8</v>
      </c>
      <c r="HR326" s="27" t="s">
        <v>7</v>
      </c>
      <c r="HS326" s="27" t="s">
        <v>8</v>
      </c>
      <c r="HT326" s="27" t="s">
        <v>7</v>
      </c>
      <c r="HU326" s="27" t="s">
        <v>8</v>
      </c>
      <c r="HV326" s="27" t="s">
        <v>7</v>
      </c>
      <c r="HW326" s="27" t="s">
        <v>8</v>
      </c>
      <c r="HX326" s="27" t="s">
        <v>7</v>
      </c>
      <c r="IA326" s="27" t="s">
        <v>8</v>
      </c>
      <c r="IB326" s="27" t="s">
        <v>7</v>
      </c>
    </row>
    <row r="327" spans="1:238" x14ac:dyDescent="0.25">
      <c r="A327" s="30">
        <v>1.4339400042295308E-2</v>
      </c>
      <c r="B327"/>
      <c r="C327"/>
      <c r="D327"/>
      <c r="E327"/>
      <c r="F327" s="27" t="s">
        <v>7</v>
      </c>
      <c r="EI327" s="27" t="s">
        <v>8</v>
      </c>
      <c r="EQ327" s="27" t="s">
        <v>8</v>
      </c>
      <c r="ER327" s="27" t="s">
        <v>7</v>
      </c>
      <c r="FF327" s="27" t="s">
        <v>7</v>
      </c>
      <c r="FG327" s="27" t="s">
        <v>8</v>
      </c>
      <c r="FH327" s="27" t="s">
        <v>7</v>
      </c>
      <c r="FI327" s="27" t="s">
        <v>8</v>
      </c>
      <c r="FK327" s="27" t="s">
        <v>8</v>
      </c>
      <c r="FL327" s="27" t="s">
        <v>7</v>
      </c>
      <c r="FM327" s="27" t="s">
        <v>8</v>
      </c>
      <c r="FN327" s="27" t="s">
        <v>7</v>
      </c>
      <c r="FO327" s="27" t="s">
        <v>8</v>
      </c>
      <c r="FP327" s="27" t="s">
        <v>7</v>
      </c>
      <c r="FY327" s="27" t="s">
        <v>8</v>
      </c>
      <c r="FZ327" s="27" t="s">
        <v>7</v>
      </c>
      <c r="HG327" s="27" t="s">
        <v>8</v>
      </c>
      <c r="HH327" s="27" t="s">
        <v>7</v>
      </c>
      <c r="HK327" s="27" t="s">
        <v>8</v>
      </c>
      <c r="HL327" s="27" t="s">
        <v>7</v>
      </c>
      <c r="HO327" s="27" t="s">
        <v>8</v>
      </c>
      <c r="HP327" s="27" t="s">
        <v>7</v>
      </c>
      <c r="HR327" s="27" t="s">
        <v>7</v>
      </c>
      <c r="HT327" s="27" t="s">
        <v>7</v>
      </c>
      <c r="HV327" s="27" t="s">
        <v>7</v>
      </c>
      <c r="HW327" s="27" t="s">
        <v>8</v>
      </c>
      <c r="HX327" s="27" t="s">
        <v>7</v>
      </c>
      <c r="IA327" s="27" t="s">
        <v>8</v>
      </c>
      <c r="IB327" s="27" t="s">
        <v>7</v>
      </c>
    </row>
    <row r="328" spans="1:238" x14ac:dyDescent="0.25">
      <c r="A328" s="30">
        <v>1.365657146885267E-2</v>
      </c>
      <c r="B328"/>
      <c r="C328"/>
      <c r="D328"/>
      <c r="E328"/>
      <c r="F328" s="27" t="s">
        <v>7</v>
      </c>
      <c r="EI328" s="27" t="s">
        <v>8</v>
      </c>
      <c r="EJ328" s="27" t="s">
        <v>7</v>
      </c>
      <c r="EQ328" s="27" t="s">
        <v>8</v>
      </c>
      <c r="FF328" s="27" t="s">
        <v>7</v>
      </c>
      <c r="FH328" s="27" t="s">
        <v>7</v>
      </c>
      <c r="FI328" s="27" t="s">
        <v>8</v>
      </c>
      <c r="FJ328" s="27" t="s">
        <v>7</v>
      </c>
      <c r="FK328" s="27" t="s">
        <v>8</v>
      </c>
      <c r="FL328" s="27" t="s">
        <v>7</v>
      </c>
      <c r="FN328" s="27" t="s">
        <v>7</v>
      </c>
      <c r="FO328" s="27" t="s">
        <v>8</v>
      </c>
      <c r="FP328" s="27" t="s">
        <v>7</v>
      </c>
      <c r="FY328" s="27" t="s">
        <v>8</v>
      </c>
      <c r="FZ328" s="27" t="s">
        <v>7</v>
      </c>
      <c r="HE328" s="27" t="s">
        <v>8</v>
      </c>
      <c r="HG328" s="27" t="s">
        <v>8</v>
      </c>
      <c r="HH328" s="27" t="s">
        <v>7</v>
      </c>
      <c r="HK328" s="27" t="s">
        <v>8</v>
      </c>
      <c r="HL328" s="27" t="s">
        <v>7</v>
      </c>
      <c r="HM328" s="27" t="s">
        <v>8</v>
      </c>
      <c r="HO328" s="27" t="s">
        <v>8</v>
      </c>
      <c r="HV328" s="27" t="s">
        <v>7</v>
      </c>
      <c r="HW328" s="27" t="s">
        <v>8</v>
      </c>
      <c r="HX328" s="27" t="s">
        <v>7</v>
      </c>
      <c r="HY328" s="27" t="s">
        <v>8</v>
      </c>
      <c r="IA328" s="27" t="s">
        <v>8</v>
      </c>
      <c r="IB328" s="27" t="s">
        <v>7</v>
      </c>
      <c r="IC328" s="27" t="s">
        <v>8</v>
      </c>
    </row>
    <row r="329" spans="1:238" x14ac:dyDescent="0.25">
      <c r="A329" s="30">
        <v>1.3006258541764442E-2</v>
      </c>
      <c r="B329"/>
      <c r="C329"/>
      <c r="D329"/>
      <c r="E329"/>
      <c r="F329" s="27" t="s">
        <v>7</v>
      </c>
      <c r="EI329" s="27" t="s">
        <v>8</v>
      </c>
      <c r="EJ329" s="27" t="s">
        <v>7</v>
      </c>
      <c r="EQ329" s="27" t="s">
        <v>8</v>
      </c>
      <c r="FH329" s="27" t="s">
        <v>7</v>
      </c>
      <c r="FI329" s="27" t="s">
        <v>8</v>
      </c>
      <c r="FJ329" s="27" t="s">
        <v>7</v>
      </c>
      <c r="FK329" s="27" t="s">
        <v>8</v>
      </c>
      <c r="FN329" s="27" t="s">
        <v>7</v>
      </c>
      <c r="FO329" s="27" t="s">
        <v>8</v>
      </c>
      <c r="FP329" s="27" t="s">
        <v>7</v>
      </c>
      <c r="FY329" s="27" t="s">
        <v>8</v>
      </c>
      <c r="FZ329" s="27" t="s">
        <v>7</v>
      </c>
      <c r="GA329" s="27" t="s">
        <v>8</v>
      </c>
      <c r="HE329" s="27" t="s">
        <v>8</v>
      </c>
      <c r="HF329" s="27" t="s">
        <v>7</v>
      </c>
      <c r="HG329" s="27" t="s">
        <v>8</v>
      </c>
      <c r="HH329" s="27" t="s">
        <v>7</v>
      </c>
      <c r="HK329" s="27" t="s">
        <v>8</v>
      </c>
      <c r="HL329" s="27" t="s">
        <v>7</v>
      </c>
      <c r="HM329" s="27" t="s">
        <v>8</v>
      </c>
      <c r="HN329" s="27" t="s">
        <v>7</v>
      </c>
      <c r="HO329" s="27" t="s">
        <v>8</v>
      </c>
      <c r="HV329" s="27" t="s">
        <v>7</v>
      </c>
      <c r="HX329" s="27" t="s">
        <v>7</v>
      </c>
      <c r="HY329" s="27" t="s">
        <v>8</v>
      </c>
      <c r="HZ329" s="27" t="s">
        <v>7</v>
      </c>
      <c r="IA329" s="27" t="s">
        <v>8</v>
      </c>
      <c r="IB329" s="27" t="s">
        <v>7</v>
      </c>
      <c r="IC329" s="27" t="s">
        <v>8</v>
      </c>
      <c r="ID329" s="27" t="s">
        <v>7</v>
      </c>
    </row>
    <row r="330" spans="1:238" x14ac:dyDescent="0.25">
      <c r="A330" s="30">
        <v>1.2386912896918512E-2</v>
      </c>
      <c r="B330"/>
      <c r="C330"/>
      <c r="D330"/>
      <c r="E330"/>
      <c r="F330" s="27" t="s">
        <v>7</v>
      </c>
      <c r="EI330" s="27" t="s">
        <v>8</v>
      </c>
      <c r="EJ330" s="27" t="s">
        <v>7</v>
      </c>
      <c r="EQ330" s="27" t="s">
        <v>8</v>
      </c>
      <c r="FH330" s="27" t="s">
        <v>7</v>
      </c>
      <c r="FI330" s="27" t="s">
        <v>8</v>
      </c>
      <c r="FJ330" s="27" t="s">
        <v>7</v>
      </c>
      <c r="FK330" s="27" t="s">
        <v>8</v>
      </c>
      <c r="FN330" s="27" t="s">
        <v>7</v>
      </c>
      <c r="FP330" s="27" t="s">
        <v>7</v>
      </c>
      <c r="FY330" s="27" t="s">
        <v>8</v>
      </c>
      <c r="FZ330" s="27" t="s">
        <v>7</v>
      </c>
      <c r="GA330" s="27" t="s">
        <v>8</v>
      </c>
      <c r="GB330" s="27" t="s">
        <v>7</v>
      </c>
      <c r="GU330" s="27" t="s">
        <v>8</v>
      </c>
      <c r="HE330" s="27" t="s">
        <v>8</v>
      </c>
      <c r="HF330" s="27" t="s">
        <v>7</v>
      </c>
      <c r="HG330" s="27" t="s">
        <v>8</v>
      </c>
      <c r="HH330" s="27" t="s">
        <v>7</v>
      </c>
      <c r="HI330" s="27" t="s">
        <v>8</v>
      </c>
      <c r="HK330" s="27" t="s">
        <v>8</v>
      </c>
      <c r="HL330" s="27" t="s">
        <v>7</v>
      </c>
      <c r="HM330" s="27" t="s">
        <v>8</v>
      </c>
      <c r="HN330" s="27" t="s">
        <v>7</v>
      </c>
      <c r="HO330" s="27" t="s">
        <v>8</v>
      </c>
      <c r="HX330" s="27" t="s">
        <v>7</v>
      </c>
      <c r="HY330" s="27" t="s">
        <v>8</v>
      </c>
      <c r="HZ330" s="27" t="s">
        <v>7</v>
      </c>
      <c r="IA330" s="27" t="s">
        <v>8</v>
      </c>
      <c r="IB330" s="27" t="s">
        <v>7</v>
      </c>
      <c r="IC330" s="27" t="s">
        <v>8</v>
      </c>
      <c r="ID330" s="27" t="s">
        <v>7</v>
      </c>
    </row>
    <row r="331" spans="1:238" x14ac:dyDescent="0.25">
      <c r="A331" s="30">
        <v>1.179705990182715E-2</v>
      </c>
      <c r="B331"/>
      <c r="C331"/>
      <c r="D331"/>
      <c r="E331"/>
      <c r="F331" s="27" t="s">
        <v>7</v>
      </c>
      <c r="EI331" s="27" t="s">
        <v>8</v>
      </c>
      <c r="EJ331" s="27" t="s">
        <v>7</v>
      </c>
      <c r="EQ331" s="27" t="s">
        <v>8</v>
      </c>
      <c r="FH331" s="27" t="s">
        <v>7</v>
      </c>
      <c r="FI331" s="27" t="s">
        <v>8</v>
      </c>
      <c r="FJ331" s="27" t="s">
        <v>7</v>
      </c>
      <c r="FK331" s="27" t="s">
        <v>8</v>
      </c>
      <c r="FP331" s="27" t="s">
        <v>7</v>
      </c>
      <c r="FY331" s="27" t="s">
        <v>8</v>
      </c>
      <c r="FZ331" s="27" t="s">
        <v>7</v>
      </c>
      <c r="GA331" s="27" t="s">
        <v>8</v>
      </c>
      <c r="GB331" s="27" t="s">
        <v>7</v>
      </c>
      <c r="GC331" s="27" t="s">
        <v>8</v>
      </c>
      <c r="GU331" s="27" t="s">
        <v>8</v>
      </c>
      <c r="GV331" s="27" t="s">
        <v>7</v>
      </c>
      <c r="HE331" s="27" t="s">
        <v>8</v>
      </c>
      <c r="HF331" s="27" t="s">
        <v>7</v>
      </c>
      <c r="HG331" s="27" t="s">
        <v>8</v>
      </c>
      <c r="HH331" s="27" t="s">
        <v>7</v>
      </c>
      <c r="HI331" s="27" t="s">
        <v>8</v>
      </c>
      <c r="HJ331" s="27" t="s">
        <v>7</v>
      </c>
      <c r="HK331" s="27" t="s">
        <v>8</v>
      </c>
      <c r="HL331" s="27" t="s">
        <v>7</v>
      </c>
      <c r="HN331" s="27" t="s">
        <v>7</v>
      </c>
      <c r="HO331" s="27" t="s">
        <v>8</v>
      </c>
      <c r="HX331" s="27" t="s">
        <v>7</v>
      </c>
      <c r="HY331" s="27" t="s">
        <v>8</v>
      </c>
      <c r="HZ331" s="27" t="s">
        <v>7</v>
      </c>
      <c r="IB331" s="27" t="s">
        <v>7</v>
      </c>
      <c r="ID331" s="27" t="s">
        <v>7</v>
      </c>
    </row>
    <row r="332" spans="1:238" x14ac:dyDescent="0.25">
      <c r="A332" s="30">
        <v>1.1235295144597281E-2</v>
      </c>
      <c r="B332"/>
      <c r="C332"/>
      <c r="D332"/>
      <c r="E332"/>
      <c r="F332" s="27" t="s">
        <v>7</v>
      </c>
      <c r="EI332" s="27" t="s">
        <v>8</v>
      </c>
      <c r="EJ332" s="27" t="s">
        <v>7</v>
      </c>
      <c r="EQ332" s="27" t="s">
        <v>8</v>
      </c>
      <c r="FH332" s="27" t="s">
        <v>7</v>
      </c>
      <c r="FJ332" s="27" t="s">
        <v>7</v>
      </c>
      <c r="FP332" s="27" t="s">
        <v>7</v>
      </c>
      <c r="FY332" s="27" t="s">
        <v>8</v>
      </c>
      <c r="FZ332" s="27" t="s">
        <v>7</v>
      </c>
      <c r="GA332" s="27" t="s">
        <v>8</v>
      </c>
      <c r="GB332" s="27" t="s">
        <v>7</v>
      </c>
      <c r="GC332" s="27" t="s">
        <v>8</v>
      </c>
      <c r="GD332" s="27" t="s">
        <v>7</v>
      </c>
      <c r="GO332" s="27" t="s">
        <v>8</v>
      </c>
      <c r="GQ332" s="27" t="s">
        <v>8</v>
      </c>
      <c r="GS332" s="27" t="s">
        <v>8</v>
      </c>
      <c r="GU332" s="27" t="s">
        <v>8</v>
      </c>
      <c r="GV332" s="27" t="s">
        <v>7</v>
      </c>
      <c r="HE332" s="27" t="s">
        <v>8</v>
      </c>
      <c r="HF332" s="27" t="s">
        <v>7</v>
      </c>
      <c r="HG332" s="27" t="s">
        <v>8</v>
      </c>
      <c r="HH332" s="27" t="s">
        <v>7</v>
      </c>
      <c r="HI332" s="27" t="s">
        <v>8</v>
      </c>
      <c r="HJ332" s="27" t="s">
        <v>7</v>
      </c>
      <c r="HK332" s="27" t="s">
        <v>8</v>
      </c>
      <c r="HN332" s="27" t="s">
        <v>7</v>
      </c>
      <c r="HO332" s="27" t="s">
        <v>8</v>
      </c>
      <c r="HX332" s="27" t="s">
        <v>7</v>
      </c>
      <c r="ID332" s="27" t="s">
        <v>7</v>
      </c>
    </row>
    <row r="333" spans="1:238" x14ac:dyDescent="0.25">
      <c r="A333" s="30">
        <v>1.0700281090092644E-2</v>
      </c>
      <c r="B333"/>
      <c r="C333"/>
      <c r="D333"/>
      <c r="E333"/>
      <c r="F333" s="27" t="s">
        <v>7</v>
      </c>
      <c r="EI333" s="27" t="s">
        <v>8</v>
      </c>
      <c r="EJ333" s="27" t="s">
        <v>7</v>
      </c>
      <c r="EK333" s="27" t="s">
        <v>8</v>
      </c>
      <c r="EQ333" s="27" t="s">
        <v>8</v>
      </c>
      <c r="FP333" s="27" t="s">
        <v>7</v>
      </c>
      <c r="FW333" s="27" t="s">
        <v>8</v>
      </c>
      <c r="FY333" s="27" t="s">
        <v>8</v>
      </c>
      <c r="FZ333" s="27" t="s">
        <v>7</v>
      </c>
      <c r="GA333" s="27" t="s">
        <v>8</v>
      </c>
      <c r="GB333" s="27" t="s">
        <v>7</v>
      </c>
      <c r="GC333" s="27" t="s">
        <v>8</v>
      </c>
      <c r="GD333" s="27" t="s">
        <v>7</v>
      </c>
      <c r="GK333" s="27" t="s">
        <v>8</v>
      </c>
      <c r="GM333" s="27" t="s">
        <v>8</v>
      </c>
      <c r="GO333" s="27" t="s">
        <v>8</v>
      </c>
      <c r="GP333" s="27" t="s">
        <v>7</v>
      </c>
      <c r="GQ333" s="27" t="s">
        <v>8</v>
      </c>
      <c r="GR333" s="27" t="s">
        <v>7</v>
      </c>
      <c r="GS333" s="27" t="s">
        <v>8</v>
      </c>
      <c r="GT333" s="27" t="s">
        <v>7</v>
      </c>
      <c r="GU333" s="27" t="s">
        <v>8</v>
      </c>
      <c r="GV333" s="27" t="s">
        <v>7</v>
      </c>
      <c r="HE333" s="27" t="s">
        <v>8</v>
      </c>
      <c r="HF333" s="27" t="s">
        <v>7</v>
      </c>
      <c r="HG333" s="27" t="s">
        <v>8</v>
      </c>
      <c r="HH333" s="27" t="s">
        <v>7</v>
      </c>
      <c r="HI333" s="27" t="s">
        <v>8</v>
      </c>
      <c r="HJ333" s="27" t="s">
        <v>7</v>
      </c>
      <c r="HN333" s="27" t="s">
        <v>7</v>
      </c>
      <c r="HO333" s="27" t="s">
        <v>8</v>
      </c>
      <c r="ID333" s="27" t="s">
        <v>7</v>
      </c>
    </row>
    <row r="334" spans="1:238" x14ac:dyDescent="0.25">
      <c r="A334" s="30">
        <v>1.0190743895326324E-2</v>
      </c>
      <c r="B334"/>
      <c r="C334"/>
      <c r="D334"/>
      <c r="E334"/>
      <c r="F334" s="27" t="s">
        <v>7</v>
      </c>
      <c r="CC334" s="27" t="s">
        <v>8</v>
      </c>
      <c r="EI334" s="27" t="s">
        <v>8</v>
      </c>
      <c r="EJ334" s="27" t="s">
        <v>7</v>
      </c>
      <c r="EK334" s="27" t="s">
        <v>8</v>
      </c>
      <c r="EL334" s="27" t="s">
        <v>7</v>
      </c>
      <c r="EQ334" s="27" t="s">
        <v>8</v>
      </c>
      <c r="FP334" s="27" t="s">
        <v>7</v>
      </c>
      <c r="FW334" s="27" t="s">
        <v>8</v>
      </c>
      <c r="FX334" s="27" t="s">
        <v>7</v>
      </c>
      <c r="FY334" s="27" t="s">
        <v>8</v>
      </c>
      <c r="FZ334" s="27" t="s">
        <v>7</v>
      </c>
      <c r="GA334" s="27" t="s">
        <v>8</v>
      </c>
      <c r="GB334" s="27" t="s">
        <v>7</v>
      </c>
      <c r="GC334" s="27" t="s">
        <v>8</v>
      </c>
      <c r="GD334" s="27" t="s">
        <v>7</v>
      </c>
      <c r="GK334" s="27" t="s">
        <v>8</v>
      </c>
      <c r="GL334" s="27" t="s">
        <v>7</v>
      </c>
      <c r="GM334" s="27" t="s">
        <v>8</v>
      </c>
      <c r="GN334" s="27" t="s">
        <v>7</v>
      </c>
      <c r="GO334" s="27" t="s">
        <v>8</v>
      </c>
      <c r="GP334" s="27" t="s">
        <v>7</v>
      </c>
      <c r="GQ334" s="27" t="s">
        <v>8</v>
      </c>
      <c r="GR334" s="27" t="s">
        <v>7</v>
      </c>
      <c r="GS334" s="27" t="s">
        <v>8</v>
      </c>
      <c r="GT334" s="27" t="s">
        <v>7</v>
      </c>
      <c r="GU334" s="27" t="s">
        <v>8</v>
      </c>
      <c r="GV334" s="27" t="s">
        <v>7</v>
      </c>
      <c r="HC334" s="27" t="s">
        <v>8</v>
      </c>
      <c r="HE334" s="27" t="s">
        <v>8</v>
      </c>
      <c r="HF334" s="27" t="s">
        <v>7</v>
      </c>
      <c r="HG334" s="27" t="s">
        <v>8</v>
      </c>
      <c r="HH334" s="27" t="s">
        <v>7</v>
      </c>
      <c r="HN334" s="27" t="s">
        <v>7</v>
      </c>
      <c r="ID334" s="27" t="s">
        <v>7</v>
      </c>
    </row>
    <row r="335" spans="1:238" x14ac:dyDescent="0.25">
      <c r="A335" s="30">
        <v>9.7054703765012563E-3</v>
      </c>
      <c r="B335"/>
      <c r="C335"/>
      <c r="D335"/>
      <c r="E335"/>
      <c r="F335" s="27" t="s">
        <v>7</v>
      </c>
      <c r="CC335" s="27" t="s">
        <v>8</v>
      </c>
      <c r="CD335" s="27" t="s">
        <v>7</v>
      </c>
      <c r="EI335" s="27" t="s">
        <v>8</v>
      </c>
      <c r="EJ335" s="27" t="s">
        <v>7</v>
      </c>
      <c r="EK335" s="27" t="s">
        <v>8</v>
      </c>
      <c r="EL335" s="27" t="s">
        <v>7</v>
      </c>
      <c r="EQ335" s="27" t="s">
        <v>8</v>
      </c>
      <c r="FP335" s="27" t="s">
        <v>7</v>
      </c>
      <c r="FQ335" s="27" t="s">
        <v>8</v>
      </c>
      <c r="FS335" s="27" t="s">
        <v>8</v>
      </c>
      <c r="FW335" s="27" t="s">
        <v>8</v>
      </c>
      <c r="FX335" s="27" t="s">
        <v>7</v>
      </c>
      <c r="FY335" s="27" t="s">
        <v>8</v>
      </c>
      <c r="FZ335" s="27" t="s">
        <v>7</v>
      </c>
      <c r="GA335" s="27" t="s">
        <v>8</v>
      </c>
      <c r="GB335" s="27" t="s">
        <v>7</v>
      </c>
      <c r="GD335" s="27" t="s">
        <v>7</v>
      </c>
      <c r="GK335" s="27" t="s">
        <v>8</v>
      </c>
      <c r="GL335" s="27" t="s">
        <v>7</v>
      </c>
      <c r="GM335" s="27" t="s">
        <v>8</v>
      </c>
      <c r="GN335" s="27" t="s">
        <v>7</v>
      </c>
      <c r="GO335" s="27" t="s">
        <v>8</v>
      </c>
      <c r="GP335" s="27" t="s">
        <v>7</v>
      </c>
      <c r="GQ335" s="27" t="s">
        <v>8</v>
      </c>
      <c r="GR335" s="27" t="s">
        <v>7</v>
      </c>
      <c r="GT335" s="27" t="s">
        <v>7</v>
      </c>
      <c r="GU335" s="27" t="s">
        <v>8</v>
      </c>
      <c r="GV335" s="27" t="s">
        <v>7</v>
      </c>
      <c r="HC335" s="27" t="s">
        <v>8</v>
      </c>
      <c r="HD335" s="27" t="s">
        <v>7</v>
      </c>
      <c r="HE335" s="27" t="s">
        <v>8</v>
      </c>
      <c r="HF335" s="27" t="s">
        <v>7</v>
      </c>
      <c r="ID335" s="27" t="s">
        <v>7</v>
      </c>
    </row>
    <row r="336" spans="1:238" x14ac:dyDescent="0.25">
      <c r="A336" s="30">
        <v>9.2433051204773835E-3</v>
      </c>
      <c r="B336"/>
      <c r="C336"/>
      <c r="D336"/>
      <c r="E336"/>
      <c r="F336" s="27" t="s">
        <v>7</v>
      </c>
      <c r="CC336" s="27" t="s">
        <v>8</v>
      </c>
      <c r="CD336" s="27" t="s">
        <v>7</v>
      </c>
      <c r="EI336" s="27" t="s">
        <v>8</v>
      </c>
      <c r="EJ336" s="27" t="s">
        <v>7</v>
      </c>
      <c r="EK336" s="27" t="s">
        <v>8</v>
      </c>
      <c r="EL336" s="27" t="s">
        <v>7</v>
      </c>
      <c r="EQ336" s="27" t="s">
        <v>8</v>
      </c>
      <c r="FP336" s="27" t="s">
        <v>7</v>
      </c>
      <c r="FQ336" s="27" t="s">
        <v>8</v>
      </c>
      <c r="FR336" s="27" t="s">
        <v>7</v>
      </c>
      <c r="FS336" s="27" t="s">
        <v>8</v>
      </c>
      <c r="FT336" s="27" t="s">
        <v>7</v>
      </c>
      <c r="FW336" s="27" t="s">
        <v>8</v>
      </c>
      <c r="FX336" s="27" t="s">
        <v>7</v>
      </c>
      <c r="FY336" s="27" t="s">
        <v>8</v>
      </c>
      <c r="FZ336" s="27" t="s">
        <v>7</v>
      </c>
      <c r="GA336" s="27" t="s">
        <v>8</v>
      </c>
      <c r="GD336" s="27" t="s">
        <v>7</v>
      </c>
      <c r="GI336" s="27" t="s">
        <v>8</v>
      </c>
      <c r="GK336" s="27" t="s">
        <v>8</v>
      </c>
      <c r="GL336" s="27" t="s">
        <v>7</v>
      </c>
      <c r="GM336" s="27" t="s">
        <v>8</v>
      </c>
      <c r="GN336" s="27" t="s">
        <v>7</v>
      </c>
      <c r="GO336" s="27" t="s">
        <v>8</v>
      </c>
      <c r="GP336" s="27" t="s">
        <v>7</v>
      </c>
      <c r="GT336" s="27" t="s">
        <v>7</v>
      </c>
      <c r="GU336" s="27" t="s">
        <v>8</v>
      </c>
      <c r="GV336" s="27" t="s">
        <v>7</v>
      </c>
      <c r="HC336" s="27" t="s">
        <v>8</v>
      </c>
      <c r="HD336" s="27" t="s">
        <v>7</v>
      </c>
      <c r="HE336" s="27" t="s">
        <v>8</v>
      </c>
      <c r="ID336" s="27" t="s">
        <v>7</v>
      </c>
    </row>
    <row r="337" spans="1:241" x14ac:dyDescent="0.25">
      <c r="A337" s="30">
        <v>8.8031477337879808E-3</v>
      </c>
      <c r="B337"/>
      <c r="C337"/>
      <c r="D337"/>
      <c r="E337"/>
      <c r="F337" s="27" t="s">
        <v>7</v>
      </c>
      <c r="CC337" s="27" t="s">
        <v>8</v>
      </c>
      <c r="CD337" s="27" t="s">
        <v>7</v>
      </c>
      <c r="DY337" s="27" t="s">
        <v>8</v>
      </c>
      <c r="EI337" s="27" t="s">
        <v>8</v>
      </c>
      <c r="EJ337" s="27" t="s">
        <v>7</v>
      </c>
      <c r="EK337" s="27" t="s">
        <v>8</v>
      </c>
      <c r="EL337" s="27" t="s">
        <v>7</v>
      </c>
      <c r="EQ337" s="27" t="s">
        <v>8</v>
      </c>
      <c r="FP337" s="27" t="s">
        <v>7</v>
      </c>
      <c r="FQ337" s="27" t="s">
        <v>8</v>
      </c>
      <c r="FR337" s="27" t="s">
        <v>7</v>
      </c>
      <c r="FS337" s="27" t="s">
        <v>8</v>
      </c>
      <c r="FT337" s="27" t="s">
        <v>7</v>
      </c>
      <c r="FU337" s="27" t="s">
        <v>8</v>
      </c>
      <c r="FW337" s="27" t="s">
        <v>8</v>
      </c>
      <c r="FX337" s="27" t="s">
        <v>7</v>
      </c>
      <c r="FY337" s="27" t="s">
        <v>8</v>
      </c>
      <c r="FZ337" s="27" t="s">
        <v>7</v>
      </c>
      <c r="GA337" s="27" t="s">
        <v>8</v>
      </c>
      <c r="GD337" s="27" t="s">
        <v>7</v>
      </c>
      <c r="GE337" s="27" t="s">
        <v>8</v>
      </c>
      <c r="GI337" s="27" t="s">
        <v>8</v>
      </c>
      <c r="GJ337" s="27" t="s">
        <v>7</v>
      </c>
      <c r="GK337" s="27" t="s">
        <v>8</v>
      </c>
      <c r="GL337" s="27" t="s">
        <v>7</v>
      </c>
      <c r="GN337" s="27" t="s">
        <v>7</v>
      </c>
      <c r="GT337" s="27" t="s">
        <v>7</v>
      </c>
      <c r="GU337" s="27" t="s">
        <v>8</v>
      </c>
      <c r="GV337" s="27" t="s">
        <v>7</v>
      </c>
      <c r="GW337" s="27" t="s">
        <v>8</v>
      </c>
      <c r="GY337" s="27" t="s">
        <v>8</v>
      </c>
      <c r="HA337" s="27" t="s">
        <v>8</v>
      </c>
      <c r="HC337" s="27" t="s">
        <v>8</v>
      </c>
      <c r="HD337" s="27" t="s">
        <v>7</v>
      </c>
      <c r="ID337" s="27" t="s">
        <v>7</v>
      </c>
    </row>
    <row r="338" spans="1:241" x14ac:dyDescent="0.25">
      <c r="A338" s="30">
        <v>8.3839502226552166E-3</v>
      </c>
      <c r="B338"/>
      <c r="C338"/>
      <c r="D338"/>
      <c r="E338"/>
      <c r="F338" s="27" t="s">
        <v>7</v>
      </c>
      <c r="CC338" s="27" t="s">
        <v>8</v>
      </c>
      <c r="CD338" s="27" t="s">
        <v>7</v>
      </c>
      <c r="DY338" s="27" t="s">
        <v>8</v>
      </c>
      <c r="DZ338" s="27" t="s">
        <v>7</v>
      </c>
      <c r="EI338" s="27" t="s">
        <v>8</v>
      </c>
      <c r="EJ338" s="27" t="s">
        <v>7</v>
      </c>
      <c r="EK338" s="27" t="s">
        <v>8</v>
      </c>
      <c r="EL338" s="27" t="s">
        <v>7</v>
      </c>
      <c r="EO338" s="27" t="s">
        <v>8</v>
      </c>
      <c r="EQ338" s="27" t="s">
        <v>8</v>
      </c>
      <c r="FP338" s="27" t="s">
        <v>7</v>
      </c>
      <c r="FQ338" s="27" t="s">
        <v>8</v>
      </c>
      <c r="FR338" s="27" t="s">
        <v>7</v>
      </c>
      <c r="FS338" s="27" t="s">
        <v>8</v>
      </c>
      <c r="FT338" s="27" t="s">
        <v>7</v>
      </c>
      <c r="FU338" s="27" t="s">
        <v>8</v>
      </c>
      <c r="FV338" s="27" t="s">
        <v>7</v>
      </c>
      <c r="FW338" s="27" t="s">
        <v>8</v>
      </c>
      <c r="FX338" s="27" t="s">
        <v>7</v>
      </c>
      <c r="FY338" s="27" t="s">
        <v>8</v>
      </c>
      <c r="FZ338" s="27" t="s">
        <v>7</v>
      </c>
      <c r="GD338" s="27" t="s">
        <v>7</v>
      </c>
      <c r="GE338" s="27" t="s">
        <v>8</v>
      </c>
      <c r="GF338" s="27" t="s">
        <v>7</v>
      </c>
      <c r="GI338" s="27" t="s">
        <v>8</v>
      </c>
      <c r="GJ338" s="27" t="s">
        <v>7</v>
      </c>
      <c r="GK338" s="27" t="s">
        <v>8</v>
      </c>
      <c r="GT338" s="27" t="s">
        <v>7</v>
      </c>
      <c r="GU338" s="27" t="s">
        <v>8</v>
      </c>
      <c r="GV338" s="27" t="s">
        <v>7</v>
      </c>
      <c r="GW338" s="27" t="s">
        <v>8</v>
      </c>
      <c r="GX338" s="27" t="s">
        <v>7</v>
      </c>
      <c r="GY338" s="27" t="s">
        <v>8</v>
      </c>
      <c r="GZ338" s="27" t="s">
        <v>7</v>
      </c>
      <c r="HA338" s="27" t="s">
        <v>8</v>
      </c>
      <c r="HB338" s="27" t="s">
        <v>7</v>
      </c>
      <c r="HC338" s="27" t="s">
        <v>8</v>
      </c>
      <c r="ID338" s="27" t="s">
        <v>7</v>
      </c>
    </row>
    <row r="339" spans="1:241" x14ac:dyDescent="0.25">
      <c r="A339" s="30">
        <v>7.9847144977668698E-3</v>
      </c>
      <c r="B339"/>
      <c r="C339"/>
      <c r="D339"/>
      <c r="E339"/>
      <c r="F339" s="27" t="s">
        <v>7</v>
      </c>
      <c r="CC339" s="27" t="s">
        <v>8</v>
      </c>
      <c r="CD339" s="27" t="s">
        <v>7</v>
      </c>
      <c r="DY339" s="27" t="s">
        <v>8</v>
      </c>
      <c r="DZ339" s="27" t="s">
        <v>7</v>
      </c>
      <c r="EI339" s="27" t="s">
        <v>8</v>
      </c>
      <c r="EJ339" s="27" t="s">
        <v>7</v>
      </c>
      <c r="EK339" s="27" t="s">
        <v>8</v>
      </c>
      <c r="EL339" s="27" t="s">
        <v>7</v>
      </c>
      <c r="EM339" s="27" t="s">
        <v>8</v>
      </c>
      <c r="EO339" s="27" t="s">
        <v>8</v>
      </c>
      <c r="EP339" s="27" t="s">
        <v>7</v>
      </c>
      <c r="EQ339" s="27" t="s">
        <v>8</v>
      </c>
      <c r="FP339" s="27" t="s">
        <v>7</v>
      </c>
      <c r="FQ339" s="27" t="s">
        <v>8</v>
      </c>
      <c r="FR339" s="27" t="s">
        <v>7</v>
      </c>
      <c r="FS339" s="27" t="s">
        <v>8</v>
      </c>
      <c r="FT339" s="27" t="s">
        <v>7</v>
      </c>
      <c r="FU339" s="27" t="s">
        <v>8</v>
      </c>
      <c r="FV339" s="27" t="s">
        <v>7</v>
      </c>
      <c r="FW339" s="27" t="s">
        <v>8</v>
      </c>
      <c r="FX339" s="27" t="s">
        <v>7</v>
      </c>
      <c r="FY339" s="27" t="s">
        <v>8</v>
      </c>
      <c r="GD339" s="27" t="s">
        <v>7</v>
      </c>
      <c r="GE339" s="27" t="s">
        <v>8</v>
      </c>
      <c r="GF339" s="27" t="s">
        <v>7</v>
      </c>
      <c r="GG339" s="27" t="s">
        <v>8</v>
      </c>
      <c r="GI339" s="27" t="s">
        <v>8</v>
      </c>
      <c r="GJ339" s="27" t="s">
        <v>7</v>
      </c>
      <c r="GK339" s="27" t="s">
        <v>8</v>
      </c>
      <c r="GT339" s="27" t="s">
        <v>7</v>
      </c>
      <c r="GU339" s="27" t="s">
        <v>8</v>
      </c>
      <c r="GV339" s="27" t="s">
        <v>7</v>
      </c>
      <c r="GW339" s="27" t="s">
        <v>8</v>
      </c>
      <c r="GX339" s="27" t="s">
        <v>7</v>
      </c>
      <c r="GY339" s="27" t="s">
        <v>8</v>
      </c>
      <c r="GZ339" s="27" t="s">
        <v>7</v>
      </c>
      <c r="HA339" s="27" t="s">
        <v>8</v>
      </c>
      <c r="HB339" s="27" t="s">
        <v>7</v>
      </c>
      <c r="HC339" s="27" t="s">
        <v>8</v>
      </c>
      <c r="ID339" s="27" t="s">
        <v>7</v>
      </c>
    </row>
    <row r="340" spans="1:241" x14ac:dyDescent="0.25">
      <c r="A340" s="30">
        <v>7.6044899978732058E-3</v>
      </c>
      <c r="B340"/>
      <c r="C340"/>
      <c r="D340"/>
      <c r="E340"/>
      <c r="F340" s="27" t="s">
        <v>7</v>
      </c>
      <c r="CC340" s="27" t="s">
        <v>8</v>
      </c>
      <c r="CD340" s="27" t="s">
        <v>7</v>
      </c>
      <c r="DY340" s="27" t="s">
        <v>8</v>
      </c>
      <c r="DZ340" s="27" t="s">
        <v>7</v>
      </c>
      <c r="EI340" s="27" t="s">
        <v>8</v>
      </c>
      <c r="EJ340" s="27" t="s">
        <v>7</v>
      </c>
      <c r="EL340" s="27" t="s">
        <v>7</v>
      </c>
      <c r="EM340" s="27" t="s">
        <v>8</v>
      </c>
      <c r="EN340" s="27" t="s">
        <v>7</v>
      </c>
      <c r="EO340" s="27" t="s">
        <v>8</v>
      </c>
      <c r="EP340" s="27" t="s">
        <v>7</v>
      </c>
      <c r="EQ340" s="27" t="s">
        <v>8</v>
      </c>
      <c r="FP340" s="27" t="s">
        <v>7</v>
      </c>
      <c r="FQ340" s="27" t="s">
        <v>8</v>
      </c>
      <c r="FR340" s="27" t="s">
        <v>7</v>
      </c>
      <c r="FS340" s="27" t="s">
        <v>8</v>
      </c>
      <c r="FT340" s="27" t="s">
        <v>7</v>
      </c>
      <c r="FU340" s="27" t="s">
        <v>8</v>
      </c>
      <c r="FV340" s="27" t="s">
        <v>7</v>
      </c>
      <c r="FX340" s="27" t="s">
        <v>7</v>
      </c>
      <c r="GD340" s="27" t="s">
        <v>7</v>
      </c>
      <c r="GE340" s="27" t="s">
        <v>8</v>
      </c>
      <c r="GF340" s="27" t="s">
        <v>7</v>
      </c>
      <c r="GG340" s="27" t="s">
        <v>8</v>
      </c>
      <c r="GH340" s="27" t="s">
        <v>7</v>
      </c>
      <c r="GI340" s="27" t="s">
        <v>8</v>
      </c>
      <c r="GJ340" s="27" t="s">
        <v>7</v>
      </c>
      <c r="GT340" s="27" t="s">
        <v>7</v>
      </c>
      <c r="GV340" s="27" t="s">
        <v>7</v>
      </c>
      <c r="GW340" s="27" t="s">
        <v>8</v>
      </c>
      <c r="GX340" s="27" t="s">
        <v>7</v>
      </c>
      <c r="GY340" s="27" t="s">
        <v>8</v>
      </c>
      <c r="GZ340" s="27" t="s">
        <v>7</v>
      </c>
      <c r="HA340" s="27" t="s">
        <v>8</v>
      </c>
      <c r="HB340" s="27" t="s">
        <v>7</v>
      </c>
      <c r="ID340" s="27" t="s">
        <v>7</v>
      </c>
      <c r="IE340" s="27" t="s">
        <v>8</v>
      </c>
    </row>
    <row r="341" spans="1:241" x14ac:dyDescent="0.25">
      <c r="A341" s="30">
        <v>7.2423714265459072E-3</v>
      </c>
      <c r="B341"/>
      <c r="C341"/>
      <c r="D341"/>
      <c r="E341"/>
      <c r="F341" s="27" t="s">
        <v>7</v>
      </c>
      <c r="CC341" s="27" t="s">
        <v>8</v>
      </c>
      <c r="CD341" s="27" t="s">
        <v>7</v>
      </c>
      <c r="DY341" s="27" t="s">
        <v>8</v>
      </c>
      <c r="DZ341" s="27" t="s">
        <v>7</v>
      </c>
      <c r="EI341" s="27" t="s">
        <v>8</v>
      </c>
      <c r="EL341" s="27" t="s">
        <v>7</v>
      </c>
      <c r="EM341" s="27" t="s">
        <v>8</v>
      </c>
      <c r="EN341" s="27" t="s">
        <v>7</v>
      </c>
      <c r="EO341" s="27" t="s">
        <v>8</v>
      </c>
      <c r="EP341" s="27" t="s">
        <v>7</v>
      </c>
      <c r="FP341" s="27" t="s">
        <v>7</v>
      </c>
      <c r="FQ341" s="27" t="s">
        <v>8</v>
      </c>
      <c r="FR341" s="27" t="s">
        <v>7</v>
      </c>
      <c r="FS341" s="27" t="s">
        <v>8</v>
      </c>
      <c r="FT341" s="27" t="s">
        <v>7</v>
      </c>
      <c r="FU341" s="27" t="s">
        <v>8</v>
      </c>
      <c r="GD341" s="27" t="s">
        <v>7</v>
      </c>
      <c r="GE341" s="27" t="s">
        <v>8</v>
      </c>
      <c r="GF341" s="27" t="s">
        <v>7</v>
      </c>
      <c r="GG341" s="27" t="s">
        <v>8</v>
      </c>
      <c r="GH341" s="27" t="s">
        <v>7</v>
      </c>
      <c r="GI341" s="27" t="s">
        <v>8</v>
      </c>
      <c r="GV341" s="27" t="s">
        <v>7</v>
      </c>
      <c r="GX341" s="27" t="s">
        <v>7</v>
      </c>
      <c r="GZ341" s="27" t="s">
        <v>7</v>
      </c>
      <c r="ID341" s="27" t="s">
        <v>7</v>
      </c>
      <c r="IE341" s="27" t="s">
        <v>8</v>
      </c>
      <c r="IF341" s="27" t="s">
        <v>7</v>
      </c>
    </row>
    <row r="342" spans="1:241" x14ac:dyDescent="0.25">
      <c r="A342" s="30">
        <v>6.8974965967103846E-3</v>
      </c>
      <c r="B342"/>
      <c r="C342"/>
      <c r="D342"/>
      <c r="E342"/>
      <c r="F342" s="27" t="s">
        <v>7</v>
      </c>
      <c r="CC342" s="27" t="s">
        <v>8</v>
      </c>
      <c r="CD342" s="27" t="s">
        <v>7</v>
      </c>
      <c r="DY342" s="27" t="s">
        <v>8</v>
      </c>
      <c r="DZ342" s="27" t="s">
        <v>7</v>
      </c>
      <c r="EG342" s="27" t="s">
        <v>8</v>
      </c>
      <c r="EI342" s="27" t="s">
        <v>8</v>
      </c>
      <c r="EL342" s="27" t="s">
        <v>7</v>
      </c>
      <c r="EM342" s="27" t="s">
        <v>8</v>
      </c>
      <c r="EN342" s="27" t="s">
        <v>7</v>
      </c>
      <c r="FP342" s="27" t="s">
        <v>7</v>
      </c>
      <c r="FQ342" s="27" t="s">
        <v>8</v>
      </c>
      <c r="FR342" s="27" t="s">
        <v>7</v>
      </c>
      <c r="FS342" s="27" t="s">
        <v>8</v>
      </c>
      <c r="FT342" s="27" t="s">
        <v>7</v>
      </c>
      <c r="GD342" s="27" t="s">
        <v>7</v>
      </c>
      <c r="GE342" s="27" t="s">
        <v>8</v>
      </c>
      <c r="GF342" s="27" t="s">
        <v>7</v>
      </c>
      <c r="GH342" s="27" t="s">
        <v>7</v>
      </c>
      <c r="GI342" s="27" t="s">
        <v>8</v>
      </c>
      <c r="ID342" s="27" t="s">
        <v>7</v>
      </c>
      <c r="IE342" s="27" t="s">
        <v>8</v>
      </c>
      <c r="IF342" s="27" t="s">
        <v>7</v>
      </c>
      <c r="IG342" s="27" t="s">
        <v>8</v>
      </c>
    </row>
    <row r="343" spans="1:241" x14ac:dyDescent="0.25">
      <c r="A343" s="30">
        <v>6.5690443778194116E-3</v>
      </c>
      <c r="B343"/>
      <c r="C343"/>
      <c r="D343"/>
      <c r="E343"/>
      <c r="F343" s="27" t="s">
        <v>7</v>
      </c>
      <c r="CC343" s="27" t="s">
        <v>8</v>
      </c>
      <c r="CD343" s="27" t="s">
        <v>7</v>
      </c>
      <c r="DY343" s="27" t="s">
        <v>8</v>
      </c>
      <c r="DZ343" s="27" t="s">
        <v>7</v>
      </c>
      <c r="EE343" s="27" t="s">
        <v>8</v>
      </c>
      <c r="EG343" s="27" t="s">
        <v>8</v>
      </c>
      <c r="EH343" s="27" t="s">
        <v>7</v>
      </c>
      <c r="EI343" s="27" t="s">
        <v>8</v>
      </c>
      <c r="EL343" s="27" t="s">
        <v>7</v>
      </c>
      <c r="FP343" s="27" t="s">
        <v>7</v>
      </c>
      <c r="FQ343" s="27" t="s">
        <v>8</v>
      </c>
      <c r="FR343" s="27" t="s">
        <v>7</v>
      </c>
      <c r="FS343" s="27" t="s">
        <v>8</v>
      </c>
      <c r="GD343" s="27" t="s">
        <v>7</v>
      </c>
      <c r="GE343" s="27" t="s">
        <v>8</v>
      </c>
      <c r="GH343" s="27" t="s">
        <v>7</v>
      </c>
      <c r="GI343" s="27" t="s">
        <v>8</v>
      </c>
      <c r="ID343" s="27" t="s">
        <v>7</v>
      </c>
      <c r="IE343" s="27" t="s">
        <v>8</v>
      </c>
      <c r="IF343" s="27" t="s">
        <v>7</v>
      </c>
      <c r="IG343" s="27" t="s">
        <v>8</v>
      </c>
    </row>
    <row r="344" spans="1:241" x14ac:dyDescent="0.25">
      <c r="A344" s="30">
        <v>6.2562327407803897E-3</v>
      </c>
      <c r="B344"/>
      <c r="C344"/>
      <c r="D344"/>
      <c r="E344"/>
      <c r="F344" s="27" t="s">
        <v>7</v>
      </c>
      <c r="CC344" s="27" t="s">
        <v>8</v>
      </c>
      <c r="CD344" s="27" t="s">
        <v>7</v>
      </c>
      <c r="DY344" s="27" t="s">
        <v>8</v>
      </c>
      <c r="DZ344" s="27" t="s">
        <v>7</v>
      </c>
      <c r="EE344" s="27" t="s">
        <v>8</v>
      </c>
      <c r="EF344" s="27" t="s">
        <v>7</v>
      </c>
      <c r="EG344" s="27" t="s">
        <v>8</v>
      </c>
      <c r="EH344" s="27" t="s">
        <v>7</v>
      </c>
      <c r="EI344" s="27" t="s">
        <v>8</v>
      </c>
      <c r="FP344" s="27" t="s">
        <v>7</v>
      </c>
      <c r="FR344" s="27" t="s">
        <v>7</v>
      </c>
      <c r="FS344" s="27" t="s">
        <v>8</v>
      </c>
      <c r="GD344" s="27" t="s">
        <v>7</v>
      </c>
      <c r="GE344" s="27" t="s">
        <v>8</v>
      </c>
      <c r="GH344" s="18" t="s">
        <v>7</v>
      </c>
      <c r="GI344" s="27" t="s">
        <v>8</v>
      </c>
      <c r="ID344" s="27" t="s">
        <v>7</v>
      </c>
      <c r="IE344" s="27" t="s">
        <v>8</v>
      </c>
      <c r="IF344" s="27" t="s">
        <v>7</v>
      </c>
      <c r="IG344" s="27" t="s">
        <v>8</v>
      </c>
    </row>
    <row r="345" spans="1:241" x14ac:dyDescent="0.25">
      <c r="A345" s="30">
        <v>5.9583168959813212E-3</v>
      </c>
      <c r="B345"/>
      <c r="C345"/>
      <c r="D345"/>
      <c r="E345"/>
      <c r="F345" s="27" t="s">
        <v>7</v>
      </c>
      <c r="CC345" s="27" t="s">
        <v>8</v>
      </c>
      <c r="CD345" s="27" t="s">
        <v>7</v>
      </c>
      <c r="CE345" s="27" t="s">
        <v>8</v>
      </c>
      <c r="DY345" s="27" t="s">
        <v>8</v>
      </c>
      <c r="DZ345" s="27" t="s">
        <v>7</v>
      </c>
      <c r="EE345" s="27" t="s">
        <v>8</v>
      </c>
      <c r="EF345" s="27" t="s">
        <v>7</v>
      </c>
      <c r="EG345" s="27" t="s">
        <v>8</v>
      </c>
      <c r="EH345" s="27" t="s">
        <v>7</v>
      </c>
      <c r="EI345" s="27" t="s">
        <v>8</v>
      </c>
      <c r="FR345" s="27" t="s">
        <v>7</v>
      </c>
      <c r="FS345" s="27" t="s">
        <v>8</v>
      </c>
      <c r="GD345" s="27" t="s">
        <v>7</v>
      </c>
      <c r="GH345" s="27" t="s">
        <v>7</v>
      </c>
      <c r="GI345" s="27" t="s">
        <v>8</v>
      </c>
      <c r="ID345" s="27" t="s">
        <v>7</v>
      </c>
      <c r="IE345" s="27" t="s">
        <v>8</v>
      </c>
      <c r="IF345" s="27" t="s">
        <v>7</v>
      </c>
    </row>
    <row r="346" spans="1:241" x14ac:dyDescent="0.25">
      <c r="A346" s="30">
        <v>5.6745875199822084E-3</v>
      </c>
      <c r="B346"/>
      <c r="C346"/>
      <c r="D346"/>
      <c r="E346"/>
      <c r="F346" s="27" t="s">
        <v>7</v>
      </c>
      <c r="CC346" s="27" t="s">
        <v>8</v>
      </c>
      <c r="CD346" s="27" t="s">
        <v>7</v>
      </c>
      <c r="CE346" s="27" t="s">
        <v>8</v>
      </c>
      <c r="CF346" s="27" t="s">
        <v>7</v>
      </c>
      <c r="DY346" s="27" t="s">
        <v>8</v>
      </c>
      <c r="DZ346" s="27" t="s">
        <v>7</v>
      </c>
      <c r="EC346" s="27" t="s">
        <v>8</v>
      </c>
      <c r="EE346" s="27" t="s">
        <v>8</v>
      </c>
      <c r="EF346" s="27" t="s">
        <v>7</v>
      </c>
      <c r="EG346" s="27" t="s">
        <v>8</v>
      </c>
      <c r="EH346" s="27" t="s">
        <v>7</v>
      </c>
      <c r="EI346" s="27" t="s">
        <v>8</v>
      </c>
      <c r="FR346" s="27" t="s">
        <v>7</v>
      </c>
      <c r="FS346" s="27" t="s">
        <v>8</v>
      </c>
      <c r="GH346" s="27" t="s">
        <v>7</v>
      </c>
      <c r="ID346" s="27" t="s">
        <v>7</v>
      </c>
    </row>
    <row r="347" spans="1:241" x14ac:dyDescent="0.25">
      <c r="A347" s="30">
        <v>5.4043690666497205E-3</v>
      </c>
      <c r="B347"/>
      <c r="C347"/>
      <c r="D347"/>
      <c r="E347"/>
      <c r="F347" s="27" t="s">
        <v>7</v>
      </c>
      <c r="CC347" s="27" t="s">
        <v>8</v>
      </c>
      <c r="CD347" s="27" t="s">
        <v>7</v>
      </c>
      <c r="CE347" s="27" t="s">
        <v>8</v>
      </c>
      <c r="CF347" s="27" t="s">
        <v>7</v>
      </c>
      <c r="DY347" s="27" t="s">
        <v>8</v>
      </c>
      <c r="DZ347" s="27" t="s">
        <v>7</v>
      </c>
      <c r="EC347" s="27" t="s">
        <v>8</v>
      </c>
      <c r="ED347" s="27" t="s">
        <v>7</v>
      </c>
      <c r="EE347" s="27" t="s">
        <v>8</v>
      </c>
      <c r="EF347" s="27" t="s">
        <v>7</v>
      </c>
      <c r="EH347" s="27" t="s">
        <v>7</v>
      </c>
      <c r="EI347" s="27" t="s">
        <v>8</v>
      </c>
      <c r="FR347" s="27" t="s">
        <v>7</v>
      </c>
    </row>
    <row r="348" spans="1:241" x14ac:dyDescent="0.25">
      <c r="A348" s="30">
        <v>5.1470181587140174E-3</v>
      </c>
      <c r="B348"/>
      <c r="C348"/>
      <c r="D348"/>
      <c r="E348"/>
      <c r="F348" s="27" t="s">
        <v>7</v>
      </c>
      <c r="CC348" s="27" t="s">
        <v>8</v>
      </c>
      <c r="CD348" s="27" t="s">
        <v>7</v>
      </c>
      <c r="CE348" s="27" t="s">
        <v>8</v>
      </c>
      <c r="CF348" s="27" t="s">
        <v>7</v>
      </c>
      <c r="DY348" s="27" t="s">
        <v>8</v>
      </c>
      <c r="DZ348" s="27" t="s">
        <v>7</v>
      </c>
      <c r="EC348" s="27" t="s">
        <v>8</v>
      </c>
      <c r="ED348" s="27" t="s">
        <v>7</v>
      </c>
      <c r="EE348" s="27" t="s">
        <v>8</v>
      </c>
      <c r="EH348" s="27" t="s">
        <v>7</v>
      </c>
    </row>
    <row r="349" spans="1:241" x14ac:dyDescent="0.25">
      <c r="A349" s="30">
        <v>4.9019220559181099E-3</v>
      </c>
      <c r="B349"/>
      <c r="C349"/>
      <c r="D349"/>
      <c r="E349"/>
      <c r="F349" s="27" t="s">
        <v>7</v>
      </c>
      <c r="CC349" s="27" t="s">
        <v>8</v>
      </c>
      <c r="CD349" s="27" t="s">
        <v>7</v>
      </c>
      <c r="CE349" s="27" t="s">
        <v>8</v>
      </c>
      <c r="CF349" s="27" t="s">
        <v>7</v>
      </c>
      <c r="DY349" s="27" t="s">
        <v>8</v>
      </c>
      <c r="DZ349" s="27" t="s">
        <v>7</v>
      </c>
      <c r="EA349" s="27" t="s">
        <v>8</v>
      </c>
      <c r="EC349" s="27" t="s">
        <v>8</v>
      </c>
      <c r="ED349" s="27" t="s">
        <v>7</v>
      </c>
      <c r="EE349" s="27" t="s">
        <v>8</v>
      </c>
    </row>
    <row r="350" spans="1:241" x14ac:dyDescent="0.25">
      <c r="A350" s="30">
        <v>4.6684971961124836E-3</v>
      </c>
      <c r="B350"/>
      <c r="C350"/>
      <c r="D350"/>
      <c r="E350"/>
      <c r="F350" s="27" t="s">
        <v>7</v>
      </c>
      <c r="Y350" s="27" t="s">
        <v>8</v>
      </c>
      <c r="CC350" s="27" t="s">
        <v>8</v>
      </c>
      <c r="CD350" s="27" t="s">
        <v>7</v>
      </c>
      <c r="CE350" s="27" t="s">
        <v>8</v>
      </c>
      <c r="CF350" s="27" t="s">
        <v>7</v>
      </c>
      <c r="DY350" s="27" t="s">
        <v>8</v>
      </c>
      <c r="DZ350" s="27" t="s">
        <v>7</v>
      </c>
      <c r="EA350" s="27" t="s">
        <v>8</v>
      </c>
      <c r="EB350" s="27" t="s">
        <v>7</v>
      </c>
      <c r="EC350" s="27" t="s">
        <v>8</v>
      </c>
      <c r="ED350" s="27" t="s">
        <v>7</v>
      </c>
    </row>
    <row r="351" spans="1:241" x14ac:dyDescent="0.25">
      <c r="A351" s="30">
        <v>4.4461878058214112E-3</v>
      </c>
      <c r="B351"/>
      <c r="C351"/>
      <c r="D351"/>
      <c r="E351"/>
      <c r="F351" s="27" t="s">
        <v>7</v>
      </c>
      <c r="Y351" s="27" t="s">
        <v>8</v>
      </c>
      <c r="Z351" s="27" t="s">
        <v>7</v>
      </c>
      <c r="CC351" s="27" t="s">
        <v>8</v>
      </c>
      <c r="CD351" s="27" t="s">
        <v>7</v>
      </c>
      <c r="CF351" s="27" t="s">
        <v>7</v>
      </c>
      <c r="DY351" s="27" t="s">
        <v>8</v>
      </c>
      <c r="DZ351" s="27" t="s">
        <v>7</v>
      </c>
      <c r="EA351" s="27" t="s">
        <v>8</v>
      </c>
      <c r="EB351" s="27" t="s">
        <v>7</v>
      </c>
      <c r="EC351" s="27" t="s">
        <v>8</v>
      </c>
    </row>
    <row r="352" spans="1:241" x14ac:dyDescent="0.25">
      <c r="A352" s="30">
        <v>4.2344645769727711E-3</v>
      </c>
      <c r="B352"/>
      <c r="C352"/>
      <c r="D352"/>
      <c r="E352"/>
      <c r="F352" s="27" t="s">
        <v>7</v>
      </c>
      <c r="Y352" s="27" t="s">
        <v>8</v>
      </c>
      <c r="Z352" s="27" t="s">
        <v>7</v>
      </c>
      <c r="CC352" s="27" t="s">
        <v>8</v>
      </c>
      <c r="CF352" s="27" t="s">
        <v>7</v>
      </c>
      <c r="DY352" s="27" t="s">
        <v>8</v>
      </c>
      <c r="DZ352" s="27" t="s">
        <v>7</v>
      </c>
      <c r="EB352" s="27" t="s">
        <v>7</v>
      </c>
      <c r="EC352" s="27" t="s">
        <v>8</v>
      </c>
    </row>
    <row r="353" spans="1:132" x14ac:dyDescent="0.25">
      <c r="A353" s="30">
        <v>4.0328234066407329E-3</v>
      </c>
      <c r="B353"/>
      <c r="C353"/>
      <c r="D353"/>
      <c r="E353"/>
      <c r="F353" s="27" t="s">
        <v>7</v>
      </c>
      <c r="Y353" s="27" t="s">
        <v>8</v>
      </c>
      <c r="Z353" s="27" t="s">
        <v>7</v>
      </c>
      <c r="CC353" s="27" t="s">
        <v>8</v>
      </c>
      <c r="CF353" s="27" t="s">
        <v>7</v>
      </c>
      <c r="DY353" s="27" t="s">
        <v>8</v>
      </c>
      <c r="EB353" s="27" t="s">
        <v>7</v>
      </c>
    </row>
    <row r="354" spans="1:132" x14ac:dyDescent="0.25">
      <c r="A354" s="30">
        <v>3.8407841968006963E-3</v>
      </c>
      <c r="B354"/>
      <c r="C354"/>
      <c r="D354"/>
      <c r="E354"/>
      <c r="F354" s="27" t="s">
        <v>7</v>
      </c>
      <c r="Y354" s="27" t="s">
        <v>8</v>
      </c>
      <c r="Z354" s="27" t="s">
        <v>7</v>
      </c>
      <c r="CC354" s="27" t="s">
        <v>8</v>
      </c>
      <c r="CF354" s="27" t="s">
        <v>7</v>
      </c>
      <c r="CG354" s="27" t="s">
        <v>8</v>
      </c>
      <c r="DW354" s="27" t="s">
        <v>8</v>
      </c>
      <c r="DY354" s="27" t="s">
        <v>8</v>
      </c>
    </row>
    <row r="355" spans="1:132" x14ac:dyDescent="0.25">
      <c r="A355" s="30">
        <v>3.6578897112387568E-3</v>
      </c>
      <c r="B355"/>
      <c r="C355"/>
      <c r="D355"/>
      <c r="E355"/>
      <c r="F355" s="27" t="s">
        <v>7</v>
      </c>
      <c r="U355" s="27" t="s">
        <v>8</v>
      </c>
      <c r="Y355" s="27" t="s">
        <v>8</v>
      </c>
      <c r="Z355" s="27" t="s">
        <v>7</v>
      </c>
      <c r="CC355" s="27" t="s">
        <v>8</v>
      </c>
      <c r="CF355" s="27" t="s">
        <v>7</v>
      </c>
      <c r="CG355" s="27" t="s">
        <v>8</v>
      </c>
      <c r="CH355" s="27" t="s">
        <v>7</v>
      </c>
      <c r="CM355" s="27" t="s">
        <v>8</v>
      </c>
      <c r="CS355" s="27" t="s">
        <v>8</v>
      </c>
      <c r="DW355" s="27" t="s">
        <v>8</v>
      </c>
      <c r="DX355" s="27" t="s">
        <v>7</v>
      </c>
      <c r="DY355" s="27" t="s">
        <v>8</v>
      </c>
    </row>
    <row r="356" spans="1:132" x14ac:dyDescent="0.25">
      <c r="A356" s="30">
        <v>3.4837044868940526E-3</v>
      </c>
      <c r="B356"/>
      <c r="C356"/>
      <c r="D356"/>
      <c r="E356"/>
      <c r="F356" s="27" t="s">
        <v>7</v>
      </c>
      <c r="U356" s="27" t="s">
        <v>8</v>
      </c>
      <c r="V356" s="27" t="s">
        <v>7</v>
      </c>
      <c r="Y356" s="27" t="s">
        <v>8</v>
      </c>
      <c r="Z356" s="27" t="s">
        <v>7</v>
      </c>
      <c r="CC356" s="27" t="s">
        <v>8</v>
      </c>
      <c r="CF356" s="27" t="s">
        <v>7</v>
      </c>
      <c r="CG356" s="27" t="s">
        <v>8</v>
      </c>
      <c r="CH356" s="27" t="s">
        <v>7</v>
      </c>
      <c r="CM356" s="27" t="s">
        <v>8</v>
      </c>
      <c r="CN356" s="27" t="s">
        <v>7</v>
      </c>
      <c r="CO356" s="27" t="s">
        <v>8</v>
      </c>
      <c r="CS356" s="27" t="s">
        <v>8</v>
      </c>
      <c r="CT356" s="27" t="s">
        <v>7</v>
      </c>
      <c r="DW356" s="27" t="s">
        <v>8</v>
      </c>
      <c r="DX356" s="27" t="s">
        <v>7</v>
      </c>
      <c r="DY356" s="27" t="s">
        <v>8</v>
      </c>
    </row>
    <row r="357" spans="1:132" x14ac:dyDescent="0.25">
      <c r="A357" s="30">
        <v>3.3178137970419535E-3</v>
      </c>
      <c r="B357"/>
      <c r="C357"/>
      <c r="D357"/>
      <c r="E357"/>
      <c r="F357" s="27" t="s">
        <v>7</v>
      </c>
      <c r="U357" s="27" t="s">
        <v>8</v>
      </c>
      <c r="V357" s="27" t="s">
        <v>7</v>
      </c>
      <c r="Y357" s="27" t="s">
        <v>8</v>
      </c>
      <c r="Z357" s="27" t="s">
        <v>7</v>
      </c>
      <c r="CC357" s="27" t="s">
        <v>8</v>
      </c>
      <c r="CF357" s="27" t="s">
        <v>7</v>
      </c>
      <c r="CG357" s="27" t="s">
        <v>8</v>
      </c>
      <c r="CH357" s="27" t="s">
        <v>7</v>
      </c>
      <c r="CM357" s="27" t="s">
        <v>8</v>
      </c>
      <c r="CN357" s="27" t="s">
        <v>7</v>
      </c>
      <c r="CO357" s="27" t="s">
        <v>8</v>
      </c>
      <c r="CP357" s="27" t="s">
        <v>7</v>
      </c>
      <c r="CS357" s="27" t="s">
        <v>8</v>
      </c>
      <c r="CT357" s="27" t="s">
        <v>7</v>
      </c>
      <c r="DW357" s="27" t="s">
        <v>8</v>
      </c>
      <c r="DX357" s="27" t="s">
        <v>7</v>
      </c>
      <c r="DY357" s="27" t="s">
        <v>8</v>
      </c>
    </row>
    <row r="358" spans="1:132" x14ac:dyDescent="0.25">
      <c r="A358" s="30">
        <v>3.1598226638494781E-3</v>
      </c>
      <c r="B358"/>
      <c r="C358"/>
      <c r="D358"/>
      <c r="E358"/>
      <c r="F358" s="27" t="s">
        <v>7</v>
      </c>
      <c r="U358" s="27" t="s">
        <v>8</v>
      </c>
      <c r="V358" s="27" t="s">
        <v>7</v>
      </c>
      <c r="Y358" s="27" t="s">
        <v>8</v>
      </c>
      <c r="Z358" s="27" t="s">
        <v>7</v>
      </c>
      <c r="CC358" s="27" t="s">
        <v>8</v>
      </c>
      <c r="CF358" s="27" t="s">
        <v>7</v>
      </c>
      <c r="CG358" s="27" t="s">
        <v>8</v>
      </c>
      <c r="CH358" s="27" t="s">
        <v>7</v>
      </c>
      <c r="CI358" s="27" t="s">
        <v>8</v>
      </c>
      <c r="CK358" s="27" t="s">
        <v>8</v>
      </c>
      <c r="CM358" s="27" t="s">
        <v>8</v>
      </c>
      <c r="CN358" s="27" t="s">
        <v>7</v>
      </c>
      <c r="CO358" s="27" t="s">
        <v>8</v>
      </c>
      <c r="CP358" s="27" t="s">
        <v>7</v>
      </c>
      <c r="CS358" s="27" t="s">
        <v>8</v>
      </c>
      <c r="CT358" s="27" t="s">
        <v>7</v>
      </c>
      <c r="DA358" s="27" t="s">
        <v>8</v>
      </c>
      <c r="DC358" s="27" t="s">
        <v>8</v>
      </c>
      <c r="DQ358" s="27" t="s">
        <v>8</v>
      </c>
      <c r="DW358" s="27" t="s">
        <v>8</v>
      </c>
      <c r="DX358" s="27" t="s">
        <v>7</v>
      </c>
      <c r="DY358" s="27" t="s">
        <v>8</v>
      </c>
    </row>
    <row r="359" spans="1:132" x14ac:dyDescent="0.25">
      <c r="A359" s="30">
        <v>3.0093549179518826E-3</v>
      </c>
      <c r="B359"/>
      <c r="C359"/>
      <c r="D359"/>
      <c r="E359"/>
      <c r="F359" s="27" t="s">
        <v>7</v>
      </c>
      <c r="U359" s="27" t="s">
        <v>8</v>
      </c>
      <c r="V359" s="27" t="s">
        <v>7</v>
      </c>
      <c r="Y359" s="27" t="s">
        <v>8</v>
      </c>
      <c r="Z359" s="27" t="s">
        <v>7</v>
      </c>
      <c r="CC359" s="27" t="s">
        <v>8</v>
      </c>
      <c r="CF359" s="27" t="s">
        <v>7</v>
      </c>
      <c r="CG359" s="27" t="s">
        <v>8</v>
      </c>
      <c r="CH359" s="27" t="s">
        <v>7</v>
      </c>
      <c r="CI359" s="27" t="s">
        <v>8</v>
      </c>
      <c r="CJ359" s="27" t="s">
        <v>7</v>
      </c>
      <c r="CK359" s="27" t="s">
        <v>8</v>
      </c>
      <c r="CL359" s="27" t="s">
        <v>7</v>
      </c>
      <c r="CM359" s="27" t="s">
        <v>8</v>
      </c>
      <c r="CN359" s="27" t="s">
        <v>7</v>
      </c>
      <c r="CO359" s="27" t="s">
        <v>8</v>
      </c>
      <c r="CP359" s="27" t="s">
        <v>7</v>
      </c>
      <c r="CS359" s="27" t="s">
        <v>8</v>
      </c>
      <c r="CT359" s="27" t="s">
        <v>7</v>
      </c>
      <c r="CU359" s="27" t="s">
        <v>8</v>
      </c>
      <c r="DA359" s="27" t="s">
        <v>8</v>
      </c>
      <c r="DB359" s="27" t="s">
        <v>7</v>
      </c>
      <c r="DC359" s="27" t="s">
        <v>8</v>
      </c>
      <c r="DD359" s="27" t="s">
        <v>7</v>
      </c>
      <c r="DQ359" s="27" t="s">
        <v>8</v>
      </c>
      <c r="DR359" s="27" t="s">
        <v>7</v>
      </c>
      <c r="DS359" s="27" t="s">
        <v>8</v>
      </c>
      <c r="DW359" s="27" t="s">
        <v>8</v>
      </c>
      <c r="DX359" s="27" t="s">
        <v>7</v>
      </c>
      <c r="DY359" s="27" t="s">
        <v>8</v>
      </c>
    </row>
    <row r="360" spans="1:132" x14ac:dyDescent="0.25">
      <c r="A360" s="30">
        <v>2.8660523028113155E-3</v>
      </c>
      <c r="B360"/>
      <c r="C360"/>
      <c r="D360"/>
      <c r="E360"/>
      <c r="F360" s="27" t="s">
        <v>7</v>
      </c>
      <c r="U360" s="27" t="s">
        <v>8</v>
      </c>
      <c r="V360" s="27" t="s">
        <v>7</v>
      </c>
      <c r="Y360" s="27" t="s">
        <v>8</v>
      </c>
      <c r="Z360" s="27" t="s">
        <v>7</v>
      </c>
      <c r="CC360" s="27" t="s">
        <v>8</v>
      </c>
      <c r="CF360" s="27" t="s">
        <v>7</v>
      </c>
      <c r="CG360" s="27" t="s">
        <v>8</v>
      </c>
      <c r="CH360" s="27" t="s">
        <v>7</v>
      </c>
      <c r="CI360" s="27" t="s">
        <v>8</v>
      </c>
      <c r="CJ360" s="27" t="s">
        <v>7</v>
      </c>
      <c r="CK360" s="27" t="s">
        <v>8</v>
      </c>
      <c r="CL360" s="27" t="s">
        <v>7</v>
      </c>
      <c r="CM360" s="27" t="s">
        <v>8</v>
      </c>
      <c r="CN360" s="27" t="s">
        <v>7</v>
      </c>
      <c r="CO360" s="27" t="s">
        <v>8</v>
      </c>
      <c r="CP360" s="27" t="s">
        <v>7</v>
      </c>
      <c r="CS360" s="27" t="s">
        <v>8</v>
      </c>
      <c r="CT360" s="27" t="s">
        <v>7</v>
      </c>
      <c r="CU360" s="27" t="s">
        <v>8</v>
      </c>
      <c r="CV360" s="27" t="s">
        <v>7</v>
      </c>
      <c r="DA360" s="27" t="s">
        <v>8</v>
      </c>
      <c r="DB360" s="27" t="s">
        <v>7</v>
      </c>
      <c r="DC360" s="27" t="s">
        <v>8</v>
      </c>
      <c r="DD360" s="27" t="s">
        <v>7</v>
      </c>
      <c r="DQ360" s="27" t="s">
        <v>8</v>
      </c>
      <c r="DR360" s="27" t="s">
        <v>7</v>
      </c>
      <c r="DS360" s="27" t="s">
        <v>8</v>
      </c>
      <c r="DT360" s="27" t="s">
        <v>7</v>
      </c>
      <c r="DU360" s="27" t="s">
        <v>8</v>
      </c>
      <c r="DW360" s="27" t="s">
        <v>8</v>
      </c>
      <c r="DX360" s="27" t="s">
        <v>7</v>
      </c>
    </row>
    <row r="361" spans="1:132" x14ac:dyDescent="0.25">
      <c r="A361" s="30">
        <v>2.7295736217250611E-3</v>
      </c>
      <c r="B361"/>
      <c r="C361"/>
      <c r="D361"/>
      <c r="E361"/>
      <c r="F361" s="27" t="s">
        <v>7</v>
      </c>
      <c r="U361" s="27" t="s">
        <v>8</v>
      </c>
      <c r="V361" s="27" t="s">
        <v>7</v>
      </c>
      <c r="Y361" s="27" t="s">
        <v>8</v>
      </c>
      <c r="Z361" s="27" t="s">
        <v>7</v>
      </c>
      <c r="CC361" s="27" t="s">
        <v>8</v>
      </c>
      <c r="CF361" s="27" t="s">
        <v>7</v>
      </c>
      <c r="CG361" s="27" t="s">
        <v>8</v>
      </c>
      <c r="CH361" s="27" t="s">
        <v>7</v>
      </c>
      <c r="CJ361" s="27" t="s">
        <v>7</v>
      </c>
      <c r="CL361" s="27" t="s">
        <v>7</v>
      </c>
      <c r="CM361" s="27" t="s">
        <v>8</v>
      </c>
      <c r="CN361" s="27" t="s">
        <v>7</v>
      </c>
      <c r="CP361" s="27" t="s">
        <v>7</v>
      </c>
      <c r="CS361" s="27" t="s">
        <v>8</v>
      </c>
      <c r="CT361" s="27" t="s">
        <v>7</v>
      </c>
      <c r="CU361" s="27" t="s">
        <v>8</v>
      </c>
      <c r="CV361" s="27" t="s">
        <v>7</v>
      </c>
      <c r="CY361" s="27" t="s">
        <v>8</v>
      </c>
      <c r="DA361" s="27" t="s">
        <v>8</v>
      </c>
      <c r="DB361" s="27" t="s">
        <v>7</v>
      </c>
      <c r="DC361" s="27" t="s">
        <v>8</v>
      </c>
      <c r="DD361" s="27" t="s">
        <v>7</v>
      </c>
      <c r="DE361" s="27" t="s">
        <v>8</v>
      </c>
      <c r="DG361" s="27" t="s">
        <v>8</v>
      </c>
      <c r="DI361" s="27" t="s">
        <v>8</v>
      </c>
      <c r="DQ361" s="27" t="s">
        <v>8</v>
      </c>
      <c r="DR361" s="27" t="s">
        <v>7</v>
      </c>
      <c r="DS361" s="27" t="s">
        <v>8</v>
      </c>
      <c r="DT361" s="27" t="s">
        <v>7</v>
      </c>
      <c r="DU361" s="27" t="s">
        <v>8</v>
      </c>
      <c r="DV361" s="27" t="s">
        <v>7</v>
      </c>
      <c r="DW361" s="27" t="s">
        <v>8</v>
      </c>
    </row>
    <row r="362" spans="1:132" x14ac:dyDescent="0.25">
      <c r="A362" s="30">
        <v>2.5995939254524381E-3</v>
      </c>
      <c r="B362"/>
      <c r="C362"/>
      <c r="D362"/>
      <c r="E362"/>
      <c r="F362" s="27" t="s">
        <v>7</v>
      </c>
      <c r="U362" s="27" t="s">
        <v>8</v>
      </c>
      <c r="V362" s="27" t="s">
        <v>7</v>
      </c>
      <c r="Y362" s="27" t="s">
        <v>8</v>
      </c>
      <c r="Z362" s="27" t="s">
        <v>7</v>
      </c>
      <c r="AO362" s="27" t="s">
        <v>8</v>
      </c>
      <c r="CC362" s="27" t="s">
        <v>8</v>
      </c>
      <c r="CF362" s="27" t="s">
        <v>7</v>
      </c>
      <c r="CG362" s="27" t="s">
        <v>8</v>
      </c>
      <c r="CL362" s="27" t="s">
        <v>7</v>
      </c>
      <c r="CP362" s="27" t="s">
        <v>7</v>
      </c>
      <c r="CS362" s="27" t="s">
        <v>8</v>
      </c>
      <c r="CT362" s="27" t="s">
        <v>7</v>
      </c>
      <c r="CU362" s="27" t="s">
        <v>8</v>
      </c>
      <c r="CV362" s="27" t="s">
        <v>7</v>
      </c>
      <c r="CW362" s="27" t="s">
        <v>8</v>
      </c>
      <c r="CY362" s="27" t="s">
        <v>8</v>
      </c>
      <c r="CZ362" s="27" t="s">
        <v>7</v>
      </c>
      <c r="DA362" s="27" t="s">
        <v>8</v>
      </c>
      <c r="DB362" s="27" t="s">
        <v>7</v>
      </c>
      <c r="DD362" s="27" t="s">
        <v>7</v>
      </c>
      <c r="DE362" s="27" t="s">
        <v>8</v>
      </c>
      <c r="DF362" s="27" t="s">
        <v>7</v>
      </c>
      <c r="DG362" s="27" t="s">
        <v>8</v>
      </c>
      <c r="DH362" s="27" t="s">
        <v>7</v>
      </c>
      <c r="DI362" s="27" t="s">
        <v>8</v>
      </c>
      <c r="DJ362" s="27" t="s">
        <v>7</v>
      </c>
      <c r="DQ362" s="27" t="s">
        <v>8</v>
      </c>
      <c r="DR362" s="27" t="s">
        <v>7</v>
      </c>
      <c r="DS362" s="27" t="s">
        <v>8</v>
      </c>
      <c r="DT362" s="27" t="s">
        <v>7</v>
      </c>
      <c r="DU362" s="27" t="s">
        <v>8</v>
      </c>
      <c r="DV362" s="27" t="s">
        <v>7</v>
      </c>
      <c r="DW362" s="27" t="s">
        <v>8</v>
      </c>
    </row>
    <row r="363" spans="1:132" x14ac:dyDescent="0.25">
      <c r="A363" s="30">
        <v>2.4758037385261304E-3</v>
      </c>
      <c r="B363"/>
      <c r="C363"/>
      <c r="D363"/>
      <c r="E363"/>
      <c r="F363" s="27" t="s">
        <v>7</v>
      </c>
      <c r="U363" s="27" t="s">
        <v>8</v>
      </c>
      <c r="V363" s="27" t="s">
        <v>7</v>
      </c>
      <c r="Y363" s="27" t="s">
        <v>8</v>
      </c>
      <c r="Z363" s="27" t="s">
        <v>7</v>
      </c>
      <c r="AA363" s="27" t="s">
        <v>8</v>
      </c>
      <c r="AO363" s="27" t="s">
        <v>8</v>
      </c>
      <c r="AP363" s="27" t="s">
        <v>7</v>
      </c>
      <c r="CC363" s="27" t="s">
        <v>8</v>
      </c>
      <c r="CF363" s="27" t="s">
        <v>7</v>
      </c>
      <c r="CG363" s="27" t="s">
        <v>8</v>
      </c>
      <c r="CP363" s="27" t="s">
        <v>7</v>
      </c>
      <c r="CS363" s="27" t="s">
        <v>8</v>
      </c>
      <c r="CT363" s="27" t="s">
        <v>7</v>
      </c>
      <c r="CU363" s="27" t="s">
        <v>8</v>
      </c>
      <c r="CV363" s="27" t="s">
        <v>7</v>
      </c>
      <c r="CW363" s="27" t="s">
        <v>8</v>
      </c>
      <c r="CX363" s="27" t="s">
        <v>7</v>
      </c>
      <c r="CY363" s="27" t="s">
        <v>8</v>
      </c>
      <c r="CZ363" s="27" t="s">
        <v>7</v>
      </c>
      <c r="DA363" s="27" t="s">
        <v>8</v>
      </c>
      <c r="DD363" s="27" t="s">
        <v>7</v>
      </c>
      <c r="DE363" s="27" t="s">
        <v>8</v>
      </c>
      <c r="DF363" s="27" t="s">
        <v>7</v>
      </c>
      <c r="DG363" s="27" t="s">
        <v>8</v>
      </c>
      <c r="DH363" s="27" t="s">
        <v>7</v>
      </c>
      <c r="DI363" s="27" t="s">
        <v>8</v>
      </c>
      <c r="DJ363" s="27" t="s">
        <v>7</v>
      </c>
      <c r="DM363" s="27" t="s">
        <v>8</v>
      </c>
      <c r="DO363" s="27" t="s">
        <v>8</v>
      </c>
      <c r="DQ363" s="27" t="s">
        <v>8</v>
      </c>
      <c r="DR363" s="27" t="s">
        <v>7</v>
      </c>
      <c r="DS363" s="27" t="s">
        <v>8</v>
      </c>
      <c r="DT363" s="27" t="s">
        <v>7</v>
      </c>
      <c r="DU363" s="27" t="s">
        <v>8</v>
      </c>
      <c r="DV363" s="27" t="s">
        <v>7</v>
      </c>
    </row>
    <row r="364" spans="1:132" x14ac:dyDescent="0.25">
      <c r="A364" s="30">
        <v>2.3579083224058374E-3</v>
      </c>
      <c r="B364"/>
      <c r="C364"/>
      <c r="D364"/>
      <c r="E364"/>
      <c r="F364" s="27" t="s">
        <v>7</v>
      </c>
      <c r="U364" s="27" t="s">
        <v>8</v>
      </c>
      <c r="V364" s="27" t="s">
        <v>7</v>
      </c>
      <c r="Y364" s="27" t="s">
        <v>8</v>
      </c>
      <c r="Z364" s="27" t="s">
        <v>7</v>
      </c>
      <c r="AA364" s="27" t="s">
        <v>8</v>
      </c>
      <c r="AB364" s="27" t="s">
        <v>7</v>
      </c>
      <c r="AM364" s="27" t="s">
        <v>8</v>
      </c>
      <c r="AO364" s="27" t="s">
        <v>8</v>
      </c>
      <c r="AP364" s="27" t="s">
        <v>7</v>
      </c>
      <c r="CA364" s="27" t="s">
        <v>8</v>
      </c>
      <c r="CC364" s="27" t="s">
        <v>8</v>
      </c>
      <c r="CF364" s="27" t="s">
        <v>7</v>
      </c>
      <c r="CG364" s="27" t="s">
        <v>8</v>
      </c>
      <c r="CP364" s="27" t="s">
        <v>7</v>
      </c>
      <c r="CQ364" s="27" t="s">
        <v>8</v>
      </c>
      <c r="CS364" s="27" t="s">
        <v>8</v>
      </c>
      <c r="CT364" s="27" t="s">
        <v>7</v>
      </c>
      <c r="CU364" s="27" t="s">
        <v>8</v>
      </c>
      <c r="CV364" s="27" t="s">
        <v>7</v>
      </c>
      <c r="CW364" s="27" t="s">
        <v>8</v>
      </c>
      <c r="CX364" s="27" t="s">
        <v>7</v>
      </c>
      <c r="CY364" s="27" t="s">
        <v>8</v>
      </c>
      <c r="CZ364" s="27" t="s">
        <v>7</v>
      </c>
      <c r="DA364" s="27" t="s">
        <v>8</v>
      </c>
      <c r="DD364" s="27" t="s">
        <v>7</v>
      </c>
      <c r="DF364" s="27" t="s">
        <v>7</v>
      </c>
      <c r="DH364" s="27" t="s">
        <v>7</v>
      </c>
      <c r="DI364" s="27" t="s">
        <v>8</v>
      </c>
      <c r="DJ364" s="27" t="s">
        <v>7</v>
      </c>
      <c r="DM364" s="27" t="s">
        <v>8</v>
      </c>
      <c r="DN364" s="27" t="s">
        <v>7</v>
      </c>
      <c r="DO364" s="27" t="s">
        <v>8</v>
      </c>
      <c r="DP364" s="27" t="s">
        <v>7</v>
      </c>
      <c r="DQ364" s="27" t="s">
        <v>8</v>
      </c>
      <c r="DR364" s="27" t="s">
        <v>7</v>
      </c>
      <c r="DS364" s="27" t="s">
        <v>8</v>
      </c>
      <c r="DT364" s="27" t="s">
        <v>7</v>
      </c>
      <c r="DU364" s="27" t="s">
        <v>8</v>
      </c>
    </row>
    <row r="365" spans="1:132" x14ac:dyDescent="0.25">
      <c r="A365" s="30">
        <v>2.245626973719844E-3</v>
      </c>
      <c r="B365"/>
      <c r="C365"/>
      <c r="D365"/>
      <c r="E365"/>
      <c r="F365" s="27" t="s">
        <v>7</v>
      </c>
      <c r="U365" s="27" t="s">
        <v>8</v>
      </c>
      <c r="V365" s="27" t="s">
        <v>7</v>
      </c>
      <c r="Y365" s="27" t="s">
        <v>8</v>
      </c>
      <c r="Z365" s="27" t="s">
        <v>7</v>
      </c>
      <c r="AA365" s="27" t="s">
        <v>8</v>
      </c>
      <c r="AB365" s="27" t="s">
        <v>7</v>
      </c>
      <c r="AC365" s="27" t="s">
        <v>8</v>
      </c>
      <c r="AK365" s="27" t="s">
        <v>8</v>
      </c>
      <c r="AM365" s="27" t="s">
        <v>8</v>
      </c>
      <c r="AN365" s="27" t="s">
        <v>7</v>
      </c>
      <c r="AO365" s="27" t="s">
        <v>8</v>
      </c>
      <c r="AP365" s="27" t="s">
        <v>7</v>
      </c>
      <c r="CA365" s="27" t="s">
        <v>8</v>
      </c>
      <c r="CB365" s="27" t="s">
        <v>7</v>
      </c>
      <c r="CC365" s="27" t="s">
        <v>8</v>
      </c>
      <c r="CF365" s="27" t="s">
        <v>7</v>
      </c>
      <c r="CP365" s="27" t="s">
        <v>7</v>
      </c>
      <c r="CQ365" s="27" t="s">
        <v>8</v>
      </c>
      <c r="CR365" s="27" t="s">
        <v>7</v>
      </c>
      <c r="CS365" s="27" t="s">
        <v>8</v>
      </c>
      <c r="CT365" s="27" t="s">
        <v>7</v>
      </c>
      <c r="CU365" s="27" t="s">
        <v>8</v>
      </c>
      <c r="CV365" s="27" t="s">
        <v>7</v>
      </c>
      <c r="CW365" s="27" t="s">
        <v>8</v>
      </c>
      <c r="CX365" s="27" t="s">
        <v>7</v>
      </c>
      <c r="CY365" s="27" t="s">
        <v>8</v>
      </c>
      <c r="CZ365" s="27" t="s">
        <v>7</v>
      </c>
      <c r="DH365" s="27" t="s">
        <v>7</v>
      </c>
      <c r="DI365" s="27" t="s">
        <v>8</v>
      </c>
      <c r="DJ365" s="27" t="s">
        <v>7</v>
      </c>
      <c r="DK365" s="27" t="s">
        <v>8</v>
      </c>
      <c r="DM365" s="27" t="s">
        <v>8</v>
      </c>
      <c r="DN365" s="27" t="s">
        <v>7</v>
      </c>
      <c r="DO365" s="27" t="s">
        <v>8</v>
      </c>
      <c r="DP365" s="27" t="s">
        <v>7</v>
      </c>
      <c r="DQ365" s="27" t="s">
        <v>8</v>
      </c>
      <c r="DR365" s="27" t="s">
        <v>7</v>
      </c>
      <c r="DS365" s="27" t="s">
        <v>8</v>
      </c>
      <c r="DT365" s="27" t="s">
        <v>7</v>
      </c>
      <c r="DU365" s="27" t="s">
        <v>8</v>
      </c>
    </row>
    <row r="366" spans="1:132" x14ac:dyDescent="0.25">
      <c r="A366" s="30">
        <v>2.1386923559236601E-3</v>
      </c>
      <c r="B366"/>
      <c r="C366"/>
      <c r="D366"/>
      <c r="E366"/>
      <c r="F366" s="27" t="s">
        <v>7</v>
      </c>
      <c r="U366" s="27" t="s">
        <v>8</v>
      </c>
      <c r="V366" s="27" t="s">
        <v>7</v>
      </c>
      <c r="Y366" s="27" t="s">
        <v>8</v>
      </c>
      <c r="Z366" s="27" t="s">
        <v>7</v>
      </c>
      <c r="AA366" s="27" t="s">
        <v>8</v>
      </c>
      <c r="AB366" s="27" t="s">
        <v>7</v>
      </c>
      <c r="AC366" s="27" t="s">
        <v>8</v>
      </c>
      <c r="AD366" s="27" t="s">
        <v>7</v>
      </c>
      <c r="AE366" s="27" t="s">
        <v>8</v>
      </c>
      <c r="AK366" s="27" t="s">
        <v>8</v>
      </c>
      <c r="AL366" s="27" t="s">
        <v>7</v>
      </c>
      <c r="AM366" s="27" t="s">
        <v>8</v>
      </c>
      <c r="AN366" s="27" t="s">
        <v>7</v>
      </c>
      <c r="AO366" s="27" t="s">
        <v>8</v>
      </c>
      <c r="AP366" s="27" t="s">
        <v>7</v>
      </c>
      <c r="BQ366" s="27" t="s">
        <v>8</v>
      </c>
      <c r="BY366" s="27" t="s">
        <v>8</v>
      </c>
      <c r="CA366" s="27" t="s">
        <v>8</v>
      </c>
      <c r="CB366" s="27" t="s">
        <v>7</v>
      </c>
      <c r="CC366" s="27" t="s">
        <v>8</v>
      </c>
      <c r="CP366" s="27" t="s">
        <v>7</v>
      </c>
      <c r="CQ366" s="27" t="s">
        <v>8</v>
      </c>
      <c r="CR366" s="27" t="s">
        <v>7</v>
      </c>
      <c r="CS366" s="27" t="s">
        <v>8</v>
      </c>
      <c r="CT366" s="27" t="s">
        <v>7</v>
      </c>
      <c r="CV366" s="27" t="s">
        <v>7</v>
      </c>
      <c r="CX366" s="27" t="s">
        <v>7</v>
      </c>
      <c r="CY366" s="27" t="s">
        <v>8</v>
      </c>
      <c r="DH366" s="27" t="s">
        <v>7</v>
      </c>
      <c r="DJ366" s="27" t="s">
        <v>7</v>
      </c>
      <c r="DK366" s="27" t="s">
        <v>8</v>
      </c>
      <c r="DL366" s="27" t="s">
        <v>7</v>
      </c>
      <c r="DM366" s="27" t="s">
        <v>8</v>
      </c>
      <c r="DN366" s="27" t="s">
        <v>7</v>
      </c>
      <c r="DO366" s="27" t="s">
        <v>8</v>
      </c>
      <c r="DP366" s="27" t="s">
        <v>7</v>
      </c>
      <c r="DR366" s="27" t="s">
        <v>7</v>
      </c>
      <c r="DS366" s="27" t="s">
        <v>8</v>
      </c>
      <c r="DT366" s="27" t="s">
        <v>7</v>
      </c>
    </row>
    <row r="367" spans="1:132" x14ac:dyDescent="0.25">
      <c r="A367" s="30">
        <v>2.0368498627844375E-3</v>
      </c>
      <c r="B367"/>
      <c r="C367"/>
      <c r="D367"/>
      <c r="E367"/>
      <c r="F367" s="27" t="s">
        <v>7</v>
      </c>
      <c r="U367" s="27" t="s">
        <v>8</v>
      </c>
      <c r="V367" s="27" t="s">
        <v>7</v>
      </c>
      <c r="Y367" s="27" t="s">
        <v>8</v>
      </c>
      <c r="Z367" s="27" t="s">
        <v>7</v>
      </c>
      <c r="AA367" s="27" t="s">
        <v>8</v>
      </c>
      <c r="AB367" s="27" t="s">
        <v>7</v>
      </c>
      <c r="AC367" s="27" t="s">
        <v>8</v>
      </c>
      <c r="AD367" s="27" t="s">
        <v>7</v>
      </c>
      <c r="AE367" s="27" t="s">
        <v>8</v>
      </c>
      <c r="AF367" s="27" t="s">
        <v>7</v>
      </c>
      <c r="AK367" s="27" t="s">
        <v>8</v>
      </c>
      <c r="AL367" s="27" t="s">
        <v>7</v>
      </c>
      <c r="AM367" s="27" t="s">
        <v>8</v>
      </c>
      <c r="AN367" s="27" t="s">
        <v>7</v>
      </c>
      <c r="AO367" s="27" t="s">
        <v>8</v>
      </c>
      <c r="AP367" s="27" t="s">
        <v>7</v>
      </c>
      <c r="BQ367" s="27" t="s">
        <v>8</v>
      </c>
      <c r="BR367" s="27" t="s">
        <v>7</v>
      </c>
      <c r="BY367" s="27" t="s">
        <v>8</v>
      </c>
      <c r="BZ367" s="27" t="s">
        <v>7</v>
      </c>
      <c r="CA367" s="27" t="s">
        <v>8</v>
      </c>
      <c r="CB367" s="27" t="s">
        <v>7</v>
      </c>
      <c r="CC367" s="27" t="s">
        <v>8</v>
      </c>
      <c r="CP367" s="27" t="s">
        <v>7</v>
      </c>
      <c r="CQ367" s="27" t="s">
        <v>8</v>
      </c>
      <c r="CR367" s="27" t="s">
        <v>7</v>
      </c>
      <c r="CS367" s="27" t="s">
        <v>8</v>
      </c>
      <c r="CX367" s="27" t="s">
        <v>7</v>
      </c>
      <c r="DJ367" s="27" t="s">
        <v>7</v>
      </c>
      <c r="DK367" s="27" t="s">
        <v>8</v>
      </c>
      <c r="DL367" s="27" t="s">
        <v>7</v>
      </c>
      <c r="DM367" s="27" t="s">
        <v>8</v>
      </c>
      <c r="DN367" s="27" t="s">
        <v>7</v>
      </c>
      <c r="DR367" s="27" t="s">
        <v>7</v>
      </c>
    </row>
    <row r="368" spans="1:132" x14ac:dyDescent="0.25">
      <c r="A368" s="30">
        <v>1.9398570121756541E-3</v>
      </c>
      <c r="B368"/>
      <c r="C368"/>
      <c r="D368"/>
      <c r="E368"/>
      <c r="F368" s="27" t="s">
        <v>7</v>
      </c>
      <c r="U368" s="27" t="s">
        <v>8</v>
      </c>
      <c r="V368" s="27" t="s">
        <v>7</v>
      </c>
      <c r="Y368" s="27" t="s">
        <v>8</v>
      </c>
      <c r="Z368" s="27" t="s">
        <v>7</v>
      </c>
      <c r="AA368" s="27" t="s">
        <v>8</v>
      </c>
      <c r="AB368" s="27" t="s">
        <v>7</v>
      </c>
      <c r="AD368" s="27" t="s">
        <v>7</v>
      </c>
      <c r="AE368" s="27" t="s">
        <v>8</v>
      </c>
      <c r="AF368" s="27" t="s">
        <v>7</v>
      </c>
      <c r="AG368" s="27" t="s">
        <v>8</v>
      </c>
      <c r="AK368" s="27" t="s">
        <v>8</v>
      </c>
      <c r="AL368" s="27" t="s">
        <v>7</v>
      </c>
      <c r="AN368" s="27" t="s">
        <v>7</v>
      </c>
      <c r="AP368" s="27" t="s">
        <v>7</v>
      </c>
      <c r="BQ368" s="27" t="s">
        <v>8</v>
      </c>
      <c r="BR368" s="27" t="s">
        <v>7</v>
      </c>
      <c r="BW368" s="27" t="s">
        <v>8</v>
      </c>
      <c r="BY368" s="27" t="s">
        <v>8</v>
      </c>
      <c r="BZ368" s="27" t="s">
        <v>7</v>
      </c>
      <c r="CA368" s="27" t="s">
        <v>8</v>
      </c>
      <c r="CB368" s="27" t="s">
        <v>7</v>
      </c>
      <c r="CC368" s="27" t="s">
        <v>8</v>
      </c>
      <c r="CP368" s="27" t="s">
        <v>7</v>
      </c>
      <c r="CQ368" s="27" t="s">
        <v>8</v>
      </c>
      <c r="CR368" s="27" t="s">
        <v>7</v>
      </c>
      <c r="CS368" s="27" t="s">
        <v>8</v>
      </c>
      <c r="DJ368" s="27" t="s">
        <v>7</v>
      </c>
      <c r="DK368" s="27" t="s">
        <v>8</v>
      </c>
      <c r="DL368" s="27" t="s">
        <v>7</v>
      </c>
    </row>
    <row r="369" spans="1:115" x14ac:dyDescent="0.25">
      <c r="A369" s="30">
        <v>1.8474828687387174E-3</v>
      </c>
      <c r="B369"/>
      <c r="C369"/>
      <c r="D369"/>
      <c r="E369"/>
      <c r="F369" s="27" t="s">
        <v>7</v>
      </c>
      <c r="S369" s="27" t="s">
        <v>8</v>
      </c>
      <c r="U369" s="27" t="s">
        <v>8</v>
      </c>
      <c r="V369" s="27" t="s">
        <v>7</v>
      </c>
      <c r="W369" s="27" t="s">
        <v>8</v>
      </c>
      <c r="Y369" s="27" t="s">
        <v>8</v>
      </c>
      <c r="Z369" s="27" t="s">
        <v>7</v>
      </c>
      <c r="AA369" s="27" t="s">
        <v>8</v>
      </c>
      <c r="AD369" s="27" t="s">
        <v>7</v>
      </c>
      <c r="AF369" s="27" t="s">
        <v>7</v>
      </c>
      <c r="AG369" s="27" t="s">
        <v>8</v>
      </c>
      <c r="AH369" s="27" t="s">
        <v>7</v>
      </c>
      <c r="AK369" s="27" t="s">
        <v>8</v>
      </c>
      <c r="AP369" s="27" t="s">
        <v>7</v>
      </c>
      <c r="AQ369" s="27" t="s">
        <v>8</v>
      </c>
      <c r="BQ369" s="27" t="s">
        <v>8</v>
      </c>
      <c r="BR369" s="27" t="s">
        <v>7</v>
      </c>
      <c r="BS369" s="27" t="s">
        <v>8</v>
      </c>
      <c r="BW369" s="27" t="s">
        <v>8</v>
      </c>
      <c r="BX369" s="27" t="s">
        <v>7</v>
      </c>
      <c r="BY369" s="27" t="s">
        <v>8</v>
      </c>
      <c r="BZ369" s="27" t="s">
        <v>7</v>
      </c>
      <c r="CA369" s="27" t="s">
        <v>8</v>
      </c>
      <c r="CB369" s="27" t="s">
        <v>7</v>
      </c>
      <c r="CC369" s="27" t="s">
        <v>8</v>
      </c>
      <c r="CP369" s="27" t="s">
        <v>7</v>
      </c>
      <c r="CQ369" s="27" t="s">
        <v>8</v>
      </c>
      <c r="CR369" s="27" t="s">
        <v>7</v>
      </c>
      <c r="CS369" s="27" t="s">
        <v>8</v>
      </c>
      <c r="DJ369" s="27" t="s">
        <v>7</v>
      </c>
      <c r="DK369" s="27" t="s">
        <v>8</v>
      </c>
    </row>
    <row r="370" spans="1:115" x14ac:dyDescent="0.25">
      <c r="A370" s="30">
        <v>1.759507494036873E-3</v>
      </c>
      <c r="B370"/>
      <c r="C370"/>
      <c r="D370"/>
      <c r="E370"/>
      <c r="F370" s="27" t="s">
        <v>7</v>
      </c>
      <c r="I370" s="27" t="s">
        <v>8</v>
      </c>
      <c r="S370" s="27" t="s">
        <v>8</v>
      </c>
      <c r="T370" s="27" t="s">
        <v>7</v>
      </c>
      <c r="U370" s="27" t="s">
        <v>8</v>
      </c>
      <c r="V370" s="27" t="s">
        <v>7</v>
      </c>
      <c r="W370" s="27" t="s">
        <v>8</v>
      </c>
      <c r="X370" s="27" t="s">
        <v>7</v>
      </c>
      <c r="Y370" s="27" t="s">
        <v>8</v>
      </c>
      <c r="Z370" s="27" t="s">
        <v>7</v>
      </c>
      <c r="AA370" s="27" t="s">
        <v>8</v>
      </c>
      <c r="AF370" s="27" t="s">
        <v>7</v>
      </c>
      <c r="AG370" s="27" t="s">
        <v>8</v>
      </c>
      <c r="AH370" s="27" t="s">
        <v>7</v>
      </c>
      <c r="AI370" s="27" t="s">
        <v>8</v>
      </c>
      <c r="AK370" s="27" t="s">
        <v>8</v>
      </c>
      <c r="AP370" s="27" t="s">
        <v>7</v>
      </c>
      <c r="AQ370" s="27" t="s">
        <v>8</v>
      </c>
      <c r="AR370" s="27" t="s">
        <v>7</v>
      </c>
      <c r="BQ370" s="27" t="s">
        <v>8</v>
      </c>
      <c r="BR370" s="27" t="s">
        <v>7</v>
      </c>
      <c r="BS370" s="27" t="s">
        <v>8</v>
      </c>
      <c r="BT370" s="27" t="s">
        <v>7</v>
      </c>
      <c r="BW370" s="27" t="s">
        <v>8</v>
      </c>
      <c r="BX370" s="27" t="s">
        <v>7</v>
      </c>
      <c r="BY370" s="27" t="s">
        <v>8</v>
      </c>
      <c r="BZ370" s="27" t="s">
        <v>7</v>
      </c>
      <c r="CB370" s="27" t="s">
        <v>7</v>
      </c>
      <c r="CP370" s="27" t="s">
        <v>7</v>
      </c>
      <c r="CQ370" s="27" t="s">
        <v>8</v>
      </c>
      <c r="CR370" s="27" t="s">
        <v>7</v>
      </c>
      <c r="DJ370" s="27" t="s">
        <v>7</v>
      </c>
    </row>
    <row r="371" spans="1:115" x14ac:dyDescent="0.25">
      <c r="A371" s="30">
        <v>1.6757214228922594E-3</v>
      </c>
      <c r="B371"/>
      <c r="C371"/>
      <c r="D371"/>
      <c r="E371"/>
      <c r="F371" s="27" t="s">
        <v>7</v>
      </c>
      <c r="G371" s="27" t="s">
        <v>8</v>
      </c>
      <c r="I371" s="27" t="s">
        <v>8</v>
      </c>
      <c r="J371" s="27" t="s">
        <v>7</v>
      </c>
      <c r="S371" s="27" t="s">
        <v>8</v>
      </c>
      <c r="T371" s="27" t="s">
        <v>7</v>
      </c>
      <c r="U371" s="27" t="s">
        <v>8</v>
      </c>
      <c r="V371" s="27" t="s">
        <v>7</v>
      </c>
      <c r="W371" s="27" t="s">
        <v>8</v>
      </c>
      <c r="X371" s="27" t="s">
        <v>7</v>
      </c>
      <c r="Y371" s="27" t="s">
        <v>8</v>
      </c>
      <c r="Z371" s="27" t="s">
        <v>7</v>
      </c>
      <c r="AF371" s="27" t="s">
        <v>7</v>
      </c>
      <c r="AG371" s="27" t="s">
        <v>8</v>
      </c>
      <c r="AH371" s="27" t="s">
        <v>7</v>
      </c>
      <c r="AI371" s="27" t="s">
        <v>8</v>
      </c>
      <c r="AJ371" s="27" t="s">
        <v>7</v>
      </c>
      <c r="AK371" s="27" t="s">
        <v>8</v>
      </c>
      <c r="AP371" s="27" t="s">
        <v>7</v>
      </c>
      <c r="AQ371" s="27" t="s">
        <v>8</v>
      </c>
      <c r="AR371" s="27" t="s">
        <v>7</v>
      </c>
      <c r="BO371" s="27" t="s">
        <v>8</v>
      </c>
      <c r="BQ371" s="27" t="s">
        <v>8</v>
      </c>
      <c r="BR371" s="27" t="s">
        <v>7</v>
      </c>
      <c r="BS371" s="27" t="s">
        <v>8</v>
      </c>
      <c r="BT371" s="27" t="s">
        <v>7</v>
      </c>
      <c r="BW371" s="27" t="s">
        <v>8</v>
      </c>
      <c r="BX371" s="27" t="s">
        <v>7</v>
      </c>
      <c r="CP371" s="27" t="s">
        <v>7</v>
      </c>
    </row>
    <row r="372" spans="1:115" x14ac:dyDescent="0.25">
      <c r="A372" s="30">
        <v>1.595925164659294E-3</v>
      </c>
      <c r="B372"/>
      <c r="C372"/>
      <c r="D372"/>
      <c r="E372"/>
      <c r="F372" s="27" t="s">
        <v>7</v>
      </c>
      <c r="G372" s="27" t="s">
        <v>8</v>
      </c>
      <c r="H372" s="27" t="s">
        <v>7</v>
      </c>
      <c r="I372" s="27" t="s">
        <v>8</v>
      </c>
      <c r="J372" s="27" t="s">
        <v>7</v>
      </c>
      <c r="Q372" s="27" t="s">
        <v>8</v>
      </c>
      <c r="S372" s="27" t="s">
        <v>8</v>
      </c>
      <c r="T372" s="27" t="s">
        <v>7</v>
      </c>
      <c r="U372" s="27" t="s">
        <v>8</v>
      </c>
      <c r="V372" s="27" t="s">
        <v>7</v>
      </c>
      <c r="X372" s="27" t="s">
        <v>7</v>
      </c>
      <c r="AF372" s="27" t="s">
        <v>7</v>
      </c>
      <c r="AG372" s="27" t="s">
        <v>8</v>
      </c>
      <c r="AH372" s="27" t="s">
        <v>7</v>
      </c>
      <c r="AI372" s="27" t="s">
        <v>8</v>
      </c>
      <c r="AJ372" s="27" t="s">
        <v>7</v>
      </c>
      <c r="AK372" s="27" t="s">
        <v>8</v>
      </c>
      <c r="AP372" s="27" t="s">
        <v>7</v>
      </c>
      <c r="AQ372" s="27" t="s">
        <v>8</v>
      </c>
      <c r="AR372" s="27" t="s">
        <v>7</v>
      </c>
      <c r="BE372" s="27" t="s">
        <v>8</v>
      </c>
      <c r="BO372" s="27" t="s">
        <v>8</v>
      </c>
      <c r="BP372" s="27" t="s">
        <v>7</v>
      </c>
      <c r="BQ372" s="27" t="s">
        <v>8</v>
      </c>
      <c r="BR372" s="27" t="s">
        <v>7</v>
      </c>
      <c r="BT372" s="27" t="s">
        <v>7</v>
      </c>
      <c r="BU372" s="27" t="s">
        <v>8</v>
      </c>
      <c r="BW372" s="27" t="s">
        <v>8</v>
      </c>
    </row>
    <row r="373" spans="1:115" x14ac:dyDescent="0.25">
      <c r="A373" s="30">
        <v>1.5199287282469461E-3</v>
      </c>
      <c r="B373"/>
      <c r="C373"/>
      <c r="D373"/>
      <c r="E373"/>
      <c r="F373" s="27" t="s">
        <v>7</v>
      </c>
      <c r="G373" s="27" t="s">
        <v>8</v>
      </c>
      <c r="H373" s="27" t="s">
        <v>7</v>
      </c>
      <c r="I373" s="27" t="s">
        <v>8</v>
      </c>
      <c r="J373" s="27" t="s">
        <v>7</v>
      </c>
      <c r="Q373" s="27" t="s">
        <v>8</v>
      </c>
      <c r="R373" s="27" t="s">
        <v>7</v>
      </c>
      <c r="S373" s="27" t="s">
        <v>8</v>
      </c>
      <c r="T373" s="27" t="s">
        <v>7</v>
      </c>
      <c r="U373" s="27" t="s">
        <v>8</v>
      </c>
      <c r="AF373" s="27" t="s">
        <v>7</v>
      </c>
      <c r="AH373" s="27" t="s">
        <v>7</v>
      </c>
      <c r="AJ373" s="27" t="s">
        <v>7</v>
      </c>
      <c r="AK373" s="27" t="s">
        <v>8</v>
      </c>
      <c r="AP373" s="27" t="s">
        <v>7</v>
      </c>
      <c r="AR373" s="27" t="s">
        <v>7</v>
      </c>
      <c r="BE373" s="27" t="s">
        <v>8</v>
      </c>
      <c r="BF373" s="27" t="s">
        <v>7</v>
      </c>
      <c r="BM373" s="27" t="s">
        <v>8</v>
      </c>
      <c r="BO373" s="27" t="s">
        <v>8</v>
      </c>
      <c r="BP373" s="27" t="s">
        <v>7</v>
      </c>
      <c r="BQ373" s="27" t="s">
        <v>8</v>
      </c>
      <c r="BT373" s="27" t="s">
        <v>7</v>
      </c>
      <c r="BU373" s="27" t="s">
        <v>8</v>
      </c>
      <c r="BV373" s="27" t="s">
        <v>7</v>
      </c>
      <c r="BW373" s="27" t="s">
        <v>8</v>
      </c>
    </row>
    <row r="374" spans="1:115" x14ac:dyDescent="0.25">
      <c r="A374" s="30">
        <v>1.4475511697589958E-3</v>
      </c>
      <c r="B374"/>
      <c r="C374"/>
      <c r="D374"/>
      <c r="E374"/>
      <c r="F374" s="27" t="s">
        <v>7</v>
      </c>
      <c r="G374" s="27" t="s">
        <v>8</v>
      </c>
      <c r="H374" s="27" t="s">
        <v>7</v>
      </c>
      <c r="I374" s="27" t="s">
        <v>8</v>
      </c>
      <c r="J374" s="27" t="s">
        <v>7</v>
      </c>
      <c r="Q374" s="27" t="s">
        <v>8</v>
      </c>
      <c r="R374" s="27" t="s">
        <v>7</v>
      </c>
      <c r="S374" s="27" t="s">
        <v>8</v>
      </c>
      <c r="T374" s="27" t="s">
        <v>7</v>
      </c>
      <c r="U374" s="27" t="s">
        <v>8</v>
      </c>
      <c r="AJ374" s="27" t="s">
        <v>7</v>
      </c>
      <c r="AR374" s="27" t="s">
        <v>7</v>
      </c>
      <c r="BE374" s="27" t="s">
        <v>8</v>
      </c>
      <c r="BF374" s="27" t="s">
        <v>7</v>
      </c>
      <c r="BM374" s="27" t="s">
        <v>8</v>
      </c>
      <c r="BN374" s="27" t="s">
        <v>7</v>
      </c>
      <c r="BO374" s="27" t="s">
        <v>8</v>
      </c>
      <c r="BP374" s="27" t="s">
        <v>7</v>
      </c>
      <c r="BQ374" s="27" t="s">
        <v>8</v>
      </c>
      <c r="BT374" s="27" t="s">
        <v>7</v>
      </c>
      <c r="BU374" s="27" t="s">
        <v>8</v>
      </c>
      <c r="BV374" s="27" t="s">
        <v>7</v>
      </c>
      <c r="BW374" s="27" t="s">
        <v>8</v>
      </c>
    </row>
    <row r="375" spans="1:115" x14ac:dyDescent="0.25">
      <c r="A375" s="30">
        <v>1.3786201616752334E-3</v>
      </c>
      <c r="B375"/>
      <c r="C375"/>
      <c r="D375"/>
      <c r="E375"/>
      <c r="F375" s="27" t="s">
        <v>7</v>
      </c>
      <c r="G375" s="27" t="s">
        <v>8</v>
      </c>
      <c r="H375" s="27" t="s">
        <v>7</v>
      </c>
      <c r="J375" s="27" t="s">
        <v>7</v>
      </c>
      <c r="O375" s="27" t="s">
        <v>8</v>
      </c>
      <c r="Q375" s="27" t="s">
        <v>8</v>
      </c>
      <c r="R375" s="27" t="s">
        <v>7</v>
      </c>
      <c r="S375" s="27" t="s">
        <v>8</v>
      </c>
      <c r="T375" s="27" t="s">
        <v>7</v>
      </c>
      <c r="U375" s="27" t="s">
        <v>8</v>
      </c>
      <c r="AR375" s="27" t="s">
        <v>7</v>
      </c>
      <c r="BE375" s="27" t="s">
        <v>8</v>
      </c>
      <c r="BF375" s="27" t="s">
        <v>7</v>
      </c>
      <c r="BM375" s="27" t="s">
        <v>8</v>
      </c>
      <c r="BN375" s="27" t="s">
        <v>7</v>
      </c>
      <c r="BO375" s="27" t="s">
        <v>8</v>
      </c>
      <c r="BP375" s="27" t="s">
        <v>7</v>
      </c>
      <c r="BQ375" s="27" t="s">
        <v>8</v>
      </c>
      <c r="BT375" s="27" t="s">
        <v>7</v>
      </c>
      <c r="BV375" s="27" t="s">
        <v>7</v>
      </c>
      <c r="BW375" s="27" t="s">
        <v>8</v>
      </c>
    </row>
    <row r="376" spans="1:115" x14ac:dyDescent="0.25">
      <c r="A376" s="30">
        <v>1.3129715825478407E-3</v>
      </c>
      <c r="B376"/>
      <c r="C376"/>
      <c r="D376"/>
      <c r="E376"/>
      <c r="F376" s="27" t="s">
        <v>7</v>
      </c>
      <c r="J376" s="27" t="s">
        <v>7</v>
      </c>
      <c r="K376" s="27" t="s">
        <v>8</v>
      </c>
      <c r="M376" s="27" t="s">
        <v>8</v>
      </c>
      <c r="O376" s="27" t="s">
        <v>8</v>
      </c>
      <c r="P376" s="27" t="s">
        <v>7</v>
      </c>
      <c r="Q376" s="27" t="s">
        <v>8</v>
      </c>
      <c r="R376" s="27" t="s">
        <v>7</v>
      </c>
      <c r="S376" s="27" t="s">
        <v>8</v>
      </c>
      <c r="T376" s="27" t="s">
        <v>7</v>
      </c>
      <c r="AR376" s="27" t="s">
        <v>7</v>
      </c>
      <c r="BE376" s="27" t="s">
        <v>8</v>
      </c>
      <c r="BF376" s="27" t="s">
        <v>7</v>
      </c>
      <c r="BG376" s="27" t="s">
        <v>8</v>
      </c>
      <c r="BM376" s="27" t="s">
        <v>8</v>
      </c>
      <c r="BN376" s="27" t="s">
        <v>7</v>
      </c>
      <c r="BO376" s="27" t="s">
        <v>8</v>
      </c>
      <c r="BP376" s="27" t="s">
        <v>7</v>
      </c>
      <c r="BV376" s="27" t="s">
        <v>7</v>
      </c>
      <c r="BW376" s="27" t="s">
        <v>8</v>
      </c>
    </row>
    <row r="377" spans="1:115" x14ac:dyDescent="0.25">
      <c r="A377" s="30">
        <v>1.2504491262360382E-3</v>
      </c>
      <c r="B377"/>
      <c r="C377"/>
      <c r="D377"/>
      <c r="E377"/>
      <c r="J377" s="27" t="s">
        <v>7</v>
      </c>
      <c r="K377" s="27" t="s">
        <v>8</v>
      </c>
      <c r="L377" s="27" t="s">
        <v>7</v>
      </c>
      <c r="M377" s="27" t="s">
        <v>8</v>
      </c>
      <c r="N377" s="27" t="s">
        <v>7</v>
      </c>
      <c r="O377" s="27" t="s">
        <v>8</v>
      </c>
      <c r="P377" s="27" t="s">
        <v>7</v>
      </c>
      <c r="Q377" s="27" t="s">
        <v>8</v>
      </c>
      <c r="R377" s="27" t="s">
        <v>7</v>
      </c>
      <c r="S377" s="27" t="s">
        <v>8</v>
      </c>
      <c r="AR377" s="27" t="s">
        <v>7</v>
      </c>
      <c r="BE377" s="27" t="s">
        <v>8</v>
      </c>
      <c r="BF377" s="27" t="s">
        <v>7</v>
      </c>
      <c r="BG377" s="27" t="s">
        <v>8</v>
      </c>
      <c r="BH377" s="27" t="s">
        <v>7</v>
      </c>
      <c r="BM377" s="27" t="s">
        <v>8</v>
      </c>
      <c r="BN377" s="27" t="s">
        <v>7</v>
      </c>
      <c r="BO377" s="27" t="s">
        <v>8</v>
      </c>
      <c r="BV377" s="27" t="s">
        <v>7</v>
      </c>
    </row>
    <row r="378" spans="1:115" x14ac:dyDescent="0.25">
      <c r="A378" s="30">
        <v>1.1909039297486072E-3</v>
      </c>
      <c r="B378"/>
      <c r="C378"/>
      <c r="D378"/>
      <c r="E378"/>
      <c r="J378" s="27" t="s">
        <v>7</v>
      </c>
      <c r="K378" s="27" t="s">
        <v>8</v>
      </c>
      <c r="L378" s="27" t="s">
        <v>7</v>
      </c>
      <c r="M378" s="27" t="s">
        <v>8</v>
      </c>
      <c r="N378" s="27" t="s">
        <v>7</v>
      </c>
      <c r="O378" s="27" t="s">
        <v>8</v>
      </c>
      <c r="P378" s="27" t="s">
        <v>7</v>
      </c>
      <c r="R378" s="27" t="s">
        <v>7</v>
      </c>
      <c r="AR378" s="27" t="s">
        <v>7</v>
      </c>
      <c r="BE378" s="27" t="s">
        <v>8</v>
      </c>
      <c r="BF378" s="27" t="s">
        <v>7</v>
      </c>
      <c r="BG378" s="27" t="s">
        <v>8</v>
      </c>
      <c r="BH378" s="27" t="s">
        <v>7</v>
      </c>
      <c r="BI378" s="27" t="s">
        <v>8</v>
      </c>
      <c r="BM378" s="27" t="s">
        <v>8</v>
      </c>
      <c r="BN378" s="27" t="s">
        <v>7</v>
      </c>
      <c r="BO378" s="27" t="s">
        <v>8</v>
      </c>
    </row>
    <row r="379" spans="1:115" x14ac:dyDescent="0.25">
      <c r="A379" s="30">
        <v>1.1341942188081969E-3</v>
      </c>
      <c r="B379"/>
      <c r="C379"/>
      <c r="D379"/>
      <c r="E379"/>
      <c r="J379" s="27" t="s">
        <v>7</v>
      </c>
      <c r="K379" s="27" t="s">
        <v>8</v>
      </c>
      <c r="L379" s="27" t="s">
        <v>7</v>
      </c>
      <c r="N379" s="27" t="s">
        <v>7</v>
      </c>
      <c r="O379" s="27" t="s">
        <v>8</v>
      </c>
      <c r="AR379" s="27" t="s">
        <v>7</v>
      </c>
      <c r="BE379" s="27" t="s">
        <v>8</v>
      </c>
      <c r="BF379" s="27" t="s">
        <v>7</v>
      </c>
      <c r="BG379" s="27" t="s">
        <v>8</v>
      </c>
      <c r="BH379" s="27" t="s">
        <v>7</v>
      </c>
      <c r="BI379" s="27" t="s">
        <v>8</v>
      </c>
      <c r="BJ379" s="27" t="s">
        <v>7</v>
      </c>
      <c r="BK379" s="27" t="s">
        <v>8</v>
      </c>
      <c r="BM379" s="27" t="s">
        <v>8</v>
      </c>
      <c r="BN379" s="27" t="s">
        <v>7</v>
      </c>
      <c r="BO379" s="27" t="s">
        <v>8</v>
      </c>
    </row>
    <row r="380" spans="1:115" x14ac:dyDescent="0.25">
      <c r="A380" s="30">
        <v>1.0801849702935203E-3</v>
      </c>
      <c r="B380"/>
      <c r="C380"/>
      <c r="D380"/>
      <c r="E380"/>
      <c r="J380" s="27" t="s">
        <v>7</v>
      </c>
      <c r="N380" s="27" t="s">
        <v>7</v>
      </c>
      <c r="AR380" s="27" t="s">
        <v>7</v>
      </c>
      <c r="BE380" s="27" t="s">
        <v>8</v>
      </c>
      <c r="BF380" s="27" t="s">
        <v>7</v>
      </c>
      <c r="BG380" s="27" t="s">
        <v>8</v>
      </c>
      <c r="BH380" s="27" t="s">
        <v>7</v>
      </c>
      <c r="BI380" s="27" t="s">
        <v>8</v>
      </c>
      <c r="BJ380" s="27" t="s">
        <v>7</v>
      </c>
      <c r="BK380" s="27" t="s">
        <v>8</v>
      </c>
      <c r="BL380" s="27" t="s">
        <v>7</v>
      </c>
      <c r="BM380" s="27" t="s">
        <v>8</v>
      </c>
      <c r="BN380" s="27" t="s">
        <v>7</v>
      </c>
      <c r="BO380" s="27" t="s">
        <v>8</v>
      </c>
    </row>
    <row r="381" spans="1:115" x14ac:dyDescent="0.25">
      <c r="A381" s="30">
        <v>1.0287475907557332E-3</v>
      </c>
      <c r="B381"/>
      <c r="C381"/>
      <c r="D381"/>
      <c r="E381"/>
      <c r="AR381" s="27" t="s">
        <v>7</v>
      </c>
      <c r="AW381" s="27" t="s">
        <v>8</v>
      </c>
      <c r="AY381" s="27" t="s">
        <v>8</v>
      </c>
      <c r="BA381" s="27" t="s">
        <v>8</v>
      </c>
      <c r="BE381" s="27" t="s">
        <v>8</v>
      </c>
      <c r="BF381" s="27" t="s">
        <v>7</v>
      </c>
      <c r="BG381" s="27" t="s">
        <v>8</v>
      </c>
      <c r="BH381" s="27" t="s">
        <v>7</v>
      </c>
      <c r="BI381" s="27" t="s">
        <v>8</v>
      </c>
      <c r="BJ381" s="27" t="s">
        <v>7</v>
      </c>
      <c r="BK381" s="27" t="s">
        <v>8</v>
      </c>
      <c r="BL381" s="27" t="s">
        <v>7</v>
      </c>
      <c r="BM381" s="27" t="s">
        <v>8</v>
      </c>
      <c r="BN381" s="27" t="s">
        <v>7</v>
      </c>
    </row>
    <row r="382" spans="1:115" x14ac:dyDescent="0.25">
      <c r="A382" s="30">
        <v>9.7731021121794646E-4</v>
      </c>
      <c r="AR382" s="27" t="s">
        <v>7</v>
      </c>
      <c r="AW382" s="27" t="s">
        <v>8</v>
      </c>
      <c r="AX382" s="27" t="s">
        <v>7</v>
      </c>
      <c r="AY382" s="27" t="s">
        <v>8</v>
      </c>
      <c r="AZ382" s="27" t="s">
        <v>7</v>
      </c>
      <c r="BA382" s="27" t="s">
        <v>8</v>
      </c>
      <c r="BB382" s="27" t="s">
        <v>7</v>
      </c>
      <c r="BE382" s="27" t="s">
        <v>8</v>
      </c>
      <c r="BF382" s="27" t="s">
        <v>7</v>
      </c>
      <c r="BG382" s="27" t="s">
        <v>8</v>
      </c>
      <c r="BH382" s="27" t="s">
        <v>7</v>
      </c>
      <c r="BI382" s="27" t="s">
        <v>8</v>
      </c>
      <c r="BJ382" s="27" t="s">
        <v>7</v>
      </c>
      <c r="BK382" s="27" t="s">
        <v>8</v>
      </c>
      <c r="BL382" s="27" t="s">
        <v>7</v>
      </c>
    </row>
    <row r="383" spans="1:115" x14ac:dyDescent="0.25">
      <c r="A383" s="30">
        <v>9.2844470065704904E-4</v>
      </c>
      <c r="AR383" s="27" t="s">
        <v>7</v>
      </c>
      <c r="AS383" s="27" t="s">
        <v>8</v>
      </c>
      <c r="AW383" s="27" t="s">
        <v>8</v>
      </c>
      <c r="AX383" s="27" t="s">
        <v>7</v>
      </c>
      <c r="AY383" s="27" t="s">
        <v>8</v>
      </c>
      <c r="AZ383" s="27" t="s">
        <v>7</v>
      </c>
      <c r="BA383" s="27" t="s">
        <v>8</v>
      </c>
      <c r="BB383" s="27" t="s">
        <v>7</v>
      </c>
      <c r="BE383" s="27" t="s">
        <v>8</v>
      </c>
      <c r="BF383" s="27" t="s">
        <v>7</v>
      </c>
      <c r="BH383" s="27" t="s">
        <v>7</v>
      </c>
      <c r="BI383" s="27" t="s">
        <v>8</v>
      </c>
      <c r="BJ383" s="27" t="s">
        <v>7</v>
      </c>
    </row>
    <row r="384" spans="1:115" x14ac:dyDescent="0.25">
      <c r="A384" s="30">
        <v>8.8202246562419653E-4</v>
      </c>
      <c r="AR384" s="27" t="s">
        <v>7</v>
      </c>
      <c r="AS384" s="27" t="s">
        <v>8</v>
      </c>
      <c r="AT384" s="27" t="s">
        <v>7</v>
      </c>
      <c r="AU384" s="27" t="s">
        <v>8</v>
      </c>
      <c r="AW384" s="27" t="s">
        <v>8</v>
      </c>
      <c r="AX384" s="27" t="s">
        <v>7</v>
      </c>
      <c r="AY384" s="27" t="s">
        <v>8</v>
      </c>
      <c r="AZ384" s="27" t="s">
        <v>7</v>
      </c>
      <c r="BB384" s="27" t="s">
        <v>7</v>
      </c>
      <c r="BE384" s="27" t="s">
        <v>8</v>
      </c>
      <c r="BH384" s="27" t="s">
        <v>7</v>
      </c>
    </row>
    <row r="385" spans="1:57" x14ac:dyDescent="0.25">
      <c r="A385" s="30">
        <v>8.3792134234298668E-4</v>
      </c>
      <c r="AR385" s="27" t="s">
        <v>7</v>
      </c>
      <c r="AS385" s="27" t="s">
        <v>8</v>
      </c>
      <c r="AT385" s="27" t="s">
        <v>7</v>
      </c>
      <c r="AU385" s="27" t="s">
        <v>8</v>
      </c>
      <c r="AV385" s="27" t="s">
        <v>7</v>
      </c>
      <c r="AW385" s="27" t="s">
        <v>8</v>
      </c>
      <c r="AX385" s="27" t="s">
        <v>7</v>
      </c>
      <c r="AY385" s="27" t="s">
        <v>8</v>
      </c>
      <c r="BB385" s="27" t="s">
        <v>7</v>
      </c>
      <c r="BE385" s="27" t="s">
        <v>8</v>
      </c>
    </row>
    <row r="386" spans="1:57" x14ac:dyDescent="0.25">
      <c r="A386" s="30">
        <v>7.9602527522583736E-4</v>
      </c>
      <c r="AR386" s="27" t="s">
        <v>7</v>
      </c>
      <c r="AS386" s="27" t="s">
        <v>8</v>
      </c>
      <c r="AT386" s="27" t="s">
        <v>7</v>
      </c>
      <c r="AU386" s="27" t="s">
        <v>8</v>
      </c>
      <c r="AV386" s="27" t="s">
        <v>7</v>
      </c>
      <c r="AW386" s="27" t="s">
        <v>8</v>
      </c>
      <c r="AX386" s="27" t="s">
        <v>7</v>
      </c>
      <c r="AY386" s="27" t="s">
        <v>8</v>
      </c>
      <c r="BB386" s="27" t="s">
        <v>7</v>
      </c>
      <c r="BE386" s="27" t="s">
        <v>8</v>
      </c>
    </row>
    <row r="387" spans="1:57" x14ac:dyDescent="0.25">
      <c r="A387" s="30">
        <v>7.5622401146454546E-4</v>
      </c>
      <c r="AR387" s="27" t="s">
        <v>7</v>
      </c>
      <c r="AS387" s="27" t="s">
        <v>8</v>
      </c>
      <c r="AT387" s="27" t="s">
        <v>7</v>
      </c>
      <c r="AU387" s="27" t="s">
        <v>8</v>
      </c>
      <c r="AV387" s="27" t="s">
        <v>7</v>
      </c>
      <c r="AX387" s="27" t="s">
        <v>7</v>
      </c>
      <c r="AY387" s="27" t="s">
        <v>8</v>
      </c>
      <c r="BB387" s="27" t="s">
        <v>7</v>
      </c>
      <c r="BE387" s="27" t="s">
        <v>8</v>
      </c>
    </row>
    <row r="388" spans="1:57" x14ac:dyDescent="0.25">
      <c r="A388" s="30">
        <v>7.1841281089131816E-4</v>
      </c>
      <c r="AR388" s="27" t="s">
        <v>7</v>
      </c>
      <c r="AS388" s="27" t="s">
        <v>8</v>
      </c>
      <c r="AT388" s="27" t="s">
        <v>7</v>
      </c>
      <c r="AU388" s="27" t="s">
        <v>8</v>
      </c>
      <c r="AX388" s="27" t="s">
        <v>7</v>
      </c>
      <c r="BB388" s="27" t="s">
        <v>7</v>
      </c>
      <c r="BE388" s="27" t="s">
        <v>8</v>
      </c>
    </row>
    <row r="389" spans="1:57" x14ac:dyDescent="0.25">
      <c r="A389" s="30">
        <v>6.8249217034675226E-4</v>
      </c>
      <c r="AR389" s="27" t="s">
        <v>7</v>
      </c>
      <c r="AS389" s="27" t="s">
        <v>8</v>
      </c>
      <c r="AT389" s="27" t="s">
        <v>7</v>
      </c>
      <c r="BB389" s="27" t="s">
        <v>7</v>
      </c>
      <c r="BC389" s="27" t="s">
        <v>8</v>
      </c>
      <c r="BE389" s="27" t="s">
        <v>8</v>
      </c>
    </row>
    <row r="390" spans="1:57" x14ac:dyDescent="0.25">
      <c r="A390" s="30">
        <v>6.4836756182941465E-4</v>
      </c>
      <c r="AR390" s="27" t="s">
        <v>7</v>
      </c>
      <c r="AS390" s="27" t="s">
        <v>8</v>
      </c>
      <c r="BB390" s="27" t="s">
        <v>7</v>
      </c>
      <c r="BC390" s="27" t="s">
        <v>8</v>
      </c>
      <c r="BD390" s="27" t="s">
        <v>7</v>
      </c>
      <c r="BE390" s="27" t="s">
        <v>8</v>
      </c>
    </row>
    <row r="391" spans="1:57" x14ac:dyDescent="0.25">
      <c r="A391" s="30">
        <v>6.1594918373794388E-4</v>
      </c>
      <c r="AR391" s="27" t="s">
        <v>7</v>
      </c>
      <c r="AS391" s="27" t="s">
        <v>8</v>
      </c>
      <c r="BB391" s="27" t="s">
        <v>7</v>
      </c>
      <c r="BC391" s="27" t="s">
        <v>8</v>
      </c>
      <c r="BD391" s="27" t="s">
        <v>7</v>
      </c>
      <c r="BE391" s="27" t="s">
        <v>8</v>
      </c>
    </row>
    <row r="392" spans="1:57" x14ac:dyDescent="0.25">
      <c r="A392" s="30">
        <v>5.8515172455104666E-4</v>
      </c>
      <c r="AR392" s="27" t="s">
        <v>7</v>
      </c>
      <c r="AS392" s="27" t="s">
        <v>8</v>
      </c>
      <c r="BB392" s="27" t="s">
        <v>7</v>
      </c>
      <c r="BC392" s="27" t="s">
        <v>8</v>
      </c>
      <c r="BD392" s="27" t="s">
        <v>7</v>
      </c>
    </row>
    <row r="393" spans="1:57" x14ac:dyDescent="0.25">
      <c r="A393" s="30">
        <v>5.5589413832349429E-4</v>
      </c>
      <c r="AR393" s="27" t="s">
        <v>7</v>
      </c>
      <c r="AS393" s="27" t="s">
        <v>8</v>
      </c>
      <c r="BB393" s="27" t="s">
        <v>7</v>
      </c>
    </row>
    <row r="394" spans="1:57" x14ac:dyDescent="0.25">
      <c r="A394" s="30">
        <v>5.2809943140731956E-4</v>
      </c>
      <c r="AR394" s="27" t="s">
        <v>7</v>
      </c>
    </row>
    <row r="395" spans="1:57" x14ac:dyDescent="0.25">
      <c r="A395" s="30">
        <v>5.0169445983695357E-4</v>
      </c>
    </row>
    <row r="396" spans="1:57" x14ac:dyDescent="0.25">
      <c r="A396" s="30">
        <v>4.7660973684510589E-4</v>
      </c>
    </row>
    <row r="397" spans="1:57" x14ac:dyDescent="0.25">
      <c r="A397" s="30">
        <v>4.5277925000285056E-4</v>
      </c>
    </row>
    <row r="398" spans="1:57" x14ac:dyDescent="0.25">
      <c r="A398" s="30">
        <v>4.3014028750270803E-4</v>
      </c>
    </row>
    <row r="399" spans="1:57" x14ac:dyDescent="0.25">
      <c r="A399" s="30">
        <v>4.0863327312757263E-4</v>
      </c>
    </row>
    <row r="400" spans="1:57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5" operator="equal">
      <formula>$U$1</formula>
    </cfRule>
    <cfRule type="cellIs" dxfId="67" priority="1306" operator="equal">
      <formula>$S$1</formula>
    </cfRule>
  </conditionalFormatting>
  <conditionalFormatting sqref="D136">
    <cfRule type="cellIs" dxfId="66" priority="1303" operator="equal">
      <formula>$S$1</formula>
    </cfRule>
    <cfRule type="cellIs" dxfId="65" priority="1304" operator="equal">
      <formula>$U$1</formula>
    </cfRule>
  </conditionalFormatting>
  <conditionalFormatting sqref="C162">
    <cfRule type="cellIs" dxfId="64" priority="1301" operator="equal">
      <formula>$U$1</formula>
    </cfRule>
    <cfRule type="cellIs" dxfId="63" priority="1302" operator="equal">
      <formula>$S$1</formula>
    </cfRule>
  </conditionalFormatting>
  <conditionalFormatting sqref="D162">
    <cfRule type="cellIs" dxfId="62" priority="1299" operator="equal">
      <formula>$S$1</formula>
    </cfRule>
    <cfRule type="cellIs" dxfId="61" priority="1300" operator="equal">
      <formula>$U$1</formula>
    </cfRule>
  </conditionalFormatting>
  <conditionalFormatting sqref="C187">
    <cfRule type="cellIs" dxfId="60" priority="1297" operator="equal">
      <formula>$U$1</formula>
    </cfRule>
    <cfRule type="cellIs" dxfId="59" priority="1298" operator="equal">
      <formula>$S$1</formula>
    </cfRule>
  </conditionalFormatting>
  <conditionalFormatting sqref="D187">
    <cfRule type="cellIs" dxfId="58" priority="1295" operator="equal">
      <formula>$S$1</formula>
    </cfRule>
    <cfRule type="cellIs" dxfId="57" priority="1296" operator="equal">
      <formula>$U$1</formula>
    </cfRule>
  </conditionalFormatting>
  <conditionalFormatting sqref="C212">
    <cfRule type="cellIs" dxfId="56" priority="1293" operator="equal">
      <formula>$U$1</formula>
    </cfRule>
    <cfRule type="cellIs" dxfId="55" priority="1294" operator="equal">
      <formula>$S$1</formula>
    </cfRule>
  </conditionalFormatting>
  <conditionalFormatting sqref="D212">
    <cfRule type="cellIs" dxfId="54" priority="1291" operator="equal">
      <formula>$S$1</formula>
    </cfRule>
    <cfRule type="cellIs" dxfId="53" priority="1292" operator="equal">
      <formula>$U$1</formula>
    </cfRule>
  </conditionalFormatting>
  <conditionalFormatting sqref="C237">
    <cfRule type="cellIs" dxfId="52" priority="1289" operator="equal">
      <formula>$U$1</formula>
    </cfRule>
    <cfRule type="cellIs" dxfId="51" priority="1290" operator="equal">
      <formula>$S$1</formula>
    </cfRule>
  </conditionalFormatting>
  <conditionalFormatting sqref="D237">
    <cfRule type="cellIs" dxfId="50" priority="1287" operator="equal">
      <formula>$S$1</formula>
    </cfRule>
    <cfRule type="cellIs" dxfId="49" priority="1288" operator="equal">
      <formula>$U$1</formula>
    </cfRule>
  </conditionalFormatting>
  <conditionalFormatting sqref="C106">
    <cfRule type="cellIs" dxfId="48" priority="1285" operator="equal">
      <formula>$U$1</formula>
    </cfRule>
    <cfRule type="cellIs" dxfId="47" priority="1286" operator="equal">
      <formula>$S$1</formula>
    </cfRule>
  </conditionalFormatting>
  <conditionalFormatting sqref="D106">
    <cfRule type="cellIs" dxfId="46" priority="1283" operator="equal">
      <formula>$S$1</formula>
    </cfRule>
    <cfRule type="cellIs" dxfId="45" priority="1284" operator="equal">
      <formula>$U$1</formula>
    </cfRule>
  </conditionalFormatting>
  <conditionalFormatting sqref="C81">
    <cfRule type="cellIs" dxfId="44" priority="1281" operator="equal">
      <formula>$U$1</formula>
    </cfRule>
    <cfRule type="cellIs" dxfId="43" priority="1282" operator="equal">
      <formula>$S$1</formula>
    </cfRule>
  </conditionalFormatting>
  <conditionalFormatting sqref="D81">
    <cfRule type="cellIs" dxfId="42" priority="1279" operator="equal">
      <formula>$S$1</formula>
    </cfRule>
    <cfRule type="cellIs" dxfId="41" priority="1280" operator="equal">
      <formula>$U$1</formula>
    </cfRule>
  </conditionalFormatting>
  <conditionalFormatting sqref="C56">
    <cfRule type="cellIs" dxfId="40" priority="1277" operator="equal">
      <formula>$U$1</formula>
    </cfRule>
    <cfRule type="cellIs" dxfId="39" priority="1278" operator="equal">
      <formula>$S$1</formula>
    </cfRule>
  </conditionalFormatting>
  <conditionalFormatting sqref="D56">
    <cfRule type="cellIs" dxfId="38" priority="1275" operator="equal">
      <formula>$S$1</formula>
    </cfRule>
    <cfRule type="cellIs" dxfId="37" priority="1276" operator="equal">
      <formula>$U$1</formula>
    </cfRule>
  </conditionalFormatting>
  <conditionalFormatting sqref="C31">
    <cfRule type="cellIs" dxfId="36" priority="1273" operator="equal">
      <formula>$U$1</formula>
    </cfRule>
    <cfRule type="cellIs" dxfId="35" priority="1274" operator="equal">
      <formula>$S$1</formula>
    </cfRule>
  </conditionalFormatting>
  <conditionalFormatting sqref="D31">
    <cfRule type="cellIs" dxfId="34" priority="1271" operator="equal">
      <formula>$S$1</formula>
    </cfRule>
    <cfRule type="cellIs" dxfId="33" priority="12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CZ175" sqref="CZ17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$A$174</v>
      </c>
      <c r="D111" s="1" t="str">
        <f>ADDRESS(C121-1,D121,1,1)</f>
        <v>$CZ$174</v>
      </c>
      <c r="E111"/>
    </row>
    <row r="112" spans="1:5" x14ac:dyDescent="0.25">
      <c r="A112" s="30">
        <v>2.3579476910000019</v>
      </c>
      <c r="C112" s="1" t="str">
        <f>ADDRESS(C121,1,1,1)</f>
        <v>$A$175</v>
      </c>
      <c r="D112" s="1" t="str">
        <f>ADDRESS(C121,D121-1,1,1)</f>
        <v>$CY$175</v>
      </c>
      <c r="E112"/>
    </row>
    <row r="113" spans="1:6" x14ac:dyDescent="0.25">
      <c r="A113" s="30">
        <v>2.1435888100000016</v>
      </c>
      <c r="C113" s="1" t="str">
        <f>ADDRESS(C121+1,1,1,1)</f>
        <v>$A$176</v>
      </c>
      <c r="D113" s="1" t="str">
        <f>ADDRESS(C121-1,D121+1,1,1)</f>
        <v>$DA$174</v>
      </c>
    </row>
    <row r="114" spans="1:6" x14ac:dyDescent="0.25">
      <c r="A114" s="30">
        <v>1.9487171000000014</v>
      </c>
      <c r="C114" s="1" t="str">
        <f>ADDRESS(C121,D121,1,1)</f>
        <v>$CZ$175</v>
      </c>
      <c r="D114" s="1" t="str">
        <f>ADDRESS(C121+1,D121+1,1,1)</f>
        <v>$DA$176</v>
      </c>
    </row>
    <row r="115" spans="1:6" x14ac:dyDescent="0.25">
      <c r="A115" s="30">
        <v>1.7715610000000011</v>
      </c>
      <c r="C115" s="1" t="str">
        <f>ADDRESS(C121+1,D121,1,1)</f>
        <v>$CZ$176</v>
      </c>
    </row>
    <row r="116" spans="1:6" x14ac:dyDescent="0.25">
      <c r="A116" s="30">
        <v>1.6105100000000008</v>
      </c>
      <c r="C116" s="1">
        <f>C117-1</f>
        <v>174</v>
      </c>
    </row>
    <row r="117" spans="1:6" x14ac:dyDescent="0.25">
      <c r="A117" s="30">
        <v>1.4641000000000006</v>
      </c>
      <c r="C117" s="1">
        <f>C121</f>
        <v>175</v>
      </c>
      <c r="D117" s="1">
        <f>D121</f>
        <v>104</v>
      </c>
    </row>
    <row r="118" spans="1:6" x14ac:dyDescent="0.25">
      <c r="A118" s="30">
        <v>1.3310000000000004</v>
      </c>
      <c r="C118" s="1">
        <f>C117+1</f>
        <v>176</v>
      </c>
      <c r="D118" s="1">
        <f>D117+1</f>
        <v>105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175</v>
      </c>
      <c r="D121" s="19">
        <v>104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R175</v>
      </c>
      <c r="D123" s="1" t="str">
        <f>"C"&amp;D121</f>
        <v>C104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5.8182851441162305E-3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97" x14ac:dyDescent="0.25">
      <c r="A145" s="30">
        <v>0.10152559799477026</v>
      </c>
      <c r="B145"/>
      <c r="C145"/>
      <c r="D145"/>
      <c r="E145"/>
      <c r="F145" s="27" t="s">
        <v>7</v>
      </c>
    </row>
    <row r="146" spans="1:97" x14ac:dyDescent="0.25">
      <c r="A146" s="30">
        <v>9.2295998177063854E-2</v>
      </c>
      <c r="B146"/>
      <c r="C146"/>
      <c r="D146"/>
      <c r="E146"/>
      <c r="F146" s="27" t="s">
        <v>7</v>
      </c>
    </row>
    <row r="147" spans="1:97" x14ac:dyDescent="0.25">
      <c r="A147" s="30">
        <v>8.3905452888239848E-2</v>
      </c>
      <c r="B147"/>
      <c r="C147"/>
      <c r="D147"/>
      <c r="E147"/>
      <c r="F147" s="27" t="s">
        <v>7</v>
      </c>
    </row>
    <row r="148" spans="1:97" x14ac:dyDescent="0.25">
      <c r="A148" s="30">
        <v>7.6277684443854396E-2</v>
      </c>
      <c r="B148"/>
      <c r="C148"/>
      <c r="D148"/>
      <c r="E148"/>
      <c r="F148" s="27" t="s">
        <v>7</v>
      </c>
    </row>
    <row r="149" spans="1:97" x14ac:dyDescent="0.25">
      <c r="A149" s="30">
        <v>6.9343349494413078E-2</v>
      </c>
      <c r="B149"/>
      <c r="C149"/>
      <c r="D149"/>
      <c r="E149"/>
      <c r="F149" s="27" t="s">
        <v>7</v>
      </c>
    </row>
    <row r="150" spans="1:97" x14ac:dyDescent="0.25">
      <c r="A150" s="30">
        <v>6.3039408631284613E-2</v>
      </c>
      <c r="B150"/>
      <c r="C150"/>
      <c r="D150"/>
      <c r="E150"/>
      <c r="F150" s="27" t="s">
        <v>7</v>
      </c>
    </row>
    <row r="151" spans="1:97" x14ac:dyDescent="0.25">
      <c r="A151" s="30">
        <v>5.7308553301167818E-2</v>
      </c>
      <c r="B151"/>
      <c r="C151"/>
      <c r="D151"/>
      <c r="E151"/>
      <c r="F151" s="27" t="s">
        <v>7</v>
      </c>
    </row>
    <row r="152" spans="1:97" x14ac:dyDescent="0.25">
      <c r="A152" s="30">
        <v>5.2098684819243464E-2</v>
      </c>
      <c r="B152"/>
      <c r="C152"/>
      <c r="D152"/>
      <c r="E152"/>
      <c r="F152" s="27" t="s">
        <v>7</v>
      </c>
    </row>
    <row r="153" spans="1:97" x14ac:dyDescent="0.25">
      <c r="A153" s="30">
        <v>4.7362440744766775E-2</v>
      </c>
      <c r="B153"/>
      <c r="C153"/>
      <c r="D153"/>
      <c r="E153"/>
      <c r="F153" s="27" t="s">
        <v>7</v>
      </c>
    </row>
    <row r="154" spans="1:97" x14ac:dyDescent="0.25">
      <c r="A154" s="30">
        <v>4.3056764313424332E-2</v>
      </c>
      <c r="B154"/>
      <c r="C154"/>
      <c r="D154"/>
      <c r="E154"/>
      <c r="F154" s="27" t="s">
        <v>7</v>
      </c>
    </row>
    <row r="155" spans="1:97" x14ac:dyDescent="0.25">
      <c r="A155" s="30">
        <v>3.9142513012203929E-2</v>
      </c>
      <c r="B155"/>
      <c r="C155"/>
      <c r="D155"/>
      <c r="E155"/>
      <c r="F155" s="27" t="s">
        <v>7</v>
      </c>
    </row>
    <row r="156" spans="1:97" x14ac:dyDescent="0.25">
      <c r="A156" s="30">
        <v>3.55841027383672E-2</v>
      </c>
      <c r="B156"/>
      <c r="C156"/>
      <c r="D156"/>
      <c r="E156"/>
      <c r="F156" s="27" t="s">
        <v>7</v>
      </c>
    </row>
    <row r="157" spans="1:97" x14ac:dyDescent="0.25">
      <c r="A157" s="30">
        <v>3.2349184307606541E-2</v>
      </c>
      <c r="B157"/>
      <c r="C157"/>
      <c r="D157"/>
      <c r="E157"/>
      <c r="F157" s="27" t="s">
        <v>7</v>
      </c>
      <c r="BO157" s="27" t="s">
        <v>8</v>
      </c>
    </row>
    <row r="158" spans="1:97" x14ac:dyDescent="0.25">
      <c r="A158" s="30">
        <v>2.9408349370551395E-2</v>
      </c>
      <c r="B158"/>
      <c r="C158"/>
      <c r="D158"/>
      <c r="E158"/>
      <c r="F158" s="27" t="s">
        <v>7</v>
      </c>
      <c r="BM158" s="27" t="s">
        <v>8</v>
      </c>
      <c r="BO158" s="27" t="s">
        <v>8</v>
      </c>
      <c r="BP158" s="27" t="s">
        <v>7</v>
      </c>
    </row>
    <row r="159" spans="1:97" x14ac:dyDescent="0.25">
      <c r="A159" s="30">
        <v>2.6734863064137627E-2</v>
      </c>
      <c r="B159"/>
      <c r="C159"/>
      <c r="D159"/>
      <c r="E159"/>
      <c r="F159" s="27" t="s">
        <v>7</v>
      </c>
      <c r="BM159" s="27" t="s">
        <v>8</v>
      </c>
      <c r="BN159" s="27" t="s">
        <v>7</v>
      </c>
      <c r="BO159" s="27" t="s">
        <v>8</v>
      </c>
      <c r="BP159" s="27" t="s">
        <v>7</v>
      </c>
    </row>
    <row r="160" spans="1:97" x14ac:dyDescent="0.25">
      <c r="A160" s="30">
        <v>2.4304420967397839E-2</v>
      </c>
      <c r="B160"/>
      <c r="C160"/>
      <c r="D160"/>
      <c r="E160"/>
      <c r="F160" s="27" t="s">
        <v>7</v>
      </c>
      <c r="BM160" s="27" t="s">
        <v>8</v>
      </c>
      <c r="BN160" s="27" t="s">
        <v>7</v>
      </c>
      <c r="BO160" s="27" t="s">
        <v>8</v>
      </c>
      <c r="BP160" s="27" t="s">
        <v>7</v>
      </c>
      <c r="BS160" s="27" t="s">
        <v>8</v>
      </c>
      <c r="CS160" s="27" t="s">
        <v>8</v>
      </c>
    </row>
    <row r="161" spans="1:104" x14ac:dyDescent="0.25">
      <c r="A161" s="30">
        <v>2.2094928152179852E-2</v>
      </c>
      <c r="B161"/>
      <c r="C161"/>
      <c r="D161"/>
      <c r="E161"/>
      <c r="F161" s="27" t="s">
        <v>7</v>
      </c>
      <c r="BM161" s="27" t="s">
        <v>8</v>
      </c>
      <c r="BN161" s="27" t="s">
        <v>7</v>
      </c>
      <c r="BO161" s="27" t="s">
        <v>8</v>
      </c>
      <c r="BP161" s="27" t="s">
        <v>7</v>
      </c>
      <c r="BS161" s="27" t="s">
        <v>8</v>
      </c>
      <c r="BT161" s="27" t="s">
        <v>7</v>
      </c>
      <c r="CS161" s="27" t="s">
        <v>8</v>
      </c>
      <c r="CT161" s="27" t="s">
        <v>7</v>
      </c>
      <c r="CW161" s="27" t="s">
        <v>8</v>
      </c>
    </row>
    <row r="162" spans="1:104" x14ac:dyDescent="0.25">
      <c r="A162" s="30">
        <v>2.0086298320163499E-2</v>
      </c>
      <c r="B162"/>
      <c r="C162"/>
      <c r="D162"/>
      <c r="E162"/>
      <c r="F162" s="27" t="s">
        <v>7</v>
      </c>
      <c r="BM162" s="27" t="s">
        <v>8</v>
      </c>
      <c r="BN162" s="27" t="s">
        <v>7</v>
      </c>
      <c r="BP162" s="27" t="s">
        <v>7</v>
      </c>
      <c r="BQ162" s="27" t="s">
        <v>8</v>
      </c>
      <c r="BS162" s="27" t="s">
        <v>8</v>
      </c>
      <c r="BT162" s="27" t="s">
        <v>7</v>
      </c>
      <c r="CS162" s="27" t="s">
        <v>8</v>
      </c>
      <c r="CT162" s="27" t="s">
        <v>7</v>
      </c>
      <c r="CU162" s="27" t="s">
        <v>8</v>
      </c>
      <c r="CW162" s="27" t="s">
        <v>8</v>
      </c>
      <c r="CX162" s="27" t="s">
        <v>7</v>
      </c>
    </row>
    <row r="163" spans="1:104" x14ac:dyDescent="0.25">
      <c r="A163" s="30">
        <v>1.8260271200148632E-2</v>
      </c>
      <c r="B163"/>
      <c r="C163"/>
      <c r="D163"/>
      <c r="E163"/>
      <c r="F163" s="27" t="s">
        <v>7</v>
      </c>
      <c r="BK163" s="27" t="s">
        <v>8</v>
      </c>
      <c r="BM163" s="27" t="s">
        <v>8</v>
      </c>
      <c r="BP163" s="27" t="s">
        <v>7</v>
      </c>
      <c r="BQ163" s="27" t="s">
        <v>8</v>
      </c>
      <c r="BR163" s="27" t="s">
        <v>7</v>
      </c>
      <c r="BS163" s="27" t="s">
        <v>8</v>
      </c>
      <c r="BT163" s="27" t="s">
        <v>7</v>
      </c>
      <c r="CS163" s="27" t="s">
        <v>8</v>
      </c>
      <c r="CT163" s="27" t="s">
        <v>7</v>
      </c>
      <c r="CU163" s="27" t="s">
        <v>8</v>
      </c>
      <c r="CV163" s="27" t="s">
        <v>7</v>
      </c>
      <c r="CW163" s="27" t="s">
        <v>8</v>
      </c>
      <c r="CX163" s="27" t="s">
        <v>7</v>
      </c>
    </row>
    <row r="164" spans="1:104" x14ac:dyDescent="0.25">
      <c r="A164" s="30">
        <v>1.6600246545589663E-2</v>
      </c>
      <c r="B164"/>
      <c r="C164"/>
      <c r="D164"/>
      <c r="E164"/>
      <c r="F164" s="27" t="s">
        <v>7</v>
      </c>
      <c r="BK164" s="27" t="s">
        <v>8</v>
      </c>
      <c r="BL164" s="27" t="s">
        <v>7</v>
      </c>
      <c r="BM164" s="27" t="s">
        <v>8</v>
      </c>
      <c r="BP164" s="27" t="s">
        <v>7</v>
      </c>
      <c r="BQ164" s="27" t="s">
        <v>8</v>
      </c>
      <c r="BR164" s="27" t="s">
        <v>7</v>
      </c>
      <c r="BS164" s="27" t="s">
        <v>8</v>
      </c>
      <c r="BT164" s="27" t="s">
        <v>7</v>
      </c>
      <c r="BU164" s="27" t="s">
        <v>8</v>
      </c>
      <c r="CC164" s="27" t="s">
        <v>8</v>
      </c>
      <c r="CO164" s="27" t="s">
        <v>8</v>
      </c>
      <c r="CQ164" s="27" t="s">
        <v>8</v>
      </c>
      <c r="CS164" s="27" t="s">
        <v>8</v>
      </c>
      <c r="CT164" s="27" t="s">
        <v>7</v>
      </c>
      <c r="CU164" s="27" t="s">
        <v>8</v>
      </c>
      <c r="CV164" s="27" t="s">
        <v>7</v>
      </c>
      <c r="CW164" s="27" t="s">
        <v>8</v>
      </c>
      <c r="CX164" s="27" t="s">
        <v>7</v>
      </c>
    </row>
    <row r="165" spans="1:104" x14ac:dyDescent="0.25">
      <c r="A165" s="30">
        <v>1.5091133223263328E-2</v>
      </c>
      <c r="B165"/>
      <c r="C165"/>
      <c r="D165"/>
      <c r="E165"/>
      <c r="F165" s="27" t="s">
        <v>7</v>
      </c>
      <c r="BK165" s="27" t="s">
        <v>8</v>
      </c>
      <c r="BL165" s="27" t="s">
        <v>7</v>
      </c>
      <c r="BM165" s="27" t="s">
        <v>8</v>
      </c>
      <c r="BP165" s="27" t="s">
        <v>7</v>
      </c>
      <c r="BQ165" s="27" t="s">
        <v>8</v>
      </c>
      <c r="BR165" s="27" t="s">
        <v>7</v>
      </c>
      <c r="BS165" s="27" t="s">
        <v>8</v>
      </c>
      <c r="BT165" s="27" t="s">
        <v>7</v>
      </c>
      <c r="BU165" s="27" t="s">
        <v>8</v>
      </c>
      <c r="BV165" s="27" t="s">
        <v>7</v>
      </c>
      <c r="CC165" s="27" t="s">
        <v>8</v>
      </c>
      <c r="CD165" s="27" t="s">
        <v>7</v>
      </c>
      <c r="CO165" s="27" t="s">
        <v>8</v>
      </c>
      <c r="CP165" s="27" t="s">
        <v>7</v>
      </c>
      <c r="CQ165" s="27" t="s">
        <v>8</v>
      </c>
      <c r="CR165" s="27" t="s">
        <v>7</v>
      </c>
      <c r="CS165" s="27" t="s">
        <v>8</v>
      </c>
      <c r="CT165" s="27" t="s">
        <v>7</v>
      </c>
      <c r="CV165" s="27" t="s">
        <v>7</v>
      </c>
      <c r="CX165" s="27" t="s">
        <v>7</v>
      </c>
      <c r="CY165" s="27" t="s">
        <v>8</v>
      </c>
    </row>
    <row r="166" spans="1:104" x14ac:dyDescent="0.25">
      <c r="A166" s="30">
        <v>1.3719212021148477E-2</v>
      </c>
      <c r="B166"/>
      <c r="C166"/>
      <c r="D166"/>
      <c r="E166"/>
      <c r="F166" s="27" t="s">
        <v>7</v>
      </c>
      <c r="BG166" s="27" t="s">
        <v>8</v>
      </c>
      <c r="BK166" s="27" t="s">
        <v>8</v>
      </c>
      <c r="BL166" s="27" t="s">
        <v>7</v>
      </c>
      <c r="BP166" s="27" t="s">
        <v>7</v>
      </c>
      <c r="BR166" s="27" t="s">
        <v>7</v>
      </c>
      <c r="BS166" s="27" t="s">
        <v>8</v>
      </c>
      <c r="BT166" s="27" t="s">
        <v>7</v>
      </c>
      <c r="BU166" s="27" t="s">
        <v>8</v>
      </c>
      <c r="BV166" s="27" t="s">
        <v>7</v>
      </c>
      <c r="CC166" s="27" t="s">
        <v>8</v>
      </c>
      <c r="CD166" s="27" t="s">
        <v>7</v>
      </c>
      <c r="CM166" s="27" t="s">
        <v>8</v>
      </c>
      <c r="CO166" s="27" t="s">
        <v>8</v>
      </c>
      <c r="CP166" s="27" t="s">
        <v>7</v>
      </c>
      <c r="CQ166" s="27" t="s">
        <v>8</v>
      </c>
      <c r="CR166" s="27" t="s">
        <v>7</v>
      </c>
      <c r="CS166" s="27" t="s">
        <v>8</v>
      </c>
      <c r="CX166" s="27" t="s">
        <v>7</v>
      </c>
      <c r="CY166" s="27" t="s">
        <v>8</v>
      </c>
      <c r="CZ166" s="27" t="s">
        <v>7</v>
      </c>
    </row>
    <row r="167" spans="1:104" x14ac:dyDescent="0.25">
      <c r="A167" s="30">
        <v>1.2472010928316795E-2</v>
      </c>
      <c r="B167"/>
      <c r="C167"/>
      <c r="D167"/>
      <c r="E167"/>
      <c r="F167" s="27" t="s">
        <v>7</v>
      </c>
      <c r="BG167" s="27" t="s">
        <v>8</v>
      </c>
      <c r="BH167" s="27" t="s">
        <v>7</v>
      </c>
      <c r="BK167" s="27" t="s">
        <v>8</v>
      </c>
      <c r="BR167" s="27" t="s">
        <v>7</v>
      </c>
      <c r="BS167" s="27" t="s">
        <v>8</v>
      </c>
      <c r="BT167" s="27" t="s">
        <v>7</v>
      </c>
      <c r="BV167" s="27" t="s">
        <v>7</v>
      </c>
      <c r="CC167" s="27" t="s">
        <v>8</v>
      </c>
      <c r="CD167" s="27" t="s">
        <v>7</v>
      </c>
      <c r="CE167" s="27" t="s">
        <v>8</v>
      </c>
      <c r="CK167" s="27" t="s">
        <v>8</v>
      </c>
      <c r="CM167" s="27" t="s">
        <v>8</v>
      </c>
      <c r="CN167" s="27" t="s">
        <v>7</v>
      </c>
      <c r="CO167" s="27" t="s">
        <v>8</v>
      </c>
      <c r="CP167" s="27" t="s">
        <v>7</v>
      </c>
      <c r="CQ167" s="27" t="s">
        <v>8</v>
      </c>
      <c r="CR167" s="27" t="s">
        <v>7</v>
      </c>
      <c r="CS167" s="27" t="s">
        <v>8</v>
      </c>
      <c r="CX167" s="27" t="s">
        <v>7</v>
      </c>
      <c r="CY167" s="27" t="s">
        <v>8</v>
      </c>
      <c r="CZ167" s="27" t="s">
        <v>7</v>
      </c>
    </row>
    <row r="168" spans="1:104" x14ac:dyDescent="0.25">
      <c r="A168" s="30">
        <v>1.1338191753015267E-2</v>
      </c>
      <c r="B168"/>
      <c r="C168"/>
      <c r="D168"/>
      <c r="E168"/>
      <c r="F168" s="27" t="s">
        <v>7</v>
      </c>
      <c r="BG168" s="27" t="s">
        <v>8</v>
      </c>
      <c r="BH168" s="27" t="s">
        <v>7</v>
      </c>
      <c r="BK168" s="27" t="s">
        <v>8</v>
      </c>
      <c r="BR168" s="27" t="s">
        <v>7</v>
      </c>
      <c r="BV168" s="27" t="s">
        <v>7</v>
      </c>
      <c r="CC168" s="27" t="s">
        <v>8</v>
      </c>
      <c r="CD168" s="27" t="s">
        <v>7</v>
      </c>
      <c r="CE168" s="27" t="s">
        <v>8</v>
      </c>
      <c r="CF168" s="27" t="s">
        <v>7</v>
      </c>
      <c r="CI168" s="27" t="s">
        <v>8</v>
      </c>
      <c r="CK168" s="27" t="s">
        <v>8</v>
      </c>
      <c r="CL168" s="27" t="s">
        <v>7</v>
      </c>
      <c r="CM168" s="27" t="s">
        <v>8</v>
      </c>
      <c r="CN168" s="27" t="s">
        <v>7</v>
      </c>
      <c r="CO168" s="27" t="s">
        <v>8</v>
      </c>
      <c r="CP168" s="27" t="s">
        <v>7</v>
      </c>
      <c r="CQ168" s="27" t="s">
        <v>8</v>
      </c>
      <c r="CR168" s="27" t="s">
        <v>7</v>
      </c>
      <c r="CS168" s="27" t="s">
        <v>8</v>
      </c>
      <c r="CX168" s="27" t="s">
        <v>7</v>
      </c>
      <c r="CZ168" s="27" t="s">
        <v>7</v>
      </c>
    </row>
    <row r="169" spans="1:104" x14ac:dyDescent="0.25">
      <c r="A169" s="30">
        <v>1.0307447048195697E-2</v>
      </c>
      <c r="B169"/>
      <c r="C169"/>
      <c r="D169"/>
      <c r="E169"/>
      <c r="F169" s="27" t="s">
        <v>7</v>
      </c>
      <c r="BE169" s="27" t="s">
        <v>8</v>
      </c>
      <c r="BG169" s="27" t="s">
        <v>8</v>
      </c>
      <c r="BH169" s="27" t="s">
        <v>7</v>
      </c>
      <c r="BI169" s="27" t="s">
        <v>8</v>
      </c>
      <c r="BK169" s="27" t="s">
        <v>8</v>
      </c>
      <c r="BV169" s="27" t="s">
        <v>7</v>
      </c>
      <c r="CC169" s="27" t="s">
        <v>8</v>
      </c>
      <c r="CD169" s="27" t="s">
        <v>7</v>
      </c>
      <c r="CE169" s="27" t="s">
        <v>8</v>
      </c>
      <c r="CF169" s="27" t="s">
        <v>7</v>
      </c>
      <c r="CI169" s="27" t="s">
        <v>8</v>
      </c>
      <c r="CJ169" s="27" t="s">
        <v>7</v>
      </c>
      <c r="CK169" s="27" t="s">
        <v>8</v>
      </c>
      <c r="CL169" s="27" t="s">
        <v>7</v>
      </c>
      <c r="CM169" s="27" t="s">
        <v>8</v>
      </c>
      <c r="CN169" s="27" t="s">
        <v>7</v>
      </c>
      <c r="CP169" s="27" t="s">
        <v>7</v>
      </c>
      <c r="CR169" s="27" t="s">
        <v>7</v>
      </c>
      <c r="CZ169" s="27" t="s">
        <v>7</v>
      </c>
    </row>
    <row r="170" spans="1:104" x14ac:dyDescent="0.25">
      <c r="A170" s="30">
        <v>9.3704064074506318E-3</v>
      </c>
      <c r="B170"/>
      <c r="C170"/>
      <c r="D170"/>
      <c r="E170"/>
      <c r="F170" s="27" t="s">
        <v>7</v>
      </c>
      <c r="AG170" s="27" t="s">
        <v>8</v>
      </c>
      <c r="BE170" s="27" t="s">
        <v>8</v>
      </c>
      <c r="BF170" s="27" t="s">
        <v>7</v>
      </c>
      <c r="BG170" s="27" t="s">
        <v>8</v>
      </c>
      <c r="BH170" s="27" t="s">
        <v>7</v>
      </c>
      <c r="BI170" s="27" t="s">
        <v>8</v>
      </c>
      <c r="BJ170" s="27" t="s">
        <v>7</v>
      </c>
      <c r="BK170" s="27" t="s">
        <v>8</v>
      </c>
      <c r="BV170" s="27" t="s">
        <v>7</v>
      </c>
      <c r="BW170" s="27" t="s">
        <v>8</v>
      </c>
      <c r="BY170" s="27" t="s">
        <v>8</v>
      </c>
      <c r="CA170" s="27" t="s">
        <v>8</v>
      </c>
      <c r="CC170" s="27" t="s">
        <v>8</v>
      </c>
      <c r="CD170" s="27" t="s">
        <v>7</v>
      </c>
      <c r="CE170" s="27" t="s">
        <v>8</v>
      </c>
      <c r="CF170" s="27" t="s">
        <v>7</v>
      </c>
      <c r="CI170" s="27" t="s">
        <v>8</v>
      </c>
      <c r="CJ170" s="27" t="s">
        <v>7</v>
      </c>
      <c r="CK170" s="27" t="s">
        <v>8</v>
      </c>
      <c r="CL170" s="27" t="s">
        <v>7</v>
      </c>
      <c r="CM170" s="27" t="s">
        <v>8</v>
      </c>
      <c r="CZ170" s="27" t="s">
        <v>7</v>
      </c>
    </row>
    <row r="171" spans="1:104" x14ac:dyDescent="0.25">
      <c r="A171" s="30">
        <v>8.5185512795005747E-3</v>
      </c>
      <c r="F171" s="27" t="s">
        <v>7</v>
      </c>
      <c r="AG171" s="27" t="s">
        <v>8</v>
      </c>
      <c r="AH171" s="27" t="s">
        <v>7</v>
      </c>
      <c r="BA171" s="27" t="s">
        <v>8</v>
      </c>
      <c r="BE171" s="27" t="s">
        <v>8</v>
      </c>
      <c r="BF171" s="27" t="s">
        <v>7</v>
      </c>
      <c r="BG171" s="27" t="s">
        <v>8</v>
      </c>
      <c r="BH171" s="27" t="s">
        <v>7</v>
      </c>
      <c r="BI171" s="27" t="s">
        <v>8</v>
      </c>
      <c r="BJ171" s="27" t="s">
        <v>7</v>
      </c>
      <c r="BK171" s="27" t="s">
        <v>8</v>
      </c>
      <c r="BV171" s="27" t="s">
        <v>7</v>
      </c>
      <c r="BW171" s="27" t="s">
        <v>8</v>
      </c>
      <c r="BX171" s="27" t="s">
        <v>7</v>
      </c>
      <c r="BY171" s="27" t="s">
        <v>8</v>
      </c>
      <c r="BZ171" s="27" t="s">
        <v>7</v>
      </c>
      <c r="CA171" s="27" t="s">
        <v>8</v>
      </c>
      <c r="CB171" s="27" t="s">
        <v>7</v>
      </c>
      <c r="CC171" s="27" t="s">
        <v>8</v>
      </c>
      <c r="CD171" s="27" t="s">
        <v>7</v>
      </c>
      <c r="CF171" s="27" t="s">
        <v>7</v>
      </c>
      <c r="CG171" s="27" t="s">
        <v>8</v>
      </c>
      <c r="CI171" s="27" t="s">
        <v>8</v>
      </c>
      <c r="CJ171" s="27" t="s">
        <v>7</v>
      </c>
      <c r="CK171" s="27" t="s">
        <v>8</v>
      </c>
      <c r="CL171" s="27" t="s">
        <v>7</v>
      </c>
      <c r="CM171" s="27" t="s">
        <v>8</v>
      </c>
      <c r="CZ171" s="27" t="s">
        <v>7</v>
      </c>
    </row>
    <row r="172" spans="1:104" x14ac:dyDescent="0.25">
      <c r="A172" s="30">
        <v>7.744137526818704E-3</v>
      </c>
      <c r="F172" s="27" t="s">
        <v>7</v>
      </c>
      <c r="AG172" s="27" t="s">
        <v>8</v>
      </c>
      <c r="AH172" s="27" t="s">
        <v>7</v>
      </c>
      <c r="BA172" s="27" t="s">
        <v>8</v>
      </c>
      <c r="BB172" s="27" t="s">
        <v>7</v>
      </c>
      <c r="BE172" s="27" t="s">
        <v>8</v>
      </c>
      <c r="BF172" s="27" t="s">
        <v>7</v>
      </c>
      <c r="BH172" s="27" t="s">
        <v>7</v>
      </c>
      <c r="BJ172" s="27" t="s">
        <v>7</v>
      </c>
      <c r="BK172" s="27" t="s">
        <v>8</v>
      </c>
      <c r="BV172" s="27" t="s">
        <v>7</v>
      </c>
      <c r="BW172" s="27" t="s">
        <v>8</v>
      </c>
      <c r="BX172" s="27" t="s">
        <v>7</v>
      </c>
      <c r="BY172" s="27" t="s">
        <v>8</v>
      </c>
      <c r="BZ172" s="27" t="s">
        <v>7</v>
      </c>
      <c r="CA172" s="27" t="s">
        <v>8</v>
      </c>
      <c r="CB172" s="27" t="s">
        <v>7</v>
      </c>
      <c r="CC172" s="27" t="s">
        <v>8</v>
      </c>
      <c r="CF172" s="27" t="s">
        <v>7</v>
      </c>
      <c r="CG172" s="27" t="s">
        <v>8</v>
      </c>
      <c r="CH172" s="27" t="s">
        <v>7</v>
      </c>
      <c r="CI172" s="27" t="s">
        <v>8</v>
      </c>
      <c r="CJ172" s="27" t="s">
        <v>7</v>
      </c>
      <c r="CL172" s="27" t="s">
        <v>7</v>
      </c>
      <c r="CM172" s="27" t="s">
        <v>8</v>
      </c>
      <c r="CZ172" s="27" t="s">
        <v>7</v>
      </c>
    </row>
    <row r="173" spans="1:104" x14ac:dyDescent="0.25">
      <c r="A173" s="30">
        <v>7.0401250243806394E-3</v>
      </c>
      <c r="F173" s="27" t="s">
        <v>7</v>
      </c>
      <c r="AG173" s="27" t="s">
        <v>8</v>
      </c>
      <c r="AH173" s="27" t="s">
        <v>7</v>
      </c>
      <c r="BA173" s="27" t="s">
        <v>8</v>
      </c>
      <c r="BB173" s="27" t="s">
        <v>7</v>
      </c>
      <c r="BC173" s="27" t="s">
        <v>8</v>
      </c>
      <c r="BE173" s="27" t="s">
        <v>8</v>
      </c>
      <c r="BJ173" s="27" t="s">
        <v>7</v>
      </c>
      <c r="BV173" s="27" t="s">
        <v>7</v>
      </c>
      <c r="BW173" s="27" t="s">
        <v>8</v>
      </c>
      <c r="BX173" s="27" t="s">
        <v>7</v>
      </c>
      <c r="BZ173" s="27" t="s">
        <v>7</v>
      </c>
      <c r="CA173" s="27" t="s">
        <v>8</v>
      </c>
      <c r="CB173" s="27" t="s">
        <v>7</v>
      </c>
      <c r="CF173" s="27" t="s">
        <v>7</v>
      </c>
      <c r="CG173" s="27" t="s">
        <v>8</v>
      </c>
      <c r="CH173" s="27" t="s">
        <v>7</v>
      </c>
      <c r="CI173" s="27" t="s">
        <v>8</v>
      </c>
      <c r="CL173" s="27" t="s">
        <v>7</v>
      </c>
      <c r="CZ173" s="27" t="s">
        <v>7</v>
      </c>
    </row>
    <row r="174" spans="1:104" x14ac:dyDescent="0.25">
      <c r="A174" s="30">
        <v>6.4001136585278536E-3</v>
      </c>
      <c r="F174" s="27" t="s">
        <v>7</v>
      </c>
      <c r="AG174" s="27" t="s">
        <v>8</v>
      </c>
      <c r="AH174" s="27" t="s">
        <v>7</v>
      </c>
      <c r="BA174" s="27" t="s">
        <v>8</v>
      </c>
      <c r="BB174" s="27" t="s">
        <v>7</v>
      </c>
      <c r="BC174" s="27" t="s">
        <v>8</v>
      </c>
      <c r="BD174" s="27" t="s">
        <v>7</v>
      </c>
      <c r="BE174" s="27" t="s">
        <v>8</v>
      </c>
      <c r="BV174" s="27" t="s">
        <v>7</v>
      </c>
      <c r="BZ174" s="27" t="s">
        <v>7</v>
      </c>
      <c r="CA174" s="27" t="s">
        <v>8</v>
      </c>
      <c r="CF174" s="27" t="s">
        <v>7</v>
      </c>
      <c r="CH174" s="18" t="s">
        <v>7</v>
      </c>
      <c r="CI174" s="27" t="s">
        <v>8</v>
      </c>
      <c r="CZ174" s="27" t="s">
        <v>7</v>
      </c>
    </row>
    <row r="175" spans="1:104" x14ac:dyDescent="0.25">
      <c r="A175" s="30">
        <v>5.8182851441162305E-3</v>
      </c>
      <c r="F175" s="27" t="s">
        <v>7</v>
      </c>
      <c r="AG175" s="27" t="s">
        <v>8</v>
      </c>
      <c r="AH175" s="27" t="s">
        <v>7</v>
      </c>
      <c r="AI175" s="27" t="s">
        <v>8</v>
      </c>
      <c r="BA175" s="27" t="s">
        <v>8</v>
      </c>
      <c r="BB175" s="27" t="s">
        <v>7</v>
      </c>
      <c r="BC175" s="27" t="s">
        <v>8</v>
      </c>
      <c r="BD175" s="27" t="s">
        <v>7</v>
      </c>
      <c r="BE175" s="27" t="s">
        <v>8</v>
      </c>
      <c r="BZ175" s="27" t="s">
        <v>7</v>
      </c>
      <c r="CH175" s="27" t="s">
        <v>7</v>
      </c>
      <c r="CZ175" s="27" t="s">
        <v>7</v>
      </c>
    </row>
    <row r="176" spans="1:104" x14ac:dyDescent="0.25">
      <c r="A176" s="30">
        <v>5.2893501310147546E-3</v>
      </c>
      <c r="F176" s="27" t="s">
        <v>7</v>
      </c>
      <c r="AG176" s="27" t="s">
        <v>8</v>
      </c>
      <c r="AH176" s="27" t="s">
        <v>7</v>
      </c>
      <c r="AI176" s="27" t="s">
        <v>8</v>
      </c>
      <c r="AJ176" s="27" t="s">
        <v>7</v>
      </c>
      <c r="BA176" s="27" t="s">
        <v>8</v>
      </c>
      <c r="BB176" s="27" t="s">
        <v>7</v>
      </c>
      <c r="BC176" s="27" t="s">
        <v>8</v>
      </c>
      <c r="BD176" s="27" t="s">
        <v>7</v>
      </c>
    </row>
    <row r="177" spans="1:55" x14ac:dyDescent="0.25">
      <c r="A177" s="30">
        <v>4.8085001191043222E-3</v>
      </c>
      <c r="F177" s="27" t="s">
        <v>7</v>
      </c>
      <c r="M177" s="27" t="s">
        <v>8</v>
      </c>
      <c r="AG177" s="27" t="s">
        <v>8</v>
      </c>
      <c r="AH177" s="27" t="s">
        <v>7</v>
      </c>
      <c r="AI177" s="27" t="s">
        <v>8</v>
      </c>
      <c r="AJ177" s="27" t="s">
        <v>7</v>
      </c>
      <c r="AK177" s="27" t="s">
        <v>8</v>
      </c>
      <c r="BA177" s="27" t="s">
        <v>8</v>
      </c>
      <c r="BB177" s="27" t="s">
        <v>7</v>
      </c>
      <c r="BC177" s="27" t="s">
        <v>8</v>
      </c>
    </row>
    <row r="178" spans="1:55" x14ac:dyDescent="0.25">
      <c r="A178" s="30">
        <v>4.3713637446402926E-3</v>
      </c>
      <c r="F178" s="27" t="s">
        <v>7</v>
      </c>
      <c r="M178" s="27" t="s">
        <v>8</v>
      </c>
      <c r="N178" s="27" t="s">
        <v>7</v>
      </c>
      <c r="AG178" s="27" t="s">
        <v>8</v>
      </c>
      <c r="AH178" s="27" t="s">
        <v>7</v>
      </c>
      <c r="AJ178" s="27" t="s">
        <v>7</v>
      </c>
      <c r="AK178" s="27" t="s">
        <v>8</v>
      </c>
      <c r="AL178" s="27" t="s">
        <v>7</v>
      </c>
      <c r="BA178" s="27" t="s">
        <v>8</v>
      </c>
      <c r="BB178" s="27" t="s">
        <v>7</v>
      </c>
      <c r="BC178" s="27" t="s">
        <v>8</v>
      </c>
    </row>
    <row r="179" spans="1:55" x14ac:dyDescent="0.25">
      <c r="A179" s="30">
        <v>3.9739670405820838E-3</v>
      </c>
      <c r="F179" s="27" t="s">
        <v>7</v>
      </c>
      <c r="M179" s="27" t="s">
        <v>8</v>
      </c>
      <c r="N179" s="27" t="s">
        <v>7</v>
      </c>
      <c r="AG179" s="27" t="s">
        <v>8</v>
      </c>
      <c r="AJ179" s="27" t="s">
        <v>7</v>
      </c>
      <c r="AK179" s="27" t="s">
        <v>8</v>
      </c>
      <c r="AL179" s="27" t="s">
        <v>7</v>
      </c>
      <c r="BA179" s="27" t="s">
        <v>8</v>
      </c>
      <c r="BB179" s="27" t="s">
        <v>7</v>
      </c>
    </row>
    <row r="180" spans="1:55" x14ac:dyDescent="0.25">
      <c r="A180" s="30">
        <v>3.6126973096200759E-3</v>
      </c>
      <c r="F180" s="27" t="s">
        <v>7</v>
      </c>
      <c r="K180" s="27" t="s">
        <v>8</v>
      </c>
      <c r="M180" s="27" t="s">
        <v>8</v>
      </c>
      <c r="N180" s="27" t="s">
        <v>7</v>
      </c>
      <c r="AG180" s="27" t="s">
        <v>8</v>
      </c>
      <c r="AJ180" s="27" t="s">
        <v>7</v>
      </c>
      <c r="AK180" s="27" t="s">
        <v>8</v>
      </c>
      <c r="AL180" s="27" t="s">
        <v>7</v>
      </c>
      <c r="AM180" s="27" t="s">
        <v>8</v>
      </c>
      <c r="AO180" s="27" t="s">
        <v>8</v>
      </c>
      <c r="AQ180" s="27" t="s">
        <v>8</v>
      </c>
      <c r="BA180" s="27" t="s">
        <v>8</v>
      </c>
    </row>
    <row r="181" spans="1:55" x14ac:dyDescent="0.25">
      <c r="A181" s="30">
        <v>3.2842702814727962E-3</v>
      </c>
      <c r="F181" s="27" t="s">
        <v>7</v>
      </c>
      <c r="K181" s="27" t="s">
        <v>8</v>
      </c>
      <c r="L181" s="27" t="s">
        <v>7</v>
      </c>
      <c r="M181" s="27" t="s">
        <v>8</v>
      </c>
      <c r="N181" s="27" t="s">
        <v>7</v>
      </c>
      <c r="AG181" s="27" t="s">
        <v>8</v>
      </c>
      <c r="AJ181" s="27" t="s">
        <v>7</v>
      </c>
      <c r="AL181" s="27" t="s">
        <v>7</v>
      </c>
      <c r="AM181" s="27" t="s">
        <v>8</v>
      </c>
      <c r="AN181" s="27" t="s">
        <v>7</v>
      </c>
      <c r="AO181" s="27" t="s">
        <v>8</v>
      </c>
      <c r="AP181" s="27" t="s">
        <v>7</v>
      </c>
      <c r="AQ181" s="27" t="s">
        <v>8</v>
      </c>
      <c r="AR181" s="27" t="s">
        <v>7</v>
      </c>
      <c r="AU181" s="27" t="s">
        <v>8</v>
      </c>
      <c r="BA181" s="27" t="s">
        <v>8</v>
      </c>
    </row>
    <row r="182" spans="1:55" x14ac:dyDescent="0.25">
      <c r="A182" s="30">
        <v>2.9857002558843601E-3</v>
      </c>
      <c r="F182" s="27" t="s">
        <v>7</v>
      </c>
      <c r="K182" s="27" t="s">
        <v>8</v>
      </c>
      <c r="L182" s="27" t="s">
        <v>7</v>
      </c>
      <c r="M182" s="27" t="s">
        <v>8</v>
      </c>
      <c r="N182" s="27" t="s">
        <v>7</v>
      </c>
      <c r="AG182" s="27" t="s">
        <v>8</v>
      </c>
      <c r="AL182" s="27" t="s">
        <v>7</v>
      </c>
      <c r="AM182" s="27" t="s">
        <v>8</v>
      </c>
      <c r="AN182" s="27" t="s">
        <v>7</v>
      </c>
      <c r="AO182" s="27" t="s">
        <v>8</v>
      </c>
      <c r="AP182" s="27" t="s">
        <v>7</v>
      </c>
      <c r="AQ182" s="27" t="s">
        <v>8</v>
      </c>
      <c r="AR182" s="27" t="s">
        <v>7</v>
      </c>
      <c r="AS182" s="27" t="s">
        <v>8</v>
      </c>
      <c r="AU182" s="27" t="s">
        <v>8</v>
      </c>
      <c r="AV182" s="27" t="s">
        <v>7</v>
      </c>
      <c r="AW182" s="27" t="s">
        <v>8</v>
      </c>
      <c r="AY182" s="27" t="s">
        <v>8</v>
      </c>
      <c r="BA182" s="27" t="s">
        <v>8</v>
      </c>
    </row>
    <row r="183" spans="1:55" x14ac:dyDescent="0.25">
      <c r="A183" s="30">
        <v>2.7142729598948726E-3</v>
      </c>
      <c r="F183" s="27" t="s">
        <v>7</v>
      </c>
      <c r="K183" s="27" t="s">
        <v>8</v>
      </c>
      <c r="L183" s="27" t="s">
        <v>7</v>
      </c>
      <c r="M183" s="27" t="s">
        <v>8</v>
      </c>
      <c r="N183" s="27" t="s">
        <v>7</v>
      </c>
      <c r="AG183" s="27" t="s">
        <v>8</v>
      </c>
      <c r="AL183" s="27" t="s">
        <v>7</v>
      </c>
      <c r="AM183" s="27" t="s">
        <v>8</v>
      </c>
      <c r="AN183" s="27" t="s">
        <v>7</v>
      </c>
      <c r="AP183" s="27" t="s">
        <v>7</v>
      </c>
      <c r="AQ183" s="27" t="s">
        <v>8</v>
      </c>
      <c r="AR183" s="27" t="s">
        <v>7</v>
      </c>
      <c r="AS183" s="27" t="s">
        <v>8</v>
      </c>
      <c r="AT183" s="27" t="s">
        <v>7</v>
      </c>
      <c r="AU183" s="27" t="s">
        <v>8</v>
      </c>
      <c r="AV183" s="27" t="s">
        <v>7</v>
      </c>
      <c r="AW183" s="27" t="s">
        <v>8</v>
      </c>
      <c r="AX183" s="27" t="s">
        <v>7</v>
      </c>
      <c r="AY183" s="27" t="s">
        <v>8</v>
      </c>
      <c r="AZ183" s="27" t="s">
        <v>7</v>
      </c>
      <c r="BA183" s="27" t="s">
        <v>8</v>
      </c>
    </row>
    <row r="184" spans="1:55" x14ac:dyDescent="0.25">
      <c r="A184" s="30">
        <v>2.4675208726317021E-3</v>
      </c>
      <c r="F184" s="27" t="s">
        <v>7</v>
      </c>
      <c r="K184" s="27" t="s">
        <v>8</v>
      </c>
      <c r="L184" s="27" t="s">
        <v>7</v>
      </c>
      <c r="M184" s="27" t="s">
        <v>8</v>
      </c>
      <c r="N184" s="27" t="s">
        <v>7</v>
      </c>
      <c r="O184" s="27" t="s">
        <v>8</v>
      </c>
      <c r="Q184" s="27" t="s">
        <v>8</v>
      </c>
      <c r="AE184" s="27" t="s">
        <v>8</v>
      </c>
      <c r="AG184" s="27" t="s">
        <v>8</v>
      </c>
      <c r="AL184" s="27" t="s">
        <v>7</v>
      </c>
      <c r="AM184" s="27" t="s">
        <v>8</v>
      </c>
      <c r="AP184" s="27" t="s">
        <v>7</v>
      </c>
      <c r="AQ184" s="27" t="s">
        <v>8</v>
      </c>
      <c r="AR184" s="27" t="s">
        <v>7</v>
      </c>
      <c r="AS184" s="27" t="s">
        <v>8</v>
      </c>
      <c r="AT184" s="27" t="s">
        <v>7</v>
      </c>
      <c r="AU184" s="27" t="s">
        <v>8</v>
      </c>
      <c r="AV184" s="27" t="s">
        <v>7</v>
      </c>
      <c r="AW184" s="27" t="s">
        <v>8</v>
      </c>
      <c r="AX184" s="27" t="s">
        <v>7</v>
      </c>
      <c r="AY184" s="27" t="s">
        <v>8</v>
      </c>
      <c r="AZ184" s="27" t="s">
        <v>7</v>
      </c>
      <c r="BA184" s="27" t="s">
        <v>8</v>
      </c>
    </row>
    <row r="185" spans="1:55" x14ac:dyDescent="0.25">
      <c r="A185" s="30">
        <v>2.2432007933015472E-3</v>
      </c>
      <c r="F185" s="27" t="s">
        <v>7</v>
      </c>
      <c r="K185" s="27" t="s">
        <v>8</v>
      </c>
      <c r="L185" s="27" t="s">
        <v>7</v>
      </c>
      <c r="M185" s="27" t="s">
        <v>8</v>
      </c>
      <c r="N185" s="27" t="s">
        <v>7</v>
      </c>
      <c r="O185" s="27" t="s">
        <v>8</v>
      </c>
      <c r="P185" s="27" t="s">
        <v>7</v>
      </c>
      <c r="Q185" s="27" t="s">
        <v>8</v>
      </c>
      <c r="R185" s="27" t="s">
        <v>7</v>
      </c>
      <c r="AE185" s="27" t="s">
        <v>8</v>
      </c>
      <c r="AF185" s="27" t="s">
        <v>7</v>
      </c>
      <c r="AG185" s="27" t="s">
        <v>8</v>
      </c>
      <c r="AL185" s="27" t="s">
        <v>7</v>
      </c>
      <c r="AP185" s="27" t="s">
        <v>7</v>
      </c>
      <c r="AQ185" s="27" t="s">
        <v>8</v>
      </c>
      <c r="AR185" s="27" t="s">
        <v>7</v>
      </c>
      <c r="AT185" s="27" t="s">
        <v>7</v>
      </c>
      <c r="AU185" s="27" t="s">
        <v>8</v>
      </c>
      <c r="AV185" s="27" t="s">
        <v>7</v>
      </c>
      <c r="AW185" s="27" t="s">
        <v>8</v>
      </c>
      <c r="AX185" s="27" t="s">
        <v>7</v>
      </c>
      <c r="AY185" s="27" t="s">
        <v>8</v>
      </c>
      <c r="AZ185" s="27" t="s">
        <v>7</v>
      </c>
    </row>
    <row r="186" spans="1:55" x14ac:dyDescent="0.25">
      <c r="A186" s="30">
        <v>2.0392734484559519E-3</v>
      </c>
      <c r="F186" s="27" t="s">
        <v>7</v>
      </c>
      <c r="K186" s="27" t="s">
        <v>8</v>
      </c>
      <c r="L186" s="27" t="s">
        <v>7</v>
      </c>
      <c r="M186" s="27" t="s">
        <v>8</v>
      </c>
      <c r="N186" s="27" t="s">
        <v>7</v>
      </c>
      <c r="O186" s="27" t="s">
        <v>8</v>
      </c>
      <c r="P186" s="27" t="s">
        <v>7</v>
      </c>
      <c r="Q186" s="27" t="s">
        <v>8</v>
      </c>
      <c r="R186" s="27" t="s">
        <v>7</v>
      </c>
      <c r="AC186" s="27" t="s">
        <v>8</v>
      </c>
      <c r="AE186" s="27" t="s">
        <v>8</v>
      </c>
      <c r="AF186" s="27" t="s">
        <v>7</v>
      </c>
      <c r="AG186" s="27" t="s">
        <v>8</v>
      </c>
      <c r="AP186" s="27" t="s">
        <v>7</v>
      </c>
      <c r="AQ186" s="27" t="s">
        <v>8</v>
      </c>
      <c r="AT186" s="27" t="s">
        <v>7</v>
      </c>
      <c r="AV186" s="27" t="s">
        <v>7</v>
      </c>
      <c r="AW186" s="27" t="s">
        <v>8</v>
      </c>
      <c r="AX186" s="27" t="s">
        <v>7</v>
      </c>
    </row>
    <row r="187" spans="1:55" x14ac:dyDescent="0.25">
      <c r="A187" s="30">
        <v>1.8538849531417744E-3</v>
      </c>
      <c r="F187" s="27" t="s">
        <v>7</v>
      </c>
      <c r="I187" s="27" t="s">
        <v>8</v>
      </c>
      <c r="K187" s="27" t="s">
        <v>8</v>
      </c>
      <c r="L187" s="27" t="s">
        <v>7</v>
      </c>
      <c r="M187" s="27" t="s">
        <v>8</v>
      </c>
      <c r="N187" s="27" t="s">
        <v>7</v>
      </c>
      <c r="O187" s="27" t="s">
        <v>8</v>
      </c>
      <c r="P187" s="27" t="s">
        <v>7</v>
      </c>
      <c r="Q187" s="27" t="s">
        <v>8</v>
      </c>
      <c r="R187" s="27" t="s">
        <v>7</v>
      </c>
      <c r="AC187" s="27" t="s">
        <v>8</v>
      </c>
      <c r="AD187" s="27" t="s">
        <v>7</v>
      </c>
      <c r="AE187" s="27" t="s">
        <v>8</v>
      </c>
      <c r="AF187" s="27" t="s">
        <v>7</v>
      </c>
      <c r="AP187" s="27" t="s">
        <v>7</v>
      </c>
      <c r="AQ187" s="27" t="s">
        <v>8</v>
      </c>
      <c r="AV187" s="27" t="s">
        <v>7</v>
      </c>
    </row>
    <row r="188" spans="1:55" x14ac:dyDescent="0.25">
      <c r="A188" s="30">
        <v>1.6853499574016129E-3</v>
      </c>
      <c r="F188" s="27" t="s">
        <v>7</v>
      </c>
      <c r="I188" s="27" t="s">
        <v>8</v>
      </c>
      <c r="J188" s="27" t="s">
        <v>7</v>
      </c>
      <c r="K188" s="27" t="s">
        <v>8</v>
      </c>
      <c r="L188" s="27" t="s">
        <v>7</v>
      </c>
      <c r="M188" s="27" t="s">
        <v>8</v>
      </c>
      <c r="N188" s="27" t="s">
        <v>7</v>
      </c>
      <c r="P188" s="27" t="s">
        <v>7</v>
      </c>
      <c r="Q188" s="27" t="s">
        <v>8</v>
      </c>
      <c r="R188" s="27" t="s">
        <v>7</v>
      </c>
      <c r="AC188" s="27" t="s">
        <v>8</v>
      </c>
      <c r="AD188" s="27" t="s">
        <v>7</v>
      </c>
      <c r="AE188" s="27" t="s">
        <v>8</v>
      </c>
      <c r="AP188" s="27" t="s">
        <v>7</v>
      </c>
    </row>
    <row r="189" spans="1:55" x14ac:dyDescent="0.25">
      <c r="A189" s="30">
        <v>1.5321363249105571E-3</v>
      </c>
      <c r="F189" s="27" t="s">
        <v>7</v>
      </c>
      <c r="G189" s="27" t="s">
        <v>8</v>
      </c>
      <c r="I189" s="27" t="s">
        <v>8</v>
      </c>
      <c r="J189" s="27" t="s">
        <v>7</v>
      </c>
      <c r="K189" s="27" t="s">
        <v>8</v>
      </c>
      <c r="L189" s="27" t="s">
        <v>7</v>
      </c>
      <c r="P189" s="27" t="s">
        <v>7</v>
      </c>
      <c r="Q189" s="27" t="s">
        <v>8</v>
      </c>
      <c r="R189" s="27" t="s">
        <v>7</v>
      </c>
      <c r="W189" s="27" t="s">
        <v>8</v>
      </c>
      <c r="AA189" s="27" t="s">
        <v>8</v>
      </c>
      <c r="AC189" s="27" t="s">
        <v>8</v>
      </c>
      <c r="AD189" s="27" t="s">
        <v>7</v>
      </c>
      <c r="AE189" s="27" t="s">
        <v>8</v>
      </c>
    </row>
    <row r="190" spans="1:55" x14ac:dyDescent="0.25">
      <c r="A190" s="30">
        <v>1.3928512044641427E-3</v>
      </c>
      <c r="F190" s="27" t="s">
        <v>7</v>
      </c>
      <c r="G190" s="27" t="s">
        <v>8</v>
      </c>
      <c r="H190" s="27" t="s">
        <v>7</v>
      </c>
      <c r="I190" s="27" t="s">
        <v>8</v>
      </c>
      <c r="J190" s="27" t="s">
        <v>7</v>
      </c>
      <c r="P190" s="27" t="s">
        <v>7</v>
      </c>
      <c r="R190" s="27" t="s">
        <v>7</v>
      </c>
      <c r="W190" s="27" t="s">
        <v>8</v>
      </c>
      <c r="X190" s="27" t="s">
        <v>7</v>
      </c>
      <c r="AA190" s="27" t="s">
        <v>8</v>
      </c>
      <c r="AB190" s="27" t="s">
        <v>7</v>
      </c>
      <c r="AC190" s="27" t="s">
        <v>8</v>
      </c>
      <c r="AD190" s="27" t="s">
        <v>7</v>
      </c>
      <c r="AE190" s="27" t="s">
        <v>8</v>
      </c>
    </row>
    <row r="191" spans="1:55" x14ac:dyDescent="0.25">
      <c r="A191" s="30">
        <v>1.2662283676946752E-3</v>
      </c>
      <c r="F191" s="27" t="s">
        <v>7</v>
      </c>
      <c r="G191" s="27" t="s">
        <v>8</v>
      </c>
      <c r="H191" s="27" t="s">
        <v>7</v>
      </c>
      <c r="I191" s="27" t="s">
        <v>8</v>
      </c>
      <c r="R191" s="27" t="s">
        <v>7</v>
      </c>
      <c r="W191" s="27" t="s">
        <v>8</v>
      </c>
      <c r="X191" s="27" t="s">
        <v>7</v>
      </c>
      <c r="Y191" s="27" t="s">
        <v>8</v>
      </c>
      <c r="AA191" s="27" t="s">
        <v>8</v>
      </c>
      <c r="AB191" s="27" t="s">
        <v>7</v>
      </c>
      <c r="AC191" s="27" t="s">
        <v>8</v>
      </c>
      <c r="AD191" s="27" t="s">
        <v>7</v>
      </c>
    </row>
    <row r="192" spans="1:55" x14ac:dyDescent="0.25">
      <c r="A192" s="30">
        <v>1.15111669790425E-3</v>
      </c>
      <c r="F192" s="27" t="s">
        <v>7</v>
      </c>
      <c r="H192" s="27" t="s">
        <v>7</v>
      </c>
      <c r="R192" s="27" t="s">
        <v>7</v>
      </c>
      <c r="W192" s="27" t="s">
        <v>8</v>
      </c>
      <c r="X192" s="27" t="s">
        <v>7</v>
      </c>
      <c r="Y192" s="27" t="s">
        <v>8</v>
      </c>
      <c r="Z192" s="27" t="s">
        <v>7</v>
      </c>
      <c r="AA192" s="27" t="s">
        <v>8</v>
      </c>
      <c r="AB192" s="27" t="s">
        <v>7</v>
      </c>
      <c r="AC192" s="27" t="s">
        <v>8</v>
      </c>
    </row>
    <row r="193" spans="1:28" x14ac:dyDescent="0.25">
      <c r="A193" s="30">
        <v>1.0464697253675E-3</v>
      </c>
      <c r="R193" s="27" t="s">
        <v>7</v>
      </c>
      <c r="S193" s="27" t="s">
        <v>8</v>
      </c>
      <c r="W193" s="27" t="s">
        <v>8</v>
      </c>
      <c r="X193" s="27" t="s">
        <v>7</v>
      </c>
      <c r="Y193" s="27" t="s">
        <v>8</v>
      </c>
      <c r="Z193" s="27" t="s">
        <v>7</v>
      </c>
      <c r="AA193" s="27" t="s">
        <v>8</v>
      </c>
      <c r="AB193" s="27" t="s">
        <v>7</v>
      </c>
    </row>
    <row r="194" spans="1:28" x14ac:dyDescent="0.25">
      <c r="A194" s="30">
        <v>9.5133611397045449E-4</v>
      </c>
      <c r="R194" s="27" t="s">
        <v>7</v>
      </c>
      <c r="S194" s="27" t="s">
        <v>8</v>
      </c>
      <c r="T194" s="27" t="s">
        <v>7</v>
      </c>
      <c r="U194" s="27" t="s">
        <v>8</v>
      </c>
      <c r="W194" s="27" t="s">
        <v>8</v>
      </c>
      <c r="X194" s="27" t="s">
        <v>7</v>
      </c>
      <c r="Z194" s="27" t="s">
        <v>7</v>
      </c>
      <c r="AA194" s="27" t="s">
        <v>8</v>
      </c>
    </row>
    <row r="195" spans="1:28" x14ac:dyDescent="0.25">
      <c r="A195" s="30">
        <v>8.6485101270041313E-4</v>
      </c>
      <c r="R195" s="27" t="s">
        <v>7</v>
      </c>
      <c r="S195" s="27" t="s">
        <v>8</v>
      </c>
      <c r="T195" s="27" t="s">
        <v>7</v>
      </c>
      <c r="U195" s="27" t="s">
        <v>8</v>
      </c>
      <c r="V195" s="27" t="s">
        <v>7</v>
      </c>
      <c r="W195" s="27" t="s">
        <v>8</v>
      </c>
      <c r="Z195" s="27" t="s">
        <v>7</v>
      </c>
    </row>
    <row r="196" spans="1:28" x14ac:dyDescent="0.25">
      <c r="A196" s="30">
        <v>7.862281933640119E-4</v>
      </c>
      <c r="R196" s="27" t="s">
        <v>7</v>
      </c>
      <c r="S196" s="27" t="s">
        <v>8</v>
      </c>
      <c r="T196" s="27" t="s">
        <v>7</v>
      </c>
      <c r="U196" s="27" t="s">
        <v>8</v>
      </c>
      <c r="V196" s="27" t="s">
        <v>7</v>
      </c>
      <c r="W196" s="27" t="s">
        <v>8</v>
      </c>
    </row>
    <row r="197" spans="1:28" x14ac:dyDescent="0.25">
      <c r="A197" s="30">
        <v>7.0760537402761068E-4</v>
      </c>
      <c r="R197" s="27" t="s">
        <v>7</v>
      </c>
      <c r="S197" s="27" t="s">
        <v>8</v>
      </c>
      <c r="T197" s="27" t="s">
        <v>7</v>
      </c>
      <c r="V197" s="27" t="s">
        <v>7</v>
      </c>
      <c r="W197" s="27" t="s">
        <v>8</v>
      </c>
    </row>
    <row r="198" spans="1:28" x14ac:dyDescent="0.25">
      <c r="A198" s="30">
        <v>6.368448366248496E-4</v>
      </c>
      <c r="R198" s="27" t="s">
        <v>7</v>
      </c>
      <c r="S198" s="27" t="s">
        <v>8</v>
      </c>
      <c r="V198" s="27" t="s">
        <v>7</v>
      </c>
      <c r="W198" s="27" t="s">
        <v>8</v>
      </c>
    </row>
    <row r="199" spans="1:28" x14ac:dyDescent="0.25">
      <c r="A199" s="30">
        <v>5.7316035296236471E-4</v>
      </c>
      <c r="R199" s="27" t="s">
        <v>7</v>
      </c>
      <c r="V199" s="27" t="s">
        <v>7</v>
      </c>
    </row>
    <row r="200" spans="1:28" x14ac:dyDescent="0.25">
      <c r="A200" s="30">
        <v>5.1584431766612821E-4</v>
      </c>
    </row>
    <row r="201" spans="1:28" x14ac:dyDescent="0.25">
      <c r="A201" s="30">
        <v>4.6425988589951538E-4</v>
      </c>
    </row>
    <row r="202" spans="1:28" x14ac:dyDescent="0.25">
      <c r="A202" s="30">
        <v>4.1783389730956383E-4</v>
      </c>
    </row>
    <row r="203" spans="1:28" x14ac:dyDescent="0.25">
      <c r="A203" s="30">
        <v>3.7605050757860746E-4</v>
      </c>
    </row>
    <row r="204" spans="1:28" x14ac:dyDescent="0.25">
      <c r="A204" s="30">
        <v>3.3844545682074675E-4</v>
      </c>
    </row>
    <row r="205" spans="1:28" x14ac:dyDescent="0.25">
      <c r="A205" s="30">
        <v>3.0460091113867208E-4</v>
      </c>
    </row>
    <row r="206" spans="1:28" x14ac:dyDescent="0.25">
      <c r="A206" s="30">
        <v>2.7414082002480487E-4</v>
      </c>
    </row>
    <row r="207" spans="1:28" x14ac:dyDescent="0.25">
      <c r="A207" s="30">
        <v>2.4672673802232442E-4</v>
      </c>
    </row>
    <row r="208" spans="1:28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89" operator="equal">
      <formula>$U$1</formula>
    </cfRule>
    <cfRule type="cellIs" dxfId="30" priority="1290" operator="equal">
      <formula>$S$1</formula>
    </cfRule>
  </conditionalFormatting>
  <conditionalFormatting sqref="D136">
    <cfRule type="cellIs" dxfId="29" priority="1287" operator="equal">
      <formula>$S$1</formula>
    </cfRule>
    <cfRule type="cellIs" dxfId="28" priority="1288" operator="equal">
      <formula>$U$1</formula>
    </cfRule>
  </conditionalFormatting>
  <conditionalFormatting sqref="C102">
    <cfRule type="cellIs" dxfId="27" priority="1285" operator="equal">
      <formula>$U$1</formula>
    </cfRule>
    <cfRule type="cellIs" dxfId="26" priority="1286" operator="equal">
      <formula>$S$1</formula>
    </cfRule>
  </conditionalFormatting>
  <conditionalFormatting sqref="D102">
    <cfRule type="cellIs" dxfId="25" priority="1283" operator="equal">
      <formula>$S$1</formula>
    </cfRule>
    <cfRule type="cellIs" dxfId="24" priority="1284" operator="equal">
      <formula>$U$1</formula>
    </cfRule>
  </conditionalFormatting>
  <conditionalFormatting sqref="C77">
    <cfRule type="cellIs" dxfId="23" priority="1281" operator="equal">
      <formula>$U$1</formula>
    </cfRule>
    <cfRule type="cellIs" dxfId="22" priority="1282" operator="equal">
      <formula>$S$1</formula>
    </cfRule>
  </conditionalFormatting>
  <conditionalFormatting sqref="D77">
    <cfRule type="cellIs" dxfId="21" priority="1279" operator="equal">
      <formula>$S$1</formula>
    </cfRule>
    <cfRule type="cellIs" dxfId="20" priority="1280" operator="equal">
      <formula>$U$1</formula>
    </cfRule>
  </conditionalFormatting>
  <conditionalFormatting sqref="C52">
    <cfRule type="cellIs" dxfId="19" priority="1277" operator="equal">
      <formula>$U$1</formula>
    </cfRule>
    <cfRule type="cellIs" dxfId="18" priority="1278" operator="equal">
      <formula>$S$1</formula>
    </cfRule>
  </conditionalFormatting>
  <conditionalFormatting sqref="D52">
    <cfRule type="cellIs" dxfId="17" priority="1275" operator="equal">
      <formula>$S$1</formula>
    </cfRule>
    <cfRule type="cellIs" dxfId="16" priority="1276" operator="equal">
      <formula>$U$1</formula>
    </cfRule>
  </conditionalFormatting>
  <conditionalFormatting sqref="C26">
    <cfRule type="cellIs" dxfId="15" priority="1273" operator="equal">
      <formula>$U$1</formula>
    </cfRule>
    <cfRule type="cellIs" dxfId="14" priority="1274" operator="equal">
      <formula>$S$1</formula>
    </cfRule>
  </conditionalFormatting>
  <conditionalFormatting sqref="D26">
    <cfRule type="cellIs" dxfId="13" priority="1271" operator="equal">
      <formula>$S$1</formula>
    </cfRule>
    <cfRule type="cellIs" dxfId="12" priority="12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2022-01-28T01:18:07Z</dcterms:modified>
</cp:coreProperties>
</file>